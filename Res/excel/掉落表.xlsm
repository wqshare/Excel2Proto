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/>
  </bookViews>
  <sheets>
    <sheet name="D_普通掉落表" sheetId="5" r:id="rId1"/>
    <sheet name="D_特殊掉落表" sheetId="8" r:id="rId2"/>
    <sheet name="说明" sheetId="9" r:id="rId3"/>
    <sheet name="D_奖励表" sheetId="13" r:id="rId4"/>
    <sheet name="特殊掉落辅助表" sheetId="7" r:id="rId5"/>
    <sheet name="引用表合并" sheetId="12" r:id="rId6"/>
    <sheet name="命格引用" sheetId="15" r:id="rId7"/>
    <sheet name="道具引用" sheetId="6" r:id="rId8"/>
    <sheet name="装备引用" sheetId="11" r:id="rId9"/>
    <sheet name="马仔宝物引用" sheetId="14" r:id="rId10"/>
    <sheet name="马仔引用" sheetId="16" r:id="rId11"/>
    <sheet name="称号引用" sheetId="17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0" hidden="1">D_普通掉落表!$A$1:$BN$794</definedName>
    <definedName name="_xlnm._FilterDatabase" localSheetId="1" hidden="1">D_特殊掉落表!$A$1:$BK$166</definedName>
    <definedName name="普通掉落表DATA">D_普通掉落表!$A:$BN</definedName>
  </definedNames>
  <calcPr calcId="152511"/>
</workbook>
</file>

<file path=xl/calcChain.xml><?xml version="1.0" encoding="utf-8"?>
<calcChain xmlns="http://schemas.openxmlformats.org/spreadsheetml/2006/main">
  <c r="D308" i="8" l="1"/>
  <c r="D309" i="8"/>
  <c r="D310" i="8"/>
  <c r="D311" i="8"/>
  <c r="D312" i="8"/>
  <c r="D313" i="8"/>
  <c r="B153" i="13"/>
  <c r="B154" i="13"/>
  <c r="B155" i="13"/>
  <c r="B156" i="13"/>
  <c r="B157" i="13"/>
  <c r="B158" i="13"/>
  <c r="L166" i="13" l="1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160" i="13"/>
  <c r="L161" i="13"/>
  <c r="L162" i="13"/>
  <c r="L163" i="13"/>
  <c r="L164" i="13"/>
  <c r="L165" i="13"/>
  <c r="L159" i="13"/>
  <c r="A157" i="6" l="1"/>
  <c r="B157" i="6"/>
  <c r="AF794" i="5" l="1"/>
  <c r="AF779" i="5"/>
  <c r="AF764" i="5"/>
  <c r="AF749" i="5"/>
  <c r="AF734" i="5"/>
  <c r="AF719" i="5"/>
  <c r="AF704" i="5"/>
  <c r="AF689" i="5"/>
  <c r="AF674" i="5"/>
  <c r="AF659" i="5"/>
  <c r="AF644" i="5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2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2" i="8"/>
  <c r="O291" i="5" l="1"/>
  <c r="O287" i="5"/>
  <c r="O288" i="5"/>
  <c r="O289" i="5"/>
  <c r="O290" i="5"/>
  <c r="O292" i="5"/>
  <c r="O293" i="5"/>
  <c r="O294" i="5"/>
  <c r="K287" i="5"/>
  <c r="K288" i="5"/>
  <c r="K289" i="5"/>
  <c r="K290" i="5"/>
  <c r="K291" i="5"/>
  <c r="K292" i="5"/>
  <c r="K293" i="5"/>
  <c r="K294" i="5"/>
  <c r="G290" i="5"/>
  <c r="G291" i="5"/>
  <c r="G292" i="5"/>
  <c r="G293" i="5"/>
  <c r="G294" i="5"/>
  <c r="E290" i="5"/>
  <c r="D290" i="5" s="1"/>
  <c r="E294" i="5" l="1"/>
  <c r="D294" i="5" s="1"/>
  <c r="E293" i="5"/>
  <c r="D293" i="5" s="1"/>
  <c r="E292" i="5"/>
  <c r="D292" i="5" s="1"/>
  <c r="E291" i="5"/>
  <c r="F291" i="5" s="1"/>
  <c r="F290" i="5"/>
  <c r="F294" i="5" l="1"/>
  <c r="F293" i="5"/>
  <c r="F292" i="5"/>
  <c r="D291" i="5"/>
  <c r="A155" i="6" l="1"/>
  <c r="B155" i="6"/>
  <c r="A156" i="6"/>
  <c r="B156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A153" i="6"/>
  <c r="B153" i="6"/>
  <c r="A154" i="6"/>
  <c r="B154" i="6"/>
  <c r="A3" i="11"/>
  <c r="B3" i="11"/>
  <c r="A4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K323" i="5"/>
  <c r="BG323" i="5"/>
  <c r="BC323" i="5"/>
  <c r="AY323" i="5"/>
  <c r="AU323" i="5"/>
  <c r="AQ323" i="5"/>
  <c r="AM323" i="5"/>
  <c r="AI323" i="5"/>
  <c r="AE323" i="5"/>
  <c r="AA323" i="5"/>
  <c r="W323" i="5"/>
  <c r="S323" i="5"/>
  <c r="O323" i="5"/>
  <c r="K323" i="5"/>
  <c r="G323" i="5"/>
  <c r="E323" i="5" l="1"/>
  <c r="D323" i="5" s="1"/>
  <c r="A152" i="11" l="1"/>
  <c r="A161" i="11"/>
  <c r="A169" i="11"/>
  <c r="A103" i="11"/>
  <c r="A111" i="11"/>
  <c r="A9" i="11"/>
  <c r="A23" i="11"/>
  <c r="A182" i="11"/>
  <c r="A171" i="11"/>
  <c r="A205" i="11"/>
  <c r="A15" i="11"/>
  <c r="A176" i="11"/>
  <c r="A62" i="11"/>
  <c r="A56" i="11"/>
  <c r="A210" i="11"/>
  <c r="A25" i="11"/>
  <c r="A19" i="11"/>
  <c r="A157" i="11"/>
  <c r="A98" i="11"/>
  <c r="A112" i="11"/>
  <c r="A160" i="11"/>
  <c r="A101" i="11"/>
  <c r="A194" i="11"/>
  <c r="A207" i="11"/>
  <c r="A75" i="11"/>
  <c r="A85" i="11"/>
  <c r="A73" i="11"/>
  <c r="A34" i="11"/>
  <c r="A97" i="11"/>
  <c r="A117" i="11"/>
  <c r="A116" i="11"/>
  <c r="A180" i="11"/>
  <c r="A151" i="11"/>
  <c r="A94" i="11"/>
  <c r="A12" i="11"/>
  <c r="A202" i="11"/>
  <c r="A147" i="11"/>
  <c r="A92" i="11"/>
  <c r="A163" i="11"/>
  <c r="A127" i="11"/>
  <c r="A158" i="11"/>
  <c r="A198" i="11"/>
  <c r="A145" i="11"/>
  <c r="A10" i="11"/>
  <c r="A91" i="11"/>
  <c r="A86" i="11"/>
  <c r="A143" i="11"/>
  <c r="A167" i="11"/>
  <c r="A149" i="11"/>
  <c r="A104" i="11"/>
  <c r="A13" i="11"/>
  <c r="A174" i="11"/>
  <c r="A209" i="11"/>
  <c r="A186" i="11"/>
  <c r="A203" i="11"/>
  <c r="A148" i="11"/>
  <c r="A173" i="11"/>
  <c r="A93" i="11"/>
  <c r="A20" i="11"/>
  <c r="A36" i="11"/>
  <c r="A5" i="11"/>
  <c r="A131" i="11"/>
  <c r="A120" i="11"/>
  <c r="A134" i="11"/>
  <c r="A17" i="11"/>
  <c r="A177" i="11"/>
  <c r="A33" i="11"/>
  <c r="A206" i="11"/>
  <c r="A64" i="11"/>
  <c r="A88" i="11"/>
  <c r="A96" i="11"/>
  <c r="A38" i="11"/>
  <c r="A37" i="11"/>
  <c r="A44" i="11"/>
  <c r="A52" i="11"/>
  <c r="A35" i="11"/>
  <c r="A105" i="11"/>
  <c r="A59" i="11"/>
  <c r="A193" i="11"/>
  <c r="A135" i="11"/>
  <c r="A150" i="11"/>
  <c r="A81" i="11"/>
  <c r="A8" i="11"/>
  <c r="A166" i="11"/>
  <c r="A46" i="11"/>
  <c r="A51" i="11"/>
  <c r="A65" i="11"/>
  <c r="A87" i="11"/>
  <c r="A123" i="11"/>
  <c r="A130" i="11"/>
  <c r="A133" i="11"/>
  <c r="A146" i="11"/>
  <c r="A211" i="11"/>
  <c r="A50" i="11"/>
  <c r="A79" i="11"/>
  <c r="A183" i="11"/>
  <c r="A190" i="11"/>
  <c r="A172" i="11"/>
  <c r="A175" i="11"/>
  <c r="A22" i="11"/>
  <c r="A196" i="11"/>
  <c r="A68" i="11"/>
  <c r="A21" i="11"/>
  <c r="A6" i="11"/>
  <c r="A168" i="11"/>
  <c r="A126" i="11"/>
  <c r="A200" i="11"/>
  <c r="A90" i="11"/>
  <c r="A129" i="11"/>
  <c r="A109" i="11"/>
  <c r="A153" i="11"/>
  <c r="A188" i="11"/>
  <c r="A137" i="11"/>
  <c r="A95" i="11"/>
  <c r="A71" i="11"/>
  <c r="A124" i="11"/>
  <c r="A140" i="11"/>
  <c r="A74" i="11"/>
  <c r="A78" i="11"/>
  <c r="A26" i="11"/>
  <c r="A30" i="11"/>
  <c r="A185" i="11"/>
  <c r="A154" i="11"/>
  <c r="A60" i="11"/>
  <c r="A58" i="11"/>
  <c r="A82" i="11"/>
  <c r="A141" i="11"/>
  <c r="A142" i="11"/>
  <c r="A7" i="11"/>
  <c r="A31" i="11"/>
  <c r="A179" i="11"/>
  <c r="A54" i="11"/>
  <c r="A113" i="11"/>
  <c r="A121" i="11"/>
  <c r="A208" i="11"/>
  <c r="A159" i="11"/>
  <c r="A212" i="11"/>
  <c r="A144" i="11"/>
  <c r="A11" i="11"/>
  <c r="A119" i="11"/>
  <c r="A125" i="11"/>
  <c r="A45" i="11"/>
  <c r="A49" i="11"/>
  <c r="A48" i="11"/>
  <c r="A40" i="11"/>
  <c r="A28" i="11"/>
  <c r="A77" i="11"/>
  <c r="A128" i="11"/>
  <c r="A61" i="11"/>
  <c r="A132" i="11"/>
  <c r="A110" i="11"/>
  <c r="A118" i="11"/>
  <c r="A55" i="11"/>
  <c r="A42" i="11"/>
  <c r="A27" i="11"/>
  <c r="A72" i="11"/>
  <c r="A102" i="11"/>
  <c r="A80" i="11"/>
  <c r="A156" i="11"/>
  <c r="A18" i="11"/>
  <c r="A164" i="11"/>
  <c r="A199" i="11"/>
  <c r="A115" i="11"/>
  <c r="A162" i="11"/>
  <c r="A100" i="11"/>
  <c r="A165" i="11"/>
  <c r="A69" i="11"/>
  <c r="A67" i="11"/>
  <c r="A155" i="11"/>
  <c r="A66" i="11"/>
  <c r="A191" i="11"/>
  <c r="A136" i="11"/>
  <c r="A83" i="11"/>
  <c r="A76" i="11"/>
  <c r="A16" i="11"/>
  <c r="A63" i="11"/>
  <c r="A178" i="11"/>
  <c r="A53" i="11"/>
  <c r="A84" i="11"/>
  <c r="A204" i="11"/>
  <c r="A14" i="11"/>
  <c r="A195" i="11"/>
  <c r="A106" i="11"/>
  <c r="A184" i="11"/>
  <c r="A192" i="11"/>
  <c r="A89" i="11"/>
  <c r="A108" i="11"/>
  <c r="A32" i="11"/>
  <c r="A197" i="11"/>
  <c r="A114" i="11"/>
  <c r="A29" i="11"/>
  <c r="A99" i="11"/>
  <c r="A138" i="11"/>
  <c r="A170" i="11"/>
  <c r="A70" i="11"/>
  <c r="A187" i="11"/>
  <c r="A122" i="11"/>
  <c r="A107" i="11"/>
  <c r="A201" i="11"/>
  <c r="A181" i="11"/>
  <c r="A57" i="11"/>
  <c r="A139" i="11"/>
  <c r="A189" i="11"/>
  <c r="A24" i="11"/>
  <c r="A41" i="11"/>
  <c r="A47" i="11"/>
  <c r="A43" i="11"/>
  <c r="A39" i="11"/>
  <c r="BK320" i="5" l="1"/>
  <c r="BG320" i="5"/>
  <c r="BC320" i="5"/>
  <c r="AY320" i="5"/>
  <c r="AU320" i="5"/>
  <c r="AQ320" i="5"/>
  <c r="AM320" i="5"/>
  <c r="AI320" i="5"/>
  <c r="AE320" i="5"/>
  <c r="AA320" i="5"/>
  <c r="W320" i="5"/>
  <c r="S320" i="5"/>
  <c r="O320" i="5"/>
  <c r="K320" i="5"/>
  <c r="G320" i="5"/>
  <c r="BK319" i="5"/>
  <c r="BG319" i="5"/>
  <c r="BC319" i="5"/>
  <c r="AY319" i="5"/>
  <c r="AU319" i="5"/>
  <c r="AQ319" i="5"/>
  <c r="AM319" i="5"/>
  <c r="AI319" i="5"/>
  <c r="AE319" i="5"/>
  <c r="AA319" i="5"/>
  <c r="W319" i="5"/>
  <c r="S319" i="5"/>
  <c r="O319" i="5"/>
  <c r="K319" i="5"/>
  <c r="G319" i="5"/>
  <c r="BK318" i="5"/>
  <c r="BG318" i="5"/>
  <c r="BC318" i="5"/>
  <c r="AY318" i="5"/>
  <c r="AU318" i="5"/>
  <c r="AQ318" i="5"/>
  <c r="AM318" i="5"/>
  <c r="AI318" i="5"/>
  <c r="AE318" i="5"/>
  <c r="AA318" i="5"/>
  <c r="W318" i="5"/>
  <c r="S318" i="5"/>
  <c r="O318" i="5"/>
  <c r="K318" i="5"/>
  <c r="G318" i="5"/>
  <c r="BK317" i="5"/>
  <c r="BG317" i="5"/>
  <c r="BC317" i="5"/>
  <c r="AY317" i="5"/>
  <c r="AU317" i="5"/>
  <c r="AQ317" i="5"/>
  <c r="AM317" i="5"/>
  <c r="AI317" i="5"/>
  <c r="AE317" i="5"/>
  <c r="AA317" i="5"/>
  <c r="W317" i="5"/>
  <c r="S317" i="5"/>
  <c r="O317" i="5"/>
  <c r="K317" i="5"/>
  <c r="G317" i="5"/>
  <c r="BK316" i="5"/>
  <c r="BG316" i="5"/>
  <c r="BC316" i="5"/>
  <c r="AY316" i="5"/>
  <c r="AU316" i="5"/>
  <c r="AQ316" i="5"/>
  <c r="AM316" i="5"/>
  <c r="AI316" i="5"/>
  <c r="AE316" i="5"/>
  <c r="AA316" i="5"/>
  <c r="W316" i="5"/>
  <c r="S316" i="5"/>
  <c r="O316" i="5"/>
  <c r="K316" i="5"/>
  <c r="G316" i="5"/>
  <c r="BK315" i="5"/>
  <c r="BG315" i="5"/>
  <c r="BC315" i="5"/>
  <c r="AY315" i="5"/>
  <c r="AU315" i="5"/>
  <c r="AQ315" i="5"/>
  <c r="AM315" i="5"/>
  <c r="AI315" i="5"/>
  <c r="AE315" i="5"/>
  <c r="AA315" i="5"/>
  <c r="W315" i="5"/>
  <c r="S315" i="5"/>
  <c r="O315" i="5"/>
  <c r="K315" i="5"/>
  <c r="G315" i="5"/>
  <c r="BK314" i="5"/>
  <c r="BG314" i="5"/>
  <c r="BC314" i="5"/>
  <c r="AY314" i="5"/>
  <c r="AU314" i="5"/>
  <c r="AQ314" i="5"/>
  <c r="AM314" i="5"/>
  <c r="AI314" i="5"/>
  <c r="AE314" i="5"/>
  <c r="AA314" i="5"/>
  <c r="W314" i="5"/>
  <c r="S314" i="5"/>
  <c r="O314" i="5"/>
  <c r="K314" i="5"/>
  <c r="G314" i="5"/>
  <c r="BK313" i="5"/>
  <c r="BG313" i="5"/>
  <c r="BC313" i="5"/>
  <c r="AY313" i="5"/>
  <c r="AU313" i="5"/>
  <c r="AQ313" i="5"/>
  <c r="AM313" i="5"/>
  <c r="AI313" i="5"/>
  <c r="AE313" i="5"/>
  <c r="AA313" i="5"/>
  <c r="W313" i="5"/>
  <c r="S313" i="5"/>
  <c r="O313" i="5"/>
  <c r="K313" i="5"/>
  <c r="G313" i="5"/>
  <c r="BK312" i="5"/>
  <c r="BG312" i="5"/>
  <c r="BC312" i="5"/>
  <c r="AY312" i="5"/>
  <c r="AU312" i="5"/>
  <c r="AQ312" i="5"/>
  <c r="AM312" i="5"/>
  <c r="AI312" i="5"/>
  <c r="AE312" i="5"/>
  <c r="AA312" i="5"/>
  <c r="W312" i="5"/>
  <c r="S312" i="5"/>
  <c r="O312" i="5"/>
  <c r="K312" i="5"/>
  <c r="G312" i="5"/>
  <c r="BK311" i="5"/>
  <c r="BG311" i="5"/>
  <c r="BC311" i="5"/>
  <c r="AY311" i="5"/>
  <c r="AU311" i="5"/>
  <c r="AQ311" i="5"/>
  <c r="AM311" i="5"/>
  <c r="AI311" i="5"/>
  <c r="AE311" i="5"/>
  <c r="AA311" i="5"/>
  <c r="W311" i="5"/>
  <c r="S311" i="5"/>
  <c r="O311" i="5"/>
  <c r="K311" i="5"/>
  <c r="G311" i="5"/>
  <c r="BK310" i="5"/>
  <c r="BG310" i="5"/>
  <c r="BC310" i="5"/>
  <c r="AY310" i="5"/>
  <c r="AU310" i="5"/>
  <c r="AQ310" i="5"/>
  <c r="AM310" i="5"/>
  <c r="AI310" i="5"/>
  <c r="AE310" i="5"/>
  <c r="AA310" i="5"/>
  <c r="W310" i="5"/>
  <c r="S310" i="5"/>
  <c r="O310" i="5"/>
  <c r="K310" i="5"/>
  <c r="G310" i="5"/>
  <c r="E320" i="5" l="1"/>
  <c r="E317" i="5"/>
  <c r="E315" i="5"/>
  <c r="D315" i="5" s="1"/>
  <c r="E313" i="5"/>
  <c r="E318" i="5"/>
  <c r="D318" i="5" s="1"/>
  <c r="E316" i="5"/>
  <c r="E319" i="5"/>
  <c r="D319" i="5" s="1"/>
  <c r="E310" i="5"/>
  <c r="D310" i="5" s="1"/>
  <c r="E312" i="5"/>
  <c r="D312" i="5" s="1"/>
  <c r="E311" i="5"/>
  <c r="D311" i="5" s="1"/>
  <c r="E314" i="5"/>
  <c r="D314" i="5" s="1"/>
  <c r="D320" i="5" l="1"/>
  <c r="D313" i="5"/>
  <c r="D316" i="5"/>
  <c r="D317" i="5"/>
  <c r="F319" i="5"/>
  <c r="V631" i="5" l="1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630" i="5"/>
  <c r="CE307" i="5" l="1"/>
  <c r="BW308" i="5"/>
  <c r="BS308" i="5"/>
  <c r="BS307" i="5"/>
  <c r="BO308" i="5"/>
  <c r="BO307" i="5"/>
  <c r="EB308" i="5"/>
  <c r="EA308" i="5" s="1"/>
  <c r="DT308" i="5"/>
  <c r="DS308" i="5" s="1"/>
  <c r="CV308" i="5"/>
  <c r="ER308" i="5" s="1"/>
  <c r="EQ308" i="5" s="1"/>
  <c r="CR308" i="5"/>
  <c r="CQ308" i="5" s="1"/>
  <c r="CN308" i="5"/>
  <c r="EJ308" i="5" s="1"/>
  <c r="EI308" i="5" s="1"/>
  <c r="CJ308" i="5"/>
  <c r="EF308" i="5" s="1"/>
  <c r="EE308" i="5" s="1"/>
  <c r="CF308" i="5"/>
  <c r="CE308" i="5" s="1"/>
  <c r="CB308" i="5"/>
  <c r="CA308" i="5" s="1"/>
  <c r="BX308" i="5"/>
  <c r="BT308" i="5"/>
  <c r="DP308" i="5" s="1"/>
  <c r="DO308" i="5" s="1"/>
  <c r="BP308" i="5"/>
  <c r="DL308" i="5" s="1"/>
  <c r="DK308" i="5" s="1"/>
  <c r="BL308" i="5"/>
  <c r="DH308" i="5" s="1"/>
  <c r="DG308" i="5" s="1"/>
  <c r="BH308" i="5"/>
  <c r="DD308" i="5" s="1"/>
  <c r="DC308" i="5" s="1"/>
  <c r="BD308" i="5"/>
  <c r="CZ308" i="5" s="1"/>
  <c r="CY308" i="5" s="1"/>
  <c r="DL309" i="5"/>
  <c r="DK309" i="5" s="1"/>
  <c r="DL307" i="5"/>
  <c r="DK307" i="5" s="1"/>
  <c r="CV309" i="5"/>
  <c r="CU309" i="5" s="1"/>
  <c r="CR309" i="5"/>
  <c r="CQ309" i="5" s="1"/>
  <c r="CF309" i="5"/>
  <c r="DT309" i="5" s="1"/>
  <c r="DS309" i="5" s="1"/>
  <c r="CF307" i="5"/>
  <c r="DT307" i="5" s="1"/>
  <c r="DS307" i="5" s="1"/>
  <c r="CB309" i="5"/>
  <c r="DP309" i="5" s="1"/>
  <c r="DO309" i="5" s="1"/>
  <c r="CB307" i="5"/>
  <c r="DP307" i="5" s="1"/>
  <c r="DO307" i="5" s="1"/>
  <c r="BX309" i="5"/>
  <c r="BW309" i="5" s="1"/>
  <c r="BX307" i="5"/>
  <c r="BW307" i="5" s="1"/>
  <c r="BT309" i="5"/>
  <c r="BS309" i="5" s="1"/>
  <c r="BT307" i="5"/>
  <c r="DH307" i="5" s="1"/>
  <c r="DG307" i="5" s="1"/>
  <c r="BP309" i="5"/>
  <c r="DD309" i="5" s="1"/>
  <c r="DC309" i="5" s="1"/>
  <c r="BP307" i="5"/>
  <c r="DD307" i="5" s="1"/>
  <c r="DC307" i="5" s="1"/>
  <c r="BL309" i="5"/>
  <c r="CZ309" i="5" s="1"/>
  <c r="CY309" i="5" s="1"/>
  <c r="BL307" i="5"/>
  <c r="CZ307" i="5" s="1"/>
  <c r="CY307" i="5" s="1"/>
  <c r="BH309" i="5"/>
  <c r="BH307" i="5"/>
  <c r="CV307" i="5" s="1"/>
  <c r="CU307" i="5" s="1"/>
  <c r="BD309" i="5"/>
  <c r="BD307" i="5"/>
  <c r="CR307" i="5" s="1"/>
  <c r="CQ307" i="5" s="1"/>
  <c r="AZ309" i="5"/>
  <c r="CN309" i="5" s="1"/>
  <c r="CM309" i="5" s="1"/>
  <c r="AZ307" i="5"/>
  <c r="CN307" i="5" s="1"/>
  <c r="CM307" i="5" s="1"/>
  <c r="AV309" i="5"/>
  <c r="CJ309" i="5" s="1"/>
  <c r="CI309" i="5" s="1"/>
  <c r="AV307" i="5"/>
  <c r="CJ307" i="5" s="1"/>
  <c r="CI307" i="5" s="1"/>
  <c r="CF306" i="5"/>
  <c r="CE306" i="5" s="1"/>
  <c r="CB306" i="5"/>
  <c r="CA306" i="5" s="1"/>
  <c r="BX306" i="5"/>
  <c r="BW306" i="5" s="1"/>
  <c r="BT306" i="5"/>
  <c r="BS306" i="5" s="1"/>
  <c r="BP306" i="5"/>
  <c r="BO306" i="5" s="1"/>
  <c r="BL306" i="5"/>
  <c r="CZ306" i="5" s="1"/>
  <c r="CY306" i="5" s="1"/>
  <c r="BH306" i="5"/>
  <c r="CV306" i="5" s="1"/>
  <c r="CU306" i="5" s="1"/>
  <c r="BD306" i="5"/>
  <c r="CR306" i="5" s="1"/>
  <c r="CQ306" i="5" s="1"/>
  <c r="AZ306" i="5"/>
  <c r="CN306" i="5" s="1"/>
  <c r="CM306" i="5" s="1"/>
  <c r="AV306" i="5"/>
  <c r="CJ306" i="5" s="1"/>
  <c r="CI306" i="5" s="1"/>
  <c r="CI308" i="5" l="1"/>
  <c r="CU308" i="5"/>
  <c r="CA307" i="5"/>
  <c r="DL306" i="5"/>
  <c r="DK306" i="5" s="1"/>
  <c r="DP306" i="5"/>
  <c r="DO306" i="5" s="1"/>
  <c r="DH309" i="5"/>
  <c r="DG309" i="5" s="1"/>
  <c r="DX308" i="5"/>
  <c r="DW308" i="5" s="1"/>
  <c r="CM308" i="5"/>
  <c r="DD306" i="5"/>
  <c r="DC306" i="5" s="1"/>
  <c r="BO309" i="5"/>
  <c r="CE309" i="5"/>
  <c r="DH306" i="5"/>
  <c r="DG306" i="5" s="1"/>
  <c r="EN308" i="5"/>
  <c r="EM308" i="5" s="1"/>
  <c r="DT306" i="5"/>
  <c r="DS306" i="5" s="1"/>
  <c r="CA309" i="5"/>
  <c r="C2" i="8"/>
  <c r="C3" i="8"/>
  <c r="C4" i="8"/>
  <c r="C5" i="8"/>
  <c r="C6" i="8"/>
  <c r="C7" i="8" l="1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BK309" i="5" l="1"/>
  <c r="BG309" i="5"/>
  <c r="BC309" i="5"/>
  <c r="AY309" i="5"/>
  <c r="AU309" i="5"/>
  <c r="AQ309" i="5"/>
  <c r="AM309" i="5"/>
  <c r="AI309" i="5"/>
  <c r="AE309" i="5"/>
  <c r="AA309" i="5"/>
  <c r="W309" i="5"/>
  <c r="S309" i="5"/>
  <c r="O309" i="5"/>
  <c r="K309" i="5"/>
  <c r="G309" i="5"/>
  <c r="BK308" i="5"/>
  <c r="BG308" i="5"/>
  <c r="BC308" i="5"/>
  <c r="AY308" i="5"/>
  <c r="AU308" i="5"/>
  <c r="AQ308" i="5"/>
  <c r="AM308" i="5"/>
  <c r="AI308" i="5"/>
  <c r="AE308" i="5"/>
  <c r="AA308" i="5"/>
  <c r="W308" i="5"/>
  <c r="S308" i="5"/>
  <c r="O308" i="5"/>
  <c r="K308" i="5"/>
  <c r="G308" i="5"/>
  <c r="BK307" i="5"/>
  <c r="BG307" i="5"/>
  <c r="BC307" i="5"/>
  <c r="AY307" i="5"/>
  <c r="AU307" i="5"/>
  <c r="AQ307" i="5"/>
  <c r="AM307" i="5"/>
  <c r="AI307" i="5"/>
  <c r="AE307" i="5"/>
  <c r="AA307" i="5"/>
  <c r="W307" i="5"/>
  <c r="S307" i="5"/>
  <c r="O307" i="5"/>
  <c r="K307" i="5"/>
  <c r="G307" i="5"/>
  <c r="BK306" i="5"/>
  <c r="BG306" i="5"/>
  <c r="BC306" i="5"/>
  <c r="AY306" i="5"/>
  <c r="AU306" i="5"/>
  <c r="AQ306" i="5"/>
  <c r="AM306" i="5"/>
  <c r="AI306" i="5"/>
  <c r="AE306" i="5"/>
  <c r="AA306" i="5"/>
  <c r="W306" i="5"/>
  <c r="S306" i="5"/>
  <c r="O306" i="5"/>
  <c r="K306" i="5"/>
  <c r="G306" i="5"/>
  <c r="E308" i="5" l="1"/>
  <c r="D308" i="5" s="1"/>
  <c r="E307" i="5"/>
  <c r="D307" i="5" s="1"/>
  <c r="E309" i="5"/>
  <c r="D309" i="5" s="1"/>
  <c r="E306" i="5"/>
  <c r="D306" i="5" s="1"/>
  <c r="C108" i="8" l="1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107" i="8"/>
  <c r="BV2" i="8" l="1"/>
  <c r="BW16" i="8"/>
  <c r="H264" i="5" l="1"/>
  <c r="H258" i="5"/>
  <c r="H259" i="5"/>
  <c r="B2" i="11" l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A12" i="16"/>
  <c r="B12" i="16"/>
  <c r="A13" i="16"/>
  <c r="B13" i="16"/>
  <c r="A14" i="16"/>
  <c r="B14" i="16"/>
  <c r="A15" i="16"/>
  <c r="B15" i="16"/>
  <c r="A16" i="16"/>
  <c r="B16" i="16"/>
  <c r="A17" i="16"/>
  <c r="B17" i="16"/>
  <c r="A18" i="16"/>
  <c r="B18" i="16"/>
  <c r="A19" i="16"/>
  <c r="B19" i="16"/>
  <c r="A20" i="16"/>
  <c r="B20" i="16"/>
  <c r="A3" i="14" l="1"/>
  <c r="B3" i="14"/>
  <c r="A4" i="14"/>
  <c r="B4" i="14"/>
  <c r="A5" i="14"/>
  <c r="B5" i="14"/>
  <c r="A6" i="14"/>
  <c r="B6" i="14"/>
  <c r="A7" i="14"/>
  <c r="B7" i="14"/>
  <c r="A8" i="14"/>
  <c r="B8" i="14"/>
  <c r="A9" i="14"/>
  <c r="B9" i="14"/>
  <c r="A10" i="14"/>
  <c r="B10" i="14"/>
  <c r="A11" i="14"/>
  <c r="B11" i="14"/>
  <c r="A12" i="14"/>
  <c r="B12" i="14"/>
  <c r="A13" i="14"/>
  <c r="B13" i="14"/>
  <c r="A14" i="14"/>
  <c r="B14" i="14"/>
  <c r="A15" i="14"/>
  <c r="B15" i="14"/>
  <c r="A16" i="14"/>
  <c r="B16" i="14"/>
  <c r="A17" i="14"/>
  <c r="B17" i="14"/>
  <c r="A18" i="14"/>
  <c r="B18" i="14"/>
  <c r="A19" i="14"/>
  <c r="B19" i="14"/>
  <c r="A20" i="14"/>
  <c r="B20" i="14"/>
  <c r="A21" i="14"/>
  <c r="B21" i="14"/>
  <c r="A22" i="14"/>
  <c r="B22" i="14"/>
  <c r="A23" i="14"/>
  <c r="B23" i="14"/>
  <c r="A24" i="14"/>
  <c r="B24" i="14"/>
  <c r="A25" i="14"/>
  <c r="B25" i="14"/>
  <c r="A26" i="14"/>
  <c r="B26" i="14"/>
  <c r="A27" i="14"/>
  <c r="B27" i="14"/>
  <c r="A28" i="14"/>
  <c r="B28" i="14"/>
  <c r="A29" i="14"/>
  <c r="B29" i="14"/>
  <c r="A30" i="14"/>
  <c r="B30" i="14"/>
  <c r="A31" i="14"/>
  <c r="B31" i="14"/>
  <c r="A32" i="14"/>
  <c r="B32" i="14"/>
  <c r="A33" i="14"/>
  <c r="B33" i="14"/>
  <c r="A34" i="14"/>
  <c r="B34" i="14"/>
  <c r="A35" i="14"/>
  <c r="B35" i="14"/>
  <c r="A36" i="14"/>
  <c r="B36" i="14"/>
  <c r="A37" i="14"/>
  <c r="B37" i="14"/>
  <c r="A38" i="14"/>
  <c r="B38" i="14"/>
  <c r="A39" i="14"/>
  <c r="B39" i="14"/>
  <c r="A40" i="14"/>
  <c r="B40" i="14"/>
  <c r="A41" i="14"/>
  <c r="B41" i="14"/>
  <c r="A42" i="14"/>
  <c r="B42" i="14"/>
  <c r="A43" i="14"/>
  <c r="B43" i="14"/>
  <c r="A44" i="14"/>
  <c r="B44" i="14"/>
  <c r="A45" i="14"/>
  <c r="B45" i="14"/>
  <c r="A46" i="14"/>
  <c r="B46" i="14"/>
  <c r="A47" i="14"/>
  <c r="B47" i="14"/>
  <c r="A48" i="14"/>
  <c r="B48" i="14"/>
  <c r="A49" i="14"/>
  <c r="B49" i="14"/>
  <c r="A50" i="14"/>
  <c r="B50" i="14"/>
  <c r="A51" i="14"/>
  <c r="B51" i="14"/>
  <c r="A52" i="14"/>
  <c r="B52" i="14"/>
  <c r="A53" i="14"/>
  <c r="B53" i="14"/>
  <c r="A54" i="14"/>
  <c r="B54" i="14"/>
  <c r="A55" i="14"/>
  <c r="B55" i="14"/>
  <c r="A56" i="14"/>
  <c r="B56" i="14"/>
  <c r="A57" i="14"/>
  <c r="B57" i="14"/>
  <c r="A58" i="14"/>
  <c r="B58" i="14"/>
  <c r="A59" i="14"/>
  <c r="B59" i="14"/>
  <c r="A60" i="14"/>
  <c r="B60" i="14"/>
  <c r="A61" i="14"/>
  <c r="B61" i="14"/>
  <c r="A62" i="14"/>
  <c r="B62" i="14"/>
  <c r="A63" i="14"/>
  <c r="B63" i="14"/>
  <c r="A64" i="14"/>
  <c r="B64" i="14"/>
  <c r="A65" i="14"/>
  <c r="B65" i="14"/>
  <c r="A66" i="14"/>
  <c r="B66" i="14"/>
  <c r="A67" i="14"/>
  <c r="B67" i="14"/>
  <c r="A68" i="14"/>
  <c r="B68" i="14"/>
  <c r="A69" i="14"/>
  <c r="B69" i="14"/>
  <c r="A70" i="14"/>
  <c r="B70" i="14"/>
  <c r="A71" i="14"/>
  <c r="B71" i="14"/>
  <c r="A72" i="14"/>
  <c r="B72" i="14"/>
  <c r="A73" i="14"/>
  <c r="B73" i="14"/>
  <c r="A74" i="14"/>
  <c r="B74" i="14"/>
  <c r="A75" i="14"/>
  <c r="B75" i="14"/>
  <c r="A76" i="14"/>
  <c r="B76" i="14"/>
  <c r="A77" i="14"/>
  <c r="B77" i="14"/>
  <c r="A78" i="14"/>
  <c r="B78" i="14"/>
  <c r="A79" i="14"/>
  <c r="B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A91" i="14"/>
  <c r="B91" i="14"/>
  <c r="A92" i="14"/>
  <c r="B92" i="14"/>
  <c r="A93" i="14"/>
  <c r="B93" i="14"/>
  <c r="A94" i="14"/>
  <c r="B94" i="14"/>
  <c r="A95" i="14"/>
  <c r="B95" i="14"/>
  <c r="A96" i="14"/>
  <c r="B96" i="14"/>
  <c r="A97" i="14"/>
  <c r="B97" i="14"/>
  <c r="A98" i="14"/>
  <c r="B98" i="14"/>
  <c r="A99" i="14"/>
  <c r="B99" i="14"/>
  <c r="A100" i="14"/>
  <c r="B100" i="14"/>
  <c r="A101" i="14"/>
  <c r="B101" i="14"/>
  <c r="A102" i="14"/>
  <c r="B102" i="14"/>
  <c r="A103" i="14"/>
  <c r="B103" i="14"/>
  <c r="A104" i="14"/>
  <c r="B104" i="14"/>
  <c r="A105" i="14"/>
  <c r="B105" i="14"/>
  <c r="A106" i="14"/>
  <c r="B106" i="14"/>
  <c r="A107" i="14"/>
  <c r="B107" i="14"/>
  <c r="A108" i="14"/>
  <c r="B108" i="14"/>
  <c r="A109" i="14"/>
  <c r="B109" i="14"/>
  <c r="A110" i="14"/>
  <c r="B110" i="14"/>
  <c r="A111" i="14"/>
  <c r="B111" i="14"/>
  <c r="A112" i="14"/>
  <c r="B112" i="14"/>
  <c r="A113" i="14"/>
  <c r="B113" i="14"/>
  <c r="A114" i="14"/>
  <c r="B114" i="14"/>
  <c r="A115" i="14"/>
  <c r="B115" i="14"/>
  <c r="A116" i="14"/>
  <c r="B116" i="14"/>
  <c r="A117" i="14"/>
  <c r="B117" i="14"/>
  <c r="A118" i="14"/>
  <c r="B118" i="14"/>
  <c r="AJ136" i="8" l="1"/>
  <c r="AF136" i="8"/>
  <c r="AB136" i="8"/>
  <c r="X136" i="8"/>
  <c r="T136" i="8"/>
  <c r="AF133" i="8"/>
  <c r="AB133" i="8"/>
  <c r="X133" i="8"/>
  <c r="T133" i="8"/>
  <c r="AF130" i="8"/>
  <c r="AB130" i="8"/>
  <c r="X130" i="8"/>
  <c r="T130" i="8"/>
  <c r="AF127" i="8"/>
  <c r="AB127" i="8"/>
  <c r="X127" i="8"/>
  <c r="T127" i="8"/>
  <c r="AF124" i="8"/>
  <c r="AB124" i="8"/>
  <c r="X124" i="8"/>
  <c r="T124" i="8"/>
  <c r="AJ122" i="8"/>
  <c r="AF122" i="8"/>
  <c r="AB122" i="8"/>
  <c r="X122" i="8"/>
  <c r="T122" i="8"/>
  <c r="AJ166" i="8"/>
  <c r="AF166" i="8"/>
  <c r="AB166" i="8"/>
  <c r="X166" i="8"/>
  <c r="T166" i="8"/>
  <c r="AF163" i="8"/>
  <c r="AB163" i="8"/>
  <c r="X163" i="8"/>
  <c r="T163" i="8"/>
  <c r="AF160" i="8"/>
  <c r="AB160" i="8"/>
  <c r="X160" i="8"/>
  <c r="T160" i="8"/>
  <c r="AF157" i="8"/>
  <c r="AB157" i="8"/>
  <c r="X157" i="8"/>
  <c r="T157" i="8"/>
  <c r="AF154" i="8"/>
  <c r="AB154" i="8"/>
  <c r="X154" i="8"/>
  <c r="T154" i="8"/>
  <c r="AJ152" i="8"/>
  <c r="AF152" i="8"/>
  <c r="AB152" i="8"/>
  <c r="X152" i="8"/>
  <c r="T152" i="8"/>
  <c r="AJ151" i="8"/>
  <c r="AF151" i="8"/>
  <c r="AB151" i="8"/>
  <c r="X151" i="8"/>
  <c r="T151" i="8"/>
  <c r="AF148" i="8"/>
  <c r="AB148" i="8"/>
  <c r="X148" i="8"/>
  <c r="T148" i="8"/>
  <c r="AF145" i="8"/>
  <c r="AB145" i="8"/>
  <c r="X145" i="8"/>
  <c r="T145" i="8"/>
  <c r="AF142" i="8"/>
  <c r="AB142" i="8"/>
  <c r="X142" i="8"/>
  <c r="T142" i="8"/>
  <c r="AF139" i="8"/>
  <c r="AB139" i="8"/>
  <c r="X139" i="8"/>
  <c r="T139" i="8"/>
  <c r="AJ137" i="8"/>
  <c r="AF137" i="8"/>
  <c r="AB137" i="8"/>
  <c r="X137" i="8"/>
  <c r="T137" i="8"/>
  <c r="AJ121" i="8"/>
  <c r="AF121" i="8"/>
  <c r="AB121" i="8"/>
  <c r="X121" i="8"/>
  <c r="T121" i="8"/>
  <c r="AF118" i="8"/>
  <c r="AB118" i="8"/>
  <c r="X118" i="8"/>
  <c r="T118" i="8"/>
  <c r="AF115" i="8"/>
  <c r="AB115" i="8"/>
  <c r="X115" i="8"/>
  <c r="T115" i="8"/>
  <c r="AF112" i="8"/>
  <c r="AB112" i="8"/>
  <c r="X112" i="8"/>
  <c r="T112" i="8"/>
  <c r="AF109" i="8"/>
  <c r="AB109" i="8"/>
  <c r="X109" i="8"/>
  <c r="T109" i="8"/>
  <c r="AJ107" i="8"/>
  <c r="AF107" i="8"/>
  <c r="AB107" i="8"/>
  <c r="X107" i="8"/>
  <c r="T107" i="8"/>
  <c r="AJ106" i="8"/>
  <c r="AF106" i="8"/>
  <c r="AB106" i="8"/>
  <c r="X106" i="8"/>
  <c r="T106" i="8"/>
  <c r="AF103" i="8"/>
  <c r="AB103" i="8"/>
  <c r="X103" i="8"/>
  <c r="T103" i="8"/>
  <c r="AF100" i="8"/>
  <c r="AB100" i="8"/>
  <c r="X100" i="8"/>
  <c r="T100" i="8"/>
  <c r="AF97" i="8"/>
  <c r="AB97" i="8"/>
  <c r="X97" i="8"/>
  <c r="T97" i="8"/>
  <c r="AF94" i="8"/>
  <c r="AB94" i="8"/>
  <c r="X94" i="8"/>
  <c r="T94" i="8"/>
  <c r="AJ92" i="8"/>
  <c r="AF92" i="8"/>
  <c r="AB92" i="8"/>
  <c r="X92" i="8"/>
  <c r="T92" i="8"/>
  <c r="AJ91" i="8"/>
  <c r="AF91" i="8"/>
  <c r="AB91" i="8"/>
  <c r="X91" i="8"/>
  <c r="T91" i="8"/>
  <c r="AF88" i="8"/>
  <c r="AB88" i="8"/>
  <c r="X88" i="8"/>
  <c r="T88" i="8"/>
  <c r="AF85" i="8"/>
  <c r="AB85" i="8"/>
  <c r="X85" i="8"/>
  <c r="T85" i="8"/>
  <c r="AF82" i="8"/>
  <c r="AB82" i="8"/>
  <c r="X82" i="8"/>
  <c r="T82" i="8"/>
  <c r="AF79" i="8"/>
  <c r="AB79" i="8"/>
  <c r="X79" i="8"/>
  <c r="T79" i="8"/>
  <c r="AJ77" i="8"/>
  <c r="AF77" i="8"/>
  <c r="AB77" i="8"/>
  <c r="X77" i="8"/>
  <c r="T77" i="8"/>
  <c r="AJ76" i="8"/>
  <c r="AF76" i="8"/>
  <c r="AB76" i="8"/>
  <c r="X76" i="8"/>
  <c r="T76" i="8"/>
  <c r="AF73" i="8"/>
  <c r="AB73" i="8"/>
  <c r="X73" i="8"/>
  <c r="T73" i="8"/>
  <c r="AF70" i="8"/>
  <c r="AB70" i="8"/>
  <c r="X70" i="8"/>
  <c r="T70" i="8"/>
  <c r="AF67" i="8"/>
  <c r="AB67" i="8"/>
  <c r="X67" i="8"/>
  <c r="T67" i="8"/>
  <c r="AF64" i="8"/>
  <c r="AB64" i="8"/>
  <c r="X64" i="8"/>
  <c r="T64" i="8"/>
  <c r="AJ62" i="8"/>
  <c r="AF62" i="8"/>
  <c r="AB62" i="8"/>
  <c r="X62" i="8"/>
  <c r="T62" i="8"/>
  <c r="AJ61" i="8"/>
  <c r="AF61" i="8"/>
  <c r="AB61" i="8"/>
  <c r="X61" i="8"/>
  <c r="T61" i="8"/>
  <c r="AF58" i="8"/>
  <c r="AB58" i="8"/>
  <c r="X58" i="8"/>
  <c r="T58" i="8"/>
  <c r="AF55" i="8"/>
  <c r="AB55" i="8"/>
  <c r="X55" i="8"/>
  <c r="T55" i="8"/>
  <c r="AF52" i="8"/>
  <c r="AB52" i="8"/>
  <c r="X52" i="8"/>
  <c r="T52" i="8"/>
  <c r="AF49" i="8"/>
  <c r="AB49" i="8"/>
  <c r="X49" i="8"/>
  <c r="T49" i="8"/>
  <c r="AJ47" i="8"/>
  <c r="AF47" i="8"/>
  <c r="AB47" i="8"/>
  <c r="X47" i="8"/>
  <c r="T47" i="8"/>
  <c r="AJ46" i="8"/>
  <c r="AF46" i="8"/>
  <c r="AB46" i="8"/>
  <c r="X46" i="8"/>
  <c r="T46" i="8"/>
  <c r="AF43" i="8"/>
  <c r="AB43" i="8"/>
  <c r="X43" i="8"/>
  <c r="T43" i="8"/>
  <c r="AF40" i="8"/>
  <c r="AB40" i="8"/>
  <c r="X40" i="8"/>
  <c r="T40" i="8"/>
  <c r="AF37" i="8"/>
  <c r="AB37" i="8"/>
  <c r="X37" i="8"/>
  <c r="T37" i="8"/>
  <c r="AF34" i="8"/>
  <c r="AB34" i="8"/>
  <c r="X34" i="8"/>
  <c r="T34" i="8"/>
  <c r="AJ32" i="8"/>
  <c r="AF32" i="8"/>
  <c r="AB32" i="8"/>
  <c r="X32" i="8"/>
  <c r="T32" i="8"/>
  <c r="AJ31" i="8"/>
  <c r="AF31" i="8"/>
  <c r="AB31" i="8"/>
  <c r="X31" i="8"/>
  <c r="T31" i="8"/>
  <c r="AF28" i="8"/>
  <c r="AB28" i="8"/>
  <c r="X28" i="8"/>
  <c r="T28" i="8"/>
  <c r="AF25" i="8"/>
  <c r="AB25" i="8"/>
  <c r="X25" i="8"/>
  <c r="T25" i="8"/>
  <c r="AF22" i="8"/>
  <c r="AB22" i="8"/>
  <c r="X22" i="8"/>
  <c r="T22" i="8"/>
  <c r="AF19" i="8"/>
  <c r="AB19" i="8"/>
  <c r="X19" i="8"/>
  <c r="T19" i="8"/>
  <c r="AJ17" i="8"/>
  <c r="AF17" i="8"/>
  <c r="AB17" i="8"/>
  <c r="X17" i="8"/>
  <c r="T17" i="8"/>
  <c r="T16" i="8" l="1"/>
  <c r="AR16" i="8"/>
  <c r="AF16" i="8"/>
  <c r="AB16" i="8"/>
  <c r="X16" i="8"/>
  <c r="AF13" i="8"/>
  <c r="AB13" i="8"/>
  <c r="X13" i="8"/>
  <c r="AF10" i="8"/>
  <c r="AB10" i="8"/>
  <c r="X10" i="8"/>
  <c r="T10" i="8"/>
  <c r="AF7" i="8"/>
  <c r="AB7" i="8"/>
  <c r="X7" i="8"/>
  <c r="T7" i="8"/>
  <c r="AF4" i="8"/>
  <c r="AB4" i="8"/>
  <c r="X4" i="8"/>
  <c r="T13" i="8"/>
  <c r="T4" i="8"/>
  <c r="B2" i="14" l="1"/>
  <c r="AA321" i="5" l="1"/>
  <c r="BK322" i="5" l="1"/>
  <c r="BG322" i="5"/>
  <c r="BC322" i="5"/>
  <c r="AY322" i="5"/>
  <c r="AU322" i="5"/>
  <c r="AQ322" i="5"/>
  <c r="AM322" i="5"/>
  <c r="AI322" i="5"/>
  <c r="AE322" i="5"/>
  <c r="AA322" i="5"/>
  <c r="W322" i="5"/>
  <c r="S322" i="5"/>
  <c r="O322" i="5"/>
  <c r="K322" i="5"/>
  <c r="G322" i="5"/>
  <c r="BK321" i="5"/>
  <c r="BG321" i="5"/>
  <c r="BC321" i="5"/>
  <c r="AY321" i="5"/>
  <c r="AU321" i="5"/>
  <c r="AQ321" i="5"/>
  <c r="AM321" i="5"/>
  <c r="AI321" i="5"/>
  <c r="AE321" i="5"/>
  <c r="W321" i="5"/>
  <c r="S321" i="5"/>
  <c r="O321" i="5"/>
  <c r="K321" i="5"/>
  <c r="G321" i="5"/>
  <c r="E322" i="5" l="1"/>
  <c r="D322" i="5" s="1"/>
  <c r="E321" i="5"/>
  <c r="D321" i="5" s="1"/>
  <c r="Q2" i="13" l="1"/>
  <c r="P168" i="8" l="1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B161" i="5" l="1"/>
  <c r="B159" i="13"/>
  <c r="B168" i="8" s="1"/>
  <c r="B160" i="13"/>
  <c r="B169" i="8" s="1"/>
  <c r="B161" i="13"/>
  <c r="B170" i="8" s="1"/>
  <c r="B162" i="13"/>
  <c r="B171" i="8" s="1"/>
  <c r="B163" i="13"/>
  <c r="B172" i="8" s="1"/>
  <c r="B164" i="13"/>
  <c r="B173" i="8" s="1"/>
  <c r="B165" i="13"/>
  <c r="B174" i="8" s="1"/>
  <c r="B166" i="13"/>
  <c r="B175" i="8" s="1"/>
  <c r="B167" i="13"/>
  <c r="B176" i="8" s="1"/>
  <c r="B168" i="13"/>
  <c r="B177" i="8" s="1"/>
  <c r="B169" i="13"/>
  <c r="B178" i="8" s="1"/>
  <c r="B170" i="13"/>
  <c r="B179" i="8" s="1"/>
  <c r="B171" i="13"/>
  <c r="B180" i="8" s="1"/>
  <c r="B172" i="13"/>
  <c r="B181" i="8" s="1"/>
  <c r="B173" i="13"/>
  <c r="B182" i="8" s="1"/>
  <c r="B174" i="13"/>
  <c r="B183" i="8" s="1"/>
  <c r="B175" i="13"/>
  <c r="B184" i="8" s="1"/>
  <c r="B176" i="13"/>
  <c r="B185" i="8" s="1"/>
  <c r="B177" i="13"/>
  <c r="B186" i="8" s="1"/>
  <c r="B178" i="13"/>
  <c r="B187" i="8" s="1"/>
  <c r="B179" i="13"/>
  <c r="B188" i="8" s="1"/>
  <c r="B180" i="13"/>
  <c r="B189" i="8" s="1"/>
  <c r="B181" i="13"/>
  <c r="B190" i="8" s="1"/>
  <c r="B182" i="13"/>
  <c r="B191" i="8" s="1"/>
  <c r="B183" i="13"/>
  <c r="B192" i="8" s="1"/>
  <c r="B184" i="13"/>
  <c r="B193" i="8" s="1"/>
  <c r="B185" i="13"/>
  <c r="B194" i="8" s="1"/>
  <c r="B186" i="13"/>
  <c r="B195" i="8" s="1"/>
  <c r="B187" i="13"/>
  <c r="B196" i="8" s="1"/>
  <c r="B188" i="13"/>
  <c r="B197" i="8" s="1"/>
  <c r="B189" i="13"/>
  <c r="B198" i="8" s="1"/>
  <c r="B190" i="13"/>
  <c r="B199" i="8" s="1"/>
  <c r="B191" i="13"/>
  <c r="B200" i="8" s="1"/>
  <c r="B192" i="13"/>
  <c r="B201" i="8" s="1"/>
  <c r="B193" i="13"/>
  <c r="B202" i="8" s="1"/>
  <c r="B194" i="13"/>
  <c r="B203" i="8" s="1"/>
  <c r="B195" i="13"/>
  <c r="B204" i="8" s="1"/>
  <c r="B196" i="13"/>
  <c r="B205" i="8" s="1"/>
  <c r="B197" i="13"/>
  <c r="B206" i="8" s="1"/>
  <c r="B198" i="13"/>
  <c r="B207" i="8" s="1"/>
  <c r="B199" i="13"/>
  <c r="B208" i="8" s="1"/>
  <c r="B200" i="13"/>
  <c r="B209" i="8" s="1"/>
  <c r="B201" i="13"/>
  <c r="B210" i="8" s="1"/>
  <c r="B202" i="13"/>
  <c r="B211" i="8" s="1"/>
  <c r="B203" i="13"/>
  <c r="B212" i="8" s="1"/>
  <c r="B204" i="13"/>
  <c r="B213" i="8" s="1"/>
  <c r="B205" i="13"/>
  <c r="B214" i="8" s="1"/>
  <c r="B206" i="13"/>
  <c r="B215" i="8" s="1"/>
  <c r="B207" i="13"/>
  <c r="B216" i="8" s="1"/>
  <c r="B208" i="13"/>
  <c r="B217" i="8" s="1"/>
  <c r="B209" i="13"/>
  <c r="B218" i="8" s="1"/>
  <c r="B210" i="13"/>
  <c r="B219" i="8" s="1"/>
  <c r="B211" i="13"/>
  <c r="B220" i="8" s="1"/>
  <c r="B212" i="13"/>
  <c r="B221" i="8" s="1"/>
  <c r="B213" i="13"/>
  <c r="B222" i="8" s="1"/>
  <c r="B214" i="13"/>
  <c r="B223" i="8" s="1"/>
  <c r="B215" i="13"/>
  <c r="B224" i="8" s="1"/>
  <c r="B216" i="13"/>
  <c r="B225" i="8" s="1"/>
  <c r="B217" i="13"/>
  <c r="B226" i="8" s="1"/>
  <c r="B218" i="13"/>
  <c r="B227" i="8" s="1"/>
  <c r="B219" i="13"/>
  <c r="B228" i="8" s="1"/>
  <c r="B220" i="13"/>
  <c r="B229" i="8" s="1"/>
  <c r="B221" i="13"/>
  <c r="B230" i="8" s="1"/>
  <c r="B222" i="13"/>
  <c r="B231" i="8" s="1"/>
  <c r="B223" i="13"/>
  <c r="B232" i="8" s="1"/>
  <c r="B224" i="13"/>
  <c r="B233" i="8" s="1"/>
  <c r="B225" i="13"/>
  <c r="B234" i="8" s="1"/>
  <c r="B226" i="13"/>
  <c r="B235" i="8" s="1"/>
  <c r="B227" i="13"/>
  <c r="B236" i="8" s="1"/>
  <c r="B228" i="13"/>
  <c r="B237" i="8" s="1"/>
  <c r="B229" i="13"/>
  <c r="B238" i="8" s="1"/>
  <c r="B230" i="13"/>
  <c r="B239" i="8" s="1"/>
  <c r="B231" i="13"/>
  <c r="B240" i="8" s="1"/>
  <c r="B232" i="13"/>
  <c r="B241" i="8" s="1"/>
  <c r="B233" i="13"/>
  <c r="B242" i="8" s="1"/>
  <c r="B234" i="13"/>
  <c r="B243" i="8" s="1"/>
  <c r="B235" i="13"/>
  <c r="B244" i="8" s="1"/>
  <c r="B236" i="13"/>
  <c r="B245" i="8" s="1"/>
  <c r="B237" i="13"/>
  <c r="B246" i="8" s="1"/>
  <c r="B238" i="13"/>
  <c r="B247" i="8" s="1"/>
  <c r="B239" i="13"/>
  <c r="B248" i="8" s="1"/>
  <c r="B240" i="13"/>
  <c r="B249" i="8" s="1"/>
  <c r="B241" i="13"/>
  <c r="B250" i="8" s="1"/>
  <c r="B242" i="13"/>
  <c r="B251" i="8" s="1"/>
  <c r="B243" i="13"/>
  <c r="B252" i="8" s="1"/>
  <c r="B244" i="13"/>
  <c r="B253" i="8" s="1"/>
  <c r="B245" i="13"/>
  <c r="B254" i="8" s="1"/>
  <c r="B246" i="13"/>
  <c r="B255" i="8" s="1"/>
  <c r="B247" i="13"/>
  <c r="B256" i="8" s="1"/>
  <c r="B248" i="13"/>
  <c r="B257" i="8" s="1"/>
  <c r="B249" i="13"/>
  <c r="B258" i="8" s="1"/>
  <c r="B250" i="13"/>
  <c r="B259" i="8" s="1"/>
  <c r="B251" i="13"/>
  <c r="B260" i="8" s="1"/>
  <c r="B252" i="13"/>
  <c r="B261" i="8" s="1"/>
  <c r="B253" i="13"/>
  <c r="B262" i="8" s="1"/>
  <c r="B254" i="13"/>
  <c r="B263" i="8" s="1"/>
  <c r="B255" i="13"/>
  <c r="B264" i="8" s="1"/>
  <c r="B256" i="13"/>
  <c r="B265" i="8" s="1"/>
  <c r="B257" i="13"/>
  <c r="B266" i="8" s="1"/>
  <c r="B258" i="13"/>
  <c r="B267" i="8" s="1"/>
  <c r="B259" i="13"/>
  <c r="B268" i="8" s="1"/>
  <c r="B260" i="13"/>
  <c r="B269" i="8" s="1"/>
  <c r="B261" i="13"/>
  <c r="B270" i="8" s="1"/>
  <c r="B262" i="13"/>
  <c r="B271" i="8" s="1"/>
  <c r="B263" i="13"/>
  <c r="B272" i="8" s="1"/>
  <c r="B264" i="13"/>
  <c r="B273" i="8" s="1"/>
  <c r="B265" i="13"/>
  <c r="B274" i="8" s="1"/>
  <c r="B266" i="13"/>
  <c r="B275" i="8" s="1"/>
  <c r="B267" i="13"/>
  <c r="B276" i="8" s="1"/>
  <c r="B268" i="13"/>
  <c r="B277" i="8" s="1"/>
  <c r="B269" i="13"/>
  <c r="B278" i="8" s="1"/>
  <c r="B270" i="13"/>
  <c r="B279" i="8" s="1"/>
  <c r="B271" i="13"/>
  <c r="B280" i="8" s="1"/>
  <c r="B272" i="13"/>
  <c r="B281" i="8" s="1"/>
  <c r="B273" i="13"/>
  <c r="B282" i="8" s="1"/>
  <c r="B274" i="13"/>
  <c r="B283" i="8" s="1"/>
  <c r="B275" i="13"/>
  <c r="B284" i="8" s="1"/>
  <c r="B276" i="13"/>
  <c r="B285" i="8" s="1"/>
  <c r="B277" i="13"/>
  <c r="B286" i="8" s="1"/>
  <c r="B278" i="13"/>
  <c r="B287" i="8" s="1"/>
  <c r="B279" i="13"/>
  <c r="B288" i="8" s="1"/>
  <c r="B280" i="13"/>
  <c r="B289" i="8" s="1"/>
  <c r="B281" i="13"/>
  <c r="B290" i="8" s="1"/>
  <c r="B282" i="13"/>
  <c r="B291" i="8" s="1"/>
  <c r="B283" i="13"/>
  <c r="B292" i="8" s="1"/>
  <c r="B284" i="13"/>
  <c r="B293" i="8" s="1"/>
  <c r="B285" i="13"/>
  <c r="B294" i="8" s="1"/>
  <c r="B286" i="13"/>
  <c r="B295" i="8" s="1"/>
  <c r="B287" i="13"/>
  <c r="B296" i="8" s="1"/>
  <c r="B288" i="13"/>
  <c r="B297" i="8" s="1"/>
  <c r="B289" i="13"/>
  <c r="B298" i="8" s="1"/>
  <c r="B290" i="13"/>
  <c r="B299" i="8" s="1"/>
  <c r="B291" i="13"/>
  <c r="B300" i="8" s="1"/>
  <c r="B292" i="13"/>
  <c r="B301" i="8" s="1"/>
  <c r="B293" i="13"/>
  <c r="B302" i="8" s="1"/>
  <c r="B294" i="13"/>
  <c r="B303" i="8" s="1"/>
  <c r="B295" i="13"/>
  <c r="B304" i="8" s="1"/>
  <c r="B296" i="13"/>
  <c r="B305" i="8" s="1"/>
  <c r="B297" i="13"/>
  <c r="B306" i="8" s="1"/>
  <c r="B298" i="13"/>
  <c r="B307" i="8" s="1"/>
  <c r="BV3" i="8" l="1"/>
  <c r="BV4" i="8"/>
  <c r="BV5" i="8"/>
  <c r="BV6" i="8"/>
  <c r="BV7" i="8"/>
  <c r="BV8" i="8"/>
  <c r="BV9" i="8"/>
  <c r="BV10" i="8"/>
  <c r="BV11" i="8"/>
  <c r="BV12" i="8"/>
  <c r="BV13" i="8"/>
  <c r="BV14" i="8"/>
  <c r="BV15" i="8"/>
  <c r="BV16" i="8"/>
  <c r="BV17" i="8"/>
  <c r="BV18" i="8"/>
  <c r="BV19" i="8"/>
  <c r="BV20" i="8"/>
  <c r="BV21" i="8"/>
  <c r="BV22" i="8"/>
  <c r="BV23" i="8"/>
  <c r="BV24" i="8"/>
  <c r="BV25" i="8"/>
  <c r="BV26" i="8"/>
  <c r="BV27" i="8"/>
  <c r="BV28" i="8"/>
  <c r="BV29" i="8"/>
  <c r="BV30" i="8"/>
  <c r="BV31" i="8"/>
  <c r="BV32" i="8"/>
  <c r="BV33" i="8"/>
  <c r="BV34" i="8"/>
  <c r="BV35" i="8"/>
  <c r="BV36" i="8"/>
  <c r="BV37" i="8"/>
  <c r="BV38" i="8"/>
  <c r="BV39" i="8"/>
  <c r="BV40" i="8"/>
  <c r="BV41" i="8"/>
  <c r="BV42" i="8"/>
  <c r="BV43" i="8"/>
  <c r="BV44" i="8"/>
  <c r="BV45" i="8"/>
  <c r="BV46" i="8"/>
  <c r="BV47" i="8"/>
  <c r="BV48" i="8"/>
  <c r="BV49" i="8"/>
  <c r="BV50" i="8"/>
  <c r="BV51" i="8"/>
  <c r="BV52" i="8"/>
  <c r="BV53" i="8"/>
  <c r="BV54" i="8"/>
  <c r="BV55" i="8"/>
  <c r="BV56" i="8"/>
  <c r="BV57" i="8"/>
  <c r="BV58" i="8"/>
  <c r="BV59" i="8"/>
  <c r="BV60" i="8"/>
  <c r="BV61" i="8"/>
  <c r="BV62" i="8"/>
  <c r="BV63" i="8"/>
  <c r="BV64" i="8"/>
  <c r="BV65" i="8"/>
  <c r="BV66" i="8"/>
  <c r="BV67" i="8"/>
  <c r="BV68" i="8"/>
  <c r="BV69" i="8"/>
  <c r="BV70" i="8"/>
  <c r="BV71" i="8"/>
  <c r="BV72" i="8"/>
  <c r="BV73" i="8"/>
  <c r="BV74" i="8"/>
  <c r="BV75" i="8"/>
  <c r="BV76" i="8"/>
  <c r="BV77" i="8"/>
  <c r="BV78" i="8"/>
  <c r="BV79" i="8"/>
  <c r="BV80" i="8"/>
  <c r="BV81" i="8"/>
  <c r="BV82" i="8"/>
  <c r="BV83" i="8"/>
  <c r="BV84" i="8"/>
  <c r="BV85" i="8"/>
  <c r="BV86" i="8"/>
  <c r="BV87" i="8"/>
  <c r="BV88" i="8"/>
  <c r="BV89" i="8"/>
  <c r="BV90" i="8"/>
  <c r="BV91" i="8"/>
  <c r="BV92" i="8"/>
  <c r="BV93" i="8"/>
  <c r="BV94" i="8"/>
  <c r="BV95" i="8"/>
  <c r="BV96" i="8"/>
  <c r="BV97" i="8"/>
  <c r="BV98" i="8"/>
  <c r="BV99" i="8"/>
  <c r="BV100" i="8"/>
  <c r="BV101" i="8"/>
  <c r="BV102" i="8"/>
  <c r="BV103" i="8"/>
  <c r="BV104" i="8"/>
  <c r="BV105" i="8"/>
  <c r="BV106" i="8"/>
  <c r="BV107" i="8"/>
  <c r="BV108" i="8"/>
  <c r="BV109" i="8"/>
  <c r="BV110" i="8"/>
  <c r="BV111" i="8"/>
  <c r="BV112" i="8"/>
  <c r="BV113" i="8"/>
  <c r="BV114" i="8"/>
  <c r="BV115" i="8"/>
  <c r="BV116" i="8"/>
  <c r="BV117" i="8"/>
  <c r="BV118" i="8"/>
  <c r="BV119" i="8"/>
  <c r="BV120" i="8"/>
  <c r="BV121" i="8"/>
  <c r="BV122" i="8"/>
  <c r="BV123" i="8"/>
  <c r="BV124" i="8"/>
  <c r="BV125" i="8"/>
  <c r="BV126" i="8"/>
  <c r="BV127" i="8"/>
  <c r="BV128" i="8"/>
  <c r="BV129" i="8"/>
  <c r="BV130" i="8"/>
  <c r="BV131" i="8"/>
  <c r="BV132" i="8"/>
  <c r="BV133" i="8"/>
  <c r="BV134" i="8"/>
  <c r="BV135" i="8"/>
  <c r="BV136" i="8"/>
  <c r="BV137" i="8"/>
  <c r="BV138" i="8"/>
  <c r="BV139" i="8"/>
  <c r="BV140" i="8"/>
  <c r="BV141" i="8"/>
  <c r="BV142" i="8"/>
  <c r="BV143" i="8"/>
  <c r="BV144" i="8"/>
  <c r="BV145" i="8"/>
  <c r="BV146" i="8"/>
  <c r="BV147" i="8"/>
  <c r="BV148" i="8"/>
  <c r="BV149" i="8"/>
  <c r="BV150" i="8"/>
  <c r="BV151" i="8"/>
  <c r="BV152" i="8"/>
  <c r="BV153" i="8"/>
  <c r="BV154" i="8"/>
  <c r="BV155" i="8"/>
  <c r="BV156" i="8"/>
  <c r="BV157" i="8"/>
  <c r="BV158" i="8"/>
  <c r="BV159" i="8"/>
  <c r="BV160" i="8"/>
  <c r="BV161" i="8"/>
  <c r="BV162" i="8"/>
  <c r="BV163" i="8"/>
  <c r="BV164" i="8"/>
  <c r="BV165" i="8"/>
  <c r="BV166" i="8"/>
  <c r="R10" i="8"/>
  <c r="R12" i="8"/>
  <c r="R13" i="8"/>
  <c r="R16" i="8"/>
  <c r="R17" i="8"/>
  <c r="R18" i="8"/>
  <c r="R26" i="8"/>
  <c r="R28" i="8"/>
  <c r="R29" i="8"/>
  <c r="R32" i="8"/>
  <c r="R33" i="8"/>
  <c r="R34" i="8"/>
  <c r="R42" i="8"/>
  <c r="R44" i="8"/>
  <c r="R45" i="8"/>
  <c r="R48" i="8"/>
  <c r="R49" i="8"/>
  <c r="R50" i="8"/>
  <c r="R52" i="8"/>
  <c r="R53" i="8"/>
  <c r="R57" i="8"/>
  <c r="R58" i="8"/>
  <c r="R61" i="8"/>
  <c r="R64" i="8"/>
  <c r="R65" i="8"/>
  <c r="R66" i="8"/>
  <c r="R68" i="8"/>
  <c r="R69" i="8"/>
  <c r="R73" i="8"/>
  <c r="R74" i="8"/>
  <c r="R77" i="8"/>
  <c r="R80" i="8"/>
  <c r="R81" i="8"/>
  <c r="R82" i="8"/>
  <c r="R84" i="8"/>
  <c r="R85" i="8"/>
  <c r="R89" i="8"/>
  <c r="R90" i="8"/>
  <c r="R93" i="8"/>
  <c r="R96" i="8"/>
  <c r="R97" i="8"/>
  <c r="R98" i="8"/>
  <c r="R100" i="8"/>
  <c r="R101" i="8"/>
  <c r="R105" i="8"/>
  <c r="R106" i="8"/>
  <c r="R109" i="8"/>
  <c r="R112" i="8"/>
  <c r="R113" i="8"/>
  <c r="R114" i="8"/>
  <c r="R116" i="8"/>
  <c r="R117" i="8"/>
  <c r="R121" i="8"/>
  <c r="R122" i="8"/>
  <c r="R125" i="8"/>
  <c r="R128" i="8"/>
  <c r="R129" i="8"/>
  <c r="R130" i="8"/>
  <c r="R132" i="8"/>
  <c r="R133" i="8"/>
  <c r="R137" i="8"/>
  <c r="R138" i="8"/>
  <c r="R141" i="8"/>
  <c r="R144" i="8"/>
  <c r="R145" i="8"/>
  <c r="R146" i="8"/>
  <c r="R148" i="8"/>
  <c r="R149" i="8"/>
  <c r="R153" i="8"/>
  <c r="R154" i="8"/>
  <c r="R157" i="8"/>
  <c r="R160" i="8"/>
  <c r="R161" i="8"/>
  <c r="R162" i="8"/>
  <c r="R164" i="8"/>
  <c r="R165" i="8"/>
  <c r="R7" i="8"/>
  <c r="R8" i="8"/>
  <c r="R9" i="8"/>
  <c r="R15" i="8"/>
  <c r="R23" i="8"/>
  <c r="R24" i="8"/>
  <c r="R25" i="8"/>
  <c r="R31" i="8"/>
  <c r="R39" i="8"/>
  <c r="R40" i="8"/>
  <c r="R41" i="8"/>
  <c r="R46" i="8"/>
  <c r="R47" i="8"/>
  <c r="R55" i="8"/>
  <c r="R56" i="8"/>
  <c r="R63" i="8"/>
  <c r="R71" i="8"/>
  <c r="R72" i="8"/>
  <c r="R79" i="8"/>
  <c r="R87" i="8"/>
  <c r="R88" i="8"/>
  <c r="R95" i="8"/>
  <c r="R103" i="8"/>
  <c r="R104" i="8"/>
  <c r="R111" i="8"/>
  <c r="R119" i="8"/>
  <c r="R120" i="8"/>
  <c r="R127" i="8"/>
  <c r="R135" i="8"/>
  <c r="R136" i="8"/>
  <c r="R143" i="8"/>
  <c r="R151" i="8"/>
  <c r="R152" i="8"/>
  <c r="R159" i="8"/>
  <c r="N8" i="8"/>
  <c r="N9" i="8"/>
  <c r="N10" i="8"/>
  <c r="N18" i="8"/>
  <c r="N22" i="8"/>
  <c r="N23" i="8"/>
  <c r="N24" i="8"/>
  <c r="N25" i="8"/>
  <c r="N26" i="8"/>
  <c r="N30" i="8"/>
  <c r="N31" i="8"/>
  <c r="N32" i="8"/>
  <c r="N33" i="8"/>
  <c r="N34" i="8"/>
  <c r="N40" i="8"/>
  <c r="N41" i="8"/>
  <c r="N42" i="8"/>
  <c r="N50" i="8"/>
  <c r="N54" i="8"/>
  <c r="N55" i="8"/>
  <c r="N56" i="8"/>
  <c r="N57" i="8"/>
  <c r="N58" i="8"/>
  <c r="N62" i="8"/>
  <c r="N63" i="8"/>
  <c r="N64" i="8"/>
  <c r="N65" i="8"/>
  <c r="N66" i="8"/>
  <c r="N72" i="8"/>
  <c r="N73" i="8"/>
  <c r="N74" i="8"/>
  <c r="N82" i="8"/>
  <c r="N86" i="8"/>
  <c r="N87" i="8"/>
  <c r="N88" i="8"/>
  <c r="N89" i="8"/>
  <c r="N90" i="8"/>
  <c r="N94" i="8"/>
  <c r="N95" i="8"/>
  <c r="N96" i="8"/>
  <c r="N97" i="8"/>
  <c r="N98" i="8"/>
  <c r="N104" i="8"/>
  <c r="N105" i="8"/>
  <c r="N106" i="8"/>
  <c r="N114" i="8"/>
  <c r="N118" i="8"/>
  <c r="N119" i="8"/>
  <c r="N120" i="8"/>
  <c r="N121" i="8"/>
  <c r="N122" i="8"/>
  <c r="N126" i="8"/>
  <c r="N127" i="8"/>
  <c r="N128" i="8"/>
  <c r="N129" i="8"/>
  <c r="N130" i="8"/>
  <c r="N136" i="8"/>
  <c r="N137" i="8"/>
  <c r="N138" i="8"/>
  <c r="N146" i="8"/>
  <c r="N150" i="8"/>
  <c r="N151" i="8"/>
  <c r="N152" i="8"/>
  <c r="N153" i="8"/>
  <c r="N154" i="8"/>
  <c r="N158" i="8"/>
  <c r="N159" i="8"/>
  <c r="N160" i="8"/>
  <c r="N161" i="8"/>
  <c r="N162" i="8"/>
  <c r="N5" i="8"/>
  <c r="N6" i="8"/>
  <c r="N7" i="8"/>
  <c r="N13" i="8"/>
  <c r="N14" i="8"/>
  <c r="N15" i="8"/>
  <c r="N16" i="8"/>
  <c r="N17" i="8"/>
  <c r="N21" i="8"/>
  <c r="N29" i="8"/>
  <c r="N37" i="8"/>
  <c r="N38" i="8"/>
  <c r="N39" i="8"/>
  <c r="N45" i="8"/>
  <c r="N46" i="8"/>
  <c r="N47" i="8"/>
  <c r="N48" i="8"/>
  <c r="N49" i="8"/>
  <c r="N53" i="8"/>
  <c r="N61" i="8"/>
  <c r="N69" i="8"/>
  <c r="N70" i="8"/>
  <c r="N71" i="8"/>
  <c r="N77" i="8"/>
  <c r="N78" i="8"/>
  <c r="N79" i="8"/>
  <c r="N80" i="8"/>
  <c r="N81" i="8"/>
  <c r="N85" i="8"/>
  <c r="N93" i="8"/>
  <c r="N101" i="8"/>
  <c r="N102" i="8"/>
  <c r="N103" i="8"/>
  <c r="N109" i="8"/>
  <c r="N110" i="8"/>
  <c r="N111" i="8"/>
  <c r="N112" i="8"/>
  <c r="N113" i="8"/>
  <c r="N117" i="8"/>
  <c r="N125" i="8"/>
  <c r="N133" i="8"/>
  <c r="N134" i="8"/>
  <c r="N135" i="8"/>
  <c r="N141" i="8"/>
  <c r="N142" i="8"/>
  <c r="N143" i="8"/>
  <c r="N144" i="8"/>
  <c r="N145" i="8"/>
  <c r="N149" i="8"/>
  <c r="N157" i="8"/>
  <c r="N165" i="8"/>
  <c r="N166" i="8"/>
  <c r="N2" i="8"/>
  <c r="J5" i="8"/>
  <c r="J6" i="8"/>
  <c r="J7" i="8"/>
  <c r="J8" i="8"/>
  <c r="J9" i="8"/>
  <c r="J10" i="8"/>
  <c r="J13" i="8"/>
  <c r="J14" i="8"/>
  <c r="J15" i="8"/>
  <c r="J16" i="8"/>
  <c r="J17" i="8"/>
  <c r="J18" i="8"/>
  <c r="J21" i="8"/>
  <c r="J22" i="8"/>
  <c r="J23" i="8"/>
  <c r="J24" i="8"/>
  <c r="J25" i="8"/>
  <c r="J26" i="8"/>
  <c r="J29" i="8"/>
  <c r="J30" i="8"/>
  <c r="J31" i="8"/>
  <c r="J32" i="8"/>
  <c r="J33" i="8"/>
  <c r="J34" i="8"/>
  <c r="J37" i="8"/>
  <c r="J38" i="8"/>
  <c r="J39" i="8"/>
  <c r="J40" i="8"/>
  <c r="J41" i="8"/>
  <c r="J42" i="8"/>
  <c r="J45" i="8"/>
  <c r="J46" i="8"/>
  <c r="J47" i="8"/>
  <c r="J48" i="8"/>
  <c r="J49" i="8"/>
  <c r="J50" i="8"/>
  <c r="J53" i="8"/>
  <c r="J54" i="8"/>
  <c r="J55" i="8"/>
  <c r="J56" i="8"/>
  <c r="J57" i="8"/>
  <c r="J58" i="8"/>
  <c r="J61" i="8"/>
  <c r="J62" i="8"/>
  <c r="J63" i="8"/>
  <c r="J64" i="8"/>
  <c r="J65" i="8"/>
  <c r="J66" i="8"/>
  <c r="J69" i="8"/>
  <c r="J70" i="8"/>
  <c r="J71" i="8"/>
  <c r="J72" i="8"/>
  <c r="J73" i="8"/>
  <c r="J74" i="8"/>
  <c r="J77" i="8"/>
  <c r="J78" i="8"/>
  <c r="J79" i="8"/>
  <c r="J80" i="8"/>
  <c r="J81" i="8"/>
  <c r="J82" i="8"/>
  <c r="J85" i="8"/>
  <c r="J86" i="8"/>
  <c r="J87" i="8"/>
  <c r="J88" i="8"/>
  <c r="J89" i="8"/>
  <c r="J90" i="8"/>
  <c r="J93" i="8"/>
  <c r="J94" i="8"/>
  <c r="J95" i="8"/>
  <c r="J96" i="8"/>
  <c r="J97" i="8"/>
  <c r="J98" i="8"/>
  <c r="J101" i="8"/>
  <c r="J102" i="8"/>
  <c r="J103" i="8"/>
  <c r="J104" i="8"/>
  <c r="J105" i="8"/>
  <c r="J106" i="8"/>
  <c r="J109" i="8"/>
  <c r="J110" i="8"/>
  <c r="J111" i="8"/>
  <c r="J112" i="8"/>
  <c r="J113" i="8"/>
  <c r="J114" i="8"/>
  <c r="J117" i="8"/>
  <c r="J118" i="8"/>
  <c r="J119" i="8"/>
  <c r="J120" i="8"/>
  <c r="J121" i="8"/>
  <c r="J122" i="8"/>
  <c r="J125" i="8"/>
  <c r="J126" i="8"/>
  <c r="J127" i="8"/>
  <c r="J128" i="8"/>
  <c r="J129" i="8"/>
  <c r="J130" i="8"/>
  <c r="J133" i="8"/>
  <c r="J134" i="8"/>
  <c r="J135" i="8"/>
  <c r="J136" i="8"/>
  <c r="J137" i="8"/>
  <c r="J138" i="8"/>
  <c r="J141" i="8"/>
  <c r="J142" i="8"/>
  <c r="J143" i="8"/>
  <c r="J144" i="8"/>
  <c r="J145" i="8"/>
  <c r="J146" i="8"/>
  <c r="J149" i="8"/>
  <c r="J150" i="8"/>
  <c r="J151" i="8"/>
  <c r="J152" i="8"/>
  <c r="J153" i="8"/>
  <c r="J154" i="8"/>
  <c r="J157" i="8"/>
  <c r="J158" i="8"/>
  <c r="J159" i="8"/>
  <c r="J160" i="8"/>
  <c r="J161" i="8"/>
  <c r="J162" i="8"/>
  <c r="J165" i="8"/>
  <c r="J166" i="8"/>
  <c r="R3" i="8"/>
  <c r="R4" i="8"/>
  <c r="R5" i="8"/>
  <c r="R6" i="8"/>
  <c r="R11" i="8"/>
  <c r="R14" i="8"/>
  <c r="R19" i="8"/>
  <c r="R20" i="8"/>
  <c r="R21" i="8"/>
  <c r="R22" i="8"/>
  <c r="R27" i="8"/>
  <c r="R30" i="8"/>
  <c r="R35" i="8"/>
  <c r="R36" i="8"/>
  <c r="R37" i="8"/>
  <c r="R38" i="8"/>
  <c r="R43" i="8"/>
  <c r="R51" i="8"/>
  <c r="R54" i="8"/>
  <c r="R59" i="8"/>
  <c r="R60" i="8"/>
  <c r="R62" i="8"/>
  <c r="R67" i="8"/>
  <c r="R70" i="8"/>
  <c r="R75" i="8"/>
  <c r="R76" i="8"/>
  <c r="R78" i="8"/>
  <c r="R83" i="8"/>
  <c r="R86" i="8"/>
  <c r="R91" i="8"/>
  <c r="R92" i="8"/>
  <c r="R94" i="8"/>
  <c r="R99" i="8"/>
  <c r="R102" i="8"/>
  <c r="R107" i="8"/>
  <c r="R108" i="8"/>
  <c r="R110" i="8"/>
  <c r="R115" i="8"/>
  <c r="R118" i="8"/>
  <c r="R123" i="8"/>
  <c r="R124" i="8"/>
  <c r="R126" i="8"/>
  <c r="R131" i="8"/>
  <c r="R134" i="8"/>
  <c r="R139" i="8"/>
  <c r="R140" i="8"/>
  <c r="R142" i="8"/>
  <c r="R147" i="8"/>
  <c r="R150" i="8"/>
  <c r="R155" i="8"/>
  <c r="R156" i="8"/>
  <c r="R158" i="8"/>
  <c r="R163" i="8"/>
  <c r="R166" i="8"/>
  <c r="R2" i="8"/>
  <c r="N3" i="8"/>
  <c r="N4" i="8"/>
  <c r="N11" i="8"/>
  <c r="N12" i="8"/>
  <c r="N19" i="8"/>
  <c r="N20" i="8"/>
  <c r="N27" i="8"/>
  <c r="N28" i="8"/>
  <c r="N35" i="8"/>
  <c r="N36" i="8"/>
  <c r="N43" i="8"/>
  <c r="N44" i="8"/>
  <c r="N51" i="8"/>
  <c r="N52" i="8"/>
  <c r="N59" i="8"/>
  <c r="N60" i="8"/>
  <c r="N67" i="8"/>
  <c r="N68" i="8"/>
  <c r="N75" i="8"/>
  <c r="N76" i="8"/>
  <c r="N83" i="8"/>
  <c r="N84" i="8"/>
  <c r="N91" i="8"/>
  <c r="N92" i="8"/>
  <c r="N99" i="8"/>
  <c r="N100" i="8"/>
  <c r="N107" i="8"/>
  <c r="N108" i="8"/>
  <c r="N115" i="8"/>
  <c r="N116" i="8"/>
  <c r="N123" i="8"/>
  <c r="N124" i="8"/>
  <c r="N131" i="8"/>
  <c r="N132" i="8"/>
  <c r="N139" i="8"/>
  <c r="N140" i="8"/>
  <c r="N147" i="8"/>
  <c r="N148" i="8"/>
  <c r="N155" i="8"/>
  <c r="N156" i="8"/>
  <c r="N163" i="8"/>
  <c r="N164" i="8"/>
  <c r="J3" i="8"/>
  <c r="J4" i="8"/>
  <c r="J11" i="8"/>
  <c r="J12" i="8"/>
  <c r="J19" i="8"/>
  <c r="J20" i="8"/>
  <c r="J27" i="8"/>
  <c r="J28" i="8"/>
  <c r="J35" i="8"/>
  <c r="J36" i="8"/>
  <c r="J43" i="8"/>
  <c r="J44" i="8"/>
  <c r="J51" i="8"/>
  <c r="J52" i="8"/>
  <c r="J59" i="8"/>
  <c r="J60" i="8"/>
  <c r="J67" i="8"/>
  <c r="J68" i="8"/>
  <c r="J75" i="8"/>
  <c r="J76" i="8"/>
  <c r="J83" i="8"/>
  <c r="J84" i="8"/>
  <c r="J91" i="8"/>
  <c r="J92" i="8"/>
  <c r="J99" i="8"/>
  <c r="J100" i="8"/>
  <c r="J107" i="8"/>
  <c r="J108" i="8"/>
  <c r="J115" i="8"/>
  <c r="J116" i="8"/>
  <c r="J123" i="8"/>
  <c r="J124" i="8"/>
  <c r="J131" i="8"/>
  <c r="J132" i="8"/>
  <c r="J139" i="8"/>
  <c r="J140" i="8"/>
  <c r="J147" i="8"/>
  <c r="J148" i="8"/>
  <c r="J155" i="8"/>
  <c r="J156" i="8"/>
  <c r="J163" i="8"/>
  <c r="J164" i="8"/>
  <c r="J2" i="8"/>
  <c r="Q2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E14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2" i="8"/>
  <c r="BW91" i="8" l="1"/>
  <c r="BM2" i="8" l="1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2" i="8" l="1"/>
  <c r="E3" i="8"/>
  <c r="Q148" i="13" l="1"/>
  <c r="Q149" i="13" s="1"/>
  <c r="Q150" i="13" s="1"/>
  <c r="Q151" i="13" s="1"/>
  <c r="Q152" i="13" s="1"/>
  <c r="BK530" i="5" l="1"/>
  <c r="BG530" i="5"/>
  <c r="BC530" i="5"/>
  <c r="AY530" i="5"/>
  <c r="AU530" i="5"/>
  <c r="AQ530" i="5"/>
  <c r="AM530" i="5"/>
  <c r="AI530" i="5"/>
  <c r="AE530" i="5"/>
  <c r="AA530" i="5"/>
  <c r="W530" i="5"/>
  <c r="S530" i="5"/>
  <c r="O530" i="5"/>
  <c r="K530" i="5"/>
  <c r="G530" i="5"/>
  <c r="BK529" i="5"/>
  <c r="BG529" i="5"/>
  <c r="BC529" i="5"/>
  <c r="AY529" i="5"/>
  <c r="AU529" i="5"/>
  <c r="AQ529" i="5"/>
  <c r="AM529" i="5"/>
  <c r="AI529" i="5"/>
  <c r="AE529" i="5"/>
  <c r="AA529" i="5"/>
  <c r="W529" i="5"/>
  <c r="S529" i="5"/>
  <c r="O529" i="5"/>
  <c r="K529" i="5"/>
  <c r="G529" i="5"/>
  <c r="BK528" i="5"/>
  <c r="BG528" i="5"/>
  <c r="BC528" i="5"/>
  <c r="AY528" i="5"/>
  <c r="AU528" i="5"/>
  <c r="AQ528" i="5"/>
  <c r="AM528" i="5"/>
  <c r="AI528" i="5"/>
  <c r="AE528" i="5"/>
  <c r="AA528" i="5"/>
  <c r="W528" i="5"/>
  <c r="S528" i="5"/>
  <c r="O528" i="5"/>
  <c r="K528" i="5"/>
  <c r="G528" i="5"/>
  <c r="BK527" i="5"/>
  <c r="BG527" i="5"/>
  <c r="BC527" i="5"/>
  <c r="AY527" i="5"/>
  <c r="AU527" i="5"/>
  <c r="AQ527" i="5"/>
  <c r="AM527" i="5"/>
  <c r="AI527" i="5"/>
  <c r="AE527" i="5"/>
  <c r="AA527" i="5"/>
  <c r="W527" i="5"/>
  <c r="S527" i="5"/>
  <c r="O527" i="5"/>
  <c r="K527" i="5"/>
  <c r="G527" i="5"/>
  <c r="BK526" i="5"/>
  <c r="BG526" i="5"/>
  <c r="BC526" i="5"/>
  <c r="AY526" i="5"/>
  <c r="AU526" i="5"/>
  <c r="AQ526" i="5"/>
  <c r="AM526" i="5"/>
  <c r="AI526" i="5"/>
  <c r="AE526" i="5"/>
  <c r="AA526" i="5"/>
  <c r="W526" i="5"/>
  <c r="S526" i="5"/>
  <c r="O526" i="5"/>
  <c r="K526" i="5"/>
  <c r="G526" i="5"/>
  <c r="BK525" i="5"/>
  <c r="BG525" i="5"/>
  <c r="BC525" i="5"/>
  <c r="AY525" i="5"/>
  <c r="AU525" i="5"/>
  <c r="AQ525" i="5"/>
  <c r="AM525" i="5"/>
  <c r="AI525" i="5"/>
  <c r="AE525" i="5"/>
  <c r="AA525" i="5"/>
  <c r="W525" i="5"/>
  <c r="S525" i="5"/>
  <c r="O525" i="5"/>
  <c r="K525" i="5"/>
  <c r="G525" i="5"/>
  <c r="BK524" i="5"/>
  <c r="BG524" i="5"/>
  <c r="BC524" i="5"/>
  <c r="AY524" i="5"/>
  <c r="AU524" i="5"/>
  <c r="AQ524" i="5"/>
  <c r="AM524" i="5"/>
  <c r="AI524" i="5"/>
  <c r="AE524" i="5"/>
  <c r="AA524" i="5"/>
  <c r="W524" i="5"/>
  <c r="S524" i="5"/>
  <c r="O524" i="5"/>
  <c r="K524" i="5"/>
  <c r="G524" i="5"/>
  <c r="BK523" i="5"/>
  <c r="BG523" i="5"/>
  <c r="BC523" i="5"/>
  <c r="AY523" i="5"/>
  <c r="AU523" i="5"/>
  <c r="AQ523" i="5"/>
  <c r="AM523" i="5"/>
  <c r="AI523" i="5"/>
  <c r="AE523" i="5"/>
  <c r="AA523" i="5"/>
  <c r="W523" i="5"/>
  <c r="S523" i="5"/>
  <c r="O523" i="5"/>
  <c r="K523" i="5"/>
  <c r="G523" i="5"/>
  <c r="BK522" i="5"/>
  <c r="BG522" i="5"/>
  <c r="BC522" i="5"/>
  <c r="AY522" i="5"/>
  <c r="AU522" i="5"/>
  <c r="AQ522" i="5"/>
  <c r="AM522" i="5"/>
  <c r="AI522" i="5"/>
  <c r="AE522" i="5"/>
  <c r="AA522" i="5"/>
  <c r="W522" i="5"/>
  <c r="S522" i="5"/>
  <c r="O522" i="5"/>
  <c r="K522" i="5"/>
  <c r="G522" i="5"/>
  <c r="BK521" i="5"/>
  <c r="BG521" i="5"/>
  <c r="BC521" i="5"/>
  <c r="AY521" i="5"/>
  <c r="AU521" i="5"/>
  <c r="AQ521" i="5"/>
  <c r="AM521" i="5"/>
  <c r="AI521" i="5"/>
  <c r="AE521" i="5"/>
  <c r="AA521" i="5"/>
  <c r="W521" i="5"/>
  <c r="S521" i="5"/>
  <c r="O521" i="5"/>
  <c r="K521" i="5"/>
  <c r="G521" i="5"/>
  <c r="BK520" i="5"/>
  <c r="BG520" i="5"/>
  <c r="BC520" i="5"/>
  <c r="AY520" i="5"/>
  <c r="AU520" i="5"/>
  <c r="AQ520" i="5"/>
  <c r="AM520" i="5"/>
  <c r="AI520" i="5"/>
  <c r="AE520" i="5"/>
  <c r="AA520" i="5"/>
  <c r="W520" i="5"/>
  <c r="S520" i="5"/>
  <c r="O520" i="5"/>
  <c r="K520" i="5"/>
  <c r="G520" i="5"/>
  <c r="BK519" i="5"/>
  <c r="BG519" i="5"/>
  <c r="BC519" i="5"/>
  <c r="AY519" i="5"/>
  <c r="AU519" i="5"/>
  <c r="AQ519" i="5"/>
  <c r="AM519" i="5"/>
  <c r="AI519" i="5"/>
  <c r="AE519" i="5"/>
  <c r="AA519" i="5"/>
  <c r="W519" i="5"/>
  <c r="S519" i="5"/>
  <c r="O519" i="5"/>
  <c r="K519" i="5"/>
  <c r="G519" i="5"/>
  <c r="BK518" i="5"/>
  <c r="BG518" i="5"/>
  <c r="BC518" i="5"/>
  <c r="AY518" i="5"/>
  <c r="AU518" i="5"/>
  <c r="AQ518" i="5"/>
  <c r="AM518" i="5"/>
  <c r="AI518" i="5"/>
  <c r="AE518" i="5"/>
  <c r="AA518" i="5"/>
  <c r="W518" i="5"/>
  <c r="S518" i="5"/>
  <c r="O518" i="5"/>
  <c r="K518" i="5"/>
  <c r="G518" i="5"/>
  <c r="BK517" i="5"/>
  <c r="BG517" i="5"/>
  <c r="BC517" i="5"/>
  <c r="AY517" i="5"/>
  <c r="AU517" i="5"/>
  <c r="AQ517" i="5"/>
  <c r="AM517" i="5"/>
  <c r="AI517" i="5"/>
  <c r="AE517" i="5"/>
  <c r="AA517" i="5"/>
  <c r="W517" i="5"/>
  <c r="S517" i="5"/>
  <c r="O517" i="5"/>
  <c r="K517" i="5"/>
  <c r="G517" i="5"/>
  <c r="BK516" i="5"/>
  <c r="BG516" i="5"/>
  <c r="BC516" i="5"/>
  <c r="AY516" i="5"/>
  <c r="AU516" i="5"/>
  <c r="AQ516" i="5"/>
  <c r="AM516" i="5"/>
  <c r="AI516" i="5"/>
  <c r="AE516" i="5"/>
  <c r="AA516" i="5"/>
  <c r="W516" i="5"/>
  <c r="S516" i="5"/>
  <c r="O516" i="5"/>
  <c r="K516" i="5"/>
  <c r="G516" i="5"/>
  <c r="E521" i="5" l="1"/>
  <c r="D521" i="5" s="1"/>
  <c r="E523" i="5"/>
  <c r="D523" i="5" s="1"/>
  <c r="E522" i="5"/>
  <c r="D522" i="5" s="1"/>
  <c r="E530" i="5"/>
  <c r="D530" i="5" s="1"/>
  <c r="E520" i="5"/>
  <c r="F520" i="5" s="1"/>
  <c r="E526" i="5"/>
  <c r="D526" i="5" s="1"/>
  <c r="E529" i="5"/>
  <c r="D529" i="5" s="1"/>
  <c r="E528" i="5"/>
  <c r="F528" i="5" s="1"/>
  <c r="E527" i="5"/>
  <c r="D527" i="5" s="1"/>
  <c r="E518" i="5"/>
  <c r="F518" i="5" s="1"/>
  <c r="E517" i="5"/>
  <c r="F517" i="5" s="1"/>
  <c r="E525" i="5"/>
  <c r="F525" i="5" s="1"/>
  <c r="E519" i="5"/>
  <c r="F519" i="5" s="1"/>
  <c r="E516" i="5"/>
  <c r="D516" i="5" s="1"/>
  <c r="E524" i="5"/>
  <c r="D524" i="5" s="1"/>
  <c r="D518" i="5" l="1"/>
  <c r="D517" i="5"/>
  <c r="F522" i="5"/>
  <c r="F530" i="5"/>
  <c r="D520" i="5"/>
  <c r="D525" i="5"/>
  <c r="D519" i="5"/>
  <c r="D528" i="5"/>
  <c r="F521" i="5"/>
  <c r="F526" i="5"/>
  <c r="F524" i="5"/>
  <c r="F523" i="5"/>
  <c r="F529" i="5"/>
  <c r="F527" i="5"/>
  <c r="F516" i="5"/>
  <c r="G589" i="5"/>
  <c r="E589" i="5" s="1"/>
  <c r="G588" i="5"/>
  <c r="E588" i="5" s="1"/>
  <c r="G587" i="5"/>
  <c r="E587" i="5" s="1"/>
  <c r="D588" i="5" l="1"/>
  <c r="AQ176" i="5"/>
  <c r="AQ177" i="5"/>
  <c r="F587" i="5" l="1"/>
  <c r="D589" i="5"/>
  <c r="F589" i="5"/>
  <c r="F588" i="5"/>
  <c r="D587" i="5"/>
  <c r="W289" i="5"/>
  <c r="S289" i="5"/>
  <c r="G289" i="5"/>
  <c r="W288" i="5"/>
  <c r="S288" i="5"/>
  <c r="G288" i="5"/>
  <c r="W287" i="5"/>
  <c r="S287" i="5"/>
  <c r="G287" i="5"/>
  <c r="W286" i="5"/>
  <c r="S286" i="5"/>
  <c r="O286" i="5"/>
  <c r="K286" i="5"/>
  <c r="G286" i="5"/>
  <c r="W285" i="5"/>
  <c r="S285" i="5"/>
  <c r="O285" i="5"/>
  <c r="K285" i="5"/>
  <c r="G285" i="5"/>
  <c r="W284" i="5"/>
  <c r="S284" i="5"/>
  <c r="O284" i="5"/>
  <c r="K284" i="5"/>
  <c r="G284" i="5"/>
  <c r="W283" i="5"/>
  <c r="S283" i="5"/>
  <c r="O283" i="5"/>
  <c r="K283" i="5"/>
  <c r="G283" i="5"/>
  <c r="W282" i="5"/>
  <c r="S282" i="5"/>
  <c r="O282" i="5"/>
  <c r="K282" i="5"/>
  <c r="G282" i="5"/>
  <c r="AA281" i="5"/>
  <c r="W281" i="5"/>
  <c r="S281" i="5"/>
  <c r="O281" i="5"/>
  <c r="K281" i="5"/>
  <c r="G281" i="5"/>
  <c r="E287" i="5" l="1"/>
  <c r="E284" i="5"/>
  <c r="E285" i="5"/>
  <c r="E282" i="5"/>
  <c r="E286" i="5"/>
  <c r="E281" i="5"/>
  <c r="E283" i="5"/>
  <c r="E289" i="5"/>
  <c r="E288" i="5"/>
  <c r="I262" i="5"/>
  <c r="U270" i="5"/>
  <c r="T270" i="5"/>
  <c r="U269" i="5"/>
  <c r="T269" i="5"/>
  <c r="U268" i="5"/>
  <c r="T268" i="5"/>
  <c r="U267" i="5"/>
  <c r="T267" i="5"/>
  <c r="U266" i="5"/>
  <c r="T266" i="5"/>
  <c r="U265" i="5"/>
  <c r="T265" i="5"/>
  <c r="U264" i="5"/>
  <c r="T264" i="5"/>
  <c r="U263" i="5"/>
  <c r="T263" i="5"/>
  <c r="U262" i="5"/>
  <c r="T262" i="5"/>
  <c r="U261" i="5"/>
  <c r="T261" i="5"/>
  <c r="U260" i="5"/>
  <c r="T260" i="5"/>
  <c r="U259" i="5"/>
  <c r="T259" i="5"/>
  <c r="U258" i="5"/>
  <c r="T258" i="5"/>
  <c r="U257" i="5"/>
  <c r="T257" i="5"/>
  <c r="U256" i="5"/>
  <c r="T256" i="5"/>
  <c r="U255" i="5"/>
  <c r="T255" i="5"/>
  <c r="U254" i="5"/>
  <c r="T254" i="5"/>
  <c r="U253" i="5"/>
  <c r="T253" i="5"/>
  <c r="U252" i="5"/>
  <c r="T252" i="5"/>
  <c r="U251" i="5"/>
  <c r="T251" i="5"/>
  <c r="P252" i="5"/>
  <c r="Q252" i="5"/>
  <c r="P253" i="5"/>
  <c r="Q253" i="5"/>
  <c r="P254" i="5"/>
  <c r="Q254" i="5"/>
  <c r="P255" i="5"/>
  <c r="Q255" i="5"/>
  <c r="P256" i="5"/>
  <c r="Q256" i="5"/>
  <c r="P257" i="5"/>
  <c r="Q257" i="5"/>
  <c r="P258" i="5"/>
  <c r="Q258" i="5"/>
  <c r="P259" i="5"/>
  <c r="Q259" i="5"/>
  <c r="P260" i="5"/>
  <c r="Q260" i="5"/>
  <c r="P261" i="5"/>
  <c r="Q261" i="5"/>
  <c r="P262" i="5"/>
  <c r="Q262" i="5"/>
  <c r="P263" i="5"/>
  <c r="Q263" i="5"/>
  <c r="P264" i="5"/>
  <c r="Q264" i="5"/>
  <c r="P265" i="5"/>
  <c r="Q265" i="5"/>
  <c r="P266" i="5"/>
  <c r="Q266" i="5"/>
  <c r="P267" i="5"/>
  <c r="Q267" i="5"/>
  <c r="P268" i="5"/>
  <c r="Q268" i="5"/>
  <c r="P269" i="5"/>
  <c r="Q269" i="5"/>
  <c r="P270" i="5"/>
  <c r="Q270" i="5"/>
  <c r="Q251" i="5"/>
  <c r="P251" i="5"/>
  <c r="L252" i="5"/>
  <c r="M252" i="5"/>
  <c r="L253" i="5"/>
  <c r="M253" i="5"/>
  <c r="L254" i="5"/>
  <c r="M254" i="5"/>
  <c r="L255" i="5"/>
  <c r="M255" i="5"/>
  <c r="L256" i="5"/>
  <c r="M256" i="5"/>
  <c r="L257" i="5"/>
  <c r="M257" i="5"/>
  <c r="L258" i="5"/>
  <c r="M258" i="5"/>
  <c r="L259" i="5"/>
  <c r="M259" i="5"/>
  <c r="L260" i="5"/>
  <c r="M260" i="5"/>
  <c r="L261" i="5"/>
  <c r="M261" i="5"/>
  <c r="L262" i="5"/>
  <c r="M262" i="5"/>
  <c r="L263" i="5"/>
  <c r="M263" i="5"/>
  <c r="L264" i="5"/>
  <c r="M264" i="5"/>
  <c r="L265" i="5"/>
  <c r="M265" i="5"/>
  <c r="L266" i="5"/>
  <c r="M266" i="5"/>
  <c r="L267" i="5"/>
  <c r="M267" i="5"/>
  <c r="L268" i="5"/>
  <c r="M268" i="5"/>
  <c r="L269" i="5"/>
  <c r="M269" i="5"/>
  <c r="L270" i="5"/>
  <c r="M270" i="5"/>
  <c r="M251" i="5"/>
  <c r="L251" i="5"/>
  <c r="H252" i="5"/>
  <c r="I252" i="5"/>
  <c r="H253" i="5"/>
  <c r="I253" i="5"/>
  <c r="H254" i="5"/>
  <c r="I254" i="5"/>
  <c r="H255" i="5"/>
  <c r="I255" i="5"/>
  <c r="H256" i="5"/>
  <c r="I256" i="5"/>
  <c r="H257" i="5"/>
  <c r="I257" i="5"/>
  <c r="I258" i="5"/>
  <c r="I259" i="5"/>
  <c r="H260" i="5"/>
  <c r="I260" i="5"/>
  <c r="H261" i="5"/>
  <c r="I261" i="5"/>
  <c r="H262" i="5"/>
  <c r="H263" i="5"/>
  <c r="I263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I270" i="5"/>
  <c r="I251" i="5"/>
  <c r="H251" i="5"/>
  <c r="D289" i="5" l="1"/>
  <c r="F281" i="5"/>
  <c r="F286" i="5"/>
  <c r="D285" i="5"/>
  <c r="D283" i="5"/>
  <c r="F288" i="5"/>
  <c r="F282" i="5"/>
  <c r="D287" i="5"/>
  <c r="F284" i="5"/>
  <c r="F287" i="5"/>
  <c r="D288" i="5"/>
  <c r="F283" i="5"/>
  <c r="F285" i="5"/>
  <c r="D281" i="5"/>
  <c r="D286" i="5"/>
  <c r="D284" i="5"/>
  <c r="F289" i="5"/>
  <c r="D282" i="5"/>
  <c r="S134" i="5" l="1"/>
  <c r="K121" i="5"/>
  <c r="O121" i="5"/>
  <c r="K280" i="5" l="1"/>
  <c r="BK300" i="5" l="1"/>
  <c r="BG300" i="5"/>
  <c r="BC300" i="5"/>
  <c r="AY300" i="5"/>
  <c r="AU300" i="5"/>
  <c r="AQ300" i="5"/>
  <c r="AM300" i="5"/>
  <c r="AI300" i="5"/>
  <c r="AE300" i="5"/>
  <c r="AA300" i="5"/>
  <c r="W300" i="5"/>
  <c r="S300" i="5"/>
  <c r="O300" i="5"/>
  <c r="K300" i="5"/>
  <c r="G300" i="5"/>
  <c r="E300" i="5" l="1"/>
  <c r="D300" i="5" s="1"/>
  <c r="A126" i="6"/>
  <c r="B126" i="6"/>
  <c r="A127" i="6"/>
  <c r="B127" i="6"/>
  <c r="A128" i="6"/>
  <c r="B128" i="6"/>
  <c r="A129" i="6"/>
  <c r="B129" i="6"/>
  <c r="A130" i="6"/>
  <c r="B130" i="6"/>
  <c r="Q4" i="13" l="1"/>
  <c r="M119" i="13"/>
  <c r="B119" i="13" s="1"/>
  <c r="M118" i="13"/>
  <c r="M117" i="13"/>
  <c r="B117" i="13" s="1"/>
  <c r="M110" i="13"/>
  <c r="M109" i="13"/>
  <c r="B109" i="13" s="1"/>
  <c r="M108" i="13"/>
  <c r="M101" i="13"/>
  <c r="M100" i="13"/>
  <c r="B100" i="13" s="1"/>
  <c r="M99" i="13"/>
  <c r="M92" i="13"/>
  <c r="B92" i="13" s="1"/>
  <c r="M91" i="13"/>
  <c r="M90" i="13"/>
  <c r="M83" i="13"/>
  <c r="B83" i="13" s="1"/>
  <c r="M82" i="13"/>
  <c r="M81" i="13"/>
  <c r="B81" i="13" s="1"/>
  <c r="M47" i="13"/>
  <c r="M46" i="13"/>
  <c r="M45" i="13"/>
  <c r="M38" i="13"/>
  <c r="M37" i="13"/>
  <c r="M36" i="13"/>
  <c r="B36" i="13" s="1"/>
  <c r="M29" i="13"/>
  <c r="M28" i="13"/>
  <c r="B28" i="13" s="1"/>
  <c r="M27" i="13"/>
  <c r="M20" i="13"/>
  <c r="M19" i="13"/>
  <c r="M18" i="13"/>
  <c r="M10" i="13"/>
  <c r="M9" i="13"/>
  <c r="M8" i="13"/>
  <c r="B8" i="13" s="1"/>
  <c r="B118" i="13" l="1"/>
  <c r="B108" i="13"/>
  <c r="B110" i="13"/>
  <c r="B101" i="13"/>
  <c r="B99" i="13"/>
  <c r="B90" i="13"/>
  <c r="B91" i="13"/>
  <c r="B82" i="13"/>
  <c r="B47" i="13"/>
  <c r="B46" i="13"/>
  <c r="B45" i="13"/>
  <c r="B38" i="13"/>
  <c r="B37" i="13"/>
  <c r="B29" i="13"/>
  <c r="B27" i="13"/>
  <c r="B20" i="13"/>
  <c r="B19" i="13"/>
  <c r="B18" i="13"/>
  <c r="B10" i="13"/>
  <c r="B9" i="13"/>
  <c r="BK120" i="5"/>
  <c r="BG120" i="5"/>
  <c r="BC120" i="5"/>
  <c r="AY120" i="5"/>
  <c r="AU120" i="5"/>
  <c r="AQ120" i="5"/>
  <c r="AM120" i="5"/>
  <c r="AI120" i="5"/>
  <c r="AE120" i="5"/>
  <c r="AA120" i="5"/>
  <c r="W120" i="5"/>
  <c r="S120" i="5"/>
  <c r="O120" i="5"/>
  <c r="K120" i="5"/>
  <c r="G120" i="5"/>
  <c r="B120" i="5"/>
  <c r="BK119" i="5"/>
  <c r="BG119" i="5"/>
  <c r="BC119" i="5"/>
  <c r="AY119" i="5"/>
  <c r="AU119" i="5"/>
  <c r="AQ119" i="5"/>
  <c r="AM119" i="5"/>
  <c r="AI119" i="5"/>
  <c r="AE119" i="5"/>
  <c r="AA119" i="5"/>
  <c r="W119" i="5"/>
  <c r="S119" i="5"/>
  <c r="O119" i="5"/>
  <c r="K119" i="5"/>
  <c r="G119" i="5"/>
  <c r="B119" i="5"/>
  <c r="BK118" i="5"/>
  <c r="BG118" i="5"/>
  <c r="BC118" i="5"/>
  <c r="AY118" i="5"/>
  <c r="AU118" i="5"/>
  <c r="AQ118" i="5"/>
  <c r="AM118" i="5"/>
  <c r="AI118" i="5"/>
  <c r="AE118" i="5"/>
  <c r="W118" i="5"/>
  <c r="S118" i="5"/>
  <c r="O118" i="5"/>
  <c r="K118" i="5"/>
  <c r="G118" i="5"/>
  <c r="B118" i="5"/>
  <c r="BK111" i="5"/>
  <c r="BG111" i="5"/>
  <c r="BC111" i="5"/>
  <c r="AY111" i="5"/>
  <c r="AU111" i="5"/>
  <c r="AQ111" i="5"/>
  <c r="AM111" i="5"/>
  <c r="AI111" i="5"/>
  <c r="AE111" i="5"/>
  <c r="AA111" i="5"/>
  <c r="W111" i="5"/>
  <c r="S111" i="5"/>
  <c r="O111" i="5"/>
  <c r="K111" i="5"/>
  <c r="G111" i="5"/>
  <c r="B111" i="5"/>
  <c r="BK110" i="5"/>
  <c r="BG110" i="5"/>
  <c r="BC110" i="5"/>
  <c r="AY110" i="5"/>
  <c r="AU110" i="5"/>
  <c r="AQ110" i="5"/>
  <c r="AM110" i="5"/>
  <c r="AI110" i="5"/>
  <c r="AE110" i="5"/>
  <c r="AA110" i="5"/>
  <c r="W110" i="5"/>
  <c r="S110" i="5"/>
  <c r="O110" i="5"/>
  <c r="K110" i="5"/>
  <c r="G110" i="5"/>
  <c r="B110" i="5"/>
  <c r="BK109" i="5"/>
  <c r="BG109" i="5"/>
  <c r="BC109" i="5"/>
  <c r="AY109" i="5"/>
  <c r="AU109" i="5"/>
  <c r="AQ109" i="5"/>
  <c r="AM109" i="5"/>
  <c r="AI109" i="5"/>
  <c r="AE109" i="5"/>
  <c r="W109" i="5"/>
  <c r="S109" i="5"/>
  <c r="O109" i="5"/>
  <c r="K109" i="5"/>
  <c r="G109" i="5"/>
  <c r="B109" i="5"/>
  <c r="BK102" i="5"/>
  <c r="BG102" i="5"/>
  <c r="BC102" i="5"/>
  <c r="AY102" i="5"/>
  <c r="AU102" i="5"/>
  <c r="AQ102" i="5"/>
  <c r="AM102" i="5"/>
  <c r="AI102" i="5"/>
  <c r="AA102" i="5"/>
  <c r="W102" i="5"/>
  <c r="S102" i="5"/>
  <c r="O102" i="5"/>
  <c r="K102" i="5"/>
  <c r="G102" i="5"/>
  <c r="B102" i="5"/>
  <c r="BK101" i="5"/>
  <c r="BG101" i="5"/>
  <c r="BC101" i="5"/>
  <c r="AY101" i="5"/>
  <c r="AU101" i="5"/>
  <c r="AQ101" i="5"/>
  <c r="AM101" i="5"/>
  <c r="AI101" i="5"/>
  <c r="W101" i="5"/>
  <c r="S101" i="5"/>
  <c r="O101" i="5"/>
  <c r="K101" i="5"/>
  <c r="G101" i="5"/>
  <c r="B101" i="5"/>
  <c r="BK100" i="5"/>
  <c r="BG100" i="5"/>
  <c r="BC100" i="5"/>
  <c r="AY100" i="5"/>
  <c r="AU100" i="5"/>
  <c r="AQ100" i="5"/>
  <c r="AM100" i="5"/>
  <c r="AI100" i="5"/>
  <c r="W100" i="5"/>
  <c r="S100" i="5"/>
  <c r="O100" i="5"/>
  <c r="K100" i="5"/>
  <c r="G100" i="5"/>
  <c r="B100" i="5"/>
  <c r="BK93" i="5"/>
  <c r="BG93" i="5"/>
  <c r="BC93" i="5"/>
  <c r="AY93" i="5"/>
  <c r="AU93" i="5"/>
  <c r="AQ93" i="5"/>
  <c r="AM93" i="5"/>
  <c r="AI93" i="5"/>
  <c r="AA93" i="5"/>
  <c r="W93" i="5"/>
  <c r="S93" i="5"/>
  <c r="O93" i="5"/>
  <c r="K93" i="5"/>
  <c r="G93" i="5"/>
  <c r="B93" i="5"/>
  <c r="BK92" i="5"/>
  <c r="BG92" i="5"/>
  <c r="BC92" i="5"/>
  <c r="AY92" i="5"/>
  <c r="AU92" i="5"/>
  <c r="AQ92" i="5"/>
  <c r="AM92" i="5"/>
  <c r="AI92" i="5"/>
  <c r="W92" i="5"/>
  <c r="S92" i="5"/>
  <c r="O92" i="5"/>
  <c r="K92" i="5"/>
  <c r="G92" i="5"/>
  <c r="B92" i="5"/>
  <c r="BK91" i="5"/>
  <c r="BG91" i="5"/>
  <c r="BC91" i="5"/>
  <c r="AY91" i="5"/>
  <c r="AU91" i="5"/>
  <c r="AQ91" i="5"/>
  <c r="AM91" i="5"/>
  <c r="AI91" i="5"/>
  <c r="W91" i="5"/>
  <c r="S91" i="5"/>
  <c r="O91" i="5"/>
  <c r="K91" i="5"/>
  <c r="G91" i="5"/>
  <c r="B91" i="5"/>
  <c r="BK84" i="5"/>
  <c r="BG84" i="5"/>
  <c r="BC84" i="5"/>
  <c r="AY84" i="5"/>
  <c r="AU84" i="5"/>
  <c r="AQ84" i="5"/>
  <c r="AM84" i="5"/>
  <c r="AI84" i="5"/>
  <c r="AE84" i="5"/>
  <c r="AA84" i="5"/>
  <c r="W84" i="5"/>
  <c r="O84" i="5"/>
  <c r="K84" i="5"/>
  <c r="G84" i="5"/>
  <c r="B84" i="5"/>
  <c r="BK83" i="5"/>
  <c r="BG83" i="5"/>
  <c r="BC83" i="5"/>
  <c r="AY83" i="5"/>
  <c r="AU83" i="5"/>
  <c r="AQ83" i="5"/>
  <c r="AM83" i="5"/>
  <c r="AI83" i="5"/>
  <c r="W83" i="5"/>
  <c r="S83" i="5"/>
  <c r="O83" i="5"/>
  <c r="K83" i="5"/>
  <c r="G83" i="5"/>
  <c r="B83" i="5"/>
  <c r="BK82" i="5"/>
  <c r="BG82" i="5"/>
  <c r="BC82" i="5"/>
  <c r="AY82" i="5"/>
  <c r="AU82" i="5"/>
  <c r="AQ82" i="5"/>
  <c r="AM82" i="5"/>
  <c r="AI82" i="5"/>
  <c r="W82" i="5"/>
  <c r="S82" i="5"/>
  <c r="O82" i="5"/>
  <c r="K82" i="5"/>
  <c r="G82" i="5"/>
  <c r="B82" i="5"/>
  <c r="E102" i="5" l="1"/>
  <c r="K101" i="13" s="1"/>
  <c r="E91" i="5"/>
  <c r="K90" i="13" s="1"/>
  <c r="E84" i="5"/>
  <c r="K83" i="13" s="1"/>
  <c r="E101" i="5"/>
  <c r="K100" i="13" s="1"/>
  <c r="E83" i="5"/>
  <c r="K82" i="13" s="1"/>
  <c r="E93" i="5"/>
  <c r="K92" i="13" s="1"/>
  <c r="E119" i="5"/>
  <c r="K118" i="13" s="1"/>
  <c r="E120" i="5"/>
  <c r="K119" i="13" s="1"/>
  <c r="E82" i="5"/>
  <c r="K81" i="13" s="1"/>
  <c r="E110" i="5"/>
  <c r="K109" i="13" s="1"/>
  <c r="E111" i="5"/>
  <c r="K110" i="13" s="1"/>
  <c r="E118" i="5"/>
  <c r="K117" i="13" s="1"/>
  <c r="E100" i="5"/>
  <c r="K99" i="13" s="1"/>
  <c r="E92" i="5"/>
  <c r="K91" i="13" s="1"/>
  <c r="E109" i="5"/>
  <c r="K108" i="13" s="1"/>
  <c r="D120" i="5" l="1"/>
  <c r="D84" i="5"/>
  <c r="D100" i="5"/>
  <c r="D101" i="5"/>
  <c r="D92" i="5"/>
  <c r="D118" i="5"/>
  <c r="D82" i="5"/>
  <c r="D102" i="5"/>
  <c r="D111" i="5"/>
  <c r="D83" i="5"/>
  <c r="D109" i="5"/>
  <c r="D119" i="5"/>
  <c r="D93" i="5"/>
  <c r="D110" i="5"/>
  <c r="D91" i="5"/>
  <c r="BK48" i="5"/>
  <c r="BG48" i="5"/>
  <c r="BC48" i="5"/>
  <c r="AY48" i="5"/>
  <c r="AU48" i="5"/>
  <c r="AQ48" i="5"/>
  <c r="AM48" i="5"/>
  <c r="AI48" i="5"/>
  <c r="AE48" i="5"/>
  <c r="AA48" i="5"/>
  <c r="W48" i="5"/>
  <c r="S48" i="5"/>
  <c r="O48" i="5"/>
  <c r="K48" i="5"/>
  <c r="G48" i="5"/>
  <c r="B48" i="5"/>
  <c r="BK47" i="5"/>
  <c r="BG47" i="5"/>
  <c r="BC47" i="5"/>
  <c r="AY47" i="5"/>
  <c r="AU47" i="5"/>
  <c r="AQ47" i="5"/>
  <c r="AM47" i="5"/>
  <c r="AI47" i="5"/>
  <c r="AE47" i="5"/>
  <c r="AA47" i="5"/>
  <c r="W47" i="5"/>
  <c r="S47" i="5"/>
  <c r="O47" i="5"/>
  <c r="K47" i="5"/>
  <c r="G47" i="5"/>
  <c r="B47" i="5"/>
  <c r="BK46" i="5"/>
  <c r="BG46" i="5"/>
  <c r="BC46" i="5"/>
  <c r="AY46" i="5"/>
  <c r="AU46" i="5"/>
  <c r="AQ46" i="5"/>
  <c r="AM46" i="5"/>
  <c r="AI46" i="5"/>
  <c r="AE46" i="5"/>
  <c r="AA46" i="5"/>
  <c r="W46" i="5"/>
  <c r="S46" i="5"/>
  <c r="O46" i="5"/>
  <c r="K46" i="5"/>
  <c r="G46" i="5"/>
  <c r="B46" i="5"/>
  <c r="BK39" i="5"/>
  <c r="BG39" i="5"/>
  <c r="BC39" i="5"/>
  <c r="AY39" i="5"/>
  <c r="AU39" i="5"/>
  <c r="AQ39" i="5"/>
  <c r="AM39" i="5"/>
  <c r="AI39" i="5"/>
  <c r="AE39" i="5"/>
  <c r="AA39" i="5"/>
  <c r="W39" i="5"/>
  <c r="S39" i="5"/>
  <c r="O39" i="5"/>
  <c r="K39" i="5"/>
  <c r="G39" i="5"/>
  <c r="B39" i="5"/>
  <c r="BK38" i="5"/>
  <c r="BG38" i="5"/>
  <c r="BC38" i="5"/>
  <c r="AY38" i="5"/>
  <c r="AU38" i="5"/>
  <c r="AQ38" i="5"/>
  <c r="AM38" i="5"/>
  <c r="AI38" i="5"/>
  <c r="AE38" i="5"/>
  <c r="AA38" i="5"/>
  <c r="W38" i="5"/>
  <c r="S38" i="5"/>
  <c r="O38" i="5"/>
  <c r="K38" i="5"/>
  <c r="G38" i="5"/>
  <c r="B38" i="5"/>
  <c r="BK37" i="5"/>
  <c r="BG37" i="5"/>
  <c r="BC37" i="5"/>
  <c r="AY37" i="5"/>
  <c r="AU37" i="5"/>
  <c r="AQ37" i="5"/>
  <c r="AM37" i="5"/>
  <c r="AI37" i="5"/>
  <c r="AE37" i="5"/>
  <c r="AA37" i="5"/>
  <c r="W37" i="5"/>
  <c r="S37" i="5"/>
  <c r="O37" i="5"/>
  <c r="K37" i="5"/>
  <c r="G37" i="5"/>
  <c r="B37" i="5"/>
  <c r="BK30" i="5"/>
  <c r="BG30" i="5"/>
  <c r="BC30" i="5"/>
  <c r="AY30" i="5"/>
  <c r="AU30" i="5"/>
  <c r="AQ30" i="5"/>
  <c r="AM30" i="5"/>
  <c r="AI30" i="5"/>
  <c r="AE30" i="5"/>
  <c r="AA30" i="5"/>
  <c r="W30" i="5"/>
  <c r="S30" i="5"/>
  <c r="O30" i="5"/>
  <c r="K30" i="5"/>
  <c r="G30" i="5"/>
  <c r="B30" i="5"/>
  <c r="BK29" i="5"/>
  <c r="BG29" i="5"/>
  <c r="BC29" i="5"/>
  <c r="AY29" i="5"/>
  <c r="AU29" i="5"/>
  <c r="AQ29" i="5"/>
  <c r="AM29" i="5"/>
  <c r="AI29" i="5"/>
  <c r="AE29" i="5"/>
  <c r="AA29" i="5"/>
  <c r="W29" i="5"/>
  <c r="S29" i="5"/>
  <c r="O29" i="5"/>
  <c r="K29" i="5"/>
  <c r="G29" i="5"/>
  <c r="B29" i="5"/>
  <c r="BK28" i="5"/>
  <c r="BG28" i="5"/>
  <c r="BC28" i="5"/>
  <c r="AY28" i="5"/>
  <c r="AU28" i="5"/>
  <c r="AQ28" i="5"/>
  <c r="AM28" i="5"/>
  <c r="AI28" i="5"/>
  <c r="AE28" i="5"/>
  <c r="AA28" i="5"/>
  <c r="W28" i="5"/>
  <c r="S28" i="5"/>
  <c r="O28" i="5"/>
  <c r="K28" i="5"/>
  <c r="G28" i="5"/>
  <c r="B28" i="5"/>
  <c r="BK21" i="5"/>
  <c r="BG21" i="5"/>
  <c r="BC21" i="5"/>
  <c r="AY21" i="5"/>
  <c r="AU21" i="5"/>
  <c r="AQ21" i="5"/>
  <c r="AM21" i="5"/>
  <c r="AI21" i="5"/>
  <c r="AE21" i="5"/>
  <c r="AA21" i="5"/>
  <c r="W21" i="5"/>
  <c r="S21" i="5"/>
  <c r="O21" i="5"/>
  <c r="K21" i="5"/>
  <c r="G21" i="5"/>
  <c r="B21" i="5"/>
  <c r="BK20" i="5"/>
  <c r="BG20" i="5"/>
  <c r="BC20" i="5"/>
  <c r="AY20" i="5"/>
  <c r="AU20" i="5"/>
  <c r="AQ20" i="5"/>
  <c r="AM20" i="5"/>
  <c r="AI20" i="5"/>
  <c r="AE20" i="5"/>
  <c r="AA20" i="5"/>
  <c r="W20" i="5"/>
  <c r="S20" i="5"/>
  <c r="O20" i="5"/>
  <c r="K20" i="5"/>
  <c r="G20" i="5"/>
  <c r="B20" i="5"/>
  <c r="BK19" i="5"/>
  <c r="BG19" i="5"/>
  <c r="BC19" i="5"/>
  <c r="AY19" i="5"/>
  <c r="AU19" i="5"/>
  <c r="AQ19" i="5"/>
  <c r="AM19" i="5"/>
  <c r="AI19" i="5"/>
  <c r="AE19" i="5"/>
  <c r="AA19" i="5"/>
  <c r="W19" i="5"/>
  <c r="S19" i="5"/>
  <c r="O19" i="5"/>
  <c r="K19" i="5"/>
  <c r="G19" i="5"/>
  <c r="B19" i="5"/>
  <c r="BK11" i="5"/>
  <c r="BG11" i="5"/>
  <c r="BC11" i="5"/>
  <c r="AY11" i="5"/>
  <c r="AU11" i="5"/>
  <c r="AQ11" i="5"/>
  <c r="AM11" i="5"/>
  <c r="AI11" i="5"/>
  <c r="AE11" i="5"/>
  <c r="AA11" i="5"/>
  <c r="W11" i="5"/>
  <c r="S11" i="5"/>
  <c r="O11" i="5"/>
  <c r="K11" i="5"/>
  <c r="G11" i="5"/>
  <c r="B11" i="5"/>
  <c r="BK10" i="5"/>
  <c r="BG10" i="5"/>
  <c r="BC10" i="5"/>
  <c r="AY10" i="5"/>
  <c r="AU10" i="5"/>
  <c r="AQ10" i="5"/>
  <c r="AM10" i="5"/>
  <c r="AI10" i="5"/>
  <c r="AE10" i="5"/>
  <c r="AA10" i="5"/>
  <c r="W10" i="5"/>
  <c r="S10" i="5"/>
  <c r="O10" i="5"/>
  <c r="K10" i="5"/>
  <c r="G10" i="5"/>
  <c r="B10" i="5"/>
  <c r="BK9" i="5"/>
  <c r="BG9" i="5"/>
  <c r="BC9" i="5"/>
  <c r="AY9" i="5"/>
  <c r="AU9" i="5"/>
  <c r="AQ9" i="5"/>
  <c r="AM9" i="5"/>
  <c r="AI9" i="5"/>
  <c r="AE9" i="5"/>
  <c r="AA9" i="5"/>
  <c r="W9" i="5"/>
  <c r="S9" i="5"/>
  <c r="O9" i="5"/>
  <c r="K9" i="5"/>
  <c r="G9" i="5"/>
  <c r="B9" i="5"/>
  <c r="E20" i="5" l="1"/>
  <c r="K19" i="13" s="1"/>
  <c r="E28" i="5"/>
  <c r="E38" i="5"/>
  <c r="E46" i="5"/>
  <c r="K45" i="13" s="1"/>
  <c r="E9" i="5"/>
  <c r="F9" i="5" s="1"/>
  <c r="E11" i="5"/>
  <c r="D11" i="5" s="1"/>
  <c r="E30" i="5"/>
  <c r="K29" i="13" s="1"/>
  <c r="E39" i="5"/>
  <c r="D39" i="5" s="1"/>
  <c r="E10" i="5"/>
  <c r="D10" i="5" s="1"/>
  <c r="E29" i="5"/>
  <c r="D29" i="5" s="1"/>
  <c r="E48" i="5"/>
  <c r="E19" i="5"/>
  <c r="K18" i="13" s="1"/>
  <c r="E21" i="5"/>
  <c r="E37" i="5"/>
  <c r="D37" i="5" s="1"/>
  <c r="E47" i="5"/>
  <c r="K46" i="13" s="1"/>
  <c r="AD653" i="5"/>
  <c r="AD668" i="5" s="1"/>
  <c r="AD683" i="5" s="1"/>
  <c r="AD698" i="5" s="1"/>
  <c r="AD713" i="5" s="1"/>
  <c r="AD728" i="5" s="1"/>
  <c r="K27" i="13" l="1"/>
  <c r="D20" i="5"/>
  <c r="K47" i="13"/>
  <c r="K28" i="13"/>
  <c r="D28" i="5"/>
  <c r="D38" i="5"/>
  <c r="K37" i="13"/>
  <c r="D9" i="5"/>
  <c r="D48" i="5"/>
  <c r="F10" i="5"/>
  <c r="D46" i="5"/>
  <c r="F11" i="5"/>
  <c r="D21" i="5"/>
  <c r="D19" i="5"/>
  <c r="K20" i="13"/>
  <c r="D47" i="5"/>
  <c r="D30" i="5"/>
  <c r="K36" i="13"/>
  <c r="K38" i="13"/>
  <c r="B2" i="16"/>
  <c r="B234" i="5" l="1"/>
  <c r="B235" i="5"/>
  <c r="B236" i="5"/>
  <c r="B237" i="5"/>
  <c r="B238" i="5"/>
  <c r="B239" i="5"/>
  <c r="B240" i="5"/>
  <c r="B241" i="5"/>
  <c r="B242" i="5"/>
  <c r="B243" i="5"/>
  <c r="BK239" i="5"/>
  <c r="BG239" i="5"/>
  <c r="BC239" i="5"/>
  <c r="AY239" i="5"/>
  <c r="AU239" i="5"/>
  <c r="AQ239" i="5"/>
  <c r="AM239" i="5"/>
  <c r="AI239" i="5"/>
  <c r="AE239" i="5"/>
  <c r="AA239" i="5"/>
  <c r="W239" i="5"/>
  <c r="S239" i="5"/>
  <c r="O239" i="5"/>
  <c r="K239" i="5"/>
  <c r="G239" i="5"/>
  <c r="G236" i="5"/>
  <c r="E236" i="5" s="1"/>
  <c r="E239" i="5" l="1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52" i="8"/>
  <c r="E51" i="8"/>
  <c r="F239" i="5" l="1"/>
  <c r="F236" i="5"/>
  <c r="D239" i="5"/>
  <c r="D236" i="5"/>
  <c r="E4" i="8" l="1"/>
  <c r="E5" i="8"/>
  <c r="E6" i="8"/>
  <c r="E7" i="8"/>
  <c r="E8" i="8"/>
  <c r="E9" i="8"/>
  <c r="E12" i="8"/>
  <c r="E15" i="8"/>
  <c r="E16" i="8"/>
  <c r="E47" i="8"/>
  <c r="E48" i="8"/>
  <c r="E49" i="8"/>
  <c r="E50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AZ166" i="8" l="1"/>
  <c r="AV166" i="8"/>
  <c r="AR166" i="8"/>
  <c r="AN166" i="8"/>
  <c r="AZ151" i="8"/>
  <c r="AV151" i="8"/>
  <c r="AR151" i="8"/>
  <c r="AN151" i="8"/>
  <c r="AZ136" i="8"/>
  <c r="AV136" i="8"/>
  <c r="AR136" i="8"/>
  <c r="AN136" i="8"/>
  <c r="AZ121" i="8"/>
  <c r="AV121" i="8"/>
  <c r="AR121" i="8"/>
  <c r="AN121" i="8"/>
  <c r="AZ106" i="8"/>
  <c r="AV106" i="8"/>
  <c r="AR106" i="8"/>
  <c r="AN106" i="8"/>
  <c r="AZ91" i="8"/>
  <c r="AV91" i="8"/>
  <c r="AR91" i="8"/>
  <c r="AN91" i="8"/>
  <c r="AZ76" i="8"/>
  <c r="AV76" i="8"/>
  <c r="AR76" i="8"/>
  <c r="AN76" i="8"/>
  <c r="AZ61" i="8"/>
  <c r="AV61" i="8"/>
  <c r="AR61" i="8"/>
  <c r="AN61" i="8"/>
  <c r="AZ46" i="8"/>
  <c r="AV46" i="8"/>
  <c r="AR46" i="8"/>
  <c r="AN46" i="8"/>
  <c r="AZ31" i="8"/>
  <c r="AV31" i="8"/>
  <c r="AR31" i="8"/>
  <c r="AN31" i="8"/>
  <c r="AZ16" i="8"/>
  <c r="AV16" i="8"/>
  <c r="AN16" i="8"/>
  <c r="AJ16" i="8"/>
  <c r="AA638" i="5" l="1"/>
  <c r="AI638" i="5"/>
  <c r="O250" i="5" l="1"/>
  <c r="BK515" i="5" l="1"/>
  <c r="BG515" i="5"/>
  <c r="BC515" i="5"/>
  <c r="AY515" i="5"/>
  <c r="AU515" i="5"/>
  <c r="AQ515" i="5"/>
  <c r="AM515" i="5"/>
  <c r="AI515" i="5"/>
  <c r="AE515" i="5"/>
  <c r="AA515" i="5"/>
  <c r="W515" i="5"/>
  <c r="S515" i="5"/>
  <c r="O515" i="5"/>
  <c r="K515" i="5"/>
  <c r="G515" i="5"/>
  <c r="BK514" i="5"/>
  <c r="BG514" i="5"/>
  <c r="BC514" i="5"/>
  <c r="AY514" i="5"/>
  <c r="AU514" i="5"/>
  <c r="AQ514" i="5"/>
  <c r="AM514" i="5"/>
  <c r="AI514" i="5"/>
  <c r="AE514" i="5"/>
  <c r="AA514" i="5"/>
  <c r="W514" i="5"/>
  <c r="S514" i="5"/>
  <c r="O514" i="5"/>
  <c r="K514" i="5"/>
  <c r="G514" i="5"/>
  <c r="BK513" i="5"/>
  <c r="BG513" i="5"/>
  <c r="BC513" i="5"/>
  <c r="AY513" i="5"/>
  <c r="AU513" i="5"/>
  <c r="AQ513" i="5"/>
  <c r="AM513" i="5"/>
  <c r="AI513" i="5"/>
  <c r="AE513" i="5"/>
  <c r="AA513" i="5"/>
  <c r="W513" i="5"/>
  <c r="S513" i="5"/>
  <c r="O513" i="5"/>
  <c r="K513" i="5"/>
  <c r="G513" i="5"/>
  <c r="BK512" i="5"/>
  <c r="BG512" i="5"/>
  <c r="BC512" i="5"/>
  <c r="AY512" i="5"/>
  <c r="AU512" i="5"/>
  <c r="AQ512" i="5"/>
  <c r="AM512" i="5"/>
  <c r="AI512" i="5"/>
  <c r="AE512" i="5"/>
  <c r="AA512" i="5"/>
  <c r="W512" i="5"/>
  <c r="S512" i="5"/>
  <c r="O512" i="5"/>
  <c r="K512" i="5"/>
  <c r="G512" i="5"/>
  <c r="BK511" i="5"/>
  <c r="BG511" i="5"/>
  <c r="BC511" i="5"/>
  <c r="AY511" i="5"/>
  <c r="AU511" i="5"/>
  <c r="AQ511" i="5"/>
  <c r="AM511" i="5"/>
  <c r="AI511" i="5"/>
  <c r="AE511" i="5"/>
  <c r="AA511" i="5"/>
  <c r="W511" i="5"/>
  <c r="S511" i="5"/>
  <c r="O511" i="5"/>
  <c r="K511" i="5"/>
  <c r="G511" i="5"/>
  <c r="BK510" i="5"/>
  <c r="BG510" i="5"/>
  <c r="BC510" i="5"/>
  <c r="AY510" i="5"/>
  <c r="AU510" i="5"/>
  <c r="AQ510" i="5"/>
  <c r="AM510" i="5"/>
  <c r="AI510" i="5"/>
  <c r="AE510" i="5"/>
  <c r="AA510" i="5"/>
  <c r="W510" i="5"/>
  <c r="S510" i="5"/>
  <c r="O510" i="5"/>
  <c r="K510" i="5"/>
  <c r="G510" i="5"/>
  <c r="BK509" i="5"/>
  <c r="BG509" i="5"/>
  <c r="BC509" i="5"/>
  <c r="AY509" i="5"/>
  <c r="AU509" i="5"/>
  <c r="AQ509" i="5"/>
  <c r="AM509" i="5"/>
  <c r="AI509" i="5"/>
  <c r="AE509" i="5"/>
  <c r="AA509" i="5"/>
  <c r="W509" i="5"/>
  <c r="S509" i="5"/>
  <c r="O509" i="5"/>
  <c r="K509" i="5"/>
  <c r="G509" i="5"/>
  <c r="BK508" i="5"/>
  <c r="BG508" i="5"/>
  <c r="BC508" i="5"/>
  <c r="AY508" i="5"/>
  <c r="AU508" i="5"/>
  <c r="AQ508" i="5"/>
  <c r="AM508" i="5"/>
  <c r="AI508" i="5"/>
  <c r="AE508" i="5"/>
  <c r="AA508" i="5"/>
  <c r="W508" i="5"/>
  <c r="S508" i="5"/>
  <c r="O508" i="5"/>
  <c r="K508" i="5"/>
  <c r="G508" i="5"/>
  <c r="BK507" i="5"/>
  <c r="BG507" i="5"/>
  <c r="BC507" i="5"/>
  <c r="AY507" i="5"/>
  <c r="AU507" i="5"/>
  <c r="AQ507" i="5"/>
  <c r="AM507" i="5"/>
  <c r="AI507" i="5"/>
  <c r="AE507" i="5"/>
  <c r="AA507" i="5"/>
  <c r="W507" i="5"/>
  <c r="S507" i="5"/>
  <c r="O507" i="5"/>
  <c r="K507" i="5"/>
  <c r="G507" i="5"/>
  <c r="BK457" i="5"/>
  <c r="BG457" i="5"/>
  <c r="BC457" i="5"/>
  <c r="AY457" i="5"/>
  <c r="AU457" i="5"/>
  <c r="AQ457" i="5"/>
  <c r="AM457" i="5"/>
  <c r="AI457" i="5"/>
  <c r="AE457" i="5"/>
  <c r="AA457" i="5"/>
  <c r="W457" i="5"/>
  <c r="S457" i="5"/>
  <c r="O457" i="5"/>
  <c r="K457" i="5"/>
  <c r="G457" i="5"/>
  <c r="BK456" i="5"/>
  <c r="BG456" i="5"/>
  <c r="BC456" i="5"/>
  <c r="AY456" i="5"/>
  <c r="AU456" i="5"/>
  <c r="AQ456" i="5"/>
  <c r="AM456" i="5"/>
  <c r="AI456" i="5"/>
  <c r="AE456" i="5"/>
  <c r="AA456" i="5"/>
  <c r="W456" i="5"/>
  <c r="S456" i="5"/>
  <c r="O456" i="5"/>
  <c r="K456" i="5"/>
  <c r="G456" i="5"/>
  <c r="BK455" i="5"/>
  <c r="BG455" i="5"/>
  <c r="BC455" i="5"/>
  <c r="AY455" i="5"/>
  <c r="AU455" i="5"/>
  <c r="AQ455" i="5"/>
  <c r="AM455" i="5"/>
  <c r="AI455" i="5"/>
  <c r="AE455" i="5"/>
  <c r="AA455" i="5"/>
  <c r="W455" i="5"/>
  <c r="S455" i="5"/>
  <c r="O455" i="5"/>
  <c r="K455" i="5"/>
  <c r="G455" i="5"/>
  <c r="BK454" i="5"/>
  <c r="BG454" i="5"/>
  <c r="BC454" i="5"/>
  <c r="AY454" i="5"/>
  <c r="AU454" i="5"/>
  <c r="AQ454" i="5"/>
  <c r="AM454" i="5"/>
  <c r="AI454" i="5"/>
  <c r="AE454" i="5"/>
  <c r="AA454" i="5"/>
  <c r="W454" i="5"/>
  <c r="S454" i="5"/>
  <c r="O454" i="5"/>
  <c r="K454" i="5"/>
  <c r="G454" i="5"/>
  <c r="BK453" i="5"/>
  <c r="BG453" i="5"/>
  <c r="BC453" i="5"/>
  <c r="AY453" i="5"/>
  <c r="AU453" i="5"/>
  <c r="AQ453" i="5"/>
  <c r="AM453" i="5"/>
  <c r="AI453" i="5"/>
  <c r="AE453" i="5"/>
  <c r="AA453" i="5"/>
  <c r="W453" i="5"/>
  <c r="S453" i="5"/>
  <c r="O453" i="5"/>
  <c r="K453" i="5"/>
  <c r="G453" i="5"/>
  <c r="BK452" i="5"/>
  <c r="BG452" i="5"/>
  <c r="BC452" i="5"/>
  <c r="AY452" i="5"/>
  <c r="AU452" i="5"/>
  <c r="AQ452" i="5"/>
  <c r="AM452" i="5"/>
  <c r="AI452" i="5"/>
  <c r="AE452" i="5"/>
  <c r="AA452" i="5"/>
  <c r="W452" i="5"/>
  <c r="S452" i="5"/>
  <c r="O452" i="5"/>
  <c r="K452" i="5"/>
  <c r="G452" i="5"/>
  <c r="BK451" i="5"/>
  <c r="BG451" i="5"/>
  <c r="BC451" i="5"/>
  <c r="AY451" i="5"/>
  <c r="AU451" i="5"/>
  <c r="AQ451" i="5"/>
  <c r="AM451" i="5"/>
  <c r="AI451" i="5"/>
  <c r="AE451" i="5"/>
  <c r="AA451" i="5"/>
  <c r="W451" i="5"/>
  <c r="S451" i="5"/>
  <c r="O451" i="5"/>
  <c r="K451" i="5"/>
  <c r="G451" i="5"/>
  <c r="BK450" i="5"/>
  <c r="BG450" i="5"/>
  <c r="BC450" i="5"/>
  <c r="AY450" i="5"/>
  <c r="AU450" i="5"/>
  <c r="AQ450" i="5"/>
  <c r="AM450" i="5"/>
  <c r="AI450" i="5"/>
  <c r="AE450" i="5"/>
  <c r="AA450" i="5"/>
  <c r="W450" i="5"/>
  <c r="S450" i="5"/>
  <c r="O450" i="5"/>
  <c r="K450" i="5"/>
  <c r="G450" i="5"/>
  <c r="BK449" i="5"/>
  <c r="BG449" i="5"/>
  <c r="BC449" i="5"/>
  <c r="AY449" i="5"/>
  <c r="AU449" i="5"/>
  <c r="AQ449" i="5"/>
  <c r="AM449" i="5"/>
  <c r="AI449" i="5"/>
  <c r="AE449" i="5"/>
  <c r="AA449" i="5"/>
  <c r="W449" i="5"/>
  <c r="S449" i="5"/>
  <c r="O449" i="5"/>
  <c r="K449" i="5"/>
  <c r="G449" i="5"/>
  <c r="E451" i="5" l="1"/>
  <c r="F451" i="5" s="1"/>
  <c r="E508" i="5"/>
  <c r="F508" i="5" s="1"/>
  <c r="E515" i="5"/>
  <c r="F515" i="5" s="1"/>
  <c r="E449" i="5"/>
  <c r="F449" i="5" s="1"/>
  <c r="E457" i="5"/>
  <c r="D457" i="5" s="1"/>
  <c r="E514" i="5"/>
  <c r="F514" i="5" s="1"/>
  <c r="E456" i="5"/>
  <c r="D456" i="5" s="1"/>
  <c r="E513" i="5"/>
  <c r="F513" i="5" s="1"/>
  <c r="E455" i="5"/>
  <c r="F455" i="5" s="1"/>
  <c r="E512" i="5"/>
  <c r="F512" i="5" s="1"/>
  <c r="E450" i="5"/>
  <c r="D450" i="5" s="1"/>
  <c r="E454" i="5"/>
  <c r="D454" i="5" s="1"/>
  <c r="E511" i="5"/>
  <c r="F511" i="5" s="1"/>
  <c r="E453" i="5"/>
  <c r="F453" i="5" s="1"/>
  <c r="E510" i="5"/>
  <c r="F510" i="5" s="1"/>
  <c r="E507" i="5"/>
  <c r="F507" i="5" s="1"/>
  <c r="E452" i="5"/>
  <c r="F452" i="5" s="1"/>
  <c r="E509" i="5"/>
  <c r="D509" i="5" s="1"/>
  <c r="D451" i="5"/>
  <c r="A115" i="6"/>
  <c r="B115" i="6"/>
  <c r="A116" i="6"/>
  <c r="B116" i="6"/>
  <c r="A117" i="6"/>
  <c r="B117" i="6"/>
  <c r="A118" i="6"/>
  <c r="B118" i="6"/>
  <c r="A119" i="6"/>
  <c r="B119" i="6"/>
  <c r="A120" i="6"/>
  <c r="B120" i="6"/>
  <c r="A121" i="6"/>
  <c r="B121" i="6"/>
  <c r="A122" i="6"/>
  <c r="B122" i="6"/>
  <c r="A123" i="6"/>
  <c r="B123" i="6"/>
  <c r="A124" i="6"/>
  <c r="B124" i="6"/>
  <c r="A125" i="6"/>
  <c r="B125" i="6"/>
  <c r="S297" i="5"/>
  <c r="BK305" i="5"/>
  <c r="BG305" i="5"/>
  <c r="BC305" i="5"/>
  <c r="AY305" i="5"/>
  <c r="AU305" i="5"/>
  <c r="AQ305" i="5"/>
  <c r="AM305" i="5"/>
  <c r="AI305" i="5"/>
  <c r="AE305" i="5"/>
  <c r="AA305" i="5"/>
  <c r="W305" i="5"/>
  <c r="S305" i="5"/>
  <c r="O305" i="5"/>
  <c r="K305" i="5"/>
  <c r="G305" i="5"/>
  <c r="BK304" i="5"/>
  <c r="BG304" i="5"/>
  <c r="BC304" i="5"/>
  <c r="AY304" i="5"/>
  <c r="AU304" i="5"/>
  <c r="AQ304" i="5"/>
  <c r="AM304" i="5"/>
  <c r="AI304" i="5"/>
  <c r="AE304" i="5"/>
  <c r="AA304" i="5"/>
  <c r="W304" i="5"/>
  <c r="S304" i="5"/>
  <c r="O304" i="5"/>
  <c r="K304" i="5"/>
  <c r="G304" i="5"/>
  <c r="BK303" i="5"/>
  <c r="BG303" i="5"/>
  <c r="BC303" i="5"/>
  <c r="AY303" i="5"/>
  <c r="AU303" i="5"/>
  <c r="AQ303" i="5"/>
  <c r="AM303" i="5"/>
  <c r="AI303" i="5"/>
  <c r="AE303" i="5"/>
  <c r="AA303" i="5"/>
  <c r="W303" i="5"/>
  <c r="S303" i="5"/>
  <c r="O303" i="5"/>
  <c r="K303" i="5"/>
  <c r="G303" i="5"/>
  <c r="BK302" i="5"/>
  <c r="BG302" i="5"/>
  <c r="BC302" i="5"/>
  <c r="AY302" i="5"/>
  <c r="AU302" i="5"/>
  <c r="AQ302" i="5"/>
  <c r="AM302" i="5"/>
  <c r="AI302" i="5"/>
  <c r="AE302" i="5"/>
  <c r="AA302" i="5"/>
  <c r="W302" i="5"/>
  <c r="S302" i="5"/>
  <c r="O302" i="5"/>
  <c r="K302" i="5"/>
  <c r="G302" i="5"/>
  <c r="BK301" i="5"/>
  <c r="BG301" i="5"/>
  <c r="BC301" i="5"/>
  <c r="AY301" i="5"/>
  <c r="AU301" i="5"/>
  <c r="AQ301" i="5"/>
  <c r="AM301" i="5"/>
  <c r="AI301" i="5"/>
  <c r="AE301" i="5"/>
  <c r="AA301" i="5"/>
  <c r="W301" i="5"/>
  <c r="S301" i="5"/>
  <c r="O301" i="5"/>
  <c r="K301" i="5"/>
  <c r="G301" i="5"/>
  <c r="BK299" i="5"/>
  <c r="BG299" i="5"/>
  <c r="BC299" i="5"/>
  <c r="AY299" i="5"/>
  <c r="AU299" i="5"/>
  <c r="AQ299" i="5"/>
  <c r="AM299" i="5"/>
  <c r="AI299" i="5"/>
  <c r="AE299" i="5"/>
  <c r="AA299" i="5"/>
  <c r="W299" i="5"/>
  <c r="S299" i="5"/>
  <c r="O299" i="5"/>
  <c r="K299" i="5"/>
  <c r="G299" i="5"/>
  <c r="BK298" i="5"/>
  <c r="BG298" i="5"/>
  <c r="BC298" i="5"/>
  <c r="AY298" i="5"/>
  <c r="AU298" i="5"/>
  <c r="AQ298" i="5"/>
  <c r="AM298" i="5"/>
  <c r="AI298" i="5"/>
  <c r="AE298" i="5"/>
  <c r="AA298" i="5"/>
  <c r="W298" i="5"/>
  <c r="O298" i="5"/>
  <c r="K298" i="5"/>
  <c r="G298" i="5"/>
  <c r="BK297" i="5"/>
  <c r="BG297" i="5"/>
  <c r="BC297" i="5"/>
  <c r="AY297" i="5"/>
  <c r="AU297" i="5"/>
  <c r="AQ297" i="5"/>
  <c r="AM297" i="5"/>
  <c r="AI297" i="5"/>
  <c r="AE297" i="5"/>
  <c r="AA297" i="5"/>
  <c r="W297" i="5"/>
  <c r="O297" i="5"/>
  <c r="K297" i="5"/>
  <c r="G297" i="5"/>
  <c r="BK296" i="5"/>
  <c r="BG296" i="5"/>
  <c r="BC296" i="5"/>
  <c r="AY296" i="5"/>
  <c r="AU296" i="5"/>
  <c r="AQ296" i="5"/>
  <c r="AM296" i="5"/>
  <c r="AI296" i="5"/>
  <c r="AE296" i="5"/>
  <c r="AA296" i="5"/>
  <c r="W296" i="5"/>
  <c r="S296" i="5"/>
  <c r="O296" i="5"/>
  <c r="K296" i="5"/>
  <c r="G296" i="5"/>
  <c r="BK295" i="5"/>
  <c r="BG295" i="5"/>
  <c r="BC295" i="5"/>
  <c r="AY295" i="5"/>
  <c r="AU295" i="5"/>
  <c r="AQ295" i="5"/>
  <c r="AM295" i="5"/>
  <c r="AI295" i="5"/>
  <c r="AE295" i="5"/>
  <c r="AA295" i="5"/>
  <c r="W295" i="5"/>
  <c r="S295" i="5"/>
  <c r="O295" i="5"/>
  <c r="K295" i="5"/>
  <c r="G295" i="5"/>
  <c r="D452" i="5" l="1"/>
  <c r="D515" i="5"/>
  <c r="D508" i="5"/>
  <c r="F450" i="5"/>
  <c r="F456" i="5"/>
  <c r="F457" i="5"/>
  <c r="D511" i="5"/>
  <c r="F454" i="5"/>
  <c r="D449" i="5"/>
  <c r="D510" i="5"/>
  <c r="D513" i="5"/>
  <c r="D507" i="5"/>
  <c r="E296" i="5"/>
  <c r="E303" i="5"/>
  <c r="E301" i="5"/>
  <c r="D455" i="5"/>
  <c r="D453" i="5"/>
  <c r="E302" i="5"/>
  <c r="D512" i="5"/>
  <c r="E305" i="5"/>
  <c r="D514" i="5"/>
  <c r="F509" i="5"/>
  <c r="E304" i="5"/>
  <c r="E295" i="5"/>
  <c r="E299" i="5"/>
  <c r="E297" i="5"/>
  <c r="S298" i="5"/>
  <c r="E298" i="5" s="1"/>
  <c r="F299" i="5" l="1"/>
  <c r="F296" i="5"/>
  <c r="F297" i="5"/>
  <c r="F295" i="5"/>
  <c r="D302" i="5"/>
  <c r="D301" i="5"/>
  <c r="D303" i="5"/>
  <c r="D296" i="5"/>
  <c r="D297" i="5"/>
  <c r="D299" i="5"/>
  <c r="D295" i="5"/>
  <c r="D305" i="5"/>
  <c r="D304" i="5"/>
  <c r="G268" i="5"/>
  <c r="F298" i="5" l="1"/>
  <c r="D298" i="5"/>
  <c r="BK540" i="5"/>
  <c r="BK541" i="5"/>
  <c r="BK542" i="5"/>
  <c r="BG540" i="5"/>
  <c r="BG541" i="5"/>
  <c r="BG542" i="5"/>
  <c r="BC540" i="5"/>
  <c r="BC541" i="5"/>
  <c r="BC542" i="5"/>
  <c r="AY540" i="5"/>
  <c r="AY541" i="5"/>
  <c r="AY542" i="5"/>
  <c r="AU540" i="5"/>
  <c r="AU541" i="5"/>
  <c r="AU542" i="5"/>
  <c r="AQ540" i="5"/>
  <c r="AQ541" i="5"/>
  <c r="AQ542" i="5"/>
  <c r="AM540" i="5"/>
  <c r="AM541" i="5"/>
  <c r="AM542" i="5"/>
  <c r="AI540" i="5"/>
  <c r="AI541" i="5"/>
  <c r="AI542" i="5"/>
  <c r="AE540" i="5"/>
  <c r="AE541" i="5"/>
  <c r="AE542" i="5"/>
  <c r="AA540" i="5"/>
  <c r="AA541" i="5"/>
  <c r="AA542" i="5"/>
  <c r="W540" i="5"/>
  <c r="W541" i="5"/>
  <c r="W542" i="5"/>
  <c r="S540" i="5"/>
  <c r="S541" i="5"/>
  <c r="S542" i="5"/>
  <c r="O540" i="5"/>
  <c r="O541" i="5"/>
  <c r="O542" i="5"/>
  <c r="K540" i="5"/>
  <c r="K541" i="5"/>
  <c r="K542" i="5"/>
  <c r="G540" i="5"/>
  <c r="G541" i="5"/>
  <c r="G542" i="5"/>
  <c r="E542" i="5" l="1"/>
  <c r="E540" i="5"/>
  <c r="E541" i="5"/>
  <c r="AD654" i="5"/>
  <c r="AD669" i="5" s="1"/>
  <c r="AD684" i="5" s="1"/>
  <c r="AD699" i="5" s="1"/>
  <c r="AD714" i="5" s="1"/>
  <c r="AD729" i="5" s="1"/>
  <c r="AD744" i="5" s="1"/>
  <c r="AD759" i="5" s="1"/>
  <c r="AD774" i="5" s="1"/>
  <c r="AD789" i="5" s="1"/>
  <c r="AD655" i="5"/>
  <c r="AD670" i="5" s="1"/>
  <c r="AD685" i="5" s="1"/>
  <c r="AD700" i="5" s="1"/>
  <c r="AD715" i="5" s="1"/>
  <c r="AD730" i="5" s="1"/>
  <c r="AD745" i="5" s="1"/>
  <c r="AD760" i="5" s="1"/>
  <c r="AD775" i="5" s="1"/>
  <c r="AD790" i="5" s="1"/>
  <c r="AD656" i="5"/>
  <c r="AD671" i="5" s="1"/>
  <c r="AD686" i="5" s="1"/>
  <c r="AD701" i="5" s="1"/>
  <c r="AD716" i="5" s="1"/>
  <c r="AD731" i="5" s="1"/>
  <c r="AD746" i="5" s="1"/>
  <c r="AD761" i="5" s="1"/>
  <c r="AD776" i="5" s="1"/>
  <c r="AD791" i="5" s="1"/>
  <c r="AD657" i="5"/>
  <c r="AD672" i="5" s="1"/>
  <c r="AD687" i="5" s="1"/>
  <c r="AD702" i="5" s="1"/>
  <c r="AD717" i="5" s="1"/>
  <c r="AD732" i="5" s="1"/>
  <c r="AD747" i="5" s="1"/>
  <c r="AD762" i="5" s="1"/>
  <c r="AD777" i="5" s="1"/>
  <c r="AD792" i="5" s="1"/>
  <c r="AD658" i="5"/>
  <c r="AD673" i="5" s="1"/>
  <c r="AD688" i="5" s="1"/>
  <c r="AD703" i="5" s="1"/>
  <c r="AD718" i="5" s="1"/>
  <c r="AD733" i="5" s="1"/>
  <c r="AD748" i="5" s="1"/>
  <c r="AD763" i="5" s="1"/>
  <c r="AD778" i="5" s="1"/>
  <c r="AD793" i="5" s="1"/>
  <c r="AD659" i="5"/>
  <c r="AD674" i="5" s="1"/>
  <c r="AD689" i="5" s="1"/>
  <c r="AD704" i="5" s="1"/>
  <c r="AD719" i="5" s="1"/>
  <c r="AD734" i="5" s="1"/>
  <c r="AD749" i="5" s="1"/>
  <c r="AD764" i="5" s="1"/>
  <c r="AD779" i="5" s="1"/>
  <c r="AD794" i="5" s="1"/>
  <c r="AD660" i="5"/>
  <c r="AD675" i="5" s="1"/>
  <c r="AD690" i="5" s="1"/>
  <c r="AD705" i="5" s="1"/>
  <c r="AD720" i="5" s="1"/>
  <c r="AD735" i="5" s="1"/>
  <c r="AD750" i="5" s="1"/>
  <c r="AD765" i="5" s="1"/>
  <c r="AD780" i="5" s="1"/>
  <c r="AD661" i="5"/>
  <c r="AD676" i="5" s="1"/>
  <c r="AD691" i="5" s="1"/>
  <c r="AD706" i="5" s="1"/>
  <c r="AD721" i="5" s="1"/>
  <c r="AD736" i="5" s="1"/>
  <c r="AD751" i="5" s="1"/>
  <c r="AD766" i="5" s="1"/>
  <c r="AD781" i="5" s="1"/>
  <c r="AD662" i="5"/>
  <c r="AD677" i="5" s="1"/>
  <c r="AD692" i="5" s="1"/>
  <c r="AD707" i="5" s="1"/>
  <c r="AD722" i="5" s="1"/>
  <c r="AD737" i="5" s="1"/>
  <c r="AD752" i="5" s="1"/>
  <c r="AD767" i="5" s="1"/>
  <c r="AD782" i="5" s="1"/>
  <c r="AD663" i="5"/>
  <c r="AD678" i="5" s="1"/>
  <c r="AD693" i="5" s="1"/>
  <c r="AD708" i="5" s="1"/>
  <c r="AD723" i="5" s="1"/>
  <c r="AD738" i="5" s="1"/>
  <c r="AD753" i="5" s="1"/>
  <c r="AD768" i="5" s="1"/>
  <c r="AD783" i="5" s="1"/>
  <c r="AD664" i="5"/>
  <c r="AD679" i="5" s="1"/>
  <c r="AD694" i="5" s="1"/>
  <c r="AD709" i="5" s="1"/>
  <c r="AD724" i="5" s="1"/>
  <c r="AD739" i="5" s="1"/>
  <c r="AD754" i="5" s="1"/>
  <c r="AD769" i="5" s="1"/>
  <c r="AD784" i="5" s="1"/>
  <c r="AD743" i="5"/>
  <c r="AD758" i="5" s="1"/>
  <c r="AD773" i="5" s="1"/>
  <c r="AD788" i="5" s="1"/>
  <c r="AD651" i="5"/>
  <c r="AD666" i="5" s="1"/>
  <c r="AD681" i="5" s="1"/>
  <c r="AD696" i="5" s="1"/>
  <c r="AD711" i="5" s="1"/>
  <c r="AD726" i="5" s="1"/>
  <c r="AD741" i="5" s="1"/>
  <c r="AD756" i="5" s="1"/>
  <c r="AD771" i="5" s="1"/>
  <c r="AD786" i="5" s="1"/>
  <c r="AD652" i="5"/>
  <c r="AD667" i="5" s="1"/>
  <c r="AD682" i="5" s="1"/>
  <c r="AD697" i="5" s="1"/>
  <c r="AD712" i="5" s="1"/>
  <c r="AD727" i="5" s="1"/>
  <c r="AD742" i="5" s="1"/>
  <c r="AD757" i="5" s="1"/>
  <c r="AD772" i="5" s="1"/>
  <c r="AD787" i="5" s="1"/>
  <c r="AD650" i="5"/>
  <c r="AD665" i="5" s="1"/>
  <c r="AD680" i="5" s="1"/>
  <c r="AD695" i="5" s="1"/>
  <c r="AD710" i="5" s="1"/>
  <c r="AD725" i="5" s="1"/>
  <c r="AD740" i="5" s="1"/>
  <c r="AD755" i="5" s="1"/>
  <c r="AD770" i="5" s="1"/>
  <c r="AD785" i="5" s="1"/>
  <c r="Z646" i="5"/>
  <c r="Z661" i="5" s="1"/>
  <c r="Z676" i="5" s="1"/>
  <c r="Z691" i="5" s="1"/>
  <c r="Z706" i="5" s="1"/>
  <c r="Z721" i="5" s="1"/>
  <c r="Z736" i="5" s="1"/>
  <c r="Z751" i="5" s="1"/>
  <c r="Z766" i="5" s="1"/>
  <c r="Z781" i="5" s="1"/>
  <c r="Z647" i="5"/>
  <c r="Z662" i="5" s="1"/>
  <c r="Z677" i="5" s="1"/>
  <c r="Z692" i="5" s="1"/>
  <c r="Z707" i="5" s="1"/>
  <c r="Z722" i="5" s="1"/>
  <c r="Z737" i="5" s="1"/>
  <c r="Z752" i="5" s="1"/>
  <c r="Z767" i="5" s="1"/>
  <c r="Z782" i="5" s="1"/>
  <c r="Z648" i="5"/>
  <c r="Z663" i="5" s="1"/>
  <c r="Z678" i="5" s="1"/>
  <c r="Z693" i="5" s="1"/>
  <c r="Z708" i="5" s="1"/>
  <c r="Z723" i="5" s="1"/>
  <c r="Z738" i="5" s="1"/>
  <c r="Z753" i="5" s="1"/>
  <c r="Z768" i="5" s="1"/>
  <c r="Z783" i="5" s="1"/>
  <c r="Z649" i="5"/>
  <c r="Z664" i="5" s="1"/>
  <c r="Z679" i="5" s="1"/>
  <c r="Z694" i="5" s="1"/>
  <c r="Z709" i="5" s="1"/>
  <c r="Z724" i="5" s="1"/>
  <c r="Z739" i="5" s="1"/>
  <c r="Z754" i="5" s="1"/>
  <c r="Z769" i="5" s="1"/>
  <c r="Z784" i="5" s="1"/>
  <c r="Z650" i="5"/>
  <c r="Z665" i="5" s="1"/>
  <c r="Z680" i="5" s="1"/>
  <c r="Z695" i="5" s="1"/>
  <c r="Z710" i="5" s="1"/>
  <c r="Z725" i="5" s="1"/>
  <c r="Z740" i="5" s="1"/>
  <c r="Z755" i="5" s="1"/>
  <c r="Z770" i="5" s="1"/>
  <c r="Z785" i="5" s="1"/>
  <c r="Z651" i="5"/>
  <c r="Z666" i="5" s="1"/>
  <c r="Z681" i="5" s="1"/>
  <c r="Z696" i="5" s="1"/>
  <c r="Z711" i="5" s="1"/>
  <c r="Z726" i="5" s="1"/>
  <c r="Z741" i="5" s="1"/>
  <c r="Z756" i="5" s="1"/>
  <c r="Z771" i="5" s="1"/>
  <c r="Z786" i="5" s="1"/>
  <c r="Z652" i="5"/>
  <c r="Z667" i="5" s="1"/>
  <c r="Z682" i="5" s="1"/>
  <c r="Z697" i="5" s="1"/>
  <c r="Z712" i="5" s="1"/>
  <c r="Z727" i="5" s="1"/>
  <c r="Z742" i="5" s="1"/>
  <c r="Z757" i="5" s="1"/>
  <c r="Z772" i="5" s="1"/>
  <c r="Z787" i="5" s="1"/>
  <c r="Z653" i="5"/>
  <c r="Z668" i="5" s="1"/>
  <c r="Z683" i="5" s="1"/>
  <c r="Z698" i="5" s="1"/>
  <c r="Z713" i="5" s="1"/>
  <c r="Z728" i="5" s="1"/>
  <c r="Z743" i="5" s="1"/>
  <c r="Z758" i="5" s="1"/>
  <c r="Z773" i="5" s="1"/>
  <c r="Z788" i="5" s="1"/>
  <c r="Z654" i="5"/>
  <c r="Z669" i="5" s="1"/>
  <c r="Z684" i="5" s="1"/>
  <c r="Z699" i="5" s="1"/>
  <c r="Z714" i="5" s="1"/>
  <c r="Z729" i="5" s="1"/>
  <c r="Z744" i="5" s="1"/>
  <c r="Z759" i="5" s="1"/>
  <c r="Z774" i="5" s="1"/>
  <c r="Z789" i="5" s="1"/>
  <c r="Z655" i="5"/>
  <c r="Z670" i="5" s="1"/>
  <c r="Z685" i="5" s="1"/>
  <c r="Z700" i="5" s="1"/>
  <c r="Z715" i="5" s="1"/>
  <c r="Z730" i="5" s="1"/>
  <c r="Z745" i="5" s="1"/>
  <c r="Z760" i="5" s="1"/>
  <c r="Z775" i="5" s="1"/>
  <c r="Z790" i="5" s="1"/>
  <c r="Z656" i="5"/>
  <c r="Z671" i="5" s="1"/>
  <c r="Z686" i="5" s="1"/>
  <c r="Z701" i="5" s="1"/>
  <c r="Z716" i="5" s="1"/>
  <c r="Z731" i="5" s="1"/>
  <c r="Z746" i="5" s="1"/>
  <c r="Z761" i="5" s="1"/>
  <c r="Z776" i="5" s="1"/>
  <c r="Z791" i="5" s="1"/>
  <c r="Z657" i="5"/>
  <c r="Z672" i="5" s="1"/>
  <c r="Z687" i="5" s="1"/>
  <c r="Z702" i="5" s="1"/>
  <c r="Z717" i="5" s="1"/>
  <c r="Z732" i="5" s="1"/>
  <c r="Z747" i="5" s="1"/>
  <c r="Z762" i="5" s="1"/>
  <c r="Z777" i="5" s="1"/>
  <c r="Z792" i="5" s="1"/>
  <c r="Z658" i="5"/>
  <c r="Z673" i="5" s="1"/>
  <c r="Z688" i="5" s="1"/>
  <c r="Z703" i="5" s="1"/>
  <c r="Z718" i="5" s="1"/>
  <c r="Z733" i="5" s="1"/>
  <c r="Z748" i="5" s="1"/>
  <c r="Z763" i="5" s="1"/>
  <c r="Z778" i="5" s="1"/>
  <c r="Z793" i="5" s="1"/>
  <c r="Z659" i="5"/>
  <c r="Z674" i="5" s="1"/>
  <c r="Z689" i="5" s="1"/>
  <c r="Z704" i="5" s="1"/>
  <c r="Z719" i="5" s="1"/>
  <c r="Z734" i="5" s="1"/>
  <c r="Z749" i="5" s="1"/>
  <c r="Z764" i="5" s="1"/>
  <c r="Z779" i="5" s="1"/>
  <c r="Z794" i="5" s="1"/>
  <c r="Z645" i="5"/>
  <c r="Z660" i="5" s="1"/>
  <c r="Z675" i="5" s="1"/>
  <c r="Z690" i="5" s="1"/>
  <c r="Z705" i="5" s="1"/>
  <c r="Z720" i="5" s="1"/>
  <c r="Z735" i="5" s="1"/>
  <c r="Z750" i="5" s="1"/>
  <c r="Z765" i="5" s="1"/>
  <c r="Z780" i="5" s="1"/>
  <c r="F541" i="5" l="1"/>
  <c r="F540" i="5"/>
  <c r="D541" i="5"/>
  <c r="D540" i="5"/>
  <c r="I306" i="13"/>
  <c r="A481" i="13" l="1"/>
  <c r="A473" i="13"/>
  <c r="A472" i="13"/>
  <c r="A470" i="13"/>
  <c r="A469" i="13"/>
  <c r="A467" i="13"/>
  <c r="A482" i="13" s="1"/>
  <c r="A466" i="13"/>
  <c r="A465" i="13"/>
  <c r="A480" i="13" s="1"/>
  <c r="A464" i="13"/>
  <c r="A479" i="13" s="1"/>
  <c r="A463" i="13"/>
  <c r="A478" i="13" s="1"/>
  <c r="A462" i="13"/>
  <c r="A477" i="13" s="1"/>
  <c r="A461" i="13"/>
  <c r="A460" i="13"/>
  <c r="A475" i="13" s="1"/>
  <c r="A459" i="13"/>
  <c r="A474" i="13" s="1"/>
  <c r="A458" i="13"/>
  <c r="A457" i="13"/>
  <c r="A456" i="13"/>
  <c r="A471" i="13" s="1"/>
  <c r="A455" i="13"/>
  <c r="A454" i="13"/>
  <c r="A453" i="13"/>
  <c r="A468" i="13" l="1"/>
  <c r="A476" i="13"/>
  <c r="A68" i="6" l="1"/>
  <c r="B68" i="6"/>
  <c r="A69" i="6"/>
  <c r="B69" i="6"/>
  <c r="A70" i="6"/>
  <c r="B70" i="6"/>
  <c r="A71" i="6"/>
  <c r="B71" i="6"/>
  <c r="A72" i="6"/>
  <c r="B72" i="6"/>
  <c r="A73" i="6"/>
  <c r="B73" i="6"/>
  <c r="A74" i="6"/>
  <c r="B74" i="6"/>
  <c r="A75" i="6"/>
  <c r="B75" i="6"/>
  <c r="A76" i="6"/>
  <c r="B76" i="6"/>
  <c r="A77" i="6"/>
  <c r="B77" i="6"/>
  <c r="A78" i="6"/>
  <c r="B78" i="6"/>
  <c r="A79" i="6"/>
  <c r="B79" i="6"/>
  <c r="A80" i="6"/>
  <c r="B80" i="6"/>
  <c r="A81" i="6"/>
  <c r="B81" i="6"/>
  <c r="A82" i="6"/>
  <c r="B82" i="6"/>
  <c r="A83" i="6"/>
  <c r="B83" i="6"/>
  <c r="A84" i="6"/>
  <c r="B84" i="6"/>
  <c r="A85" i="6"/>
  <c r="B85" i="6"/>
  <c r="A86" i="6"/>
  <c r="B86" i="6"/>
  <c r="A87" i="6"/>
  <c r="B87" i="6"/>
  <c r="A88" i="6"/>
  <c r="B88" i="6"/>
  <c r="A89" i="6"/>
  <c r="B89" i="6"/>
  <c r="A90" i="6"/>
  <c r="B90" i="6"/>
  <c r="A91" i="6"/>
  <c r="B91" i="6"/>
  <c r="A92" i="6"/>
  <c r="B92" i="6"/>
  <c r="A93" i="6"/>
  <c r="B93" i="6"/>
  <c r="A94" i="6"/>
  <c r="B94" i="6"/>
  <c r="A95" i="6"/>
  <c r="B95" i="6"/>
  <c r="A96" i="6"/>
  <c r="B96" i="6"/>
  <c r="A97" i="6"/>
  <c r="B97" i="6"/>
  <c r="A98" i="6"/>
  <c r="B98" i="6"/>
  <c r="A99" i="6"/>
  <c r="B99" i="6"/>
  <c r="A100" i="6"/>
  <c r="B100" i="6"/>
  <c r="A101" i="6"/>
  <c r="B101" i="6"/>
  <c r="A102" i="6"/>
  <c r="B102" i="6"/>
  <c r="A103" i="6"/>
  <c r="B103" i="6"/>
  <c r="A104" i="6"/>
  <c r="B104" i="6"/>
  <c r="A105" i="6"/>
  <c r="B105" i="6"/>
  <c r="A106" i="6"/>
  <c r="B106" i="6"/>
  <c r="A107" i="6"/>
  <c r="B107" i="6"/>
  <c r="A108" i="6"/>
  <c r="B108" i="6"/>
  <c r="A109" i="6"/>
  <c r="B109" i="6"/>
  <c r="A110" i="6"/>
  <c r="B110" i="6"/>
  <c r="A111" i="6"/>
  <c r="B111" i="6"/>
  <c r="A112" i="6"/>
  <c r="B112" i="6"/>
  <c r="A113" i="6"/>
  <c r="B113" i="6"/>
  <c r="A114" i="6"/>
  <c r="B114" i="6"/>
  <c r="A65" i="6"/>
  <c r="B65" i="6"/>
  <c r="A66" i="6"/>
  <c r="B66" i="6"/>
  <c r="A67" i="6"/>
  <c r="B67" i="6"/>
  <c r="AM659" i="5" l="1"/>
  <c r="AI659" i="5"/>
  <c r="AE659" i="5"/>
  <c r="AA659" i="5"/>
  <c r="W659" i="5"/>
  <c r="S659" i="5"/>
  <c r="O659" i="5"/>
  <c r="K659" i="5"/>
  <c r="AM658" i="5"/>
  <c r="AI658" i="5"/>
  <c r="AE658" i="5"/>
  <c r="AA658" i="5"/>
  <c r="W658" i="5"/>
  <c r="S658" i="5"/>
  <c r="O658" i="5"/>
  <c r="K658" i="5"/>
  <c r="AM657" i="5"/>
  <c r="AI657" i="5"/>
  <c r="AE657" i="5"/>
  <c r="AA657" i="5"/>
  <c r="W657" i="5"/>
  <c r="S657" i="5"/>
  <c r="O657" i="5"/>
  <c r="K657" i="5"/>
  <c r="AM656" i="5"/>
  <c r="AI656" i="5"/>
  <c r="AE656" i="5"/>
  <c r="AA656" i="5"/>
  <c r="W656" i="5"/>
  <c r="S656" i="5"/>
  <c r="O656" i="5"/>
  <c r="K656" i="5"/>
  <c r="AM655" i="5"/>
  <c r="AI655" i="5"/>
  <c r="AE655" i="5"/>
  <c r="AA655" i="5"/>
  <c r="W655" i="5"/>
  <c r="S655" i="5"/>
  <c r="O655" i="5"/>
  <c r="K655" i="5"/>
  <c r="AM654" i="5"/>
  <c r="AE654" i="5"/>
  <c r="AA654" i="5"/>
  <c r="W654" i="5"/>
  <c r="S654" i="5"/>
  <c r="O654" i="5"/>
  <c r="K654" i="5"/>
  <c r="AM653" i="5"/>
  <c r="AE653" i="5"/>
  <c r="AA653" i="5"/>
  <c r="W653" i="5"/>
  <c r="S653" i="5"/>
  <c r="O653" i="5"/>
  <c r="K653" i="5"/>
  <c r="AM652" i="5"/>
  <c r="AE652" i="5"/>
  <c r="AA652" i="5"/>
  <c r="W652" i="5"/>
  <c r="S652" i="5"/>
  <c r="O652" i="5"/>
  <c r="K652" i="5"/>
  <c r="AM651" i="5"/>
  <c r="AE651" i="5"/>
  <c r="AA651" i="5"/>
  <c r="W651" i="5"/>
  <c r="S651" i="5"/>
  <c r="O651" i="5"/>
  <c r="K651" i="5"/>
  <c r="AM650" i="5"/>
  <c r="AE650" i="5"/>
  <c r="AA650" i="5"/>
  <c r="W650" i="5"/>
  <c r="S650" i="5"/>
  <c r="O650" i="5"/>
  <c r="K650" i="5"/>
  <c r="AM649" i="5"/>
  <c r="AE649" i="5"/>
  <c r="AA649" i="5"/>
  <c r="W649" i="5"/>
  <c r="S649" i="5"/>
  <c r="O649" i="5"/>
  <c r="K649" i="5"/>
  <c r="AM648" i="5"/>
  <c r="AE648" i="5"/>
  <c r="AA648" i="5"/>
  <c r="W648" i="5"/>
  <c r="S648" i="5"/>
  <c r="O648" i="5"/>
  <c r="K648" i="5"/>
  <c r="AM647" i="5"/>
  <c r="AE647" i="5"/>
  <c r="AA647" i="5"/>
  <c r="W647" i="5"/>
  <c r="S647" i="5"/>
  <c r="O647" i="5"/>
  <c r="K647" i="5"/>
  <c r="AM646" i="5"/>
  <c r="AE646" i="5"/>
  <c r="AA646" i="5"/>
  <c r="W646" i="5"/>
  <c r="S646" i="5"/>
  <c r="O646" i="5"/>
  <c r="K646" i="5"/>
  <c r="AM645" i="5"/>
  <c r="AE645" i="5"/>
  <c r="AA645" i="5"/>
  <c r="W645" i="5"/>
  <c r="S645" i="5"/>
  <c r="O645" i="5"/>
  <c r="K645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AU644" i="5"/>
  <c r="AM644" i="5"/>
  <c r="AI644" i="5"/>
  <c r="AE644" i="5"/>
  <c r="AA644" i="5"/>
  <c r="W644" i="5"/>
  <c r="S644" i="5"/>
  <c r="O644" i="5"/>
  <c r="K644" i="5"/>
  <c r="G644" i="5"/>
  <c r="AU643" i="5"/>
  <c r="AQ643" i="5"/>
  <c r="AM643" i="5"/>
  <c r="AI643" i="5"/>
  <c r="AE643" i="5"/>
  <c r="AA643" i="5"/>
  <c r="W643" i="5"/>
  <c r="S643" i="5"/>
  <c r="O643" i="5"/>
  <c r="K643" i="5"/>
  <c r="G643" i="5"/>
  <c r="AU642" i="5"/>
  <c r="AQ642" i="5"/>
  <c r="AM642" i="5"/>
  <c r="AI642" i="5"/>
  <c r="AE642" i="5"/>
  <c r="AA642" i="5"/>
  <c r="W642" i="5"/>
  <c r="S642" i="5"/>
  <c r="O642" i="5"/>
  <c r="K642" i="5"/>
  <c r="G642" i="5"/>
  <c r="AU641" i="5"/>
  <c r="AQ641" i="5"/>
  <c r="AM641" i="5"/>
  <c r="AI641" i="5"/>
  <c r="AE641" i="5"/>
  <c r="AA641" i="5"/>
  <c r="W641" i="5"/>
  <c r="S641" i="5"/>
  <c r="O641" i="5"/>
  <c r="K641" i="5"/>
  <c r="G641" i="5"/>
  <c r="AU640" i="5"/>
  <c r="AQ640" i="5"/>
  <c r="AM640" i="5"/>
  <c r="AI640" i="5"/>
  <c r="AE640" i="5"/>
  <c r="AA640" i="5"/>
  <c r="W640" i="5"/>
  <c r="S640" i="5"/>
  <c r="O640" i="5"/>
  <c r="K640" i="5"/>
  <c r="G640" i="5"/>
  <c r="AU639" i="5"/>
  <c r="AQ639" i="5"/>
  <c r="AM639" i="5"/>
  <c r="AE639" i="5"/>
  <c r="AA639" i="5"/>
  <c r="W639" i="5"/>
  <c r="S639" i="5"/>
  <c r="O639" i="5"/>
  <c r="K639" i="5"/>
  <c r="G639" i="5"/>
  <c r="AU638" i="5"/>
  <c r="AQ638" i="5"/>
  <c r="AM638" i="5"/>
  <c r="AE638" i="5"/>
  <c r="W638" i="5"/>
  <c r="S638" i="5"/>
  <c r="O638" i="5"/>
  <c r="K638" i="5"/>
  <c r="G638" i="5"/>
  <c r="AU637" i="5"/>
  <c r="AQ637" i="5"/>
  <c r="AM637" i="5"/>
  <c r="AE637" i="5"/>
  <c r="AA637" i="5"/>
  <c r="W637" i="5"/>
  <c r="S637" i="5"/>
  <c r="O637" i="5"/>
  <c r="K637" i="5"/>
  <c r="G637" i="5"/>
  <c r="AU636" i="5"/>
  <c r="AQ636" i="5"/>
  <c r="AM636" i="5"/>
  <c r="AE636" i="5"/>
  <c r="AA636" i="5"/>
  <c r="W636" i="5"/>
  <c r="S636" i="5"/>
  <c r="O636" i="5"/>
  <c r="K636" i="5"/>
  <c r="G636" i="5"/>
  <c r="AU635" i="5"/>
  <c r="AQ635" i="5"/>
  <c r="AM635" i="5"/>
  <c r="AE635" i="5"/>
  <c r="AA635" i="5"/>
  <c r="W635" i="5"/>
  <c r="S635" i="5"/>
  <c r="O635" i="5"/>
  <c r="K635" i="5"/>
  <c r="G635" i="5"/>
  <c r="AU634" i="5"/>
  <c r="AQ634" i="5"/>
  <c r="AM634" i="5"/>
  <c r="AE634" i="5"/>
  <c r="AA634" i="5"/>
  <c r="W634" i="5"/>
  <c r="S634" i="5"/>
  <c r="O634" i="5"/>
  <c r="K634" i="5"/>
  <c r="G634" i="5"/>
  <c r="AU633" i="5"/>
  <c r="AQ633" i="5"/>
  <c r="AM633" i="5"/>
  <c r="AE633" i="5"/>
  <c r="AA633" i="5"/>
  <c r="W633" i="5"/>
  <c r="S633" i="5"/>
  <c r="O633" i="5"/>
  <c r="K633" i="5"/>
  <c r="G633" i="5"/>
  <c r="AU632" i="5"/>
  <c r="AQ632" i="5"/>
  <c r="AM632" i="5"/>
  <c r="AE632" i="5"/>
  <c r="AA632" i="5"/>
  <c r="W632" i="5"/>
  <c r="S632" i="5"/>
  <c r="O632" i="5"/>
  <c r="K632" i="5"/>
  <c r="G632" i="5"/>
  <c r="AU631" i="5"/>
  <c r="AQ631" i="5"/>
  <c r="AM631" i="5"/>
  <c r="AE631" i="5"/>
  <c r="AA631" i="5"/>
  <c r="W631" i="5"/>
  <c r="S631" i="5"/>
  <c r="O631" i="5"/>
  <c r="K631" i="5"/>
  <c r="G631" i="5"/>
  <c r="AU630" i="5"/>
  <c r="AQ630" i="5"/>
  <c r="AM630" i="5"/>
  <c r="AE630" i="5"/>
  <c r="AA630" i="5"/>
  <c r="W630" i="5"/>
  <c r="S630" i="5"/>
  <c r="O630" i="5"/>
  <c r="K630" i="5"/>
  <c r="G630" i="5"/>
  <c r="L349" i="13"/>
  <c r="L364" i="13" s="1"/>
  <c r="L379" i="13" s="1"/>
  <c r="L394" i="13" s="1"/>
  <c r="L409" i="13" s="1"/>
  <c r="L424" i="13" s="1"/>
  <c r="L439" i="13" s="1"/>
  <c r="L454" i="13" s="1"/>
  <c r="L469" i="13" s="1"/>
  <c r="L352" i="13"/>
  <c r="L367" i="13" s="1"/>
  <c r="L382" i="13" s="1"/>
  <c r="L397" i="13" s="1"/>
  <c r="L412" i="13" s="1"/>
  <c r="L427" i="13" s="1"/>
  <c r="L442" i="13" s="1"/>
  <c r="L457" i="13" s="1"/>
  <c r="L472" i="13" s="1"/>
  <c r="L353" i="13"/>
  <c r="L368" i="13" s="1"/>
  <c r="L383" i="13" s="1"/>
  <c r="L398" i="13" s="1"/>
  <c r="L413" i="13" s="1"/>
  <c r="L428" i="13" s="1"/>
  <c r="L443" i="13" s="1"/>
  <c r="L458" i="13" s="1"/>
  <c r="L473" i="13" s="1"/>
  <c r="L356" i="13"/>
  <c r="L371" i="13" s="1"/>
  <c r="L386" i="13" s="1"/>
  <c r="L401" i="13" s="1"/>
  <c r="L416" i="13" s="1"/>
  <c r="L431" i="13" s="1"/>
  <c r="L446" i="13" s="1"/>
  <c r="L461" i="13" s="1"/>
  <c r="L476" i="13" s="1"/>
  <c r="L357" i="13"/>
  <c r="L372" i="13" s="1"/>
  <c r="L387" i="13" s="1"/>
  <c r="L402" i="13" s="1"/>
  <c r="L417" i="13" s="1"/>
  <c r="L432" i="13" s="1"/>
  <c r="L447" i="13" s="1"/>
  <c r="L462" i="13" s="1"/>
  <c r="L477" i="13" s="1"/>
  <c r="L360" i="13"/>
  <c r="L375" i="13" s="1"/>
  <c r="L390" i="13" s="1"/>
  <c r="L405" i="13" s="1"/>
  <c r="L420" i="13" s="1"/>
  <c r="L435" i="13" s="1"/>
  <c r="L450" i="13" s="1"/>
  <c r="L465" i="13" s="1"/>
  <c r="L480" i="13" s="1"/>
  <c r="L361" i="13"/>
  <c r="L376" i="13" s="1"/>
  <c r="L391" i="13" s="1"/>
  <c r="L406" i="13" s="1"/>
  <c r="L421" i="13" s="1"/>
  <c r="L436" i="13" s="1"/>
  <c r="L451" i="13" s="1"/>
  <c r="L466" i="13" s="1"/>
  <c r="L481" i="13" s="1"/>
  <c r="L334" i="13"/>
  <c r="L335" i="13"/>
  <c r="L350" i="13" s="1"/>
  <c r="L365" i="13" s="1"/>
  <c r="L380" i="13" s="1"/>
  <c r="L395" i="13" s="1"/>
  <c r="L410" i="13" s="1"/>
  <c r="L425" i="13" s="1"/>
  <c r="L440" i="13" s="1"/>
  <c r="L455" i="13" s="1"/>
  <c r="L470" i="13" s="1"/>
  <c r="L336" i="13"/>
  <c r="L351" i="13" s="1"/>
  <c r="L366" i="13" s="1"/>
  <c r="L381" i="13" s="1"/>
  <c r="L396" i="13" s="1"/>
  <c r="L411" i="13" s="1"/>
  <c r="L426" i="13" s="1"/>
  <c r="L441" i="13" s="1"/>
  <c r="L456" i="13" s="1"/>
  <c r="L471" i="13" s="1"/>
  <c r="L337" i="13"/>
  <c r="L338" i="13"/>
  <c r="L339" i="13"/>
  <c r="L354" i="13" s="1"/>
  <c r="L369" i="13" s="1"/>
  <c r="L384" i="13" s="1"/>
  <c r="L399" i="13" s="1"/>
  <c r="L414" i="13" s="1"/>
  <c r="L429" i="13" s="1"/>
  <c r="L444" i="13" s="1"/>
  <c r="L459" i="13" s="1"/>
  <c r="L474" i="13" s="1"/>
  <c r="L340" i="13"/>
  <c r="L355" i="13" s="1"/>
  <c r="L370" i="13" s="1"/>
  <c r="L385" i="13" s="1"/>
  <c r="L400" i="13" s="1"/>
  <c r="L415" i="13" s="1"/>
  <c r="L430" i="13" s="1"/>
  <c r="L445" i="13" s="1"/>
  <c r="L460" i="13" s="1"/>
  <c r="L475" i="13" s="1"/>
  <c r="L341" i="13"/>
  <c r="L342" i="13"/>
  <c r="L343" i="13"/>
  <c r="L358" i="13" s="1"/>
  <c r="L373" i="13" s="1"/>
  <c r="L388" i="13" s="1"/>
  <c r="L403" i="13" s="1"/>
  <c r="L418" i="13" s="1"/>
  <c r="L433" i="13" s="1"/>
  <c r="L448" i="13" s="1"/>
  <c r="L463" i="13" s="1"/>
  <c r="L478" i="13" s="1"/>
  <c r="L344" i="13"/>
  <c r="L359" i="13" s="1"/>
  <c r="L374" i="13" s="1"/>
  <c r="L389" i="13" s="1"/>
  <c r="L404" i="13" s="1"/>
  <c r="L419" i="13" s="1"/>
  <c r="L434" i="13" s="1"/>
  <c r="L449" i="13" s="1"/>
  <c r="L464" i="13" s="1"/>
  <c r="L479" i="13" s="1"/>
  <c r="L345" i="13"/>
  <c r="L346" i="13"/>
  <c r="L347" i="13"/>
  <c r="L362" i="13" s="1"/>
  <c r="L377" i="13" s="1"/>
  <c r="L392" i="13" s="1"/>
  <c r="L407" i="13" s="1"/>
  <c r="L422" i="13" s="1"/>
  <c r="L437" i="13" s="1"/>
  <c r="L452" i="13" s="1"/>
  <c r="L467" i="13" s="1"/>
  <c r="L482" i="13" s="1"/>
  <c r="L333" i="13"/>
  <c r="L348" i="13" s="1"/>
  <c r="L363" i="13" s="1"/>
  <c r="L378" i="13" s="1"/>
  <c r="L393" i="13" s="1"/>
  <c r="L408" i="13" s="1"/>
  <c r="L423" i="13" s="1"/>
  <c r="L438" i="13" s="1"/>
  <c r="L453" i="13" s="1"/>
  <c r="L468" i="13" s="1"/>
  <c r="M333" i="13"/>
  <c r="M334" i="13"/>
  <c r="M349" i="13" s="1"/>
  <c r="M364" i="13" s="1"/>
  <c r="M379" i="13" s="1"/>
  <c r="M394" i="13" s="1"/>
  <c r="M409" i="13" s="1"/>
  <c r="M424" i="13" s="1"/>
  <c r="M439" i="13" s="1"/>
  <c r="M454" i="13" s="1"/>
  <c r="M469" i="13" s="1"/>
  <c r="M335" i="13"/>
  <c r="M350" i="13" s="1"/>
  <c r="M365" i="13" s="1"/>
  <c r="M380" i="13" s="1"/>
  <c r="M395" i="13" s="1"/>
  <c r="M410" i="13" s="1"/>
  <c r="M425" i="13" s="1"/>
  <c r="M440" i="13" s="1"/>
  <c r="M455" i="13" s="1"/>
  <c r="M470" i="13" s="1"/>
  <c r="M336" i="13"/>
  <c r="M351" i="13" s="1"/>
  <c r="M366" i="13" s="1"/>
  <c r="M381" i="13" s="1"/>
  <c r="M396" i="13" s="1"/>
  <c r="M411" i="13" s="1"/>
  <c r="M426" i="13" s="1"/>
  <c r="M441" i="13" s="1"/>
  <c r="M456" i="13" s="1"/>
  <c r="M471" i="13" s="1"/>
  <c r="M337" i="13"/>
  <c r="M338" i="13"/>
  <c r="M353" i="13" s="1"/>
  <c r="M368" i="13" s="1"/>
  <c r="M383" i="13" s="1"/>
  <c r="M398" i="13" s="1"/>
  <c r="M413" i="13" s="1"/>
  <c r="M428" i="13" s="1"/>
  <c r="M443" i="13" s="1"/>
  <c r="M458" i="13" s="1"/>
  <c r="M473" i="13" s="1"/>
  <c r="M339" i="13"/>
  <c r="M354" i="13" s="1"/>
  <c r="M369" i="13" s="1"/>
  <c r="M384" i="13" s="1"/>
  <c r="M399" i="13" s="1"/>
  <c r="M414" i="13" s="1"/>
  <c r="M429" i="13" s="1"/>
  <c r="M444" i="13" s="1"/>
  <c r="M459" i="13" s="1"/>
  <c r="M474" i="13" s="1"/>
  <c r="M340" i="13"/>
  <c r="M355" i="13" s="1"/>
  <c r="M370" i="13" s="1"/>
  <c r="M385" i="13" s="1"/>
  <c r="M400" i="13" s="1"/>
  <c r="M415" i="13" s="1"/>
  <c r="M430" i="13" s="1"/>
  <c r="M445" i="13" s="1"/>
  <c r="M460" i="13" s="1"/>
  <c r="M475" i="13" s="1"/>
  <c r="M341" i="13"/>
  <c r="M342" i="13"/>
  <c r="M357" i="13" s="1"/>
  <c r="M372" i="13" s="1"/>
  <c r="M387" i="13" s="1"/>
  <c r="M402" i="13" s="1"/>
  <c r="M417" i="13" s="1"/>
  <c r="M432" i="13" s="1"/>
  <c r="M447" i="13" s="1"/>
  <c r="M462" i="13" s="1"/>
  <c r="M477" i="13" s="1"/>
  <c r="M343" i="13"/>
  <c r="M344" i="13"/>
  <c r="M359" i="13" s="1"/>
  <c r="M374" i="13" s="1"/>
  <c r="M389" i="13" s="1"/>
  <c r="M404" i="13" s="1"/>
  <c r="M419" i="13" s="1"/>
  <c r="M434" i="13" s="1"/>
  <c r="M449" i="13" s="1"/>
  <c r="M464" i="13" s="1"/>
  <c r="M479" i="13" s="1"/>
  <c r="M345" i="13"/>
  <c r="M346" i="13"/>
  <c r="M361" i="13" s="1"/>
  <c r="M376" i="13" s="1"/>
  <c r="M391" i="13" s="1"/>
  <c r="M406" i="13" s="1"/>
  <c r="M421" i="13" s="1"/>
  <c r="M436" i="13" s="1"/>
  <c r="M451" i="13" s="1"/>
  <c r="M466" i="13" s="1"/>
  <c r="M481" i="13" s="1"/>
  <c r="M347" i="13"/>
  <c r="M362" i="13" s="1"/>
  <c r="M377" i="13" s="1"/>
  <c r="M392" i="13" s="1"/>
  <c r="M407" i="13" s="1"/>
  <c r="M422" i="13" s="1"/>
  <c r="M437" i="13" s="1"/>
  <c r="M452" i="13" s="1"/>
  <c r="M467" i="13" s="1"/>
  <c r="M348" i="13"/>
  <c r="M363" i="13" s="1"/>
  <c r="M378" i="13" s="1"/>
  <c r="M393" i="13" s="1"/>
  <c r="M408" i="13" s="1"/>
  <c r="M423" i="13" s="1"/>
  <c r="M438" i="13" s="1"/>
  <c r="M453" i="13" s="1"/>
  <c r="M468" i="13" s="1"/>
  <c r="M352" i="13"/>
  <c r="M367" i="13" s="1"/>
  <c r="M382" i="13" s="1"/>
  <c r="M397" i="13" s="1"/>
  <c r="M412" i="13" s="1"/>
  <c r="M427" i="13" s="1"/>
  <c r="M442" i="13" s="1"/>
  <c r="M457" i="13" s="1"/>
  <c r="M472" i="13" s="1"/>
  <c r="M356" i="13"/>
  <c r="M371" i="13" s="1"/>
  <c r="M386" i="13" s="1"/>
  <c r="M401" i="13" s="1"/>
  <c r="M416" i="13" s="1"/>
  <c r="M431" i="13" s="1"/>
  <c r="M446" i="13" s="1"/>
  <c r="M461" i="13" s="1"/>
  <c r="M476" i="13" s="1"/>
  <c r="M358" i="13"/>
  <c r="M373" i="13" s="1"/>
  <c r="M388" i="13" s="1"/>
  <c r="M403" i="13" s="1"/>
  <c r="M418" i="13" s="1"/>
  <c r="M433" i="13" s="1"/>
  <c r="M448" i="13" s="1"/>
  <c r="M463" i="13" s="1"/>
  <c r="M478" i="13" s="1"/>
  <c r="M360" i="13"/>
  <c r="M375" i="13" s="1"/>
  <c r="M390" i="13" s="1"/>
  <c r="M405" i="13" s="1"/>
  <c r="M420" i="13" s="1"/>
  <c r="M435" i="13" s="1"/>
  <c r="M450" i="13" s="1"/>
  <c r="M465" i="13" s="1"/>
  <c r="M480" i="13" s="1"/>
  <c r="A17" i="8"/>
  <c r="A3" i="8"/>
  <c r="P31" i="8"/>
  <c r="D31" i="8"/>
  <c r="L30" i="8"/>
  <c r="D30" i="8"/>
  <c r="P29" i="8"/>
  <c r="D29" i="8"/>
  <c r="L28" i="8"/>
  <c r="D28" i="8"/>
  <c r="P27" i="8"/>
  <c r="D27" i="8"/>
  <c r="L26" i="8"/>
  <c r="D26" i="8"/>
  <c r="P25" i="8"/>
  <c r="D25" i="8"/>
  <c r="L24" i="8"/>
  <c r="D24" i="8"/>
  <c r="P23" i="8"/>
  <c r="D23" i="8"/>
  <c r="L22" i="8"/>
  <c r="D22" i="8"/>
  <c r="P21" i="8"/>
  <c r="D21" i="8"/>
  <c r="L20" i="8"/>
  <c r="H20" i="8"/>
  <c r="D20" i="8"/>
  <c r="L19" i="8"/>
  <c r="D19" i="8"/>
  <c r="L18" i="8"/>
  <c r="H18" i="8"/>
  <c r="D18" i="8"/>
  <c r="L17" i="8"/>
  <c r="D17" i="8"/>
  <c r="L16" i="8"/>
  <c r="D16" i="8"/>
  <c r="L15" i="8"/>
  <c r="D15" i="8"/>
  <c r="L14" i="8"/>
  <c r="D14" i="8"/>
  <c r="L13" i="8"/>
  <c r="D13" i="8"/>
  <c r="L12" i="8"/>
  <c r="D12" i="8"/>
  <c r="L11" i="8"/>
  <c r="D11" i="8"/>
  <c r="L10" i="8"/>
  <c r="D10" i="8"/>
  <c r="L9" i="8"/>
  <c r="D9" i="8"/>
  <c r="L8" i="8"/>
  <c r="D8" i="8"/>
  <c r="L7" i="8"/>
  <c r="L6" i="8"/>
  <c r="BH2" i="8"/>
  <c r="BD2" i="8"/>
  <c r="AZ2" i="8"/>
  <c r="AV2" i="8"/>
  <c r="AR2" i="8"/>
  <c r="AN2" i="8"/>
  <c r="AJ2" i="8"/>
  <c r="AF2" i="8"/>
  <c r="AB2" i="8"/>
  <c r="X2" i="8"/>
  <c r="T2" i="8"/>
  <c r="D2" i="8"/>
  <c r="E633" i="5" l="1"/>
  <c r="E637" i="5"/>
  <c r="E641" i="5"/>
  <c r="E650" i="5"/>
  <c r="E658" i="5"/>
  <c r="E644" i="5"/>
  <c r="E659" i="5"/>
  <c r="E639" i="5"/>
  <c r="E642" i="5"/>
  <c r="E645" i="5"/>
  <c r="E653" i="5"/>
  <c r="E651" i="5"/>
  <c r="E630" i="5"/>
  <c r="E634" i="5"/>
  <c r="E638" i="5"/>
  <c r="E652" i="5"/>
  <c r="E631" i="5"/>
  <c r="E635" i="5"/>
  <c r="E646" i="5"/>
  <c r="E654" i="5"/>
  <c r="E640" i="5"/>
  <c r="E647" i="5"/>
  <c r="E632" i="5"/>
  <c r="E636" i="5"/>
  <c r="E643" i="5"/>
  <c r="E648" i="5"/>
  <c r="E656" i="5"/>
  <c r="E655" i="5"/>
  <c r="E649" i="5"/>
  <c r="E657" i="5"/>
  <c r="A18" i="8"/>
  <c r="A33" i="8" s="1"/>
  <c r="A48" i="8"/>
  <c r="A32" i="8"/>
  <c r="A4" i="8"/>
  <c r="P20" i="8"/>
  <c r="L21" i="8"/>
  <c r="L23" i="8"/>
  <c r="L25" i="8"/>
  <c r="L27" i="8"/>
  <c r="L29" i="8"/>
  <c r="L31" i="8"/>
  <c r="P18" i="8"/>
  <c r="H21" i="8"/>
  <c r="H23" i="8"/>
  <c r="H25" i="8"/>
  <c r="H27" i="8"/>
  <c r="H29" i="8"/>
  <c r="H31" i="8"/>
  <c r="D6" i="8"/>
  <c r="D7" i="8"/>
  <c r="A5" i="8"/>
  <c r="A19" i="8"/>
  <c r="L2" i="8"/>
  <c r="D3" i="8"/>
  <c r="L3" i="8"/>
  <c r="D4" i="8"/>
  <c r="L4" i="8"/>
  <c r="D5" i="8"/>
  <c r="L5" i="8"/>
  <c r="BM3" i="8" l="1"/>
  <c r="A47" i="8"/>
  <c r="A34" i="8"/>
  <c r="A63" i="8"/>
  <c r="D648" i="5"/>
  <c r="F648" i="5"/>
  <c r="D637" i="5"/>
  <c r="F637" i="5"/>
  <c r="D650" i="5"/>
  <c r="F650" i="5"/>
  <c r="D633" i="5"/>
  <c r="F633" i="5"/>
  <c r="D649" i="5"/>
  <c r="F649" i="5"/>
  <c r="D659" i="5"/>
  <c r="F659" i="5"/>
  <c r="D653" i="5"/>
  <c r="F653" i="5"/>
  <c r="D645" i="5"/>
  <c r="F645" i="5"/>
  <c r="D654" i="5"/>
  <c r="F654" i="5"/>
  <c r="D638" i="5"/>
  <c r="F638" i="5"/>
  <c r="D641" i="5"/>
  <c r="F641" i="5"/>
  <c r="D655" i="5"/>
  <c r="F655" i="5"/>
  <c r="D639" i="5"/>
  <c r="F639" i="5"/>
  <c r="D635" i="5"/>
  <c r="F635" i="5"/>
  <c r="D642" i="5"/>
  <c r="F642" i="5"/>
  <c r="D631" i="5"/>
  <c r="F631" i="5"/>
  <c r="D636" i="5"/>
  <c r="F636" i="5"/>
  <c r="D640" i="5"/>
  <c r="F640" i="5"/>
  <c r="D657" i="5"/>
  <c r="F657" i="5"/>
  <c r="D651" i="5"/>
  <c r="F651" i="5"/>
  <c r="D646" i="5"/>
  <c r="F646" i="5"/>
  <c r="D643" i="5"/>
  <c r="F643" i="5"/>
  <c r="D630" i="5"/>
  <c r="F630" i="5"/>
  <c r="D632" i="5"/>
  <c r="F632" i="5"/>
  <c r="D634" i="5"/>
  <c r="F634" i="5"/>
  <c r="D658" i="5"/>
  <c r="F658" i="5"/>
  <c r="D652" i="5"/>
  <c r="F652" i="5"/>
  <c r="D656" i="5"/>
  <c r="F656" i="5"/>
  <c r="D647" i="5"/>
  <c r="F647" i="5"/>
  <c r="D644" i="5"/>
  <c r="F644" i="5"/>
  <c r="P26" i="8"/>
  <c r="H26" i="8"/>
  <c r="P24" i="8"/>
  <c r="H24" i="8"/>
  <c r="P30" i="8"/>
  <c r="H30" i="8"/>
  <c r="P22" i="8"/>
  <c r="H22" i="8"/>
  <c r="P28" i="8"/>
  <c r="H28" i="8"/>
  <c r="H19" i="8"/>
  <c r="P19" i="8"/>
  <c r="H17" i="8"/>
  <c r="P17" i="8"/>
  <c r="A6" i="8"/>
  <c r="A20" i="8"/>
  <c r="P15" i="8"/>
  <c r="H15" i="8"/>
  <c r="H5" i="8"/>
  <c r="P5" i="8"/>
  <c r="P7" i="8"/>
  <c r="H7" i="8"/>
  <c r="P14" i="8"/>
  <c r="H14" i="8"/>
  <c r="P6" i="8"/>
  <c r="H6" i="8"/>
  <c r="H3" i="8"/>
  <c r="P3" i="8"/>
  <c r="P13" i="8"/>
  <c r="H13" i="8"/>
  <c r="P12" i="8"/>
  <c r="H12" i="8"/>
  <c r="P11" i="8"/>
  <c r="H11" i="8"/>
  <c r="P10" i="8"/>
  <c r="H10" i="8"/>
  <c r="P2" i="8"/>
  <c r="H2" i="8"/>
  <c r="P9" i="8"/>
  <c r="H9" i="8"/>
  <c r="H4" i="8"/>
  <c r="P4" i="8"/>
  <c r="P16" i="8"/>
  <c r="H16" i="8"/>
  <c r="P8" i="8"/>
  <c r="H8" i="8"/>
  <c r="A78" i="8" l="1"/>
  <c r="A49" i="8"/>
  <c r="A62" i="8"/>
  <c r="A35" i="8"/>
  <c r="A7" i="8"/>
  <c r="A21" i="8"/>
  <c r="A93" i="8" l="1"/>
  <c r="A50" i="8"/>
  <c r="A36" i="8"/>
  <c r="A64" i="8"/>
  <c r="A77" i="8"/>
  <c r="A8" i="8"/>
  <c r="A22" i="8"/>
  <c r="A92" i="8" l="1"/>
  <c r="A51" i="8"/>
  <c r="A79" i="8"/>
  <c r="A65" i="8"/>
  <c r="A37" i="8"/>
  <c r="A108" i="8"/>
  <c r="A23" i="8"/>
  <c r="A9" i="8"/>
  <c r="A66" i="8" l="1"/>
  <c r="A52" i="8"/>
  <c r="A123" i="8"/>
  <c r="A80" i="8"/>
  <c r="A38" i="8"/>
  <c r="A94" i="8"/>
  <c r="A107" i="8"/>
  <c r="A24" i="8"/>
  <c r="A10" i="8"/>
  <c r="A39" i="8" l="1"/>
  <c r="A109" i="8"/>
  <c r="A67" i="8"/>
  <c r="A53" i="8"/>
  <c r="A95" i="8"/>
  <c r="A122" i="8"/>
  <c r="A81" i="8"/>
  <c r="A25" i="8"/>
  <c r="A11" i="8"/>
  <c r="A124" i="8" l="1"/>
  <c r="A82" i="8"/>
  <c r="A40" i="8"/>
  <c r="A68" i="8"/>
  <c r="A96" i="8"/>
  <c r="A110" i="8"/>
  <c r="A54" i="8"/>
  <c r="A26" i="8"/>
  <c r="A12" i="8"/>
  <c r="A83" i="8" l="1"/>
  <c r="A97" i="8"/>
  <c r="A111" i="8"/>
  <c r="A125" i="8"/>
  <c r="A69" i="8"/>
  <c r="A55" i="8"/>
  <c r="A41" i="8"/>
  <c r="A27" i="8"/>
  <c r="A13" i="8"/>
  <c r="A42" i="8" l="1"/>
  <c r="A56" i="8"/>
  <c r="A126" i="8"/>
  <c r="A70" i="8"/>
  <c r="A112" i="8"/>
  <c r="A84" i="8"/>
  <c r="A98" i="8"/>
  <c r="A14" i="8"/>
  <c r="A28" i="8"/>
  <c r="A71" i="8" l="1"/>
  <c r="A99" i="8"/>
  <c r="A85" i="8"/>
  <c r="A113" i="8"/>
  <c r="A43" i="8"/>
  <c r="A127" i="8"/>
  <c r="A57" i="8"/>
  <c r="A15" i="8"/>
  <c r="A29" i="8"/>
  <c r="A100" i="8" l="1"/>
  <c r="A128" i="8"/>
  <c r="A114" i="8"/>
  <c r="A58" i="8"/>
  <c r="A72" i="8"/>
  <c r="A44" i="8"/>
  <c r="A86" i="8"/>
  <c r="A16" i="8"/>
  <c r="A30" i="8"/>
  <c r="A31" i="8" l="1"/>
  <c r="A73" i="8"/>
  <c r="A87" i="8"/>
  <c r="A59" i="8"/>
  <c r="A101" i="8"/>
  <c r="A129" i="8"/>
  <c r="A45" i="8"/>
  <c r="A115" i="8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A88" i="8" l="1"/>
  <c r="A60" i="8"/>
  <c r="A102" i="8"/>
  <c r="A130" i="8"/>
  <c r="A74" i="8"/>
  <c r="A116" i="8"/>
  <c r="A46" i="8"/>
  <c r="K69" i="5"/>
  <c r="G69" i="5"/>
  <c r="K68" i="5"/>
  <c r="G68" i="5"/>
  <c r="K67" i="5"/>
  <c r="G67" i="5"/>
  <c r="K66" i="5"/>
  <c r="G66" i="5"/>
  <c r="K65" i="5"/>
  <c r="G65" i="5"/>
  <c r="K64" i="5"/>
  <c r="G64" i="5"/>
  <c r="K63" i="5"/>
  <c r="G63" i="5"/>
  <c r="K62" i="5"/>
  <c r="G62" i="5"/>
  <c r="K61" i="5"/>
  <c r="G61" i="5"/>
  <c r="K60" i="5"/>
  <c r="G60" i="5"/>
  <c r="K59" i="5"/>
  <c r="G59" i="5"/>
  <c r="K58" i="5"/>
  <c r="G58" i="5"/>
  <c r="K57" i="5"/>
  <c r="G57" i="5"/>
  <c r="K56" i="5"/>
  <c r="G56" i="5"/>
  <c r="K55" i="5"/>
  <c r="G55" i="5"/>
  <c r="K54" i="5"/>
  <c r="G54" i="5"/>
  <c r="K53" i="5"/>
  <c r="G53" i="5"/>
  <c r="K52" i="5"/>
  <c r="G52" i="5"/>
  <c r="K51" i="5"/>
  <c r="G51" i="5"/>
  <c r="K50" i="5"/>
  <c r="G50" i="5"/>
  <c r="K49" i="5"/>
  <c r="G49" i="5"/>
  <c r="K45" i="5"/>
  <c r="G45" i="5"/>
  <c r="K44" i="5"/>
  <c r="G44" i="5"/>
  <c r="K43" i="5"/>
  <c r="G43" i="5"/>
  <c r="K42" i="5"/>
  <c r="G42" i="5"/>
  <c r="K41" i="5"/>
  <c r="G41" i="5"/>
  <c r="K40" i="5"/>
  <c r="G40" i="5"/>
  <c r="K36" i="5"/>
  <c r="G36" i="5"/>
  <c r="K35" i="5"/>
  <c r="G35" i="5"/>
  <c r="K34" i="5"/>
  <c r="G34" i="5"/>
  <c r="K33" i="5"/>
  <c r="G33" i="5"/>
  <c r="K32" i="5"/>
  <c r="G32" i="5"/>
  <c r="K31" i="5"/>
  <c r="G31" i="5"/>
  <c r="K27" i="5"/>
  <c r="G27" i="5"/>
  <c r="K26" i="5"/>
  <c r="G26" i="5"/>
  <c r="K25" i="5"/>
  <c r="G25" i="5"/>
  <c r="K24" i="5"/>
  <c r="G24" i="5"/>
  <c r="K382" i="5"/>
  <c r="G382" i="5"/>
  <c r="O237" i="5"/>
  <c r="K237" i="5"/>
  <c r="G237" i="5"/>
  <c r="A61" i="8" l="1"/>
  <c r="A117" i="8"/>
  <c r="A75" i="8"/>
  <c r="A131" i="8"/>
  <c r="A89" i="8"/>
  <c r="A103" i="8"/>
  <c r="G378" i="5"/>
  <c r="A132" i="8" l="1"/>
  <c r="A104" i="8"/>
  <c r="A90" i="8"/>
  <c r="A118" i="8"/>
  <c r="A76" i="8"/>
  <c r="K361" i="5"/>
  <c r="A133" i="8" l="1"/>
  <c r="A119" i="8"/>
  <c r="A91" i="8"/>
  <c r="A105" i="8"/>
  <c r="K377" i="5"/>
  <c r="A120" i="8" l="1"/>
  <c r="A134" i="8"/>
  <c r="A106" i="8"/>
  <c r="I551" i="5"/>
  <c r="I552" i="5"/>
  <c r="I553" i="5"/>
  <c r="I554" i="5"/>
  <c r="I555" i="5"/>
  <c r="I556" i="5"/>
  <c r="I557" i="5"/>
  <c r="I558" i="5"/>
  <c r="I559" i="5"/>
  <c r="I560" i="5"/>
  <c r="I550" i="5"/>
  <c r="A135" i="8" l="1"/>
  <c r="A121" i="8"/>
  <c r="M71" i="13"/>
  <c r="M70" i="13"/>
  <c r="B70" i="13" s="1"/>
  <c r="M69" i="13"/>
  <c r="M65" i="13"/>
  <c r="M64" i="13"/>
  <c r="M63" i="13"/>
  <c r="M56" i="13"/>
  <c r="B56" i="13" s="1"/>
  <c r="M55" i="13"/>
  <c r="M54" i="13"/>
  <c r="M143" i="13"/>
  <c r="M142" i="13"/>
  <c r="M141" i="13"/>
  <c r="M137" i="13"/>
  <c r="M136" i="13"/>
  <c r="M135" i="13"/>
  <c r="M128" i="13"/>
  <c r="M127" i="13"/>
  <c r="M126" i="13"/>
  <c r="BK72" i="5"/>
  <c r="BG72" i="5"/>
  <c r="BC72" i="5"/>
  <c r="AY72" i="5"/>
  <c r="AU72" i="5"/>
  <c r="AQ72" i="5"/>
  <c r="AM72" i="5"/>
  <c r="AI72" i="5"/>
  <c r="W72" i="5"/>
  <c r="S72" i="5"/>
  <c r="K72" i="5"/>
  <c r="G72" i="5"/>
  <c r="B72" i="5"/>
  <c r="BK71" i="5"/>
  <c r="BG71" i="5"/>
  <c r="BC71" i="5"/>
  <c r="AY71" i="5"/>
  <c r="AU71" i="5"/>
  <c r="AQ71" i="5"/>
  <c r="AM71" i="5"/>
  <c r="AI71" i="5"/>
  <c r="AE71" i="5"/>
  <c r="AA71" i="5"/>
  <c r="W71" i="5"/>
  <c r="S71" i="5"/>
  <c r="K71" i="5"/>
  <c r="G71" i="5"/>
  <c r="B71" i="5"/>
  <c r="BK70" i="5"/>
  <c r="BG70" i="5"/>
  <c r="BC70" i="5"/>
  <c r="AY70" i="5"/>
  <c r="AU70" i="5"/>
  <c r="AQ70" i="5"/>
  <c r="AM70" i="5"/>
  <c r="AI70" i="5"/>
  <c r="AE70" i="5"/>
  <c r="AA70" i="5"/>
  <c r="W70" i="5"/>
  <c r="S70" i="5"/>
  <c r="K70" i="5"/>
  <c r="G70" i="5"/>
  <c r="B70" i="5"/>
  <c r="BK66" i="5"/>
  <c r="BG66" i="5"/>
  <c r="BC66" i="5"/>
  <c r="AY66" i="5"/>
  <c r="AU66" i="5"/>
  <c r="AQ66" i="5"/>
  <c r="AM66" i="5"/>
  <c r="AI66" i="5"/>
  <c r="AE66" i="5"/>
  <c r="AA66" i="5"/>
  <c r="W66" i="5"/>
  <c r="S66" i="5"/>
  <c r="B66" i="5"/>
  <c r="BK65" i="5"/>
  <c r="BG65" i="5"/>
  <c r="BC65" i="5"/>
  <c r="AY65" i="5"/>
  <c r="AU65" i="5"/>
  <c r="AQ65" i="5"/>
  <c r="AM65" i="5"/>
  <c r="AI65" i="5"/>
  <c r="AE65" i="5"/>
  <c r="AA65" i="5"/>
  <c r="W65" i="5"/>
  <c r="S65" i="5"/>
  <c r="B65" i="5"/>
  <c r="BK64" i="5"/>
  <c r="BG64" i="5"/>
  <c r="BC64" i="5"/>
  <c r="AY64" i="5"/>
  <c r="AU64" i="5"/>
  <c r="AQ64" i="5"/>
  <c r="AM64" i="5"/>
  <c r="AI64" i="5"/>
  <c r="AE64" i="5"/>
  <c r="AA64" i="5"/>
  <c r="W64" i="5"/>
  <c r="S64" i="5"/>
  <c r="B64" i="5"/>
  <c r="BK57" i="5"/>
  <c r="BG57" i="5"/>
  <c r="BC57" i="5"/>
  <c r="AY57" i="5"/>
  <c r="AU57" i="5"/>
  <c r="AQ57" i="5"/>
  <c r="AM57" i="5"/>
  <c r="AI57" i="5"/>
  <c r="AE57" i="5"/>
  <c r="AA57" i="5"/>
  <c r="W57" i="5"/>
  <c r="S57" i="5"/>
  <c r="O57" i="5"/>
  <c r="B57" i="5"/>
  <c r="BK56" i="5"/>
  <c r="BG56" i="5"/>
  <c r="BC56" i="5"/>
  <c r="AY56" i="5"/>
  <c r="AU56" i="5"/>
  <c r="AQ56" i="5"/>
  <c r="AM56" i="5"/>
  <c r="AI56" i="5"/>
  <c r="AE56" i="5"/>
  <c r="AA56" i="5"/>
  <c r="W56" i="5"/>
  <c r="S56" i="5"/>
  <c r="O56" i="5"/>
  <c r="B56" i="5"/>
  <c r="BK55" i="5"/>
  <c r="BG55" i="5"/>
  <c r="BC55" i="5"/>
  <c r="AY55" i="5"/>
  <c r="AU55" i="5"/>
  <c r="AQ55" i="5"/>
  <c r="AM55" i="5"/>
  <c r="AI55" i="5"/>
  <c r="AE55" i="5"/>
  <c r="AA55" i="5"/>
  <c r="W55" i="5"/>
  <c r="S55" i="5"/>
  <c r="O55" i="5"/>
  <c r="B55" i="5"/>
  <c r="BK144" i="5"/>
  <c r="BG144" i="5"/>
  <c r="BC144" i="5"/>
  <c r="AY144" i="5"/>
  <c r="AU144" i="5"/>
  <c r="AQ144" i="5"/>
  <c r="AM144" i="5"/>
  <c r="AI144" i="5"/>
  <c r="AE144" i="5"/>
  <c r="AA144" i="5"/>
  <c r="W144" i="5"/>
  <c r="S144" i="5"/>
  <c r="O144" i="5"/>
  <c r="K144" i="5"/>
  <c r="G144" i="5"/>
  <c r="B144" i="5"/>
  <c r="BK143" i="5"/>
  <c r="BG143" i="5"/>
  <c r="BC143" i="5"/>
  <c r="AY143" i="5"/>
  <c r="AU143" i="5"/>
  <c r="AQ143" i="5"/>
  <c r="AM143" i="5"/>
  <c r="AI143" i="5"/>
  <c r="AE143" i="5"/>
  <c r="W143" i="5"/>
  <c r="S143" i="5"/>
  <c r="O143" i="5"/>
  <c r="K143" i="5"/>
  <c r="G143" i="5"/>
  <c r="B143" i="5"/>
  <c r="BK142" i="5"/>
  <c r="BG142" i="5"/>
  <c r="BC142" i="5"/>
  <c r="AY142" i="5"/>
  <c r="AU142" i="5"/>
  <c r="AQ142" i="5"/>
  <c r="AM142" i="5"/>
  <c r="AI142" i="5"/>
  <c r="AE142" i="5"/>
  <c r="W142" i="5"/>
  <c r="S142" i="5"/>
  <c r="O142" i="5"/>
  <c r="K142" i="5"/>
  <c r="G142" i="5"/>
  <c r="B142" i="5"/>
  <c r="BK138" i="5"/>
  <c r="BG138" i="5"/>
  <c r="BC138" i="5"/>
  <c r="AY138" i="5"/>
  <c r="AU138" i="5"/>
  <c r="AQ138" i="5"/>
  <c r="AM138" i="5"/>
  <c r="AI138" i="5"/>
  <c r="AE138" i="5"/>
  <c r="AA138" i="5"/>
  <c r="W138" i="5"/>
  <c r="S138" i="5"/>
  <c r="O138" i="5"/>
  <c r="K138" i="5"/>
  <c r="G138" i="5"/>
  <c r="B138" i="5"/>
  <c r="BK137" i="5"/>
  <c r="BG137" i="5"/>
  <c r="BC137" i="5"/>
  <c r="AY137" i="5"/>
  <c r="AU137" i="5"/>
  <c r="AQ137" i="5"/>
  <c r="AM137" i="5"/>
  <c r="AI137" i="5"/>
  <c r="AE137" i="5"/>
  <c r="AA137" i="5"/>
  <c r="W137" i="5"/>
  <c r="S137" i="5"/>
  <c r="O137" i="5"/>
  <c r="K137" i="5"/>
  <c r="G137" i="5"/>
  <c r="B137" i="5"/>
  <c r="BK136" i="5"/>
  <c r="BG136" i="5"/>
  <c r="BC136" i="5"/>
  <c r="AY136" i="5"/>
  <c r="AU136" i="5"/>
  <c r="AQ136" i="5"/>
  <c r="AM136" i="5"/>
  <c r="AI136" i="5"/>
  <c r="AE136" i="5"/>
  <c r="W136" i="5"/>
  <c r="S136" i="5"/>
  <c r="O136" i="5"/>
  <c r="K136" i="5"/>
  <c r="G136" i="5"/>
  <c r="B136" i="5"/>
  <c r="BK129" i="5"/>
  <c r="BG129" i="5"/>
  <c r="BC129" i="5"/>
  <c r="AY129" i="5"/>
  <c r="AU129" i="5"/>
  <c r="AQ129" i="5"/>
  <c r="AM129" i="5"/>
  <c r="AI129" i="5"/>
  <c r="AE129" i="5"/>
  <c r="AA129" i="5"/>
  <c r="W129" i="5"/>
  <c r="S129" i="5"/>
  <c r="O129" i="5"/>
  <c r="K129" i="5"/>
  <c r="G129" i="5"/>
  <c r="B129" i="5"/>
  <c r="BK128" i="5"/>
  <c r="BG128" i="5"/>
  <c r="BC128" i="5"/>
  <c r="AY128" i="5"/>
  <c r="AU128" i="5"/>
  <c r="AQ128" i="5"/>
  <c r="AM128" i="5"/>
  <c r="AI128" i="5"/>
  <c r="AE128" i="5"/>
  <c r="AA128" i="5"/>
  <c r="W128" i="5"/>
  <c r="S128" i="5"/>
  <c r="O128" i="5"/>
  <c r="K128" i="5"/>
  <c r="G128" i="5"/>
  <c r="B128" i="5"/>
  <c r="BK127" i="5"/>
  <c r="BG127" i="5"/>
  <c r="BC127" i="5"/>
  <c r="AY127" i="5"/>
  <c r="AU127" i="5"/>
  <c r="AQ127" i="5"/>
  <c r="AM127" i="5"/>
  <c r="AI127" i="5"/>
  <c r="AE127" i="5"/>
  <c r="W127" i="5"/>
  <c r="S127" i="5"/>
  <c r="O127" i="5"/>
  <c r="K127" i="5"/>
  <c r="G127" i="5"/>
  <c r="B127" i="5"/>
  <c r="E129" i="5" l="1"/>
  <c r="K128" i="13" s="1"/>
  <c r="E128" i="5"/>
  <c r="K127" i="13" s="1"/>
  <c r="E136" i="5"/>
  <c r="K135" i="13" s="1"/>
  <c r="E65" i="5"/>
  <c r="E72" i="5"/>
  <c r="E144" i="5"/>
  <c r="K143" i="13" s="1"/>
  <c r="E55" i="5"/>
  <c r="E71" i="5"/>
  <c r="E143" i="5"/>
  <c r="K142" i="13" s="1"/>
  <c r="E70" i="5"/>
  <c r="E137" i="5"/>
  <c r="K136" i="13" s="1"/>
  <c r="E138" i="5"/>
  <c r="K137" i="13" s="1"/>
  <c r="E142" i="5"/>
  <c r="K141" i="13" s="1"/>
  <c r="E64" i="5"/>
  <c r="E127" i="5"/>
  <c r="K126" i="13" s="1"/>
  <c r="E66" i="5"/>
  <c r="E57" i="5"/>
  <c r="E56" i="5"/>
  <c r="A136" i="8"/>
  <c r="B71" i="13"/>
  <c r="B141" i="13"/>
  <c r="B143" i="13"/>
  <c r="B64" i="13"/>
  <c r="B65" i="13"/>
  <c r="B69" i="13"/>
  <c r="B63" i="13"/>
  <c r="B55" i="13"/>
  <c r="B54" i="13"/>
  <c r="B142" i="13"/>
  <c r="B135" i="13"/>
  <c r="B137" i="13"/>
  <c r="B126" i="13"/>
  <c r="B128" i="13"/>
  <c r="B136" i="13"/>
  <c r="B127" i="13"/>
  <c r="K64" i="13" l="1"/>
  <c r="K55" i="13"/>
  <c r="K65" i="13"/>
  <c r="K69" i="13"/>
  <c r="K70" i="13"/>
  <c r="K54" i="13"/>
  <c r="K71" i="13"/>
  <c r="K63" i="13"/>
  <c r="K56" i="13"/>
  <c r="D64" i="5"/>
  <c r="D65" i="5"/>
  <c r="D66" i="5"/>
  <c r="D71" i="5"/>
  <c r="D70" i="5"/>
  <c r="D72" i="5"/>
  <c r="D56" i="5"/>
  <c r="D55" i="5"/>
  <c r="D57" i="5"/>
  <c r="D129" i="5"/>
  <c r="D127" i="5"/>
  <c r="D138" i="5"/>
  <c r="D136" i="5"/>
  <c r="D143" i="5"/>
  <c r="D128" i="5"/>
  <c r="D137" i="5"/>
  <c r="D142" i="5"/>
  <c r="D144" i="5"/>
  <c r="AI117" i="5" l="1"/>
  <c r="B148" i="5" l="1"/>
  <c r="G148" i="5"/>
  <c r="K148" i="5"/>
  <c r="O148" i="5"/>
  <c r="S148" i="5"/>
  <c r="W148" i="5"/>
  <c r="AA148" i="5"/>
  <c r="AE148" i="5"/>
  <c r="AI148" i="5"/>
  <c r="AM148" i="5"/>
  <c r="AQ148" i="5"/>
  <c r="AU148" i="5"/>
  <c r="AY148" i="5"/>
  <c r="BC148" i="5"/>
  <c r="BG148" i="5"/>
  <c r="BK148" i="5"/>
  <c r="B149" i="5"/>
  <c r="G149" i="5"/>
  <c r="K149" i="5"/>
  <c r="O149" i="5"/>
  <c r="S149" i="5"/>
  <c r="W149" i="5"/>
  <c r="AA149" i="5"/>
  <c r="AE149" i="5"/>
  <c r="AI149" i="5"/>
  <c r="AM149" i="5"/>
  <c r="AQ149" i="5"/>
  <c r="AU149" i="5"/>
  <c r="AY149" i="5"/>
  <c r="BC149" i="5"/>
  <c r="BG149" i="5"/>
  <c r="BK149" i="5"/>
  <c r="B150" i="5"/>
  <c r="G150" i="5"/>
  <c r="K150" i="5"/>
  <c r="O150" i="5"/>
  <c r="S150" i="5"/>
  <c r="W150" i="5"/>
  <c r="AA150" i="5"/>
  <c r="AE150" i="5"/>
  <c r="AI150" i="5"/>
  <c r="AM150" i="5"/>
  <c r="AQ150" i="5"/>
  <c r="AU150" i="5"/>
  <c r="AY150" i="5"/>
  <c r="BC150" i="5"/>
  <c r="BG150" i="5"/>
  <c r="BK150" i="5"/>
  <c r="B151" i="5"/>
  <c r="G151" i="5"/>
  <c r="K151" i="5"/>
  <c r="O151" i="5"/>
  <c r="S151" i="5"/>
  <c r="W151" i="5"/>
  <c r="AA151" i="5"/>
  <c r="AE151" i="5"/>
  <c r="AI151" i="5"/>
  <c r="AM151" i="5"/>
  <c r="AQ151" i="5"/>
  <c r="AU151" i="5"/>
  <c r="AY151" i="5"/>
  <c r="BC151" i="5"/>
  <c r="BG151" i="5"/>
  <c r="BK151" i="5"/>
  <c r="B152" i="5"/>
  <c r="G152" i="5"/>
  <c r="K152" i="5"/>
  <c r="O152" i="5"/>
  <c r="S152" i="5"/>
  <c r="W152" i="5"/>
  <c r="AA152" i="5"/>
  <c r="AE152" i="5"/>
  <c r="AI152" i="5"/>
  <c r="AM152" i="5"/>
  <c r="AQ152" i="5"/>
  <c r="AU152" i="5"/>
  <c r="AY152" i="5"/>
  <c r="BC152" i="5"/>
  <c r="BG152" i="5"/>
  <c r="BK152" i="5"/>
  <c r="B153" i="5"/>
  <c r="G153" i="5"/>
  <c r="K153" i="5"/>
  <c r="O153" i="5"/>
  <c r="S153" i="5"/>
  <c r="W153" i="5"/>
  <c r="AA153" i="5"/>
  <c r="AE153" i="5"/>
  <c r="AI153" i="5"/>
  <c r="AM153" i="5"/>
  <c r="AQ153" i="5"/>
  <c r="AU153" i="5"/>
  <c r="AY153" i="5"/>
  <c r="BC153" i="5"/>
  <c r="BG153" i="5"/>
  <c r="BK153" i="5"/>
  <c r="B154" i="5"/>
  <c r="G154" i="5"/>
  <c r="K154" i="5"/>
  <c r="O154" i="5"/>
  <c r="S154" i="5"/>
  <c r="W154" i="5"/>
  <c r="AA154" i="5"/>
  <c r="AE154" i="5"/>
  <c r="AI154" i="5"/>
  <c r="AM154" i="5"/>
  <c r="AQ154" i="5"/>
  <c r="AU154" i="5"/>
  <c r="AY154" i="5"/>
  <c r="BC154" i="5"/>
  <c r="BG154" i="5"/>
  <c r="BK154" i="5"/>
  <c r="B155" i="5"/>
  <c r="G155" i="5"/>
  <c r="K155" i="5"/>
  <c r="O155" i="5"/>
  <c r="S155" i="5"/>
  <c r="W155" i="5"/>
  <c r="AA155" i="5"/>
  <c r="AE155" i="5"/>
  <c r="AI155" i="5"/>
  <c r="AM155" i="5"/>
  <c r="AQ155" i="5"/>
  <c r="AU155" i="5"/>
  <c r="AY155" i="5"/>
  <c r="BC155" i="5"/>
  <c r="BG155" i="5"/>
  <c r="BK155" i="5"/>
  <c r="B156" i="5"/>
  <c r="G156" i="5"/>
  <c r="K156" i="5"/>
  <c r="O156" i="5"/>
  <c r="S156" i="5"/>
  <c r="W156" i="5"/>
  <c r="AA156" i="5"/>
  <c r="AE156" i="5"/>
  <c r="AI156" i="5"/>
  <c r="AM156" i="5"/>
  <c r="AQ156" i="5"/>
  <c r="AU156" i="5"/>
  <c r="AY156" i="5"/>
  <c r="BC156" i="5"/>
  <c r="BG156" i="5"/>
  <c r="BK156" i="5"/>
  <c r="B157" i="5"/>
  <c r="G157" i="5"/>
  <c r="K157" i="5"/>
  <c r="O157" i="5"/>
  <c r="S157" i="5"/>
  <c r="W157" i="5"/>
  <c r="AA157" i="5"/>
  <c r="AE157" i="5"/>
  <c r="AI157" i="5"/>
  <c r="AM157" i="5"/>
  <c r="AQ157" i="5"/>
  <c r="AU157" i="5"/>
  <c r="AY157" i="5"/>
  <c r="BC157" i="5"/>
  <c r="BG157" i="5"/>
  <c r="BK157" i="5"/>
  <c r="B158" i="5"/>
  <c r="G158" i="5"/>
  <c r="K158" i="5"/>
  <c r="O158" i="5"/>
  <c r="S158" i="5"/>
  <c r="W158" i="5"/>
  <c r="AA158" i="5"/>
  <c r="AE158" i="5"/>
  <c r="AI158" i="5"/>
  <c r="AM158" i="5"/>
  <c r="AQ158" i="5"/>
  <c r="AU158" i="5"/>
  <c r="AY158" i="5"/>
  <c r="BC158" i="5"/>
  <c r="BG158" i="5"/>
  <c r="BK158" i="5"/>
  <c r="B159" i="5"/>
  <c r="G159" i="5"/>
  <c r="K159" i="5"/>
  <c r="O159" i="5"/>
  <c r="S159" i="5"/>
  <c r="W159" i="5"/>
  <c r="AA159" i="5"/>
  <c r="AE159" i="5"/>
  <c r="AI159" i="5"/>
  <c r="AM159" i="5"/>
  <c r="AQ159" i="5"/>
  <c r="AU159" i="5"/>
  <c r="AY159" i="5"/>
  <c r="BC159" i="5"/>
  <c r="BG159" i="5"/>
  <c r="BK159" i="5"/>
  <c r="E159" i="5" l="1"/>
  <c r="E158" i="5"/>
  <c r="E157" i="5"/>
  <c r="E156" i="5"/>
  <c r="E155" i="5"/>
  <c r="E154" i="5"/>
  <c r="E153" i="5"/>
  <c r="E152" i="5"/>
  <c r="E151" i="5"/>
  <c r="E150" i="5"/>
  <c r="E149" i="5"/>
  <c r="E148" i="5"/>
  <c r="G704" i="5"/>
  <c r="G703" i="5"/>
  <c r="K699" i="5"/>
  <c r="O699" i="5"/>
  <c r="S699" i="5"/>
  <c r="K700" i="5"/>
  <c r="O700" i="5"/>
  <c r="S700" i="5"/>
  <c r="F153" i="5" l="1"/>
  <c r="F156" i="5"/>
  <c r="F159" i="5"/>
  <c r="F148" i="5"/>
  <c r="F149" i="5"/>
  <c r="F151" i="5"/>
  <c r="F152" i="5"/>
  <c r="F155" i="5"/>
  <c r="F154" i="5"/>
  <c r="F158" i="5"/>
  <c r="F150" i="5"/>
  <c r="F157" i="5"/>
  <c r="D153" i="5"/>
  <c r="D156" i="5"/>
  <c r="D148" i="5"/>
  <c r="D152" i="5"/>
  <c r="D155" i="5"/>
  <c r="D149" i="5"/>
  <c r="D154" i="5"/>
  <c r="D158" i="5"/>
  <c r="D159" i="5"/>
  <c r="D151" i="5"/>
  <c r="D150" i="5"/>
  <c r="D157" i="5"/>
  <c r="O87" i="5"/>
  <c r="W76" i="5" l="1"/>
  <c r="W77" i="5"/>
  <c r="W78" i="5"/>
  <c r="W79" i="5"/>
  <c r="W80" i="5"/>
  <c r="W81" i="5"/>
  <c r="W85" i="5"/>
  <c r="W86" i="5"/>
  <c r="W87" i="5"/>
  <c r="W88" i="5"/>
  <c r="W89" i="5"/>
  <c r="W90" i="5"/>
  <c r="W94" i="5"/>
  <c r="W95" i="5"/>
  <c r="W96" i="5"/>
  <c r="W97" i="5"/>
  <c r="W98" i="5"/>
  <c r="W99" i="5"/>
  <c r="W103" i="5"/>
  <c r="W104" i="5"/>
  <c r="W105" i="5"/>
  <c r="W106" i="5"/>
  <c r="W107" i="5"/>
  <c r="W108" i="5"/>
  <c r="W112" i="5"/>
  <c r="W113" i="5"/>
  <c r="W114" i="5"/>
  <c r="W115" i="5"/>
  <c r="W116" i="5"/>
  <c r="W117" i="5"/>
  <c r="W121" i="5"/>
  <c r="W122" i="5"/>
  <c r="W123" i="5"/>
  <c r="W124" i="5"/>
  <c r="W125" i="5"/>
  <c r="W126" i="5"/>
  <c r="W130" i="5"/>
  <c r="W131" i="5"/>
  <c r="W132" i="5"/>
  <c r="W133" i="5"/>
  <c r="W134" i="5"/>
  <c r="W135" i="5"/>
  <c r="W139" i="5"/>
  <c r="W140" i="5"/>
  <c r="W141" i="5"/>
  <c r="W145" i="5"/>
  <c r="W146" i="5"/>
  <c r="W147" i="5"/>
  <c r="S77" i="5"/>
  <c r="S78" i="5"/>
  <c r="S79" i="5"/>
  <c r="S80" i="5"/>
  <c r="AA90" i="5"/>
  <c r="AA99" i="5"/>
  <c r="AA104" i="5"/>
  <c r="AA105" i="5"/>
  <c r="AA107" i="5"/>
  <c r="AA108" i="5"/>
  <c r="AA112" i="5"/>
  <c r="AA113" i="5"/>
  <c r="AA114" i="5"/>
  <c r="AA116" i="5"/>
  <c r="AA117" i="5"/>
  <c r="AA121" i="5"/>
  <c r="AA122" i="5"/>
  <c r="AA123" i="5"/>
  <c r="AA125" i="5"/>
  <c r="AA126" i="5"/>
  <c r="AA130" i="5"/>
  <c r="AA131" i="5"/>
  <c r="AA132" i="5"/>
  <c r="AA134" i="5"/>
  <c r="AA135" i="5"/>
  <c r="AA139" i="5"/>
  <c r="AA140" i="5"/>
  <c r="AA141" i="5"/>
  <c r="AA147" i="5"/>
  <c r="G280" i="5" l="1"/>
  <c r="E280" i="5" s="1"/>
  <c r="W272" i="5" l="1"/>
  <c r="W273" i="5"/>
  <c r="W274" i="5"/>
  <c r="W275" i="5"/>
  <c r="W276" i="5"/>
  <c r="W277" i="5"/>
  <c r="W278" i="5"/>
  <c r="W279" i="5"/>
  <c r="W271" i="5"/>
  <c r="S272" i="5"/>
  <c r="S273" i="5"/>
  <c r="S274" i="5"/>
  <c r="S275" i="5"/>
  <c r="S276" i="5"/>
  <c r="S277" i="5"/>
  <c r="S278" i="5"/>
  <c r="S279" i="5"/>
  <c r="O272" i="5"/>
  <c r="O273" i="5"/>
  <c r="O274" i="5"/>
  <c r="O275" i="5"/>
  <c r="O276" i="5"/>
  <c r="O277" i="5"/>
  <c r="O278" i="5"/>
  <c r="O279" i="5"/>
  <c r="K272" i="5"/>
  <c r="K273" i="5"/>
  <c r="K274" i="5"/>
  <c r="K275" i="5"/>
  <c r="K276" i="5"/>
  <c r="K277" i="5"/>
  <c r="K278" i="5"/>
  <c r="K279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9" i="5"/>
  <c r="G380" i="5"/>
  <c r="G381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31" i="5"/>
  <c r="G532" i="5"/>
  <c r="G533" i="5"/>
  <c r="G534" i="5"/>
  <c r="G535" i="5"/>
  <c r="G536" i="5"/>
  <c r="G537" i="5"/>
  <c r="G538" i="5"/>
  <c r="G539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E571" i="5" s="1"/>
  <c r="G572" i="5"/>
  <c r="E572" i="5" s="1"/>
  <c r="G573" i="5"/>
  <c r="E573" i="5" s="1"/>
  <c r="G574" i="5"/>
  <c r="E574" i="5" s="1"/>
  <c r="G575" i="5"/>
  <c r="E575" i="5" s="1"/>
  <c r="G576" i="5"/>
  <c r="E576" i="5" s="1"/>
  <c r="G577" i="5"/>
  <c r="E577" i="5" s="1"/>
  <c r="G578" i="5"/>
  <c r="E578" i="5" s="1"/>
  <c r="G579" i="5"/>
  <c r="E579" i="5" s="1"/>
  <c r="G580" i="5"/>
  <c r="E580" i="5" s="1"/>
  <c r="G581" i="5"/>
  <c r="E581" i="5" s="1"/>
  <c r="G582" i="5"/>
  <c r="E582" i="5" s="1"/>
  <c r="G583" i="5"/>
  <c r="E583" i="5" s="1"/>
  <c r="G584" i="5"/>
  <c r="E584" i="5" s="1"/>
  <c r="G585" i="5"/>
  <c r="E585" i="5" s="1"/>
  <c r="G586" i="5"/>
  <c r="E586" i="5" s="1"/>
  <c r="G590" i="5"/>
  <c r="E590" i="5" s="1"/>
  <c r="G591" i="5"/>
  <c r="E591" i="5" s="1"/>
  <c r="G592" i="5"/>
  <c r="E592" i="5" s="1"/>
  <c r="G593" i="5"/>
  <c r="E593" i="5" s="1"/>
  <c r="G594" i="5"/>
  <c r="E594" i="5" s="1"/>
  <c r="G595" i="5"/>
  <c r="E595" i="5" s="1"/>
  <c r="G596" i="5"/>
  <c r="E596" i="5" s="1"/>
  <c r="G597" i="5"/>
  <c r="E597" i="5" s="1"/>
  <c r="G598" i="5"/>
  <c r="E598" i="5" s="1"/>
  <c r="G599" i="5"/>
  <c r="E599" i="5" s="1"/>
  <c r="G600" i="5"/>
  <c r="E600" i="5" s="1"/>
  <c r="G601" i="5"/>
  <c r="E601" i="5" s="1"/>
  <c r="G602" i="5"/>
  <c r="E602" i="5" s="1"/>
  <c r="G603" i="5"/>
  <c r="E603" i="5" s="1"/>
  <c r="G604" i="5"/>
  <c r="E604" i="5" s="1"/>
  <c r="G605" i="5"/>
  <c r="E605" i="5" s="1"/>
  <c r="G606" i="5"/>
  <c r="E606" i="5" s="1"/>
  <c r="G607" i="5"/>
  <c r="E607" i="5" s="1"/>
  <c r="G608" i="5"/>
  <c r="E608" i="5" s="1"/>
  <c r="G609" i="5"/>
  <c r="E609" i="5" s="1"/>
  <c r="G610" i="5"/>
  <c r="E610" i="5" s="1"/>
  <c r="G611" i="5"/>
  <c r="E611" i="5" s="1"/>
  <c r="G612" i="5"/>
  <c r="E612" i="5" s="1"/>
  <c r="G613" i="5"/>
  <c r="E613" i="5" s="1"/>
  <c r="G614" i="5"/>
  <c r="E614" i="5" s="1"/>
  <c r="G615" i="5"/>
  <c r="E615" i="5" s="1"/>
  <c r="G616" i="5"/>
  <c r="E616" i="5" s="1"/>
  <c r="G617" i="5"/>
  <c r="E617" i="5" s="1"/>
  <c r="G618" i="5"/>
  <c r="E618" i="5" s="1"/>
  <c r="G619" i="5"/>
  <c r="E619" i="5" s="1"/>
  <c r="G620" i="5"/>
  <c r="E620" i="5" s="1"/>
  <c r="G621" i="5"/>
  <c r="E621" i="5" s="1"/>
  <c r="G622" i="5"/>
  <c r="E622" i="5" s="1"/>
  <c r="G623" i="5"/>
  <c r="E623" i="5" s="1"/>
  <c r="G624" i="5"/>
  <c r="E624" i="5" s="1"/>
  <c r="G625" i="5"/>
  <c r="E625" i="5" s="1"/>
  <c r="G626" i="5"/>
  <c r="E626" i="5" s="1"/>
  <c r="G627" i="5"/>
  <c r="E627" i="5" s="1"/>
  <c r="G628" i="5"/>
  <c r="E628" i="5" s="1"/>
  <c r="G629" i="5"/>
  <c r="E629" i="5" s="1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272" i="5"/>
  <c r="E272" i="5" s="1"/>
  <c r="G273" i="5"/>
  <c r="G274" i="5"/>
  <c r="G275" i="5"/>
  <c r="G276" i="5"/>
  <c r="G277" i="5"/>
  <c r="G278" i="5"/>
  <c r="G279" i="5"/>
  <c r="E275" i="5" l="1"/>
  <c r="E278" i="5"/>
  <c r="E276" i="5"/>
  <c r="E279" i="5"/>
  <c r="E277" i="5"/>
  <c r="E274" i="5"/>
  <c r="E273" i="5"/>
  <c r="F280" i="5"/>
  <c r="D280" i="5"/>
  <c r="BK506" i="5"/>
  <c r="BG506" i="5"/>
  <c r="BC506" i="5"/>
  <c r="AY506" i="5"/>
  <c r="AU506" i="5"/>
  <c r="AQ506" i="5"/>
  <c r="AM506" i="5"/>
  <c r="AI506" i="5"/>
  <c r="AE506" i="5"/>
  <c r="AA506" i="5"/>
  <c r="W506" i="5"/>
  <c r="S506" i="5"/>
  <c r="O506" i="5"/>
  <c r="K506" i="5"/>
  <c r="BK505" i="5"/>
  <c r="BG505" i="5"/>
  <c r="BC505" i="5"/>
  <c r="AY505" i="5"/>
  <c r="AU505" i="5"/>
  <c r="AQ505" i="5"/>
  <c r="AM505" i="5"/>
  <c r="AI505" i="5"/>
  <c r="AE505" i="5"/>
  <c r="AA505" i="5"/>
  <c r="W505" i="5"/>
  <c r="S505" i="5"/>
  <c r="O505" i="5"/>
  <c r="K505" i="5"/>
  <c r="BK504" i="5"/>
  <c r="BG504" i="5"/>
  <c r="BC504" i="5"/>
  <c r="AY504" i="5"/>
  <c r="AU504" i="5"/>
  <c r="AQ504" i="5"/>
  <c r="AM504" i="5"/>
  <c r="AI504" i="5"/>
  <c r="AE504" i="5"/>
  <c r="AA504" i="5"/>
  <c r="W504" i="5"/>
  <c r="S504" i="5"/>
  <c r="O504" i="5"/>
  <c r="K504" i="5"/>
  <c r="BK503" i="5"/>
  <c r="BG503" i="5"/>
  <c r="BC503" i="5"/>
  <c r="AY503" i="5"/>
  <c r="AU503" i="5"/>
  <c r="AQ503" i="5"/>
  <c r="AM503" i="5"/>
  <c r="AI503" i="5"/>
  <c r="AE503" i="5"/>
  <c r="AA503" i="5"/>
  <c r="W503" i="5"/>
  <c r="S503" i="5"/>
  <c r="O503" i="5"/>
  <c r="K503" i="5"/>
  <c r="BK502" i="5"/>
  <c r="BG502" i="5"/>
  <c r="BC502" i="5"/>
  <c r="AY502" i="5"/>
  <c r="AU502" i="5"/>
  <c r="AQ502" i="5"/>
  <c r="AM502" i="5"/>
  <c r="AI502" i="5"/>
  <c r="AE502" i="5"/>
  <c r="AA502" i="5"/>
  <c r="W502" i="5"/>
  <c r="S502" i="5"/>
  <c r="O502" i="5"/>
  <c r="K502" i="5"/>
  <c r="BK501" i="5"/>
  <c r="BG501" i="5"/>
  <c r="BC501" i="5"/>
  <c r="AY501" i="5"/>
  <c r="AU501" i="5"/>
  <c r="AQ501" i="5"/>
  <c r="AM501" i="5"/>
  <c r="AI501" i="5"/>
  <c r="AE501" i="5"/>
  <c r="AA501" i="5"/>
  <c r="W501" i="5"/>
  <c r="S501" i="5"/>
  <c r="O501" i="5"/>
  <c r="K501" i="5"/>
  <c r="BK500" i="5"/>
  <c r="BG500" i="5"/>
  <c r="BC500" i="5"/>
  <c r="AY500" i="5"/>
  <c r="AU500" i="5"/>
  <c r="AQ500" i="5"/>
  <c r="AM500" i="5"/>
  <c r="AI500" i="5"/>
  <c r="AE500" i="5"/>
  <c r="AA500" i="5"/>
  <c r="W500" i="5"/>
  <c r="S500" i="5"/>
  <c r="O500" i="5"/>
  <c r="K500" i="5"/>
  <c r="BK499" i="5"/>
  <c r="BG499" i="5"/>
  <c r="BC499" i="5"/>
  <c r="AY499" i="5"/>
  <c r="AU499" i="5"/>
  <c r="AQ499" i="5"/>
  <c r="AM499" i="5"/>
  <c r="AI499" i="5"/>
  <c r="AE499" i="5"/>
  <c r="AA499" i="5"/>
  <c r="W499" i="5"/>
  <c r="S499" i="5"/>
  <c r="O499" i="5"/>
  <c r="K499" i="5"/>
  <c r="BK498" i="5"/>
  <c r="BG498" i="5"/>
  <c r="BC498" i="5"/>
  <c r="AY498" i="5"/>
  <c r="AU498" i="5"/>
  <c r="AQ498" i="5"/>
  <c r="AM498" i="5"/>
  <c r="AI498" i="5"/>
  <c r="AE498" i="5"/>
  <c r="AA498" i="5"/>
  <c r="W498" i="5"/>
  <c r="S498" i="5"/>
  <c r="O498" i="5"/>
  <c r="K498" i="5"/>
  <c r="BK497" i="5"/>
  <c r="BG497" i="5"/>
  <c r="BC497" i="5"/>
  <c r="AY497" i="5"/>
  <c r="AU497" i="5"/>
  <c r="AQ497" i="5"/>
  <c r="AM497" i="5"/>
  <c r="AI497" i="5"/>
  <c r="AE497" i="5"/>
  <c r="AA497" i="5"/>
  <c r="W497" i="5"/>
  <c r="S497" i="5"/>
  <c r="O497" i="5"/>
  <c r="K497" i="5"/>
  <c r="BK496" i="5"/>
  <c r="BG496" i="5"/>
  <c r="BC496" i="5"/>
  <c r="AY496" i="5"/>
  <c r="AU496" i="5"/>
  <c r="AQ496" i="5"/>
  <c r="AM496" i="5"/>
  <c r="AI496" i="5"/>
  <c r="AE496" i="5"/>
  <c r="AA496" i="5"/>
  <c r="W496" i="5"/>
  <c r="S496" i="5"/>
  <c r="O496" i="5"/>
  <c r="K496" i="5"/>
  <c r="BK495" i="5"/>
  <c r="BG495" i="5"/>
  <c r="BC495" i="5"/>
  <c r="AY495" i="5"/>
  <c r="AU495" i="5"/>
  <c r="AQ495" i="5"/>
  <c r="AM495" i="5"/>
  <c r="AI495" i="5"/>
  <c r="AE495" i="5"/>
  <c r="AA495" i="5"/>
  <c r="W495" i="5"/>
  <c r="S495" i="5"/>
  <c r="O495" i="5"/>
  <c r="K495" i="5"/>
  <c r="E499" i="5" l="1"/>
  <c r="E503" i="5"/>
  <c r="E496" i="5"/>
  <c r="E500" i="5"/>
  <c r="E498" i="5"/>
  <c r="E506" i="5"/>
  <c r="E504" i="5"/>
  <c r="E497" i="5"/>
  <c r="E501" i="5"/>
  <c r="E502" i="5"/>
  <c r="E505" i="5"/>
  <c r="E495" i="5"/>
  <c r="F277" i="5"/>
  <c r="F579" i="5"/>
  <c r="F276" i="5"/>
  <c r="F576" i="5"/>
  <c r="F611" i="5"/>
  <c r="F596" i="5"/>
  <c r="F628" i="5"/>
  <c r="F613" i="5"/>
  <c r="F598" i="5"/>
  <c r="F580" i="5"/>
  <c r="F615" i="5"/>
  <c r="F600" i="5"/>
  <c r="F582" i="5"/>
  <c r="F617" i="5"/>
  <c r="F602" i="5"/>
  <c r="F273" i="5"/>
  <c r="F571" i="5"/>
  <c r="F274" i="5"/>
  <c r="F573" i="5"/>
  <c r="F584" i="5"/>
  <c r="F619" i="5"/>
  <c r="F604" i="5"/>
  <c r="F586" i="5"/>
  <c r="F621" i="5"/>
  <c r="F606" i="5"/>
  <c r="F591" i="5"/>
  <c r="F623" i="5"/>
  <c r="F608" i="5"/>
  <c r="F593" i="5"/>
  <c r="F625" i="5"/>
  <c r="F610" i="5"/>
  <c r="F275" i="5"/>
  <c r="F577" i="5"/>
  <c r="F272" i="5"/>
  <c r="F572" i="5"/>
  <c r="F595" i="5"/>
  <c r="F627" i="5"/>
  <c r="F612" i="5"/>
  <c r="F597" i="5"/>
  <c r="F629" i="5"/>
  <c r="F614" i="5"/>
  <c r="F599" i="5"/>
  <c r="F581" i="5"/>
  <c r="F616" i="5"/>
  <c r="F601" i="5"/>
  <c r="F583" i="5"/>
  <c r="F618" i="5"/>
  <c r="F278" i="5"/>
  <c r="F578" i="5"/>
  <c r="F279" i="5"/>
  <c r="F575" i="5"/>
  <c r="F574" i="5"/>
  <c r="F603" i="5"/>
  <c r="F585" i="5"/>
  <c r="F620" i="5"/>
  <c r="F605" i="5"/>
  <c r="F590" i="5"/>
  <c r="F622" i="5"/>
  <c r="F607" i="5"/>
  <c r="F592" i="5"/>
  <c r="F624" i="5"/>
  <c r="F609" i="5"/>
  <c r="F594" i="5"/>
  <c r="F626" i="5"/>
  <c r="D274" i="5"/>
  <c r="D275" i="5"/>
  <c r="D279" i="5"/>
  <c r="D278" i="5"/>
  <c r="D277" i="5"/>
  <c r="D273" i="5"/>
  <c r="D272" i="5"/>
  <c r="D276" i="5"/>
  <c r="F503" i="5" l="1"/>
  <c r="F496" i="5"/>
  <c r="F498" i="5"/>
  <c r="F506" i="5"/>
  <c r="F505" i="5"/>
  <c r="F504" i="5"/>
  <c r="F502" i="5"/>
  <c r="F501" i="5"/>
  <c r="F499" i="5"/>
  <c r="F495" i="5"/>
  <c r="F497" i="5"/>
  <c r="F500" i="5"/>
  <c r="D506" i="5"/>
  <c r="D498" i="5"/>
  <c r="D505" i="5"/>
  <c r="D496" i="5"/>
  <c r="D502" i="5"/>
  <c r="D503" i="5"/>
  <c r="D499" i="5"/>
  <c r="D504" i="5"/>
  <c r="D501" i="5"/>
  <c r="D495" i="5"/>
  <c r="D497" i="5"/>
  <c r="D500" i="5"/>
  <c r="AA271" i="5"/>
  <c r="G271" i="5"/>
  <c r="S271" i="5"/>
  <c r="O271" i="5"/>
  <c r="K271" i="5"/>
  <c r="E271" i="5" l="1"/>
  <c r="F271" i="5" s="1"/>
  <c r="O196" i="5"/>
  <c r="O195" i="5"/>
  <c r="O192" i="5"/>
  <c r="O193" i="5"/>
  <c r="O194" i="5"/>
  <c r="O191" i="5"/>
  <c r="D271" i="5" l="1"/>
  <c r="K448" i="5"/>
  <c r="O448" i="5"/>
  <c r="S448" i="5"/>
  <c r="W448" i="5"/>
  <c r="AA448" i="5"/>
  <c r="AE448" i="5"/>
  <c r="AI448" i="5"/>
  <c r="AM448" i="5"/>
  <c r="AQ448" i="5"/>
  <c r="AU448" i="5"/>
  <c r="AY448" i="5"/>
  <c r="BC448" i="5"/>
  <c r="BG448" i="5"/>
  <c r="BK448" i="5"/>
  <c r="E448" i="5" l="1"/>
  <c r="D448" i="5" s="1"/>
  <c r="D629" i="5"/>
  <c r="D628" i="5"/>
  <c r="D627" i="5"/>
  <c r="D626" i="5"/>
  <c r="D625" i="5"/>
  <c r="D624" i="5"/>
  <c r="D623" i="5"/>
  <c r="D622" i="5"/>
  <c r="D621" i="5"/>
  <c r="D620" i="5"/>
  <c r="F448" i="5" l="1"/>
  <c r="D619" i="5"/>
  <c r="D618" i="5"/>
  <c r="D617" i="5" l="1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S445" i="5" l="1"/>
  <c r="K378" i="5" l="1"/>
  <c r="G245" i="5" l="1"/>
  <c r="L35" i="8" l="1"/>
  <c r="H37" i="8"/>
  <c r="H38" i="8"/>
  <c r="L39" i="8"/>
  <c r="L40" i="8"/>
  <c r="L41" i="8"/>
  <c r="L42" i="8"/>
  <c r="H44" i="8"/>
  <c r="H46" i="8"/>
  <c r="P47" i="8"/>
  <c r="P48" i="8"/>
  <c r="H50" i="8"/>
  <c r="L52" i="8"/>
  <c r="L53" i="8"/>
  <c r="P54" i="8"/>
  <c r="H55" i="8"/>
  <c r="L56" i="8"/>
  <c r="L57" i="8"/>
  <c r="H62" i="8"/>
  <c r="L65" i="8"/>
  <c r="L68" i="8"/>
  <c r="L69" i="8"/>
  <c r="H70" i="8"/>
  <c r="L71" i="8"/>
  <c r="L73" i="8"/>
  <c r="L78" i="8"/>
  <c r="H81" i="8"/>
  <c r="L84" i="8"/>
  <c r="L85" i="8"/>
  <c r="P86" i="8"/>
  <c r="L92" i="8"/>
  <c r="L93" i="8"/>
  <c r="L94" i="8"/>
  <c r="L95" i="8"/>
  <c r="L96" i="8"/>
  <c r="H97" i="8"/>
  <c r="L98" i="8"/>
  <c r="L101" i="8"/>
  <c r="P102" i="8"/>
  <c r="P104" i="8"/>
  <c r="H105" i="8"/>
  <c r="H106" i="8"/>
  <c r="L109" i="8"/>
  <c r="L110" i="8"/>
  <c r="L111" i="8"/>
  <c r="H112" i="8"/>
  <c r="L113" i="8"/>
  <c r="H117" i="8"/>
  <c r="L118" i="8"/>
  <c r="L119" i="8"/>
  <c r="L120" i="8"/>
  <c r="L121" i="8"/>
  <c r="L122" i="8"/>
  <c r="L124" i="8"/>
  <c r="L125" i="8"/>
  <c r="H126" i="8"/>
  <c r="H129" i="8"/>
  <c r="H133" i="8"/>
  <c r="P134" i="8"/>
  <c r="H135" i="8"/>
  <c r="H137" i="8"/>
  <c r="L141" i="8"/>
  <c r="H142" i="8"/>
  <c r="H143" i="8"/>
  <c r="L144" i="8"/>
  <c r="H145" i="8"/>
  <c r="L149" i="8"/>
  <c r="P150" i="8"/>
  <c r="L151" i="8"/>
  <c r="L152" i="8"/>
  <c r="L154" i="8"/>
  <c r="L156" i="8"/>
  <c r="H158" i="8"/>
  <c r="H160" i="8"/>
  <c r="P161" i="8"/>
  <c r="L162" i="8"/>
  <c r="L165" i="8"/>
  <c r="H166" i="8"/>
  <c r="L142" i="8" l="1"/>
  <c r="H125" i="8"/>
  <c r="L159" i="8"/>
  <c r="L143" i="8"/>
  <c r="P110" i="8"/>
  <c r="L38" i="8"/>
  <c r="L112" i="8"/>
  <c r="L79" i="8"/>
  <c r="L135" i="8"/>
  <c r="H120" i="8"/>
  <c r="H111" i="8"/>
  <c r="L127" i="8"/>
  <c r="L103" i="8"/>
  <c r="L158" i="8"/>
  <c r="H86" i="8"/>
  <c r="L146" i="8"/>
  <c r="L134" i="8"/>
  <c r="L62" i="8"/>
  <c r="L48" i="8"/>
  <c r="H47" i="8"/>
  <c r="H124" i="8"/>
  <c r="L106" i="8"/>
  <c r="H96" i="8"/>
  <c r="L70" i="8"/>
  <c r="P56" i="8"/>
  <c r="L153" i="8"/>
  <c r="L129" i="8"/>
  <c r="H118" i="8"/>
  <c r="H78" i="8"/>
  <c r="P50" i="8"/>
  <c r="L49" i="8"/>
  <c r="L33" i="8"/>
  <c r="L89" i="8"/>
  <c r="L86" i="8"/>
  <c r="P55" i="8"/>
  <c r="L54" i="8"/>
  <c r="L137" i="8"/>
  <c r="H35" i="8"/>
  <c r="H152" i="8"/>
  <c r="H119" i="8"/>
  <c r="L80" i="8"/>
  <c r="L164" i="8"/>
  <c r="H164" i="8"/>
  <c r="P108" i="8"/>
  <c r="L108" i="8"/>
  <c r="P76" i="8"/>
  <c r="H76" i="8"/>
  <c r="P60" i="8"/>
  <c r="L60" i="8"/>
  <c r="H148" i="8"/>
  <c r="L148" i="8"/>
  <c r="H140" i="8"/>
  <c r="L140" i="8"/>
  <c r="H100" i="8"/>
  <c r="L100" i="8"/>
  <c r="P163" i="8"/>
  <c r="H163" i="8"/>
  <c r="L155" i="8"/>
  <c r="H147" i="8"/>
  <c r="L147" i="8"/>
  <c r="H139" i="8"/>
  <c r="L139" i="8"/>
  <c r="L131" i="8"/>
  <c r="H131" i="8"/>
  <c r="H123" i="8"/>
  <c r="L123" i="8"/>
  <c r="H115" i="8"/>
  <c r="L115" i="8"/>
  <c r="L107" i="8"/>
  <c r="H107" i="8"/>
  <c r="L99" i="8"/>
  <c r="L91" i="8"/>
  <c r="H91" i="8"/>
  <c r="H83" i="8"/>
  <c r="P83" i="8"/>
  <c r="H75" i="8"/>
  <c r="L75" i="8"/>
  <c r="L67" i="8"/>
  <c r="H59" i="8"/>
  <c r="L59" i="8"/>
  <c r="H51" i="8"/>
  <c r="L51" i="8"/>
  <c r="L43" i="8"/>
  <c r="H43" i="8"/>
  <c r="P158" i="8"/>
  <c r="L83" i="8"/>
  <c r="L90" i="8"/>
  <c r="P41" i="8"/>
  <c r="H162" i="8"/>
  <c r="H121" i="8"/>
  <c r="H57" i="8"/>
  <c r="H42" i="8"/>
  <c r="L160" i="8"/>
  <c r="P122" i="8"/>
  <c r="H113" i="8"/>
  <c r="H94" i="8"/>
  <c r="L87" i="8"/>
  <c r="L81" i="8"/>
  <c r="H53" i="8"/>
  <c r="L138" i="8"/>
  <c r="L130" i="8"/>
  <c r="H154" i="8"/>
  <c r="L104" i="8"/>
  <c r="L72" i="8"/>
  <c r="L45" i="8"/>
  <c r="H151" i="8"/>
  <c r="L136" i="8"/>
  <c r="L128" i="8"/>
  <c r="L105" i="8"/>
  <c r="H98" i="8"/>
  <c r="P70" i="8"/>
  <c r="L50" i="8"/>
  <c r="L46" i="8"/>
  <c r="H39" i="8"/>
  <c r="L161" i="8"/>
  <c r="P144" i="8"/>
  <c r="H104" i="8"/>
  <c r="H95" i="8"/>
  <c r="L88" i="8"/>
  <c r="L82" i="8"/>
  <c r="H128" i="8"/>
  <c r="P128" i="8"/>
  <c r="H87" i="8"/>
  <c r="P87" i="8"/>
  <c r="P157" i="8"/>
  <c r="H157" i="8"/>
  <c r="P116" i="8"/>
  <c r="H116" i="8"/>
  <c r="H36" i="8"/>
  <c r="P36" i="8"/>
  <c r="P153" i="8"/>
  <c r="H153" i="8"/>
  <c r="H89" i="8"/>
  <c r="P89" i="8"/>
  <c r="H49" i="8"/>
  <c r="P49" i="8"/>
  <c r="H33" i="8"/>
  <c r="P33" i="8"/>
  <c r="H88" i="8"/>
  <c r="P88" i="8"/>
  <c r="P72" i="8"/>
  <c r="H72" i="8"/>
  <c r="H159" i="8"/>
  <c r="P159" i="8"/>
  <c r="H127" i="8"/>
  <c r="P127" i="8"/>
  <c r="H136" i="8"/>
  <c r="P136" i="8"/>
  <c r="H103" i="8"/>
  <c r="P103" i="8"/>
  <c r="H45" i="8"/>
  <c r="P45" i="8"/>
  <c r="H138" i="8"/>
  <c r="P138" i="8"/>
  <c r="H130" i="8"/>
  <c r="P130" i="8"/>
  <c r="H90" i="8"/>
  <c r="P90" i="8"/>
  <c r="P126" i="8"/>
  <c r="L132" i="8"/>
  <c r="P38" i="8"/>
  <c r="P166" i="8"/>
  <c r="H150" i="8"/>
  <c r="H102" i="8"/>
  <c r="H63" i="8"/>
  <c r="L63" i="8"/>
  <c r="P44" i="8"/>
  <c r="H40" i="8"/>
  <c r="P160" i="8"/>
  <c r="L145" i="8"/>
  <c r="L117" i="8"/>
  <c r="L116" i="8"/>
  <c r="L97" i="8"/>
  <c r="P81" i="8"/>
  <c r="H68" i="8"/>
  <c r="P37" i="8"/>
  <c r="L133" i="8"/>
  <c r="H149" i="8"/>
  <c r="L61" i="8"/>
  <c r="P74" i="8"/>
  <c r="L74" i="8"/>
  <c r="H66" i="8"/>
  <c r="L66" i="8"/>
  <c r="L58" i="8"/>
  <c r="L34" i="8"/>
  <c r="P46" i="8"/>
  <c r="L37" i="8"/>
  <c r="H161" i="8"/>
  <c r="P112" i="8"/>
  <c r="H110" i="8"/>
  <c r="H99" i="8"/>
  <c r="P99" i="8"/>
  <c r="P92" i="8"/>
  <c r="L36" i="8"/>
  <c r="L114" i="8"/>
  <c r="P143" i="8"/>
  <c r="P142" i="8"/>
  <c r="H134" i="8"/>
  <c r="H84" i="8"/>
  <c r="L77" i="8"/>
  <c r="L76" i="8"/>
  <c r="H65" i="8"/>
  <c r="H54" i="8"/>
  <c r="L44" i="8"/>
  <c r="L157" i="8"/>
  <c r="H146" i="8"/>
  <c r="P146" i="8"/>
  <c r="P64" i="8"/>
  <c r="L64" i="8"/>
  <c r="L47" i="8"/>
  <c r="H93" i="8"/>
  <c r="H73" i="8"/>
  <c r="L55" i="8"/>
  <c r="L163" i="8"/>
  <c r="L150" i="8"/>
  <c r="L126" i="8"/>
  <c r="L102" i="8"/>
  <c r="L166" i="8"/>
  <c r="H79" i="8"/>
  <c r="P79" i="8"/>
  <c r="P106" i="8"/>
  <c r="P145" i="8"/>
  <c r="P129" i="8"/>
  <c r="P135" i="8"/>
  <c r="P105" i="8"/>
  <c r="P97" i="8"/>
  <c r="H77" i="8"/>
  <c r="P77" i="8"/>
  <c r="H80" i="8"/>
  <c r="P80" i="8"/>
  <c r="H61" i="8"/>
  <c r="P61" i="8"/>
  <c r="P133" i="8"/>
  <c r="P117" i="8"/>
  <c r="H82" i="8"/>
  <c r="P82" i="8"/>
  <c r="P131" i="8"/>
  <c r="P137" i="8"/>
  <c r="P62" i="8"/>
  <c r="H48" i="8"/>
  <c r="K375" i="5"/>
  <c r="P125" i="8" l="1"/>
  <c r="P124" i="8"/>
  <c r="P115" i="8"/>
  <c r="P111" i="8"/>
  <c r="P119" i="8"/>
  <c r="P78" i="8"/>
  <c r="P93" i="8"/>
  <c r="P139" i="8"/>
  <c r="P53" i="8"/>
  <c r="H56" i="8"/>
  <c r="H122" i="8"/>
  <c r="P98" i="8"/>
  <c r="P91" i="8"/>
  <c r="P164" i="8"/>
  <c r="P120" i="8"/>
  <c r="P147" i="8"/>
  <c r="P140" i="8"/>
  <c r="P35" i="8"/>
  <c r="P95" i="8"/>
  <c r="P154" i="8"/>
  <c r="P151" i="8"/>
  <c r="P152" i="8"/>
  <c r="P162" i="8"/>
  <c r="P121" i="8"/>
  <c r="P123" i="8"/>
  <c r="P118" i="8"/>
  <c r="H108" i="8"/>
  <c r="P96" i="8"/>
  <c r="P59" i="8"/>
  <c r="H41" i="8"/>
  <c r="P51" i="8"/>
  <c r="P100" i="8"/>
  <c r="H60" i="8"/>
  <c r="P113" i="8"/>
  <c r="P66" i="8"/>
  <c r="P42" i="8"/>
  <c r="P75" i="8"/>
  <c r="P43" i="8"/>
  <c r="P57" i="8"/>
  <c r="P63" i="8"/>
  <c r="P65" i="8"/>
  <c r="P84" i="8"/>
  <c r="P107" i="8"/>
  <c r="P39" i="8"/>
  <c r="P148" i="8"/>
  <c r="H155" i="8"/>
  <c r="P155" i="8"/>
  <c r="H64" i="8"/>
  <c r="H74" i="8"/>
  <c r="P94" i="8"/>
  <c r="P73" i="8"/>
  <c r="H144" i="8"/>
  <c r="H67" i="8"/>
  <c r="P67" i="8"/>
  <c r="H69" i="8"/>
  <c r="P69" i="8"/>
  <c r="H141" i="8"/>
  <c r="P141" i="8"/>
  <c r="H92" i="8"/>
  <c r="H71" i="8"/>
  <c r="P71" i="8"/>
  <c r="P40" i="8"/>
  <c r="H156" i="8"/>
  <c r="P156" i="8"/>
  <c r="H101" i="8"/>
  <c r="P101" i="8"/>
  <c r="H34" i="8"/>
  <c r="P34" i="8"/>
  <c r="P68" i="8"/>
  <c r="H58" i="8"/>
  <c r="P58" i="8"/>
  <c r="H132" i="8"/>
  <c r="P132" i="8"/>
  <c r="P165" i="8"/>
  <c r="H165" i="8"/>
  <c r="P114" i="8"/>
  <c r="H114" i="8"/>
  <c r="H85" i="8"/>
  <c r="P85" i="8"/>
  <c r="H109" i="8"/>
  <c r="P109" i="8"/>
  <c r="P149" i="8"/>
  <c r="H52" i="8"/>
  <c r="P52" i="8"/>
  <c r="S86" i="5" l="1"/>
  <c r="S87" i="5"/>
  <c r="S88" i="5"/>
  <c r="S89" i="5"/>
  <c r="S90" i="5"/>
  <c r="S94" i="5"/>
  <c r="S95" i="5"/>
  <c r="S96" i="5"/>
  <c r="S97" i="5"/>
  <c r="S98" i="5"/>
  <c r="S99" i="5"/>
  <c r="S103" i="5"/>
  <c r="S104" i="5"/>
  <c r="S105" i="5"/>
  <c r="S106" i="5"/>
  <c r="S107" i="5"/>
  <c r="S108" i="5"/>
  <c r="S112" i="5"/>
  <c r="S113" i="5"/>
  <c r="S114" i="5"/>
  <c r="S115" i="5"/>
  <c r="S116" i="5"/>
  <c r="S117" i="5"/>
  <c r="S121" i="5"/>
  <c r="S122" i="5"/>
  <c r="S123" i="5"/>
  <c r="S124" i="5"/>
  <c r="S125" i="5"/>
  <c r="S126" i="5"/>
  <c r="S130" i="5"/>
  <c r="S131" i="5"/>
  <c r="S132" i="5"/>
  <c r="S133" i="5"/>
  <c r="S135" i="5"/>
  <c r="S139" i="5"/>
  <c r="S140" i="5"/>
  <c r="S141" i="5"/>
  <c r="S145" i="5"/>
  <c r="S146" i="5"/>
  <c r="S147" i="5"/>
  <c r="S85" i="5"/>
  <c r="O99" i="5"/>
  <c r="K99" i="5"/>
  <c r="G99" i="5"/>
  <c r="O90" i="5"/>
  <c r="K90" i="5"/>
  <c r="G90" i="5"/>
  <c r="AE81" i="5"/>
  <c r="AA81" i="5"/>
  <c r="O81" i="5"/>
  <c r="K81" i="5"/>
  <c r="G81" i="5"/>
  <c r="O98" i="5"/>
  <c r="K98" i="5"/>
  <c r="G98" i="5"/>
  <c r="O97" i="5"/>
  <c r="K97" i="5"/>
  <c r="G97" i="5"/>
  <c r="O96" i="5"/>
  <c r="K96" i="5"/>
  <c r="G96" i="5"/>
  <c r="O95" i="5"/>
  <c r="K95" i="5"/>
  <c r="G95" i="5"/>
  <c r="O94" i="5"/>
  <c r="K94" i="5"/>
  <c r="G94" i="5"/>
  <c r="O89" i="5"/>
  <c r="K89" i="5"/>
  <c r="G89" i="5"/>
  <c r="O88" i="5"/>
  <c r="K88" i="5"/>
  <c r="G88" i="5"/>
  <c r="K87" i="5"/>
  <c r="G87" i="5"/>
  <c r="O86" i="5"/>
  <c r="K86" i="5"/>
  <c r="G86" i="5"/>
  <c r="O85" i="5"/>
  <c r="K85" i="5"/>
  <c r="G85" i="5"/>
  <c r="O80" i="5"/>
  <c r="K80" i="5"/>
  <c r="G80" i="5"/>
  <c r="O79" i="5"/>
  <c r="K79" i="5"/>
  <c r="G79" i="5"/>
  <c r="O78" i="5"/>
  <c r="K78" i="5"/>
  <c r="G78" i="5"/>
  <c r="O77" i="5"/>
  <c r="K77" i="5"/>
  <c r="G77" i="5"/>
  <c r="S76" i="5"/>
  <c r="O76" i="5"/>
  <c r="K76" i="5"/>
  <c r="G76" i="5"/>
  <c r="AI794" i="5"/>
  <c r="AE794" i="5"/>
  <c r="AI793" i="5"/>
  <c r="AE793" i="5"/>
  <c r="AI792" i="5"/>
  <c r="AE792" i="5"/>
  <c r="AI791" i="5"/>
  <c r="AE791" i="5"/>
  <c r="AI790" i="5"/>
  <c r="AE790" i="5"/>
  <c r="AE789" i="5"/>
  <c r="AE788" i="5"/>
  <c r="AE787" i="5"/>
  <c r="AE786" i="5"/>
  <c r="AE785" i="5"/>
  <c r="AI779" i="5"/>
  <c r="AE779" i="5"/>
  <c r="AI778" i="5"/>
  <c r="AE778" i="5"/>
  <c r="AI777" i="5"/>
  <c r="AE777" i="5"/>
  <c r="AI776" i="5"/>
  <c r="AE776" i="5"/>
  <c r="AI775" i="5"/>
  <c r="AE775" i="5"/>
  <c r="AE774" i="5"/>
  <c r="AE773" i="5"/>
  <c r="AE772" i="5"/>
  <c r="AE771" i="5"/>
  <c r="AE770" i="5"/>
  <c r="AI764" i="5"/>
  <c r="AE764" i="5"/>
  <c r="AI763" i="5"/>
  <c r="AE763" i="5"/>
  <c r="AI762" i="5"/>
  <c r="AE762" i="5"/>
  <c r="AI761" i="5"/>
  <c r="AE761" i="5"/>
  <c r="AI760" i="5"/>
  <c r="AE760" i="5"/>
  <c r="AE759" i="5"/>
  <c r="AE758" i="5"/>
  <c r="AE757" i="5"/>
  <c r="AE756" i="5"/>
  <c r="AE755" i="5"/>
  <c r="AI749" i="5"/>
  <c r="AE749" i="5"/>
  <c r="AI748" i="5"/>
  <c r="AE748" i="5"/>
  <c r="AI747" i="5"/>
  <c r="AE747" i="5"/>
  <c r="AI746" i="5"/>
  <c r="AE746" i="5"/>
  <c r="AI745" i="5"/>
  <c r="AE745" i="5"/>
  <c r="AE744" i="5"/>
  <c r="AE743" i="5"/>
  <c r="AE742" i="5"/>
  <c r="AE741" i="5"/>
  <c r="AE740" i="5"/>
  <c r="AI734" i="5"/>
  <c r="AE734" i="5"/>
  <c r="AI733" i="5"/>
  <c r="AE733" i="5"/>
  <c r="AI732" i="5"/>
  <c r="AE732" i="5"/>
  <c r="AI731" i="5"/>
  <c r="AE731" i="5"/>
  <c r="AI730" i="5"/>
  <c r="AE730" i="5"/>
  <c r="AE729" i="5"/>
  <c r="AE728" i="5"/>
  <c r="AE727" i="5"/>
  <c r="AE726" i="5"/>
  <c r="AE725" i="5"/>
  <c r="AI719" i="5"/>
  <c r="AE719" i="5"/>
  <c r="AI718" i="5"/>
  <c r="AE718" i="5"/>
  <c r="AI717" i="5"/>
  <c r="AE717" i="5"/>
  <c r="AI716" i="5"/>
  <c r="AE716" i="5"/>
  <c r="AI715" i="5"/>
  <c r="AE715" i="5"/>
  <c r="AE714" i="5"/>
  <c r="AE713" i="5"/>
  <c r="AE712" i="5"/>
  <c r="AE711" i="5"/>
  <c r="AE710" i="5"/>
  <c r="AI704" i="5"/>
  <c r="AE704" i="5"/>
  <c r="AI703" i="5"/>
  <c r="AE703" i="5"/>
  <c r="AI702" i="5"/>
  <c r="AE702" i="5"/>
  <c r="AI701" i="5"/>
  <c r="AE701" i="5"/>
  <c r="AI700" i="5"/>
  <c r="AE700" i="5"/>
  <c r="AE699" i="5"/>
  <c r="AE698" i="5"/>
  <c r="AE697" i="5"/>
  <c r="AE696" i="5"/>
  <c r="AE695" i="5"/>
  <c r="AI689" i="5"/>
  <c r="AE689" i="5"/>
  <c r="AI688" i="5"/>
  <c r="AE688" i="5"/>
  <c r="AI687" i="5"/>
  <c r="AE687" i="5"/>
  <c r="AI686" i="5"/>
  <c r="AE686" i="5"/>
  <c r="AI685" i="5"/>
  <c r="AE685" i="5"/>
  <c r="AE684" i="5"/>
  <c r="AE683" i="5"/>
  <c r="AE682" i="5"/>
  <c r="AE681" i="5"/>
  <c r="AE680" i="5"/>
  <c r="AI671" i="5"/>
  <c r="AI672" i="5"/>
  <c r="AI673" i="5"/>
  <c r="AI674" i="5"/>
  <c r="AI670" i="5"/>
  <c r="AE664" i="5"/>
  <c r="AE660" i="5"/>
  <c r="AE661" i="5"/>
  <c r="AE662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90" i="5"/>
  <c r="AE691" i="5"/>
  <c r="AE692" i="5"/>
  <c r="AE693" i="5"/>
  <c r="AE694" i="5"/>
  <c r="AE705" i="5"/>
  <c r="AE706" i="5"/>
  <c r="AE707" i="5"/>
  <c r="AE708" i="5"/>
  <c r="AE709" i="5"/>
  <c r="AE720" i="5"/>
  <c r="AE721" i="5"/>
  <c r="AE722" i="5"/>
  <c r="AE723" i="5"/>
  <c r="AE724" i="5"/>
  <c r="AE735" i="5"/>
  <c r="AE736" i="5"/>
  <c r="AE737" i="5"/>
  <c r="AE738" i="5"/>
  <c r="AE739" i="5"/>
  <c r="AE750" i="5"/>
  <c r="AE751" i="5"/>
  <c r="AE752" i="5"/>
  <c r="AE753" i="5"/>
  <c r="AE754" i="5"/>
  <c r="AE765" i="5"/>
  <c r="AE766" i="5"/>
  <c r="AE767" i="5"/>
  <c r="AE768" i="5"/>
  <c r="AE769" i="5"/>
  <c r="AE780" i="5"/>
  <c r="AE781" i="5"/>
  <c r="AE782" i="5"/>
  <c r="AE783" i="5"/>
  <c r="AE784" i="5"/>
  <c r="AE663" i="5"/>
  <c r="D601" i="5" l="1"/>
  <c r="D600" i="5"/>
  <c r="D599" i="5"/>
  <c r="D598" i="5"/>
  <c r="D597" i="5"/>
  <c r="D596" i="5"/>
  <c r="D595" i="5"/>
  <c r="D594" i="5"/>
  <c r="D593" i="5"/>
  <c r="D592" i="5"/>
  <c r="D591" i="5"/>
  <c r="D590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O232" i="5" l="1"/>
  <c r="O231" i="5"/>
  <c r="O230" i="5"/>
  <c r="O229" i="5"/>
  <c r="O228" i="5"/>
  <c r="O227" i="5"/>
  <c r="O226" i="5"/>
  <c r="O225" i="5"/>
  <c r="O224" i="5"/>
  <c r="O223" i="5"/>
  <c r="O222" i="5"/>
  <c r="O221" i="5"/>
  <c r="O220" i="5"/>
  <c r="O219" i="5"/>
  <c r="O218" i="5"/>
  <c r="O217" i="5"/>
  <c r="O216" i="5"/>
  <c r="O215" i="5"/>
  <c r="O214" i="5"/>
  <c r="O213" i="5"/>
  <c r="O212" i="5"/>
  <c r="O211" i="5"/>
  <c r="O210" i="5"/>
  <c r="O209" i="5"/>
  <c r="O208" i="5"/>
  <c r="O207" i="5"/>
  <c r="O206" i="5"/>
  <c r="O205" i="5"/>
  <c r="O204" i="5"/>
  <c r="O203" i="5"/>
  <c r="BK232" i="5"/>
  <c r="BG232" i="5"/>
  <c r="BC232" i="5"/>
  <c r="AY232" i="5"/>
  <c r="AU232" i="5"/>
  <c r="AQ232" i="5"/>
  <c r="AM232" i="5"/>
  <c r="AI232" i="5"/>
  <c r="AE232" i="5"/>
  <c r="AA232" i="5"/>
  <c r="W232" i="5"/>
  <c r="S232" i="5"/>
  <c r="K232" i="5"/>
  <c r="G232" i="5"/>
  <c r="BK231" i="5"/>
  <c r="BG231" i="5"/>
  <c r="BC231" i="5"/>
  <c r="AY231" i="5"/>
  <c r="AU231" i="5"/>
  <c r="AQ231" i="5"/>
  <c r="AM231" i="5"/>
  <c r="AI231" i="5"/>
  <c r="AE231" i="5"/>
  <c r="AA231" i="5"/>
  <c r="W231" i="5"/>
  <c r="S231" i="5"/>
  <c r="K231" i="5"/>
  <c r="G231" i="5"/>
  <c r="BK230" i="5"/>
  <c r="BG230" i="5"/>
  <c r="BC230" i="5"/>
  <c r="AY230" i="5"/>
  <c r="AU230" i="5"/>
  <c r="AQ230" i="5"/>
  <c r="AM230" i="5"/>
  <c r="AI230" i="5"/>
  <c r="AE230" i="5"/>
  <c r="AA230" i="5"/>
  <c r="W230" i="5"/>
  <c r="S230" i="5"/>
  <c r="K230" i="5"/>
  <c r="G230" i="5"/>
  <c r="BK229" i="5"/>
  <c r="BG229" i="5"/>
  <c r="BC229" i="5"/>
  <c r="AY229" i="5"/>
  <c r="AU229" i="5"/>
  <c r="AQ229" i="5"/>
  <c r="AM229" i="5"/>
  <c r="AI229" i="5"/>
  <c r="AE229" i="5"/>
  <c r="AA229" i="5"/>
  <c r="W229" i="5"/>
  <c r="S229" i="5"/>
  <c r="K229" i="5"/>
  <c r="G229" i="5"/>
  <c r="BK226" i="5"/>
  <c r="BG226" i="5"/>
  <c r="BC226" i="5"/>
  <c r="AY226" i="5"/>
  <c r="AU226" i="5"/>
  <c r="AQ226" i="5"/>
  <c r="AM226" i="5"/>
  <c r="AI226" i="5"/>
  <c r="AE226" i="5"/>
  <c r="AA226" i="5"/>
  <c r="W226" i="5"/>
  <c r="S226" i="5"/>
  <c r="K226" i="5"/>
  <c r="G226" i="5"/>
  <c r="BK225" i="5"/>
  <c r="BG225" i="5"/>
  <c r="BC225" i="5"/>
  <c r="AY225" i="5"/>
  <c r="AU225" i="5"/>
  <c r="AQ225" i="5"/>
  <c r="AM225" i="5"/>
  <c r="AI225" i="5"/>
  <c r="AE225" i="5"/>
  <c r="AA225" i="5"/>
  <c r="W225" i="5"/>
  <c r="S225" i="5"/>
  <c r="K225" i="5"/>
  <c r="G225" i="5"/>
  <c r="BK224" i="5"/>
  <c r="BG224" i="5"/>
  <c r="BC224" i="5"/>
  <c r="AY224" i="5"/>
  <c r="AU224" i="5"/>
  <c r="AQ224" i="5"/>
  <c r="AM224" i="5"/>
  <c r="AI224" i="5"/>
  <c r="AE224" i="5"/>
  <c r="AA224" i="5"/>
  <c r="W224" i="5"/>
  <c r="S224" i="5"/>
  <c r="K224" i="5"/>
  <c r="G224" i="5"/>
  <c r="BK223" i="5"/>
  <c r="BG223" i="5"/>
  <c r="BC223" i="5"/>
  <c r="AY223" i="5"/>
  <c r="AU223" i="5"/>
  <c r="AQ223" i="5"/>
  <c r="AM223" i="5"/>
  <c r="AI223" i="5"/>
  <c r="AE223" i="5"/>
  <c r="AA223" i="5"/>
  <c r="W223" i="5"/>
  <c r="S223" i="5"/>
  <c r="K223" i="5"/>
  <c r="G223" i="5"/>
  <c r="BK220" i="5"/>
  <c r="BG220" i="5"/>
  <c r="BC220" i="5"/>
  <c r="AY220" i="5"/>
  <c r="AU220" i="5"/>
  <c r="AQ220" i="5"/>
  <c r="AM220" i="5"/>
  <c r="AI220" i="5"/>
  <c r="AE220" i="5"/>
  <c r="AA220" i="5"/>
  <c r="W220" i="5"/>
  <c r="S220" i="5"/>
  <c r="K220" i="5"/>
  <c r="G220" i="5"/>
  <c r="BK219" i="5"/>
  <c r="BG219" i="5"/>
  <c r="BC219" i="5"/>
  <c r="AY219" i="5"/>
  <c r="AU219" i="5"/>
  <c r="AQ219" i="5"/>
  <c r="AM219" i="5"/>
  <c r="AI219" i="5"/>
  <c r="AE219" i="5"/>
  <c r="AA219" i="5"/>
  <c r="W219" i="5"/>
  <c r="S219" i="5"/>
  <c r="K219" i="5"/>
  <c r="G219" i="5"/>
  <c r="BK218" i="5"/>
  <c r="BG218" i="5"/>
  <c r="BC218" i="5"/>
  <c r="AY218" i="5"/>
  <c r="AU218" i="5"/>
  <c r="AQ218" i="5"/>
  <c r="AM218" i="5"/>
  <c r="AI218" i="5"/>
  <c r="AE218" i="5"/>
  <c r="AA218" i="5"/>
  <c r="W218" i="5"/>
  <c r="S218" i="5"/>
  <c r="K218" i="5"/>
  <c r="G218" i="5"/>
  <c r="BK217" i="5"/>
  <c r="BG217" i="5"/>
  <c r="BC217" i="5"/>
  <c r="AY217" i="5"/>
  <c r="AU217" i="5"/>
  <c r="AQ217" i="5"/>
  <c r="AM217" i="5"/>
  <c r="AI217" i="5"/>
  <c r="AE217" i="5"/>
  <c r="AA217" i="5"/>
  <c r="W217" i="5"/>
  <c r="S217" i="5"/>
  <c r="K217" i="5"/>
  <c r="G217" i="5"/>
  <c r="BK214" i="5"/>
  <c r="BG214" i="5"/>
  <c r="BC214" i="5"/>
  <c r="AY214" i="5"/>
  <c r="AU214" i="5"/>
  <c r="AQ214" i="5"/>
  <c r="AM214" i="5"/>
  <c r="AI214" i="5"/>
  <c r="AE214" i="5"/>
  <c r="AA214" i="5"/>
  <c r="W214" i="5"/>
  <c r="S214" i="5"/>
  <c r="K214" i="5"/>
  <c r="G214" i="5"/>
  <c r="BK213" i="5"/>
  <c r="BG213" i="5"/>
  <c r="BC213" i="5"/>
  <c r="AY213" i="5"/>
  <c r="AU213" i="5"/>
  <c r="AQ213" i="5"/>
  <c r="AM213" i="5"/>
  <c r="AI213" i="5"/>
  <c r="AE213" i="5"/>
  <c r="AA213" i="5"/>
  <c r="W213" i="5"/>
  <c r="S213" i="5"/>
  <c r="K213" i="5"/>
  <c r="G213" i="5"/>
  <c r="BK212" i="5"/>
  <c r="BG212" i="5"/>
  <c r="BC212" i="5"/>
  <c r="AY212" i="5"/>
  <c r="AU212" i="5"/>
  <c r="AQ212" i="5"/>
  <c r="AM212" i="5"/>
  <c r="AI212" i="5"/>
  <c r="AE212" i="5"/>
  <c r="AA212" i="5"/>
  <c r="W212" i="5"/>
  <c r="S212" i="5"/>
  <c r="K212" i="5"/>
  <c r="G212" i="5"/>
  <c r="BK211" i="5"/>
  <c r="BG211" i="5"/>
  <c r="BC211" i="5"/>
  <c r="AY211" i="5"/>
  <c r="AU211" i="5"/>
  <c r="AQ211" i="5"/>
  <c r="AM211" i="5"/>
  <c r="AI211" i="5"/>
  <c r="AE211" i="5"/>
  <c r="AA211" i="5"/>
  <c r="W211" i="5"/>
  <c r="S211" i="5"/>
  <c r="K211" i="5"/>
  <c r="G211" i="5"/>
  <c r="BK208" i="5"/>
  <c r="BG208" i="5"/>
  <c r="BC208" i="5"/>
  <c r="AY208" i="5"/>
  <c r="AU208" i="5"/>
  <c r="AQ208" i="5"/>
  <c r="AM208" i="5"/>
  <c r="AI208" i="5"/>
  <c r="AE208" i="5"/>
  <c r="AA208" i="5"/>
  <c r="W208" i="5"/>
  <c r="S208" i="5"/>
  <c r="K208" i="5"/>
  <c r="G208" i="5"/>
  <c r="BK207" i="5"/>
  <c r="BG207" i="5"/>
  <c r="BC207" i="5"/>
  <c r="AY207" i="5"/>
  <c r="AU207" i="5"/>
  <c r="AQ207" i="5"/>
  <c r="AM207" i="5"/>
  <c r="AI207" i="5"/>
  <c r="AE207" i="5"/>
  <c r="AA207" i="5"/>
  <c r="W207" i="5"/>
  <c r="S207" i="5"/>
  <c r="K207" i="5"/>
  <c r="G207" i="5"/>
  <c r="BK206" i="5"/>
  <c r="BG206" i="5"/>
  <c r="BC206" i="5"/>
  <c r="AY206" i="5"/>
  <c r="AU206" i="5"/>
  <c r="AQ206" i="5"/>
  <c r="AM206" i="5"/>
  <c r="AI206" i="5"/>
  <c r="AE206" i="5"/>
  <c r="AA206" i="5"/>
  <c r="W206" i="5"/>
  <c r="S206" i="5"/>
  <c r="K206" i="5"/>
  <c r="G206" i="5"/>
  <c r="BK205" i="5"/>
  <c r="BG205" i="5"/>
  <c r="BC205" i="5"/>
  <c r="AY205" i="5"/>
  <c r="AU205" i="5"/>
  <c r="AQ205" i="5"/>
  <c r="AM205" i="5"/>
  <c r="AI205" i="5"/>
  <c r="AE205" i="5"/>
  <c r="AA205" i="5"/>
  <c r="W205" i="5"/>
  <c r="S205" i="5"/>
  <c r="K205" i="5"/>
  <c r="G205" i="5"/>
  <c r="O202" i="5"/>
  <c r="O201" i="5"/>
  <c r="O200" i="5"/>
  <c r="O199" i="5"/>
  <c r="O198" i="5"/>
  <c r="O197" i="5"/>
  <c r="E206" i="5" l="1"/>
  <c r="D206" i="5" s="1"/>
  <c r="E212" i="5"/>
  <c r="D212" i="5" s="1"/>
  <c r="E218" i="5"/>
  <c r="D218" i="5" s="1"/>
  <c r="E224" i="5"/>
  <c r="D224" i="5" s="1"/>
  <c r="E230" i="5"/>
  <c r="F230" i="5" s="1"/>
  <c r="E217" i="5"/>
  <c r="F217" i="5" s="1"/>
  <c r="E223" i="5"/>
  <c r="F223" i="5" s="1"/>
  <c r="E229" i="5"/>
  <c r="F229" i="5" s="1"/>
  <c r="E205" i="5"/>
  <c r="D205" i="5" s="1"/>
  <c r="E211" i="5"/>
  <c r="F211" i="5" s="1"/>
  <c r="E208" i="5"/>
  <c r="D208" i="5" s="1"/>
  <c r="E214" i="5"/>
  <c r="F214" i="5" s="1"/>
  <c r="E220" i="5"/>
  <c r="F220" i="5" s="1"/>
  <c r="E226" i="5"/>
  <c r="D226" i="5" s="1"/>
  <c r="E232" i="5"/>
  <c r="F232" i="5" s="1"/>
  <c r="E213" i="5"/>
  <c r="F213" i="5" s="1"/>
  <c r="E219" i="5"/>
  <c r="F219" i="5" s="1"/>
  <c r="E225" i="5"/>
  <c r="F225" i="5" s="1"/>
  <c r="E231" i="5"/>
  <c r="D231" i="5" s="1"/>
  <c r="E207" i="5"/>
  <c r="D207" i="5" s="1"/>
  <c r="BK202" i="5"/>
  <c r="BG202" i="5"/>
  <c r="BC202" i="5"/>
  <c r="AY202" i="5"/>
  <c r="AU202" i="5"/>
  <c r="AQ202" i="5"/>
  <c r="AM202" i="5"/>
  <c r="AI202" i="5"/>
  <c r="AE202" i="5"/>
  <c r="AA202" i="5"/>
  <c r="W202" i="5"/>
  <c r="S202" i="5"/>
  <c r="K202" i="5"/>
  <c r="G202" i="5"/>
  <c r="BK201" i="5"/>
  <c r="BG201" i="5"/>
  <c r="BC201" i="5"/>
  <c r="AY201" i="5"/>
  <c r="AU201" i="5"/>
  <c r="AQ201" i="5"/>
  <c r="AM201" i="5"/>
  <c r="AI201" i="5"/>
  <c r="AE201" i="5"/>
  <c r="AA201" i="5"/>
  <c r="W201" i="5"/>
  <c r="S201" i="5"/>
  <c r="K201" i="5"/>
  <c r="G201" i="5"/>
  <c r="BK200" i="5"/>
  <c r="BG200" i="5"/>
  <c r="BC200" i="5"/>
  <c r="AY200" i="5"/>
  <c r="AU200" i="5"/>
  <c r="AQ200" i="5"/>
  <c r="AM200" i="5"/>
  <c r="AI200" i="5"/>
  <c r="AE200" i="5"/>
  <c r="AA200" i="5"/>
  <c r="W200" i="5"/>
  <c r="S200" i="5"/>
  <c r="K200" i="5"/>
  <c r="G200" i="5"/>
  <c r="BK199" i="5"/>
  <c r="BG199" i="5"/>
  <c r="BC199" i="5"/>
  <c r="AY199" i="5"/>
  <c r="AU199" i="5"/>
  <c r="AQ199" i="5"/>
  <c r="AM199" i="5"/>
  <c r="AI199" i="5"/>
  <c r="AE199" i="5"/>
  <c r="AA199" i="5"/>
  <c r="W199" i="5"/>
  <c r="S199" i="5"/>
  <c r="K199" i="5"/>
  <c r="G199" i="5"/>
  <c r="K221" i="5"/>
  <c r="K222" i="5"/>
  <c r="K227" i="5"/>
  <c r="K228" i="5"/>
  <c r="K216" i="5"/>
  <c r="K215" i="5"/>
  <c r="G221" i="5"/>
  <c r="G222" i="5"/>
  <c r="G227" i="5"/>
  <c r="G228" i="5"/>
  <c r="G216" i="5"/>
  <c r="G215" i="5"/>
  <c r="K203" i="5"/>
  <c r="K204" i="5"/>
  <c r="K209" i="5"/>
  <c r="K210" i="5"/>
  <c r="K198" i="5"/>
  <c r="K197" i="5"/>
  <c r="G203" i="5"/>
  <c r="G204" i="5"/>
  <c r="G209" i="5"/>
  <c r="G210" i="5"/>
  <c r="G198" i="5"/>
  <c r="G197" i="5"/>
  <c r="BK228" i="5"/>
  <c r="BG228" i="5"/>
  <c r="BC228" i="5"/>
  <c r="AY228" i="5"/>
  <c r="AU228" i="5"/>
  <c r="AQ228" i="5"/>
  <c r="AM228" i="5"/>
  <c r="AI228" i="5"/>
  <c r="AE228" i="5"/>
  <c r="AA228" i="5"/>
  <c r="W228" i="5"/>
  <c r="S228" i="5"/>
  <c r="BK227" i="5"/>
  <c r="BG227" i="5"/>
  <c r="BC227" i="5"/>
  <c r="AY227" i="5"/>
  <c r="AU227" i="5"/>
  <c r="AQ227" i="5"/>
  <c r="AM227" i="5"/>
  <c r="AI227" i="5"/>
  <c r="AE227" i="5"/>
  <c r="AA227" i="5"/>
  <c r="W227" i="5"/>
  <c r="S227" i="5"/>
  <c r="BK222" i="5"/>
  <c r="BG222" i="5"/>
  <c r="BC222" i="5"/>
  <c r="AY222" i="5"/>
  <c r="AU222" i="5"/>
  <c r="AQ222" i="5"/>
  <c r="AM222" i="5"/>
  <c r="AI222" i="5"/>
  <c r="AE222" i="5"/>
  <c r="AA222" i="5"/>
  <c r="W222" i="5"/>
  <c r="S222" i="5"/>
  <c r="BK221" i="5"/>
  <c r="BG221" i="5"/>
  <c r="BC221" i="5"/>
  <c r="AY221" i="5"/>
  <c r="AU221" i="5"/>
  <c r="AQ221" i="5"/>
  <c r="AM221" i="5"/>
  <c r="AI221" i="5"/>
  <c r="AE221" i="5"/>
  <c r="AA221" i="5"/>
  <c r="W221" i="5"/>
  <c r="S221" i="5"/>
  <c r="BK216" i="5"/>
  <c r="BG216" i="5"/>
  <c r="BC216" i="5"/>
  <c r="AY216" i="5"/>
  <c r="AU216" i="5"/>
  <c r="AQ216" i="5"/>
  <c r="AM216" i="5"/>
  <c r="AI216" i="5"/>
  <c r="AE216" i="5"/>
  <c r="AA216" i="5"/>
  <c r="W216" i="5"/>
  <c r="S216" i="5"/>
  <c r="BK215" i="5"/>
  <c r="BG215" i="5"/>
  <c r="BC215" i="5"/>
  <c r="AY215" i="5"/>
  <c r="AU215" i="5"/>
  <c r="AQ215" i="5"/>
  <c r="AM215" i="5"/>
  <c r="AI215" i="5"/>
  <c r="AE215" i="5"/>
  <c r="AA215" i="5"/>
  <c r="W215" i="5"/>
  <c r="S215" i="5"/>
  <c r="BK210" i="5"/>
  <c r="BG210" i="5"/>
  <c r="BC210" i="5"/>
  <c r="AY210" i="5"/>
  <c r="AU210" i="5"/>
  <c r="AQ210" i="5"/>
  <c r="AM210" i="5"/>
  <c r="AI210" i="5"/>
  <c r="AE210" i="5"/>
  <c r="AA210" i="5"/>
  <c r="W210" i="5"/>
  <c r="S210" i="5"/>
  <c r="BK209" i="5"/>
  <c r="BG209" i="5"/>
  <c r="BC209" i="5"/>
  <c r="AY209" i="5"/>
  <c r="AU209" i="5"/>
  <c r="AQ209" i="5"/>
  <c r="AM209" i="5"/>
  <c r="AI209" i="5"/>
  <c r="AE209" i="5"/>
  <c r="AA209" i="5"/>
  <c r="W209" i="5"/>
  <c r="S209" i="5"/>
  <c r="BK204" i="5"/>
  <c r="BG204" i="5"/>
  <c r="BC204" i="5"/>
  <c r="AY204" i="5"/>
  <c r="AU204" i="5"/>
  <c r="AQ204" i="5"/>
  <c r="AM204" i="5"/>
  <c r="AI204" i="5"/>
  <c r="AE204" i="5"/>
  <c r="AA204" i="5"/>
  <c r="W204" i="5"/>
  <c r="S204" i="5"/>
  <c r="BK203" i="5"/>
  <c r="BG203" i="5"/>
  <c r="BC203" i="5"/>
  <c r="AY203" i="5"/>
  <c r="AU203" i="5"/>
  <c r="AQ203" i="5"/>
  <c r="AM203" i="5"/>
  <c r="AI203" i="5"/>
  <c r="AE203" i="5"/>
  <c r="AA203" i="5"/>
  <c r="W203" i="5"/>
  <c r="S203" i="5"/>
  <c r="BK198" i="5"/>
  <c r="BG198" i="5"/>
  <c r="BC198" i="5"/>
  <c r="AY198" i="5"/>
  <c r="AU198" i="5"/>
  <c r="AQ198" i="5"/>
  <c r="AM198" i="5"/>
  <c r="AI198" i="5"/>
  <c r="AE198" i="5"/>
  <c r="AA198" i="5"/>
  <c r="W198" i="5"/>
  <c r="S198" i="5"/>
  <c r="BK197" i="5"/>
  <c r="BG197" i="5"/>
  <c r="BC197" i="5"/>
  <c r="AY197" i="5"/>
  <c r="AU197" i="5"/>
  <c r="AQ197" i="5"/>
  <c r="AM197" i="5"/>
  <c r="AI197" i="5"/>
  <c r="AE197" i="5"/>
  <c r="AA197" i="5"/>
  <c r="W197" i="5"/>
  <c r="S197" i="5"/>
  <c r="F206" i="5" l="1"/>
  <c r="F205" i="5"/>
  <c r="D211" i="5"/>
  <c r="F212" i="5"/>
  <c r="F224" i="5"/>
  <c r="D225" i="5"/>
  <c r="F218" i="5"/>
  <c r="F231" i="5"/>
  <c r="D219" i="5"/>
  <c r="D230" i="5"/>
  <c r="E227" i="5"/>
  <c r="D227" i="5" s="1"/>
  <c r="D223" i="5"/>
  <c r="F226" i="5"/>
  <c r="D232" i="5"/>
  <c r="D217" i="5"/>
  <c r="F207" i="5"/>
  <c r="E221" i="5"/>
  <c r="D221" i="5" s="1"/>
  <c r="E210" i="5"/>
  <c r="F210" i="5" s="1"/>
  <c r="E202" i="5"/>
  <c r="F202" i="5" s="1"/>
  <c r="D213" i="5"/>
  <c r="E222" i="5"/>
  <c r="F222" i="5" s="1"/>
  <c r="E198" i="5"/>
  <c r="D198" i="5" s="1"/>
  <c r="E209" i="5"/>
  <c r="F209" i="5" s="1"/>
  <c r="D214" i="5"/>
  <c r="D220" i="5"/>
  <c r="F208" i="5"/>
  <c r="E197" i="5"/>
  <c r="D197" i="5" s="1"/>
  <c r="E204" i="5"/>
  <c r="D204" i="5" s="1"/>
  <c r="E201" i="5"/>
  <c r="F201" i="5" s="1"/>
  <c r="E203" i="5"/>
  <c r="D203" i="5" s="1"/>
  <c r="E216" i="5"/>
  <c r="F216" i="5" s="1"/>
  <c r="D229" i="5"/>
  <c r="E199" i="5"/>
  <c r="F199" i="5" s="1"/>
  <c r="E215" i="5"/>
  <c r="F215" i="5" s="1"/>
  <c r="E228" i="5"/>
  <c r="D228" i="5" s="1"/>
  <c r="E200" i="5"/>
  <c r="D200" i="5" s="1"/>
  <c r="D46" i="8"/>
  <c r="D202" i="5" l="1"/>
  <c r="F197" i="5"/>
  <c r="F227" i="5"/>
  <c r="D210" i="5"/>
  <c r="F204" i="5"/>
  <c r="D222" i="5"/>
  <c r="D215" i="5"/>
  <c r="F200" i="5"/>
  <c r="F198" i="5"/>
  <c r="D199" i="5"/>
  <c r="F228" i="5"/>
  <c r="F221" i="5"/>
  <c r="F203" i="5"/>
  <c r="D201" i="5"/>
  <c r="D209" i="5"/>
  <c r="D216" i="5"/>
  <c r="A3" i="15"/>
  <c r="A4" i="15"/>
  <c r="A5" i="15"/>
  <c r="A6" i="15"/>
  <c r="A7" i="15"/>
  <c r="A8" i="15"/>
  <c r="B8" i="15"/>
  <c r="A9" i="15"/>
  <c r="A10" i="15"/>
  <c r="A11" i="15"/>
  <c r="A12" i="15"/>
  <c r="A13" i="15"/>
  <c r="A14" i="15"/>
  <c r="B14" i="15"/>
  <c r="A15" i="15"/>
  <c r="B15" i="15"/>
  <c r="A16" i="15"/>
  <c r="B16" i="15"/>
  <c r="A17" i="15"/>
  <c r="B17" i="15"/>
  <c r="A18" i="15"/>
  <c r="B18" i="15"/>
  <c r="A19" i="15"/>
  <c r="B19" i="15"/>
  <c r="A20" i="15"/>
  <c r="B20" i="15"/>
  <c r="A21" i="15"/>
  <c r="B21" i="15"/>
  <c r="A22" i="15"/>
  <c r="B22" i="15"/>
  <c r="A23" i="15"/>
  <c r="B23" i="15"/>
  <c r="A24" i="15"/>
  <c r="A25" i="15"/>
  <c r="B25" i="15"/>
  <c r="A26" i="15"/>
  <c r="B26" i="15"/>
  <c r="A27" i="15"/>
  <c r="B27" i="15"/>
  <c r="A28" i="15"/>
  <c r="B28" i="15"/>
  <c r="A29" i="15"/>
  <c r="B29" i="15"/>
  <c r="A30" i="15"/>
  <c r="B30" i="15"/>
  <c r="A31" i="15"/>
  <c r="B31" i="15"/>
  <c r="A32" i="15"/>
  <c r="B32" i="15"/>
  <c r="A33" i="15"/>
  <c r="A34" i="15"/>
  <c r="B34" i="15"/>
  <c r="A35" i="15"/>
  <c r="A36" i="15"/>
  <c r="B36" i="15"/>
  <c r="A37" i="15"/>
  <c r="B37" i="15"/>
  <c r="A38" i="15"/>
  <c r="B38" i="15"/>
  <c r="A39" i="15"/>
  <c r="A40" i="15"/>
  <c r="B40" i="15"/>
  <c r="A41" i="15"/>
  <c r="B41" i="15"/>
  <c r="A42" i="15"/>
  <c r="B42" i="15"/>
  <c r="A43" i="15"/>
  <c r="A44" i="15"/>
  <c r="A45" i="15"/>
  <c r="A46" i="15"/>
  <c r="A47" i="15"/>
  <c r="A48" i="15"/>
  <c r="A49" i="15"/>
  <c r="B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2" i="15"/>
  <c r="A12" i="17" l="1"/>
  <c r="B12" i="17"/>
  <c r="AM794" i="5"/>
  <c r="AA794" i="5"/>
  <c r="W794" i="5"/>
  <c r="AM793" i="5"/>
  <c r="AA793" i="5"/>
  <c r="W793" i="5"/>
  <c r="AM792" i="5"/>
  <c r="AA792" i="5"/>
  <c r="W792" i="5"/>
  <c r="AM791" i="5"/>
  <c r="AA791" i="5"/>
  <c r="W791" i="5"/>
  <c r="AM790" i="5"/>
  <c r="AA790" i="5"/>
  <c r="W790" i="5"/>
  <c r="AM789" i="5"/>
  <c r="AA789" i="5"/>
  <c r="W789" i="5"/>
  <c r="AM788" i="5"/>
  <c r="AA788" i="5"/>
  <c r="W788" i="5"/>
  <c r="AM787" i="5"/>
  <c r="AA787" i="5"/>
  <c r="W787" i="5"/>
  <c r="AM786" i="5"/>
  <c r="AA786" i="5"/>
  <c r="W786" i="5"/>
  <c r="AM785" i="5"/>
  <c r="AA785" i="5"/>
  <c r="W785" i="5"/>
  <c r="AM784" i="5"/>
  <c r="AI784" i="5"/>
  <c r="AA784" i="5"/>
  <c r="W784" i="5"/>
  <c r="AM783" i="5"/>
  <c r="AI783" i="5"/>
  <c r="AA783" i="5"/>
  <c r="W783" i="5"/>
  <c r="AM782" i="5"/>
  <c r="AI782" i="5"/>
  <c r="AA782" i="5"/>
  <c r="W782" i="5"/>
  <c r="AM781" i="5"/>
  <c r="AI781" i="5"/>
  <c r="AA781" i="5"/>
  <c r="W781" i="5"/>
  <c r="AM780" i="5"/>
  <c r="AI780" i="5"/>
  <c r="AA780" i="5"/>
  <c r="W780" i="5"/>
  <c r="AM779" i="5"/>
  <c r="AA779" i="5"/>
  <c r="W779" i="5"/>
  <c r="AM778" i="5"/>
  <c r="AA778" i="5"/>
  <c r="W778" i="5"/>
  <c r="AM777" i="5"/>
  <c r="AA777" i="5"/>
  <c r="W777" i="5"/>
  <c r="AM776" i="5"/>
  <c r="AA776" i="5"/>
  <c r="W776" i="5"/>
  <c r="AM775" i="5"/>
  <c r="AA775" i="5"/>
  <c r="W775" i="5"/>
  <c r="AM774" i="5"/>
  <c r="AA774" i="5"/>
  <c r="W774" i="5"/>
  <c r="AM773" i="5"/>
  <c r="AA773" i="5"/>
  <c r="W773" i="5"/>
  <c r="AM772" i="5"/>
  <c r="AA772" i="5"/>
  <c r="W772" i="5"/>
  <c r="AM771" i="5"/>
  <c r="AA771" i="5"/>
  <c r="W771" i="5"/>
  <c r="AM770" i="5"/>
  <c r="AA770" i="5"/>
  <c r="W770" i="5"/>
  <c r="AM769" i="5"/>
  <c r="AI769" i="5"/>
  <c r="AA769" i="5"/>
  <c r="W769" i="5"/>
  <c r="AM768" i="5"/>
  <c r="AI768" i="5"/>
  <c r="AA768" i="5"/>
  <c r="W768" i="5"/>
  <c r="AM767" i="5"/>
  <c r="AI767" i="5"/>
  <c r="AA767" i="5"/>
  <c r="W767" i="5"/>
  <c r="AM766" i="5"/>
  <c r="AI766" i="5"/>
  <c r="AA766" i="5"/>
  <c r="W766" i="5"/>
  <c r="AM765" i="5"/>
  <c r="AI765" i="5"/>
  <c r="AA765" i="5"/>
  <c r="W765" i="5"/>
  <c r="AM764" i="5"/>
  <c r="AA764" i="5"/>
  <c r="W764" i="5"/>
  <c r="AM763" i="5"/>
  <c r="AA763" i="5"/>
  <c r="W763" i="5"/>
  <c r="AM762" i="5"/>
  <c r="AA762" i="5"/>
  <c r="W762" i="5"/>
  <c r="AM761" i="5"/>
  <c r="AA761" i="5"/>
  <c r="W761" i="5"/>
  <c r="AM760" i="5"/>
  <c r="AA760" i="5"/>
  <c r="W760" i="5"/>
  <c r="AM759" i="5"/>
  <c r="AA759" i="5"/>
  <c r="W759" i="5"/>
  <c r="AM758" i="5"/>
  <c r="AA758" i="5"/>
  <c r="W758" i="5"/>
  <c r="AM757" i="5"/>
  <c r="AA757" i="5"/>
  <c r="W757" i="5"/>
  <c r="AM756" i="5"/>
  <c r="AA756" i="5"/>
  <c r="W756" i="5"/>
  <c r="AM755" i="5"/>
  <c r="AA755" i="5"/>
  <c r="W755" i="5"/>
  <c r="AM754" i="5"/>
  <c r="AI754" i="5"/>
  <c r="AA754" i="5"/>
  <c r="W754" i="5"/>
  <c r="AM753" i="5"/>
  <c r="AI753" i="5"/>
  <c r="AA753" i="5"/>
  <c r="W753" i="5"/>
  <c r="AM752" i="5"/>
  <c r="AI752" i="5"/>
  <c r="AA752" i="5"/>
  <c r="W752" i="5"/>
  <c r="AM751" i="5"/>
  <c r="AI751" i="5"/>
  <c r="AA751" i="5"/>
  <c r="W751" i="5"/>
  <c r="AM750" i="5"/>
  <c r="AI750" i="5"/>
  <c r="AA750" i="5"/>
  <c r="W750" i="5"/>
  <c r="AM749" i="5"/>
  <c r="AA749" i="5"/>
  <c r="W749" i="5"/>
  <c r="AM748" i="5"/>
  <c r="AA748" i="5"/>
  <c r="W748" i="5"/>
  <c r="AM747" i="5"/>
  <c r="AA747" i="5"/>
  <c r="W747" i="5"/>
  <c r="AM746" i="5"/>
  <c r="AA746" i="5"/>
  <c r="W746" i="5"/>
  <c r="AM745" i="5"/>
  <c r="AA745" i="5"/>
  <c r="W745" i="5"/>
  <c r="AM744" i="5"/>
  <c r="AA744" i="5"/>
  <c r="W744" i="5"/>
  <c r="AM743" i="5"/>
  <c r="AA743" i="5"/>
  <c r="W743" i="5"/>
  <c r="AM742" i="5"/>
  <c r="AA742" i="5"/>
  <c r="W742" i="5"/>
  <c r="AM741" i="5"/>
  <c r="AA741" i="5"/>
  <c r="W741" i="5"/>
  <c r="AM740" i="5"/>
  <c r="AA740" i="5"/>
  <c r="W740" i="5"/>
  <c r="AM739" i="5"/>
  <c r="AI739" i="5"/>
  <c r="AA739" i="5"/>
  <c r="W739" i="5"/>
  <c r="AM738" i="5"/>
  <c r="AI738" i="5"/>
  <c r="AA738" i="5"/>
  <c r="W738" i="5"/>
  <c r="AM737" i="5"/>
  <c r="AI737" i="5"/>
  <c r="AA737" i="5"/>
  <c r="W737" i="5"/>
  <c r="AM736" i="5"/>
  <c r="AI736" i="5"/>
  <c r="AA736" i="5"/>
  <c r="W736" i="5"/>
  <c r="AM735" i="5"/>
  <c r="AI735" i="5"/>
  <c r="AA735" i="5"/>
  <c r="W735" i="5"/>
  <c r="AM734" i="5"/>
  <c r="AA734" i="5"/>
  <c r="W734" i="5"/>
  <c r="AM733" i="5"/>
  <c r="AA733" i="5"/>
  <c r="W733" i="5"/>
  <c r="AM732" i="5"/>
  <c r="AA732" i="5"/>
  <c r="W732" i="5"/>
  <c r="AM731" i="5"/>
  <c r="AA731" i="5"/>
  <c r="W731" i="5"/>
  <c r="AM730" i="5"/>
  <c r="AA730" i="5"/>
  <c r="W730" i="5"/>
  <c r="AM729" i="5"/>
  <c r="AA729" i="5"/>
  <c r="W729" i="5"/>
  <c r="AM728" i="5"/>
  <c r="AA728" i="5"/>
  <c r="W728" i="5"/>
  <c r="AM727" i="5"/>
  <c r="AA727" i="5"/>
  <c r="W727" i="5"/>
  <c r="AM726" i="5"/>
  <c r="AA726" i="5"/>
  <c r="W726" i="5"/>
  <c r="AM725" i="5"/>
  <c r="AA725" i="5"/>
  <c r="W725" i="5"/>
  <c r="AM724" i="5"/>
  <c r="AI724" i="5"/>
  <c r="AA724" i="5"/>
  <c r="W724" i="5"/>
  <c r="AM723" i="5"/>
  <c r="AI723" i="5"/>
  <c r="AA723" i="5"/>
  <c r="W723" i="5"/>
  <c r="AM722" i="5"/>
  <c r="AI722" i="5"/>
  <c r="AA722" i="5"/>
  <c r="W722" i="5"/>
  <c r="AM721" i="5"/>
  <c r="AI721" i="5"/>
  <c r="AA721" i="5"/>
  <c r="W721" i="5"/>
  <c r="AM720" i="5"/>
  <c r="AI720" i="5"/>
  <c r="AA720" i="5"/>
  <c r="W720" i="5"/>
  <c r="AM719" i="5"/>
  <c r="AA719" i="5"/>
  <c r="W719" i="5"/>
  <c r="AM718" i="5"/>
  <c r="AA718" i="5"/>
  <c r="W718" i="5"/>
  <c r="AM717" i="5"/>
  <c r="AA717" i="5"/>
  <c r="W717" i="5"/>
  <c r="AM716" i="5"/>
  <c r="AA716" i="5"/>
  <c r="W716" i="5"/>
  <c r="AM715" i="5"/>
  <c r="AA715" i="5"/>
  <c r="W715" i="5"/>
  <c r="AM714" i="5"/>
  <c r="AA714" i="5"/>
  <c r="W714" i="5"/>
  <c r="AM713" i="5"/>
  <c r="AA713" i="5"/>
  <c r="W713" i="5"/>
  <c r="AM712" i="5"/>
  <c r="AA712" i="5"/>
  <c r="W712" i="5"/>
  <c r="AM711" i="5"/>
  <c r="AA711" i="5"/>
  <c r="W711" i="5"/>
  <c r="AM710" i="5"/>
  <c r="AA710" i="5"/>
  <c r="W710" i="5"/>
  <c r="AM709" i="5"/>
  <c r="AI709" i="5"/>
  <c r="AA709" i="5"/>
  <c r="W709" i="5"/>
  <c r="AM708" i="5"/>
  <c r="AI708" i="5"/>
  <c r="AA708" i="5"/>
  <c r="W708" i="5"/>
  <c r="AM707" i="5"/>
  <c r="AI707" i="5"/>
  <c r="AA707" i="5"/>
  <c r="W707" i="5"/>
  <c r="AM706" i="5"/>
  <c r="AI706" i="5"/>
  <c r="AA706" i="5"/>
  <c r="W706" i="5"/>
  <c r="AM705" i="5"/>
  <c r="AI705" i="5"/>
  <c r="AA705" i="5"/>
  <c r="W705" i="5"/>
  <c r="K147" i="5"/>
  <c r="O147" i="5"/>
  <c r="G147" i="5"/>
  <c r="AY135" i="5"/>
  <c r="AU135" i="5"/>
  <c r="AQ135" i="5"/>
  <c r="AM135" i="5"/>
  <c r="AI135" i="5"/>
  <c r="AE135" i="5"/>
  <c r="O135" i="5"/>
  <c r="K135" i="5"/>
  <c r="G135" i="5"/>
  <c r="AE126" i="5"/>
  <c r="O126" i="5"/>
  <c r="K126" i="5"/>
  <c r="G126" i="5"/>
  <c r="AE117" i="5"/>
  <c r="O117" i="5"/>
  <c r="K117" i="5"/>
  <c r="G117" i="5"/>
  <c r="O108" i="5"/>
  <c r="K108" i="5"/>
  <c r="G108" i="5"/>
  <c r="O146" i="5"/>
  <c r="K146" i="5"/>
  <c r="G146" i="5"/>
  <c r="O145" i="5"/>
  <c r="K145" i="5"/>
  <c r="G145" i="5"/>
  <c r="O141" i="5"/>
  <c r="K141" i="5"/>
  <c r="G141" i="5"/>
  <c r="O140" i="5"/>
  <c r="K140" i="5"/>
  <c r="G140" i="5"/>
  <c r="O139" i="5"/>
  <c r="K139" i="5"/>
  <c r="G139" i="5"/>
  <c r="O134" i="5"/>
  <c r="K134" i="5"/>
  <c r="G134" i="5"/>
  <c r="O133" i="5"/>
  <c r="K133" i="5"/>
  <c r="G133" i="5"/>
  <c r="O132" i="5"/>
  <c r="K132" i="5"/>
  <c r="G132" i="5"/>
  <c r="O131" i="5"/>
  <c r="K131" i="5"/>
  <c r="G131" i="5"/>
  <c r="O130" i="5"/>
  <c r="K130" i="5"/>
  <c r="G130" i="5"/>
  <c r="O125" i="5"/>
  <c r="K125" i="5"/>
  <c r="G125" i="5"/>
  <c r="O124" i="5"/>
  <c r="K124" i="5"/>
  <c r="G124" i="5"/>
  <c r="O123" i="5"/>
  <c r="K123" i="5"/>
  <c r="G123" i="5"/>
  <c r="O122" i="5"/>
  <c r="K122" i="5"/>
  <c r="G122" i="5"/>
  <c r="G121" i="5"/>
  <c r="O116" i="5"/>
  <c r="K116" i="5"/>
  <c r="G116" i="5"/>
  <c r="O115" i="5"/>
  <c r="K115" i="5"/>
  <c r="G115" i="5"/>
  <c r="O114" i="5"/>
  <c r="K114" i="5"/>
  <c r="G114" i="5"/>
  <c r="O113" i="5"/>
  <c r="K113" i="5"/>
  <c r="G113" i="5"/>
  <c r="O112" i="5"/>
  <c r="K112" i="5"/>
  <c r="G112" i="5"/>
  <c r="O107" i="5"/>
  <c r="K107" i="5"/>
  <c r="G107" i="5"/>
  <c r="O106" i="5"/>
  <c r="K106" i="5"/>
  <c r="G106" i="5"/>
  <c r="O105" i="5"/>
  <c r="K105" i="5"/>
  <c r="G105" i="5"/>
  <c r="O104" i="5"/>
  <c r="K104" i="5"/>
  <c r="G104" i="5"/>
  <c r="O103" i="5"/>
  <c r="K103" i="5"/>
  <c r="G103" i="5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A26" i="6"/>
  <c r="B26" i="6"/>
  <c r="A27" i="6"/>
  <c r="B27" i="6"/>
  <c r="A28" i="6"/>
  <c r="B28" i="6"/>
  <c r="A29" i="6"/>
  <c r="B29" i="6"/>
  <c r="A30" i="6"/>
  <c r="B30" i="6"/>
  <c r="A31" i="6"/>
  <c r="B31" i="6"/>
  <c r="A32" i="6"/>
  <c r="B32" i="6"/>
  <c r="A33" i="6"/>
  <c r="B33" i="6"/>
  <c r="A34" i="6"/>
  <c r="B34" i="6"/>
  <c r="A35" i="6"/>
  <c r="B35" i="6"/>
  <c r="A36" i="6"/>
  <c r="B36" i="6"/>
  <c r="A37" i="6"/>
  <c r="B37" i="6"/>
  <c r="A38" i="6"/>
  <c r="B38" i="6"/>
  <c r="A39" i="6"/>
  <c r="B39" i="6"/>
  <c r="A40" i="6"/>
  <c r="B40" i="6"/>
  <c r="A41" i="6"/>
  <c r="B41" i="6"/>
  <c r="A42" i="6"/>
  <c r="B42" i="6"/>
  <c r="A43" i="6"/>
  <c r="B43" i="6"/>
  <c r="A44" i="6"/>
  <c r="B44" i="6"/>
  <c r="A45" i="6"/>
  <c r="B45" i="6"/>
  <c r="A46" i="6"/>
  <c r="B46" i="6"/>
  <c r="A47" i="6"/>
  <c r="B47" i="6"/>
  <c r="A48" i="6"/>
  <c r="B48" i="6"/>
  <c r="A49" i="6"/>
  <c r="B49" i="6"/>
  <c r="A50" i="6"/>
  <c r="B50" i="6"/>
  <c r="A51" i="6"/>
  <c r="B51" i="6"/>
  <c r="A52" i="6"/>
  <c r="B52" i="6"/>
  <c r="A53" i="6"/>
  <c r="B53" i="6"/>
  <c r="A54" i="6"/>
  <c r="B54" i="6"/>
  <c r="A55" i="6"/>
  <c r="B55" i="6"/>
  <c r="A56" i="6"/>
  <c r="B56" i="6"/>
  <c r="A57" i="6"/>
  <c r="B57" i="6"/>
  <c r="A58" i="6"/>
  <c r="B58" i="6"/>
  <c r="A59" i="6"/>
  <c r="B59" i="6"/>
  <c r="A60" i="6"/>
  <c r="B60" i="6"/>
  <c r="A61" i="6"/>
  <c r="B61" i="6"/>
  <c r="A62" i="6"/>
  <c r="B62" i="6"/>
  <c r="A63" i="6"/>
  <c r="B63" i="6"/>
  <c r="A64" i="6"/>
  <c r="B64" i="6"/>
  <c r="K263" i="5" l="1"/>
  <c r="A2" i="14" l="1"/>
  <c r="G242" i="5" l="1"/>
  <c r="E242" i="5" s="1"/>
  <c r="G243" i="5"/>
  <c r="E243" i="5" s="1"/>
  <c r="AA674" i="5" l="1"/>
  <c r="W674" i="5"/>
  <c r="AA673" i="5"/>
  <c r="W673" i="5"/>
  <c r="AA672" i="5"/>
  <c r="W672" i="5"/>
  <c r="AA671" i="5"/>
  <c r="W671" i="5"/>
  <c r="AA670" i="5"/>
  <c r="W670" i="5"/>
  <c r="AA669" i="5"/>
  <c r="W669" i="5"/>
  <c r="AA668" i="5"/>
  <c r="W668" i="5"/>
  <c r="AA667" i="5"/>
  <c r="W667" i="5"/>
  <c r="AA666" i="5"/>
  <c r="W666" i="5"/>
  <c r="AA665" i="5"/>
  <c r="W665" i="5"/>
  <c r="AA664" i="5"/>
  <c r="W664" i="5"/>
  <c r="AA663" i="5"/>
  <c r="W663" i="5"/>
  <c r="AA662" i="5"/>
  <c r="W662" i="5"/>
  <c r="AA661" i="5"/>
  <c r="W661" i="5"/>
  <c r="AA660" i="5"/>
  <c r="W660" i="5"/>
  <c r="S794" i="5"/>
  <c r="O794" i="5"/>
  <c r="S793" i="5"/>
  <c r="O793" i="5"/>
  <c r="S792" i="5"/>
  <c r="O792" i="5"/>
  <c r="S791" i="5"/>
  <c r="O791" i="5"/>
  <c r="S790" i="5"/>
  <c r="O790" i="5"/>
  <c r="S789" i="5"/>
  <c r="O789" i="5"/>
  <c r="S788" i="5"/>
  <c r="O788" i="5"/>
  <c r="S787" i="5"/>
  <c r="O787" i="5"/>
  <c r="S786" i="5"/>
  <c r="O786" i="5"/>
  <c r="S785" i="5"/>
  <c r="O785" i="5"/>
  <c r="S784" i="5"/>
  <c r="O784" i="5"/>
  <c r="S783" i="5"/>
  <c r="O783" i="5"/>
  <c r="S782" i="5"/>
  <c r="O782" i="5"/>
  <c r="S781" i="5"/>
  <c r="O781" i="5"/>
  <c r="S780" i="5"/>
  <c r="O780" i="5"/>
  <c r="S779" i="5"/>
  <c r="O779" i="5"/>
  <c r="S778" i="5"/>
  <c r="O778" i="5"/>
  <c r="S777" i="5"/>
  <c r="O777" i="5"/>
  <c r="S776" i="5"/>
  <c r="O776" i="5"/>
  <c r="S775" i="5"/>
  <c r="O775" i="5"/>
  <c r="S774" i="5"/>
  <c r="O774" i="5"/>
  <c r="S773" i="5"/>
  <c r="O773" i="5"/>
  <c r="S772" i="5"/>
  <c r="O772" i="5"/>
  <c r="S771" i="5"/>
  <c r="O771" i="5"/>
  <c r="S770" i="5"/>
  <c r="O770" i="5"/>
  <c r="S769" i="5"/>
  <c r="O769" i="5"/>
  <c r="S768" i="5"/>
  <c r="O768" i="5"/>
  <c r="S767" i="5"/>
  <c r="O767" i="5"/>
  <c r="S766" i="5"/>
  <c r="O766" i="5"/>
  <c r="S765" i="5"/>
  <c r="O765" i="5"/>
  <c r="S764" i="5"/>
  <c r="O764" i="5"/>
  <c r="S763" i="5"/>
  <c r="O763" i="5"/>
  <c r="S762" i="5"/>
  <c r="O762" i="5"/>
  <c r="S761" i="5"/>
  <c r="O761" i="5"/>
  <c r="S760" i="5"/>
  <c r="O760" i="5"/>
  <c r="S759" i="5"/>
  <c r="O759" i="5"/>
  <c r="S758" i="5"/>
  <c r="O758" i="5"/>
  <c r="S757" i="5"/>
  <c r="O757" i="5"/>
  <c r="S756" i="5"/>
  <c r="O756" i="5"/>
  <c r="S755" i="5"/>
  <c r="O755" i="5"/>
  <c r="S754" i="5"/>
  <c r="O754" i="5"/>
  <c r="S753" i="5"/>
  <c r="O753" i="5"/>
  <c r="S752" i="5"/>
  <c r="O752" i="5"/>
  <c r="S751" i="5"/>
  <c r="O751" i="5"/>
  <c r="S750" i="5"/>
  <c r="O750" i="5"/>
  <c r="S749" i="5"/>
  <c r="O749" i="5"/>
  <c r="S748" i="5"/>
  <c r="O748" i="5"/>
  <c r="S747" i="5"/>
  <c r="O747" i="5"/>
  <c r="S746" i="5"/>
  <c r="O746" i="5"/>
  <c r="S745" i="5"/>
  <c r="O745" i="5"/>
  <c r="S744" i="5"/>
  <c r="O744" i="5"/>
  <c r="S743" i="5"/>
  <c r="O743" i="5"/>
  <c r="S742" i="5"/>
  <c r="O742" i="5"/>
  <c r="S741" i="5"/>
  <c r="O741" i="5"/>
  <c r="S740" i="5"/>
  <c r="O740" i="5"/>
  <c r="S739" i="5"/>
  <c r="O739" i="5"/>
  <c r="S738" i="5"/>
  <c r="O738" i="5"/>
  <c r="S737" i="5"/>
  <c r="O737" i="5"/>
  <c r="S736" i="5"/>
  <c r="O736" i="5"/>
  <c r="S735" i="5"/>
  <c r="O735" i="5"/>
  <c r="S734" i="5"/>
  <c r="O734" i="5"/>
  <c r="S733" i="5"/>
  <c r="O733" i="5"/>
  <c r="S732" i="5"/>
  <c r="O732" i="5"/>
  <c r="S731" i="5"/>
  <c r="O731" i="5"/>
  <c r="S730" i="5"/>
  <c r="O730" i="5"/>
  <c r="S729" i="5"/>
  <c r="O729" i="5"/>
  <c r="S728" i="5"/>
  <c r="O728" i="5"/>
  <c r="S727" i="5"/>
  <c r="O727" i="5"/>
  <c r="S726" i="5"/>
  <c r="O726" i="5"/>
  <c r="S725" i="5"/>
  <c r="O725" i="5"/>
  <c r="S724" i="5"/>
  <c r="O724" i="5"/>
  <c r="S723" i="5"/>
  <c r="O723" i="5"/>
  <c r="S722" i="5"/>
  <c r="O722" i="5"/>
  <c r="S721" i="5"/>
  <c r="O721" i="5"/>
  <c r="S720" i="5"/>
  <c r="O720" i="5"/>
  <c r="S719" i="5"/>
  <c r="O719" i="5"/>
  <c r="S718" i="5"/>
  <c r="O718" i="5"/>
  <c r="S717" i="5"/>
  <c r="O717" i="5"/>
  <c r="S716" i="5"/>
  <c r="O716" i="5"/>
  <c r="S715" i="5"/>
  <c r="O715" i="5"/>
  <c r="S714" i="5"/>
  <c r="O714" i="5"/>
  <c r="S713" i="5"/>
  <c r="O713" i="5"/>
  <c r="S712" i="5"/>
  <c r="O712" i="5"/>
  <c r="S711" i="5"/>
  <c r="O711" i="5"/>
  <c r="S710" i="5"/>
  <c r="O710" i="5"/>
  <c r="S709" i="5"/>
  <c r="O709" i="5"/>
  <c r="S708" i="5"/>
  <c r="O708" i="5"/>
  <c r="S707" i="5"/>
  <c r="O707" i="5"/>
  <c r="S706" i="5"/>
  <c r="O706" i="5"/>
  <c r="S705" i="5"/>
  <c r="O705" i="5"/>
  <c r="S704" i="5"/>
  <c r="O704" i="5"/>
  <c r="S703" i="5"/>
  <c r="O703" i="5"/>
  <c r="S702" i="5"/>
  <c r="O702" i="5"/>
  <c r="S701" i="5"/>
  <c r="O701" i="5"/>
  <c r="S698" i="5"/>
  <c r="O698" i="5"/>
  <c r="S697" i="5"/>
  <c r="O697" i="5"/>
  <c r="S696" i="5"/>
  <c r="O696" i="5"/>
  <c r="S695" i="5"/>
  <c r="O695" i="5"/>
  <c r="S694" i="5"/>
  <c r="O694" i="5"/>
  <c r="S693" i="5"/>
  <c r="O693" i="5"/>
  <c r="S692" i="5"/>
  <c r="O692" i="5"/>
  <c r="S691" i="5"/>
  <c r="O691" i="5"/>
  <c r="S690" i="5"/>
  <c r="O690" i="5"/>
  <c r="S689" i="5"/>
  <c r="O689" i="5"/>
  <c r="S688" i="5"/>
  <c r="O688" i="5"/>
  <c r="S687" i="5"/>
  <c r="O687" i="5"/>
  <c r="S686" i="5"/>
  <c r="O686" i="5"/>
  <c r="S685" i="5"/>
  <c r="O685" i="5"/>
  <c r="S684" i="5"/>
  <c r="O684" i="5"/>
  <c r="S683" i="5"/>
  <c r="O683" i="5"/>
  <c r="S682" i="5"/>
  <c r="O682" i="5"/>
  <c r="S681" i="5"/>
  <c r="O681" i="5"/>
  <c r="S680" i="5"/>
  <c r="O680" i="5"/>
  <c r="S679" i="5"/>
  <c r="O679" i="5"/>
  <c r="S678" i="5"/>
  <c r="O678" i="5"/>
  <c r="S677" i="5"/>
  <c r="O677" i="5"/>
  <c r="S676" i="5"/>
  <c r="O676" i="5"/>
  <c r="S675" i="5"/>
  <c r="O675" i="5"/>
  <c r="S674" i="5"/>
  <c r="O674" i="5"/>
  <c r="S673" i="5"/>
  <c r="O673" i="5"/>
  <c r="S672" i="5"/>
  <c r="O672" i="5"/>
  <c r="S671" i="5"/>
  <c r="O671" i="5"/>
  <c r="S670" i="5"/>
  <c r="O670" i="5"/>
  <c r="S669" i="5"/>
  <c r="O669" i="5"/>
  <c r="S668" i="5"/>
  <c r="O668" i="5"/>
  <c r="S667" i="5"/>
  <c r="O667" i="5"/>
  <c r="S666" i="5"/>
  <c r="O666" i="5"/>
  <c r="S665" i="5"/>
  <c r="O665" i="5"/>
  <c r="S664" i="5"/>
  <c r="O664" i="5"/>
  <c r="S663" i="5"/>
  <c r="O663" i="5"/>
  <c r="S662" i="5"/>
  <c r="O662" i="5"/>
  <c r="S661" i="5"/>
  <c r="O661" i="5"/>
  <c r="S660" i="5"/>
  <c r="O660" i="5"/>
  <c r="W675" i="5"/>
  <c r="AA675" i="5"/>
  <c r="W676" i="5"/>
  <c r="AA676" i="5"/>
  <c r="W677" i="5"/>
  <c r="AA677" i="5"/>
  <c r="W678" i="5"/>
  <c r="AA678" i="5"/>
  <c r="W679" i="5"/>
  <c r="AA679" i="5"/>
  <c r="W680" i="5"/>
  <c r="AA680" i="5"/>
  <c r="W681" i="5"/>
  <c r="AA681" i="5"/>
  <c r="W682" i="5"/>
  <c r="AA682" i="5"/>
  <c r="W683" i="5"/>
  <c r="AA683" i="5"/>
  <c r="W684" i="5"/>
  <c r="AA684" i="5"/>
  <c r="W685" i="5"/>
  <c r="AA685" i="5"/>
  <c r="W686" i="5"/>
  <c r="AA686" i="5"/>
  <c r="W687" i="5"/>
  <c r="AA687" i="5"/>
  <c r="W688" i="5"/>
  <c r="AA688" i="5"/>
  <c r="W689" i="5"/>
  <c r="AA689" i="5"/>
  <c r="W690" i="5"/>
  <c r="AA690" i="5"/>
  <c r="W691" i="5"/>
  <c r="AA691" i="5"/>
  <c r="W692" i="5"/>
  <c r="AA692" i="5"/>
  <c r="W693" i="5"/>
  <c r="AA693" i="5"/>
  <c r="W694" i="5"/>
  <c r="AA694" i="5"/>
  <c r="W695" i="5"/>
  <c r="AA695" i="5"/>
  <c r="W696" i="5"/>
  <c r="AA696" i="5"/>
  <c r="W697" i="5"/>
  <c r="AA697" i="5"/>
  <c r="W698" i="5"/>
  <c r="AA698" i="5"/>
  <c r="W699" i="5"/>
  <c r="AA699" i="5"/>
  <c r="W700" i="5"/>
  <c r="AA700" i="5"/>
  <c r="W701" i="5"/>
  <c r="AA701" i="5"/>
  <c r="W702" i="5"/>
  <c r="AA702" i="5"/>
  <c r="W703" i="5"/>
  <c r="AA703" i="5"/>
  <c r="W704" i="5"/>
  <c r="AA704" i="5"/>
  <c r="AU705" i="5"/>
  <c r="AY705" i="5"/>
  <c r="AU706" i="5"/>
  <c r="AY706" i="5"/>
  <c r="AQ707" i="5"/>
  <c r="AU707" i="5"/>
  <c r="AY707" i="5"/>
  <c r="AQ708" i="5"/>
  <c r="AU708" i="5"/>
  <c r="AY708" i="5"/>
  <c r="AQ709" i="5"/>
  <c r="AU709" i="5"/>
  <c r="AY709" i="5"/>
  <c r="AQ710" i="5"/>
  <c r="AU710" i="5"/>
  <c r="AY710" i="5"/>
  <c r="AQ711" i="5"/>
  <c r="AU711" i="5"/>
  <c r="AY711" i="5"/>
  <c r="AQ712" i="5"/>
  <c r="AU712" i="5"/>
  <c r="AY712" i="5"/>
  <c r="AQ713" i="5"/>
  <c r="AU713" i="5"/>
  <c r="AY713" i="5"/>
  <c r="AQ714" i="5"/>
  <c r="AU714" i="5"/>
  <c r="AY714" i="5"/>
  <c r="AQ715" i="5"/>
  <c r="AU715" i="5"/>
  <c r="AY715" i="5"/>
  <c r="AQ716" i="5"/>
  <c r="AU716" i="5"/>
  <c r="AY716" i="5"/>
  <c r="AQ717" i="5"/>
  <c r="AU717" i="5"/>
  <c r="AY717" i="5"/>
  <c r="AQ718" i="5"/>
  <c r="AU718" i="5"/>
  <c r="AY718" i="5"/>
  <c r="AQ719" i="5"/>
  <c r="AU719" i="5"/>
  <c r="AY719" i="5"/>
  <c r="AQ720" i="5"/>
  <c r="AU720" i="5"/>
  <c r="AY720" i="5"/>
  <c r="AQ721" i="5"/>
  <c r="AU721" i="5"/>
  <c r="AY721" i="5"/>
  <c r="AQ722" i="5"/>
  <c r="AU722" i="5"/>
  <c r="AY722" i="5"/>
  <c r="AQ723" i="5"/>
  <c r="AU723" i="5"/>
  <c r="AY723" i="5"/>
  <c r="AQ724" i="5"/>
  <c r="AU724" i="5"/>
  <c r="AY724" i="5"/>
  <c r="AQ725" i="5"/>
  <c r="AU725" i="5"/>
  <c r="AY725" i="5"/>
  <c r="AQ726" i="5"/>
  <c r="AU726" i="5"/>
  <c r="AY726" i="5"/>
  <c r="AQ727" i="5"/>
  <c r="AU727" i="5"/>
  <c r="AY727" i="5"/>
  <c r="AQ728" i="5"/>
  <c r="AU728" i="5"/>
  <c r="AY728" i="5"/>
  <c r="AQ729" i="5"/>
  <c r="AU729" i="5"/>
  <c r="AY729" i="5"/>
  <c r="AQ730" i="5"/>
  <c r="AU730" i="5"/>
  <c r="AY730" i="5"/>
  <c r="AQ731" i="5"/>
  <c r="AU731" i="5"/>
  <c r="AY731" i="5"/>
  <c r="AQ732" i="5"/>
  <c r="AU732" i="5"/>
  <c r="AY732" i="5"/>
  <c r="AQ733" i="5"/>
  <c r="AU733" i="5"/>
  <c r="AY733" i="5"/>
  <c r="AQ734" i="5"/>
  <c r="AU734" i="5"/>
  <c r="AY734" i="5"/>
  <c r="AQ735" i="5"/>
  <c r="AU735" i="5"/>
  <c r="AY735" i="5"/>
  <c r="AQ736" i="5"/>
  <c r="AU736" i="5"/>
  <c r="AY736" i="5"/>
  <c r="AQ737" i="5"/>
  <c r="AU737" i="5"/>
  <c r="AY737" i="5"/>
  <c r="AQ738" i="5"/>
  <c r="AU738" i="5"/>
  <c r="AY738" i="5"/>
  <c r="AQ739" i="5"/>
  <c r="AU739" i="5"/>
  <c r="AY739" i="5"/>
  <c r="AQ740" i="5"/>
  <c r="AU740" i="5"/>
  <c r="AY740" i="5"/>
  <c r="AQ741" i="5"/>
  <c r="AU741" i="5"/>
  <c r="AY741" i="5"/>
  <c r="AQ742" i="5"/>
  <c r="AU742" i="5"/>
  <c r="AY742" i="5"/>
  <c r="AQ743" i="5"/>
  <c r="AU743" i="5"/>
  <c r="AY743" i="5"/>
  <c r="AQ744" i="5"/>
  <c r="AU744" i="5"/>
  <c r="AY744" i="5"/>
  <c r="AQ745" i="5"/>
  <c r="AU745" i="5"/>
  <c r="AY745" i="5"/>
  <c r="AQ746" i="5"/>
  <c r="AU746" i="5"/>
  <c r="AY746" i="5"/>
  <c r="AQ747" i="5"/>
  <c r="AU747" i="5"/>
  <c r="AY747" i="5"/>
  <c r="AQ748" i="5"/>
  <c r="AU748" i="5"/>
  <c r="AY748" i="5"/>
  <c r="AQ749" i="5"/>
  <c r="AU749" i="5"/>
  <c r="AY749" i="5"/>
  <c r="AQ750" i="5"/>
  <c r="AU750" i="5"/>
  <c r="AY750" i="5"/>
  <c r="AQ751" i="5"/>
  <c r="AU751" i="5"/>
  <c r="AY751" i="5"/>
  <c r="AQ752" i="5"/>
  <c r="AU752" i="5"/>
  <c r="AY752" i="5"/>
  <c r="AQ753" i="5"/>
  <c r="AU753" i="5"/>
  <c r="AY753" i="5"/>
  <c r="AQ754" i="5"/>
  <c r="AU754" i="5"/>
  <c r="AY754" i="5"/>
  <c r="AQ755" i="5"/>
  <c r="AU755" i="5"/>
  <c r="AY755" i="5"/>
  <c r="AQ756" i="5"/>
  <c r="AU756" i="5"/>
  <c r="AY756" i="5"/>
  <c r="AQ757" i="5"/>
  <c r="AU757" i="5"/>
  <c r="AY757" i="5"/>
  <c r="AQ758" i="5"/>
  <c r="AU758" i="5"/>
  <c r="AY758" i="5"/>
  <c r="AQ759" i="5"/>
  <c r="AU759" i="5"/>
  <c r="AY759" i="5"/>
  <c r="AQ760" i="5"/>
  <c r="AU760" i="5"/>
  <c r="AY760" i="5"/>
  <c r="AQ761" i="5"/>
  <c r="AU761" i="5"/>
  <c r="AY761" i="5"/>
  <c r="AQ762" i="5"/>
  <c r="AU762" i="5"/>
  <c r="AY762" i="5"/>
  <c r="AQ763" i="5"/>
  <c r="AU763" i="5"/>
  <c r="AY763" i="5"/>
  <c r="AQ764" i="5"/>
  <c r="AU764" i="5"/>
  <c r="AY764" i="5"/>
  <c r="AQ765" i="5"/>
  <c r="AU765" i="5"/>
  <c r="AY765" i="5"/>
  <c r="AQ766" i="5"/>
  <c r="AU766" i="5"/>
  <c r="AY766" i="5"/>
  <c r="AQ767" i="5"/>
  <c r="AU767" i="5"/>
  <c r="AY767" i="5"/>
  <c r="AQ768" i="5"/>
  <c r="AU768" i="5"/>
  <c r="AY768" i="5"/>
  <c r="AQ769" i="5"/>
  <c r="AU769" i="5"/>
  <c r="AY769" i="5"/>
  <c r="AQ770" i="5"/>
  <c r="AU770" i="5"/>
  <c r="AY770" i="5"/>
  <c r="AQ771" i="5"/>
  <c r="AU771" i="5"/>
  <c r="AY771" i="5"/>
  <c r="AQ772" i="5"/>
  <c r="AU772" i="5"/>
  <c r="AY772" i="5"/>
  <c r="AQ773" i="5"/>
  <c r="AU773" i="5"/>
  <c r="AY773" i="5"/>
  <c r="AQ774" i="5"/>
  <c r="AU774" i="5"/>
  <c r="AY774" i="5"/>
  <c r="AQ775" i="5"/>
  <c r="AU775" i="5"/>
  <c r="AY775" i="5"/>
  <c r="AQ776" i="5"/>
  <c r="AU776" i="5"/>
  <c r="AY776" i="5"/>
  <c r="AQ777" i="5"/>
  <c r="AU777" i="5"/>
  <c r="AY777" i="5"/>
  <c r="AQ778" i="5"/>
  <c r="AU778" i="5"/>
  <c r="AY778" i="5"/>
  <c r="AQ779" i="5"/>
  <c r="AU779" i="5"/>
  <c r="AY779" i="5"/>
  <c r="AQ780" i="5"/>
  <c r="AU780" i="5"/>
  <c r="AY780" i="5"/>
  <c r="AQ781" i="5"/>
  <c r="AU781" i="5"/>
  <c r="AY781" i="5"/>
  <c r="AQ782" i="5"/>
  <c r="AU782" i="5"/>
  <c r="AY782" i="5"/>
  <c r="AQ783" i="5"/>
  <c r="AU783" i="5"/>
  <c r="AY783" i="5"/>
  <c r="AQ784" i="5"/>
  <c r="AU784" i="5"/>
  <c r="AY784" i="5"/>
  <c r="AQ785" i="5"/>
  <c r="AU785" i="5"/>
  <c r="AY785" i="5"/>
  <c r="AQ786" i="5"/>
  <c r="AU786" i="5"/>
  <c r="AY786" i="5"/>
  <c r="AQ787" i="5"/>
  <c r="AU787" i="5"/>
  <c r="AY787" i="5"/>
  <c r="AQ788" i="5"/>
  <c r="AU788" i="5"/>
  <c r="AY788" i="5"/>
  <c r="AQ789" i="5"/>
  <c r="AU789" i="5"/>
  <c r="AY789" i="5"/>
  <c r="AQ790" i="5"/>
  <c r="AU790" i="5"/>
  <c r="AY790" i="5"/>
  <c r="AQ791" i="5"/>
  <c r="AU791" i="5"/>
  <c r="AY791" i="5"/>
  <c r="AQ792" i="5"/>
  <c r="AU792" i="5"/>
  <c r="AY792" i="5"/>
  <c r="AQ793" i="5"/>
  <c r="AU793" i="5"/>
  <c r="AY793" i="5"/>
  <c r="AQ794" i="5"/>
  <c r="AU794" i="5"/>
  <c r="AY794" i="5"/>
  <c r="F242" i="5" l="1"/>
  <c r="F243" i="5"/>
  <c r="D242" i="5"/>
  <c r="D243" i="5"/>
  <c r="T362" i="13"/>
  <c r="Q355" i="13"/>
  <c r="Q353" i="13"/>
  <c r="Q357" i="13"/>
  <c r="Q354" i="13"/>
  <c r="Q356" i="13"/>
  <c r="Q358" i="13"/>
  <c r="T358" i="13"/>
  <c r="Q360" i="13"/>
  <c r="T360" i="13"/>
  <c r="Q361" i="13"/>
  <c r="T361" i="13"/>
  <c r="Q359" i="13"/>
  <c r="T359" i="13"/>
  <c r="O51" i="5"/>
  <c r="O52" i="5"/>
  <c r="O53" i="5"/>
  <c r="O54" i="5"/>
  <c r="S68" i="5" l="1"/>
  <c r="S69" i="5"/>
  <c r="S73" i="5"/>
  <c r="S74" i="5"/>
  <c r="S75" i="5"/>
  <c r="S166" i="5"/>
  <c r="S167" i="5"/>
  <c r="S168" i="5"/>
  <c r="S169" i="5"/>
  <c r="S170" i="5"/>
  <c r="S171" i="5"/>
  <c r="S172" i="5"/>
  <c r="O173" i="5"/>
  <c r="O174" i="5"/>
  <c r="O175" i="5"/>
  <c r="S176" i="5"/>
  <c r="S177" i="5"/>
  <c r="S160" i="5"/>
  <c r="S161" i="5"/>
  <c r="S162" i="5"/>
  <c r="S163" i="5"/>
  <c r="S164" i="5"/>
  <c r="S165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233" i="5"/>
  <c r="S234" i="5"/>
  <c r="S235" i="5"/>
  <c r="S237" i="5"/>
  <c r="S238" i="5"/>
  <c r="S240" i="5"/>
  <c r="S241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6" i="5"/>
  <c r="S44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531" i="5"/>
  <c r="S532" i="5"/>
  <c r="S533" i="5"/>
  <c r="S534" i="5"/>
  <c r="S535" i="5"/>
  <c r="S536" i="5"/>
  <c r="S537" i="5"/>
  <c r="S538" i="5"/>
  <c r="S539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2" i="5"/>
  <c r="S53" i="5"/>
  <c r="S54" i="5"/>
  <c r="S58" i="5"/>
  <c r="S59" i="5"/>
  <c r="S60" i="5"/>
  <c r="S61" i="5"/>
  <c r="S62" i="5"/>
  <c r="S63" i="5"/>
  <c r="S67" i="5"/>
  <c r="S49" i="5"/>
  <c r="S50" i="5"/>
  <c r="S51" i="5"/>
  <c r="O570" i="5" l="1"/>
  <c r="D34" i="8" l="1"/>
  <c r="D36" i="8"/>
  <c r="D40" i="8"/>
  <c r="D42" i="8"/>
  <c r="D48" i="8"/>
  <c r="D50" i="8"/>
  <c r="D52" i="8"/>
  <c r="D56" i="8"/>
  <c r="D58" i="8"/>
  <c r="D61" i="8"/>
  <c r="D64" i="8"/>
  <c r="D66" i="8"/>
  <c r="D69" i="8"/>
  <c r="D72" i="8"/>
  <c r="D73" i="8"/>
  <c r="D74" i="8"/>
  <c r="D77" i="8"/>
  <c r="D80" i="8"/>
  <c r="D81" i="8"/>
  <c r="D82" i="8"/>
  <c r="D85" i="8"/>
  <c r="D88" i="8"/>
  <c r="D89" i="8"/>
  <c r="D90" i="8"/>
  <c r="D93" i="8"/>
  <c r="D96" i="8"/>
  <c r="D98" i="8"/>
  <c r="D101" i="8"/>
  <c r="D104" i="8"/>
  <c r="D105" i="8"/>
  <c r="D106" i="8"/>
  <c r="D109" i="8"/>
  <c r="D112" i="8"/>
  <c r="D114" i="8"/>
  <c r="D117" i="8"/>
  <c r="D120" i="8"/>
  <c r="D122" i="8"/>
  <c r="D123" i="8"/>
  <c r="D125" i="8"/>
  <c r="D128" i="8"/>
  <c r="D130" i="8"/>
  <c r="D133" i="8"/>
  <c r="D136" i="8"/>
  <c r="D138" i="8"/>
  <c r="D139" i="8"/>
  <c r="D140" i="8"/>
  <c r="D141" i="8"/>
  <c r="D144" i="8"/>
  <c r="D146" i="8"/>
  <c r="D149" i="8"/>
  <c r="D152" i="8"/>
  <c r="D154" i="8"/>
  <c r="D157" i="8"/>
  <c r="D160" i="8"/>
  <c r="D162" i="8"/>
  <c r="D164" i="8"/>
  <c r="D165" i="8"/>
  <c r="D43" i="8"/>
  <c r="D57" i="8"/>
  <c r="D65" i="8"/>
  <c r="D67" i="8"/>
  <c r="D68" i="8"/>
  <c r="D91" i="8"/>
  <c r="D92" i="8"/>
  <c r="D97" i="8"/>
  <c r="D115" i="8"/>
  <c r="D121" i="8"/>
  <c r="D132" i="8"/>
  <c r="D137" i="8"/>
  <c r="D148" i="8"/>
  <c r="D161" i="8"/>
  <c r="D41" i="8" l="1"/>
  <c r="D33" i="8"/>
  <c r="D49" i="8"/>
  <c r="D129" i="8"/>
  <c r="D147" i="8"/>
  <c r="D131" i="8"/>
  <c r="D156" i="8"/>
  <c r="D155" i="8"/>
  <c r="D113" i="8"/>
  <c r="D145" i="8"/>
  <c r="D153" i="8"/>
  <c r="D84" i="8"/>
  <c r="D51" i="8"/>
  <c r="D108" i="8"/>
  <c r="D83" i="8"/>
  <c r="D107" i="8"/>
  <c r="D44" i="8"/>
  <c r="D151" i="8"/>
  <c r="D135" i="8"/>
  <c r="D119" i="8"/>
  <c r="D103" i="8"/>
  <c r="D95" i="8"/>
  <c r="D79" i="8"/>
  <c r="D63" i="8"/>
  <c r="D39" i="8"/>
  <c r="D166" i="8"/>
  <c r="D142" i="8"/>
  <c r="D118" i="8"/>
  <c r="D94" i="8"/>
  <c r="D78" i="8"/>
  <c r="D62" i="8"/>
  <c r="D32" i="8"/>
  <c r="D159" i="8"/>
  <c r="D143" i="8"/>
  <c r="D127" i="8"/>
  <c r="D111" i="8"/>
  <c r="D87" i="8"/>
  <c r="D71" i="8"/>
  <c r="D55" i="8"/>
  <c r="D47" i="8"/>
  <c r="L32" i="8"/>
  <c r="D158" i="8"/>
  <c r="D150" i="8"/>
  <c r="D134" i="8"/>
  <c r="D126" i="8"/>
  <c r="D110" i="8"/>
  <c r="D102" i="8"/>
  <c r="D86" i="8"/>
  <c r="D70" i="8"/>
  <c r="D54" i="8"/>
  <c r="D38" i="8"/>
  <c r="D53" i="8"/>
  <c r="D37" i="8"/>
  <c r="D124" i="8"/>
  <c r="D60" i="8"/>
  <c r="D59" i="8"/>
  <c r="D163" i="8"/>
  <c r="D99" i="8"/>
  <c r="D76" i="8"/>
  <c r="D35" i="8"/>
  <c r="D45" i="8"/>
  <c r="D100" i="8"/>
  <c r="D116" i="8"/>
  <c r="D75" i="8"/>
  <c r="P32" i="8" l="1"/>
  <c r="H32" i="8"/>
  <c r="BH32" i="8" l="1"/>
  <c r="BD32" i="8"/>
  <c r="AZ32" i="8"/>
  <c r="AV32" i="8"/>
  <c r="AR32" i="8"/>
  <c r="AN32" i="8"/>
  <c r="B11" i="17" l="1"/>
  <c r="A11" i="17"/>
  <c r="B10" i="17"/>
  <c r="A10" i="17"/>
  <c r="B9" i="17"/>
  <c r="A9" i="17"/>
  <c r="B8" i="17"/>
  <c r="A8" i="17"/>
  <c r="B7" i="17"/>
  <c r="A7" i="17"/>
  <c r="B6" i="17"/>
  <c r="A6" i="17"/>
  <c r="B5" i="17"/>
  <c r="A5" i="17"/>
  <c r="B4" i="17"/>
  <c r="A4" i="17"/>
  <c r="B3" i="17"/>
  <c r="A3" i="17"/>
  <c r="B2" i="17"/>
  <c r="A2" i="17"/>
  <c r="B2" i="6"/>
  <c r="A2" i="6"/>
  <c r="B1" i="6"/>
  <c r="A1" i="6"/>
  <c r="I11" i="15"/>
  <c r="H11" i="15"/>
  <c r="G11" i="15"/>
  <c r="F11" i="15"/>
  <c r="I10" i="15"/>
  <c r="H10" i="15"/>
  <c r="G10" i="15"/>
  <c r="F10" i="15"/>
  <c r="I9" i="15"/>
  <c r="H9" i="15"/>
  <c r="G9" i="15"/>
  <c r="F9" i="15"/>
  <c r="H8" i="15"/>
  <c r="G8" i="15"/>
  <c r="F8" i="15"/>
  <c r="H7" i="15"/>
  <c r="G7" i="15"/>
  <c r="F7" i="15"/>
  <c r="H6" i="15"/>
  <c r="G6" i="15"/>
  <c r="F6" i="15"/>
  <c r="H5" i="15"/>
  <c r="G5" i="15"/>
  <c r="F5" i="15"/>
  <c r="H4" i="15"/>
  <c r="G4" i="15"/>
  <c r="F4" i="15"/>
  <c r="H3" i="15"/>
  <c r="G3" i="15"/>
  <c r="F3" i="15"/>
  <c r="I2" i="15"/>
  <c r="H2" i="15"/>
  <c r="G2" i="15"/>
  <c r="F2" i="15"/>
  <c r="M317" i="13"/>
  <c r="M316" i="13"/>
  <c r="M315" i="13"/>
  <c r="M314" i="13"/>
  <c r="M313" i="13"/>
  <c r="B313" i="13" s="1"/>
  <c r="M312" i="13"/>
  <c r="B312" i="13" s="1"/>
  <c r="M311" i="13"/>
  <c r="B311" i="13" s="1"/>
  <c r="M310" i="13"/>
  <c r="M309" i="13"/>
  <c r="B309" i="13" s="1"/>
  <c r="M308" i="13"/>
  <c r="M307" i="13"/>
  <c r="M306" i="13"/>
  <c r="M305" i="13"/>
  <c r="B305" i="13" s="1"/>
  <c r="M304" i="13"/>
  <c r="B304" i="13" s="1"/>
  <c r="M303" i="13"/>
  <c r="B303" i="13" s="1"/>
  <c r="M302" i="13"/>
  <c r="M301" i="13"/>
  <c r="B301" i="13" s="1"/>
  <c r="M300" i="13"/>
  <c r="M299" i="13"/>
  <c r="M158" i="13"/>
  <c r="M157" i="13"/>
  <c r="M156" i="13"/>
  <c r="M155" i="13"/>
  <c r="M154" i="13"/>
  <c r="M153" i="13"/>
  <c r="M152" i="13"/>
  <c r="M151" i="13"/>
  <c r="B151" i="13" s="1"/>
  <c r="M150" i="13"/>
  <c r="M149" i="13"/>
  <c r="B149" i="13" s="1"/>
  <c r="M148" i="13"/>
  <c r="B148" i="13" s="1"/>
  <c r="M147" i="13"/>
  <c r="B147" i="13" s="1"/>
  <c r="M146" i="13"/>
  <c r="B146" i="13" s="1"/>
  <c r="M145" i="13"/>
  <c r="M144" i="13"/>
  <c r="B144" i="13" s="1"/>
  <c r="M140" i="13"/>
  <c r="M139" i="13"/>
  <c r="M138" i="13"/>
  <c r="M134" i="13"/>
  <c r="B134" i="13" s="1"/>
  <c r="M133" i="13"/>
  <c r="M132" i="13"/>
  <c r="B132" i="13" s="1"/>
  <c r="M131" i="13"/>
  <c r="B131" i="13" s="1"/>
  <c r="M130" i="13"/>
  <c r="B130" i="13" s="1"/>
  <c r="M129" i="13"/>
  <c r="M125" i="13"/>
  <c r="M124" i="13"/>
  <c r="M123" i="13"/>
  <c r="M122" i="13"/>
  <c r="B122" i="13" s="1"/>
  <c r="M121" i="13"/>
  <c r="B121" i="13" s="1"/>
  <c r="M120" i="13"/>
  <c r="M116" i="13"/>
  <c r="B116" i="13" s="1"/>
  <c r="M115" i="13"/>
  <c r="M114" i="13"/>
  <c r="M113" i="13"/>
  <c r="M112" i="13"/>
  <c r="M111" i="13"/>
  <c r="M107" i="13"/>
  <c r="B107" i="13" s="1"/>
  <c r="M106" i="13"/>
  <c r="M105" i="13"/>
  <c r="B105" i="13" s="1"/>
  <c r="M104" i="13"/>
  <c r="M103" i="13"/>
  <c r="M102" i="13"/>
  <c r="M98" i="13"/>
  <c r="B98" i="13" s="1"/>
  <c r="M97" i="13"/>
  <c r="M96" i="13"/>
  <c r="M95" i="13"/>
  <c r="B95" i="13" s="1"/>
  <c r="M94" i="13"/>
  <c r="B94" i="13" s="1"/>
  <c r="M93" i="13"/>
  <c r="M89" i="13"/>
  <c r="B89" i="13" s="1"/>
  <c r="M88" i="13"/>
  <c r="M87" i="13"/>
  <c r="M86" i="13"/>
  <c r="B86" i="13" s="1"/>
  <c r="M85" i="13"/>
  <c r="M84" i="13"/>
  <c r="M80" i="13"/>
  <c r="B80" i="13" s="1"/>
  <c r="M79" i="13"/>
  <c r="M78" i="13"/>
  <c r="M77" i="13"/>
  <c r="M76" i="13"/>
  <c r="B76" i="13" s="1"/>
  <c r="M75" i="13"/>
  <c r="M74" i="13"/>
  <c r="B74" i="13" s="1"/>
  <c r="M73" i="13"/>
  <c r="M72" i="13"/>
  <c r="B72" i="13" s="1"/>
  <c r="M68" i="13"/>
  <c r="M67" i="13"/>
  <c r="B67" i="13" s="1"/>
  <c r="M66" i="13"/>
  <c r="M62" i="13"/>
  <c r="M61" i="13"/>
  <c r="B61" i="13" s="1"/>
  <c r="M60" i="13"/>
  <c r="B60" i="13" s="1"/>
  <c r="M59" i="13"/>
  <c r="B59" i="13" s="1"/>
  <c r="M58" i="13"/>
  <c r="B58" i="13" s="1"/>
  <c r="M57" i="13"/>
  <c r="M53" i="13"/>
  <c r="M52" i="13"/>
  <c r="M51" i="13"/>
  <c r="B51" i="13" s="1"/>
  <c r="M50" i="13"/>
  <c r="M49" i="13"/>
  <c r="M48" i="13"/>
  <c r="B48" i="13" s="1"/>
  <c r="M44" i="13"/>
  <c r="B44" i="13" s="1"/>
  <c r="M43" i="13"/>
  <c r="M42" i="13"/>
  <c r="B42" i="13" s="1"/>
  <c r="M41" i="13"/>
  <c r="M40" i="13"/>
  <c r="M39" i="13"/>
  <c r="B39" i="13" s="1"/>
  <c r="M35" i="13"/>
  <c r="M34" i="13"/>
  <c r="M33" i="13"/>
  <c r="B33" i="13" s="1"/>
  <c r="M32" i="13"/>
  <c r="M31" i="13"/>
  <c r="M30" i="13"/>
  <c r="M26" i="13"/>
  <c r="B26" i="13" s="1"/>
  <c r="M25" i="13"/>
  <c r="G25" i="13" s="1"/>
  <c r="M24" i="13"/>
  <c r="M23" i="13"/>
  <c r="B23" i="13" s="1"/>
  <c r="M22" i="13"/>
  <c r="B22" i="13" s="1"/>
  <c r="M21" i="13"/>
  <c r="M17" i="13"/>
  <c r="B17" i="13" s="1"/>
  <c r="M16" i="13"/>
  <c r="M15" i="13"/>
  <c r="M14" i="13"/>
  <c r="B14" i="13" s="1"/>
  <c r="M13" i="13"/>
  <c r="B13" i="13" s="1"/>
  <c r="M12" i="13"/>
  <c r="M11" i="13"/>
  <c r="B11" i="13" s="1"/>
  <c r="M7" i="13"/>
  <c r="M6" i="13"/>
  <c r="M5" i="13"/>
  <c r="M4" i="13"/>
  <c r="B4" i="13" s="1"/>
  <c r="M3" i="13"/>
  <c r="M2" i="13"/>
  <c r="E13" i="9"/>
  <c r="E12" i="9"/>
  <c r="E11" i="9"/>
  <c r="H10" i="9"/>
  <c r="E10" i="9"/>
  <c r="H9" i="9"/>
  <c r="E9" i="9"/>
  <c r="H8" i="9"/>
  <c r="E8" i="9"/>
  <c r="BK794" i="5"/>
  <c r="BG794" i="5"/>
  <c r="BC794" i="5"/>
  <c r="K794" i="5"/>
  <c r="BK793" i="5"/>
  <c r="BG793" i="5"/>
  <c r="BC793" i="5"/>
  <c r="K793" i="5"/>
  <c r="BK792" i="5"/>
  <c r="BG792" i="5"/>
  <c r="BC792" i="5"/>
  <c r="K792" i="5"/>
  <c r="BK791" i="5"/>
  <c r="BG791" i="5"/>
  <c r="BC791" i="5"/>
  <c r="K791" i="5"/>
  <c r="BK790" i="5"/>
  <c r="BG790" i="5"/>
  <c r="BC790" i="5"/>
  <c r="K790" i="5"/>
  <c r="BK789" i="5"/>
  <c r="BG789" i="5"/>
  <c r="BC789" i="5"/>
  <c r="K789" i="5"/>
  <c r="BK788" i="5"/>
  <c r="BG788" i="5"/>
  <c r="BC788" i="5"/>
  <c r="K788" i="5"/>
  <c r="BK787" i="5"/>
  <c r="BG787" i="5"/>
  <c r="BC787" i="5"/>
  <c r="K787" i="5"/>
  <c r="BK786" i="5"/>
  <c r="BG786" i="5"/>
  <c r="BC786" i="5"/>
  <c r="K786" i="5"/>
  <c r="BK785" i="5"/>
  <c r="BG785" i="5"/>
  <c r="BC785" i="5"/>
  <c r="K785" i="5"/>
  <c r="BK784" i="5"/>
  <c r="BG784" i="5"/>
  <c r="BC784" i="5"/>
  <c r="K784" i="5"/>
  <c r="BK783" i="5"/>
  <c r="BG783" i="5"/>
  <c r="BC783" i="5"/>
  <c r="K783" i="5"/>
  <c r="BK782" i="5"/>
  <c r="BG782" i="5"/>
  <c r="BC782" i="5"/>
  <c r="K782" i="5"/>
  <c r="BK781" i="5"/>
  <c r="BG781" i="5"/>
  <c r="BC781" i="5"/>
  <c r="K781" i="5"/>
  <c r="BK780" i="5"/>
  <c r="BG780" i="5"/>
  <c r="BC780" i="5"/>
  <c r="K780" i="5"/>
  <c r="BK779" i="5"/>
  <c r="BG779" i="5"/>
  <c r="BC779" i="5"/>
  <c r="K779" i="5"/>
  <c r="BK778" i="5"/>
  <c r="BG778" i="5"/>
  <c r="BC778" i="5"/>
  <c r="K778" i="5"/>
  <c r="BK777" i="5"/>
  <c r="BG777" i="5"/>
  <c r="BC777" i="5"/>
  <c r="K777" i="5"/>
  <c r="BK776" i="5"/>
  <c r="BG776" i="5"/>
  <c r="BC776" i="5"/>
  <c r="K776" i="5"/>
  <c r="BK775" i="5"/>
  <c r="BG775" i="5"/>
  <c r="BC775" i="5"/>
  <c r="K775" i="5"/>
  <c r="BK774" i="5"/>
  <c r="BG774" i="5"/>
  <c r="BC774" i="5"/>
  <c r="K774" i="5"/>
  <c r="BK773" i="5"/>
  <c r="BG773" i="5"/>
  <c r="BC773" i="5"/>
  <c r="K773" i="5"/>
  <c r="BK772" i="5"/>
  <c r="BG772" i="5"/>
  <c r="BC772" i="5"/>
  <c r="K772" i="5"/>
  <c r="BK771" i="5"/>
  <c r="BG771" i="5"/>
  <c r="BC771" i="5"/>
  <c r="K771" i="5"/>
  <c r="BK770" i="5"/>
  <c r="BG770" i="5"/>
  <c r="BC770" i="5"/>
  <c r="K770" i="5"/>
  <c r="BK769" i="5"/>
  <c r="BG769" i="5"/>
  <c r="BC769" i="5"/>
  <c r="K769" i="5"/>
  <c r="BK768" i="5"/>
  <c r="BG768" i="5"/>
  <c r="BC768" i="5"/>
  <c r="K768" i="5"/>
  <c r="BK767" i="5"/>
  <c r="BG767" i="5"/>
  <c r="BC767" i="5"/>
  <c r="K767" i="5"/>
  <c r="BK766" i="5"/>
  <c r="BG766" i="5"/>
  <c r="BC766" i="5"/>
  <c r="K766" i="5"/>
  <c r="BK765" i="5"/>
  <c r="BG765" i="5"/>
  <c r="BC765" i="5"/>
  <c r="K765" i="5"/>
  <c r="BK764" i="5"/>
  <c r="BG764" i="5"/>
  <c r="BC764" i="5"/>
  <c r="K764" i="5"/>
  <c r="BK763" i="5"/>
  <c r="BG763" i="5"/>
  <c r="BC763" i="5"/>
  <c r="K763" i="5"/>
  <c r="BK762" i="5"/>
  <c r="BG762" i="5"/>
  <c r="BC762" i="5"/>
  <c r="K762" i="5"/>
  <c r="BK761" i="5"/>
  <c r="BG761" i="5"/>
  <c r="BC761" i="5"/>
  <c r="K761" i="5"/>
  <c r="BK760" i="5"/>
  <c r="BG760" i="5"/>
  <c r="BC760" i="5"/>
  <c r="K760" i="5"/>
  <c r="BK759" i="5"/>
  <c r="BG759" i="5"/>
  <c r="BC759" i="5"/>
  <c r="K759" i="5"/>
  <c r="BK758" i="5"/>
  <c r="BG758" i="5"/>
  <c r="BC758" i="5"/>
  <c r="K758" i="5"/>
  <c r="BK757" i="5"/>
  <c r="BG757" i="5"/>
  <c r="BC757" i="5"/>
  <c r="K757" i="5"/>
  <c r="BK756" i="5"/>
  <c r="BG756" i="5"/>
  <c r="BC756" i="5"/>
  <c r="K756" i="5"/>
  <c r="BK755" i="5"/>
  <c r="BG755" i="5"/>
  <c r="BC755" i="5"/>
  <c r="K755" i="5"/>
  <c r="BK754" i="5"/>
  <c r="BG754" i="5"/>
  <c r="BC754" i="5"/>
  <c r="K754" i="5"/>
  <c r="BK753" i="5"/>
  <c r="BG753" i="5"/>
  <c r="BC753" i="5"/>
  <c r="K753" i="5"/>
  <c r="BK752" i="5"/>
  <c r="BG752" i="5"/>
  <c r="BC752" i="5"/>
  <c r="K752" i="5"/>
  <c r="BK751" i="5"/>
  <c r="BG751" i="5"/>
  <c r="BC751" i="5"/>
  <c r="K751" i="5"/>
  <c r="BK750" i="5"/>
  <c r="BG750" i="5"/>
  <c r="BC750" i="5"/>
  <c r="K750" i="5"/>
  <c r="BK749" i="5"/>
  <c r="BG749" i="5"/>
  <c r="BC749" i="5"/>
  <c r="K749" i="5"/>
  <c r="BK748" i="5"/>
  <c r="BG748" i="5"/>
  <c r="BC748" i="5"/>
  <c r="K748" i="5"/>
  <c r="BK747" i="5"/>
  <c r="BG747" i="5"/>
  <c r="BC747" i="5"/>
  <c r="K747" i="5"/>
  <c r="BK746" i="5"/>
  <c r="BG746" i="5"/>
  <c r="BC746" i="5"/>
  <c r="K746" i="5"/>
  <c r="BK745" i="5"/>
  <c r="BG745" i="5"/>
  <c r="BC745" i="5"/>
  <c r="K745" i="5"/>
  <c r="BK744" i="5"/>
  <c r="BG744" i="5"/>
  <c r="BC744" i="5"/>
  <c r="K744" i="5"/>
  <c r="BK743" i="5"/>
  <c r="BG743" i="5"/>
  <c r="BC743" i="5"/>
  <c r="K743" i="5"/>
  <c r="BK742" i="5"/>
  <c r="BG742" i="5"/>
  <c r="BC742" i="5"/>
  <c r="K742" i="5"/>
  <c r="BK741" i="5"/>
  <c r="BG741" i="5"/>
  <c r="BC741" i="5"/>
  <c r="K741" i="5"/>
  <c r="BK740" i="5"/>
  <c r="BG740" i="5"/>
  <c r="BC740" i="5"/>
  <c r="K740" i="5"/>
  <c r="BK739" i="5"/>
  <c r="BG739" i="5"/>
  <c r="BC739" i="5"/>
  <c r="K739" i="5"/>
  <c r="BK738" i="5"/>
  <c r="BG738" i="5"/>
  <c r="BC738" i="5"/>
  <c r="K738" i="5"/>
  <c r="BK737" i="5"/>
  <c r="BG737" i="5"/>
  <c r="BC737" i="5"/>
  <c r="K737" i="5"/>
  <c r="BK736" i="5"/>
  <c r="BG736" i="5"/>
  <c r="BC736" i="5"/>
  <c r="K736" i="5"/>
  <c r="BK735" i="5"/>
  <c r="BG735" i="5"/>
  <c r="BC735" i="5"/>
  <c r="K735" i="5"/>
  <c r="BK734" i="5"/>
  <c r="BG734" i="5"/>
  <c r="BC734" i="5"/>
  <c r="K734" i="5"/>
  <c r="BK733" i="5"/>
  <c r="BG733" i="5"/>
  <c r="BC733" i="5"/>
  <c r="K733" i="5"/>
  <c r="BK732" i="5"/>
  <c r="BG732" i="5"/>
  <c r="BC732" i="5"/>
  <c r="K732" i="5"/>
  <c r="BK731" i="5"/>
  <c r="BG731" i="5"/>
  <c r="BC731" i="5"/>
  <c r="K731" i="5"/>
  <c r="BK730" i="5"/>
  <c r="BG730" i="5"/>
  <c r="BC730" i="5"/>
  <c r="K730" i="5"/>
  <c r="BK729" i="5"/>
  <c r="BG729" i="5"/>
  <c r="BC729" i="5"/>
  <c r="K729" i="5"/>
  <c r="BK728" i="5"/>
  <c r="BG728" i="5"/>
  <c r="BC728" i="5"/>
  <c r="K728" i="5"/>
  <c r="E728" i="5" s="1"/>
  <c r="BK727" i="5"/>
  <c r="BG727" i="5"/>
  <c r="BC727" i="5"/>
  <c r="K727" i="5"/>
  <c r="BK726" i="5"/>
  <c r="BG726" i="5"/>
  <c r="BC726" i="5"/>
  <c r="K726" i="5"/>
  <c r="E726" i="5" s="1"/>
  <c r="BK725" i="5"/>
  <c r="BG725" i="5"/>
  <c r="BC725" i="5"/>
  <c r="K725" i="5"/>
  <c r="BK724" i="5"/>
  <c r="BG724" i="5"/>
  <c r="BC724" i="5"/>
  <c r="K724" i="5"/>
  <c r="E724" i="5" s="1"/>
  <c r="BK723" i="5"/>
  <c r="BG723" i="5"/>
  <c r="BC723" i="5"/>
  <c r="K723" i="5"/>
  <c r="BK722" i="5"/>
  <c r="BG722" i="5"/>
  <c r="BC722" i="5"/>
  <c r="K722" i="5"/>
  <c r="E722" i="5" s="1"/>
  <c r="BK721" i="5"/>
  <c r="BG721" i="5"/>
  <c r="BC721" i="5"/>
  <c r="K721" i="5"/>
  <c r="BK720" i="5"/>
  <c r="BG720" i="5"/>
  <c r="BC720" i="5"/>
  <c r="K720" i="5"/>
  <c r="E720" i="5" s="1"/>
  <c r="BK719" i="5"/>
  <c r="BG719" i="5"/>
  <c r="BC719" i="5"/>
  <c r="K719" i="5"/>
  <c r="BK718" i="5"/>
  <c r="BG718" i="5"/>
  <c r="BC718" i="5"/>
  <c r="K718" i="5"/>
  <c r="E718" i="5" s="1"/>
  <c r="BK717" i="5"/>
  <c r="BG717" i="5"/>
  <c r="BC717" i="5"/>
  <c r="K717" i="5"/>
  <c r="BK716" i="5"/>
  <c r="BG716" i="5"/>
  <c r="BC716" i="5"/>
  <c r="K716" i="5"/>
  <c r="E716" i="5" s="1"/>
  <c r="BK715" i="5"/>
  <c r="BG715" i="5"/>
  <c r="BC715" i="5"/>
  <c r="K715" i="5"/>
  <c r="BK714" i="5"/>
  <c r="BG714" i="5"/>
  <c r="BC714" i="5"/>
  <c r="K714" i="5"/>
  <c r="E714" i="5" s="1"/>
  <c r="BK713" i="5"/>
  <c r="BG713" i="5"/>
  <c r="BC713" i="5"/>
  <c r="K713" i="5"/>
  <c r="BK712" i="5"/>
  <c r="BG712" i="5"/>
  <c r="BC712" i="5"/>
  <c r="K712" i="5"/>
  <c r="E712" i="5" s="1"/>
  <c r="BK711" i="5"/>
  <c r="BG711" i="5"/>
  <c r="BC711" i="5"/>
  <c r="K711" i="5"/>
  <c r="BK710" i="5"/>
  <c r="BG710" i="5"/>
  <c r="BC710" i="5"/>
  <c r="K710" i="5"/>
  <c r="E710" i="5" s="1"/>
  <c r="BK709" i="5"/>
  <c r="BG709" i="5"/>
  <c r="BC709" i="5"/>
  <c r="K709" i="5"/>
  <c r="BK708" i="5"/>
  <c r="BG708" i="5"/>
  <c r="BC708" i="5"/>
  <c r="K708" i="5"/>
  <c r="E708" i="5" s="1"/>
  <c r="BK707" i="5"/>
  <c r="BG707" i="5"/>
  <c r="BC707" i="5"/>
  <c r="K707" i="5"/>
  <c r="BK706" i="5"/>
  <c r="BG706" i="5"/>
  <c r="BC706" i="5"/>
  <c r="K706" i="5"/>
  <c r="E706" i="5" s="1"/>
  <c r="BK705" i="5"/>
  <c r="BG705" i="5"/>
  <c r="BC705" i="5"/>
  <c r="K705" i="5"/>
  <c r="AM704" i="5"/>
  <c r="K704" i="5"/>
  <c r="AM703" i="5"/>
  <c r="K703" i="5"/>
  <c r="E703" i="5" s="1"/>
  <c r="AM702" i="5"/>
  <c r="K702" i="5"/>
  <c r="AM701" i="5"/>
  <c r="K701" i="5"/>
  <c r="AM700" i="5"/>
  <c r="E700" i="5" s="1"/>
  <c r="AM699" i="5"/>
  <c r="E699" i="5" s="1"/>
  <c r="AM698" i="5"/>
  <c r="K698" i="5"/>
  <c r="E698" i="5" s="1"/>
  <c r="AM697" i="5"/>
  <c r="K697" i="5"/>
  <c r="AM696" i="5"/>
  <c r="K696" i="5"/>
  <c r="AM695" i="5"/>
  <c r="K695" i="5"/>
  <c r="AM694" i="5"/>
  <c r="AI694" i="5"/>
  <c r="K694" i="5"/>
  <c r="AM693" i="5"/>
  <c r="AI693" i="5"/>
  <c r="K693" i="5"/>
  <c r="AM692" i="5"/>
  <c r="AI692" i="5"/>
  <c r="K692" i="5"/>
  <c r="AM691" i="5"/>
  <c r="AI691" i="5"/>
  <c r="K691" i="5"/>
  <c r="AM690" i="5"/>
  <c r="AI690" i="5"/>
  <c r="K690" i="5"/>
  <c r="AM689" i="5"/>
  <c r="K689" i="5"/>
  <c r="AM688" i="5"/>
  <c r="K688" i="5"/>
  <c r="AM687" i="5"/>
  <c r="K687" i="5"/>
  <c r="AM686" i="5"/>
  <c r="K686" i="5"/>
  <c r="AM685" i="5"/>
  <c r="K685" i="5"/>
  <c r="AM684" i="5"/>
  <c r="K684" i="5"/>
  <c r="AM683" i="5"/>
  <c r="K683" i="5"/>
  <c r="AM682" i="5"/>
  <c r="K682" i="5"/>
  <c r="AM681" i="5"/>
  <c r="K681" i="5"/>
  <c r="AM680" i="5"/>
  <c r="K680" i="5"/>
  <c r="AM679" i="5"/>
  <c r="AI679" i="5"/>
  <c r="K679" i="5"/>
  <c r="AM678" i="5"/>
  <c r="AI678" i="5"/>
  <c r="K678" i="5"/>
  <c r="AM677" i="5"/>
  <c r="AI677" i="5"/>
  <c r="K677" i="5"/>
  <c r="AM676" i="5"/>
  <c r="AI676" i="5"/>
  <c r="K676" i="5"/>
  <c r="AM675" i="5"/>
  <c r="AI675" i="5"/>
  <c r="K675" i="5"/>
  <c r="E675" i="5" s="1"/>
  <c r="AU674" i="5"/>
  <c r="AM674" i="5"/>
  <c r="K674" i="5"/>
  <c r="AU673" i="5"/>
  <c r="AQ673" i="5"/>
  <c r="AM673" i="5"/>
  <c r="K673" i="5"/>
  <c r="AU672" i="5"/>
  <c r="AQ672" i="5"/>
  <c r="AM672" i="5"/>
  <c r="K672" i="5"/>
  <c r="AU671" i="5"/>
  <c r="AQ671" i="5"/>
  <c r="AM671" i="5"/>
  <c r="K671" i="5"/>
  <c r="AU670" i="5"/>
  <c r="AQ670" i="5"/>
  <c r="AM670" i="5"/>
  <c r="K670" i="5"/>
  <c r="AU669" i="5"/>
  <c r="AQ669" i="5"/>
  <c r="AM669" i="5"/>
  <c r="K669" i="5"/>
  <c r="AU668" i="5"/>
  <c r="AQ668" i="5"/>
  <c r="AM668" i="5"/>
  <c r="K668" i="5"/>
  <c r="AU667" i="5"/>
  <c r="AQ667" i="5"/>
  <c r="AM667" i="5"/>
  <c r="K667" i="5"/>
  <c r="AU666" i="5"/>
  <c r="AQ666" i="5"/>
  <c r="AM666" i="5"/>
  <c r="K666" i="5"/>
  <c r="AU665" i="5"/>
  <c r="AQ665" i="5"/>
  <c r="AM665" i="5"/>
  <c r="K665" i="5"/>
  <c r="AU664" i="5"/>
  <c r="AQ664" i="5"/>
  <c r="AM664" i="5"/>
  <c r="K664" i="5"/>
  <c r="AU663" i="5"/>
  <c r="AQ663" i="5"/>
  <c r="AM663" i="5"/>
  <c r="K663" i="5"/>
  <c r="AU662" i="5"/>
  <c r="AQ662" i="5"/>
  <c r="AM662" i="5"/>
  <c r="K662" i="5"/>
  <c r="AU661" i="5"/>
  <c r="AQ661" i="5"/>
  <c r="AM661" i="5"/>
  <c r="K661" i="5"/>
  <c r="AU660" i="5"/>
  <c r="AQ660" i="5"/>
  <c r="AM660" i="5"/>
  <c r="K660" i="5"/>
  <c r="BK570" i="5"/>
  <c r="BG570" i="5"/>
  <c r="BC570" i="5"/>
  <c r="AY570" i="5"/>
  <c r="AU570" i="5"/>
  <c r="AQ570" i="5"/>
  <c r="AM570" i="5"/>
  <c r="AI570" i="5"/>
  <c r="AE570" i="5"/>
  <c r="AA570" i="5"/>
  <c r="W570" i="5"/>
  <c r="K570" i="5"/>
  <c r="BK569" i="5"/>
  <c r="BG569" i="5"/>
  <c r="BC569" i="5"/>
  <c r="AY569" i="5"/>
  <c r="AU569" i="5"/>
  <c r="AQ569" i="5"/>
  <c r="AM569" i="5"/>
  <c r="AI569" i="5"/>
  <c r="AE569" i="5"/>
  <c r="AA569" i="5"/>
  <c r="W569" i="5"/>
  <c r="O569" i="5"/>
  <c r="K569" i="5"/>
  <c r="BK568" i="5"/>
  <c r="BG568" i="5"/>
  <c r="BC568" i="5"/>
  <c r="AY568" i="5"/>
  <c r="AU568" i="5"/>
  <c r="AQ568" i="5"/>
  <c r="AM568" i="5"/>
  <c r="AI568" i="5"/>
  <c r="AE568" i="5"/>
  <c r="AA568" i="5"/>
  <c r="W568" i="5"/>
  <c r="O568" i="5"/>
  <c r="K568" i="5"/>
  <c r="BK567" i="5"/>
  <c r="BG567" i="5"/>
  <c r="BC567" i="5"/>
  <c r="AY567" i="5"/>
  <c r="AQ567" i="5"/>
  <c r="AM567" i="5"/>
  <c r="AI567" i="5"/>
  <c r="AE567" i="5"/>
  <c r="AA567" i="5"/>
  <c r="W567" i="5"/>
  <c r="O567" i="5"/>
  <c r="K567" i="5"/>
  <c r="BK566" i="5"/>
  <c r="BG566" i="5"/>
  <c r="BC566" i="5"/>
  <c r="AY566" i="5"/>
  <c r="AQ566" i="5"/>
  <c r="AM566" i="5"/>
  <c r="AI566" i="5"/>
  <c r="AE566" i="5"/>
  <c r="AA566" i="5"/>
  <c r="W566" i="5"/>
  <c r="O566" i="5"/>
  <c r="K566" i="5"/>
  <c r="BK565" i="5"/>
  <c r="BG565" i="5"/>
  <c r="BC565" i="5"/>
  <c r="AY565" i="5"/>
  <c r="AQ565" i="5"/>
  <c r="AM565" i="5"/>
  <c r="AI565" i="5"/>
  <c r="AE565" i="5"/>
  <c r="AA565" i="5"/>
  <c r="W565" i="5"/>
  <c r="O565" i="5"/>
  <c r="K565" i="5"/>
  <c r="BK564" i="5"/>
  <c r="BG564" i="5"/>
  <c r="BC564" i="5"/>
  <c r="AY564" i="5"/>
  <c r="AQ564" i="5"/>
  <c r="AM564" i="5"/>
  <c r="AI564" i="5"/>
  <c r="AE564" i="5"/>
  <c r="AA564" i="5"/>
  <c r="W564" i="5"/>
  <c r="O564" i="5"/>
  <c r="K564" i="5"/>
  <c r="BK563" i="5"/>
  <c r="BG563" i="5"/>
  <c r="BC563" i="5"/>
  <c r="AY563" i="5"/>
  <c r="AQ563" i="5"/>
  <c r="AM563" i="5"/>
  <c r="AI563" i="5"/>
  <c r="AE563" i="5"/>
  <c r="AA563" i="5"/>
  <c r="W563" i="5"/>
  <c r="O563" i="5"/>
  <c r="K563" i="5"/>
  <c r="BK562" i="5"/>
  <c r="BG562" i="5"/>
  <c r="BC562" i="5"/>
  <c r="AY562" i="5"/>
  <c r="AQ562" i="5"/>
  <c r="AM562" i="5"/>
  <c r="AI562" i="5"/>
  <c r="AE562" i="5"/>
  <c r="AA562" i="5"/>
  <c r="W562" i="5"/>
  <c r="O562" i="5"/>
  <c r="K562" i="5"/>
  <c r="BK561" i="5"/>
  <c r="BG561" i="5"/>
  <c r="BC561" i="5"/>
  <c r="AY561" i="5"/>
  <c r="AQ561" i="5"/>
  <c r="AM561" i="5"/>
  <c r="AI561" i="5"/>
  <c r="AE561" i="5"/>
  <c r="AA561" i="5"/>
  <c r="W561" i="5"/>
  <c r="O561" i="5"/>
  <c r="K561" i="5"/>
  <c r="BK560" i="5"/>
  <c r="BG560" i="5"/>
  <c r="BC560" i="5"/>
  <c r="AY560" i="5"/>
  <c r="AQ560" i="5"/>
  <c r="AM560" i="5"/>
  <c r="AI560" i="5"/>
  <c r="AE560" i="5"/>
  <c r="AA560" i="5"/>
  <c r="W560" i="5"/>
  <c r="O560" i="5"/>
  <c r="K560" i="5"/>
  <c r="BK559" i="5"/>
  <c r="BG559" i="5"/>
  <c r="BC559" i="5"/>
  <c r="AY559" i="5"/>
  <c r="AQ559" i="5"/>
  <c r="AM559" i="5"/>
  <c r="AI559" i="5"/>
  <c r="AE559" i="5"/>
  <c r="AA559" i="5"/>
  <c r="W559" i="5"/>
  <c r="O559" i="5"/>
  <c r="K559" i="5"/>
  <c r="BK558" i="5"/>
  <c r="BG558" i="5"/>
  <c r="BC558" i="5"/>
  <c r="AY558" i="5"/>
  <c r="AQ558" i="5"/>
  <c r="AM558" i="5"/>
  <c r="AI558" i="5"/>
  <c r="AE558" i="5"/>
  <c r="AA558" i="5"/>
  <c r="W558" i="5"/>
  <c r="O558" i="5"/>
  <c r="K558" i="5"/>
  <c r="BK557" i="5"/>
  <c r="BG557" i="5"/>
  <c r="BC557" i="5"/>
  <c r="AY557" i="5"/>
  <c r="AQ557" i="5"/>
  <c r="AM557" i="5"/>
  <c r="AI557" i="5"/>
  <c r="AE557" i="5"/>
  <c r="AA557" i="5"/>
  <c r="W557" i="5"/>
  <c r="O557" i="5"/>
  <c r="K557" i="5"/>
  <c r="BK556" i="5"/>
  <c r="BG556" i="5"/>
  <c r="BC556" i="5"/>
  <c r="AY556" i="5"/>
  <c r="AQ556" i="5"/>
  <c r="AM556" i="5"/>
  <c r="AI556" i="5"/>
  <c r="AE556" i="5"/>
  <c r="AA556" i="5"/>
  <c r="W556" i="5"/>
  <c r="O556" i="5"/>
  <c r="K556" i="5"/>
  <c r="BK555" i="5"/>
  <c r="BG555" i="5"/>
  <c r="BC555" i="5"/>
  <c r="AY555" i="5"/>
  <c r="AQ555" i="5"/>
  <c r="AM555" i="5"/>
  <c r="AI555" i="5"/>
  <c r="AE555" i="5"/>
  <c r="AA555" i="5"/>
  <c r="W555" i="5"/>
  <c r="O555" i="5"/>
  <c r="K555" i="5"/>
  <c r="BK554" i="5"/>
  <c r="BG554" i="5"/>
  <c r="BC554" i="5"/>
  <c r="AY554" i="5"/>
  <c r="AU554" i="5"/>
  <c r="AQ554" i="5"/>
  <c r="AM554" i="5"/>
  <c r="AI554" i="5"/>
  <c r="AE554" i="5"/>
  <c r="AA554" i="5"/>
  <c r="W554" i="5"/>
  <c r="O554" i="5"/>
  <c r="K554" i="5"/>
  <c r="BK553" i="5"/>
  <c r="BG553" i="5"/>
  <c r="BC553" i="5"/>
  <c r="AY553" i="5"/>
  <c r="AU553" i="5"/>
  <c r="AQ553" i="5"/>
  <c r="AM553" i="5"/>
  <c r="AI553" i="5"/>
  <c r="AE553" i="5"/>
  <c r="AA553" i="5"/>
  <c r="W553" i="5"/>
  <c r="O553" i="5"/>
  <c r="K553" i="5"/>
  <c r="BK552" i="5"/>
  <c r="BG552" i="5"/>
  <c r="BC552" i="5"/>
  <c r="AY552" i="5"/>
  <c r="AU552" i="5"/>
  <c r="AQ552" i="5"/>
  <c r="AM552" i="5"/>
  <c r="AI552" i="5"/>
  <c r="AE552" i="5"/>
  <c r="AA552" i="5"/>
  <c r="W552" i="5"/>
  <c r="O552" i="5"/>
  <c r="K552" i="5"/>
  <c r="BK551" i="5"/>
  <c r="BG551" i="5"/>
  <c r="BC551" i="5"/>
  <c r="AY551" i="5"/>
  <c r="AU551" i="5"/>
  <c r="AQ551" i="5"/>
  <c r="AM551" i="5"/>
  <c r="AI551" i="5"/>
  <c r="AE551" i="5"/>
  <c r="AA551" i="5"/>
  <c r="W551" i="5"/>
  <c r="O551" i="5"/>
  <c r="K551" i="5"/>
  <c r="BK550" i="5"/>
  <c r="BG550" i="5"/>
  <c r="BC550" i="5"/>
  <c r="AY550" i="5"/>
  <c r="AU550" i="5"/>
  <c r="AQ550" i="5"/>
  <c r="AM550" i="5"/>
  <c r="AI550" i="5"/>
  <c r="AE550" i="5"/>
  <c r="AA550" i="5"/>
  <c r="W550" i="5"/>
  <c r="O550" i="5"/>
  <c r="K550" i="5"/>
  <c r="BK549" i="5"/>
  <c r="BG549" i="5"/>
  <c r="BC549" i="5"/>
  <c r="AY549" i="5"/>
  <c r="AU549" i="5"/>
  <c r="AQ549" i="5"/>
  <c r="AM549" i="5"/>
  <c r="AI549" i="5"/>
  <c r="AE549" i="5"/>
  <c r="AA549" i="5"/>
  <c r="W549" i="5"/>
  <c r="O549" i="5"/>
  <c r="K549" i="5"/>
  <c r="BK548" i="5"/>
  <c r="BG548" i="5"/>
  <c r="BC548" i="5"/>
  <c r="AY548" i="5"/>
  <c r="AU548" i="5"/>
  <c r="AQ548" i="5"/>
  <c r="AM548" i="5"/>
  <c r="AI548" i="5"/>
  <c r="AE548" i="5"/>
  <c r="AA548" i="5"/>
  <c r="W548" i="5"/>
  <c r="O548" i="5"/>
  <c r="K548" i="5"/>
  <c r="BK547" i="5"/>
  <c r="BG547" i="5"/>
  <c r="BC547" i="5"/>
  <c r="AY547" i="5"/>
  <c r="AU547" i="5"/>
  <c r="AQ547" i="5"/>
  <c r="AM547" i="5"/>
  <c r="AI547" i="5"/>
  <c r="AE547" i="5"/>
  <c r="AA547" i="5"/>
  <c r="W547" i="5"/>
  <c r="O547" i="5"/>
  <c r="K547" i="5"/>
  <c r="BK546" i="5"/>
  <c r="BG546" i="5"/>
  <c r="BC546" i="5"/>
  <c r="AY546" i="5"/>
  <c r="AU546" i="5"/>
  <c r="AQ546" i="5"/>
  <c r="AM546" i="5"/>
  <c r="AI546" i="5"/>
  <c r="AE546" i="5"/>
  <c r="AA546" i="5"/>
  <c r="W546" i="5"/>
  <c r="O546" i="5"/>
  <c r="K546" i="5"/>
  <c r="BK545" i="5"/>
  <c r="BG545" i="5"/>
  <c r="BC545" i="5"/>
  <c r="AY545" i="5"/>
  <c r="AU545" i="5"/>
  <c r="AQ545" i="5"/>
  <c r="AM545" i="5"/>
  <c r="AI545" i="5"/>
  <c r="AE545" i="5"/>
  <c r="AA545" i="5"/>
  <c r="W545" i="5"/>
  <c r="O545" i="5"/>
  <c r="K545" i="5"/>
  <c r="BK544" i="5"/>
  <c r="BG544" i="5"/>
  <c r="BC544" i="5"/>
  <c r="AY544" i="5"/>
  <c r="AU544" i="5"/>
  <c r="AQ544" i="5"/>
  <c r="AM544" i="5"/>
  <c r="AI544" i="5"/>
  <c r="AE544" i="5"/>
  <c r="AA544" i="5"/>
  <c r="W544" i="5"/>
  <c r="O544" i="5"/>
  <c r="K544" i="5"/>
  <c r="BK543" i="5"/>
  <c r="BG543" i="5"/>
  <c r="BC543" i="5"/>
  <c r="AY543" i="5"/>
  <c r="AU543" i="5"/>
  <c r="AQ543" i="5"/>
  <c r="AM543" i="5"/>
  <c r="AI543" i="5"/>
  <c r="AE543" i="5"/>
  <c r="AA543" i="5"/>
  <c r="W543" i="5"/>
  <c r="O543" i="5"/>
  <c r="K543" i="5"/>
  <c r="BK539" i="5"/>
  <c r="BG539" i="5"/>
  <c r="BC539" i="5"/>
  <c r="AY539" i="5"/>
  <c r="AU539" i="5"/>
  <c r="AQ539" i="5"/>
  <c r="AM539" i="5"/>
  <c r="AI539" i="5"/>
  <c r="AE539" i="5"/>
  <c r="AA539" i="5"/>
  <c r="W539" i="5"/>
  <c r="O539" i="5"/>
  <c r="K539" i="5"/>
  <c r="BK538" i="5"/>
  <c r="BG538" i="5"/>
  <c r="BC538" i="5"/>
  <c r="AY538" i="5"/>
  <c r="AU538" i="5"/>
  <c r="AQ538" i="5"/>
  <c r="AM538" i="5"/>
  <c r="AI538" i="5"/>
  <c r="AE538" i="5"/>
  <c r="AA538" i="5"/>
  <c r="W538" i="5"/>
  <c r="O538" i="5"/>
  <c r="K538" i="5"/>
  <c r="BK537" i="5"/>
  <c r="BG537" i="5"/>
  <c r="BC537" i="5"/>
  <c r="AY537" i="5"/>
  <c r="AU537" i="5"/>
  <c r="AQ537" i="5"/>
  <c r="AM537" i="5"/>
  <c r="AI537" i="5"/>
  <c r="AE537" i="5"/>
  <c r="AA537" i="5"/>
  <c r="W537" i="5"/>
  <c r="O537" i="5"/>
  <c r="K537" i="5"/>
  <c r="BK536" i="5"/>
  <c r="BG536" i="5"/>
  <c r="BC536" i="5"/>
  <c r="AY536" i="5"/>
  <c r="AU536" i="5"/>
  <c r="AQ536" i="5"/>
  <c r="AM536" i="5"/>
  <c r="AI536" i="5"/>
  <c r="AE536" i="5"/>
  <c r="AA536" i="5"/>
  <c r="W536" i="5"/>
  <c r="O536" i="5"/>
  <c r="K536" i="5"/>
  <c r="BK535" i="5"/>
  <c r="BG535" i="5"/>
  <c r="BC535" i="5"/>
  <c r="AY535" i="5"/>
  <c r="AU535" i="5"/>
  <c r="AQ535" i="5"/>
  <c r="AM535" i="5"/>
  <c r="AI535" i="5"/>
  <c r="AE535" i="5"/>
  <c r="AA535" i="5"/>
  <c r="W535" i="5"/>
  <c r="O535" i="5"/>
  <c r="K535" i="5"/>
  <c r="BK534" i="5"/>
  <c r="BG534" i="5"/>
  <c r="BC534" i="5"/>
  <c r="AY534" i="5"/>
  <c r="AU534" i="5"/>
  <c r="AQ534" i="5"/>
  <c r="AM534" i="5"/>
  <c r="AI534" i="5"/>
  <c r="AE534" i="5"/>
  <c r="AA534" i="5"/>
  <c r="W534" i="5"/>
  <c r="O534" i="5"/>
  <c r="K534" i="5"/>
  <c r="BK533" i="5"/>
  <c r="BG533" i="5"/>
  <c r="BC533" i="5"/>
  <c r="AY533" i="5"/>
  <c r="AU533" i="5"/>
  <c r="AQ533" i="5"/>
  <c r="AM533" i="5"/>
  <c r="AI533" i="5"/>
  <c r="AE533" i="5"/>
  <c r="AA533" i="5"/>
  <c r="W533" i="5"/>
  <c r="O533" i="5"/>
  <c r="K533" i="5"/>
  <c r="BK532" i="5"/>
  <c r="BG532" i="5"/>
  <c r="BC532" i="5"/>
  <c r="AY532" i="5"/>
  <c r="AU532" i="5"/>
  <c r="AQ532" i="5"/>
  <c r="AM532" i="5"/>
  <c r="AI532" i="5"/>
  <c r="AE532" i="5"/>
  <c r="AA532" i="5"/>
  <c r="W532" i="5"/>
  <c r="O532" i="5"/>
  <c r="K532" i="5"/>
  <c r="BK531" i="5"/>
  <c r="BG531" i="5"/>
  <c r="BC531" i="5"/>
  <c r="AY531" i="5"/>
  <c r="AU531" i="5"/>
  <c r="AQ531" i="5"/>
  <c r="AM531" i="5"/>
  <c r="AI531" i="5"/>
  <c r="AE531" i="5"/>
  <c r="AA531" i="5"/>
  <c r="W531" i="5"/>
  <c r="O531" i="5"/>
  <c r="K531" i="5"/>
  <c r="BK494" i="5"/>
  <c r="BG494" i="5"/>
  <c r="BC494" i="5"/>
  <c r="AY494" i="5"/>
  <c r="AU494" i="5"/>
  <c r="AQ494" i="5"/>
  <c r="AM494" i="5"/>
  <c r="AI494" i="5"/>
  <c r="AE494" i="5"/>
  <c r="AA494" i="5"/>
  <c r="W494" i="5"/>
  <c r="O494" i="5"/>
  <c r="K494" i="5"/>
  <c r="BK493" i="5"/>
  <c r="BG493" i="5"/>
  <c r="BC493" i="5"/>
  <c r="AY493" i="5"/>
  <c r="AU493" i="5"/>
  <c r="AQ493" i="5"/>
  <c r="AM493" i="5"/>
  <c r="AI493" i="5"/>
  <c r="AE493" i="5"/>
  <c r="AA493" i="5"/>
  <c r="W493" i="5"/>
  <c r="O493" i="5"/>
  <c r="K493" i="5"/>
  <c r="BK492" i="5"/>
  <c r="BG492" i="5"/>
  <c r="BC492" i="5"/>
  <c r="AY492" i="5"/>
  <c r="AU492" i="5"/>
  <c r="AQ492" i="5"/>
  <c r="AM492" i="5"/>
  <c r="AI492" i="5"/>
  <c r="AE492" i="5"/>
  <c r="AA492" i="5"/>
  <c r="W492" i="5"/>
  <c r="O492" i="5"/>
  <c r="K492" i="5"/>
  <c r="BK491" i="5"/>
  <c r="BG491" i="5"/>
  <c r="BC491" i="5"/>
  <c r="AY491" i="5"/>
  <c r="AU491" i="5"/>
  <c r="AQ491" i="5"/>
  <c r="AM491" i="5"/>
  <c r="AI491" i="5"/>
  <c r="AE491" i="5"/>
  <c r="AA491" i="5"/>
  <c r="W491" i="5"/>
  <c r="O491" i="5"/>
  <c r="K491" i="5"/>
  <c r="BK490" i="5"/>
  <c r="BG490" i="5"/>
  <c r="BC490" i="5"/>
  <c r="AY490" i="5"/>
  <c r="AU490" i="5"/>
  <c r="AQ490" i="5"/>
  <c r="AM490" i="5"/>
  <c r="AI490" i="5"/>
  <c r="AE490" i="5"/>
  <c r="AA490" i="5"/>
  <c r="W490" i="5"/>
  <c r="O490" i="5"/>
  <c r="K490" i="5"/>
  <c r="BK489" i="5"/>
  <c r="BG489" i="5"/>
  <c r="BC489" i="5"/>
  <c r="AY489" i="5"/>
  <c r="AU489" i="5"/>
  <c r="AQ489" i="5"/>
  <c r="AM489" i="5"/>
  <c r="AI489" i="5"/>
  <c r="AE489" i="5"/>
  <c r="AA489" i="5"/>
  <c r="W489" i="5"/>
  <c r="O489" i="5"/>
  <c r="K489" i="5"/>
  <c r="BK488" i="5"/>
  <c r="BG488" i="5"/>
  <c r="BC488" i="5"/>
  <c r="AY488" i="5"/>
  <c r="AU488" i="5"/>
  <c r="AQ488" i="5"/>
  <c r="AM488" i="5"/>
  <c r="AI488" i="5"/>
  <c r="AE488" i="5"/>
  <c r="AA488" i="5"/>
  <c r="W488" i="5"/>
  <c r="O488" i="5"/>
  <c r="K488" i="5"/>
  <c r="BK487" i="5"/>
  <c r="BG487" i="5"/>
  <c r="BC487" i="5"/>
  <c r="AY487" i="5"/>
  <c r="AU487" i="5"/>
  <c r="AQ487" i="5"/>
  <c r="AM487" i="5"/>
  <c r="AI487" i="5"/>
  <c r="AE487" i="5"/>
  <c r="AA487" i="5"/>
  <c r="W487" i="5"/>
  <c r="O487" i="5"/>
  <c r="K487" i="5"/>
  <c r="BK486" i="5"/>
  <c r="BG486" i="5"/>
  <c r="BC486" i="5"/>
  <c r="AY486" i="5"/>
  <c r="AU486" i="5"/>
  <c r="AQ486" i="5"/>
  <c r="AM486" i="5"/>
  <c r="AI486" i="5"/>
  <c r="AE486" i="5"/>
  <c r="AA486" i="5"/>
  <c r="W486" i="5"/>
  <c r="O486" i="5"/>
  <c r="K486" i="5"/>
  <c r="BK485" i="5"/>
  <c r="BG485" i="5"/>
  <c r="BC485" i="5"/>
  <c r="AY485" i="5"/>
  <c r="AU485" i="5"/>
  <c r="AQ485" i="5"/>
  <c r="AM485" i="5"/>
  <c r="AI485" i="5"/>
  <c r="AE485" i="5"/>
  <c r="AA485" i="5"/>
  <c r="W485" i="5"/>
  <c r="O485" i="5"/>
  <c r="K485" i="5"/>
  <c r="BK484" i="5"/>
  <c r="BG484" i="5"/>
  <c r="BC484" i="5"/>
  <c r="AY484" i="5"/>
  <c r="AU484" i="5"/>
  <c r="AQ484" i="5"/>
  <c r="AM484" i="5"/>
  <c r="AI484" i="5"/>
  <c r="AE484" i="5"/>
  <c r="AA484" i="5"/>
  <c r="W484" i="5"/>
  <c r="O484" i="5"/>
  <c r="K484" i="5"/>
  <c r="BK483" i="5"/>
  <c r="BG483" i="5"/>
  <c r="BC483" i="5"/>
  <c r="AY483" i="5"/>
  <c r="AU483" i="5"/>
  <c r="AQ483" i="5"/>
  <c r="AM483" i="5"/>
  <c r="AI483" i="5"/>
  <c r="AE483" i="5"/>
  <c r="AA483" i="5"/>
  <c r="W483" i="5"/>
  <c r="O483" i="5"/>
  <c r="K483" i="5"/>
  <c r="BK482" i="5"/>
  <c r="BG482" i="5"/>
  <c r="BC482" i="5"/>
  <c r="AY482" i="5"/>
  <c r="AU482" i="5"/>
  <c r="AQ482" i="5"/>
  <c r="AM482" i="5"/>
  <c r="AI482" i="5"/>
  <c r="AE482" i="5"/>
  <c r="AA482" i="5"/>
  <c r="W482" i="5"/>
  <c r="O482" i="5"/>
  <c r="K482" i="5"/>
  <c r="BK481" i="5"/>
  <c r="BG481" i="5"/>
  <c r="BC481" i="5"/>
  <c r="AY481" i="5"/>
  <c r="AU481" i="5"/>
  <c r="AQ481" i="5"/>
  <c r="AM481" i="5"/>
  <c r="AI481" i="5"/>
  <c r="AE481" i="5"/>
  <c r="AA481" i="5"/>
  <c r="W481" i="5"/>
  <c r="O481" i="5"/>
  <c r="K481" i="5"/>
  <c r="BK480" i="5"/>
  <c r="BG480" i="5"/>
  <c r="BC480" i="5"/>
  <c r="AY480" i="5"/>
  <c r="AU480" i="5"/>
  <c r="AQ480" i="5"/>
  <c r="AM480" i="5"/>
  <c r="AI480" i="5"/>
  <c r="AE480" i="5"/>
  <c r="AA480" i="5"/>
  <c r="W480" i="5"/>
  <c r="O480" i="5"/>
  <c r="K480" i="5"/>
  <c r="BK479" i="5"/>
  <c r="BG479" i="5"/>
  <c r="BC479" i="5"/>
  <c r="AY479" i="5"/>
  <c r="AU479" i="5"/>
  <c r="AQ479" i="5"/>
  <c r="AM479" i="5"/>
  <c r="AI479" i="5"/>
  <c r="AE479" i="5"/>
  <c r="AA479" i="5"/>
  <c r="W479" i="5"/>
  <c r="O479" i="5"/>
  <c r="K479" i="5"/>
  <c r="BK478" i="5"/>
  <c r="BG478" i="5"/>
  <c r="BC478" i="5"/>
  <c r="AY478" i="5"/>
  <c r="AU478" i="5"/>
  <c r="AQ478" i="5"/>
  <c r="AM478" i="5"/>
  <c r="AI478" i="5"/>
  <c r="AE478" i="5"/>
  <c r="AA478" i="5"/>
  <c r="W478" i="5"/>
  <c r="O478" i="5"/>
  <c r="K478" i="5"/>
  <c r="BK477" i="5"/>
  <c r="BG477" i="5"/>
  <c r="BC477" i="5"/>
  <c r="AY477" i="5"/>
  <c r="AU477" i="5"/>
  <c r="AQ477" i="5"/>
  <c r="AM477" i="5"/>
  <c r="AI477" i="5"/>
  <c r="AE477" i="5"/>
  <c r="AA477" i="5"/>
  <c r="W477" i="5"/>
  <c r="O477" i="5"/>
  <c r="K477" i="5"/>
  <c r="BK476" i="5"/>
  <c r="BG476" i="5"/>
  <c r="BC476" i="5"/>
  <c r="AY476" i="5"/>
  <c r="AU476" i="5"/>
  <c r="AQ476" i="5"/>
  <c r="AM476" i="5"/>
  <c r="AI476" i="5"/>
  <c r="AE476" i="5"/>
  <c r="AA476" i="5"/>
  <c r="W476" i="5"/>
  <c r="O476" i="5"/>
  <c r="K476" i="5"/>
  <c r="BK475" i="5"/>
  <c r="BG475" i="5"/>
  <c r="BC475" i="5"/>
  <c r="AY475" i="5"/>
  <c r="AU475" i="5"/>
  <c r="AQ475" i="5"/>
  <c r="AM475" i="5"/>
  <c r="AI475" i="5"/>
  <c r="AE475" i="5"/>
  <c r="AA475" i="5"/>
  <c r="W475" i="5"/>
  <c r="O475" i="5"/>
  <c r="K475" i="5"/>
  <c r="BK474" i="5"/>
  <c r="BG474" i="5"/>
  <c r="BC474" i="5"/>
  <c r="AY474" i="5"/>
  <c r="AU474" i="5"/>
  <c r="AQ474" i="5"/>
  <c r="AM474" i="5"/>
  <c r="AI474" i="5"/>
  <c r="AE474" i="5"/>
  <c r="AA474" i="5"/>
  <c r="W474" i="5"/>
  <c r="O474" i="5"/>
  <c r="K474" i="5"/>
  <c r="BK473" i="5"/>
  <c r="BG473" i="5"/>
  <c r="BC473" i="5"/>
  <c r="AY473" i="5"/>
  <c r="AU473" i="5"/>
  <c r="AQ473" i="5"/>
  <c r="AM473" i="5"/>
  <c r="AI473" i="5"/>
  <c r="AE473" i="5"/>
  <c r="AA473" i="5"/>
  <c r="W473" i="5"/>
  <c r="O473" i="5"/>
  <c r="K473" i="5"/>
  <c r="BK472" i="5"/>
  <c r="BG472" i="5"/>
  <c r="BC472" i="5"/>
  <c r="AY472" i="5"/>
  <c r="AU472" i="5"/>
  <c r="AQ472" i="5"/>
  <c r="AM472" i="5"/>
  <c r="AI472" i="5"/>
  <c r="AE472" i="5"/>
  <c r="AA472" i="5"/>
  <c r="W472" i="5"/>
  <c r="O472" i="5"/>
  <c r="K472" i="5"/>
  <c r="BK471" i="5"/>
  <c r="BG471" i="5"/>
  <c r="BC471" i="5"/>
  <c r="AY471" i="5"/>
  <c r="AU471" i="5"/>
  <c r="AQ471" i="5"/>
  <c r="AM471" i="5"/>
  <c r="AI471" i="5"/>
  <c r="AE471" i="5"/>
  <c r="AA471" i="5"/>
  <c r="W471" i="5"/>
  <c r="O471" i="5"/>
  <c r="K471" i="5"/>
  <c r="BK470" i="5"/>
  <c r="BG470" i="5"/>
  <c r="BC470" i="5"/>
  <c r="AY470" i="5"/>
  <c r="AU470" i="5"/>
  <c r="AQ470" i="5"/>
  <c r="AM470" i="5"/>
  <c r="AI470" i="5"/>
  <c r="AE470" i="5"/>
  <c r="AA470" i="5"/>
  <c r="W470" i="5"/>
  <c r="O470" i="5"/>
  <c r="K470" i="5"/>
  <c r="BK469" i="5"/>
  <c r="BG469" i="5"/>
  <c r="BC469" i="5"/>
  <c r="AY469" i="5"/>
  <c r="AU469" i="5"/>
  <c r="AQ469" i="5"/>
  <c r="AM469" i="5"/>
  <c r="AI469" i="5"/>
  <c r="AE469" i="5"/>
  <c r="AA469" i="5"/>
  <c r="W469" i="5"/>
  <c r="O469" i="5"/>
  <c r="K469" i="5"/>
  <c r="BK468" i="5"/>
  <c r="BG468" i="5"/>
  <c r="BC468" i="5"/>
  <c r="AY468" i="5"/>
  <c r="AU468" i="5"/>
  <c r="AQ468" i="5"/>
  <c r="AM468" i="5"/>
  <c r="AI468" i="5"/>
  <c r="AE468" i="5"/>
  <c r="AA468" i="5"/>
  <c r="W468" i="5"/>
  <c r="O468" i="5"/>
  <c r="K468" i="5"/>
  <c r="BK467" i="5"/>
  <c r="BG467" i="5"/>
  <c r="BC467" i="5"/>
  <c r="AY467" i="5"/>
  <c r="AU467" i="5"/>
  <c r="AQ467" i="5"/>
  <c r="AM467" i="5"/>
  <c r="AI467" i="5"/>
  <c r="AE467" i="5"/>
  <c r="AA467" i="5"/>
  <c r="W467" i="5"/>
  <c r="O467" i="5"/>
  <c r="K467" i="5"/>
  <c r="BK466" i="5"/>
  <c r="BG466" i="5"/>
  <c r="BC466" i="5"/>
  <c r="AY466" i="5"/>
  <c r="AU466" i="5"/>
  <c r="AQ466" i="5"/>
  <c r="AM466" i="5"/>
  <c r="AI466" i="5"/>
  <c r="AE466" i="5"/>
  <c r="AA466" i="5"/>
  <c r="W466" i="5"/>
  <c r="O466" i="5"/>
  <c r="K466" i="5"/>
  <c r="BK465" i="5"/>
  <c r="BG465" i="5"/>
  <c r="BC465" i="5"/>
  <c r="AY465" i="5"/>
  <c r="AU465" i="5"/>
  <c r="AQ465" i="5"/>
  <c r="AM465" i="5"/>
  <c r="AI465" i="5"/>
  <c r="AE465" i="5"/>
  <c r="AA465" i="5"/>
  <c r="W465" i="5"/>
  <c r="O465" i="5"/>
  <c r="K465" i="5"/>
  <c r="BK464" i="5"/>
  <c r="BG464" i="5"/>
  <c r="BC464" i="5"/>
  <c r="AY464" i="5"/>
  <c r="AU464" i="5"/>
  <c r="AQ464" i="5"/>
  <c r="AM464" i="5"/>
  <c r="AI464" i="5"/>
  <c r="AE464" i="5"/>
  <c r="AA464" i="5"/>
  <c r="W464" i="5"/>
  <c r="O464" i="5"/>
  <c r="K464" i="5"/>
  <c r="BK463" i="5"/>
  <c r="BG463" i="5"/>
  <c r="BC463" i="5"/>
  <c r="AY463" i="5"/>
  <c r="AU463" i="5"/>
  <c r="AQ463" i="5"/>
  <c r="AM463" i="5"/>
  <c r="AI463" i="5"/>
  <c r="AE463" i="5"/>
  <c r="AA463" i="5"/>
  <c r="W463" i="5"/>
  <c r="O463" i="5"/>
  <c r="K463" i="5"/>
  <c r="BK462" i="5"/>
  <c r="BG462" i="5"/>
  <c r="BC462" i="5"/>
  <c r="AY462" i="5"/>
  <c r="AU462" i="5"/>
  <c r="AQ462" i="5"/>
  <c r="AM462" i="5"/>
  <c r="AI462" i="5"/>
  <c r="AE462" i="5"/>
  <c r="AA462" i="5"/>
  <c r="W462" i="5"/>
  <c r="O462" i="5"/>
  <c r="K462" i="5"/>
  <c r="BK461" i="5"/>
  <c r="BG461" i="5"/>
  <c r="BC461" i="5"/>
  <c r="AY461" i="5"/>
  <c r="AU461" i="5"/>
  <c r="AQ461" i="5"/>
  <c r="AM461" i="5"/>
  <c r="AI461" i="5"/>
  <c r="AE461" i="5"/>
  <c r="AA461" i="5"/>
  <c r="W461" i="5"/>
  <c r="O461" i="5"/>
  <c r="K461" i="5"/>
  <c r="BK460" i="5"/>
  <c r="BG460" i="5"/>
  <c r="BC460" i="5"/>
  <c r="AY460" i="5"/>
  <c r="AU460" i="5"/>
  <c r="AQ460" i="5"/>
  <c r="AM460" i="5"/>
  <c r="AI460" i="5"/>
  <c r="AE460" i="5"/>
  <c r="AA460" i="5"/>
  <c r="W460" i="5"/>
  <c r="O460" i="5"/>
  <c r="K460" i="5"/>
  <c r="BK459" i="5"/>
  <c r="BG459" i="5"/>
  <c r="BC459" i="5"/>
  <c r="AY459" i="5"/>
  <c r="AU459" i="5"/>
  <c r="AQ459" i="5"/>
  <c r="AM459" i="5"/>
  <c r="AI459" i="5"/>
  <c r="AE459" i="5"/>
  <c r="AA459" i="5"/>
  <c r="W459" i="5"/>
  <c r="O459" i="5"/>
  <c r="K459" i="5"/>
  <c r="BK458" i="5"/>
  <c r="BG458" i="5"/>
  <c r="BC458" i="5"/>
  <c r="AY458" i="5"/>
  <c r="AU458" i="5"/>
  <c r="AQ458" i="5"/>
  <c r="AM458" i="5"/>
  <c r="AI458" i="5"/>
  <c r="AE458" i="5"/>
  <c r="AA458" i="5"/>
  <c r="W458" i="5"/>
  <c r="O458" i="5"/>
  <c r="K458" i="5"/>
  <c r="BK447" i="5"/>
  <c r="BG447" i="5"/>
  <c r="BC447" i="5"/>
  <c r="AY447" i="5"/>
  <c r="AU447" i="5"/>
  <c r="AQ447" i="5"/>
  <c r="AM447" i="5"/>
  <c r="AI447" i="5"/>
  <c r="AE447" i="5"/>
  <c r="AA447" i="5"/>
  <c r="W447" i="5"/>
  <c r="O447" i="5"/>
  <c r="K447" i="5"/>
  <c r="BK446" i="5"/>
  <c r="BG446" i="5"/>
  <c r="BC446" i="5"/>
  <c r="AY446" i="5"/>
  <c r="AU446" i="5"/>
  <c r="AQ446" i="5"/>
  <c r="AM446" i="5"/>
  <c r="AI446" i="5"/>
  <c r="AE446" i="5"/>
  <c r="AA446" i="5"/>
  <c r="W446" i="5"/>
  <c r="O446" i="5"/>
  <c r="K446" i="5"/>
  <c r="BK445" i="5"/>
  <c r="BG445" i="5"/>
  <c r="BC445" i="5"/>
  <c r="AY445" i="5"/>
  <c r="AU445" i="5"/>
  <c r="AQ445" i="5"/>
  <c r="AM445" i="5"/>
  <c r="AI445" i="5"/>
  <c r="AE445" i="5"/>
  <c r="AA445" i="5"/>
  <c r="W445" i="5"/>
  <c r="O445" i="5"/>
  <c r="K445" i="5"/>
  <c r="BK444" i="5"/>
  <c r="BG444" i="5"/>
  <c r="BC444" i="5"/>
  <c r="AY444" i="5"/>
  <c r="AU444" i="5"/>
  <c r="AQ444" i="5"/>
  <c r="AM444" i="5"/>
  <c r="AI444" i="5"/>
  <c r="AE444" i="5"/>
  <c r="AA444" i="5"/>
  <c r="W444" i="5"/>
  <c r="O444" i="5"/>
  <c r="K444" i="5"/>
  <c r="BK443" i="5"/>
  <c r="BG443" i="5"/>
  <c r="BC443" i="5"/>
  <c r="AY443" i="5"/>
  <c r="AU443" i="5"/>
  <c r="AQ443" i="5"/>
  <c r="AM443" i="5"/>
  <c r="AI443" i="5"/>
  <c r="AE443" i="5"/>
  <c r="AA443" i="5"/>
  <c r="W443" i="5"/>
  <c r="O443" i="5"/>
  <c r="K443" i="5"/>
  <c r="BK442" i="5"/>
  <c r="BG442" i="5"/>
  <c r="BC442" i="5"/>
  <c r="AY442" i="5"/>
  <c r="AU442" i="5"/>
  <c r="AQ442" i="5"/>
  <c r="AM442" i="5"/>
  <c r="AI442" i="5"/>
  <c r="AE442" i="5"/>
  <c r="AA442" i="5"/>
  <c r="W442" i="5"/>
  <c r="O442" i="5"/>
  <c r="K442" i="5"/>
  <c r="BK441" i="5"/>
  <c r="BG441" i="5"/>
  <c r="BC441" i="5"/>
  <c r="AY441" i="5"/>
  <c r="AU441" i="5"/>
  <c r="AQ441" i="5"/>
  <c r="AM441" i="5"/>
  <c r="AI441" i="5"/>
  <c r="AE441" i="5"/>
  <c r="AA441" i="5"/>
  <c r="W441" i="5"/>
  <c r="O441" i="5"/>
  <c r="K441" i="5"/>
  <c r="BK440" i="5"/>
  <c r="BG440" i="5"/>
  <c r="BC440" i="5"/>
  <c r="AY440" i="5"/>
  <c r="AU440" i="5"/>
  <c r="AQ440" i="5"/>
  <c r="AM440" i="5"/>
  <c r="AI440" i="5"/>
  <c r="AE440" i="5"/>
  <c r="AA440" i="5"/>
  <c r="W440" i="5"/>
  <c r="O440" i="5"/>
  <c r="K440" i="5"/>
  <c r="BK439" i="5"/>
  <c r="BG439" i="5"/>
  <c r="BC439" i="5"/>
  <c r="AY439" i="5"/>
  <c r="AU439" i="5"/>
  <c r="AQ439" i="5"/>
  <c r="AM439" i="5"/>
  <c r="AI439" i="5"/>
  <c r="AE439" i="5"/>
  <c r="AA439" i="5"/>
  <c r="W439" i="5"/>
  <c r="O439" i="5"/>
  <c r="K439" i="5"/>
  <c r="BK438" i="5"/>
  <c r="BG438" i="5"/>
  <c r="BC438" i="5"/>
  <c r="AY438" i="5"/>
  <c r="AU438" i="5"/>
  <c r="AQ438" i="5"/>
  <c r="AM438" i="5"/>
  <c r="AI438" i="5"/>
  <c r="AE438" i="5"/>
  <c r="AA438" i="5"/>
  <c r="W438" i="5"/>
  <c r="O438" i="5"/>
  <c r="K438" i="5"/>
  <c r="BK437" i="5"/>
  <c r="BG437" i="5"/>
  <c r="BC437" i="5"/>
  <c r="AY437" i="5"/>
  <c r="AU437" i="5"/>
  <c r="AQ437" i="5"/>
  <c r="AM437" i="5"/>
  <c r="AI437" i="5"/>
  <c r="AE437" i="5"/>
  <c r="AA437" i="5"/>
  <c r="W437" i="5"/>
  <c r="O437" i="5"/>
  <c r="K437" i="5"/>
  <c r="BK436" i="5"/>
  <c r="BG436" i="5"/>
  <c r="BC436" i="5"/>
  <c r="AY436" i="5"/>
  <c r="AU436" i="5"/>
  <c r="AQ436" i="5"/>
  <c r="AM436" i="5"/>
  <c r="AI436" i="5"/>
  <c r="AE436" i="5"/>
  <c r="AA436" i="5"/>
  <c r="W436" i="5"/>
  <c r="O436" i="5"/>
  <c r="K436" i="5"/>
  <c r="BK435" i="5"/>
  <c r="BG435" i="5"/>
  <c r="BC435" i="5"/>
  <c r="AY435" i="5"/>
  <c r="AU435" i="5"/>
  <c r="AQ435" i="5"/>
  <c r="AM435" i="5"/>
  <c r="AI435" i="5"/>
  <c r="AE435" i="5"/>
  <c r="AA435" i="5"/>
  <c r="W435" i="5"/>
  <c r="O435" i="5"/>
  <c r="K435" i="5"/>
  <c r="BK434" i="5"/>
  <c r="BG434" i="5"/>
  <c r="BC434" i="5"/>
  <c r="AY434" i="5"/>
  <c r="AU434" i="5"/>
  <c r="AQ434" i="5"/>
  <c r="AM434" i="5"/>
  <c r="AI434" i="5"/>
  <c r="AE434" i="5"/>
  <c r="AA434" i="5"/>
  <c r="W434" i="5"/>
  <c r="O434" i="5"/>
  <c r="K434" i="5"/>
  <c r="BK433" i="5"/>
  <c r="BG433" i="5"/>
  <c r="BC433" i="5"/>
  <c r="AY433" i="5"/>
  <c r="AU433" i="5"/>
  <c r="AQ433" i="5"/>
  <c r="AM433" i="5"/>
  <c r="AI433" i="5"/>
  <c r="AE433" i="5"/>
  <c r="AA433" i="5"/>
  <c r="W433" i="5"/>
  <c r="O433" i="5"/>
  <c r="K433" i="5"/>
  <c r="BK432" i="5"/>
  <c r="BG432" i="5"/>
  <c r="BC432" i="5"/>
  <c r="AY432" i="5"/>
  <c r="AU432" i="5"/>
  <c r="AQ432" i="5"/>
  <c r="AM432" i="5"/>
  <c r="AI432" i="5"/>
  <c r="AE432" i="5"/>
  <c r="AA432" i="5"/>
  <c r="W432" i="5"/>
  <c r="O432" i="5"/>
  <c r="K432" i="5"/>
  <c r="BK431" i="5"/>
  <c r="BG431" i="5"/>
  <c r="BC431" i="5"/>
  <c r="AY431" i="5"/>
  <c r="AU431" i="5"/>
  <c r="AQ431" i="5"/>
  <c r="AM431" i="5"/>
  <c r="AI431" i="5"/>
  <c r="AE431" i="5"/>
  <c r="AA431" i="5"/>
  <c r="W431" i="5"/>
  <c r="O431" i="5"/>
  <c r="K431" i="5"/>
  <c r="BK430" i="5"/>
  <c r="BG430" i="5"/>
  <c r="BC430" i="5"/>
  <c r="AY430" i="5"/>
  <c r="AU430" i="5"/>
  <c r="AQ430" i="5"/>
  <c r="AM430" i="5"/>
  <c r="AI430" i="5"/>
  <c r="AE430" i="5"/>
  <c r="AA430" i="5"/>
  <c r="W430" i="5"/>
  <c r="O430" i="5"/>
  <c r="K430" i="5"/>
  <c r="BK429" i="5"/>
  <c r="BG429" i="5"/>
  <c r="BC429" i="5"/>
  <c r="AY429" i="5"/>
  <c r="AU429" i="5"/>
  <c r="AQ429" i="5"/>
  <c r="AM429" i="5"/>
  <c r="AI429" i="5"/>
  <c r="AE429" i="5"/>
  <c r="AA429" i="5"/>
  <c r="W429" i="5"/>
  <c r="O429" i="5"/>
  <c r="K429" i="5"/>
  <c r="BK428" i="5"/>
  <c r="BG428" i="5"/>
  <c r="BC428" i="5"/>
  <c r="AY428" i="5"/>
  <c r="AU428" i="5"/>
  <c r="AQ428" i="5"/>
  <c r="AM428" i="5"/>
  <c r="AI428" i="5"/>
  <c r="AE428" i="5"/>
  <c r="AA428" i="5"/>
  <c r="W428" i="5"/>
  <c r="O428" i="5"/>
  <c r="K428" i="5"/>
  <c r="BK427" i="5"/>
  <c r="BG427" i="5"/>
  <c r="BC427" i="5"/>
  <c r="AY427" i="5"/>
  <c r="AU427" i="5"/>
  <c r="AQ427" i="5"/>
  <c r="AM427" i="5"/>
  <c r="AI427" i="5"/>
  <c r="AE427" i="5"/>
  <c r="AA427" i="5"/>
  <c r="W427" i="5"/>
  <c r="O427" i="5"/>
  <c r="K427" i="5"/>
  <c r="BK426" i="5"/>
  <c r="BG426" i="5"/>
  <c r="BC426" i="5"/>
  <c r="AY426" i="5"/>
  <c r="AU426" i="5"/>
  <c r="AQ426" i="5"/>
  <c r="AM426" i="5"/>
  <c r="AI426" i="5"/>
  <c r="AE426" i="5"/>
  <c r="AA426" i="5"/>
  <c r="W426" i="5"/>
  <c r="O426" i="5"/>
  <c r="K426" i="5"/>
  <c r="BK425" i="5"/>
  <c r="BG425" i="5"/>
  <c r="BC425" i="5"/>
  <c r="AY425" i="5"/>
  <c r="AU425" i="5"/>
  <c r="AQ425" i="5"/>
  <c r="AM425" i="5"/>
  <c r="AI425" i="5"/>
  <c r="AE425" i="5"/>
  <c r="AA425" i="5"/>
  <c r="W425" i="5"/>
  <c r="O425" i="5"/>
  <c r="K425" i="5"/>
  <c r="BK424" i="5"/>
  <c r="BG424" i="5"/>
  <c r="BC424" i="5"/>
  <c r="AY424" i="5"/>
  <c r="AU424" i="5"/>
  <c r="AQ424" i="5"/>
  <c r="AM424" i="5"/>
  <c r="AI424" i="5"/>
  <c r="AE424" i="5"/>
  <c r="AA424" i="5"/>
  <c r="W424" i="5"/>
  <c r="O424" i="5"/>
  <c r="K424" i="5"/>
  <c r="BK423" i="5"/>
  <c r="BG423" i="5"/>
  <c r="BC423" i="5"/>
  <c r="AY423" i="5"/>
  <c r="AU423" i="5"/>
  <c r="AQ423" i="5"/>
  <c r="AM423" i="5"/>
  <c r="AI423" i="5"/>
  <c r="AE423" i="5"/>
  <c r="AA423" i="5"/>
  <c r="W423" i="5"/>
  <c r="O423" i="5"/>
  <c r="K423" i="5"/>
  <c r="BK422" i="5"/>
  <c r="BG422" i="5"/>
  <c r="BC422" i="5"/>
  <c r="AY422" i="5"/>
  <c r="AU422" i="5"/>
  <c r="AQ422" i="5"/>
  <c r="AM422" i="5"/>
  <c r="AI422" i="5"/>
  <c r="AE422" i="5"/>
  <c r="AA422" i="5"/>
  <c r="W422" i="5"/>
  <c r="O422" i="5"/>
  <c r="K422" i="5"/>
  <c r="BK421" i="5"/>
  <c r="BG421" i="5"/>
  <c r="BC421" i="5"/>
  <c r="AY421" i="5"/>
  <c r="AU421" i="5"/>
  <c r="AQ421" i="5"/>
  <c r="AM421" i="5"/>
  <c r="AI421" i="5"/>
  <c r="AE421" i="5"/>
  <c r="AA421" i="5"/>
  <c r="W421" i="5"/>
  <c r="O421" i="5"/>
  <c r="K421" i="5"/>
  <c r="BK420" i="5"/>
  <c r="BG420" i="5"/>
  <c r="BC420" i="5"/>
  <c r="AY420" i="5"/>
  <c r="AU420" i="5"/>
  <c r="AQ420" i="5"/>
  <c r="AM420" i="5"/>
  <c r="AI420" i="5"/>
  <c r="AE420" i="5"/>
  <c r="AA420" i="5"/>
  <c r="W420" i="5"/>
  <c r="O420" i="5"/>
  <c r="K420" i="5"/>
  <c r="BK419" i="5"/>
  <c r="BG419" i="5"/>
  <c r="BC419" i="5"/>
  <c r="AY419" i="5"/>
  <c r="AU419" i="5"/>
  <c r="AQ419" i="5"/>
  <c r="AM419" i="5"/>
  <c r="AI419" i="5"/>
  <c r="AE419" i="5"/>
  <c r="AA419" i="5"/>
  <c r="W419" i="5"/>
  <c r="O419" i="5"/>
  <c r="K419" i="5"/>
  <c r="BK418" i="5"/>
  <c r="BG418" i="5"/>
  <c r="BC418" i="5"/>
  <c r="AY418" i="5"/>
  <c r="AU418" i="5"/>
  <c r="AQ418" i="5"/>
  <c r="AM418" i="5"/>
  <c r="AI418" i="5"/>
  <c r="AE418" i="5"/>
  <c r="AA418" i="5"/>
  <c r="W418" i="5"/>
  <c r="O418" i="5"/>
  <c r="K418" i="5"/>
  <c r="BK417" i="5"/>
  <c r="BG417" i="5"/>
  <c r="BC417" i="5"/>
  <c r="AY417" i="5"/>
  <c r="AU417" i="5"/>
  <c r="AQ417" i="5"/>
  <c r="AM417" i="5"/>
  <c r="AI417" i="5"/>
  <c r="AE417" i="5"/>
  <c r="AA417" i="5"/>
  <c r="W417" i="5"/>
  <c r="O417" i="5"/>
  <c r="K417" i="5"/>
  <c r="BK416" i="5"/>
  <c r="BG416" i="5"/>
  <c r="BC416" i="5"/>
  <c r="AY416" i="5"/>
  <c r="AU416" i="5"/>
  <c r="AQ416" i="5"/>
  <c r="AM416" i="5"/>
  <c r="AI416" i="5"/>
  <c r="AE416" i="5"/>
  <c r="AA416" i="5"/>
  <c r="W416" i="5"/>
  <c r="O416" i="5"/>
  <c r="K416" i="5"/>
  <c r="BK415" i="5"/>
  <c r="BG415" i="5"/>
  <c r="BC415" i="5"/>
  <c r="AY415" i="5"/>
  <c r="AU415" i="5"/>
  <c r="AQ415" i="5"/>
  <c r="AM415" i="5"/>
  <c r="AI415" i="5"/>
  <c r="AE415" i="5"/>
  <c r="AA415" i="5"/>
  <c r="W415" i="5"/>
  <c r="O415" i="5"/>
  <c r="K415" i="5"/>
  <c r="BK414" i="5"/>
  <c r="BG414" i="5"/>
  <c r="BC414" i="5"/>
  <c r="AY414" i="5"/>
  <c r="AU414" i="5"/>
  <c r="AQ414" i="5"/>
  <c r="AM414" i="5"/>
  <c r="AI414" i="5"/>
  <c r="AE414" i="5"/>
  <c r="AA414" i="5"/>
  <c r="W414" i="5"/>
  <c r="O414" i="5"/>
  <c r="K414" i="5"/>
  <c r="BK413" i="5"/>
  <c r="BG413" i="5"/>
  <c r="BC413" i="5"/>
  <c r="AY413" i="5"/>
  <c r="AU413" i="5"/>
  <c r="AQ413" i="5"/>
  <c r="AM413" i="5"/>
  <c r="AI413" i="5"/>
  <c r="AE413" i="5"/>
  <c r="AA413" i="5"/>
  <c r="W413" i="5"/>
  <c r="O413" i="5"/>
  <c r="K413" i="5"/>
  <c r="BK412" i="5"/>
  <c r="BG412" i="5"/>
  <c r="BC412" i="5"/>
  <c r="AY412" i="5"/>
  <c r="AU412" i="5"/>
  <c r="AQ412" i="5"/>
  <c r="AM412" i="5"/>
  <c r="AI412" i="5"/>
  <c r="AE412" i="5"/>
  <c r="AA412" i="5"/>
  <c r="W412" i="5"/>
  <c r="O412" i="5"/>
  <c r="K412" i="5"/>
  <c r="BK411" i="5"/>
  <c r="BG411" i="5"/>
  <c r="BC411" i="5"/>
  <c r="AY411" i="5"/>
  <c r="AU411" i="5"/>
  <c r="AQ411" i="5"/>
  <c r="AM411" i="5"/>
  <c r="AI411" i="5"/>
  <c r="AE411" i="5"/>
  <c r="AA411" i="5"/>
  <c r="W411" i="5"/>
  <c r="O411" i="5"/>
  <c r="K411" i="5"/>
  <c r="BK410" i="5"/>
  <c r="BG410" i="5"/>
  <c r="BC410" i="5"/>
  <c r="AY410" i="5"/>
  <c r="AU410" i="5"/>
  <c r="AQ410" i="5"/>
  <c r="AM410" i="5"/>
  <c r="AI410" i="5"/>
  <c r="AE410" i="5"/>
  <c r="AA410" i="5"/>
  <c r="W410" i="5"/>
  <c r="O410" i="5"/>
  <c r="K410" i="5"/>
  <c r="BK409" i="5"/>
  <c r="BG409" i="5"/>
  <c r="BC409" i="5"/>
  <c r="AY409" i="5"/>
  <c r="AU409" i="5"/>
  <c r="AQ409" i="5"/>
  <c r="AM409" i="5"/>
  <c r="AI409" i="5"/>
  <c r="AE409" i="5"/>
  <c r="AA409" i="5"/>
  <c r="W409" i="5"/>
  <c r="O409" i="5"/>
  <c r="K409" i="5"/>
  <c r="BK408" i="5"/>
  <c r="BG408" i="5"/>
  <c r="BC408" i="5"/>
  <c r="AY408" i="5"/>
  <c r="AU408" i="5"/>
  <c r="AQ408" i="5"/>
  <c r="AM408" i="5"/>
  <c r="AI408" i="5"/>
  <c r="AE408" i="5"/>
  <c r="AA408" i="5"/>
  <c r="W408" i="5"/>
  <c r="O408" i="5"/>
  <c r="K408" i="5"/>
  <c r="BK407" i="5"/>
  <c r="BG407" i="5"/>
  <c r="BC407" i="5"/>
  <c r="AY407" i="5"/>
  <c r="AU407" i="5"/>
  <c r="AQ407" i="5"/>
  <c r="AM407" i="5"/>
  <c r="AI407" i="5"/>
  <c r="AE407" i="5"/>
  <c r="AA407" i="5"/>
  <c r="W407" i="5"/>
  <c r="O407" i="5"/>
  <c r="K407" i="5"/>
  <c r="BK406" i="5"/>
  <c r="BG406" i="5"/>
  <c r="BC406" i="5"/>
  <c r="AY406" i="5"/>
  <c r="AU406" i="5"/>
  <c r="AQ406" i="5"/>
  <c r="AM406" i="5"/>
  <c r="AI406" i="5"/>
  <c r="AE406" i="5"/>
  <c r="AA406" i="5"/>
  <c r="W406" i="5"/>
  <c r="O406" i="5"/>
  <c r="K406" i="5"/>
  <c r="BK405" i="5"/>
  <c r="BG405" i="5"/>
  <c r="BC405" i="5"/>
  <c r="AY405" i="5"/>
  <c r="AU405" i="5"/>
  <c r="AQ405" i="5"/>
  <c r="AM405" i="5"/>
  <c r="AI405" i="5"/>
  <c r="AE405" i="5"/>
  <c r="AA405" i="5"/>
  <c r="W405" i="5"/>
  <c r="O405" i="5"/>
  <c r="K405" i="5"/>
  <c r="BK404" i="5"/>
  <c r="BG404" i="5"/>
  <c r="BC404" i="5"/>
  <c r="AY404" i="5"/>
  <c r="AU404" i="5"/>
  <c r="AQ404" i="5"/>
  <c r="AM404" i="5"/>
  <c r="AI404" i="5"/>
  <c r="AE404" i="5"/>
  <c r="AA404" i="5"/>
  <c r="W404" i="5"/>
  <c r="O404" i="5"/>
  <c r="K404" i="5"/>
  <c r="BK403" i="5"/>
  <c r="BG403" i="5"/>
  <c r="BC403" i="5"/>
  <c r="AY403" i="5"/>
  <c r="AU403" i="5"/>
  <c r="AQ403" i="5"/>
  <c r="AM403" i="5"/>
  <c r="AI403" i="5"/>
  <c r="AE403" i="5"/>
  <c r="AA403" i="5"/>
  <c r="W403" i="5"/>
  <c r="O403" i="5"/>
  <c r="K403" i="5"/>
  <c r="BK402" i="5"/>
  <c r="BG402" i="5"/>
  <c r="BC402" i="5"/>
  <c r="AY402" i="5"/>
  <c r="AU402" i="5"/>
  <c r="AQ402" i="5"/>
  <c r="AM402" i="5"/>
  <c r="AI402" i="5"/>
  <c r="AE402" i="5"/>
  <c r="AA402" i="5"/>
  <c r="W402" i="5"/>
  <c r="O402" i="5"/>
  <c r="K402" i="5"/>
  <c r="BK401" i="5"/>
  <c r="BG401" i="5"/>
  <c r="BC401" i="5"/>
  <c r="AY401" i="5"/>
  <c r="AU401" i="5"/>
  <c r="AQ401" i="5"/>
  <c r="AM401" i="5"/>
  <c r="AI401" i="5"/>
  <c r="AE401" i="5"/>
  <c r="AA401" i="5"/>
  <c r="W401" i="5"/>
  <c r="O401" i="5"/>
  <c r="K401" i="5"/>
  <c r="BK400" i="5"/>
  <c r="BG400" i="5"/>
  <c r="BC400" i="5"/>
  <c r="AY400" i="5"/>
  <c r="AU400" i="5"/>
  <c r="AQ400" i="5"/>
  <c r="AM400" i="5"/>
  <c r="AI400" i="5"/>
  <c r="AE400" i="5"/>
  <c r="AA400" i="5"/>
  <c r="W400" i="5"/>
  <c r="O400" i="5"/>
  <c r="K400" i="5"/>
  <c r="BK399" i="5"/>
  <c r="BG399" i="5"/>
  <c r="BC399" i="5"/>
  <c r="AY399" i="5"/>
  <c r="AU399" i="5"/>
  <c r="AQ399" i="5"/>
  <c r="AM399" i="5"/>
  <c r="AI399" i="5"/>
  <c r="AE399" i="5"/>
  <c r="AA399" i="5"/>
  <c r="W399" i="5"/>
  <c r="O399" i="5"/>
  <c r="K399" i="5"/>
  <c r="BK398" i="5"/>
  <c r="BG398" i="5"/>
  <c r="BC398" i="5"/>
  <c r="AY398" i="5"/>
  <c r="AU398" i="5"/>
  <c r="AQ398" i="5"/>
  <c r="AM398" i="5"/>
  <c r="AI398" i="5"/>
  <c r="AE398" i="5"/>
  <c r="AA398" i="5"/>
  <c r="W398" i="5"/>
  <c r="O398" i="5"/>
  <c r="K398" i="5"/>
  <c r="BK397" i="5"/>
  <c r="BG397" i="5"/>
  <c r="BC397" i="5"/>
  <c r="AY397" i="5"/>
  <c r="AU397" i="5"/>
  <c r="AQ397" i="5"/>
  <c r="AM397" i="5"/>
  <c r="AI397" i="5"/>
  <c r="AE397" i="5"/>
  <c r="AA397" i="5"/>
  <c r="W397" i="5"/>
  <c r="O397" i="5"/>
  <c r="K397" i="5"/>
  <c r="BK396" i="5"/>
  <c r="BG396" i="5"/>
  <c r="BC396" i="5"/>
  <c r="AY396" i="5"/>
  <c r="AU396" i="5"/>
  <c r="AQ396" i="5"/>
  <c r="AM396" i="5"/>
  <c r="AI396" i="5"/>
  <c r="AE396" i="5"/>
  <c r="AA396" i="5"/>
  <c r="W396" i="5"/>
  <c r="O396" i="5"/>
  <c r="K396" i="5"/>
  <c r="BK395" i="5"/>
  <c r="BG395" i="5"/>
  <c r="BC395" i="5"/>
  <c r="AY395" i="5"/>
  <c r="AU395" i="5"/>
  <c r="AQ395" i="5"/>
  <c r="AM395" i="5"/>
  <c r="AI395" i="5"/>
  <c r="AE395" i="5"/>
  <c r="AA395" i="5"/>
  <c r="W395" i="5"/>
  <c r="O395" i="5"/>
  <c r="K395" i="5"/>
  <c r="BK394" i="5"/>
  <c r="BG394" i="5"/>
  <c r="BC394" i="5"/>
  <c r="AY394" i="5"/>
  <c r="AU394" i="5"/>
  <c r="AQ394" i="5"/>
  <c r="AM394" i="5"/>
  <c r="AI394" i="5"/>
  <c r="AE394" i="5"/>
  <c r="AA394" i="5"/>
  <c r="W394" i="5"/>
  <c r="O394" i="5"/>
  <c r="K394" i="5"/>
  <c r="BK393" i="5"/>
  <c r="BG393" i="5"/>
  <c r="BC393" i="5"/>
  <c r="AY393" i="5"/>
  <c r="AU393" i="5"/>
  <c r="AQ393" i="5"/>
  <c r="AM393" i="5"/>
  <c r="AI393" i="5"/>
  <c r="AE393" i="5"/>
  <c r="AA393" i="5"/>
  <c r="W393" i="5"/>
  <c r="O393" i="5"/>
  <c r="K393" i="5"/>
  <c r="BK392" i="5"/>
  <c r="BG392" i="5"/>
  <c r="BC392" i="5"/>
  <c r="AY392" i="5"/>
  <c r="AU392" i="5"/>
  <c r="AQ392" i="5"/>
  <c r="AM392" i="5"/>
  <c r="AI392" i="5"/>
  <c r="AE392" i="5"/>
  <c r="AA392" i="5"/>
  <c r="W392" i="5"/>
  <c r="O392" i="5"/>
  <c r="K392" i="5"/>
  <c r="BK391" i="5"/>
  <c r="BG391" i="5"/>
  <c r="BC391" i="5"/>
  <c r="AY391" i="5"/>
  <c r="AU391" i="5"/>
  <c r="AQ391" i="5"/>
  <c r="AM391" i="5"/>
  <c r="AI391" i="5"/>
  <c r="AE391" i="5"/>
  <c r="AA391" i="5"/>
  <c r="W391" i="5"/>
  <c r="O391" i="5"/>
  <c r="K391" i="5"/>
  <c r="BK390" i="5"/>
  <c r="BG390" i="5"/>
  <c r="BC390" i="5"/>
  <c r="AY390" i="5"/>
  <c r="AU390" i="5"/>
  <c r="AQ390" i="5"/>
  <c r="AM390" i="5"/>
  <c r="AI390" i="5"/>
  <c r="AE390" i="5"/>
  <c r="AA390" i="5"/>
  <c r="W390" i="5"/>
  <c r="O390" i="5"/>
  <c r="K390" i="5"/>
  <c r="BK389" i="5"/>
  <c r="BG389" i="5"/>
  <c r="BC389" i="5"/>
  <c r="AY389" i="5"/>
  <c r="AU389" i="5"/>
  <c r="AQ389" i="5"/>
  <c r="AM389" i="5"/>
  <c r="AI389" i="5"/>
  <c r="AE389" i="5"/>
  <c r="AA389" i="5"/>
  <c r="W389" i="5"/>
  <c r="O389" i="5"/>
  <c r="K389" i="5"/>
  <c r="BK388" i="5"/>
  <c r="BG388" i="5"/>
  <c r="BC388" i="5"/>
  <c r="AY388" i="5"/>
  <c r="AU388" i="5"/>
  <c r="AQ388" i="5"/>
  <c r="AM388" i="5"/>
  <c r="AI388" i="5"/>
  <c r="AE388" i="5"/>
  <c r="AA388" i="5"/>
  <c r="W388" i="5"/>
  <c r="O388" i="5"/>
  <c r="K388" i="5"/>
  <c r="BK387" i="5"/>
  <c r="BG387" i="5"/>
  <c r="BC387" i="5"/>
  <c r="AY387" i="5"/>
  <c r="AU387" i="5"/>
  <c r="AQ387" i="5"/>
  <c r="AM387" i="5"/>
  <c r="AI387" i="5"/>
  <c r="AE387" i="5"/>
  <c r="AA387" i="5"/>
  <c r="W387" i="5"/>
  <c r="O387" i="5"/>
  <c r="K387" i="5"/>
  <c r="BK386" i="5"/>
  <c r="BG386" i="5"/>
  <c r="BC386" i="5"/>
  <c r="AY386" i="5"/>
  <c r="AU386" i="5"/>
  <c r="AQ386" i="5"/>
  <c r="AM386" i="5"/>
  <c r="AI386" i="5"/>
  <c r="AE386" i="5"/>
  <c r="AA386" i="5"/>
  <c r="W386" i="5"/>
  <c r="O386" i="5"/>
  <c r="K386" i="5"/>
  <c r="BK385" i="5"/>
  <c r="BG385" i="5"/>
  <c r="BC385" i="5"/>
  <c r="AY385" i="5"/>
  <c r="AU385" i="5"/>
  <c r="AQ385" i="5"/>
  <c r="AM385" i="5"/>
  <c r="AI385" i="5"/>
  <c r="AE385" i="5"/>
  <c r="AA385" i="5"/>
  <c r="W385" i="5"/>
  <c r="O385" i="5"/>
  <c r="K385" i="5"/>
  <c r="BK384" i="5"/>
  <c r="BG384" i="5"/>
  <c r="BC384" i="5"/>
  <c r="AY384" i="5"/>
  <c r="AU384" i="5"/>
  <c r="AQ384" i="5"/>
  <c r="AM384" i="5"/>
  <c r="AI384" i="5"/>
  <c r="AE384" i="5"/>
  <c r="AA384" i="5"/>
  <c r="W384" i="5"/>
  <c r="O384" i="5"/>
  <c r="K384" i="5"/>
  <c r="BK383" i="5"/>
  <c r="BG383" i="5"/>
  <c r="BC383" i="5"/>
  <c r="AY383" i="5"/>
  <c r="AU383" i="5"/>
  <c r="AQ383" i="5"/>
  <c r="AM383" i="5"/>
  <c r="AI383" i="5"/>
  <c r="AE383" i="5"/>
  <c r="AA383" i="5"/>
  <c r="W383" i="5"/>
  <c r="O383" i="5"/>
  <c r="K383" i="5"/>
  <c r="BK382" i="5"/>
  <c r="BG382" i="5"/>
  <c r="BC382" i="5"/>
  <c r="AY382" i="5"/>
  <c r="AU382" i="5"/>
  <c r="AQ382" i="5"/>
  <c r="AM382" i="5"/>
  <c r="AI382" i="5"/>
  <c r="AE382" i="5"/>
  <c r="AA382" i="5"/>
  <c r="W382" i="5"/>
  <c r="O382" i="5"/>
  <c r="BK381" i="5"/>
  <c r="BG381" i="5"/>
  <c r="BC381" i="5"/>
  <c r="AY381" i="5"/>
  <c r="AU381" i="5"/>
  <c r="AQ381" i="5"/>
  <c r="AM381" i="5"/>
  <c r="AI381" i="5"/>
  <c r="AE381" i="5"/>
  <c r="AA381" i="5"/>
  <c r="W381" i="5"/>
  <c r="O381" i="5"/>
  <c r="K381" i="5"/>
  <c r="BK380" i="5"/>
  <c r="BG380" i="5"/>
  <c r="BC380" i="5"/>
  <c r="AY380" i="5"/>
  <c r="AU380" i="5"/>
  <c r="AQ380" i="5"/>
  <c r="AM380" i="5"/>
  <c r="AI380" i="5"/>
  <c r="AE380" i="5"/>
  <c r="AA380" i="5"/>
  <c r="W380" i="5"/>
  <c r="O380" i="5"/>
  <c r="K380" i="5"/>
  <c r="BK379" i="5"/>
  <c r="BG379" i="5"/>
  <c r="BC379" i="5"/>
  <c r="AY379" i="5"/>
  <c r="AU379" i="5"/>
  <c r="AQ379" i="5"/>
  <c r="AM379" i="5"/>
  <c r="AI379" i="5"/>
  <c r="AE379" i="5"/>
  <c r="AA379" i="5"/>
  <c r="W379" i="5"/>
  <c r="O379" i="5"/>
  <c r="K379" i="5"/>
  <c r="BK378" i="5"/>
  <c r="BG378" i="5"/>
  <c r="BC378" i="5"/>
  <c r="AY378" i="5"/>
  <c r="AU378" i="5"/>
  <c r="AQ378" i="5"/>
  <c r="AM378" i="5"/>
  <c r="AI378" i="5"/>
  <c r="AE378" i="5"/>
  <c r="AA378" i="5"/>
  <c r="W378" i="5"/>
  <c r="O378" i="5"/>
  <c r="BK377" i="5"/>
  <c r="BG377" i="5"/>
  <c r="BC377" i="5"/>
  <c r="AY377" i="5"/>
  <c r="AU377" i="5"/>
  <c r="AQ377" i="5"/>
  <c r="AM377" i="5"/>
  <c r="AI377" i="5"/>
  <c r="AE377" i="5"/>
  <c r="AA377" i="5"/>
  <c r="W377" i="5"/>
  <c r="O377" i="5"/>
  <c r="BK376" i="5"/>
  <c r="BG376" i="5"/>
  <c r="BC376" i="5"/>
  <c r="AY376" i="5"/>
  <c r="AU376" i="5"/>
  <c r="AQ376" i="5"/>
  <c r="AM376" i="5"/>
  <c r="AI376" i="5"/>
  <c r="AE376" i="5"/>
  <c r="AA376" i="5"/>
  <c r="W376" i="5"/>
  <c r="O376" i="5"/>
  <c r="K376" i="5"/>
  <c r="BK375" i="5"/>
  <c r="BG375" i="5"/>
  <c r="BC375" i="5"/>
  <c r="AY375" i="5"/>
  <c r="AU375" i="5"/>
  <c r="AQ375" i="5"/>
  <c r="AM375" i="5"/>
  <c r="AI375" i="5"/>
  <c r="AE375" i="5"/>
  <c r="AA375" i="5"/>
  <c r="W375" i="5"/>
  <c r="O375" i="5"/>
  <c r="BK374" i="5"/>
  <c r="BG374" i="5"/>
  <c r="BC374" i="5"/>
  <c r="AY374" i="5"/>
  <c r="AU374" i="5"/>
  <c r="AQ374" i="5"/>
  <c r="AM374" i="5"/>
  <c r="AI374" i="5"/>
  <c r="AE374" i="5"/>
  <c r="AA374" i="5"/>
  <c r="W374" i="5"/>
  <c r="O374" i="5"/>
  <c r="K374" i="5"/>
  <c r="BK373" i="5"/>
  <c r="BG373" i="5"/>
  <c r="BC373" i="5"/>
  <c r="AY373" i="5"/>
  <c r="AU373" i="5"/>
  <c r="AQ373" i="5"/>
  <c r="AM373" i="5"/>
  <c r="AI373" i="5"/>
  <c r="AE373" i="5"/>
  <c r="AA373" i="5"/>
  <c r="W373" i="5"/>
  <c r="O373" i="5"/>
  <c r="K373" i="5"/>
  <c r="BK372" i="5"/>
  <c r="BG372" i="5"/>
  <c r="BC372" i="5"/>
  <c r="AY372" i="5"/>
  <c r="AU372" i="5"/>
  <c r="AQ372" i="5"/>
  <c r="AM372" i="5"/>
  <c r="AI372" i="5"/>
  <c r="AE372" i="5"/>
  <c r="AA372" i="5"/>
  <c r="W372" i="5"/>
  <c r="O372" i="5"/>
  <c r="K372" i="5"/>
  <c r="BK371" i="5"/>
  <c r="BG371" i="5"/>
  <c r="BC371" i="5"/>
  <c r="AY371" i="5"/>
  <c r="AU371" i="5"/>
  <c r="AQ371" i="5"/>
  <c r="AM371" i="5"/>
  <c r="AI371" i="5"/>
  <c r="AE371" i="5"/>
  <c r="AA371" i="5"/>
  <c r="W371" i="5"/>
  <c r="O371" i="5"/>
  <c r="K371" i="5"/>
  <c r="BK370" i="5"/>
  <c r="BG370" i="5"/>
  <c r="BC370" i="5"/>
  <c r="AY370" i="5"/>
  <c r="AU370" i="5"/>
  <c r="AQ370" i="5"/>
  <c r="AM370" i="5"/>
  <c r="AI370" i="5"/>
  <c r="AE370" i="5"/>
  <c r="AA370" i="5"/>
  <c r="W370" i="5"/>
  <c r="O370" i="5"/>
  <c r="K370" i="5"/>
  <c r="BK369" i="5"/>
  <c r="BG369" i="5"/>
  <c r="BC369" i="5"/>
  <c r="AY369" i="5"/>
  <c r="AU369" i="5"/>
  <c r="AQ369" i="5"/>
  <c r="AM369" i="5"/>
  <c r="AI369" i="5"/>
  <c r="AE369" i="5"/>
  <c r="AA369" i="5"/>
  <c r="W369" i="5"/>
  <c r="O369" i="5"/>
  <c r="K369" i="5"/>
  <c r="BK368" i="5"/>
  <c r="BG368" i="5"/>
  <c r="BC368" i="5"/>
  <c r="AY368" i="5"/>
  <c r="AU368" i="5"/>
  <c r="AQ368" i="5"/>
  <c r="AM368" i="5"/>
  <c r="AI368" i="5"/>
  <c r="AE368" i="5"/>
  <c r="AA368" i="5"/>
  <c r="W368" i="5"/>
  <c r="O368" i="5"/>
  <c r="K368" i="5"/>
  <c r="BK367" i="5"/>
  <c r="BG367" i="5"/>
  <c r="BC367" i="5"/>
  <c r="AY367" i="5"/>
  <c r="AU367" i="5"/>
  <c r="AQ367" i="5"/>
  <c r="AM367" i="5"/>
  <c r="AI367" i="5"/>
  <c r="AE367" i="5"/>
  <c r="AA367" i="5"/>
  <c r="W367" i="5"/>
  <c r="O367" i="5"/>
  <c r="K367" i="5"/>
  <c r="BK366" i="5"/>
  <c r="BG366" i="5"/>
  <c r="BC366" i="5"/>
  <c r="AY366" i="5"/>
  <c r="AU366" i="5"/>
  <c r="AQ366" i="5"/>
  <c r="AM366" i="5"/>
  <c r="AI366" i="5"/>
  <c r="AE366" i="5"/>
  <c r="AA366" i="5"/>
  <c r="W366" i="5"/>
  <c r="O366" i="5"/>
  <c r="K366" i="5"/>
  <c r="BK365" i="5"/>
  <c r="BG365" i="5"/>
  <c r="BC365" i="5"/>
  <c r="AY365" i="5"/>
  <c r="AU365" i="5"/>
  <c r="AQ365" i="5"/>
  <c r="AM365" i="5"/>
  <c r="AI365" i="5"/>
  <c r="AE365" i="5"/>
  <c r="AA365" i="5"/>
  <c r="W365" i="5"/>
  <c r="O365" i="5"/>
  <c r="K365" i="5"/>
  <c r="BK364" i="5"/>
  <c r="BG364" i="5"/>
  <c r="BC364" i="5"/>
  <c r="AY364" i="5"/>
  <c r="AU364" i="5"/>
  <c r="AQ364" i="5"/>
  <c r="AM364" i="5"/>
  <c r="AI364" i="5"/>
  <c r="AE364" i="5"/>
  <c r="AA364" i="5"/>
  <c r="W364" i="5"/>
  <c r="O364" i="5"/>
  <c r="K364" i="5"/>
  <c r="BK363" i="5"/>
  <c r="BG363" i="5"/>
  <c r="BC363" i="5"/>
  <c r="AY363" i="5"/>
  <c r="AU363" i="5"/>
  <c r="AQ363" i="5"/>
  <c r="AM363" i="5"/>
  <c r="AI363" i="5"/>
  <c r="AE363" i="5"/>
  <c r="AA363" i="5"/>
  <c r="W363" i="5"/>
  <c r="O363" i="5"/>
  <c r="K363" i="5"/>
  <c r="BK362" i="5"/>
  <c r="BG362" i="5"/>
  <c r="BC362" i="5"/>
  <c r="AY362" i="5"/>
  <c r="AU362" i="5"/>
  <c r="AQ362" i="5"/>
  <c r="AM362" i="5"/>
  <c r="AI362" i="5"/>
  <c r="AE362" i="5"/>
  <c r="AA362" i="5"/>
  <c r="W362" i="5"/>
  <c r="O362" i="5"/>
  <c r="K362" i="5"/>
  <c r="BK361" i="5"/>
  <c r="BG361" i="5"/>
  <c r="BC361" i="5"/>
  <c r="AY361" i="5"/>
  <c r="AU361" i="5"/>
  <c r="AQ361" i="5"/>
  <c r="AM361" i="5"/>
  <c r="AI361" i="5"/>
  <c r="AE361" i="5"/>
  <c r="AA361" i="5"/>
  <c r="W361" i="5"/>
  <c r="O361" i="5"/>
  <c r="BK360" i="5"/>
  <c r="BG360" i="5"/>
  <c r="BC360" i="5"/>
  <c r="AY360" i="5"/>
  <c r="AU360" i="5"/>
  <c r="AQ360" i="5"/>
  <c r="AM360" i="5"/>
  <c r="AI360" i="5"/>
  <c r="AE360" i="5"/>
  <c r="AA360" i="5"/>
  <c r="W360" i="5"/>
  <c r="O360" i="5"/>
  <c r="K360" i="5"/>
  <c r="BK359" i="5"/>
  <c r="BG359" i="5"/>
  <c r="BC359" i="5"/>
  <c r="AY359" i="5"/>
  <c r="AU359" i="5"/>
  <c r="AQ359" i="5"/>
  <c r="AM359" i="5"/>
  <c r="AI359" i="5"/>
  <c r="AE359" i="5"/>
  <c r="AA359" i="5"/>
  <c r="W359" i="5"/>
  <c r="O359" i="5"/>
  <c r="K359" i="5"/>
  <c r="BK358" i="5"/>
  <c r="BG358" i="5"/>
  <c r="BC358" i="5"/>
  <c r="AY358" i="5"/>
  <c r="AU358" i="5"/>
  <c r="AQ358" i="5"/>
  <c r="AM358" i="5"/>
  <c r="AI358" i="5"/>
  <c r="AE358" i="5"/>
  <c r="AA358" i="5"/>
  <c r="W358" i="5"/>
  <c r="O358" i="5"/>
  <c r="K358" i="5"/>
  <c r="BK357" i="5"/>
  <c r="BG357" i="5"/>
  <c r="BC357" i="5"/>
  <c r="AY357" i="5"/>
  <c r="AU357" i="5"/>
  <c r="AQ357" i="5"/>
  <c r="AM357" i="5"/>
  <c r="AI357" i="5"/>
  <c r="AE357" i="5"/>
  <c r="AA357" i="5"/>
  <c r="W357" i="5"/>
  <c r="O357" i="5"/>
  <c r="K357" i="5"/>
  <c r="BK356" i="5"/>
  <c r="BG356" i="5"/>
  <c r="BC356" i="5"/>
  <c r="AY356" i="5"/>
  <c r="AU356" i="5"/>
  <c r="AQ356" i="5"/>
  <c r="AM356" i="5"/>
  <c r="AI356" i="5"/>
  <c r="AE356" i="5"/>
  <c r="AA356" i="5"/>
  <c r="W356" i="5"/>
  <c r="O356" i="5"/>
  <c r="K356" i="5"/>
  <c r="BK355" i="5"/>
  <c r="BG355" i="5"/>
  <c r="BC355" i="5"/>
  <c r="AY355" i="5"/>
  <c r="AU355" i="5"/>
  <c r="AQ355" i="5"/>
  <c r="AM355" i="5"/>
  <c r="AI355" i="5"/>
  <c r="AE355" i="5"/>
  <c r="AA355" i="5"/>
  <c r="W355" i="5"/>
  <c r="O355" i="5"/>
  <c r="K355" i="5"/>
  <c r="BK354" i="5"/>
  <c r="BG354" i="5"/>
  <c r="BC354" i="5"/>
  <c r="AY354" i="5"/>
  <c r="AU354" i="5"/>
  <c r="AQ354" i="5"/>
  <c r="AM354" i="5"/>
  <c r="AI354" i="5"/>
  <c r="AE354" i="5"/>
  <c r="AA354" i="5"/>
  <c r="W354" i="5"/>
  <c r="O354" i="5"/>
  <c r="K354" i="5"/>
  <c r="BK353" i="5"/>
  <c r="BG353" i="5"/>
  <c r="BC353" i="5"/>
  <c r="AY353" i="5"/>
  <c r="AU353" i="5"/>
  <c r="AQ353" i="5"/>
  <c r="AM353" i="5"/>
  <c r="AI353" i="5"/>
  <c r="AE353" i="5"/>
  <c r="AA353" i="5"/>
  <c r="W353" i="5"/>
  <c r="O353" i="5"/>
  <c r="K353" i="5"/>
  <c r="BK352" i="5"/>
  <c r="BG352" i="5"/>
  <c r="BC352" i="5"/>
  <c r="AY352" i="5"/>
  <c r="AU352" i="5"/>
  <c r="AQ352" i="5"/>
  <c r="AM352" i="5"/>
  <c r="AI352" i="5"/>
  <c r="AE352" i="5"/>
  <c r="AA352" i="5"/>
  <c r="W352" i="5"/>
  <c r="O352" i="5"/>
  <c r="K352" i="5"/>
  <c r="BK351" i="5"/>
  <c r="BG351" i="5"/>
  <c r="BC351" i="5"/>
  <c r="AY351" i="5"/>
  <c r="AU351" i="5"/>
  <c r="AQ351" i="5"/>
  <c r="AM351" i="5"/>
  <c r="AI351" i="5"/>
  <c r="AE351" i="5"/>
  <c r="AA351" i="5"/>
  <c r="W351" i="5"/>
  <c r="O351" i="5"/>
  <c r="K351" i="5"/>
  <c r="BK350" i="5"/>
  <c r="BG350" i="5"/>
  <c r="BC350" i="5"/>
  <c r="AY350" i="5"/>
  <c r="AU350" i="5"/>
  <c r="AQ350" i="5"/>
  <c r="AM350" i="5"/>
  <c r="AI350" i="5"/>
  <c r="AE350" i="5"/>
  <c r="AA350" i="5"/>
  <c r="W350" i="5"/>
  <c r="O350" i="5"/>
  <c r="K350" i="5"/>
  <c r="BK349" i="5"/>
  <c r="BG349" i="5"/>
  <c r="BC349" i="5"/>
  <c r="AY349" i="5"/>
  <c r="AU349" i="5"/>
  <c r="AQ349" i="5"/>
  <c r="AM349" i="5"/>
  <c r="AI349" i="5"/>
  <c r="AE349" i="5"/>
  <c r="AA349" i="5"/>
  <c r="W349" i="5"/>
  <c r="O349" i="5"/>
  <c r="K349" i="5"/>
  <c r="BK348" i="5"/>
  <c r="BG348" i="5"/>
  <c r="BC348" i="5"/>
  <c r="AY348" i="5"/>
  <c r="AU348" i="5"/>
  <c r="AQ348" i="5"/>
  <c r="AM348" i="5"/>
  <c r="AI348" i="5"/>
  <c r="AE348" i="5"/>
  <c r="AA348" i="5"/>
  <c r="W348" i="5"/>
  <c r="O348" i="5"/>
  <c r="K348" i="5"/>
  <c r="BK347" i="5"/>
  <c r="BG347" i="5"/>
  <c r="BC347" i="5"/>
  <c r="AY347" i="5"/>
  <c r="AU347" i="5"/>
  <c r="AQ347" i="5"/>
  <c r="AM347" i="5"/>
  <c r="AI347" i="5"/>
  <c r="AE347" i="5"/>
  <c r="AA347" i="5"/>
  <c r="W347" i="5"/>
  <c r="O347" i="5"/>
  <c r="K347" i="5"/>
  <c r="BK346" i="5"/>
  <c r="BG346" i="5"/>
  <c r="BC346" i="5"/>
  <c r="AY346" i="5"/>
  <c r="AU346" i="5"/>
  <c r="AQ346" i="5"/>
  <c r="AM346" i="5"/>
  <c r="AI346" i="5"/>
  <c r="AE346" i="5"/>
  <c r="AA346" i="5"/>
  <c r="W346" i="5"/>
  <c r="O346" i="5"/>
  <c r="K346" i="5"/>
  <c r="BK345" i="5"/>
  <c r="BG345" i="5"/>
  <c r="BC345" i="5"/>
  <c r="AY345" i="5"/>
  <c r="AU345" i="5"/>
  <c r="AQ345" i="5"/>
  <c r="AM345" i="5"/>
  <c r="AI345" i="5"/>
  <c r="AE345" i="5"/>
  <c r="AA345" i="5"/>
  <c r="W345" i="5"/>
  <c r="O345" i="5"/>
  <c r="K345" i="5"/>
  <c r="BK344" i="5"/>
  <c r="BG344" i="5"/>
  <c r="BC344" i="5"/>
  <c r="AY344" i="5"/>
  <c r="AU344" i="5"/>
  <c r="AQ344" i="5"/>
  <c r="AM344" i="5"/>
  <c r="AI344" i="5"/>
  <c r="AE344" i="5"/>
  <c r="AA344" i="5"/>
  <c r="W344" i="5"/>
  <c r="O344" i="5"/>
  <c r="K344" i="5"/>
  <c r="BK343" i="5"/>
  <c r="BG343" i="5"/>
  <c r="BC343" i="5"/>
  <c r="AY343" i="5"/>
  <c r="AU343" i="5"/>
  <c r="AQ343" i="5"/>
  <c r="AM343" i="5"/>
  <c r="AI343" i="5"/>
  <c r="AE343" i="5"/>
  <c r="AA343" i="5"/>
  <c r="W343" i="5"/>
  <c r="O343" i="5"/>
  <c r="K343" i="5"/>
  <c r="BK342" i="5"/>
  <c r="BG342" i="5"/>
  <c r="BC342" i="5"/>
  <c r="AY342" i="5"/>
  <c r="AU342" i="5"/>
  <c r="AQ342" i="5"/>
  <c r="AM342" i="5"/>
  <c r="AI342" i="5"/>
  <c r="AE342" i="5"/>
  <c r="AA342" i="5"/>
  <c r="W342" i="5"/>
  <c r="O342" i="5"/>
  <c r="K342" i="5"/>
  <c r="BK341" i="5"/>
  <c r="BG341" i="5"/>
  <c r="BC341" i="5"/>
  <c r="AY341" i="5"/>
  <c r="AU341" i="5"/>
  <c r="AQ341" i="5"/>
  <c r="AM341" i="5"/>
  <c r="AI341" i="5"/>
  <c r="AE341" i="5"/>
  <c r="AA341" i="5"/>
  <c r="W341" i="5"/>
  <c r="O341" i="5"/>
  <c r="K341" i="5"/>
  <c r="BK340" i="5"/>
  <c r="BG340" i="5"/>
  <c r="BC340" i="5"/>
  <c r="AY340" i="5"/>
  <c r="AU340" i="5"/>
  <c r="AQ340" i="5"/>
  <c r="AM340" i="5"/>
  <c r="AI340" i="5"/>
  <c r="AE340" i="5"/>
  <c r="AA340" i="5"/>
  <c r="W340" i="5"/>
  <c r="O340" i="5"/>
  <c r="K340" i="5"/>
  <c r="BK339" i="5"/>
  <c r="BG339" i="5"/>
  <c r="BC339" i="5"/>
  <c r="AY339" i="5"/>
  <c r="AU339" i="5"/>
  <c r="AQ339" i="5"/>
  <c r="AM339" i="5"/>
  <c r="AI339" i="5"/>
  <c r="AE339" i="5"/>
  <c r="AA339" i="5"/>
  <c r="W339" i="5"/>
  <c r="O339" i="5"/>
  <c r="K339" i="5"/>
  <c r="BK338" i="5"/>
  <c r="BG338" i="5"/>
  <c r="BC338" i="5"/>
  <c r="AY338" i="5"/>
  <c r="AU338" i="5"/>
  <c r="AQ338" i="5"/>
  <c r="AM338" i="5"/>
  <c r="AI338" i="5"/>
  <c r="AE338" i="5"/>
  <c r="AA338" i="5"/>
  <c r="W338" i="5"/>
  <c r="O338" i="5"/>
  <c r="K338" i="5"/>
  <c r="BK337" i="5"/>
  <c r="BG337" i="5"/>
  <c r="BC337" i="5"/>
  <c r="AY337" i="5"/>
  <c r="AU337" i="5"/>
  <c r="AQ337" i="5"/>
  <c r="AM337" i="5"/>
  <c r="AI337" i="5"/>
  <c r="AE337" i="5"/>
  <c r="AA337" i="5"/>
  <c r="W337" i="5"/>
  <c r="O337" i="5"/>
  <c r="K337" i="5"/>
  <c r="BK336" i="5"/>
  <c r="BG336" i="5"/>
  <c r="BC336" i="5"/>
  <c r="AY336" i="5"/>
  <c r="AU336" i="5"/>
  <c r="AQ336" i="5"/>
  <c r="AM336" i="5"/>
  <c r="AI336" i="5"/>
  <c r="AE336" i="5"/>
  <c r="AA336" i="5"/>
  <c r="W336" i="5"/>
  <c r="O336" i="5"/>
  <c r="K336" i="5"/>
  <c r="BK335" i="5"/>
  <c r="BG335" i="5"/>
  <c r="BC335" i="5"/>
  <c r="AY335" i="5"/>
  <c r="AU335" i="5"/>
  <c r="AQ335" i="5"/>
  <c r="AM335" i="5"/>
  <c r="AI335" i="5"/>
  <c r="AE335" i="5"/>
  <c r="AA335" i="5"/>
  <c r="W335" i="5"/>
  <c r="O335" i="5"/>
  <c r="K335" i="5"/>
  <c r="BK334" i="5"/>
  <c r="BG334" i="5"/>
  <c r="BC334" i="5"/>
  <c r="AY334" i="5"/>
  <c r="AU334" i="5"/>
  <c r="AQ334" i="5"/>
  <c r="AM334" i="5"/>
  <c r="AI334" i="5"/>
  <c r="AE334" i="5"/>
  <c r="AA334" i="5"/>
  <c r="W334" i="5"/>
  <c r="O334" i="5"/>
  <c r="K334" i="5"/>
  <c r="BK333" i="5"/>
  <c r="BG333" i="5"/>
  <c r="BC333" i="5"/>
  <c r="AY333" i="5"/>
  <c r="AU333" i="5"/>
  <c r="AQ333" i="5"/>
  <c r="AM333" i="5"/>
  <c r="AI333" i="5"/>
  <c r="AE333" i="5"/>
  <c r="AA333" i="5"/>
  <c r="W333" i="5"/>
  <c r="O333" i="5"/>
  <c r="K333" i="5"/>
  <c r="BK332" i="5"/>
  <c r="BG332" i="5"/>
  <c r="BC332" i="5"/>
  <c r="AY332" i="5"/>
  <c r="AU332" i="5"/>
  <c r="AQ332" i="5"/>
  <c r="AM332" i="5"/>
  <c r="AI332" i="5"/>
  <c r="AE332" i="5"/>
  <c r="AA332" i="5"/>
  <c r="W332" i="5"/>
  <c r="O332" i="5"/>
  <c r="K332" i="5"/>
  <c r="BK331" i="5"/>
  <c r="BG331" i="5"/>
  <c r="BC331" i="5"/>
  <c r="AY331" i="5"/>
  <c r="AU331" i="5"/>
  <c r="AQ331" i="5"/>
  <c r="AM331" i="5"/>
  <c r="AI331" i="5"/>
  <c r="AE331" i="5"/>
  <c r="AA331" i="5"/>
  <c r="W331" i="5"/>
  <c r="O331" i="5"/>
  <c r="K331" i="5"/>
  <c r="BK330" i="5"/>
  <c r="BG330" i="5"/>
  <c r="BC330" i="5"/>
  <c r="AY330" i="5"/>
  <c r="AU330" i="5"/>
  <c r="AQ330" i="5"/>
  <c r="AM330" i="5"/>
  <c r="AI330" i="5"/>
  <c r="AE330" i="5"/>
  <c r="AA330" i="5"/>
  <c r="W330" i="5"/>
  <c r="O330" i="5"/>
  <c r="K330" i="5"/>
  <c r="BK329" i="5"/>
  <c r="BG329" i="5"/>
  <c r="BC329" i="5"/>
  <c r="AY329" i="5"/>
  <c r="AU329" i="5"/>
  <c r="AQ329" i="5"/>
  <c r="AM329" i="5"/>
  <c r="AI329" i="5"/>
  <c r="AE329" i="5"/>
  <c r="AA329" i="5"/>
  <c r="W329" i="5"/>
  <c r="O329" i="5"/>
  <c r="K329" i="5"/>
  <c r="BK328" i="5"/>
  <c r="BG328" i="5"/>
  <c r="BC328" i="5"/>
  <c r="AY328" i="5"/>
  <c r="AU328" i="5"/>
  <c r="AQ328" i="5"/>
  <c r="AM328" i="5"/>
  <c r="AI328" i="5"/>
  <c r="AE328" i="5"/>
  <c r="AA328" i="5"/>
  <c r="W328" i="5"/>
  <c r="O328" i="5"/>
  <c r="K328" i="5"/>
  <c r="BK327" i="5"/>
  <c r="BG327" i="5"/>
  <c r="BC327" i="5"/>
  <c r="AY327" i="5"/>
  <c r="AU327" i="5"/>
  <c r="AQ327" i="5"/>
  <c r="AM327" i="5"/>
  <c r="AI327" i="5"/>
  <c r="AE327" i="5"/>
  <c r="AA327" i="5"/>
  <c r="W327" i="5"/>
  <c r="O327" i="5"/>
  <c r="K327" i="5"/>
  <c r="BK326" i="5"/>
  <c r="BG326" i="5"/>
  <c r="BC326" i="5"/>
  <c r="AY326" i="5"/>
  <c r="AU326" i="5"/>
  <c r="AQ326" i="5"/>
  <c r="AM326" i="5"/>
  <c r="AI326" i="5"/>
  <c r="AE326" i="5"/>
  <c r="AA326" i="5"/>
  <c r="W326" i="5"/>
  <c r="O326" i="5"/>
  <c r="K326" i="5"/>
  <c r="BK325" i="5"/>
  <c r="BG325" i="5"/>
  <c r="BC325" i="5"/>
  <c r="AY325" i="5"/>
  <c r="AU325" i="5"/>
  <c r="AQ325" i="5"/>
  <c r="AM325" i="5"/>
  <c r="AI325" i="5"/>
  <c r="AE325" i="5"/>
  <c r="AA325" i="5"/>
  <c r="W325" i="5"/>
  <c r="O325" i="5"/>
  <c r="K325" i="5"/>
  <c r="BK324" i="5"/>
  <c r="BG324" i="5"/>
  <c r="BC324" i="5"/>
  <c r="AY324" i="5"/>
  <c r="AU324" i="5"/>
  <c r="AQ324" i="5"/>
  <c r="AM324" i="5"/>
  <c r="AI324" i="5"/>
  <c r="AE324" i="5"/>
  <c r="AA324" i="5"/>
  <c r="W324" i="5"/>
  <c r="O324" i="5"/>
  <c r="K324" i="5"/>
  <c r="BK270" i="5"/>
  <c r="BG270" i="5"/>
  <c r="BC270" i="5"/>
  <c r="AY270" i="5"/>
  <c r="AU270" i="5"/>
  <c r="AQ270" i="5"/>
  <c r="AM270" i="5"/>
  <c r="AI270" i="5"/>
  <c r="AE270" i="5"/>
  <c r="AA270" i="5"/>
  <c r="W270" i="5"/>
  <c r="O270" i="5"/>
  <c r="K270" i="5"/>
  <c r="G270" i="5"/>
  <c r="B270" i="5"/>
  <c r="BK269" i="5"/>
  <c r="BG269" i="5"/>
  <c r="BC269" i="5"/>
  <c r="AY269" i="5"/>
  <c r="AU269" i="5"/>
  <c r="AQ269" i="5"/>
  <c r="AM269" i="5"/>
  <c r="AI269" i="5"/>
  <c r="AE269" i="5"/>
  <c r="AA269" i="5"/>
  <c r="W269" i="5"/>
  <c r="O269" i="5"/>
  <c r="K269" i="5"/>
  <c r="G269" i="5"/>
  <c r="B269" i="5"/>
  <c r="BK268" i="5"/>
  <c r="BG268" i="5"/>
  <c r="BC268" i="5"/>
  <c r="AY268" i="5"/>
  <c r="AU268" i="5"/>
  <c r="AQ268" i="5"/>
  <c r="AM268" i="5"/>
  <c r="AI268" i="5"/>
  <c r="AE268" i="5"/>
  <c r="AA268" i="5"/>
  <c r="W268" i="5"/>
  <c r="O268" i="5"/>
  <c r="K268" i="5"/>
  <c r="B268" i="5"/>
  <c r="BK267" i="5"/>
  <c r="BG267" i="5"/>
  <c r="BC267" i="5"/>
  <c r="AY267" i="5"/>
  <c r="AU267" i="5"/>
  <c r="AQ267" i="5"/>
  <c r="AM267" i="5"/>
  <c r="AI267" i="5"/>
  <c r="AE267" i="5"/>
  <c r="AA267" i="5"/>
  <c r="W267" i="5"/>
  <c r="O267" i="5"/>
  <c r="K267" i="5"/>
  <c r="G267" i="5"/>
  <c r="B267" i="5"/>
  <c r="BK266" i="5"/>
  <c r="BG266" i="5"/>
  <c r="BC266" i="5"/>
  <c r="AY266" i="5"/>
  <c r="AU266" i="5"/>
  <c r="AQ266" i="5"/>
  <c r="AM266" i="5"/>
  <c r="AI266" i="5"/>
  <c r="AE266" i="5"/>
  <c r="AA266" i="5"/>
  <c r="W266" i="5"/>
  <c r="O266" i="5"/>
  <c r="K266" i="5"/>
  <c r="G266" i="5"/>
  <c r="B266" i="5"/>
  <c r="BK265" i="5"/>
  <c r="BG265" i="5"/>
  <c r="BC265" i="5"/>
  <c r="AY265" i="5"/>
  <c r="AU265" i="5"/>
  <c r="AQ265" i="5"/>
  <c r="AM265" i="5"/>
  <c r="AI265" i="5"/>
  <c r="AE265" i="5"/>
  <c r="AA265" i="5"/>
  <c r="W265" i="5"/>
  <c r="O265" i="5"/>
  <c r="K265" i="5"/>
  <c r="G265" i="5"/>
  <c r="B265" i="5"/>
  <c r="BK264" i="5"/>
  <c r="BG264" i="5"/>
  <c r="BC264" i="5"/>
  <c r="AY264" i="5"/>
  <c r="AU264" i="5"/>
  <c r="AQ264" i="5"/>
  <c r="AM264" i="5"/>
  <c r="AI264" i="5"/>
  <c r="AE264" i="5"/>
  <c r="AA264" i="5"/>
  <c r="W264" i="5"/>
  <c r="O264" i="5"/>
  <c r="K264" i="5"/>
  <c r="G264" i="5"/>
  <c r="B264" i="5"/>
  <c r="BK263" i="5"/>
  <c r="BG263" i="5"/>
  <c r="BC263" i="5"/>
  <c r="AY263" i="5"/>
  <c r="AU263" i="5"/>
  <c r="AQ263" i="5"/>
  <c r="AM263" i="5"/>
  <c r="AI263" i="5"/>
  <c r="AE263" i="5"/>
  <c r="AA263" i="5"/>
  <c r="W263" i="5"/>
  <c r="O263" i="5"/>
  <c r="G263" i="5"/>
  <c r="B263" i="5"/>
  <c r="BK262" i="5"/>
  <c r="BG262" i="5"/>
  <c r="BC262" i="5"/>
  <c r="AY262" i="5"/>
  <c r="AU262" i="5"/>
  <c r="AQ262" i="5"/>
  <c r="AM262" i="5"/>
  <c r="AI262" i="5"/>
  <c r="AE262" i="5"/>
  <c r="AA262" i="5"/>
  <c r="W262" i="5"/>
  <c r="O262" i="5"/>
  <c r="K262" i="5"/>
  <c r="G262" i="5"/>
  <c r="B262" i="5"/>
  <c r="BK261" i="5"/>
  <c r="BG261" i="5"/>
  <c r="BC261" i="5"/>
  <c r="AY261" i="5"/>
  <c r="AU261" i="5"/>
  <c r="AQ261" i="5"/>
  <c r="AM261" i="5"/>
  <c r="AI261" i="5"/>
  <c r="AE261" i="5"/>
  <c r="AA261" i="5"/>
  <c r="W261" i="5"/>
  <c r="O261" i="5"/>
  <c r="K261" i="5"/>
  <c r="G261" i="5"/>
  <c r="B261" i="5"/>
  <c r="BK260" i="5"/>
  <c r="BG260" i="5"/>
  <c r="BC260" i="5"/>
  <c r="AY260" i="5"/>
  <c r="AU260" i="5"/>
  <c r="AQ260" i="5"/>
  <c r="AM260" i="5"/>
  <c r="AI260" i="5"/>
  <c r="AE260" i="5"/>
  <c r="AA260" i="5"/>
  <c r="W260" i="5"/>
  <c r="O260" i="5"/>
  <c r="K260" i="5"/>
  <c r="G260" i="5"/>
  <c r="B260" i="5"/>
  <c r="BK259" i="5"/>
  <c r="BG259" i="5"/>
  <c r="BC259" i="5"/>
  <c r="AY259" i="5"/>
  <c r="AU259" i="5"/>
  <c r="AQ259" i="5"/>
  <c r="AM259" i="5"/>
  <c r="AI259" i="5"/>
  <c r="AE259" i="5"/>
  <c r="AA259" i="5"/>
  <c r="W259" i="5"/>
  <c r="O259" i="5"/>
  <c r="K259" i="5"/>
  <c r="G259" i="5"/>
  <c r="B259" i="5"/>
  <c r="BK258" i="5"/>
  <c r="BG258" i="5"/>
  <c r="BC258" i="5"/>
  <c r="AY258" i="5"/>
  <c r="AU258" i="5"/>
  <c r="AQ258" i="5"/>
  <c r="AM258" i="5"/>
  <c r="AI258" i="5"/>
  <c r="AE258" i="5"/>
  <c r="AA258" i="5"/>
  <c r="W258" i="5"/>
  <c r="O258" i="5"/>
  <c r="K258" i="5"/>
  <c r="G258" i="5"/>
  <c r="B258" i="5"/>
  <c r="BK257" i="5"/>
  <c r="BG257" i="5"/>
  <c r="BC257" i="5"/>
  <c r="AY257" i="5"/>
  <c r="AU257" i="5"/>
  <c r="AQ257" i="5"/>
  <c r="AM257" i="5"/>
  <c r="AI257" i="5"/>
  <c r="AE257" i="5"/>
  <c r="AA257" i="5"/>
  <c r="W257" i="5"/>
  <c r="O257" i="5"/>
  <c r="K257" i="5"/>
  <c r="G257" i="5"/>
  <c r="B257" i="5"/>
  <c r="BK256" i="5"/>
  <c r="BG256" i="5"/>
  <c r="BC256" i="5"/>
  <c r="AY256" i="5"/>
  <c r="AU256" i="5"/>
  <c r="AQ256" i="5"/>
  <c r="AM256" i="5"/>
  <c r="AI256" i="5"/>
  <c r="AE256" i="5"/>
  <c r="AA256" i="5"/>
  <c r="W256" i="5"/>
  <c r="O256" i="5"/>
  <c r="K256" i="5"/>
  <c r="G256" i="5"/>
  <c r="B256" i="5"/>
  <c r="BK255" i="5"/>
  <c r="BG255" i="5"/>
  <c r="BC255" i="5"/>
  <c r="AY255" i="5"/>
  <c r="AU255" i="5"/>
  <c r="AQ255" i="5"/>
  <c r="AM255" i="5"/>
  <c r="AI255" i="5"/>
  <c r="AE255" i="5"/>
  <c r="AA255" i="5"/>
  <c r="W255" i="5"/>
  <c r="O255" i="5"/>
  <c r="K255" i="5"/>
  <c r="G255" i="5"/>
  <c r="B255" i="5"/>
  <c r="BK254" i="5"/>
  <c r="BG254" i="5"/>
  <c r="BC254" i="5"/>
  <c r="AY254" i="5"/>
  <c r="AU254" i="5"/>
  <c r="AQ254" i="5"/>
  <c r="AM254" i="5"/>
  <c r="AI254" i="5"/>
  <c r="AE254" i="5"/>
  <c r="AA254" i="5"/>
  <c r="W254" i="5"/>
  <c r="O254" i="5"/>
  <c r="K254" i="5"/>
  <c r="G254" i="5"/>
  <c r="B254" i="5"/>
  <c r="BK253" i="5"/>
  <c r="BG253" i="5"/>
  <c r="BC253" i="5"/>
  <c r="AY253" i="5"/>
  <c r="AU253" i="5"/>
  <c r="AQ253" i="5"/>
  <c r="AM253" i="5"/>
  <c r="AI253" i="5"/>
  <c r="AE253" i="5"/>
  <c r="AA253" i="5"/>
  <c r="W253" i="5"/>
  <c r="O253" i="5"/>
  <c r="K253" i="5"/>
  <c r="G253" i="5"/>
  <c r="B253" i="5"/>
  <c r="BK252" i="5"/>
  <c r="BG252" i="5"/>
  <c r="BC252" i="5"/>
  <c r="AY252" i="5"/>
  <c r="AU252" i="5"/>
  <c r="AQ252" i="5"/>
  <c r="AM252" i="5"/>
  <c r="AI252" i="5"/>
  <c r="AE252" i="5"/>
  <c r="AA252" i="5"/>
  <c r="W252" i="5"/>
  <c r="O252" i="5"/>
  <c r="K252" i="5"/>
  <c r="G252" i="5"/>
  <c r="B252" i="5"/>
  <c r="BK251" i="5"/>
  <c r="BG251" i="5"/>
  <c r="BC251" i="5"/>
  <c r="AY251" i="5"/>
  <c r="AU251" i="5"/>
  <c r="AQ251" i="5"/>
  <c r="AM251" i="5"/>
  <c r="AI251" i="5"/>
  <c r="AE251" i="5"/>
  <c r="AA251" i="5"/>
  <c r="W251" i="5"/>
  <c r="O251" i="5"/>
  <c r="K251" i="5"/>
  <c r="G251" i="5"/>
  <c r="B251" i="5"/>
  <c r="BK250" i="5"/>
  <c r="BG250" i="5"/>
  <c r="BC250" i="5"/>
  <c r="AY250" i="5"/>
  <c r="AU250" i="5"/>
  <c r="AQ250" i="5"/>
  <c r="AM250" i="5"/>
  <c r="AI250" i="5"/>
  <c r="AE250" i="5"/>
  <c r="AA250" i="5"/>
  <c r="W250" i="5"/>
  <c r="K250" i="5"/>
  <c r="G250" i="5"/>
  <c r="B250" i="5"/>
  <c r="BK249" i="5"/>
  <c r="BG249" i="5"/>
  <c r="BC249" i="5"/>
  <c r="AY249" i="5"/>
  <c r="AU249" i="5"/>
  <c r="AQ249" i="5"/>
  <c r="AM249" i="5"/>
  <c r="AI249" i="5"/>
  <c r="AE249" i="5"/>
  <c r="AA249" i="5"/>
  <c r="W249" i="5"/>
  <c r="O249" i="5"/>
  <c r="K249" i="5"/>
  <c r="G249" i="5"/>
  <c r="B249" i="5"/>
  <c r="BK248" i="5"/>
  <c r="BG248" i="5"/>
  <c r="BC248" i="5"/>
  <c r="AY248" i="5"/>
  <c r="AU248" i="5"/>
  <c r="AQ248" i="5"/>
  <c r="AM248" i="5"/>
  <c r="AI248" i="5"/>
  <c r="AE248" i="5"/>
  <c r="AA248" i="5"/>
  <c r="W248" i="5"/>
  <c r="O248" i="5"/>
  <c r="K248" i="5"/>
  <c r="G248" i="5"/>
  <c r="B248" i="5"/>
  <c r="BK247" i="5"/>
  <c r="BG247" i="5"/>
  <c r="BC247" i="5"/>
  <c r="AY247" i="5"/>
  <c r="AU247" i="5"/>
  <c r="AQ247" i="5"/>
  <c r="AM247" i="5"/>
  <c r="AI247" i="5"/>
  <c r="AE247" i="5"/>
  <c r="AA247" i="5"/>
  <c r="W247" i="5"/>
  <c r="O247" i="5"/>
  <c r="K247" i="5"/>
  <c r="G247" i="5"/>
  <c r="B247" i="5"/>
  <c r="BK246" i="5"/>
  <c r="BG246" i="5"/>
  <c r="BC246" i="5"/>
  <c r="AY246" i="5"/>
  <c r="AU246" i="5"/>
  <c r="AQ246" i="5"/>
  <c r="AM246" i="5"/>
  <c r="AI246" i="5"/>
  <c r="AE246" i="5"/>
  <c r="AA246" i="5"/>
  <c r="W246" i="5"/>
  <c r="O246" i="5"/>
  <c r="K246" i="5"/>
  <c r="G246" i="5"/>
  <c r="B246" i="5"/>
  <c r="BK245" i="5"/>
  <c r="BG245" i="5"/>
  <c r="BC245" i="5"/>
  <c r="AY245" i="5"/>
  <c r="AU245" i="5"/>
  <c r="AQ245" i="5"/>
  <c r="AM245" i="5"/>
  <c r="AI245" i="5"/>
  <c r="AE245" i="5"/>
  <c r="AA245" i="5"/>
  <c r="W245" i="5"/>
  <c r="O245" i="5"/>
  <c r="K245" i="5"/>
  <c r="B245" i="5"/>
  <c r="BK244" i="5"/>
  <c r="BG244" i="5"/>
  <c r="BC244" i="5"/>
  <c r="AY244" i="5"/>
  <c r="AU244" i="5"/>
  <c r="AQ244" i="5"/>
  <c r="AM244" i="5"/>
  <c r="AI244" i="5"/>
  <c r="AE244" i="5"/>
  <c r="AA244" i="5"/>
  <c r="W244" i="5"/>
  <c r="O244" i="5"/>
  <c r="K244" i="5"/>
  <c r="G244" i="5"/>
  <c r="B244" i="5"/>
  <c r="BK241" i="5"/>
  <c r="BG241" i="5"/>
  <c r="BC241" i="5"/>
  <c r="AY241" i="5"/>
  <c r="AU241" i="5"/>
  <c r="AQ241" i="5"/>
  <c r="AM241" i="5"/>
  <c r="AI241" i="5"/>
  <c r="AE241" i="5"/>
  <c r="AA241" i="5"/>
  <c r="W241" i="5"/>
  <c r="O241" i="5"/>
  <c r="K241" i="5"/>
  <c r="G241" i="5"/>
  <c r="BK240" i="5"/>
  <c r="BG240" i="5"/>
  <c r="BC240" i="5"/>
  <c r="AY240" i="5"/>
  <c r="AU240" i="5"/>
  <c r="AQ240" i="5"/>
  <c r="AM240" i="5"/>
  <c r="AI240" i="5"/>
  <c r="AE240" i="5"/>
  <c r="AA240" i="5"/>
  <c r="W240" i="5"/>
  <c r="O240" i="5"/>
  <c r="K240" i="5"/>
  <c r="G240" i="5"/>
  <c r="BK238" i="5"/>
  <c r="BG238" i="5"/>
  <c r="BC238" i="5"/>
  <c r="AY238" i="5"/>
  <c r="AU238" i="5"/>
  <c r="AQ238" i="5"/>
  <c r="AM238" i="5"/>
  <c r="AI238" i="5"/>
  <c r="AE238" i="5"/>
  <c r="AA238" i="5"/>
  <c r="W238" i="5"/>
  <c r="O238" i="5"/>
  <c r="K238" i="5"/>
  <c r="G238" i="5"/>
  <c r="BK237" i="5"/>
  <c r="BG237" i="5"/>
  <c r="BC237" i="5"/>
  <c r="AY237" i="5"/>
  <c r="AU237" i="5"/>
  <c r="AQ237" i="5"/>
  <c r="AM237" i="5"/>
  <c r="AI237" i="5"/>
  <c r="AE237" i="5"/>
  <c r="AA237" i="5"/>
  <c r="W237" i="5"/>
  <c r="BK235" i="5"/>
  <c r="BG235" i="5"/>
  <c r="BC235" i="5"/>
  <c r="AY235" i="5"/>
  <c r="AU235" i="5"/>
  <c r="AQ235" i="5"/>
  <c r="AM235" i="5"/>
  <c r="AI235" i="5"/>
  <c r="AE235" i="5"/>
  <c r="AA235" i="5"/>
  <c r="W235" i="5"/>
  <c r="O235" i="5"/>
  <c r="K235" i="5"/>
  <c r="G235" i="5"/>
  <c r="BK234" i="5"/>
  <c r="BG234" i="5"/>
  <c r="BC234" i="5"/>
  <c r="AY234" i="5"/>
  <c r="AU234" i="5"/>
  <c r="AQ234" i="5"/>
  <c r="AM234" i="5"/>
  <c r="AI234" i="5"/>
  <c r="AE234" i="5"/>
  <c r="AA234" i="5"/>
  <c r="W234" i="5"/>
  <c r="O234" i="5"/>
  <c r="K234" i="5"/>
  <c r="G234" i="5"/>
  <c r="BK233" i="5"/>
  <c r="BG233" i="5"/>
  <c r="BC233" i="5"/>
  <c r="AY233" i="5"/>
  <c r="AU233" i="5"/>
  <c r="AQ233" i="5"/>
  <c r="AM233" i="5"/>
  <c r="AI233" i="5"/>
  <c r="AE233" i="5"/>
  <c r="AA233" i="5"/>
  <c r="W233" i="5"/>
  <c r="O233" i="5"/>
  <c r="K233" i="5"/>
  <c r="G233" i="5"/>
  <c r="B233" i="5"/>
  <c r="BK196" i="5"/>
  <c r="BG196" i="5"/>
  <c r="BC196" i="5"/>
  <c r="AY196" i="5"/>
  <c r="AU196" i="5"/>
  <c r="AQ196" i="5"/>
  <c r="AM196" i="5"/>
  <c r="AI196" i="5"/>
  <c r="AE196" i="5"/>
  <c r="AA196" i="5"/>
  <c r="W196" i="5"/>
  <c r="K196" i="5"/>
  <c r="G196" i="5"/>
  <c r="B196" i="5"/>
  <c r="BK195" i="5"/>
  <c r="BG195" i="5"/>
  <c r="BC195" i="5"/>
  <c r="AY195" i="5"/>
  <c r="AU195" i="5"/>
  <c r="AQ195" i="5"/>
  <c r="AM195" i="5"/>
  <c r="AI195" i="5"/>
  <c r="AE195" i="5"/>
  <c r="AA195" i="5"/>
  <c r="W195" i="5"/>
  <c r="K195" i="5"/>
  <c r="G195" i="5"/>
  <c r="B195" i="5"/>
  <c r="BK194" i="5"/>
  <c r="BG194" i="5"/>
  <c r="BC194" i="5"/>
  <c r="AY194" i="5"/>
  <c r="AU194" i="5"/>
  <c r="AQ194" i="5"/>
  <c r="AM194" i="5"/>
  <c r="AI194" i="5"/>
  <c r="AE194" i="5"/>
  <c r="AA194" i="5"/>
  <c r="W194" i="5"/>
  <c r="K194" i="5"/>
  <c r="G194" i="5"/>
  <c r="B194" i="5"/>
  <c r="BK193" i="5"/>
  <c r="BG193" i="5"/>
  <c r="BC193" i="5"/>
  <c r="AY193" i="5"/>
  <c r="AU193" i="5"/>
  <c r="AQ193" i="5"/>
  <c r="AM193" i="5"/>
  <c r="AI193" i="5"/>
  <c r="AE193" i="5"/>
  <c r="AA193" i="5"/>
  <c r="W193" i="5"/>
  <c r="K193" i="5"/>
  <c r="G193" i="5"/>
  <c r="B193" i="5"/>
  <c r="BK192" i="5"/>
  <c r="BG192" i="5"/>
  <c r="BC192" i="5"/>
  <c r="AY192" i="5"/>
  <c r="AU192" i="5"/>
  <c r="AQ192" i="5"/>
  <c r="AM192" i="5"/>
  <c r="AI192" i="5"/>
  <c r="AE192" i="5"/>
  <c r="AA192" i="5"/>
  <c r="W192" i="5"/>
  <c r="K192" i="5"/>
  <c r="G192" i="5"/>
  <c r="B192" i="5"/>
  <c r="BK191" i="5"/>
  <c r="BG191" i="5"/>
  <c r="BC191" i="5"/>
  <c r="AY191" i="5"/>
  <c r="AU191" i="5"/>
  <c r="AQ191" i="5"/>
  <c r="AM191" i="5"/>
  <c r="AI191" i="5"/>
  <c r="AE191" i="5"/>
  <c r="AA191" i="5"/>
  <c r="W191" i="5"/>
  <c r="K191" i="5"/>
  <c r="G191" i="5"/>
  <c r="B191" i="5"/>
  <c r="BK190" i="5"/>
  <c r="BG190" i="5"/>
  <c r="BC190" i="5"/>
  <c r="AY190" i="5"/>
  <c r="AU190" i="5"/>
  <c r="AQ190" i="5"/>
  <c r="AM190" i="5"/>
  <c r="AI190" i="5"/>
  <c r="AE190" i="5"/>
  <c r="AA190" i="5"/>
  <c r="W190" i="5"/>
  <c r="O190" i="5"/>
  <c r="K190" i="5"/>
  <c r="G190" i="5"/>
  <c r="B190" i="5"/>
  <c r="BK189" i="5"/>
  <c r="BG189" i="5"/>
  <c r="BC189" i="5"/>
  <c r="AY189" i="5"/>
  <c r="AU189" i="5"/>
  <c r="AQ189" i="5"/>
  <c r="AM189" i="5"/>
  <c r="AI189" i="5"/>
  <c r="AE189" i="5"/>
  <c r="AA189" i="5"/>
  <c r="W189" i="5"/>
  <c r="O189" i="5"/>
  <c r="K189" i="5"/>
  <c r="G189" i="5"/>
  <c r="B189" i="5"/>
  <c r="BK188" i="5"/>
  <c r="BG188" i="5"/>
  <c r="BC188" i="5"/>
  <c r="AY188" i="5"/>
  <c r="AU188" i="5"/>
  <c r="AQ188" i="5"/>
  <c r="AM188" i="5"/>
  <c r="AI188" i="5"/>
  <c r="AE188" i="5"/>
  <c r="AA188" i="5"/>
  <c r="W188" i="5"/>
  <c r="O188" i="5"/>
  <c r="K188" i="5"/>
  <c r="G188" i="5"/>
  <c r="B188" i="5"/>
  <c r="BK187" i="5"/>
  <c r="BG187" i="5"/>
  <c r="BC187" i="5"/>
  <c r="AY187" i="5"/>
  <c r="AU187" i="5"/>
  <c r="AQ187" i="5"/>
  <c r="AM187" i="5"/>
  <c r="AI187" i="5"/>
  <c r="AE187" i="5"/>
  <c r="AA187" i="5"/>
  <c r="W187" i="5"/>
  <c r="O187" i="5"/>
  <c r="K187" i="5"/>
  <c r="G187" i="5"/>
  <c r="B187" i="5"/>
  <c r="BK186" i="5"/>
  <c r="BG186" i="5"/>
  <c r="BC186" i="5"/>
  <c r="AY186" i="5"/>
  <c r="AU186" i="5"/>
  <c r="AQ186" i="5"/>
  <c r="AM186" i="5"/>
  <c r="AI186" i="5"/>
  <c r="AE186" i="5"/>
  <c r="AA186" i="5"/>
  <c r="W186" i="5"/>
  <c r="O186" i="5"/>
  <c r="K186" i="5"/>
  <c r="G186" i="5"/>
  <c r="B186" i="5"/>
  <c r="BK185" i="5"/>
  <c r="BG185" i="5"/>
  <c r="BC185" i="5"/>
  <c r="AY185" i="5"/>
  <c r="AU185" i="5"/>
  <c r="AQ185" i="5"/>
  <c r="AM185" i="5"/>
  <c r="AI185" i="5"/>
  <c r="AE185" i="5"/>
  <c r="AA185" i="5"/>
  <c r="W185" i="5"/>
  <c r="O185" i="5"/>
  <c r="K185" i="5"/>
  <c r="G185" i="5"/>
  <c r="B185" i="5"/>
  <c r="BK184" i="5"/>
  <c r="BG184" i="5"/>
  <c r="BC184" i="5"/>
  <c r="AY184" i="5"/>
  <c r="AU184" i="5"/>
  <c r="AQ184" i="5"/>
  <c r="AM184" i="5"/>
  <c r="AI184" i="5"/>
  <c r="AE184" i="5"/>
  <c r="AA184" i="5"/>
  <c r="W184" i="5"/>
  <c r="O184" i="5"/>
  <c r="K184" i="5"/>
  <c r="G184" i="5"/>
  <c r="B184" i="5"/>
  <c r="BK183" i="5"/>
  <c r="BG183" i="5"/>
  <c r="BC183" i="5"/>
  <c r="AY183" i="5"/>
  <c r="AU183" i="5"/>
  <c r="AQ183" i="5"/>
  <c r="AM183" i="5"/>
  <c r="AI183" i="5"/>
  <c r="AE183" i="5"/>
  <c r="AA183" i="5"/>
  <c r="W183" i="5"/>
  <c r="O183" i="5"/>
  <c r="K183" i="5"/>
  <c r="G183" i="5"/>
  <c r="B183" i="5"/>
  <c r="BK182" i="5"/>
  <c r="BG182" i="5"/>
  <c r="BC182" i="5"/>
  <c r="AY182" i="5"/>
  <c r="AU182" i="5"/>
  <c r="AQ182" i="5"/>
  <c r="AM182" i="5"/>
  <c r="AI182" i="5"/>
  <c r="AE182" i="5"/>
  <c r="AA182" i="5"/>
  <c r="W182" i="5"/>
  <c r="O182" i="5"/>
  <c r="K182" i="5"/>
  <c r="G182" i="5"/>
  <c r="B182" i="5"/>
  <c r="BK181" i="5"/>
  <c r="BG181" i="5"/>
  <c r="BC181" i="5"/>
  <c r="AY181" i="5"/>
  <c r="AU181" i="5"/>
  <c r="AQ181" i="5"/>
  <c r="AM181" i="5"/>
  <c r="AI181" i="5"/>
  <c r="AE181" i="5"/>
  <c r="AA181" i="5"/>
  <c r="W181" i="5"/>
  <c r="O181" i="5"/>
  <c r="K181" i="5"/>
  <c r="G181" i="5"/>
  <c r="B181" i="5"/>
  <c r="BK180" i="5"/>
  <c r="BG180" i="5"/>
  <c r="BC180" i="5"/>
  <c r="AY180" i="5"/>
  <c r="AU180" i="5"/>
  <c r="AQ180" i="5"/>
  <c r="AM180" i="5"/>
  <c r="AI180" i="5"/>
  <c r="AE180" i="5"/>
  <c r="AA180" i="5"/>
  <c r="W180" i="5"/>
  <c r="O180" i="5"/>
  <c r="K180" i="5"/>
  <c r="G180" i="5"/>
  <c r="B180" i="5"/>
  <c r="BK179" i="5"/>
  <c r="BG179" i="5"/>
  <c r="BC179" i="5"/>
  <c r="AY179" i="5"/>
  <c r="AU179" i="5"/>
  <c r="AQ179" i="5"/>
  <c r="AM179" i="5"/>
  <c r="AI179" i="5"/>
  <c r="AE179" i="5"/>
  <c r="AA179" i="5"/>
  <c r="W179" i="5"/>
  <c r="O179" i="5"/>
  <c r="K179" i="5"/>
  <c r="G179" i="5"/>
  <c r="B179" i="5"/>
  <c r="BK178" i="5"/>
  <c r="BG178" i="5"/>
  <c r="BC178" i="5"/>
  <c r="AY178" i="5"/>
  <c r="AU178" i="5"/>
  <c r="AQ178" i="5"/>
  <c r="AM178" i="5"/>
  <c r="AI178" i="5"/>
  <c r="AE178" i="5"/>
  <c r="AA178" i="5"/>
  <c r="W178" i="5"/>
  <c r="O178" i="5"/>
  <c r="K178" i="5"/>
  <c r="G178" i="5"/>
  <c r="B178" i="5"/>
  <c r="BK165" i="5"/>
  <c r="BG165" i="5"/>
  <c r="BC165" i="5"/>
  <c r="AY165" i="5"/>
  <c r="AU165" i="5"/>
  <c r="AQ165" i="5"/>
  <c r="AM165" i="5"/>
  <c r="AI165" i="5"/>
  <c r="AE165" i="5"/>
  <c r="AA165" i="5"/>
  <c r="W165" i="5"/>
  <c r="O165" i="5"/>
  <c r="K165" i="5"/>
  <c r="G165" i="5"/>
  <c r="BK164" i="5"/>
  <c r="BG164" i="5"/>
  <c r="BC164" i="5"/>
  <c r="AY164" i="5"/>
  <c r="AU164" i="5"/>
  <c r="AQ164" i="5"/>
  <c r="AM164" i="5"/>
  <c r="AI164" i="5"/>
  <c r="AE164" i="5"/>
  <c r="AA164" i="5"/>
  <c r="W164" i="5"/>
  <c r="O164" i="5"/>
  <c r="K164" i="5"/>
  <c r="G164" i="5"/>
  <c r="BK163" i="5"/>
  <c r="BG163" i="5"/>
  <c r="BC163" i="5"/>
  <c r="AY163" i="5"/>
  <c r="AU163" i="5"/>
  <c r="AQ163" i="5"/>
  <c r="AM163" i="5"/>
  <c r="AI163" i="5"/>
  <c r="AE163" i="5"/>
  <c r="AA163" i="5"/>
  <c r="W163" i="5"/>
  <c r="O163" i="5"/>
  <c r="K163" i="5"/>
  <c r="G163" i="5"/>
  <c r="BK162" i="5"/>
  <c r="BG162" i="5"/>
  <c r="BC162" i="5"/>
  <c r="AY162" i="5"/>
  <c r="AU162" i="5"/>
  <c r="AQ162" i="5"/>
  <c r="AM162" i="5"/>
  <c r="AI162" i="5"/>
  <c r="AE162" i="5"/>
  <c r="AA162" i="5"/>
  <c r="W162" i="5"/>
  <c r="O162" i="5"/>
  <c r="K162" i="5"/>
  <c r="G162" i="5"/>
  <c r="BK161" i="5"/>
  <c r="BG161" i="5"/>
  <c r="BC161" i="5"/>
  <c r="AY161" i="5"/>
  <c r="AU161" i="5"/>
  <c r="AQ161" i="5"/>
  <c r="AM161" i="5"/>
  <c r="AI161" i="5"/>
  <c r="AE161" i="5"/>
  <c r="AA161" i="5"/>
  <c r="W161" i="5"/>
  <c r="O161" i="5"/>
  <c r="K161" i="5"/>
  <c r="G161" i="5"/>
  <c r="BK160" i="5"/>
  <c r="BG160" i="5"/>
  <c r="BC160" i="5"/>
  <c r="AY160" i="5"/>
  <c r="AU160" i="5"/>
  <c r="AQ160" i="5"/>
  <c r="AM160" i="5"/>
  <c r="AI160" i="5"/>
  <c r="AE160" i="5"/>
  <c r="AA160" i="5"/>
  <c r="W160" i="5"/>
  <c r="O160" i="5"/>
  <c r="K160" i="5"/>
  <c r="G160" i="5"/>
  <c r="B160" i="5"/>
  <c r="BC177" i="5"/>
  <c r="AY177" i="5"/>
  <c r="AU177" i="5"/>
  <c r="AM177" i="5"/>
  <c r="AI177" i="5"/>
  <c r="AE177" i="5"/>
  <c r="AA177" i="5"/>
  <c r="W177" i="5"/>
  <c r="O177" i="5"/>
  <c r="K177" i="5"/>
  <c r="G177" i="5"/>
  <c r="B177" i="5"/>
  <c r="BC176" i="5"/>
  <c r="AY176" i="5"/>
  <c r="AU176" i="5"/>
  <c r="AM176" i="5"/>
  <c r="AI176" i="5"/>
  <c r="AE176" i="5"/>
  <c r="AA176" i="5"/>
  <c r="W176" i="5"/>
  <c r="O176" i="5"/>
  <c r="K176" i="5"/>
  <c r="G176" i="5"/>
  <c r="B176" i="5"/>
  <c r="BG175" i="5"/>
  <c r="BC175" i="5"/>
  <c r="AY175" i="5"/>
  <c r="AU175" i="5"/>
  <c r="AQ175" i="5"/>
  <c r="AM175" i="5"/>
  <c r="AI175" i="5"/>
  <c r="AE175" i="5"/>
  <c r="AA175" i="5"/>
  <c r="W175" i="5"/>
  <c r="S175" i="5"/>
  <c r="K175" i="5"/>
  <c r="G175" i="5"/>
  <c r="B175" i="5"/>
  <c r="BG174" i="5"/>
  <c r="BC174" i="5"/>
  <c r="AY174" i="5"/>
  <c r="AU174" i="5"/>
  <c r="AQ174" i="5"/>
  <c r="AM174" i="5"/>
  <c r="AI174" i="5"/>
  <c r="AE174" i="5"/>
  <c r="AA174" i="5"/>
  <c r="W174" i="5"/>
  <c r="K174" i="5"/>
  <c r="S174" i="5"/>
  <c r="G174" i="5"/>
  <c r="B174" i="5"/>
  <c r="BG173" i="5"/>
  <c r="BC173" i="5"/>
  <c r="AY173" i="5"/>
  <c r="AU173" i="5"/>
  <c r="AQ173" i="5"/>
  <c r="AM173" i="5"/>
  <c r="AI173" i="5"/>
  <c r="AE173" i="5"/>
  <c r="AA173" i="5"/>
  <c r="W173" i="5"/>
  <c r="S173" i="5"/>
  <c r="K173" i="5"/>
  <c r="G173" i="5"/>
  <c r="B173" i="5"/>
  <c r="BC172" i="5"/>
  <c r="AY172" i="5"/>
  <c r="AU172" i="5"/>
  <c r="AQ172" i="5"/>
  <c r="AM172" i="5"/>
  <c r="AI172" i="5"/>
  <c r="AE172" i="5"/>
  <c r="AA172" i="5"/>
  <c r="W172" i="5"/>
  <c r="O172" i="5"/>
  <c r="K172" i="5"/>
  <c r="G172" i="5"/>
  <c r="B172" i="5"/>
  <c r="BK171" i="5"/>
  <c r="BG171" i="5"/>
  <c r="BC171" i="5"/>
  <c r="AY171" i="5"/>
  <c r="AU171" i="5"/>
  <c r="AQ171" i="5"/>
  <c r="AM171" i="5"/>
  <c r="AI171" i="5"/>
  <c r="AE171" i="5"/>
  <c r="AA171" i="5"/>
  <c r="W171" i="5"/>
  <c r="O171" i="5"/>
  <c r="K171" i="5"/>
  <c r="G171" i="5"/>
  <c r="B171" i="5"/>
  <c r="BK170" i="5"/>
  <c r="BG170" i="5"/>
  <c r="BC170" i="5"/>
  <c r="AY170" i="5"/>
  <c r="AU170" i="5"/>
  <c r="AQ170" i="5"/>
  <c r="AM170" i="5"/>
  <c r="AI170" i="5"/>
  <c r="AE170" i="5"/>
  <c r="AA170" i="5"/>
  <c r="W170" i="5"/>
  <c r="O170" i="5"/>
  <c r="K170" i="5"/>
  <c r="G170" i="5"/>
  <c r="B170" i="5"/>
  <c r="BK169" i="5"/>
  <c r="BG169" i="5"/>
  <c r="BC169" i="5"/>
  <c r="AY169" i="5"/>
  <c r="AU169" i="5"/>
  <c r="AQ169" i="5"/>
  <c r="AM169" i="5"/>
  <c r="AI169" i="5"/>
  <c r="AE169" i="5"/>
  <c r="AA169" i="5"/>
  <c r="W169" i="5"/>
  <c r="O169" i="5"/>
  <c r="K169" i="5"/>
  <c r="G169" i="5"/>
  <c r="B169" i="5"/>
  <c r="BK168" i="5"/>
  <c r="BG168" i="5"/>
  <c r="BC168" i="5"/>
  <c r="AY168" i="5"/>
  <c r="AU168" i="5"/>
  <c r="AQ168" i="5"/>
  <c r="AM168" i="5"/>
  <c r="AI168" i="5"/>
  <c r="AE168" i="5"/>
  <c r="AA168" i="5"/>
  <c r="W168" i="5"/>
  <c r="O168" i="5"/>
  <c r="K168" i="5"/>
  <c r="G168" i="5"/>
  <c r="B168" i="5"/>
  <c r="BK167" i="5"/>
  <c r="BG167" i="5"/>
  <c r="BC167" i="5"/>
  <c r="AY167" i="5"/>
  <c r="AU167" i="5"/>
  <c r="AQ167" i="5"/>
  <c r="AM167" i="5"/>
  <c r="AI167" i="5"/>
  <c r="AE167" i="5"/>
  <c r="AA167" i="5"/>
  <c r="W167" i="5"/>
  <c r="O167" i="5"/>
  <c r="K167" i="5"/>
  <c r="G167" i="5"/>
  <c r="B167" i="5"/>
  <c r="BK166" i="5"/>
  <c r="BG166" i="5"/>
  <c r="BC166" i="5"/>
  <c r="AY166" i="5"/>
  <c r="AU166" i="5"/>
  <c r="AQ166" i="5"/>
  <c r="AM166" i="5"/>
  <c r="AI166" i="5"/>
  <c r="AE166" i="5"/>
  <c r="AA166" i="5"/>
  <c r="W166" i="5"/>
  <c r="O166" i="5"/>
  <c r="K166" i="5"/>
  <c r="G166" i="5"/>
  <c r="B166" i="5"/>
  <c r="BK147" i="5"/>
  <c r="BG147" i="5"/>
  <c r="BC147" i="5"/>
  <c r="AY147" i="5"/>
  <c r="AU147" i="5"/>
  <c r="AQ147" i="5"/>
  <c r="AM147" i="5"/>
  <c r="AI147" i="5"/>
  <c r="AE147" i="5"/>
  <c r="B147" i="5"/>
  <c r="BK146" i="5"/>
  <c r="BG146" i="5"/>
  <c r="BC146" i="5"/>
  <c r="AY146" i="5"/>
  <c r="AU146" i="5"/>
  <c r="AQ146" i="5"/>
  <c r="AM146" i="5"/>
  <c r="AI146" i="5"/>
  <c r="AE146" i="5"/>
  <c r="B146" i="5"/>
  <c r="BK145" i="5"/>
  <c r="BG145" i="5"/>
  <c r="BC145" i="5"/>
  <c r="AY145" i="5"/>
  <c r="AU145" i="5"/>
  <c r="AQ145" i="5"/>
  <c r="AM145" i="5"/>
  <c r="AI145" i="5"/>
  <c r="AE145" i="5"/>
  <c r="B145" i="5"/>
  <c r="BK141" i="5"/>
  <c r="BG141" i="5"/>
  <c r="BC141" i="5"/>
  <c r="AY141" i="5"/>
  <c r="AU141" i="5"/>
  <c r="AQ141" i="5"/>
  <c r="AM141" i="5"/>
  <c r="AI141" i="5"/>
  <c r="AE141" i="5"/>
  <c r="B141" i="5"/>
  <c r="BK140" i="5"/>
  <c r="BG140" i="5"/>
  <c r="BC140" i="5"/>
  <c r="AY140" i="5"/>
  <c r="AU140" i="5"/>
  <c r="AQ140" i="5"/>
  <c r="AM140" i="5"/>
  <c r="AI140" i="5"/>
  <c r="AE140" i="5"/>
  <c r="B140" i="5"/>
  <c r="BK139" i="5"/>
  <c r="BG139" i="5"/>
  <c r="BC139" i="5"/>
  <c r="AY139" i="5"/>
  <c r="AU139" i="5"/>
  <c r="AQ139" i="5"/>
  <c r="AM139" i="5"/>
  <c r="AI139" i="5"/>
  <c r="AE139" i="5"/>
  <c r="B139" i="5"/>
  <c r="BK135" i="5"/>
  <c r="BG135" i="5"/>
  <c r="BC135" i="5"/>
  <c r="B135" i="5"/>
  <c r="BK134" i="5"/>
  <c r="BG134" i="5"/>
  <c r="BC134" i="5"/>
  <c r="AY134" i="5"/>
  <c r="AU134" i="5"/>
  <c r="AQ134" i="5"/>
  <c r="AM134" i="5"/>
  <c r="AI134" i="5"/>
  <c r="AE134" i="5"/>
  <c r="B134" i="5"/>
  <c r="BK133" i="5"/>
  <c r="BG133" i="5"/>
  <c r="BC133" i="5"/>
  <c r="AY133" i="5"/>
  <c r="AU133" i="5"/>
  <c r="AQ133" i="5"/>
  <c r="AM133" i="5"/>
  <c r="AI133" i="5"/>
  <c r="AE133" i="5"/>
  <c r="B133" i="5"/>
  <c r="BK132" i="5"/>
  <c r="BG132" i="5"/>
  <c r="BC132" i="5"/>
  <c r="AY132" i="5"/>
  <c r="AU132" i="5"/>
  <c r="AQ132" i="5"/>
  <c r="AM132" i="5"/>
  <c r="AI132" i="5"/>
  <c r="AE132" i="5"/>
  <c r="B132" i="5"/>
  <c r="BK131" i="5"/>
  <c r="BG131" i="5"/>
  <c r="BC131" i="5"/>
  <c r="AY131" i="5"/>
  <c r="AU131" i="5"/>
  <c r="AQ131" i="5"/>
  <c r="AM131" i="5"/>
  <c r="AI131" i="5"/>
  <c r="AE131" i="5"/>
  <c r="B131" i="5"/>
  <c r="BK130" i="5"/>
  <c r="BG130" i="5"/>
  <c r="BC130" i="5"/>
  <c r="AY130" i="5"/>
  <c r="AU130" i="5"/>
  <c r="AQ130" i="5"/>
  <c r="AM130" i="5"/>
  <c r="AI130" i="5"/>
  <c r="AE130" i="5"/>
  <c r="B130" i="5"/>
  <c r="BK126" i="5"/>
  <c r="BG126" i="5"/>
  <c r="BC126" i="5"/>
  <c r="AY126" i="5"/>
  <c r="AU126" i="5"/>
  <c r="AQ126" i="5"/>
  <c r="AM126" i="5"/>
  <c r="AI126" i="5"/>
  <c r="B126" i="5"/>
  <c r="BK125" i="5"/>
  <c r="BG125" i="5"/>
  <c r="BC125" i="5"/>
  <c r="AY125" i="5"/>
  <c r="AU125" i="5"/>
  <c r="AQ125" i="5"/>
  <c r="AM125" i="5"/>
  <c r="AI125" i="5"/>
  <c r="AE125" i="5"/>
  <c r="B125" i="5"/>
  <c r="BK124" i="5"/>
  <c r="BG124" i="5"/>
  <c r="BC124" i="5"/>
  <c r="AY124" i="5"/>
  <c r="AU124" i="5"/>
  <c r="AQ124" i="5"/>
  <c r="AM124" i="5"/>
  <c r="AI124" i="5"/>
  <c r="AE124" i="5"/>
  <c r="B124" i="5"/>
  <c r="BK123" i="5"/>
  <c r="BG123" i="5"/>
  <c r="BC123" i="5"/>
  <c r="AY123" i="5"/>
  <c r="AU123" i="5"/>
  <c r="AQ123" i="5"/>
  <c r="AM123" i="5"/>
  <c r="AI123" i="5"/>
  <c r="AE123" i="5"/>
  <c r="B123" i="5"/>
  <c r="BK122" i="5"/>
  <c r="BG122" i="5"/>
  <c r="BC122" i="5"/>
  <c r="AY122" i="5"/>
  <c r="AU122" i="5"/>
  <c r="AQ122" i="5"/>
  <c r="AM122" i="5"/>
  <c r="AI122" i="5"/>
  <c r="AE122" i="5"/>
  <c r="B122" i="5"/>
  <c r="BK121" i="5"/>
  <c r="BG121" i="5"/>
  <c r="BC121" i="5"/>
  <c r="AY121" i="5"/>
  <c r="AU121" i="5"/>
  <c r="AQ121" i="5"/>
  <c r="AM121" i="5"/>
  <c r="AI121" i="5"/>
  <c r="AE121" i="5"/>
  <c r="B121" i="5"/>
  <c r="BK117" i="5"/>
  <c r="BG117" i="5"/>
  <c r="BC117" i="5"/>
  <c r="AY117" i="5"/>
  <c r="AU117" i="5"/>
  <c r="AQ117" i="5"/>
  <c r="AM117" i="5"/>
  <c r="E117" i="5" s="1"/>
  <c r="B117" i="5"/>
  <c r="BK116" i="5"/>
  <c r="BG116" i="5"/>
  <c r="BC116" i="5"/>
  <c r="AY116" i="5"/>
  <c r="AU116" i="5"/>
  <c r="AQ116" i="5"/>
  <c r="AM116" i="5"/>
  <c r="AI116" i="5"/>
  <c r="AE116" i="5"/>
  <c r="B116" i="5"/>
  <c r="BK115" i="5"/>
  <c r="BG115" i="5"/>
  <c r="BC115" i="5"/>
  <c r="AY115" i="5"/>
  <c r="AU115" i="5"/>
  <c r="AQ115" i="5"/>
  <c r="AM115" i="5"/>
  <c r="AI115" i="5"/>
  <c r="AE115" i="5"/>
  <c r="B115" i="5"/>
  <c r="BK114" i="5"/>
  <c r="BG114" i="5"/>
  <c r="BC114" i="5"/>
  <c r="AY114" i="5"/>
  <c r="AU114" i="5"/>
  <c r="AQ114" i="5"/>
  <c r="AM114" i="5"/>
  <c r="AI114" i="5"/>
  <c r="AE114" i="5"/>
  <c r="B114" i="5"/>
  <c r="BK113" i="5"/>
  <c r="BG113" i="5"/>
  <c r="BC113" i="5"/>
  <c r="AY113" i="5"/>
  <c r="AU113" i="5"/>
  <c r="AQ113" i="5"/>
  <c r="AM113" i="5"/>
  <c r="AI113" i="5"/>
  <c r="AE113" i="5"/>
  <c r="B113" i="5"/>
  <c r="BK112" i="5"/>
  <c r="BG112" i="5"/>
  <c r="BC112" i="5"/>
  <c r="AY112" i="5"/>
  <c r="AU112" i="5"/>
  <c r="AQ112" i="5"/>
  <c r="AM112" i="5"/>
  <c r="AI112" i="5"/>
  <c r="AE112" i="5"/>
  <c r="B112" i="5"/>
  <c r="BK108" i="5"/>
  <c r="BG108" i="5"/>
  <c r="BC108" i="5"/>
  <c r="AY108" i="5"/>
  <c r="AU108" i="5"/>
  <c r="AQ108" i="5"/>
  <c r="AM108" i="5"/>
  <c r="AI108" i="5"/>
  <c r="AE108" i="5"/>
  <c r="B108" i="5"/>
  <c r="BK107" i="5"/>
  <c r="BG107" i="5"/>
  <c r="BC107" i="5"/>
  <c r="AY107" i="5"/>
  <c r="AU107" i="5"/>
  <c r="AQ107" i="5"/>
  <c r="AM107" i="5"/>
  <c r="AI107" i="5"/>
  <c r="AE107" i="5"/>
  <c r="B107" i="5"/>
  <c r="BK106" i="5"/>
  <c r="BG106" i="5"/>
  <c r="BC106" i="5"/>
  <c r="AY106" i="5"/>
  <c r="AU106" i="5"/>
  <c r="AQ106" i="5"/>
  <c r="AM106" i="5"/>
  <c r="AI106" i="5"/>
  <c r="AE106" i="5"/>
  <c r="B106" i="5"/>
  <c r="BK105" i="5"/>
  <c r="BG105" i="5"/>
  <c r="BC105" i="5"/>
  <c r="AY105" i="5"/>
  <c r="AU105" i="5"/>
  <c r="AQ105" i="5"/>
  <c r="AM105" i="5"/>
  <c r="AI105" i="5"/>
  <c r="AE105" i="5"/>
  <c r="B105" i="5"/>
  <c r="BK104" i="5"/>
  <c r="BG104" i="5"/>
  <c r="BC104" i="5"/>
  <c r="AY104" i="5"/>
  <c r="AU104" i="5"/>
  <c r="AQ104" i="5"/>
  <c r="AM104" i="5"/>
  <c r="AI104" i="5"/>
  <c r="AE104" i="5"/>
  <c r="B104" i="5"/>
  <c r="BK103" i="5"/>
  <c r="BG103" i="5"/>
  <c r="BC103" i="5"/>
  <c r="AY103" i="5"/>
  <c r="AU103" i="5"/>
  <c r="AQ103" i="5"/>
  <c r="AM103" i="5"/>
  <c r="AI103" i="5"/>
  <c r="B103" i="5"/>
  <c r="BK99" i="5"/>
  <c r="BG99" i="5"/>
  <c r="BC99" i="5"/>
  <c r="AY99" i="5"/>
  <c r="AU99" i="5"/>
  <c r="AQ99" i="5"/>
  <c r="AM99" i="5"/>
  <c r="AI99" i="5"/>
  <c r="B99" i="5"/>
  <c r="BK98" i="5"/>
  <c r="BG98" i="5"/>
  <c r="BC98" i="5"/>
  <c r="AY98" i="5"/>
  <c r="AU98" i="5"/>
  <c r="AQ98" i="5"/>
  <c r="AM98" i="5"/>
  <c r="AI98" i="5"/>
  <c r="B98" i="5"/>
  <c r="BK97" i="5"/>
  <c r="BG97" i="5"/>
  <c r="BC97" i="5"/>
  <c r="AY97" i="5"/>
  <c r="AU97" i="5"/>
  <c r="AQ97" i="5"/>
  <c r="AM97" i="5"/>
  <c r="AI97" i="5"/>
  <c r="B97" i="5"/>
  <c r="BK96" i="5"/>
  <c r="BG96" i="5"/>
  <c r="BC96" i="5"/>
  <c r="AY96" i="5"/>
  <c r="AU96" i="5"/>
  <c r="AQ96" i="5"/>
  <c r="AM96" i="5"/>
  <c r="AI96" i="5"/>
  <c r="B96" i="5"/>
  <c r="BK95" i="5"/>
  <c r="BG95" i="5"/>
  <c r="BC95" i="5"/>
  <c r="AY95" i="5"/>
  <c r="AU95" i="5"/>
  <c r="AQ95" i="5"/>
  <c r="AM95" i="5"/>
  <c r="AI95" i="5"/>
  <c r="B95" i="5"/>
  <c r="BK94" i="5"/>
  <c r="BG94" i="5"/>
  <c r="BC94" i="5"/>
  <c r="AY94" i="5"/>
  <c r="AU94" i="5"/>
  <c r="AQ94" i="5"/>
  <c r="AM94" i="5"/>
  <c r="AI94" i="5"/>
  <c r="B94" i="5"/>
  <c r="BK90" i="5"/>
  <c r="BG90" i="5"/>
  <c r="BC90" i="5"/>
  <c r="AY90" i="5"/>
  <c r="AU90" i="5"/>
  <c r="AQ90" i="5"/>
  <c r="AM90" i="5"/>
  <c r="AI90" i="5"/>
  <c r="B90" i="5"/>
  <c r="BK89" i="5"/>
  <c r="BG89" i="5"/>
  <c r="BC89" i="5"/>
  <c r="AY89" i="5"/>
  <c r="AU89" i="5"/>
  <c r="AQ89" i="5"/>
  <c r="AM89" i="5"/>
  <c r="AI89" i="5"/>
  <c r="B89" i="5"/>
  <c r="BK88" i="5"/>
  <c r="BG88" i="5"/>
  <c r="BC88" i="5"/>
  <c r="AY88" i="5"/>
  <c r="AU88" i="5"/>
  <c r="AQ88" i="5"/>
  <c r="AM88" i="5"/>
  <c r="AI88" i="5"/>
  <c r="B88" i="5"/>
  <c r="BK87" i="5"/>
  <c r="BG87" i="5"/>
  <c r="BC87" i="5"/>
  <c r="AY87" i="5"/>
  <c r="AU87" i="5"/>
  <c r="AQ87" i="5"/>
  <c r="AM87" i="5"/>
  <c r="AI87" i="5"/>
  <c r="B87" i="5"/>
  <c r="BK86" i="5"/>
  <c r="BG86" i="5"/>
  <c r="BC86" i="5"/>
  <c r="AY86" i="5"/>
  <c r="AU86" i="5"/>
  <c r="AQ86" i="5"/>
  <c r="AM86" i="5"/>
  <c r="AI86" i="5"/>
  <c r="B86" i="5"/>
  <c r="BK85" i="5"/>
  <c r="BG85" i="5"/>
  <c r="BC85" i="5"/>
  <c r="AY85" i="5"/>
  <c r="AU85" i="5"/>
  <c r="AQ85" i="5"/>
  <c r="AM85" i="5"/>
  <c r="AI85" i="5"/>
  <c r="B85" i="5"/>
  <c r="BK81" i="5"/>
  <c r="BG81" i="5"/>
  <c r="BC81" i="5"/>
  <c r="AY81" i="5"/>
  <c r="AU81" i="5"/>
  <c r="AQ81" i="5"/>
  <c r="AM81" i="5"/>
  <c r="AI81" i="5"/>
  <c r="B81" i="5"/>
  <c r="BK80" i="5"/>
  <c r="BG80" i="5"/>
  <c r="BC80" i="5"/>
  <c r="AY80" i="5"/>
  <c r="AU80" i="5"/>
  <c r="AQ80" i="5"/>
  <c r="AM80" i="5"/>
  <c r="AI80" i="5"/>
  <c r="B80" i="5"/>
  <c r="BK79" i="5"/>
  <c r="BG79" i="5"/>
  <c r="BC79" i="5"/>
  <c r="AY79" i="5"/>
  <c r="AU79" i="5"/>
  <c r="AQ79" i="5"/>
  <c r="AM79" i="5"/>
  <c r="AI79" i="5"/>
  <c r="B79" i="5"/>
  <c r="BK78" i="5"/>
  <c r="BG78" i="5"/>
  <c r="BC78" i="5"/>
  <c r="AY78" i="5"/>
  <c r="AU78" i="5"/>
  <c r="AQ78" i="5"/>
  <c r="AM78" i="5"/>
  <c r="AI78" i="5"/>
  <c r="B78" i="5"/>
  <c r="BK77" i="5"/>
  <c r="BG77" i="5"/>
  <c r="BC77" i="5"/>
  <c r="AY77" i="5"/>
  <c r="AU77" i="5"/>
  <c r="AQ77" i="5"/>
  <c r="AM77" i="5"/>
  <c r="AI77" i="5"/>
  <c r="B77" i="5"/>
  <c r="BK76" i="5"/>
  <c r="BG76" i="5"/>
  <c r="BC76" i="5"/>
  <c r="AY76" i="5"/>
  <c r="AU76" i="5"/>
  <c r="AQ76" i="5"/>
  <c r="AM76" i="5"/>
  <c r="AI76" i="5"/>
  <c r="B76" i="5"/>
  <c r="BK75" i="5"/>
  <c r="BG75" i="5"/>
  <c r="BC75" i="5"/>
  <c r="AY75" i="5"/>
  <c r="AU75" i="5"/>
  <c r="AQ75" i="5"/>
  <c r="AM75" i="5"/>
  <c r="AI75" i="5"/>
  <c r="W75" i="5"/>
  <c r="K75" i="5"/>
  <c r="G75" i="5"/>
  <c r="B75" i="5"/>
  <c r="BK74" i="5"/>
  <c r="BG74" i="5"/>
  <c r="BC74" i="5"/>
  <c r="AY74" i="5"/>
  <c r="AU74" i="5"/>
  <c r="AQ74" i="5"/>
  <c r="AM74" i="5"/>
  <c r="AI74" i="5"/>
  <c r="AE74" i="5"/>
  <c r="AA74" i="5"/>
  <c r="W74" i="5"/>
  <c r="K74" i="5"/>
  <c r="G74" i="5"/>
  <c r="B74" i="5"/>
  <c r="BK73" i="5"/>
  <c r="BG73" i="5"/>
  <c r="BC73" i="5"/>
  <c r="AY73" i="5"/>
  <c r="AU73" i="5"/>
  <c r="AQ73" i="5"/>
  <c r="AM73" i="5"/>
  <c r="AI73" i="5"/>
  <c r="AE73" i="5"/>
  <c r="AA73" i="5"/>
  <c r="W73" i="5"/>
  <c r="K73" i="5"/>
  <c r="G73" i="5"/>
  <c r="B73" i="5"/>
  <c r="BK69" i="5"/>
  <c r="BG69" i="5"/>
  <c r="BC69" i="5"/>
  <c r="AY69" i="5"/>
  <c r="AU69" i="5"/>
  <c r="AQ69" i="5"/>
  <c r="AM69" i="5"/>
  <c r="AI69" i="5"/>
  <c r="AE69" i="5"/>
  <c r="AA69" i="5"/>
  <c r="W69" i="5"/>
  <c r="B69" i="5"/>
  <c r="BK68" i="5"/>
  <c r="BG68" i="5"/>
  <c r="BC68" i="5"/>
  <c r="AY68" i="5"/>
  <c r="AU68" i="5"/>
  <c r="AQ68" i="5"/>
  <c r="AM68" i="5"/>
  <c r="AI68" i="5"/>
  <c r="AE68" i="5"/>
  <c r="AA68" i="5"/>
  <c r="W68" i="5"/>
  <c r="B68" i="5"/>
  <c r="BK67" i="5"/>
  <c r="BG67" i="5"/>
  <c r="BC67" i="5"/>
  <c r="AY67" i="5"/>
  <c r="AU67" i="5"/>
  <c r="AQ67" i="5"/>
  <c r="AM67" i="5"/>
  <c r="AI67" i="5"/>
  <c r="AE67" i="5"/>
  <c r="AA67" i="5"/>
  <c r="W67" i="5"/>
  <c r="B67" i="5"/>
  <c r="BK63" i="5"/>
  <c r="BG63" i="5"/>
  <c r="BC63" i="5"/>
  <c r="AY63" i="5"/>
  <c r="AU63" i="5"/>
  <c r="AQ63" i="5"/>
  <c r="AM63" i="5"/>
  <c r="AI63" i="5"/>
  <c r="AE63" i="5"/>
  <c r="AA63" i="5"/>
  <c r="W63" i="5"/>
  <c r="B63" i="5"/>
  <c r="BK62" i="5"/>
  <c r="BG62" i="5"/>
  <c r="BC62" i="5"/>
  <c r="AY62" i="5"/>
  <c r="AU62" i="5"/>
  <c r="AQ62" i="5"/>
  <c r="AM62" i="5"/>
  <c r="AI62" i="5"/>
  <c r="AE62" i="5"/>
  <c r="AA62" i="5"/>
  <c r="W62" i="5"/>
  <c r="B62" i="5"/>
  <c r="BK61" i="5"/>
  <c r="BG61" i="5"/>
  <c r="BC61" i="5"/>
  <c r="AY61" i="5"/>
  <c r="AU61" i="5"/>
  <c r="AQ61" i="5"/>
  <c r="AM61" i="5"/>
  <c r="AI61" i="5"/>
  <c r="AE61" i="5"/>
  <c r="AA61" i="5"/>
  <c r="W61" i="5"/>
  <c r="B61" i="5"/>
  <c r="BK60" i="5"/>
  <c r="BG60" i="5"/>
  <c r="BC60" i="5"/>
  <c r="AY60" i="5"/>
  <c r="AU60" i="5"/>
  <c r="AQ60" i="5"/>
  <c r="AM60" i="5"/>
  <c r="AI60" i="5"/>
  <c r="AE60" i="5"/>
  <c r="AA60" i="5"/>
  <c r="W60" i="5"/>
  <c r="B60" i="5"/>
  <c r="BK59" i="5"/>
  <c r="BG59" i="5"/>
  <c r="BC59" i="5"/>
  <c r="AY59" i="5"/>
  <c r="AU59" i="5"/>
  <c r="AQ59" i="5"/>
  <c r="AM59" i="5"/>
  <c r="AI59" i="5"/>
  <c r="AE59" i="5"/>
  <c r="AA59" i="5"/>
  <c r="W59" i="5"/>
  <c r="B59" i="5"/>
  <c r="BK58" i="5"/>
  <c r="BG58" i="5"/>
  <c r="BC58" i="5"/>
  <c r="AY58" i="5"/>
  <c r="AU58" i="5"/>
  <c r="AQ58" i="5"/>
  <c r="AM58" i="5"/>
  <c r="AI58" i="5"/>
  <c r="AE58" i="5"/>
  <c r="AA58" i="5"/>
  <c r="W58" i="5"/>
  <c r="B58" i="5"/>
  <c r="BK54" i="5"/>
  <c r="BG54" i="5"/>
  <c r="BC54" i="5"/>
  <c r="AY54" i="5"/>
  <c r="AU54" i="5"/>
  <c r="AQ54" i="5"/>
  <c r="AM54" i="5"/>
  <c r="AI54" i="5"/>
  <c r="AE54" i="5"/>
  <c r="AA54" i="5"/>
  <c r="W54" i="5"/>
  <c r="B54" i="5"/>
  <c r="BK53" i="5"/>
  <c r="BG53" i="5"/>
  <c r="BC53" i="5"/>
  <c r="AY53" i="5"/>
  <c r="AU53" i="5"/>
  <c r="AQ53" i="5"/>
  <c r="AM53" i="5"/>
  <c r="AI53" i="5"/>
  <c r="AE53" i="5"/>
  <c r="AA53" i="5"/>
  <c r="W53" i="5"/>
  <c r="B53" i="5"/>
  <c r="BK52" i="5"/>
  <c r="BG52" i="5"/>
  <c r="BC52" i="5"/>
  <c r="AY52" i="5"/>
  <c r="AU52" i="5"/>
  <c r="AQ52" i="5"/>
  <c r="AM52" i="5"/>
  <c r="AI52" i="5"/>
  <c r="AE52" i="5"/>
  <c r="AA52" i="5"/>
  <c r="W52" i="5"/>
  <c r="B52" i="5"/>
  <c r="BK51" i="5"/>
  <c r="BG51" i="5"/>
  <c r="BC51" i="5"/>
  <c r="AY51" i="5"/>
  <c r="AU51" i="5"/>
  <c r="AQ51" i="5"/>
  <c r="AM51" i="5"/>
  <c r="AI51" i="5"/>
  <c r="AE51" i="5"/>
  <c r="AA51" i="5"/>
  <c r="W51" i="5"/>
  <c r="B51" i="5"/>
  <c r="BK50" i="5"/>
  <c r="BG50" i="5"/>
  <c r="BC50" i="5"/>
  <c r="AY50" i="5"/>
  <c r="AU50" i="5"/>
  <c r="AQ50" i="5"/>
  <c r="AM50" i="5"/>
  <c r="AI50" i="5"/>
  <c r="AE50" i="5"/>
  <c r="AA50" i="5"/>
  <c r="W50" i="5"/>
  <c r="O50" i="5"/>
  <c r="B50" i="5"/>
  <c r="BK49" i="5"/>
  <c r="BG49" i="5"/>
  <c r="BC49" i="5"/>
  <c r="AY49" i="5"/>
  <c r="AU49" i="5"/>
  <c r="AQ49" i="5"/>
  <c r="AM49" i="5"/>
  <c r="AI49" i="5"/>
  <c r="AE49" i="5"/>
  <c r="AA49" i="5"/>
  <c r="W49" i="5"/>
  <c r="O49" i="5"/>
  <c r="B49" i="5"/>
  <c r="BK45" i="5"/>
  <c r="BG45" i="5"/>
  <c r="BC45" i="5"/>
  <c r="AY45" i="5"/>
  <c r="AU45" i="5"/>
  <c r="AQ45" i="5"/>
  <c r="AM45" i="5"/>
  <c r="AI45" i="5"/>
  <c r="AE45" i="5"/>
  <c r="AA45" i="5"/>
  <c r="W45" i="5"/>
  <c r="S45" i="5"/>
  <c r="O45" i="5"/>
  <c r="B45" i="5"/>
  <c r="BK44" i="5"/>
  <c r="BG44" i="5"/>
  <c r="BC44" i="5"/>
  <c r="AY44" i="5"/>
  <c r="AU44" i="5"/>
  <c r="AQ44" i="5"/>
  <c r="AM44" i="5"/>
  <c r="AI44" i="5"/>
  <c r="AE44" i="5"/>
  <c r="AA44" i="5"/>
  <c r="W44" i="5"/>
  <c r="S44" i="5"/>
  <c r="O44" i="5"/>
  <c r="B44" i="5"/>
  <c r="BK43" i="5"/>
  <c r="BG43" i="5"/>
  <c r="BC43" i="5"/>
  <c r="AY43" i="5"/>
  <c r="AU43" i="5"/>
  <c r="AQ43" i="5"/>
  <c r="AM43" i="5"/>
  <c r="AI43" i="5"/>
  <c r="AE43" i="5"/>
  <c r="AA43" i="5"/>
  <c r="W43" i="5"/>
  <c r="S43" i="5"/>
  <c r="O43" i="5"/>
  <c r="B43" i="5"/>
  <c r="BK42" i="5"/>
  <c r="BG42" i="5"/>
  <c r="BC42" i="5"/>
  <c r="AY42" i="5"/>
  <c r="AU42" i="5"/>
  <c r="AQ42" i="5"/>
  <c r="AM42" i="5"/>
  <c r="AI42" i="5"/>
  <c r="AE42" i="5"/>
  <c r="AA42" i="5"/>
  <c r="W42" i="5"/>
  <c r="S42" i="5"/>
  <c r="O42" i="5"/>
  <c r="B42" i="5"/>
  <c r="BK41" i="5"/>
  <c r="BG41" i="5"/>
  <c r="BC41" i="5"/>
  <c r="AY41" i="5"/>
  <c r="AU41" i="5"/>
  <c r="AQ41" i="5"/>
  <c r="AM41" i="5"/>
  <c r="AI41" i="5"/>
  <c r="AE41" i="5"/>
  <c r="AA41" i="5"/>
  <c r="W41" i="5"/>
  <c r="S41" i="5"/>
  <c r="O41" i="5"/>
  <c r="B41" i="5"/>
  <c r="BK40" i="5"/>
  <c r="BG40" i="5"/>
  <c r="BC40" i="5"/>
  <c r="AY40" i="5"/>
  <c r="AU40" i="5"/>
  <c r="AQ40" i="5"/>
  <c r="AM40" i="5"/>
  <c r="AI40" i="5"/>
  <c r="AE40" i="5"/>
  <c r="AA40" i="5"/>
  <c r="W40" i="5"/>
  <c r="S40" i="5"/>
  <c r="O40" i="5"/>
  <c r="B40" i="5"/>
  <c r="BK36" i="5"/>
  <c r="BG36" i="5"/>
  <c r="BC36" i="5"/>
  <c r="AY36" i="5"/>
  <c r="AU36" i="5"/>
  <c r="AQ36" i="5"/>
  <c r="AM36" i="5"/>
  <c r="AI36" i="5"/>
  <c r="AE36" i="5"/>
  <c r="AA36" i="5"/>
  <c r="W36" i="5"/>
  <c r="S36" i="5"/>
  <c r="O36" i="5"/>
  <c r="B36" i="5"/>
  <c r="BK35" i="5"/>
  <c r="BG35" i="5"/>
  <c r="BC35" i="5"/>
  <c r="AY35" i="5"/>
  <c r="AU35" i="5"/>
  <c r="AQ35" i="5"/>
  <c r="AM35" i="5"/>
  <c r="AI35" i="5"/>
  <c r="AE35" i="5"/>
  <c r="AA35" i="5"/>
  <c r="W35" i="5"/>
  <c r="S35" i="5"/>
  <c r="O35" i="5"/>
  <c r="B35" i="5"/>
  <c r="BK34" i="5"/>
  <c r="BG34" i="5"/>
  <c r="BC34" i="5"/>
  <c r="AY34" i="5"/>
  <c r="AU34" i="5"/>
  <c r="AQ34" i="5"/>
  <c r="AM34" i="5"/>
  <c r="AI34" i="5"/>
  <c r="AE34" i="5"/>
  <c r="AA34" i="5"/>
  <c r="W34" i="5"/>
  <c r="S34" i="5"/>
  <c r="O34" i="5"/>
  <c r="B34" i="5"/>
  <c r="BK33" i="5"/>
  <c r="BG33" i="5"/>
  <c r="BC33" i="5"/>
  <c r="AY33" i="5"/>
  <c r="AU33" i="5"/>
  <c r="AQ33" i="5"/>
  <c r="AM33" i="5"/>
  <c r="AI33" i="5"/>
  <c r="AE33" i="5"/>
  <c r="AA33" i="5"/>
  <c r="W33" i="5"/>
  <c r="S33" i="5"/>
  <c r="O33" i="5"/>
  <c r="B33" i="5"/>
  <c r="BK32" i="5"/>
  <c r="BG32" i="5"/>
  <c r="BC32" i="5"/>
  <c r="AY32" i="5"/>
  <c r="AU32" i="5"/>
  <c r="AQ32" i="5"/>
  <c r="AM32" i="5"/>
  <c r="AI32" i="5"/>
  <c r="AE32" i="5"/>
  <c r="AA32" i="5"/>
  <c r="W32" i="5"/>
  <c r="S32" i="5"/>
  <c r="O32" i="5"/>
  <c r="B32" i="5"/>
  <c r="BK31" i="5"/>
  <c r="BG31" i="5"/>
  <c r="BC31" i="5"/>
  <c r="AY31" i="5"/>
  <c r="AU31" i="5"/>
  <c r="AQ31" i="5"/>
  <c r="AM31" i="5"/>
  <c r="AI31" i="5"/>
  <c r="AE31" i="5"/>
  <c r="AA31" i="5"/>
  <c r="W31" i="5"/>
  <c r="S31" i="5"/>
  <c r="O31" i="5"/>
  <c r="B31" i="5"/>
  <c r="BK27" i="5"/>
  <c r="BG27" i="5"/>
  <c r="BC27" i="5"/>
  <c r="AY27" i="5"/>
  <c r="AU27" i="5"/>
  <c r="AQ27" i="5"/>
  <c r="AM27" i="5"/>
  <c r="AI27" i="5"/>
  <c r="AE27" i="5"/>
  <c r="AA27" i="5"/>
  <c r="W27" i="5"/>
  <c r="S27" i="5"/>
  <c r="O27" i="5"/>
  <c r="B27" i="5"/>
  <c r="BK26" i="5"/>
  <c r="BG26" i="5"/>
  <c r="BC26" i="5"/>
  <c r="AY26" i="5"/>
  <c r="AU26" i="5"/>
  <c r="AQ26" i="5"/>
  <c r="AM26" i="5"/>
  <c r="AI26" i="5"/>
  <c r="AE26" i="5"/>
  <c r="AA26" i="5"/>
  <c r="W26" i="5"/>
  <c r="S26" i="5"/>
  <c r="O26" i="5"/>
  <c r="B26" i="5"/>
  <c r="BK25" i="5"/>
  <c r="BG25" i="5"/>
  <c r="BC25" i="5"/>
  <c r="AY25" i="5"/>
  <c r="AU25" i="5"/>
  <c r="AQ25" i="5"/>
  <c r="AM25" i="5"/>
  <c r="AI25" i="5"/>
  <c r="AE25" i="5"/>
  <c r="AA25" i="5"/>
  <c r="W25" i="5"/>
  <c r="S25" i="5"/>
  <c r="O25" i="5"/>
  <c r="B25" i="5"/>
  <c r="BK24" i="5"/>
  <c r="BG24" i="5"/>
  <c r="BC24" i="5"/>
  <c r="AY24" i="5"/>
  <c r="AU24" i="5"/>
  <c r="AQ24" i="5"/>
  <c r="AM24" i="5"/>
  <c r="AI24" i="5"/>
  <c r="AE24" i="5"/>
  <c r="AA24" i="5"/>
  <c r="W24" i="5"/>
  <c r="S24" i="5"/>
  <c r="O24" i="5"/>
  <c r="B24" i="5"/>
  <c r="BK23" i="5"/>
  <c r="BG23" i="5"/>
  <c r="BC23" i="5"/>
  <c r="AY23" i="5"/>
  <c r="AU23" i="5"/>
  <c r="AQ23" i="5"/>
  <c r="AM23" i="5"/>
  <c r="AI23" i="5"/>
  <c r="AE23" i="5"/>
  <c r="AA23" i="5"/>
  <c r="W23" i="5"/>
  <c r="S23" i="5"/>
  <c r="O23" i="5"/>
  <c r="K23" i="5"/>
  <c r="G23" i="5"/>
  <c r="B23" i="5"/>
  <c r="BK22" i="5"/>
  <c r="BG22" i="5"/>
  <c r="BC22" i="5"/>
  <c r="AY22" i="5"/>
  <c r="AU22" i="5"/>
  <c r="AQ22" i="5"/>
  <c r="AM22" i="5"/>
  <c r="AI22" i="5"/>
  <c r="AE22" i="5"/>
  <c r="AA22" i="5"/>
  <c r="W22" i="5"/>
  <c r="S22" i="5"/>
  <c r="O22" i="5"/>
  <c r="K22" i="5"/>
  <c r="G22" i="5"/>
  <c r="B22" i="5"/>
  <c r="BK18" i="5"/>
  <c r="BG18" i="5"/>
  <c r="BC18" i="5"/>
  <c r="AY18" i="5"/>
  <c r="AU18" i="5"/>
  <c r="AQ18" i="5"/>
  <c r="AM18" i="5"/>
  <c r="AI18" i="5"/>
  <c r="AE18" i="5"/>
  <c r="AA18" i="5"/>
  <c r="W18" i="5"/>
  <c r="S18" i="5"/>
  <c r="O18" i="5"/>
  <c r="K18" i="5"/>
  <c r="G18" i="5"/>
  <c r="B18" i="5"/>
  <c r="BK17" i="5"/>
  <c r="BG17" i="5"/>
  <c r="BC17" i="5"/>
  <c r="AY17" i="5"/>
  <c r="AU17" i="5"/>
  <c r="AQ17" i="5"/>
  <c r="AM17" i="5"/>
  <c r="AI17" i="5"/>
  <c r="AE17" i="5"/>
  <c r="AA17" i="5"/>
  <c r="W17" i="5"/>
  <c r="S17" i="5"/>
  <c r="O17" i="5"/>
  <c r="K17" i="5"/>
  <c r="G17" i="5"/>
  <c r="B17" i="5"/>
  <c r="BK16" i="5"/>
  <c r="BG16" i="5"/>
  <c r="BC16" i="5"/>
  <c r="AY16" i="5"/>
  <c r="AU16" i="5"/>
  <c r="AQ16" i="5"/>
  <c r="AM16" i="5"/>
  <c r="AI16" i="5"/>
  <c r="AE16" i="5"/>
  <c r="AA16" i="5"/>
  <c r="W16" i="5"/>
  <c r="S16" i="5"/>
  <c r="O16" i="5"/>
  <c r="K16" i="5"/>
  <c r="G16" i="5"/>
  <c r="B16" i="5"/>
  <c r="BK15" i="5"/>
  <c r="BG15" i="5"/>
  <c r="BC15" i="5"/>
  <c r="AY15" i="5"/>
  <c r="AU15" i="5"/>
  <c r="AQ15" i="5"/>
  <c r="AM15" i="5"/>
  <c r="AI15" i="5"/>
  <c r="AE15" i="5"/>
  <c r="AA15" i="5"/>
  <c r="W15" i="5"/>
  <c r="S15" i="5"/>
  <c r="O15" i="5"/>
  <c r="K15" i="5"/>
  <c r="G15" i="5"/>
  <c r="B15" i="5"/>
  <c r="BK14" i="5"/>
  <c r="BG14" i="5"/>
  <c r="BC14" i="5"/>
  <c r="AY14" i="5"/>
  <c r="AU14" i="5"/>
  <c r="AQ14" i="5"/>
  <c r="AM14" i="5"/>
  <c r="AI14" i="5"/>
  <c r="AE14" i="5"/>
  <c r="AA14" i="5"/>
  <c r="W14" i="5"/>
  <c r="S14" i="5"/>
  <c r="O14" i="5"/>
  <c r="K14" i="5"/>
  <c r="G14" i="5"/>
  <c r="B14" i="5"/>
  <c r="BK13" i="5"/>
  <c r="BG13" i="5"/>
  <c r="BC13" i="5"/>
  <c r="AY13" i="5"/>
  <c r="AU13" i="5"/>
  <c r="AQ13" i="5"/>
  <c r="AM13" i="5"/>
  <c r="AI13" i="5"/>
  <c r="AE13" i="5"/>
  <c r="AA13" i="5"/>
  <c r="W13" i="5"/>
  <c r="S13" i="5"/>
  <c r="O13" i="5"/>
  <c r="K13" i="5"/>
  <c r="G13" i="5"/>
  <c r="B13" i="5"/>
  <c r="BK12" i="5"/>
  <c r="BG12" i="5"/>
  <c r="BC12" i="5"/>
  <c r="AY12" i="5"/>
  <c r="AU12" i="5"/>
  <c r="AQ12" i="5"/>
  <c r="AM12" i="5"/>
  <c r="AI12" i="5"/>
  <c r="AE12" i="5"/>
  <c r="AA12" i="5"/>
  <c r="W12" i="5"/>
  <c r="S12" i="5"/>
  <c r="O12" i="5"/>
  <c r="K12" i="5"/>
  <c r="G12" i="5"/>
  <c r="B12" i="5"/>
  <c r="BK8" i="5"/>
  <c r="BG8" i="5"/>
  <c r="BC8" i="5"/>
  <c r="AY8" i="5"/>
  <c r="AU8" i="5"/>
  <c r="AQ8" i="5"/>
  <c r="AM8" i="5"/>
  <c r="AI8" i="5"/>
  <c r="AE8" i="5"/>
  <c r="AA8" i="5"/>
  <c r="W8" i="5"/>
  <c r="S8" i="5"/>
  <c r="O8" i="5"/>
  <c r="K8" i="5"/>
  <c r="G8" i="5"/>
  <c r="B8" i="5"/>
  <c r="BK7" i="5"/>
  <c r="BG7" i="5"/>
  <c r="BC7" i="5"/>
  <c r="AY7" i="5"/>
  <c r="AU7" i="5"/>
  <c r="AQ7" i="5"/>
  <c r="AM7" i="5"/>
  <c r="AI7" i="5"/>
  <c r="AE7" i="5"/>
  <c r="AA7" i="5"/>
  <c r="W7" i="5"/>
  <c r="S7" i="5"/>
  <c r="O7" i="5"/>
  <c r="K7" i="5"/>
  <c r="G7" i="5"/>
  <c r="B7" i="5"/>
  <c r="BK6" i="5"/>
  <c r="BG6" i="5"/>
  <c r="BC6" i="5"/>
  <c r="AY6" i="5"/>
  <c r="AU6" i="5"/>
  <c r="AQ6" i="5"/>
  <c r="AM6" i="5"/>
  <c r="AI6" i="5"/>
  <c r="AE6" i="5"/>
  <c r="AA6" i="5"/>
  <c r="W6" i="5"/>
  <c r="S6" i="5"/>
  <c r="O6" i="5"/>
  <c r="K6" i="5"/>
  <c r="G6" i="5"/>
  <c r="B6" i="5"/>
  <c r="BK5" i="5"/>
  <c r="BG5" i="5"/>
  <c r="BC5" i="5"/>
  <c r="AY5" i="5"/>
  <c r="AU5" i="5"/>
  <c r="AQ5" i="5"/>
  <c r="AM5" i="5"/>
  <c r="AI5" i="5"/>
  <c r="AE5" i="5"/>
  <c r="AA5" i="5"/>
  <c r="W5" i="5"/>
  <c r="S5" i="5"/>
  <c r="O5" i="5"/>
  <c r="K5" i="5"/>
  <c r="G5" i="5"/>
  <c r="B5" i="5"/>
  <c r="BK4" i="5"/>
  <c r="BG4" i="5"/>
  <c r="BC4" i="5"/>
  <c r="AY4" i="5"/>
  <c r="AU4" i="5"/>
  <c r="AQ4" i="5"/>
  <c r="AM4" i="5"/>
  <c r="AI4" i="5"/>
  <c r="AE4" i="5"/>
  <c r="AA4" i="5"/>
  <c r="W4" i="5"/>
  <c r="S4" i="5"/>
  <c r="O4" i="5"/>
  <c r="K4" i="5"/>
  <c r="G4" i="5"/>
  <c r="B4" i="5"/>
  <c r="BK3" i="5"/>
  <c r="BG3" i="5"/>
  <c r="BC3" i="5"/>
  <c r="AY3" i="5"/>
  <c r="AU3" i="5"/>
  <c r="AQ3" i="5"/>
  <c r="AM3" i="5"/>
  <c r="AI3" i="5"/>
  <c r="AE3" i="5"/>
  <c r="AA3" i="5"/>
  <c r="W3" i="5"/>
  <c r="S3" i="5"/>
  <c r="O3" i="5"/>
  <c r="K3" i="5"/>
  <c r="G3" i="5"/>
  <c r="B3" i="5"/>
  <c r="BK2" i="5"/>
  <c r="BG2" i="5"/>
  <c r="BC2" i="5"/>
  <c r="AY2" i="5"/>
  <c r="AU2" i="5"/>
  <c r="AQ2" i="5"/>
  <c r="AM2" i="5"/>
  <c r="AI2" i="5"/>
  <c r="AE2" i="5"/>
  <c r="AA2" i="5"/>
  <c r="W2" i="5"/>
  <c r="S2" i="5"/>
  <c r="O2" i="5"/>
  <c r="K2" i="5"/>
  <c r="G2" i="5"/>
  <c r="E695" i="5" l="1"/>
  <c r="E704" i="5"/>
  <c r="E679" i="5"/>
  <c r="E693" i="5"/>
  <c r="E696" i="5"/>
  <c r="E701" i="5"/>
  <c r="E678" i="5"/>
  <c r="E681" i="5"/>
  <c r="E685" i="5"/>
  <c r="E689" i="5"/>
  <c r="E692" i="5"/>
  <c r="E26" i="5"/>
  <c r="E33" i="5"/>
  <c r="E40" i="5"/>
  <c r="E44" i="5"/>
  <c r="E51" i="5"/>
  <c r="E53" i="5"/>
  <c r="E74" i="5"/>
  <c r="E85" i="5"/>
  <c r="E96" i="5"/>
  <c r="K95" i="13" s="1"/>
  <c r="E132" i="5"/>
  <c r="K131" i="13" s="1"/>
  <c r="E145" i="5"/>
  <c r="K144" i="13" s="1"/>
  <c r="E172" i="5"/>
  <c r="E182" i="5"/>
  <c r="E190" i="5"/>
  <c r="E238" i="5"/>
  <c r="E246" i="5"/>
  <c r="E253" i="5"/>
  <c r="E261" i="5"/>
  <c r="E268" i="5"/>
  <c r="E325" i="5"/>
  <c r="E333" i="5"/>
  <c r="E341" i="5"/>
  <c r="E349" i="5"/>
  <c r="E357" i="5"/>
  <c r="E362" i="5"/>
  <c r="E370" i="5"/>
  <c r="E390" i="5"/>
  <c r="E398" i="5"/>
  <c r="E406" i="5"/>
  <c r="E414" i="5"/>
  <c r="E422" i="5"/>
  <c r="E438" i="5"/>
  <c r="E446" i="5"/>
  <c r="E464" i="5"/>
  <c r="E472" i="5"/>
  <c r="E480" i="5"/>
  <c r="E488" i="5"/>
  <c r="E532" i="5"/>
  <c r="E543" i="5"/>
  <c r="E551" i="5"/>
  <c r="E556" i="5"/>
  <c r="E558" i="5"/>
  <c r="E560" i="5"/>
  <c r="E562" i="5"/>
  <c r="E564" i="5"/>
  <c r="E566" i="5"/>
  <c r="E568" i="5"/>
  <c r="E680" i="5"/>
  <c r="E684" i="5"/>
  <c r="E688" i="5"/>
  <c r="E694" i="5"/>
  <c r="E97" i="5"/>
  <c r="K96" i="13" s="1"/>
  <c r="E175" i="5"/>
  <c r="E163" i="5"/>
  <c r="E234" i="5"/>
  <c r="E537" i="5"/>
  <c r="E86" i="5"/>
  <c r="K85" i="13" s="1"/>
  <c r="E181" i="5"/>
  <c r="E252" i="5"/>
  <c r="E260" i="5"/>
  <c r="E375" i="5"/>
  <c r="E427" i="5"/>
  <c r="E461" i="5"/>
  <c r="E477" i="5"/>
  <c r="E485" i="5"/>
  <c r="E493" i="5"/>
  <c r="E548" i="5"/>
  <c r="E50" i="5"/>
  <c r="E171" i="5"/>
  <c r="E411" i="5"/>
  <c r="E115" i="5"/>
  <c r="K114" i="13" s="1"/>
  <c r="E173" i="5"/>
  <c r="E430" i="5"/>
  <c r="E106" i="5"/>
  <c r="K105" i="13" s="1"/>
  <c r="E121" i="5"/>
  <c r="K120" i="13" s="1"/>
  <c r="E189" i="5"/>
  <c r="E267" i="5"/>
  <c r="E338" i="5"/>
  <c r="E354" i="5"/>
  <c r="E382" i="5"/>
  <c r="E387" i="5"/>
  <c r="E419" i="5"/>
  <c r="E435" i="5"/>
  <c r="E443" i="5"/>
  <c r="E469" i="5"/>
  <c r="E79" i="5"/>
  <c r="K78" i="13" s="1"/>
  <c r="E90" i="5"/>
  <c r="K89" i="13" s="1"/>
  <c r="E104" i="5"/>
  <c r="K103" i="13" s="1"/>
  <c r="E167" i="5"/>
  <c r="E161" i="5"/>
  <c r="E113" i="5"/>
  <c r="K112" i="13" s="1"/>
  <c r="E125" i="5"/>
  <c r="K124" i="13" s="1"/>
  <c r="E194" i="5"/>
  <c r="E330" i="5"/>
  <c r="E346" i="5"/>
  <c r="E367" i="5"/>
  <c r="E395" i="5"/>
  <c r="E403" i="5"/>
  <c r="E108" i="5"/>
  <c r="K107" i="13" s="1"/>
  <c r="E123" i="5"/>
  <c r="K122" i="13" s="1"/>
  <c r="E730" i="5"/>
  <c r="E732" i="5"/>
  <c r="E734" i="5"/>
  <c r="E736" i="5"/>
  <c r="E738" i="5"/>
  <c r="E740" i="5"/>
  <c r="E742" i="5"/>
  <c r="E744" i="5"/>
  <c r="E746" i="5"/>
  <c r="E748" i="5"/>
  <c r="E750" i="5"/>
  <c r="E752" i="5"/>
  <c r="E754" i="5"/>
  <c r="E756" i="5"/>
  <c r="E758" i="5"/>
  <c r="E760" i="5"/>
  <c r="E762" i="5"/>
  <c r="E764" i="5"/>
  <c r="E766" i="5"/>
  <c r="E768" i="5"/>
  <c r="E770" i="5"/>
  <c r="E772" i="5"/>
  <c r="E774" i="5"/>
  <c r="E776" i="5"/>
  <c r="E778" i="5"/>
  <c r="E780" i="5"/>
  <c r="E782" i="5"/>
  <c r="E784" i="5"/>
  <c r="E786" i="5"/>
  <c r="E788" i="5"/>
  <c r="E790" i="5"/>
  <c r="E792" i="5"/>
  <c r="E794" i="5"/>
  <c r="E25" i="5"/>
  <c r="E61" i="5"/>
  <c r="E63" i="5"/>
  <c r="E73" i="5"/>
  <c r="E76" i="5"/>
  <c r="E98" i="5"/>
  <c r="K97" i="13" s="1"/>
  <c r="E133" i="5"/>
  <c r="K132" i="13" s="1"/>
  <c r="E139" i="5"/>
  <c r="K138" i="13" s="1"/>
  <c r="E146" i="5"/>
  <c r="K145" i="13" s="1"/>
  <c r="E170" i="5"/>
  <c r="E188" i="5"/>
  <c r="E245" i="5"/>
  <c r="E251" i="5"/>
  <c r="E259" i="5"/>
  <c r="E335" i="5"/>
  <c r="E343" i="5"/>
  <c r="E351" i="5"/>
  <c r="E364" i="5"/>
  <c r="E372" i="5"/>
  <c r="E377" i="5"/>
  <c r="E379" i="5"/>
  <c r="E416" i="5"/>
  <c r="E440" i="5"/>
  <c r="E466" i="5"/>
  <c r="E474" i="5"/>
  <c r="E490" i="5"/>
  <c r="E534" i="5"/>
  <c r="E570" i="5"/>
  <c r="E663" i="5"/>
  <c r="E667" i="5"/>
  <c r="E671" i="5"/>
  <c r="E77" i="5"/>
  <c r="K76" i="13" s="1"/>
  <c r="E88" i="5"/>
  <c r="K87" i="13" s="1"/>
  <c r="E99" i="5"/>
  <c r="K98" i="13" s="1"/>
  <c r="E107" i="5"/>
  <c r="K106" i="13" s="1"/>
  <c r="E114" i="5"/>
  <c r="K113" i="13" s="1"/>
  <c r="E122" i="5"/>
  <c r="K121" i="13" s="1"/>
  <c r="E126" i="5"/>
  <c r="K125" i="13" s="1"/>
  <c r="E169" i="5"/>
  <c r="E174" i="5"/>
  <c r="E177" i="5"/>
  <c r="E162" i="5"/>
  <c r="E179" i="5"/>
  <c r="E187" i="5"/>
  <c r="E193" i="5"/>
  <c r="E233" i="5"/>
  <c r="E244" i="5"/>
  <c r="E258" i="5"/>
  <c r="E265" i="5"/>
  <c r="E324" i="5"/>
  <c r="E332" i="5"/>
  <c r="E340" i="5"/>
  <c r="E348" i="5"/>
  <c r="E356" i="5"/>
  <c r="E369" i="5"/>
  <c r="E389" i="5"/>
  <c r="E397" i="5"/>
  <c r="E405" i="5"/>
  <c r="E413" i="5"/>
  <c r="E421" i="5"/>
  <c r="E429" i="5"/>
  <c r="E437" i="5"/>
  <c r="E445" i="5"/>
  <c r="E463" i="5"/>
  <c r="E471" i="5"/>
  <c r="E479" i="5"/>
  <c r="E487" i="5"/>
  <c r="E531" i="5"/>
  <c r="E539" i="5"/>
  <c r="E550" i="5"/>
  <c r="E32" i="5"/>
  <c r="E36" i="5"/>
  <c r="E43" i="5"/>
  <c r="E59" i="5"/>
  <c r="E68" i="5"/>
  <c r="E87" i="5"/>
  <c r="K86" i="13" s="1"/>
  <c r="E180" i="5"/>
  <c r="E266" i="5"/>
  <c r="E327" i="5"/>
  <c r="E359" i="5"/>
  <c r="E384" i="5"/>
  <c r="E392" i="5"/>
  <c r="E400" i="5"/>
  <c r="E408" i="5"/>
  <c r="E424" i="5"/>
  <c r="E432" i="5"/>
  <c r="E458" i="5"/>
  <c r="E482" i="5"/>
  <c r="E545" i="5"/>
  <c r="E553" i="5"/>
  <c r="E661" i="5"/>
  <c r="E665" i="5"/>
  <c r="E669" i="5"/>
  <c r="E673" i="5"/>
  <c r="E2" i="5"/>
  <c r="F2" i="5" s="1"/>
  <c r="E3" i="5"/>
  <c r="E4" i="5"/>
  <c r="E5" i="5"/>
  <c r="E6" i="5"/>
  <c r="E7" i="5"/>
  <c r="E8" i="5"/>
  <c r="E12" i="5"/>
  <c r="E13" i="5"/>
  <c r="E14" i="5"/>
  <c r="E15" i="5"/>
  <c r="E16" i="5"/>
  <c r="E17" i="5"/>
  <c r="E18" i="5"/>
  <c r="E22" i="5"/>
  <c r="E23" i="5"/>
  <c r="E24" i="5"/>
  <c r="E31" i="5"/>
  <c r="E35" i="5"/>
  <c r="E42" i="5"/>
  <c r="E49" i="5"/>
  <c r="E52" i="5"/>
  <c r="E54" i="5"/>
  <c r="E78" i="5"/>
  <c r="K77" i="13" s="1"/>
  <c r="E89" i="5"/>
  <c r="K88" i="13" s="1"/>
  <c r="E103" i="5"/>
  <c r="K102" i="13" s="1"/>
  <c r="E130" i="5"/>
  <c r="K129" i="13" s="1"/>
  <c r="E134" i="5"/>
  <c r="K133" i="13" s="1"/>
  <c r="E140" i="5"/>
  <c r="K139" i="13" s="1"/>
  <c r="E147" i="5"/>
  <c r="K146" i="13" s="1"/>
  <c r="E168" i="5"/>
  <c r="E178" i="5"/>
  <c r="E186" i="5"/>
  <c r="E241" i="5"/>
  <c r="E250" i="5"/>
  <c r="E257" i="5"/>
  <c r="E264" i="5"/>
  <c r="E329" i="5"/>
  <c r="E337" i="5"/>
  <c r="E345" i="5"/>
  <c r="E353" i="5"/>
  <c r="E361" i="5"/>
  <c r="E366" i="5"/>
  <c r="E374" i="5"/>
  <c r="E381" i="5"/>
  <c r="E386" i="5"/>
  <c r="E394" i="5"/>
  <c r="E402" i="5"/>
  <c r="E410" i="5"/>
  <c r="E418" i="5"/>
  <c r="E426" i="5"/>
  <c r="E434" i="5"/>
  <c r="E442" i="5"/>
  <c r="E460" i="5"/>
  <c r="E468" i="5"/>
  <c r="E476" i="5"/>
  <c r="E484" i="5"/>
  <c r="E492" i="5"/>
  <c r="E536" i="5"/>
  <c r="E547" i="5"/>
  <c r="E555" i="5"/>
  <c r="E557" i="5"/>
  <c r="E559" i="5"/>
  <c r="E561" i="5"/>
  <c r="E563" i="5"/>
  <c r="E565" i="5"/>
  <c r="E567" i="5"/>
  <c r="E676" i="5"/>
  <c r="E682" i="5"/>
  <c r="E686" i="5"/>
  <c r="E690" i="5"/>
  <c r="E256" i="5"/>
  <c r="E270" i="5"/>
  <c r="E334" i="5"/>
  <c r="E371" i="5"/>
  <c r="E399" i="5"/>
  <c r="E431" i="5"/>
  <c r="E489" i="5"/>
  <c r="E711" i="5"/>
  <c r="E719" i="5"/>
  <c r="E725" i="5"/>
  <c r="E733" i="5"/>
  <c r="E739" i="5"/>
  <c r="E741" i="5"/>
  <c r="E743" i="5"/>
  <c r="E749" i="5"/>
  <c r="E751" i="5"/>
  <c r="E753" i="5"/>
  <c r="E755" i="5"/>
  <c r="E757" i="5"/>
  <c r="E759" i="5"/>
  <c r="E761" i="5"/>
  <c r="E763" i="5"/>
  <c r="E765" i="5"/>
  <c r="E767" i="5"/>
  <c r="E769" i="5"/>
  <c r="E771" i="5"/>
  <c r="E773" i="5"/>
  <c r="E775" i="5"/>
  <c r="E777" i="5"/>
  <c r="E779" i="5"/>
  <c r="E781" i="5"/>
  <c r="E783" i="5"/>
  <c r="E785" i="5"/>
  <c r="E787" i="5"/>
  <c r="E789" i="5"/>
  <c r="E791" i="5"/>
  <c r="E793" i="5"/>
  <c r="E185" i="5"/>
  <c r="E237" i="5"/>
  <c r="E326" i="5"/>
  <c r="E342" i="5"/>
  <c r="E358" i="5"/>
  <c r="E423" i="5"/>
  <c r="E481" i="5"/>
  <c r="E544" i="5"/>
  <c r="E552" i="5"/>
  <c r="E705" i="5"/>
  <c r="E713" i="5"/>
  <c r="E721" i="5"/>
  <c r="E727" i="5"/>
  <c r="E735" i="5"/>
  <c r="E745" i="5"/>
  <c r="E27" i="5"/>
  <c r="E41" i="5"/>
  <c r="E240" i="5"/>
  <c r="E248" i="5"/>
  <c r="E255" i="5"/>
  <c r="E263" i="5"/>
  <c r="E269" i="5"/>
  <c r="E331" i="5"/>
  <c r="E339" i="5"/>
  <c r="E347" i="5"/>
  <c r="E355" i="5"/>
  <c r="E368" i="5"/>
  <c r="E378" i="5"/>
  <c r="E388" i="5"/>
  <c r="E396" i="5"/>
  <c r="E404" i="5"/>
  <c r="E412" i="5"/>
  <c r="E420" i="5"/>
  <c r="E428" i="5"/>
  <c r="E436" i="5"/>
  <c r="E444" i="5"/>
  <c r="E462" i="5"/>
  <c r="E470" i="5"/>
  <c r="E478" i="5"/>
  <c r="E486" i="5"/>
  <c r="E494" i="5"/>
  <c r="E538" i="5"/>
  <c r="E549" i="5"/>
  <c r="E660" i="5"/>
  <c r="E662" i="5"/>
  <c r="E664" i="5"/>
  <c r="E666" i="5"/>
  <c r="E668" i="5"/>
  <c r="E670" i="5"/>
  <c r="E672" i="5"/>
  <c r="E674" i="5"/>
  <c r="E683" i="5"/>
  <c r="E687" i="5"/>
  <c r="E165" i="5"/>
  <c r="E192" i="5"/>
  <c r="E196" i="5"/>
  <c r="E249" i="5"/>
  <c r="E350" i="5"/>
  <c r="E363" i="5"/>
  <c r="E376" i="5"/>
  <c r="E383" i="5"/>
  <c r="E391" i="5"/>
  <c r="E407" i="5"/>
  <c r="E415" i="5"/>
  <c r="E439" i="5"/>
  <c r="E447" i="5"/>
  <c r="E465" i="5"/>
  <c r="E473" i="5"/>
  <c r="E533" i="5"/>
  <c r="E569" i="5"/>
  <c r="E707" i="5"/>
  <c r="E709" i="5"/>
  <c r="E715" i="5"/>
  <c r="E717" i="5"/>
  <c r="E723" i="5"/>
  <c r="E729" i="5"/>
  <c r="E731" i="5"/>
  <c r="E737" i="5"/>
  <c r="E747" i="5"/>
  <c r="E34" i="5"/>
  <c r="E45" i="5"/>
  <c r="E58" i="5"/>
  <c r="E60" i="5"/>
  <c r="E62" i="5"/>
  <c r="E67" i="5"/>
  <c r="E69" i="5"/>
  <c r="E75" i="5"/>
  <c r="E80" i="5"/>
  <c r="K79" i="13" s="1"/>
  <c r="E94" i="5"/>
  <c r="K93" i="13" s="1"/>
  <c r="E131" i="5"/>
  <c r="K130" i="13" s="1"/>
  <c r="E135" i="5"/>
  <c r="K134" i="13" s="1"/>
  <c r="E141" i="5"/>
  <c r="K140" i="13" s="1"/>
  <c r="E166" i="5"/>
  <c r="E184" i="5"/>
  <c r="E81" i="5"/>
  <c r="K80" i="13" s="1"/>
  <c r="E95" i="5"/>
  <c r="K94" i="13" s="1"/>
  <c r="E105" i="5"/>
  <c r="K104" i="13" s="1"/>
  <c r="E112" i="5"/>
  <c r="K111" i="13" s="1"/>
  <c r="E116" i="5"/>
  <c r="K115" i="13" s="1"/>
  <c r="E124" i="5"/>
  <c r="K123" i="13" s="1"/>
  <c r="E176" i="5"/>
  <c r="E160" i="5"/>
  <c r="E164" i="5"/>
  <c r="E183" i="5"/>
  <c r="E191" i="5"/>
  <c r="E195" i="5"/>
  <c r="E235" i="5"/>
  <c r="E247" i="5"/>
  <c r="E254" i="5"/>
  <c r="E262" i="5"/>
  <c r="E328" i="5"/>
  <c r="E336" i="5"/>
  <c r="E344" i="5"/>
  <c r="E352" i="5"/>
  <c r="E360" i="5"/>
  <c r="E365" i="5"/>
  <c r="E373" i="5"/>
  <c r="E380" i="5"/>
  <c r="E385" i="5"/>
  <c r="E393" i="5"/>
  <c r="E401" i="5"/>
  <c r="E409" i="5"/>
  <c r="E417" i="5"/>
  <c r="E425" i="5"/>
  <c r="E433" i="5"/>
  <c r="E441" i="5"/>
  <c r="E459" i="5"/>
  <c r="E467" i="5"/>
  <c r="E475" i="5"/>
  <c r="E483" i="5"/>
  <c r="E491" i="5"/>
  <c r="E535" i="5"/>
  <c r="E546" i="5"/>
  <c r="E554" i="5"/>
  <c r="E677" i="5"/>
  <c r="E691" i="5"/>
  <c r="E697" i="5"/>
  <c r="E702" i="5"/>
  <c r="K75" i="13"/>
  <c r="B307" i="13"/>
  <c r="B317" i="13"/>
  <c r="B12" i="13"/>
  <c r="B5" i="13"/>
  <c r="B53" i="13"/>
  <c r="B102" i="13"/>
  <c r="B62" i="13"/>
  <c r="B97" i="13"/>
  <c r="B103" i="13"/>
  <c r="B35" i="13"/>
  <c r="B138" i="13"/>
  <c r="B85" i="13"/>
  <c r="B6" i="13"/>
  <c r="B73" i="13"/>
  <c r="B77" i="13"/>
  <c r="B15" i="13"/>
  <c r="B3" i="13"/>
  <c r="B50" i="13"/>
  <c r="B78" i="13"/>
  <c r="B30" i="13"/>
  <c r="B315" i="13"/>
  <c r="B24" i="13"/>
  <c r="B106" i="13"/>
  <c r="B31" i="13"/>
  <c r="B52" i="13"/>
  <c r="B300" i="13"/>
  <c r="B49" i="13"/>
  <c r="B84" i="13"/>
  <c r="B87" i="13"/>
  <c r="B112" i="13"/>
  <c r="B120" i="13"/>
  <c r="B123" i="13"/>
  <c r="B145" i="13"/>
  <c r="B25" i="13"/>
  <c r="B299" i="13"/>
  <c r="B34" i="13"/>
  <c r="B40" i="13"/>
  <c r="B96" i="13"/>
  <c r="B125" i="13"/>
  <c r="B314" i="13"/>
  <c r="B75" i="13"/>
  <c r="B316" i="13"/>
  <c r="B21" i="13"/>
  <c r="B68" i="13"/>
  <c r="B113" i="13"/>
  <c r="B129" i="13"/>
  <c r="B133" i="13"/>
  <c r="B139" i="13"/>
  <c r="B302" i="13"/>
  <c r="B306" i="13"/>
  <c r="B310" i="13"/>
  <c r="B2" i="13"/>
  <c r="B115" i="13"/>
  <c r="B308" i="13"/>
  <c r="B43" i="13"/>
  <c r="B93" i="13"/>
  <c r="B16" i="13"/>
  <c r="B41" i="13"/>
  <c r="B66" i="13"/>
  <c r="B88" i="13"/>
  <c r="B7" i="13"/>
  <c r="B32" i="13"/>
  <c r="B57" i="13"/>
  <c r="B79" i="13"/>
  <c r="B104" i="13"/>
  <c r="B111" i="13"/>
  <c r="B114" i="13"/>
  <c r="B124" i="13"/>
  <c r="B140" i="13"/>
  <c r="B150" i="13"/>
  <c r="B152" i="13"/>
  <c r="K84" i="13"/>
  <c r="K116" i="13"/>
  <c r="F268" i="5" l="1"/>
  <c r="F166" i="5"/>
  <c r="F250" i="5"/>
  <c r="F264" i="5"/>
  <c r="F253" i="5"/>
  <c r="F669" i="5"/>
  <c r="F425" i="5"/>
  <c r="F359" i="5"/>
  <c r="F549" i="5"/>
  <c r="F355" i="5"/>
  <c r="F444" i="5"/>
  <c r="F380" i="5"/>
  <c r="F536" i="5"/>
  <c r="F463" i="5"/>
  <c r="F556" i="5"/>
  <c r="F447" i="5"/>
  <c r="F383" i="5"/>
  <c r="F325" i="5"/>
  <c r="F394" i="5"/>
  <c r="F397" i="5"/>
  <c r="F552" i="5"/>
  <c r="F440" i="5"/>
  <c r="F374" i="5"/>
  <c r="F565" i="5"/>
  <c r="F493" i="5"/>
  <c r="F419" i="5"/>
  <c r="F353" i="5"/>
  <c r="F668" i="5"/>
  <c r="F542" i="5"/>
  <c r="F422" i="5"/>
  <c r="F356" i="5"/>
  <c r="F181" i="5"/>
  <c r="F247" i="5"/>
  <c r="F248" i="5"/>
  <c r="F164" i="5"/>
  <c r="F235" i="5"/>
  <c r="F234" i="5"/>
  <c r="F262" i="5"/>
  <c r="F256" i="5"/>
  <c r="F667" i="5"/>
  <c r="F491" i="5"/>
  <c r="F417" i="5"/>
  <c r="F351" i="5"/>
  <c r="F487" i="5"/>
  <c r="F548" i="5"/>
  <c r="F436" i="5"/>
  <c r="F370" i="5"/>
  <c r="F484" i="5"/>
  <c r="F413" i="5"/>
  <c r="F551" i="5"/>
  <c r="F439" i="5"/>
  <c r="F378" i="5"/>
  <c r="F492" i="5"/>
  <c r="F352" i="5"/>
  <c r="F389" i="5"/>
  <c r="F544" i="5"/>
  <c r="F432" i="5"/>
  <c r="F366" i="5"/>
  <c r="F563" i="5"/>
  <c r="F485" i="5"/>
  <c r="F411" i="5"/>
  <c r="F345" i="5"/>
  <c r="F666" i="5"/>
  <c r="F532" i="5"/>
  <c r="F414" i="5"/>
  <c r="F348" i="5"/>
  <c r="F238" i="5"/>
  <c r="F195" i="5"/>
  <c r="F7" i="5"/>
  <c r="F196" i="5"/>
  <c r="F162" i="5"/>
  <c r="F252" i="5"/>
  <c r="F263" i="5"/>
  <c r="F661" i="5"/>
  <c r="F467" i="5"/>
  <c r="F393" i="5"/>
  <c r="F327" i="5"/>
  <c r="F429" i="5"/>
  <c r="F486" i="5"/>
  <c r="F412" i="5"/>
  <c r="F346" i="5"/>
  <c r="F368" i="5"/>
  <c r="F564" i="5"/>
  <c r="F489" i="5"/>
  <c r="F415" i="5"/>
  <c r="F357" i="5"/>
  <c r="F426" i="5"/>
  <c r="F531" i="5"/>
  <c r="F347" i="5"/>
  <c r="F482" i="5"/>
  <c r="F408" i="5"/>
  <c r="F342" i="5"/>
  <c r="F557" i="5"/>
  <c r="F461" i="5"/>
  <c r="F387" i="5"/>
  <c r="F438" i="5"/>
  <c r="F660" i="5"/>
  <c r="F472" i="5"/>
  <c r="F382" i="5"/>
  <c r="F324" i="5"/>
  <c r="F269" i="5"/>
  <c r="F245" i="5"/>
  <c r="F4" i="5"/>
  <c r="F167" i="5"/>
  <c r="F237" i="5"/>
  <c r="F186" i="5"/>
  <c r="F260" i="5"/>
  <c r="F475" i="5"/>
  <c r="F335" i="5"/>
  <c r="F494" i="5"/>
  <c r="F354" i="5"/>
  <c r="F566" i="5"/>
  <c r="F423" i="5"/>
  <c r="F460" i="5"/>
  <c r="F490" i="5"/>
  <c r="F350" i="5"/>
  <c r="F469" i="5"/>
  <c r="F662" i="5"/>
  <c r="F249" i="5"/>
  <c r="F165" i="5"/>
  <c r="F171" i="5"/>
  <c r="F241" i="5"/>
  <c r="F244" i="5"/>
  <c r="F160" i="5"/>
  <c r="F187" i="5"/>
  <c r="F178" i="5"/>
  <c r="F259" i="5"/>
  <c r="F251" i="5"/>
  <c r="F665" i="5"/>
  <c r="F483" i="5"/>
  <c r="F409" i="5"/>
  <c r="F343" i="5"/>
  <c r="F479" i="5"/>
  <c r="F538" i="5"/>
  <c r="F428" i="5"/>
  <c r="F362" i="5"/>
  <c r="F442" i="5"/>
  <c r="F568" i="5"/>
  <c r="F543" i="5"/>
  <c r="F431" i="5"/>
  <c r="F373" i="5"/>
  <c r="F476" i="5"/>
  <c r="F344" i="5"/>
  <c r="F376" i="5"/>
  <c r="F534" i="5"/>
  <c r="F424" i="5"/>
  <c r="F358" i="5"/>
  <c r="F561" i="5"/>
  <c r="F477" i="5"/>
  <c r="F403" i="5"/>
  <c r="F337" i="5"/>
  <c r="F664" i="5"/>
  <c r="F488" i="5"/>
  <c r="F406" i="5"/>
  <c r="F340" i="5"/>
  <c r="F233" i="5"/>
  <c r="F5" i="5"/>
  <c r="F191" i="5"/>
  <c r="F182" i="5"/>
  <c r="F192" i="5"/>
  <c r="F6" i="5"/>
  <c r="F246" i="5"/>
  <c r="F265" i="5"/>
  <c r="F258" i="5"/>
  <c r="F570" i="5"/>
  <c r="F459" i="5"/>
  <c r="F385" i="5"/>
  <c r="F554" i="5"/>
  <c r="F405" i="5"/>
  <c r="F478" i="5"/>
  <c r="F404" i="5"/>
  <c r="F338" i="5"/>
  <c r="F360" i="5"/>
  <c r="F562" i="5"/>
  <c r="F481" i="5"/>
  <c r="F407" i="5"/>
  <c r="F349" i="5"/>
  <c r="F418" i="5"/>
  <c r="F445" i="5"/>
  <c r="F339" i="5"/>
  <c r="F474" i="5"/>
  <c r="F400" i="5"/>
  <c r="F334" i="5"/>
  <c r="F555" i="5"/>
  <c r="F443" i="5"/>
  <c r="F379" i="5"/>
  <c r="F674" i="5"/>
  <c r="F464" i="5"/>
  <c r="F377" i="5"/>
  <c r="F161" i="5"/>
  <c r="F169" i="5"/>
  <c r="F179" i="5"/>
  <c r="F254" i="5"/>
  <c r="F663" i="5"/>
  <c r="F401" i="5"/>
  <c r="F471" i="5"/>
  <c r="F420" i="5"/>
  <c r="F434" i="5"/>
  <c r="F533" i="5"/>
  <c r="F365" i="5"/>
  <c r="F539" i="5"/>
  <c r="F363" i="5"/>
  <c r="F416" i="5"/>
  <c r="F559" i="5"/>
  <c r="F395" i="5"/>
  <c r="F329" i="5"/>
  <c r="F480" i="5"/>
  <c r="F390" i="5"/>
  <c r="F332" i="5"/>
  <c r="F193" i="5"/>
  <c r="F170" i="5"/>
  <c r="F183" i="5"/>
  <c r="F188" i="5"/>
  <c r="F168" i="5"/>
  <c r="F270" i="5"/>
  <c r="F240" i="5"/>
  <c r="F266" i="5"/>
  <c r="F261" i="5"/>
  <c r="F257" i="5"/>
  <c r="F673" i="5"/>
  <c r="F553" i="5"/>
  <c r="F441" i="5"/>
  <c r="F375" i="5"/>
  <c r="F468" i="5"/>
  <c r="F381" i="5"/>
  <c r="F470" i="5"/>
  <c r="F396" i="5"/>
  <c r="F330" i="5"/>
  <c r="F336" i="5"/>
  <c r="F560" i="5"/>
  <c r="F473" i="5"/>
  <c r="F399" i="5"/>
  <c r="F341" i="5"/>
  <c r="F410" i="5"/>
  <c r="F437" i="5"/>
  <c r="F331" i="5"/>
  <c r="F466" i="5"/>
  <c r="F392" i="5"/>
  <c r="F326" i="5"/>
  <c r="F547" i="5"/>
  <c r="F435" i="5"/>
  <c r="F369" i="5"/>
  <c r="F672" i="5"/>
  <c r="F398" i="5"/>
  <c r="F446" i="5"/>
  <c r="F372" i="5"/>
  <c r="F189" i="5"/>
  <c r="F163" i="5"/>
  <c r="F3" i="5"/>
  <c r="F184" i="5"/>
  <c r="F194" i="5"/>
  <c r="F190" i="5"/>
  <c r="F267" i="5"/>
  <c r="F255" i="5"/>
  <c r="F671" i="5"/>
  <c r="F545" i="5"/>
  <c r="F433" i="5"/>
  <c r="F367" i="5"/>
  <c r="F386" i="5"/>
  <c r="F371" i="5"/>
  <c r="F462" i="5"/>
  <c r="F388" i="5"/>
  <c r="F546" i="5"/>
  <c r="F328" i="5"/>
  <c r="F558" i="5"/>
  <c r="F465" i="5"/>
  <c r="F391" i="5"/>
  <c r="F333" i="5"/>
  <c r="F402" i="5"/>
  <c r="F421" i="5"/>
  <c r="F569" i="5"/>
  <c r="F458" i="5"/>
  <c r="F384" i="5"/>
  <c r="F567" i="5"/>
  <c r="F537" i="5"/>
  <c r="F427" i="5"/>
  <c r="F361" i="5"/>
  <c r="F670" i="5"/>
  <c r="F550" i="5"/>
  <c r="F430" i="5"/>
  <c r="F364" i="5"/>
  <c r="F185" i="5"/>
  <c r="F12" i="5"/>
  <c r="F180" i="5"/>
  <c r="F8" i="5"/>
  <c r="F535" i="5"/>
  <c r="K14" i="13"/>
  <c r="D194" i="5"/>
  <c r="D339" i="5"/>
  <c r="K50" i="13"/>
  <c r="K58" i="13"/>
  <c r="K57" i="13"/>
  <c r="D553" i="5"/>
  <c r="D369" i="5"/>
  <c r="K51" i="13"/>
  <c r="D545" i="5"/>
  <c r="D421" i="5"/>
  <c r="D567" i="5"/>
  <c r="K49" i="13"/>
  <c r="K73" i="13"/>
  <c r="D178" i="5"/>
  <c r="K61" i="13"/>
  <c r="D535" i="5"/>
  <c r="D425" i="5"/>
  <c r="D549" i="5"/>
  <c r="D355" i="5"/>
  <c r="D463" i="5"/>
  <c r="D397" i="5"/>
  <c r="D190" i="5"/>
  <c r="K74" i="13"/>
  <c r="D244" i="5"/>
  <c r="D262" i="5"/>
  <c r="K16" i="13"/>
  <c r="D413" i="5"/>
  <c r="D192" i="5"/>
  <c r="K17" i="13"/>
  <c r="K59" i="13"/>
  <c r="K12" i="13"/>
  <c r="D483" i="5"/>
  <c r="D409" i="5"/>
  <c r="D479" i="5"/>
  <c r="D373" i="5"/>
  <c r="D385" i="5"/>
  <c r="D441" i="5"/>
  <c r="D331" i="5"/>
  <c r="K60" i="13"/>
  <c r="K53" i="13"/>
  <c r="D234" i="5"/>
  <c r="D186" i="5"/>
  <c r="D254" i="5"/>
  <c r="D417" i="5"/>
  <c r="D389" i="5"/>
  <c r="D193" i="5"/>
  <c r="K68" i="13"/>
  <c r="K13" i="13"/>
  <c r="K52" i="13"/>
  <c r="D246" i="5"/>
  <c r="D258" i="5"/>
  <c r="D475" i="5"/>
  <c r="D401" i="5"/>
  <c r="D471" i="5"/>
  <c r="D365" i="5"/>
  <c r="D539" i="5"/>
  <c r="D363" i="5"/>
  <c r="D559" i="5"/>
  <c r="K62" i="13"/>
  <c r="D459" i="5"/>
  <c r="D405" i="5"/>
  <c r="D445" i="5"/>
  <c r="D377" i="5"/>
  <c r="K67" i="13"/>
  <c r="D250" i="5"/>
  <c r="D381" i="5"/>
  <c r="D433" i="5"/>
  <c r="D195" i="5"/>
  <c r="K66" i="13"/>
  <c r="D491" i="5"/>
  <c r="D487" i="5"/>
  <c r="K72" i="13"/>
  <c r="K15" i="13"/>
  <c r="K48" i="13"/>
  <c r="D270" i="5"/>
  <c r="D240" i="5"/>
  <c r="D266" i="5"/>
  <c r="D467" i="5"/>
  <c r="D393" i="5"/>
  <c r="D429" i="5"/>
  <c r="D531" i="5"/>
  <c r="D347" i="5"/>
  <c r="K44" i="13"/>
  <c r="K43" i="13"/>
  <c r="K42" i="13"/>
  <c r="K41" i="13"/>
  <c r="K40" i="13"/>
  <c r="K39" i="13"/>
  <c r="K34" i="13"/>
  <c r="K30" i="13"/>
  <c r="K33" i="13"/>
  <c r="K31" i="13"/>
  <c r="K35" i="13"/>
  <c r="K32" i="13"/>
  <c r="K26" i="13"/>
  <c r="K24" i="13"/>
  <c r="K25" i="13"/>
  <c r="K21" i="13"/>
  <c r="K23" i="13"/>
  <c r="K22" i="13"/>
  <c r="Q93" i="13"/>
  <c r="T377" i="13"/>
  <c r="D162" i="5"/>
  <c r="T373" i="13"/>
  <c r="Q373" i="13"/>
  <c r="Q374" i="13"/>
  <c r="T374" i="13"/>
  <c r="Q370" i="13"/>
  <c r="T370" i="13"/>
  <c r="Q366" i="13"/>
  <c r="T366" i="13"/>
  <c r="T364" i="13"/>
  <c r="Q364" i="13"/>
  <c r="T376" i="13"/>
  <c r="Q376" i="13"/>
  <c r="T375" i="13"/>
  <c r="Q375" i="13"/>
  <c r="T367" i="13"/>
  <c r="Q367" i="13"/>
  <c r="T365" i="13"/>
  <c r="Q365" i="13"/>
  <c r="T371" i="13"/>
  <c r="Q371" i="13"/>
  <c r="T368" i="13"/>
  <c r="Q368" i="13"/>
  <c r="T372" i="13"/>
  <c r="Q372" i="13"/>
  <c r="Q369" i="13"/>
  <c r="T369" i="13"/>
  <c r="T363" i="13"/>
  <c r="Q363" i="13"/>
  <c r="D533" i="5"/>
  <c r="D465" i="5"/>
  <c r="D423" i="5"/>
  <c r="D391" i="5"/>
  <c r="D353" i="5"/>
  <c r="D253" i="5"/>
  <c r="D181" i="5"/>
  <c r="D350" i="5"/>
  <c r="D333" i="5"/>
  <c r="D489" i="5"/>
  <c r="D415" i="5"/>
  <c r="D337" i="5"/>
  <c r="D161" i="5"/>
  <c r="D259" i="5"/>
  <c r="D555" i="5"/>
  <c r="D485" i="5"/>
  <c r="D443" i="5"/>
  <c r="D411" i="5"/>
  <c r="D379" i="5"/>
  <c r="D329" i="5"/>
  <c r="D238" i="5"/>
  <c r="D116" i="5"/>
  <c r="D75" i="5"/>
  <c r="D493" i="5"/>
  <c r="D461" i="5"/>
  <c r="D419" i="5"/>
  <c r="D387" i="5"/>
  <c r="D345" i="5"/>
  <c r="D249" i="5"/>
  <c r="D165" i="5"/>
  <c r="D326" i="5"/>
  <c r="D325" i="5"/>
  <c r="D147" i="5"/>
  <c r="D563" i="5"/>
  <c r="D447" i="5"/>
  <c r="D383" i="5"/>
  <c r="D245" i="5"/>
  <c r="D170" i="5"/>
  <c r="D90" i="5"/>
  <c r="D551" i="5"/>
  <c r="D481" i="5"/>
  <c r="D439" i="5"/>
  <c r="D407" i="5"/>
  <c r="D375" i="5"/>
  <c r="D269" i="5"/>
  <c r="D233" i="5"/>
  <c r="D112" i="5"/>
  <c r="D191" i="5"/>
  <c r="D61" i="5"/>
  <c r="D547" i="5"/>
  <c r="D435" i="5"/>
  <c r="D371" i="5"/>
  <c r="D265" i="5"/>
  <c r="D51" i="5"/>
  <c r="D183" i="5"/>
  <c r="D32" i="5"/>
  <c r="D477" i="5"/>
  <c r="D403" i="5"/>
  <c r="D543" i="5"/>
  <c r="D473" i="5"/>
  <c r="D431" i="5"/>
  <c r="D399" i="5"/>
  <c r="D367" i="5"/>
  <c r="D261" i="5"/>
  <c r="D189" i="5"/>
  <c r="D40" i="5"/>
  <c r="D163" i="5"/>
  <c r="D7" i="5"/>
  <c r="D537" i="5"/>
  <c r="D469" i="5"/>
  <c r="D427" i="5"/>
  <c r="D395" i="5"/>
  <c r="D361" i="5"/>
  <c r="D257" i="5"/>
  <c r="D185" i="5"/>
  <c r="D5" i="5"/>
  <c r="D4" i="5"/>
  <c r="D182" i="5"/>
  <c r="D344" i="5"/>
  <c r="D167" i="5"/>
  <c r="D99" i="5"/>
  <c r="D52" i="5"/>
  <c r="D334" i="5"/>
  <c r="D44" i="5"/>
  <c r="D169" i="5"/>
  <c r="D667" i="5"/>
  <c r="D542" i="5"/>
  <c r="D472" i="5"/>
  <c r="D430" i="5"/>
  <c r="D398" i="5"/>
  <c r="D366" i="5"/>
  <c r="D260" i="5"/>
  <c r="D188" i="5"/>
  <c r="D358" i="5"/>
  <c r="D69" i="5"/>
  <c r="D187" i="5"/>
  <c r="D97" i="5"/>
  <c r="D566" i="5"/>
  <c r="D348" i="5"/>
  <c r="D666" i="5"/>
  <c r="D544" i="5"/>
  <c r="D474" i="5"/>
  <c r="D432" i="5"/>
  <c r="D400" i="5"/>
  <c r="D368" i="5"/>
  <c r="D146" i="5"/>
  <c r="D96" i="5"/>
  <c r="D49" i="5"/>
  <c r="D336" i="5"/>
  <c r="D145" i="5"/>
  <c r="D95" i="5"/>
  <c r="D45" i="5"/>
  <c r="D134" i="5"/>
  <c r="D33" i="5"/>
  <c r="D86" i="5"/>
  <c r="D665" i="5"/>
  <c r="D536" i="5"/>
  <c r="D468" i="5"/>
  <c r="D426" i="5"/>
  <c r="D394" i="5"/>
  <c r="D359" i="5"/>
  <c r="D256" i="5"/>
  <c r="D184" i="5"/>
  <c r="D140" i="5"/>
  <c r="D342" i="5"/>
  <c r="D26" i="5"/>
  <c r="D179" i="5"/>
  <c r="D68" i="5"/>
  <c r="D340" i="5"/>
  <c r="D664" i="5"/>
  <c r="D538" i="5"/>
  <c r="D470" i="5"/>
  <c r="D428" i="5"/>
  <c r="D396" i="5"/>
  <c r="D570" i="5"/>
  <c r="D346" i="5"/>
  <c r="D139" i="5"/>
  <c r="D89" i="5"/>
  <c r="D42" i="5"/>
  <c r="D328" i="5"/>
  <c r="D135" i="5"/>
  <c r="D88" i="5"/>
  <c r="D41" i="5"/>
  <c r="D130" i="5"/>
  <c r="D15" i="5"/>
  <c r="D79" i="5"/>
  <c r="D663" i="5"/>
  <c r="D532" i="5"/>
  <c r="D464" i="5"/>
  <c r="D422" i="5"/>
  <c r="D390" i="5"/>
  <c r="D351" i="5"/>
  <c r="D252" i="5"/>
  <c r="D180" i="5"/>
  <c r="D133" i="5"/>
  <c r="D166" i="5"/>
  <c r="D22" i="5"/>
  <c r="D437" i="5"/>
  <c r="D54" i="5"/>
  <c r="D558" i="5"/>
  <c r="D332" i="5"/>
  <c r="D662" i="5"/>
  <c r="D534" i="5"/>
  <c r="D466" i="5"/>
  <c r="D424" i="5"/>
  <c r="D392" i="5"/>
  <c r="D564" i="5"/>
  <c r="D132" i="5"/>
  <c r="D85" i="5"/>
  <c r="D35" i="5"/>
  <c r="D131" i="5"/>
  <c r="D81" i="5"/>
  <c r="D34" i="5"/>
  <c r="D105" i="5"/>
  <c r="D341" i="5"/>
  <c r="D25" i="5"/>
  <c r="D661" i="5"/>
  <c r="D492" i="5"/>
  <c r="D460" i="5"/>
  <c r="D418" i="5"/>
  <c r="D386" i="5"/>
  <c r="D343" i="5"/>
  <c r="D248" i="5"/>
  <c r="D164" i="5"/>
  <c r="D122" i="5"/>
  <c r="D141" i="5"/>
  <c r="D8" i="5"/>
  <c r="D349" i="5"/>
  <c r="D50" i="5"/>
  <c r="D324" i="5"/>
  <c r="D660" i="5"/>
  <c r="D494" i="5"/>
  <c r="D462" i="5"/>
  <c r="D420" i="5"/>
  <c r="D388" i="5"/>
  <c r="D556" i="5"/>
  <c r="D338" i="5"/>
  <c r="D125" i="5"/>
  <c r="D78" i="5"/>
  <c r="D31" i="5"/>
  <c r="D569" i="5"/>
  <c r="D124" i="5"/>
  <c r="D77" i="5"/>
  <c r="D27" i="5"/>
  <c r="D94" i="5"/>
  <c r="D267" i="5"/>
  <c r="D3" i="5"/>
  <c r="D561" i="5"/>
  <c r="D488" i="5"/>
  <c r="D446" i="5"/>
  <c r="D414" i="5"/>
  <c r="D382" i="5"/>
  <c r="D335" i="5"/>
  <c r="D160" i="5"/>
  <c r="D108" i="5"/>
  <c r="D123" i="5"/>
  <c r="D357" i="5"/>
  <c r="D251" i="5"/>
  <c r="D36" i="5"/>
  <c r="D674" i="5"/>
  <c r="D565" i="5"/>
  <c r="D490" i="5"/>
  <c r="D458" i="5"/>
  <c r="D416" i="5"/>
  <c r="D384" i="5"/>
  <c r="D121" i="5"/>
  <c r="D74" i="5"/>
  <c r="D24" i="5"/>
  <c r="D562" i="5"/>
  <c r="D117" i="5"/>
  <c r="D73" i="5"/>
  <c r="D23" i="5"/>
  <c r="D80" i="5"/>
  <c r="D247" i="5"/>
  <c r="D673" i="5"/>
  <c r="D554" i="5"/>
  <c r="D484" i="5"/>
  <c r="D442" i="5"/>
  <c r="D410" i="5"/>
  <c r="D378" i="5"/>
  <c r="D327" i="5"/>
  <c r="D237" i="5"/>
  <c r="D43" i="5"/>
  <c r="D98" i="5"/>
  <c r="D263" i="5"/>
  <c r="D126" i="5"/>
  <c r="D18" i="5"/>
  <c r="D672" i="5"/>
  <c r="D557" i="5"/>
  <c r="D486" i="5"/>
  <c r="D444" i="5"/>
  <c r="D412" i="5"/>
  <c r="D380" i="5"/>
  <c r="D362" i="5"/>
  <c r="D330" i="5"/>
  <c r="D114" i="5"/>
  <c r="D67" i="5"/>
  <c r="D17" i="5"/>
  <c r="D360" i="5"/>
  <c r="D113" i="5"/>
  <c r="D63" i="5"/>
  <c r="D16" i="5"/>
  <c r="D62" i="5"/>
  <c r="D241" i="5"/>
  <c r="D671" i="5"/>
  <c r="D550" i="5"/>
  <c r="D480" i="5"/>
  <c r="D438" i="5"/>
  <c r="D406" i="5"/>
  <c r="D374" i="5"/>
  <c r="D268" i="5"/>
  <c r="D196" i="5"/>
  <c r="D568" i="5"/>
  <c r="D87" i="5"/>
  <c r="D255" i="5"/>
  <c r="D115" i="5"/>
  <c r="D14" i="5"/>
  <c r="D364" i="5"/>
  <c r="D670" i="5"/>
  <c r="D552" i="5"/>
  <c r="D482" i="5"/>
  <c r="D440" i="5"/>
  <c r="D408" i="5"/>
  <c r="D376" i="5"/>
  <c r="D107" i="5"/>
  <c r="D60" i="5"/>
  <c r="D13" i="5"/>
  <c r="D352" i="5"/>
  <c r="D171" i="5"/>
  <c r="D106" i="5"/>
  <c r="D59" i="5"/>
  <c r="D12" i="5"/>
  <c r="D58" i="5"/>
  <c r="D669" i="5"/>
  <c r="D546" i="5"/>
  <c r="D476" i="5"/>
  <c r="D434" i="5"/>
  <c r="D402" i="5"/>
  <c r="D370" i="5"/>
  <c r="D264" i="5"/>
  <c r="D560" i="5"/>
  <c r="D76" i="5"/>
  <c r="D235" i="5"/>
  <c r="D104" i="5"/>
  <c r="D356" i="5"/>
  <c r="D668" i="5"/>
  <c r="D548" i="5"/>
  <c r="D478" i="5"/>
  <c r="D436" i="5"/>
  <c r="D404" i="5"/>
  <c r="D372" i="5"/>
  <c r="D354" i="5"/>
  <c r="D168" i="5"/>
  <c r="D103" i="5"/>
  <c r="D53" i="5"/>
  <c r="D6" i="5"/>
  <c r="D675" i="5" l="1"/>
  <c r="F675" i="5"/>
  <c r="D679" i="5"/>
  <c r="F679" i="5"/>
  <c r="D685" i="5"/>
  <c r="F685" i="5"/>
  <c r="D677" i="5"/>
  <c r="F677" i="5"/>
  <c r="D686" i="5"/>
  <c r="F686" i="5"/>
  <c r="D684" i="5"/>
  <c r="F684" i="5"/>
  <c r="D680" i="5"/>
  <c r="F680" i="5"/>
  <c r="D682" i="5"/>
  <c r="F682" i="5"/>
  <c r="D689" i="5"/>
  <c r="F689" i="5"/>
  <c r="D688" i="5"/>
  <c r="F688" i="5"/>
  <c r="D676" i="5"/>
  <c r="F676" i="5"/>
  <c r="D681" i="5"/>
  <c r="F681" i="5"/>
  <c r="D687" i="5"/>
  <c r="F687" i="5"/>
  <c r="D678" i="5"/>
  <c r="F678" i="5"/>
  <c r="D683" i="5"/>
  <c r="F683" i="5"/>
  <c r="T392" i="13"/>
  <c r="Q378" i="13"/>
  <c r="T378" i="13"/>
  <c r="Q379" i="13"/>
  <c r="T379" i="13"/>
  <c r="T383" i="13"/>
  <c r="Q383" i="13"/>
  <c r="T380" i="13"/>
  <c r="Q380" i="13"/>
  <c r="Q386" i="13"/>
  <c r="T386" i="13"/>
  <c r="Q388" i="13"/>
  <c r="T388" i="13"/>
  <c r="Q391" i="13"/>
  <c r="T391" i="13"/>
  <c r="Q381" i="13"/>
  <c r="T381" i="13"/>
  <c r="T384" i="13"/>
  <c r="Q384" i="13"/>
  <c r="T389" i="13"/>
  <c r="Q389" i="13"/>
  <c r="Q387" i="13"/>
  <c r="T387" i="13"/>
  <c r="Q382" i="13"/>
  <c r="T382" i="13"/>
  <c r="Q385" i="13"/>
  <c r="T385" i="13"/>
  <c r="Q390" i="13"/>
  <c r="T390" i="13"/>
  <c r="D700" i="5" l="1"/>
  <c r="F700" i="5"/>
  <c r="D704" i="5"/>
  <c r="F704" i="5"/>
  <c r="D693" i="5"/>
  <c r="F693" i="5"/>
  <c r="D703" i="5"/>
  <c r="F703" i="5"/>
  <c r="D699" i="5"/>
  <c r="F699" i="5"/>
  <c r="D701" i="5"/>
  <c r="F701" i="5"/>
  <c r="D696" i="5"/>
  <c r="F696" i="5"/>
  <c r="D698" i="5"/>
  <c r="F698" i="5"/>
  <c r="D694" i="5"/>
  <c r="F694" i="5"/>
  <c r="D697" i="5"/>
  <c r="F697" i="5"/>
  <c r="D692" i="5"/>
  <c r="F692" i="5"/>
  <c r="D690" i="5"/>
  <c r="F690" i="5"/>
  <c r="D702" i="5"/>
  <c r="F702" i="5"/>
  <c r="D695" i="5"/>
  <c r="F695" i="5"/>
  <c r="D691" i="5"/>
  <c r="F691" i="5"/>
  <c r="T407" i="13"/>
  <c r="T394" i="13"/>
  <c r="Q394" i="13"/>
  <c r="T398" i="13"/>
  <c r="Q398" i="13"/>
  <c r="Q396" i="13"/>
  <c r="T396" i="13"/>
  <c r="Q404" i="13"/>
  <c r="T404" i="13"/>
  <c r="T399" i="13"/>
  <c r="Q399" i="13"/>
  <c r="Q406" i="13"/>
  <c r="T406" i="13"/>
  <c r="Q393" i="13"/>
  <c r="T393" i="13"/>
  <c r="Q395" i="13"/>
  <c r="T395" i="13"/>
  <c r="Q403" i="13"/>
  <c r="T403" i="13"/>
  <c r="T397" i="13"/>
  <c r="Q397" i="13"/>
  <c r="Q405" i="13"/>
  <c r="T405" i="13"/>
  <c r="T417" i="13"/>
  <c r="Q417" i="13"/>
  <c r="Q401" i="13"/>
  <c r="T401" i="13"/>
  <c r="T400" i="13"/>
  <c r="Q400" i="13"/>
  <c r="T402" i="13"/>
  <c r="Q402" i="13"/>
  <c r="A137" i="8"/>
  <c r="D707" i="5" l="1"/>
  <c r="F707" i="5"/>
  <c r="D706" i="5"/>
  <c r="F706" i="5"/>
  <c r="D712" i="5"/>
  <c r="F712" i="5"/>
  <c r="D705" i="5"/>
  <c r="F705" i="5"/>
  <c r="D716" i="5"/>
  <c r="F716" i="5"/>
  <c r="D729" i="5"/>
  <c r="F729" i="5"/>
  <c r="D709" i="5"/>
  <c r="F709" i="5"/>
  <c r="D710" i="5"/>
  <c r="F710" i="5"/>
  <c r="D713" i="5"/>
  <c r="F713" i="5"/>
  <c r="D715" i="5"/>
  <c r="F715" i="5"/>
  <c r="D714" i="5"/>
  <c r="F714" i="5"/>
  <c r="D719" i="5"/>
  <c r="F719" i="5"/>
  <c r="D708" i="5"/>
  <c r="F708" i="5"/>
  <c r="D718" i="5"/>
  <c r="F718" i="5"/>
  <c r="D711" i="5"/>
  <c r="F711" i="5"/>
  <c r="D717" i="5"/>
  <c r="F717" i="5"/>
  <c r="T422" i="13"/>
  <c r="Q420" i="13"/>
  <c r="T420" i="13"/>
  <c r="Q416" i="13"/>
  <c r="T416" i="13"/>
  <c r="Q418" i="13"/>
  <c r="T418" i="13"/>
  <c r="T413" i="13"/>
  <c r="Q413" i="13"/>
  <c r="T419" i="13"/>
  <c r="Q419" i="13"/>
  <c r="T414" i="13"/>
  <c r="Q414" i="13"/>
  <c r="T432" i="13"/>
  <c r="Q432" i="13"/>
  <c r="Q409" i="13"/>
  <c r="T409" i="13"/>
  <c r="T408" i="13"/>
  <c r="Q408" i="13"/>
  <c r="T415" i="13"/>
  <c r="Q415" i="13"/>
  <c r="T421" i="13"/>
  <c r="Q421" i="13"/>
  <c r="Q410" i="13"/>
  <c r="T410" i="13"/>
  <c r="T412" i="13"/>
  <c r="Q412" i="13"/>
  <c r="Q411" i="13"/>
  <c r="T411" i="13"/>
  <c r="T430" i="13"/>
  <c r="Q430" i="13"/>
  <c r="A152" i="8"/>
  <c r="A138" i="8"/>
  <c r="D723" i="5" l="1"/>
  <c r="F723" i="5"/>
  <c r="D728" i="5"/>
  <c r="F728" i="5"/>
  <c r="D734" i="5"/>
  <c r="F734" i="5"/>
  <c r="D742" i="5"/>
  <c r="F742" i="5"/>
  <c r="D733" i="5"/>
  <c r="F733" i="5"/>
  <c r="D744" i="5"/>
  <c r="F744" i="5"/>
  <c r="D724" i="5"/>
  <c r="F724" i="5"/>
  <c r="D730" i="5"/>
  <c r="F730" i="5"/>
  <c r="D725" i="5"/>
  <c r="F725" i="5"/>
  <c r="D727" i="5"/>
  <c r="F727" i="5"/>
  <c r="D731" i="5"/>
  <c r="F731" i="5"/>
  <c r="D732" i="5"/>
  <c r="F732" i="5"/>
  <c r="D720" i="5"/>
  <c r="F720" i="5"/>
  <c r="D722" i="5"/>
  <c r="F722" i="5"/>
  <c r="D721" i="5"/>
  <c r="F721" i="5"/>
  <c r="D726" i="5"/>
  <c r="F726" i="5"/>
  <c r="T437" i="13"/>
  <c r="Q424" i="13"/>
  <c r="T424" i="13"/>
  <c r="T429" i="13"/>
  <c r="Q429" i="13"/>
  <c r="Q425" i="13"/>
  <c r="T425" i="13"/>
  <c r="T445" i="13"/>
  <c r="Q445" i="13"/>
  <c r="T426" i="13"/>
  <c r="Q426" i="13"/>
  <c r="Q433" i="13"/>
  <c r="T433" i="13"/>
  <c r="T447" i="13"/>
  <c r="Q447" i="13"/>
  <c r="Q423" i="13"/>
  <c r="T423" i="13"/>
  <c r="T436" i="13"/>
  <c r="Q436" i="13"/>
  <c r="T428" i="13"/>
  <c r="Q428" i="13"/>
  <c r="Q448" i="13"/>
  <c r="T448" i="13"/>
  <c r="T435" i="13"/>
  <c r="Q435" i="13"/>
  <c r="Q431" i="13"/>
  <c r="T431" i="13"/>
  <c r="Q427" i="13"/>
  <c r="T427" i="13"/>
  <c r="Q434" i="13"/>
  <c r="T434" i="13"/>
  <c r="A153" i="8"/>
  <c r="A140" i="8"/>
  <c r="A139" i="8"/>
  <c r="D743" i="5" l="1"/>
  <c r="F743" i="5"/>
  <c r="D759" i="5"/>
  <c r="F759" i="5"/>
  <c r="D746" i="5"/>
  <c r="F746" i="5"/>
  <c r="D736" i="5"/>
  <c r="F736" i="5"/>
  <c r="D747" i="5"/>
  <c r="F747" i="5"/>
  <c r="D740" i="5"/>
  <c r="F740" i="5"/>
  <c r="D757" i="5"/>
  <c r="F757" i="5"/>
  <c r="D737" i="5"/>
  <c r="F737" i="5"/>
  <c r="D745" i="5"/>
  <c r="F745" i="5"/>
  <c r="D735" i="5"/>
  <c r="F735" i="5"/>
  <c r="D748" i="5"/>
  <c r="F748" i="5"/>
  <c r="D741" i="5"/>
  <c r="F741" i="5"/>
  <c r="D760" i="5"/>
  <c r="F760" i="5"/>
  <c r="D749" i="5"/>
  <c r="F749" i="5"/>
  <c r="D739" i="5"/>
  <c r="F739" i="5"/>
  <c r="D738" i="5"/>
  <c r="F738" i="5"/>
  <c r="T452" i="13"/>
  <c r="M482" i="13"/>
  <c r="T451" i="13"/>
  <c r="Q451" i="13"/>
  <c r="Q463" i="13"/>
  <c r="T463" i="13"/>
  <c r="T439" i="13"/>
  <c r="Q439" i="13"/>
  <c r="T444" i="13"/>
  <c r="Q444" i="13"/>
  <c r="T443" i="13"/>
  <c r="Q443" i="13"/>
  <c r="T440" i="13"/>
  <c r="Q440" i="13"/>
  <c r="Q460" i="13"/>
  <c r="T460" i="13"/>
  <c r="T450" i="13"/>
  <c r="Q450" i="13"/>
  <c r="Q446" i="13"/>
  <c r="T446" i="13"/>
  <c r="Q441" i="13"/>
  <c r="T441" i="13"/>
  <c r="Q438" i="13"/>
  <c r="T438" i="13"/>
  <c r="T449" i="13"/>
  <c r="Q449" i="13"/>
  <c r="Q442" i="13"/>
  <c r="T442" i="13"/>
  <c r="T462" i="13"/>
  <c r="Q462" i="13"/>
  <c r="A154" i="8"/>
  <c r="A155" i="8"/>
  <c r="A141" i="8"/>
  <c r="D763" i="5" l="1"/>
  <c r="F763" i="5"/>
  <c r="D774" i="5"/>
  <c r="F774" i="5"/>
  <c r="D764" i="5"/>
  <c r="F764" i="5"/>
  <c r="D754" i="5"/>
  <c r="F754" i="5"/>
  <c r="D752" i="5"/>
  <c r="F752" i="5"/>
  <c r="D751" i="5"/>
  <c r="F751" i="5"/>
  <c r="D772" i="5"/>
  <c r="F772" i="5"/>
  <c r="D756" i="5"/>
  <c r="F756" i="5"/>
  <c r="D753" i="5"/>
  <c r="F753" i="5"/>
  <c r="D762" i="5"/>
  <c r="F762" i="5"/>
  <c r="D775" i="5"/>
  <c r="F775" i="5"/>
  <c r="D761" i="5"/>
  <c r="F761" i="5"/>
  <c r="D750" i="5"/>
  <c r="F750" i="5"/>
  <c r="D755" i="5"/>
  <c r="F755" i="5"/>
  <c r="D758" i="5"/>
  <c r="F758" i="5"/>
  <c r="T467" i="13"/>
  <c r="Q461" i="13"/>
  <c r="T461" i="13"/>
  <c r="Q456" i="13"/>
  <c r="T456" i="13"/>
  <c r="Q465" i="13"/>
  <c r="T465" i="13"/>
  <c r="T475" i="13"/>
  <c r="Q475" i="13"/>
  <c r="T477" i="13"/>
  <c r="Q477" i="13"/>
  <c r="Q478" i="13"/>
  <c r="T478" i="13"/>
  <c r="Q457" i="13"/>
  <c r="T457" i="13"/>
  <c r="Q453" i="13"/>
  <c r="T453" i="13"/>
  <c r="T458" i="13"/>
  <c r="Q458" i="13"/>
  <c r="T459" i="13"/>
  <c r="Q459" i="13"/>
  <c r="Q455" i="13"/>
  <c r="T455" i="13"/>
  <c r="T454" i="13"/>
  <c r="Q454" i="13"/>
  <c r="Q464" i="13"/>
  <c r="T464" i="13"/>
  <c r="Q466" i="13"/>
  <c r="T466" i="13"/>
  <c r="A142" i="8"/>
  <c r="A156" i="8"/>
  <c r="D769" i="5" l="1"/>
  <c r="F769" i="5"/>
  <c r="D776" i="5"/>
  <c r="F776" i="5"/>
  <c r="D768" i="5"/>
  <c r="F768" i="5"/>
  <c r="D789" i="5"/>
  <c r="F789" i="5"/>
  <c r="D771" i="5"/>
  <c r="F771" i="5"/>
  <c r="D766" i="5"/>
  <c r="F766" i="5"/>
  <c r="D790" i="5"/>
  <c r="F790" i="5"/>
  <c r="D778" i="5"/>
  <c r="F778" i="5"/>
  <c r="D765" i="5"/>
  <c r="F765" i="5"/>
  <c r="D779" i="5"/>
  <c r="F779" i="5"/>
  <c r="D770" i="5"/>
  <c r="F770" i="5"/>
  <c r="D777" i="5"/>
  <c r="F777" i="5"/>
  <c r="D773" i="5"/>
  <c r="F773" i="5"/>
  <c r="D767" i="5"/>
  <c r="F767" i="5"/>
  <c r="D787" i="5"/>
  <c r="F787" i="5"/>
  <c r="T482" i="13"/>
  <c r="T472" i="13"/>
  <c r="Q472" i="13"/>
  <c r="T480" i="13"/>
  <c r="Q480" i="13"/>
  <c r="Q481" i="13"/>
  <c r="T481" i="13"/>
  <c r="Q469" i="13"/>
  <c r="T469" i="13"/>
  <c r="T468" i="13"/>
  <c r="Q468" i="13"/>
  <c r="Q479" i="13"/>
  <c r="T479" i="13"/>
  <c r="T474" i="13"/>
  <c r="Q474" i="13"/>
  <c r="T473" i="13"/>
  <c r="Q473" i="13"/>
  <c r="Q476" i="13"/>
  <c r="T476" i="13"/>
  <c r="Q471" i="13"/>
  <c r="T471" i="13"/>
  <c r="Q470" i="13"/>
  <c r="T470" i="13"/>
  <c r="A157" i="8"/>
  <c r="A143" i="8"/>
  <c r="D788" i="5" l="1"/>
  <c r="F788" i="5"/>
  <c r="D791" i="5"/>
  <c r="F791" i="5"/>
  <c r="D781" i="5"/>
  <c r="F781" i="5"/>
  <c r="D785" i="5"/>
  <c r="F785" i="5"/>
  <c r="D794" i="5"/>
  <c r="F794" i="5"/>
  <c r="D786" i="5"/>
  <c r="F786" i="5"/>
  <c r="D782" i="5"/>
  <c r="F782" i="5"/>
  <c r="D780" i="5"/>
  <c r="F780" i="5"/>
  <c r="D792" i="5"/>
  <c r="F792" i="5"/>
  <c r="D784" i="5"/>
  <c r="F784" i="5"/>
  <c r="D783" i="5"/>
  <c r="F783" i="5"/>
  <c r="D793" i="5"/>
  <c r="F793" i="5"/>
  <c r="U358" i="13"/>
  <c r="R353" i="13"/>
  <c r="A144" i="8"/>
  <c r="A158" i="8"/>
  <c r="I7" i="15"/>
  <c r="I3" i="15"/>
  <c r="I5" i="15"/>
  <c r="I8" i="15"/>
  <c r="A145" i="8" l="1"/>
  <c r="A159" i="8"/>
  <c r="I6" i="15"/>
  <c r="I4" i="15"/>
  <c r="A160" i="8" l="1"/>
  <c r="A146" i="8"/>
  <c r="A147" i="8" l="1"/>
  <c r="A161" i="8"/>
  <c r="A162" i="8" l="1"/>
  <c r="A148" i="8"/>
  <c r="A2" i="11"/>
  <c r="A163" i="8" l="1"/>
  <c r="A149" i="8"/>
  <c r="A164" i="8" l="1"/>
  <c r="A150" i="8"/>
  <c r="A151" i="8" l="1"/>
  <c r="A165" i="8"/>
  <c r="A166" i="8" l="1"/>
  <c r="D301" i="13" l="1"/>
  <c r="D300" i="13"/>
  <c r="D299" i="13"/>
  <c r="D305" i="13"/>
  <c r="D304" i="13"/>
  <c r="D303" i="13"/>
  <c r="D302" i="13"/>
  <c r="G305" i="13" l="1"/>
  <c r="G302" i="13"/>
  <c r="G299" i="13"/>
  <c r="G303" i="13"/>
  <c r="G300" i="13"/>
  <c r="G304" i="13"/>
  <c r="G301" i="13"/>
  <c r="I307" i="13" l="1"/>
  <c r="I308" i="13" l="1"/>
  <c r="I309" i="13" l="1"/>
  <c r="I310" i="13" l="1"/>
  <c r="I311" i="13"/>
  <c r="BM6" i="8" l="1"/>
  <c r="BM134" i="8"/>
  <c r="BM129" i="8"/>
  <c r="BM13" i="8"/>
  <c r="BM157" i="8"/>
  <c r="BM24" i="8"/>
  <c r="BM124" i="8"/>
  <c r="BM7" i="8"/>
  <c r="BM94" i="8"/>
  <c r="BM39" i="8"/>
  <c r="BM143" i="8"/>
  <c r="BM160" i="8"/>
  <c r="BM98" i="8"/>
  <c r="BM122" i="8"/>
  <c r="BM51" i="8"/>
  <c r="BM27" i="8"/>
  <c r="BM121" i="8"/>
  <c r="BM140" i="8"/>
  <c r="BM84" i="8"/>
  <c r="BM38" i="8"/>
  <c r="BM99" i="8"/>
  <c r="BM137" i="8" l="1"/>
  <c r="BM147" i="8"/>
  <c r="BM112" i="8"/>
  <c r="BM14" i="8"/>
  <c r="BM127" i="8"/>
  <c r="BM74" i="8"/>
  <c r="BM17" i="8"/>
  <c r="BM20" i="8"/>
  <c r="BM131" i="8"/>
  <c r="BM55" i="8"/>
  <c r="BM118" i="8"/>
  <c r="BM11" i="8"/>
  <c r="BM139" i="8"/>
  <c r="BM93" i="8"/>
  <c r="BM130" i="8"/>
  <c r="BM8" i="8"/>
  <c r="BM165" i="8"/>
  <c r="BM69" i="8"/>
  <c r="BM58" i="8"/>
  <c r="BM148" i="8"/>
  <c r="BM16" i="8"/>
  <c r="BM76" i="8"/>
  <c r="BM109" i="8"/>
  <c r="BM142" i="8"/>
  <c r="BM108" i="8"/>
  <c r="BM88" i="8"/>
  <c r="BM111" i="8"/>
  <c r="BM110" i="8"/>
  <c r="BM67" i="8"/>
  <c r="BM44" i="8"/>
  <c r="BM10" i="8"/>
  <c r="BM45" i="8"/>
  <c r="BM100" i="8"/>
  <c r="BM153" i="8"/>
  <c r="BM149" i="8"/>
  <c r="BM138" i="8"/>
  <c r="BM159" i="8"/>
  <c r="BM156" i="8"/>
  <c r="BM162" i="8"/>
  <c r="BM161" i="8"/>
  <c r="BM164" i="8"/>
  <c r="BM166" i="8"/>
  <c r="BM151" i="8"/>
  <c r="BM133" i="8"/>
  <c r="BM116" i="8"/>
  <c r="BM104" i="8"/>
  <c r="BM102" i="8"/>
  <c r="BM101" i="8"/>
  <c r="BM95" i="8"/>
  <c r="BM106" i="8"/>
  <c r="BM90" i="8"/>
  <c r="BM87" i="8"/>
  <c r="BM78" i="8"/>
  <c r="BM79" i="8"/>
  <c r="BM64" i="8"/>
  <c r="BM68" i="8"/>
  <c r="BM63" i="8"/>
  <c r="BM59" i="8"/>
  <c r="BM57" i="8"/>
  <c r="BM56" i="8"/>
  <c r="BM53" i="8"/>
  <c r="BM61" i="8"/>
  <c r="BM40" i="8"/>
  <c r="BM46" i="8"/>
  <c r="BM26" i="8"/>
  <c r="BM29" i="8"/>
  <c r="BM42" i="8"/>
  <c r="BM41" i="8"/>
  <c r="BM35" i="8"/>
  <c r="BM32" i="8"/>
  <c r="BM31" i="8"/>
  <c r="BM9" i="8"/>
  <c r="BM5" i="8"/>
  <c r="BM91" i="8"/>
  <c r="BM144" i="8"/>
  <c r="BM81" i="8"/>
  <c r="BM86" i="8"/>
  <c r="BM37" i="8"/>
  <c r="BM62" i="8"/>
  <c r="BM136" i="8"/>
  <c r="BM115" i="8"/>
  <c r="BM92" i="8"/>
  <c r="BM120" i="8"/>
  <c r="BM114" i="8"/>
  <c r="BM50" i="8"/>
  <c r="BM103" i="8"/>
  <c r="BM85" i="8"/>
  <c r="BM21" i="8"/>
  <c r="BM73" i="8"/>
  <c r="BM54" i="8"/>
  <c r="BM4" i="8"/>
  <c r="BM152" i="8"/>
  <c r="BM146" i="8"/>
  <c r="BM135" i="8"/>
  <c r="BM71" i="8"/>
  <c r="BM65" i="8"/>
  <c r="BM70" i="8"/>
  <c r="BM52" i="8"/>
  <c r="BM75" i="8"/>
  <c r="BM155" i="8"/>
  <c r="BM49" i="8"/>
  <c r="BM80" i="8"/>
  <c r="BM117" i="8"/>
  <c r="BM105" i="8"/>
  <c r="BM119" i="8"/>
  <c r="BM89" i="8"/>
  <c r="BM83" i="8"/>
  <c r="BM28" i="8"/>
  <c r="BM107" i="8"/>
  <c r="BM132" i="8"/>
  <c r="BM25" i="8"/>
  <c r="BM15" i="8"/>
  <c r="BM12" i="8"/>
  <c r="BM126" i="8"/>
  <c r="BM123" i="8"/>
  <c r="BM23" i="8"/>
  <c r="BM125" i="8"/>
  <c r="BM145" i="8"/>
  <c r="BM66" i="8"/>
  <c r="BM18" i="8"/>
  <c r="BM33" i="8"/>
  <c r="BM96" i="8"/>
  <c r="BM163" i="8"/>
  <c r="BM48" i="8"/>
  <c r="BM30" i="8"/>
  <c r="BM47" i="8"/>
  <c r="BM150" i="8"/>
  <c r="BM97" i="8"/>
  <c r="BM141" i="8"/>
  <c r="BM77" i="8"/>
  <c r="BM43" i="8"/>
  <c r="BM36" i="8"/>
  <c r="BM113" i="8"/>
  <c r="BM158" i="8"/>
  <c r="BM128" i="8"/>
  <c r="BM19" i="8"/>
  <c r="BM82" i="8"/>
  <c r="BM60" i="8"/>
  <c r="BM72" i="8"/>
  <c r="BM34" i="8"/>
  <c r="BM22" i="8"/>
  <c r="BM154" i="8"/>
  <c r="BW151" i="8" l="1"/>
  <c r="BW121" i="8"/>
  <c r="BW106" i="8"/>
  <c r="BW76" i="8"/>
  <c r="BW61" i="8"/>
  <c r="BW46" i="8"/>
  <c r="BW166" i="8"/>
  <c r="BW31" i="8"/>
  <c r="BW136" i="8"/>
  <c r="BY3" i="8" l="1"/>
  <c r="A2" i="16" l="1"/>
  <c r="E303" i="13" l="1"/>
  <c r="E300" i="13"/>
  <c r="E302" i="13"/>
  <c r="F299" i="13"/>
  <c r="E305" i="13"/>
  <c r="E301" i="13"/>
  <c r="F300" i="13"/>
  <c r="F304" i="13"/>
  <c r="F305" i="13"/>
  <c r="E25" i="13"/>
  <c r="F303" i="13"/>
  <c r="F302" i="13"/>
  <c r="E299" i="13"/>
  <c r="F301" i="13"/>
  <c r="F25" i="13"/>
  <c r="E304" i="13"/>
  <c r="D263" i="13" l="1"/>
  <c r="G263" i="13" s="1"/>
  <c r="D259" i="13"/>
  <c r="G259" i="13" s="1"/>
  <c r="D265" i="13"/>
  <c r="G265" i="13" s="1"/>
  <c r="D268" i="13"/>
  <c r="G268" i="13" s="1"/>
  <c r="D264" i="13"/>
  <c r="G264" i="13" s="1"/>
  <c r="D260" i="13"/>
  <c r="G260" i="13" s="1"/>
  <c r="D267" i="13"/>
  <c r="G267" i="13" s="1"/>
  <c r="D266" i="13"/>
  <c r="G266" i="13" s="1"/>
  <c r="D261" i="13"/>
  <c r="G261" i="13" s="1"/>
  <c r="D262" i="13"/>
  <c r="G262" i="13" s="1"/>
  <c r="D273" i="13"/>
  <c r="G273" i="13" s="1"/>
  <c r="D271" i="13"/>
  <c r="G271" i="13" s="1"/>
  <c r="D277" i="13"/>
  <c r="G277" i="13" s="1"/>
  <c r="D270" i="13"/>
  <c r="G270" i="13" s="1"/>
  <c r="D276" i="13"/>
  <c r="G276" i="13" s="1"/>
  <c r="D269" i="13"/>
  <c r="G269" i="13" s="1"/>
  <c r="D272" i="13"/>
  <c r="G272" i="13" s="1"/>
  <c r="D274" i="13"/>
  <c r="G274" i="13" s="1"/>
  <c r="D275" i="13"/>
  <c r="G275" i="13" s="1"/>
  <c r="D278" i="13"/>
  <c r="G278" i="13" s="1"/>
  <c r="D167" i="13" l="1"/>
  <c r="G167" i="13" s="1"/>
  <c r="D161" i="13"/>
  <c r="G161" i="13" s="1"/>
  <c r="D168" i="13"/>
  <c r="G168" i="13" s="1"/>
  <c r="D162" i="13"/>
  <c r="G162" i="13" s="1"/>
  <c r="D159" i="13"/>
  <c r="G159" i="13" s="1"/>
  <c r="D166" i="13"/>
  <c r="G166" i="13" s="1"/>
  <c r="D160" i="13"/>
  <c r="G160" i="13" s="1"/>
  <c r="D163" i="13"/>
  <c r="G163" i="13" s="1"/>
  <c r="D165" i="13"/>
  <c r="G165" i="13" s="1"/>
  <c r="D164" i="13"/>
  <c r="G164" i="13" s="1"/>
  <c r="D119" i="13" l="1"/>
  <c r="D118" i="13"/>
  <c r="D117" i="13"/>
  <c r="D110" i="13"/>
  <c r="D109" i="13"/>
  <c r="D108" i="13"/>
  <c r="D101" i="13"/>
  <c r="D100" i="13"/>
  <c r="D99" i="13"/>
  <c r="D92" i="13"/>
  <c r="D91" i="13"/>
  <c r="D90" i="13"/>
  <c r="D83" i="13"/>
  <c r="D82" i="13"/>
  <c r="D81" i="13"/>
  <c r="D47" i="13"/>
  <c r="D46" i="13"/>
  <c r="D45" i="13"/>
  <c r="D38" i="13"/>
  <c r="D37" i="13"/>
  <c r="D36" i="13"/>
  <c r="D29" i="13"/>
  <c r="D28" i="13"/>
  <c r="D27" i="13"/>
  <c r="D20" i="13"/>
  <c r="D19" i="13"/>
  <c r="D18" i="13"/>
  <c r="D10" i="13"/>
  <c r="D9" i="13"/>
  <c r="D8" i="13"/>
  <c r="G28" i="13" l="1"/>
  <c r="E28" i="13"/>
  <c r="F28" i="13"/>
  <c r="E46" i="13"/>
  <c r="F46" i="13"/>
  <c r="G46" i="13"/>
  <c r="F108" i="13"/>
  <c r="G108" i="13"/>
  <c r="E108" i="13"/>
  <c r="G37" i="13"/>
  <c r="E37" i="13"/>
  <c r="F37" i="13"/>
  <c r="E101" i="13"/>
  <c r="F101" i="13"/>
  <c r="G101" i="13"/>
  <c r="E10" i="13"/>
  <c r="G10" i="13"/>
  <c r="F10" i="13"/>
  <c r="F27" i="13"/>
  <c r="G27" i="13"/>
  <c r="E27" i="13"/>
  <c r="E81" i="13"/>
  <c r="F81" i="13"/>
  <c r="G81" i="13"/>
  <c r="G100" i="13"/>
  <c r="E100" i="13"/>
  <c r="F100" i="13"/>
  <c r="G18" i="13"/>
  <c r="E18" i="13"/>
  <c r="F18" i="13"/>
  <c r="E36" i="13"/>
  <c r="F36" i="13"/>
  <c r="G36" i="13"/>
  <c r="G47" i="13"/>
  <c r="F47" i="13"/>
  <c r="E47" i="13"/>
  <c r="E91" i="13"/>
  <c r="G91" i="13"/>
  <c r="F91" i="13"/>
  <c r="G117" i="13"/>
  <c r="E117" i="13"/>
  <c r="F117" i="13"/>
  <c r="G9" i="13"/>
  <c r="E9" i="13"/>
  <c r="F9" i="13"/>
  <c r="F92" i="13"/>
  <c r="G92" i="13"/>
  <c r="E92" i="13"/>
  <c r="G118" i="13"/>
  <c r="F118" i="13"/>
  <c r="E118" i="13"/>
  <c r="G8" i="13"/>
  <c r="E8" i="13"/>
  <c r="F8" i="13"/>
  <c r="E19" i="13"/>
  <c r="F19" i="13"/>
  <c r="G19" i="13"/>
  <c r="E29" i="13"/>
  <c r="F29" i="13"/>
  <c r="G29" i="13"/>
  <c r="G38" i="13"/>
  <c r="F38" i="13"/>
  <c r="E38" i="13"/>
  <c r="G90" i="13"/>
  <c r="F90" i="13"/>
  <c r="E90" i="13"/>
  <c r="F110" i="13"/>
  <c r="G110" i="13"/>
  <c r="E110" i="13"/>
  <c r="F83" i="13"/>
  <c r="E83" i="13"/>
  <c r="G83" i="13"/>
  <c r="G82" i="13"/>
  <c r="F82" i="13"/>
  <c r="E82" i="13"/>
  <c r="E45" i="13"/>
  <c r="G45" i="13"/>
  <c r="F45" i="13"/>
  <c r="G99" i="13"/>
  <c r="E99" i="13"/>
  <c r="F99" i="13"/>
  <c r="E119" i="13"/>
  <c r="G119" i="13"/>
  <c r="F119" i="13"/>
  <c r="F20" i="13"/>
  <c r="E20" i="13"/>
  <c r="G20" i="13"/>
  <c r="F109" i="13"/>
  <c r="G109" i="13"/>
  <c r="E109" i="13"/>
  <c r="D152" i="13" l="1"/>
  <c r="G152" i="13" s="1"/>
  <c r="D151" i="13"/>
  <c r="G151" i="13" s="1"/>
  <c r="D150" i="13"/>
  <c r="G150" i="13" s="1"/>
  <c r="D149" i="13"/>
  <c r="G149" i="13" s="1"/>
  <c r="D148" i="13"/>
  <c r="G148" i="13" s="1"/>
  <c r="D147" i="13"/>
  <c r="G147" i="13" s="1"/>
  <c r="D154" i="13" l="1"/>
  <c r="G154" i="13" s="1"/>
  <c r="D306" i="13"/>
  <c r="G306" i="13" s="1"/>
  <c r="D156" i="13"/>
  <c r="G156" i="13" s="1"/>
  <c r="D310" i="13"/>
  <c r="G310" i="13" s="1"/>
  <c r="D155" i="13"/>
  <c r="G155" i="13" s="1"/>
  <c r="D311" i="13"/>
  <c r="G311" i="13" s="1"/>
  <c r="D309" i="13"/>
  <c r="G309" i="13" s="1"/>
  <c r="D308" i="13"/>
  <c r="G308" i="13" s="1"/>
  <c r="D153" i="13"/>
  <c r="G153" i="13" s="1"/>
  <c r="D307" i="13"/>
  <c r="G307" i="13" s="1"/>
  <c r="D157" i="13"/>
  <c r="G157" i="13" s="1"/>
  <c r="D158" i="13"/>
  <c r="G158" i="13" s="1"/>
  <c r="D313" i="13" l="1"/>
  <c r="G313" i="13" s="1"/>
  <c r="D315" i="13"/>
  <c r="G315" i="13" s="1"/>
  <c r="D316" i="13"/>
  <c r="G316" i="13" s="1"/>
  <c r="D317" i="13"/>
  <c r="G317" i="13" s="1"/>
  <c r="D76" i="13"/>
  <c r="D77" i="13"/>
  <c r="D78" i="13"/>
  <c r="D79" i="13"/>
  <c r="D80" i="13"/>
  <c r="D84" i="13"/>
  <c r="D85" i="13"/>
  <c r="D86" i="13"/>
  <c r="D87" i="13"/>
  <c r="D88" i="13"/>
  <c r="D89" i="13"/>
  <c r="D93" i="13"/>
  <c r="D94" i="13"/>
  <c r="D95" i="13"/>
  <c r="D96" i="13"/>
  <c r="D97" i="13"/>
  <c r="D98" i="13"/>
  <c r="D102" i="13"/>
  <c r="D103" i="13"/>
  <c r="D104" i="13"/>
  <c r="D105" i="13"/>
  <c r="D106" i="13"/>
  <c r="D107" i="13"/>
  <c r="D111" i="13"/>
  <c r="D112" i="13"/>
  <c r="D113" i="13"/>
  <c r="D114" i="13"/>
  <c r="D115" i="13"/>
  <c r="D116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75" i="13"/>
  <c r="D49" i="13"/>
  <c r="D3" i="13"/>
  <c r="D4" i="13"/>
  <c r="D5" i="13"/>
  <c r="D6" i="13"/>
  <c r="D7" i="13"/>
  <c r="D12" i="13"/>
  <c r="D13" i="13"/>
  <c r="D14" i="13"/>
  <c r="D15" i="13"/>
  <c r="D16" i="13"/>
  <c r="D17" i="13"/>
  <c r="D21" i="13"/>
  <c r="D22" i="13"/>
  <c r="D23" i="13"/>
  <c r="D24" i="13"/>
  <c r="D26" i="13"/>
  <c r="D30" i="13"/>
  <c r="D31" i="13"/>
  <c r="D32" i="13"/>
  <c r="D33" i="13"/>
  <c r="D34" i="13"/>
  <c r="D35" i="13"/>
  <c r="D39" i="13"/>
  <c r="D40" i="13"/>
  <c r="D41" i="13"/>
  <c r="D42" i="13"/>
  <c r="D43" i="13"/>
  <c r="D44" i="13"/>
  <c r="D48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2" i="13"/>
  <c r="F64" i="13" l="1"/>
  <c r="E64" i="13"/>
  <c r="G64" i="13"/>
  <c r="F33" i="13"/>
  <c r="E33" i="13"/>
  <c r="G33" i="13"/>
  <c r="E7" i="13"/>
  <c r="F7" i="13"/>
  <c r="G7" i="13"/>
  <c r="G129" i="13"/>
  <c r="E129" i="13"/>
  <c r="F129" i="13"/>
  <c r="G85" i="13"/>
  <c r="E85" i="13"/>
  <c r="F85" i="13"/>
  <c r="G71" i="13"/>
  <c r="F71" i="13"/>
  <c r="E71" i="13"/>
  <c r="E43" i="13"/>
  <c r="G43" i="13"/>
  <c r="F43" i="13"/>
  <c r="G144" i="13"/>
  <c r="E144" i="13"/>
  <c r="F144" i="13"/>
  <c r="G120" i="13"/>
  <c r="E120" i="13"/>
  <c r="F120" i="13"/>
  <c r="G84" i="13"/>
  <c r="F84" i="13"/>
  <c r="E84" i="13"/>
  <c r="D178" i="13"/>
  <c r="G178" i="13" s="1"/>
  <c r="D173" i="13"/>
  <c r="G173" i="13" s="1"/>
  <c r="D176" i="13"/>
  <c r="G176" i="13" s="1"/>
  <c r="D177" i="13"/>
  <c r="G177" i="13" s="1"/>
  <c r="D169" i="13"/>
  <c r="G169" i="13" s="1"/>
  <c r="D172" i="13"/>
  <c r="G172" i="13" s="1"/>
  <c r="D175" i="13"/>
  <c r="G175" i="13" s="1"/>
  <c r="D170" i="13"/>
  <c r="G170" i="13" s="1"/>
  <c r="D171" i="13"/>
  <c r="G171" i="13" s="1"/>
  <c r="D174" i="13"/>
  <c r="G174" i="13" s="1"/>
  <c r="G42" i="13"/>
  <c r="F42" i="13"/>
  <c r="E42" i="13"/>
  <c r="F135" i="13"/>
  <c r="G135" i="13"/>
  <c r="E135" i="13"/>
  <c r="F61" i="13"/>
  <c r="E61" i="13"/>
  <c r="G61" i="13"/>
  <c r="G41" i="13"/>
  <c r="E41" i="13"/>
  <c r="F41" i="13"/>
  <c r="F4" i="13"/>
  <c r="G4" i="13"/>
  <c r="E4" i="13"/>
  <c r="F93" i="13"/>
  <c r="E93" i="13"/>
  <c r="G93" i="13"/>
  <c r="G54" i="13"/>
  <c r="E54" i="13"/>
  <c r="F54" i="13"/>
  <c r="G143" i="13"/>
  <c r="F143" i="13"/>
  <c r="E143" i="13"/>
  <c r="G116" i="13"/>
  <c r="E116" i="13"/>
  <c r="F116" i="13"/>
  <c r="E80" i="13"/>
  <c r="G80" i="13"/>
  <c r="F80" i="13"/>
  <c r="D241" i="13"/>
  <c r="G241" i="13" s="1"/>
  <c r="D242" i="13"/>
  <c r="G242" i="13" s="1"/>
  <c r="D247" i="13"/>
  <c r="G247" i="13" s="1"/>
  <c r="D239" i="13"/>
  <c r="G239" i="13" s="1"/>
  <c r="D240" i="13"/>
  <c r="G240" i="13" s="1"/>
  <c r="D244" i="13"/>
  <c r="G244" i="13" s="1"/>
  <c r="D246" i="13"/>
  <c r="G246" i="13" s="1"/>
  <c r="D245" i="13"/>
  <c r="G245" i="13" s="1"/>
  <c r="D243" i="13"/>
  <c r="G243" i="13" s="1"/>
  <c r="D248" i="13"/>
  <c r="G248" i="13" s="1"/>
  <c r="E69" i="13"/>
  <c r="G69" i="13"/>
  <c r="F69" i="13"/>
  <c r="G53" i="13"/>
  <c r="E53" i="13"/>
  <c r="F53" i="13"/>
  <c r="E30" i="13"/>
  <c r="F30" i="13"/>
  <c r="G30" i="13"/>
  <c r="E16" i="13"/>
  <c r="G16" i="13"/>
  <c r="F16" i="13"/>
  <c r="G142" i="13"/>
  <c r="F142" i="13"/>
  <c r="E142" i="13"/>
  <c r="F134" i="13"/>
  <c r="G134" i="13"/>
  <c r="E134" i="13"/>
  <c r="F126" i="13"/>
  <c r="G126" i="13"/>
  <c r="E126" i="13"/>
  <c r="G115" i="13"/>
  <c r="E115" i="13"/>
  <c r="F115" i="13"/>
  <c r="G104" i="13"/>
  <c r="F104" i="13"/>
  <c r="E104" i="13"/>
  <c r="F79" i="13"/>
  <c r="G79" i="13"/>
  <c r="E79" i="13"/>
  <c r="D231" i="13"/>
  <c r="G231" i="13" s="1"/>
  <c r="D236" i="13"/>
  <c r="G236" i="13" s="1"/>
  <c r="D229" i="13"/>
  <c r="G229" i="13" s="1"/>
  <c r="D230" i="13"/>
  <c r="G230" i="13" s="1"/>
  <c r="D232" i="13"/>
  <c r="G232" i="13" s="1"/>
  <c r="D237" i="13"/>
  <c r="G237" i="13" s="1"/>
  <c r="D233" i="13"/>
  <c r="G233" i="13" s="1"/>
  <c r="D235" i="13"/>
  <c r="G235" i="13" s="1"/>
  <c r="D238" i="13"/>
  <c r="G238" i="13" s="1"/>
  <c r="D234" i="13"/>
  <c r="G234" i="13" s="1"/>
  <c r="G68" i="13"/>
  <c r="F68" i="13"/>
  <c r="E68" i="13"/>
  <c r="G60" i="13"/>
  <c r="F60" i="13"/>
  <c r="E60" i="13"/>
  <c r="E52" i="13"/>
  <c r="F52" i="13"/>
  <c r="G52" i="13"/>
  <c r="F40" i="13"/>
  <c r="G40" i="13"/>
  <c r="E40" i="13"/>
  <c r="G26" i="13"/>
  <c r="E26" i="13"/>
  <c r="F26" i="13"/>
  <c r="G15" i="13"/>
  <c r="F15" i="13"/>
  <c r="E15" i="13"/>
  <c r="F3" i="13"/>
  <c r="G3" i="13"/>
  <c r="E3" i="13"/>
  <c r="E141" i="13"/>
  <c r="G141" i="13"/>
  <c r="F141" i="13"/>
  <c r="G133" i="13"/>
  <c r="E133" i="13"/>
  <c r="F133" i="13"/>
  <c r="G125" i="13"/>
  <c r="E125" i="13"/>
  <c r="F125" i="13"/>
  <c r="E114" i="13"/>
  <c r="F114" i="13"/>
  <c r="G114" i="13"/>
  <c r="E103" i="13"/>
  <c r="G103" i="13"/>
  <c r="F103" i="13"/>
  <c r="G89" i="13"/>
  <c r="F89" i="13"/>
  <c r="E89" i="13"/>
  <c r="G78" i="13"/>
  <c r="E78" i="13"/>
  <c r="F78" i="13"/>
  <c r="D223" i="13"/>
  <c r="G223" i="13" s="1"/>
  <c r="D220" i="13"/>
  <c r="G220" i="13" s="1"/>
  <c r="D221" i="13"/>
  <c r="G221" i="13" s="1"/>
  <c r="D228" i="13"/>
  <c r="G228" i="13" s="1"/>
  <c r="D225" i="13"/>
  <c r="G225" i="13" s="1"/>
  <c r="D226" i="13"/>
  <c r="G226" i="13" s="1"/>
  <c r="D224" i="13"/>
  <c r="G224" i="13" s="1"/>
  <c r="D227" i="13"/>
  <c r="G227" i="13" s="1"/>
  <c r="D219" i="13"/>
  <c r="G219" i="13" s="1"/>
  <c r="D222" i="13"/>
  <c r="G222" i="13" s="1"/>
  <c r="E72" i="13"/>
  <c r="F72" i="13"/>
  <c r="G72" i="13"/>
  <c r="G44" i="13"/>
  <c r="F44" i="13"/>
  <c r="E44" i="13"/>
  <c r="E22" i="13"/>
  <c r="F22" i="13"/>
  <c r="G22" i="13"/>
  <c r="E137" i="13"/>
  <c r="G137" i="13"/>
  <c r="F137" i="13"/>
  <c r="G107" i="13"/>
  <c r="F107" i="13"/>
  <c r="E107" i="13"/>
  <c r="D282" i="13"/>
  <c r="G282" i="13" s="1"/>
  <c r="D288" i="13"/>
  <c r="G288" i="13" s="1"/>
  <c r="D280" i="13"/>
  <c r="G280" i="13" s="1"/>
  <c r="D286" i="13"/>
  <c r="G286" i="13" s="1"/>
  <c r="D279" i="13"/>
  <c r="G279" i="13" s="1"/>
  <c r="D283" i="13"/>
  <c r="G283" i="13" s="1"/>
  <c r="D287" i="13"/>
  <c r="G287" i="13" s="1"/>
  <c r="D284" i="13"/>
  <c r="G284" i="13" s="1"/>
  <c r="D285" i="13"/>
  <c r="G285" i="13" s="1"/>
  <c r="D281" i="13"/>
  <c r="G281" i="13" s="1"/>
  <c r="G63" i="13"/>
  <c r="E63" i="13"/>
  <c r="F63" i="13"/>
  <c r="F32" i="13"/>
  <c r="E32" i="13"/>
  <c r="G32" i="13"/>
  <c r="G6" i="13"/>
  <c r="E6" i="13"/>
  <c r="F6" i="13"/>
  <c r="E128" i="13"/>
  <c r="G128" i="13"/>
  <c r="F128" i="13"/>
  <c r="E95" i="13"/>
  <c r="G95" i="13"/>
  <c r="F95" i="13"/>
  <c r="E70" i="13"/>
  <c r="G70" i="13"/>
  <c r="F70" i="13"/>
  <c r="G31" i="13"/>
  <c r="F31" i="13"/>
  <c r="E31" i="13"/>
  <c r="E5" i="13"/>
  <c r="G5" i="13"/>
  <c r="F5" i="13"/>
  <c r="F105" i="13"/>
  <c r="G105" i="13"/>
  <c r="E105" i="13"/>
  <c r="E2" i="13"/>
  <c r="F2" i="13"/>
  <c r="G2" i="13"/>
  <c r="F51" i="13"/>
  <c r="E51" i="13"/>
  <c r="G51" i="13"/>
  <c r="E74" i="13"/>
  <c r="G74" i="13"/>
  <c r="F74" i="13"/>
  <c r="G66" i="13"/>
  <c r="F66" i="13"/>
  <c r="E66" i="13"/>
  <c r="E58" i="13"/>
  <c r="F58" i="13"/>
  <c r="G58" i="13"/>
  <c r="F50" i="13"/>
  <c r="G50" i="13"/>
  <c r="E50" i="13"/>
  <c r="F35" i="13"/>
  <c r="E35" i="13"/>
  <c r="G35" i="13"/>
  <c r="E24" i="13"/>
  <c r="G24" i="13"/>
  <c r="F24" i="13"/>
  <c r="G13" i="13"/>
  <c r="F13" i="13"/>
  <c r="E13" i="13"/>
  <c r="G75" i="13"/>
  <c r="F75" i="13"/>
  <c r="E75" i="13"/>
  <c r="G139" i="13"/>
  <c r="E139" i="13"/>
  <c r="F139" i="13"/>
  <c r="G131" i="13"/>
  <c r="F131" i="13"/>
  <c r="E131" i="13"/>
  <c r="E123" i="13"/>
  <c r="G123" i="13"/>
  <c r="F123" i="13"/>
  <c r="G112" i="13"/>
  <c r="E112" i="13"/>
  <c r="F112" i="13"/>
  <c r="G98" i="13"/>
  <c r="F98" i="13"/>
  <c r="E98" i="13"/>
  <c r="E87" i="13"/>
  <c r="F87" i="13"/>
  <c r="G87" i="13"/>
  <c r="G76" i="13"/>
  <c r="F76" i="13"/>
  <c r="E76" i="13"/>
  <c r="D201" i="13"/>
  <c r="G201" i="13" s="1"/>
  <c r="D199" i="13"/>
  <c r="G199" i="13" s="1"/>
  <c r="D204" i="13"/>
  <c r="G204" i="13" s="1"/>
  <c r="D205" i="13"/>
  <c r="G205" i="13" s="1"/>
  <c r="D202" i="13"/>
  <c r="G202" i="13" s="1"/>
  <c r="D208" i="13"/>
  <c r="G208" i="13" s="1"/>
  <c r="D203" i="13"/>
  <c r="G203" i="13" s="1"/>
  <c r="D207" i="13"/>
  <c r="G207" i="13" s="1"/>
  <c r="D206" i="13"/>
  <c r="G206" i="13" s="1"/>
  <c r="D200" i="13"/>
  <c r="G200" i="13" s="1"/>
  <c r="G56" i="13"/>
  <c r="E56" i="13"/>
  <c r="F56" i="13"/>
  <c r="G145" i="13"/>
  <c r="F145" i="13"/>
  <c r="E145" i="13"/>
  <c r="F121" i="13"/>
  <c r="E121" i="13"/>
  <c r="G121" i="13"/>
  <c r="F96" i="13"/>
  <c r="E96" i="13"/>
  <c r="G96" i="13"/>
  <c r="D185" i="13"/>
  <c r="G185" i="13" s="1"/>
  <c r="D182" i="13"/>
  <c r="G182" i="13" s="1"/>
  <c r="D181" i="13"/>
  <c r="G181" i="13" s="1"/>
  <c r="D188" i="13"/>
  <c r="G188" i="13" s="1"/>
  <c r="D180" i="13"/>
  <c r="G180" i="13" s="1"/>
  <c r="D186" i="13"/>
  <c r="G186" i="13" s="1"/>
  <c r="D183" i="13"/>
  <c r="G183" i="13" s="1"/>
  <c r="D187" i="13"/>
  <c r="G187" i="13" s="1"/>
  <c r="D179" i="13"/>
  <c r="G179" i="13" s="1"/>
  <c r="D184" i="13"/>
  <c r="G184" i="13" s="1"/>
  <c r="G55" i="13"/>
  <c r="E55" i="13"/>
  <c r="F55" i="13"/>
  <c r="E21" i="13"/>
  <c r="G21" i="13"/>
  <c r="F21" i="13"/>
  <c r="G136" i="13"/>
  <c r="F136" i="13"/>
  <c r="E136" i="13"/>
  <c r="G106" i="13"/>
  <c r="F106" i="13"/>
  <c r="E106" i="13"/>
  <c r="D254" i="13"/>
  <c r="G254" i="13" s="1"/>
  <c r="D249" i="13"/>
  <c r="G249" i="13" s="1"/>
  <c r="D258" i="13"/>
  <c r="G258" i="13" s="1"/>
  <c r="D251" i="13"/>
  <c r="G251" i="13" s="1"/>
  <c r="D257" i="13"/>
  <c r="G257" i="13" s="1"/>
  <c r="D255" i="13"/>
  <c r="G255" i="13" s="1"/>
  <c r="D252" i="13"/>
  <c r="G252" i="13" s="1"/>
  <c r="D250" i="13"/>
  <c r="G250" i="13" s="1"/>
  <c r="D253" i="13"/>
  <c r="G253" i="13" s="1"/>
  <c r="D256" i="13"/>
  <c r="G256" i="13" s="1"/>
  <c r="G62" i="13"/>
  <c r="F62" i="13"/>
  <c r="E62" i="13"/>
  <c r="G17" i="13"/>
  <c r="F17" i="13"/>
  <c r="E17" i="13"/>
  <c r="G127" i="13"/>
  <c r="E127" i="13"/>
  <c r="F127" i="13"/>
  <c r="E94" i="13"/>
  <c r="F94" i="13"/>
  <c r="G94" i="13"/>
  <c r="G67" i="13"/>
  <c r="F67" i="13"/>
  <c r="E67" i="13"/>
  <c r="G59" i="13"/>
  <c r="F59" i="13"/>
  <c r="E59" i="13"/>
  <c r="G39" i="13"/>
  <c r="E39" i="13"/>
  <c r="F39" i="13"/>
  <c r="E14" i="13"/>
  <c r="G14" i="13"/>
  <c r="F14" i="13"/>
  <c r="G49" i="13"/>
  <c r="F49" i="13"/>
  <c r="E49" i="13"/>
  <c r="G140" i="13"/>
  <c r="E140" i="13"/>
  <c r="F140" i="13"/>
  <c r="G132" i="13"/>
  <c r="E132" i="13"/>
  <c r="F132" i="13"/>
  <c r="E124" i="13"/>
  <c r="G124" i="13"/>
  <c r="F124" i="13"/>
  <c r="G113" i="13"/>
  <c r="E113" i="13"/>
  <c r="F113" i="13"/>
  <c r="G102" i="13"/>
  <c r="E102" i="13"/>
  <c r="F102" i="13"/>
  <c r="F88" i="13"/>
  <c r="E88" i="13"/>
  <c r="G88" i="13"/>
  <c r="G77" i="13"/>
  <c r="E77" i="13"/>
  <c r="F77" i="13"/>
  <c r="D211" i="13"/>
  <c r="G211" i="13" s="1"/>
  <c r="D214" i="13"/>
  <c r="G214" i="13" s="1"/>
  <c r="D210" i="13"/>
  <c r="G210" i="13" s="1"/>
  <c r="D218" i="13"/>
  <c r="G218" i="13" s="1"/>
  <c r="D212" i="13"/>
  <c r="G212" i="13" s="1"/>
  <c r="D217" i="13"/>
  <c r="G217" i="13" s="1"/>
  <c r="D215" i="13"/>
  <c r="G215" i="13" s="1"/>
  <c r="D213" i="13"/>
  <c r="G213" i="13" s="1"/>
  <c r="D216" i="13"/>
  <c r="G216" i="13" s="1"/>
  <c r="D209" i="13"/>
  <c r="G209" i="13" s="1"/>
  <c r="G73" i="13"/>
  <c r="E73" i="13"/>
  <c r="F73" i="13"/>
  <c r="F65" i="13"/>
  <c r="E65" i="13"/>
  <c r="G65" i="13"/>
  <c r="G57" i="13"/>
  <c r="F57" i="13"/>
  <c r="E57" i="13"/>
  <c r="E48" i="13"/>
  <c r="F48" i="13"/>
  <c r="G48" i="13"/>
  <c r="G34" i="13"/>
  <c r="E34" i="13"/>
  <c r="F34" i="13"/>
  <c r="G23" i="13"/>
  <c r="F23" i="13"/>
  <c r="E23" i="13"/>
  <c r="F12" i="13"/>
  <c r="E12" i="13"/>
  <c r="G12" i="13"/>
  <c r="G146" i="13"/>
  <c r="E146" i="13"/>
  <c r="F146" i="13"/>
  <c r="G138" i="13"/>
  <c r="E138" i="13"/>
  <c r="F138" i="13"/>
  <c r="E130" i="13"/>
  <c r="F130" i="13"/>
  <c r="G130" i="13"/>
  <c r="G122" i="13"/>
  <c r="F122" i="13"/>
  <c r="E122" i="13"/>
  <c r="G111" i="13"/>
  <c r="F111" i="13"/>
  <c r="E111" i="13"/>
  <c r="G97" i="13"/>
  <c r="E97" i="13"/>
  <c r="F97" i="13"/>
  <c r="G86" i="13"/>
  <c r="F86" i="13"/>
  <c r="E86" i="13"/>
  <c r="D293" i="13"/>
  <c r="G293" i="13" s="1"/>
  <c r="D290" i="13"/>
  <c r="G290" i="13" s="1"/>
  <c r="D294" i="13"/>
  <c r="G294" i="13" s="1"/>
  <c r="D289" i="13"/>
  <c r="G289" i="13" s="1"/>
  <c r="D296" i="13"/>
  <c r="G296" i="13" s="1"/>
  <c r="D298" i="13"/>
  <c r="G298" i="13" s="1"/>
  <c r="D292" i="13"/>
  <c r="G292" i="13" s="1"/>
  <c r="D295" i="13"/>
  <c r="G295" i="13" s="1"/>
  <c r="D291" i="13"/>
  <c r="G291" i="13" s="1"/>
  <c r="D297" i="13"/>
  <c r="G297" i="13" s="1"/>
  <c r="D198" i="13"/>
  <c r="G198" i="13" s="1"/>
  <c r="D195" i="13"/>
  <c r="G195" i="13" s="1"/>
  <c r="D191" i="13"/>
  <c r="G191" i="13" s="1"/>
  <c r="D196" i="13"/>
  <c r="G196" i="13" s="1"/>
  <c r="D197" i="13"/>
  <c r="G197" i="13" s="1"/>
  <c r="D190" i="13"/>
  <c r="G190" i="13" s="1"/>
  <c r="D189" i="13"/>
  <c r="G189" i="13" s="1"/>
  <c r="D193" i="13"/>
  <c r="G193" i="13" s="1"/>
  <c r="D192" i="13"/>
  <c r="G192" i="13" s="1"/>
  <c r="D194" i="13"/>
  <c r="G194" i="13" s="1"/>
  <c r="D11" i="13"/>
  <c r="D314" i="13"/>
  <c r="G314" i="13" s="1"/>
  <c r="D312" i="13"/>
  <c r="G312" i="13" s="1"/>
  <c r="G11" i="13" l="1"/>
  <c r="E11" i="13"/>
  <c r="F11" i="13"/>
  <c r="F324" i="13" l="1"/>
  <c r="E324" i="13"/>
  <c r="E437" i="13"/>
  <c r="F437" i="13"/>
  <c r="F325" i="13"/>
  <c r="E325" i="13"/>
  <c r="F350" i="13"/>
  <c r="E350" i="13"/>
  <c r="F457" i="13"/>
  <c r="E457" i="13"/>
  <c r="F374" i="13"/>
  <c r="E374" i="13"/>
  <c r="F328" i="13"/>
  <c r="E328" i="13"/>
  <c r="F347" i="13"/>
  <c r="E347" i="13"/>
  <c r="E340" i="13"/>
  <c r="F340" i="13"/>
  <c r="E395" i="13"/>
  <c r="F395" i="13"/>
  <c r="F432" i="13"/>
  <c r="E432" i="13"/>
  <c r="F344" i="13"/>
  <c r="E344" i="13"/>
  <c r="F351" i="13"/>
  <c r="E351" i="13"/>
  <c r="F482" i="13"/>
  <c r="E482" i="13"/>
  <c r="F355" i="13"/>
  <c r="E355" i="13"/>
  <c r="F365" i="13"/>
  <c r="E365" i="13"/>
  <c r="F372" i="13"/>
  <c r="E372" i="13"/>
  <c r="F479" i="13"/>
  <c r="E479" i="13"/>
  <c r="F364" i="13"/>
  <c r="E364" i="13"/>
  <c r="E321" i="13"/>
  <c r="F321" i="13"/>
  <c r="E378" i="13"/>
  <c r="F378" i="13"/>
  <c r="F353" i="13"/>
  <c r="E353" i="13"/>
  <c r="E420" i="13"/>
  <c r="F420" i="13"/>
  <c r="F481" i="13"/>
  <c r="E481" i="13"/>
  <c r="F477" i="13"/>
  <c r="E477" i="13"/>
  <c r="E469" i="13"/>
  <c r="F469" i="13"/>
  <c r="F336" i="13"/>
  <c r="E336" i="13"/>
  <c r="F318" i="13"/>
  <c r="E318" i="13"/>
  <c r="F467" i="13"/>
  <c r="E467" i="13"/>
  <c r="E475" i="13"/>
  <c r="F475" i="13"/>
  <c r="E421" i="13"/>
  <c r="F421" i="13"/>
  <c r="E327" i="13"/>
  <c r="F327" i="13"/>
  <c r="F356" i="13"/>
  <c r="E356" i="13"/>
  <c r="E409" i="13"/>
  <c r="F409" i="13"/>
  <c r="E426" i="13"/>
  <c r="F426" i="13"/>
  <c r="F366" i="13"/>
  <c r="E366" i="13"/>
  <c r="E474" i="13"/>
  <c r="F474" i="13"/>
  <c r="E468" i="13"/>
  <c r="F468" i="13"/>
  <c r="E393" i="13"/>
  <c r="F393" i="13"/>
  <c r="E362" i="13"/>
  <c r="F362" i="13"/>
  <c r="E407" i="13"/>
  <c r="F407" i="13"/>
  <c r="E383" i="13"/>
  <c r="F383" i="13"/>
  <c r="E400" i="13"/>
  <c r="F400" i="13"/>
  <c r="F405" i="13"/>
  <c r="E405" i="13"/>
  <c r="F465" i="13"/>
  <c r="E465" i="13"/>
  <c r="F410" i="13"/>
  <c r="E410" i="13"/>
  <c r="F361" i="13"/>
  <c r="E361" i="13"/>
  <c r="F451" i="13"/>
  <c r="E451" i="13"/>
  <c r="F352" i="13"/>
  <c r="E352" i="13"/>
  <c r="F387" i="13"/>
  <c r="E387" i="13"/>
  <c r="F341" i="13"/>
  <c r="E341" i="13"/>
  <c r="E431" i="13"/>
  <c r="F431" i="13"/>
  <c r="F404" i="13"/>
  <c r="E404" i="13"/>
  <c r="F349" i="13"/>
  <c r="E349" i="13"/>
  <c r="F343" i="13"/>
  <c r="E343" i="13"/>
  <c r="F478" i="13"/>
  <c r="E478" i="13"/>
  <c r="E456" i="13"/>
  <c r="F456" i="13"/>
  <c r="F423" i="13"/>
  <c r="E423" i="13"/>
  <c r="E398" i="13"/>
  <c r="F398" i="13"/>
  <c r="E425" i="13"/>
  <c r="F425" i="13"/>
  <c r="E397" i="13"/>
  <c r="F397" i="13"/>
  <c r="F357" i="13"/>
  <c r="E357" i="13"/>
  <c r="F329" i="13"/>
  <c r="E329" i="13"/>
  <c r="E354" i="13"/>
  <c r="F354" i="13"/>
  <c r="E438" i="13"/>
  <c r="F438" i="13"/>
  <c r="F428" i="13"/>
  <c r="E428" i="13"/>
  <c r="F335" i="13"/>
  <c r="E335" i="13"/>
  <c r="E367" i="13"/>
  <c r="F367" i="13"/>
  <c r="F401" i="13"/>
  <c r="E401" i="13"/>
  <c r="E394" i="13"/>
  <c r="F394" i="13"/>
  <c r="E444" i="13"/>
  <c r="F444" i="13"/>
  <c r="E415" i="13"/>
  <c r="F415" i="13"/>
  <c r="F470" i="13"/>
  <c r="E470" i="13"/>
  <c r="F382" i="13"/>
  <c r="E382" i="13"/>
  <c r="E326" i="13"/>
  <c r="F326" i="13"/>
  <c r="F463" i="13"/>
  <c r="E463" i="13"/>
  <c r="F399" i="13"/>
  <c r="E399" i="13"/>
  <c r="F460" i="13"/>
  <c r="E460" i="13"/>
  <c r="F440" i="13"/>
  <c r="E440" i="13"/>
  <c r="F427" i="13"/>
  <c r="E427" i="13"/>
  <c r="F386" i="13"/>
  <c r="E386" i="13"/>
  <c r="F358" i="13"/>
  <c r="E358" i="13"/>
  <c r="E459" i="13"/>
  <c r="F459" i="13"/>
  <c r="F452" i="13"/>
  <c r="E452" i="13"/>
  <c r="E445" i="13"/>
  <c r="F445" i="13"/>
  <c r="E380" i="13"/>
  <c r="F380" i="13"/>
  <c r="F442" i="13"/>
  <c r="E442" i="13"/>
  <c r="E464" i="13"/>
  <c r="F464" i="13"/>
  <c r="F403" i="13"/>
  <c r="E403" i="13"/>
  <c r="F396" i="13"/>
  <c r="E396" i="13"/>
  <c r="F414" i="13"/>
  <c r="E414" i="13"/>
  <c r="E339" i="13"/>
  <c r="F339" i="13"/>
  <c r="F408" i="13"/>
  <c r="E408" i="13"/>
  <c r="F333" i="13"/>
  <c r="E333" i="13"/>
  <c r="F422" i="13"/>
  <c r="E422" i="13"/>
  <c r="F392" i="13"/>
  <c r="E392" i="13"/>
  <c r="E338" i="13"/>
  <c r="F338" i="13"/>
  <c r="F370" i="13"/>
  <c r="E370" i="13"/>
  <c r="F450" i="13"/>
  <c r="E450" i="13"/>
  <c r="E480" i="13"/>
  <c r="F480" i="13"/>
  <c r="F320" i="13"/>
  <c r="E320" i="13"/>
  <c r="E346" i="13"/>
  <c r="F346" i="13"/>
  <c r="E337" i="13"/>
  <c r="F337" i="13"/>
  <c r="E322" i="13"/>
  <c r="F322" i="13"/>
  <c r="F417" i="13"/>
  <c r="E417" i="13"/>
  <c r="F371" i="13"/>
  <c r="E371" i="13"/>
  <c r="E416" i="13"/>
  <c r="F416" i="13"/>
  <c r="F389" i="13"/>
  <c r="E389" i="13"/>
  <c r="E319" i="13"/>
  <c r="F319" i="13"/>
  <c r="F433" i="13"/>
  <c r="E433" i="13"/>
  <c r="F448" i="13"/>
  <c r="E448" i="13"/>
  <c r="F384" i="13"/>
  <c r="E384" i="13"/>
  <c r="F453" i="13"/>
  <c r="E453" i="13"/>
  <c r="E368" i="13"/>
  <c r="F368" i="13"/>
  <c r="E330" i="13"/>
  <c r="F330" i="13"/>
  <c r="F376" i="13"/>
  <c r="E376" i="13"/>
  <c r="E461" i="13"/>
  <c r="F461" i="13"/>
  <c r="F424" i="13"/>
  <c r="E424" i="13"/>
  <c r="F441" i="13"/>
  <c r="E441" i="13"/>
  <c r="E323" i="13"/>
  <c r="F323" i="13"/>
  <c r="F390" i="13"/>
  <c r="E390" i="13"/>
  <c r="F391" i="13"/>
  <c r="E391" i="13"/>
  <c r="F342" i="13"/>
  <c r="E342" i="13"/>
  <c r="F359" i="13"/>
  <c r="E359" i="13"/>
  <c r="E388" i="13"/>
  <c r="F388" i="13"/>
  <c r="E458" i="13"/>
  <c r="F458" i="13"/>
  <c r="F375" i="13"/>
  <c r="E375" i="13"/>
  <c r="E436" i="13"/>
  <c r="F436" i="13"/>
  <c r="E447" i="13"/>
  <c r="F447" i="13"/>
  <c r="E454" i="13"/>
  <c r="F454" i="13"/>
  <c r="E471" i="13"/>
  <c r="F471" i="13"/>
  <c r="F363" i="13"/>
  <c r="E363" i="13"/>
  <c r="E332" i="13"/>
  <c r="F332" i="13"/>
  <c r="F430" i="13"/>
  <c r="E430" i="13"/>
  <c r="E466" i="13"/>
  <c r="F466" i="13"/>
  <c r="F402" i="13"/>
  <c r="E402" i="13"/>
  <c r="F434" i="13"/>
  <c r="E434" i="13"/>
  <c r="E379" i="13"/>
  <c r="F379" i="13"/>
  <c r="E381" i="13"/>
  <c r="F381" i="13"/>
  <c r="F348" i="13"/>
  <c r="E348" i="13"/>
  <c r="E413" i="13"/>
  <c r="F413" i="13"/>
  <c r="E345" i="13"/>
  <c r="F345" i="13"/>
  <c r="E406" i="13"/>
  <c r="F406" i="13"/>
  <c r="F446" i="13"/>
  <c r="E446" i="13"/>
  <c r="F439" i="13"/>
  <c r="E439" i="13"/>
  <c r="E411" i="13"/>
  <c r="F411" i="13"/>
  <c r="E369" i="13"/>
  <c r="F369" i="13"/>
  <c r="E429" i="13"/>
  <c r="F429" i="13"/>
  <c r="F377" i="13"/>
  <c r="E377" i="13"/>
  <c r="F443" i="13"/>
  <c r="E443" i="13"/>
  <c r="F473" i="13"/>
  <c r="E473" i="13"/>
  <c r="E385" i="13"/>
  <c r="F385" i="13"/>
  <c r="F360" i="13"/>
  <c r="E360" i="13"/>
  <c r="E435" i="13"/>
  <c r="F435" i="13"/>
  <c r="E455" i="13"/>
  <c r="F455" i="13"/>
  <c r="F331" i="13"/>
  <c r="E331" i="13"/>
  <c r="E412" i="13"/>
  <c r="F412" i="13"/>
  <c r="E472" i="13"/>
  <c r="F472" i="13"/>
  <c r="E462" i="13"/>
  <c r="F462" i="13"/>
  <c r="E476" i="13"/>
  <c r="F476" i="13"/>
  <c r="E449" i="13"/>
  <c r="F449" i="13"/>
  <c r="E419" i="13"/>
  <c r="F419" i="13"/>
  <c r="E334" i="13"/>
  <c r="F334" i="13"/>
  <c r="F373" i="13"/>
  <c r="E373" i="13"/>
  <c r="F418" i="13"/>
  <c r="E418" i="13"/>
  <c r="B529" i="5" l="1"/>
  <c r="B509" i="5"/>
  <c r="B458" i="5"/>
  <c r="B420" i="5"/>
  <c r="B481" i="5"/>
  <c r="B494" i="5"/>
  <c r="B395" i="5"/>
  <c r="B520" i="5"/>
  <c r="B521" i="5"/>
  <c r="B442" i="5"/>
  <c r="B391" i="5"/>
  <c r="B389" i="5"/>
  <c r="B432" i="5"/>
  <c r="B379" i="5"/>
  <c r="B413" i="5"/>
  <c r="B463" i="5"/>
  <c r="B417" i="5"/>
  <c r="B504" i="5"/>
  <c r="B478" i="5"/>
  <c r="B498" i="5"/>
  <c r="B386" i="5"/>
  <c r="B491" i="5"/>
  <c r="B503" i="5"/>
  <c r="B492" i="5"/>
  <c r="B510" i="5"/>
  <c r="B407" i="5"/>
  <c r="B523" i="5"/>
  <c r="B373" i="5"/>
  <c r="B513" i="5"/>
  <c r="B517" i="5"/>
  <c r="B414" i="5"/>
  <c r="B408" i="5"/>
  <c r="B519" i="5"/>
  <c r="B445" i="5"/>
  <c r="B444" i="5"/>
  <c r="B454" i="5"/>
  <c r="B441" i="5"/>
  <c r="B383" i="5"/>
  <c r="B473" i="5"/>
  <c r="B424" i="5"/>
  <c r="B493" i="5"/>
  <c r="B435" i="5"/>
  <c r="B401" i="5"/>
  <c r="B376" i="5"/>
  <c r="B515" i="5"/>
  <c r="B404" i="5"/>
  <c r="B411" i="5"/>
  <c r="B381" i="5"/>
  <c r="B524" i="5"/>
  <c r="B467" i="5"/>
  <c r="B497" i="5"/>
  <c r="B375" i="5"/>
  <c r="B507" i="5"/>
  <c r="B457" i="5"/>
  <c r="B433" i="5"/>
  <c r="B409" i="5"/>
  <c r="B410" i="5"/>
  <c r="B400" i="5"/>
  <c r="B446" i="5"/>
  <c r="B437" i="5"/>
  <c r="B394" i="5"/>
  <c r="B511" i="5"/>
  <c r="B367" i="5"/>
  <c r="B377" i="5"/>
  <c r="B366" i="5"/>
  <c r="B399" i="5"/>
  <c r="B382" i="5"/>
  <c r="B384" i="5"/>
  <c r="B469" i="5"/>
  <c r="B406" i="5"/>
  <c r="B508" i="5"/>
  <c r="B430" i="5"/>
  <c r="B490" i="5"/>
  <c r="B431" i="5"/>
  <c r="B512" i="5"/>
  <c r="B525" i="5"/>
  <c r="B485" i="5"/>
  <c r="B470" i="5"/>
  <c r="B450" i="5"/>
  <c r="B471" i="5"/>
  <c r="B440" i="5"/>
  <c r="B465" i="5"/>
  <c r="B372" i="5"/>
  <c r="B378" i="5"/>
  <c r="B405" i="5"/>
  <c r="B426" i="5"/>
  <c r="B387" i="5"/>
  <c r="B434" i="5"/>
  <c r="B459" i="5"/>
  <c r="B443" i="5"/>
  <c r="B370" i="5"/>
  <c r="B419" i="5"/>
  <c r="B451" i="5"/>
  <c r="B461" i="5"/>
  <c r="B502" i="5"/>
  <c r="B423" i="5"/>
  <c r="B403" i="5"/>
  <c r="B480" i="5"/>
  <c r="B380" i="5"/>
  <c r="B468" i="5"/>
  <c r="B462" i="5"/>
  <c r="B392" i="5"/>
  <c r="B487" i="5"/>
  <c r="B402" i="5"/>
  <c r="B438" i="5"/>
  <c r="B396" i="5"/>
  <c r="B477" i="5"/>
  <c r="B530" i="5"/>
  <c r="B427" i="5"/>
  <c r="B489" i="5"/>
  <c r="B428" i="5"/>
  <c r="B371" i="5"/>
  <c r="B455" i="5"/>
  <c r="B496" i="5"/>
  <c r="B439" i="5"/>
  <c r="B495" i="5"/>
  <c r="B388" i="5"/>
  <c r="B412" i="5"/>
  <c r="B385" i="5"/>
  <c r="B488" i="5"/>
  <c r="B505" i="5"/>
  <c r="B464" i="5"/>
  <c r="B368" i="5"/>
  <c r="B516" i="5"/>
  <c r="B499" i="5"/>
  <c r="B460" i="5"/>
  <c r="B482" i="5"/>
  <c r="B398" i="5"/>
  <c r="B466" i="5"/>
  <c r="B449" i="5"/>
  <c r="B416" i="5"/>
  <c r="B393" i="5"/>
  <c r="B479" i="5"/>
  <c r="B456" i="5"/>
  <c r="B422" i="5"/>
  <c r="B421" i="5"/>
  <c r="B472" i="5"/>
  <c r="B415" i="5"/>
  <c r="B476" i="5"/>
  <c r="B397" i="5"/>
  <c r="B452" i="5"/>
  <c r="B484" i="5"/>
  <c r="B518" i="5"/>
  <c r="B526" i="5"/>
  <c r="B429" i="5"/>
  <c r="B514" i="5"/>
  <c r="B528" i="5"/>
  <c r="B483" i="5"/>
  <c r="B474" i="5"/>
  <c r="B475" i="5"/>
  <c r="B369" i="5"/>
  <c r="B501" i="5"/>
  <c r="B390" i="5"/>
  <c r="B374" i="5"/>
  <c r="B527" i="5"/>
  <c r="B425" i="5"/>
  <c r="B448" i="5"/>
  <c r="B500" i="5"/>
  <c r="B418" i="5"/>
  <c r="B447" i="5"/>
  <c r="B506" i="5"/>
  <c r="B486" i="5"/>
  <c r="B436" i="5"/>
  <c r="B453" i="5"/>
  <c r="B522" i="5"/>
  <c r="I318" i="13" l="1"/>
  <c r="I407" i="13"/>
  <c r="I396" i="13"/>
  <c r="I399" i="13"/>
  <c r="I401" i="13"/>
  <c r="I406" i="13"/>
  <c r="I404" i="13"/>
  <c r="I400" i="13"/>
  <c r="I398" i="13"/>
  <c r="I403" i="13"/>
  <c r="I395" i="13"/>
  <c r="I393" i="13"/>
  <c r="I397" i="13"/>
  <c r="I394" i="13"/>
  <c r="I405" i="13"/>
  <c r="I402" i="13"/>
  <c r="I425" i="13"/>
  <c r="I427" i="13"/>
  <c r="I434" i="13"/>
  <c r="I432" i="13"/>
  <c r="I433" i="13"/>
  <c r="I428" i="13"/>
  <c r="I426" i="13"/>
  <c r="I423" i="13"/>
  <c r="I429" i="13"/>
  <c r="I437" i="13"/>
  <c r="I436" i="13"/>
  <c r="I424" i="13"/>
  <c r="I431" i="13"/>
  <c r="I430" i="13"/>
  <c r="I435" i="13"/>
  <c r="I330" i="13"/>
  <c r="I332" i="13"/>
  <c r="I325" i="13"/>
  <c r="I324" i="13"/>
  <c r="I326" i="13"/>
  <c r="I319" i="13"/>
  <c r="I320" i="13"/>
  <c r="I323" i="13"/>
  <c r="I321" i="13"/>
  <c r="I322" i="13"/>
  <c r="I328" i="13"/>
  <c r="I331" i="13"/>
  <c r="I329" i="13"/>
  <c r="I327" i="13"/>
  <c r="I451" i="13"/>
  <c r="I443" i="13"/>
  <c r="I438" i="13"/>
  <c r="I441" i="13"/>
  <c r="I442" i="13"/>
  <c r="I450" i="13"/>
  <c r="I449" i="13"/>
  <c r="I452" i="13"/>
  <c r="I440" i="13"/>
  <c r="I448" i="13"/>
  <c r="I446" i="13"/>
  <c r="I447" i="13"/>
  <c r="I445" i="13"/>
  <c r="I439" i="13"/>
  <c r="I444" i="13"/>
  <c r="I415" i="13"/>
  <c r="I417" i="13"/>
  <c r="I413" i="13"/>
  <c r="I419" i="13"/>
  <c r="I421" i="13"/>
  <c r="I412" i="13"/>
  <c r="I410" i="13"/>
  <c r="I420" i="13"/>
  <c r="I422" i="13"/>
  <c r="I416" i="13"/>
  <c r="I411" i="13"/>
  <c r="I408" i="13"/>
  <c r="I409" i="13"/>
  <c r="I418" i="13"/>
  <c r="I414" i="13"/>
  <c r="I333" i="13"/>
  <c r="I344" i="13"/>
  <c r="I341" i="13"/>
  <c r="I340" i="13"/>
  <c r="I334" i="13"/>
  <c r="I346" i="13"/>
  <c r="I337" i="13"/>
  <c r="I336" i="13"/>
  <c r="I335" i="13"/>
  <c r="I338" i="13"/>
  <c r="I342" i="13"/>
  <c r="I343" i="13"/>
  <c r="I347" i="13"/>
  <c r="I345" i="13"/>
  <c r="I339" i="13"/>
  <c r="I461" i="13"/>
  <c r="I459" i="13"/>
  <c r="I455" i="13"/>
  <c r="I458" i="13"/>
  <c r="I465" i="13"/>
  <c r="I457" i="13"/>
  <c r="I467" i="13"/>
  <c r="I466" i="13"/>
  <c r="I464" i="13"/>
  <c r="I460" i="13"/>
  <c r="I453" i="13"/>
  <c r="I462" i="13"/>
  <c r="I454" i="13"/>
  <c r="I463" i="13"/>
  <c r="I456" i="13"/>
  <c r="I370" i="13"/>
  <c r="I374" i="13"/>
  <c r="I368" i="13"/>
  <c r="I372" i="13"/>
  <c r="I376" i="13"/>
  <c r="I367" i="13"/>
  <c r="I366" i="13"/>
  <c r="I364" i="13"/>
  <c r="I365" i="13"/>
  <c r="I363" i="13"/>
  <c r="I375" i="13"/>
  <c r="I373" i="13"/>
  <c r="I371" i="13"/>
  <c r="I377" i="13"/>
  <c r="I369" i="13"/>
  <c r="I478" i="13"/>
  <c r="I474" i="13"/>
  <c r="I469" i="13"/>
  <c r="I471" i="13"/>
  <c r="I476" i="13"/>
  <c r="I470" i="13"/>
  <c r="I482" i="13"/>
  <c r="I468" i="13"/>
  <c r="I480" i="13"/>
  <c r="I473" i="13"/>
  <c r="I479" i="13"/>
  <c r="I472" i="13"/>
  <c r="I477" i="13"/>
  <c r="I481" i="13"/>
  <c r="I475" i="13"/>
  <c r="I384" i="13"/>
  <c r="I389" i="13"/>
  <c r="I385" i="13"/>
  <c r="I380" i="13"/>
  <c r="I392" i="13"/>
  <c r="I378" i="13"/>
  <c r="I386" i="13"/>
  <c r="I390" i="13"/>
  <c r="I381" i="13"/>
  <c r="I382" i="13"/>
  <c r="I391" i="13"/>
  <c r="I387" i="13"/>
  <c r="I379" i="13"/>
  <c r="I388" i="13"/>
  <c r="I383" i="13"/>
  <c r="I358" i="13"/>
  <c r="I349" i="13"/>
  <c r="I352" i="13"/>
  <c r="I356" i="13"/>
  <c r="I359" i="13"/>
  <c r="I357" i="13"/>
  <c r="I351" i="13"/>
  <c r="I355" i="13"/>
  <c r="I360" i="13"/>
  <c r="I354" i="13"/>
  <c r="I361" i="13"/>
  <c r="I362" i="13"/>
  <c r="I350" i="13"/>
  <c r="I348" i="13"/>
  <c r="I353" i="13"/>
  <c r="BY2" i="8" l="1"/>
  <c r="U357" i="13" l="1"/>
  <c r="R352" i="13"/>
  <c r="H119" i="13" l="1"/>
  <c r="H118" i="13"/>
  <c r="H117" i="13"/>
  <c r="H110" i="13"/>
  <c r="H109" i="13"/>
  <c r="H108" i="13"/>
  <c r="H101" i="13"/>
  <c r="H100" i="13"/>
  <c r="H99" i="13"/>
  <c r="H92" i="13"/>
  <c r="H91" i="13"/>
  <c r="H90" i="13"/>
  <c r="H83" i="13"/>
  <c r="H82" i="13"/>
  <c r="H81" i="13"/>
  <c r="H76" i="13" l="1"/>
  <c r="H77" i="13"/>
  <c r="H78" i="13"/>
  <c r="H79" i="13"/>
  <c r="H80" i="13"/>
  <c r="H84" i="13"/>
  <c r="H85" i="13"/>
  <c r="H86" i="13"/>
  <c r="H87" i="13"/>
  <c r="H88" i="13"/>
  <c r="H89" i="13"/>
  <c r="H93" i="13"/>
  <c r="H94" i="13"/>
  <c r="H95" i="13"/>
  <c r="H96" i="13"/>
  <c r="H97" i="13"/>
  <c r="H98" i="13"/>
  <c r="H102" i="13"/>
  <c r="H103" i="13"/>
  <c r="H104" i="13"/>
  <c r="H105" i="13"/>
  <c r="H106" i="13"/>
  <c r="H107" i="13"/>
  <c r="H111" i="13"/>
  <c r="H112" i="13"/>
  <c r="H113" i="13"/>
  <c r="H114" i="13"/>
  <c r="H115" i="13"/>
  <c r="H116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75" i="13"/>
  <c r="R3" i="13" l="1"/>
  <c r="P147" i="13" l="1"/>
  <c r="E147" i="13" s="1"/>
  <c r="P151" i="13"/>
  <c r="E151" i="13" s="1"/>
  <c r="P149" i="13"/>
  <c r="E149" i="13" s="1"/>
  <c r="P148" i="13"/>
  <c r="E148" i="13" s="1"/>
  <c r="P150" i="13"/>
  <c r="E150" i="13" s="1"/>
  <c r="S149" i="13"/>
  <c r="P146" i="13"/>
  <c r="P152" i="13"/>
  <c r="E152" i="13" s="1"/>
</calcChain>
</file>

<file path=xl/comments1.xml><?xml version="1.0" encoding="utf-8"?>
<comments xmlns="http://schemas.openxmlformats.org/spreadsheetml/2006/main">
  <authors>
    <author>Javy</author>
    <author>bobuchen</author>
  </authors>
  <commentList>
    <comment ref="J17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预览用</t>
        </r>
      </text>
    </comment>
    <comment ref="A244" authorId="1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领取的是金币</t>
        </r>
      </text>
    </comment>
  </commentList>
</comments>
</file>

<file path=xl/comments2.xml><?xml version="1.0" encoding="utf-8"?>
<comments xmlns="http://schemas.openxmlformats.org/spreadsheetml/2006/main">
  <authors>
    <author>Javy</author>
  </authors>
  <commentList>
    <comment ref="E147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该值无效</t>
        </r>
      </text>
    </comment>
    <comment ref="F147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打掉100%血获得的金币</t>
        </r>
      </text>
    </comment>
  </commentList>
</comments>
</file>

<file path=xl/sharedStrings.xml><?xml version="1.0" encoding="utf-8"?>
<sst xmlns="http://schemas.openxmlformats.org/spreadsheetml/2006/main" count="1983" uniqueCount="1182">
  <si>
    <t>集合ID</t>
    <phoneticPr fontId="1" type="noConversion"/>
  </si>
  <si>
    <t>显示数量</t>
    <phoneticPr fontId="1" type="noConversion"/>
  </si>
  <si>
    <t>道具数量</t>
    <phoneticPr fontId="1" type="noConversion"/>
  </si>
  <si>
    <t>道具1奖励道具</t>
    <phoneticPr fontId="1" type="noConversion"/>
  </si>
  <si>
    <t>道具1奖励数量</t>
    <phoneticPr fontId="1" type="noConversion"/>
  </si>
  <si>
    <t>道具1权重</t>
    <phoneticPr fontId="1" type="noConversion"/>
  </si>
  <si>
    <t>道具2奖励道具</t>
  </si>
  <si>
    <t>道具3奖励道具</t>
  </si>
  <si>
    <t>道具4奖励道具</t>
  </si>
  <si>
    <t>道具5奖励道具</t>
  </si>
  <si>
    <t>特殊掉落表</t>
    <phoneticPr fontId="1" type="noConversion"/>
  </si>
  <si>
    <t>必须掉一个</t>
    <phoneticPr fontId="1" type="noConversion"/>
  </si>
  <si>
    <t>普通掉落表</t>
    <phoneticPr fontId="1" type="noConversion"/>
  </si>
  <si>
    <t>可能一起掉</t>
    <phoneticPr fontId="1" type="noConversion"/>
  </si>
  <si>
    <t>道具1概率</t>
    <phoneticPr fontId="1" type="noConversion"/>
  </si>
  <si>
    <t>道具2奖励数量</t>
  </si>
  <si>
    <t>道具3奖励数量</t>
  </si>
  <si>
    <t>道具3概率</t>
  </si>
  <si>
    <t>道具4奖励数量</t>
  </si>
  <si>
    <t>道具4概率</t>
  </si>
  <si>
    <t>道具5奖励数量</t>
  </si>
  <si>
    <t>道具5概率</t>
  </si>
  <si>
    <t>道具6奖励道具</t>
  </si>
  <si>
    <t>道具6奖励数量</t>
  </si>
  <si>
    <t>道具6概率</t>
  </si>
  <si>
    <t>道具7奖励道具</t>
  </si>
  <si>
    <t>道具7奖励数量</t>
  </si>
  <si>
    <t>道具7概率</t>
  </si>
  <si>
    <t>道具8奖励道具</t>
  </si>
  <si>
    <t>道具8奖励数量</t>
  </si>
  <si>
    <t>道具8概率</t>
  </si>
  <si>
    <t>道具9奖励道具</t>
  </si>
  <si>
    <t>道具9奖励数量</t>
  </si>
  <si>
    <t>道具9概率</t>
  </si>
  <si>
    <t>道具10奖励道具</t>
  </si>
  <si>
    <t>道具10奖励数量</t>
  </si>
  <si>
    <t>道具10概率</t>
  </si>
  <si>
    <t>道具11奖励道具</t>
  </si>
  <si>
    <t>道具11奖励数量</t>
  </si>
  <si>
    <t>道具11概率</t>
  </si>
  <si>
    <t>道具12奖励道具</t>
  </si>
  <si>
    <t>道具12奖励数量</t>
  </si>
  <si>
    <t>道具12概率</t>
  </si>
  <si>
    <t>道具13奖励道具</t>
  </si>
  <si>
    <t>道具13奖励数量</t>
  </si>
  <si>
    <t>道具13概率</t>
  </si>
  <si>
    <t>道具14奖励道具</t>
  </si>
  <si>
    <t>道具14奖励数量</t>
  </si>
  <si>
    <t>道具14概率</t>
  </si>
  <si>
    <t>道具15奖励道具</t>
  </si>
  <si>
    <t>道具15奖励数量</t>
  </si>
  <si>
    <t>道具15概率</t>
  </si>
  <si>
    <t>金币奖励下限</t>
    <phoneticPr fontId="1" type="noConversion"/>
  </si>
  <si>
    <t>金币奖励上限</t>
    <phoneticPr fontId="1" type="noConversion"/>
  </si>
  <si>
    <t>经验奖励</t>
    <phoneticPr fontId="1" type="noConversion"/>
  </si>
  <si>
    <t>龙魂数量</t>
    <phoneticPr fontId="1" type="noConversion"/>
  </si>
  <si>
    <t>命币</t>
    <phoneticPr fontId="1" type="noConversion"/>
  </si>
  <si>
    <t>特殊道具奖励集合ID</t>
    <phoneticPr fontId="1" type="noConversion"/>
  </si>
  <si>
    <t>普通道具奖励集合ID</t>
    <phoneticPr fontId="1" type="noConversion"/>
  </si>
  <si>
    <t>道具数量</t>
    <phoneticPr fontId="1" type="noConversion"/>
  </si>
  <si>
    <t>道具2概率</t>
    <phoneticPr fontId="1" type="noConversion"/>
  </si>
  <si>
    <t>道具1奖励数量</t>
    <phoneticPr fontId="1" type="noConversion"/>
  </si>
  <si>
    <t>装备ID</t>
    <phoneticPr fontId="1" type="noConversion"/>
  </si>
  <si>
    <t>装备名字</t>
    <phoneticPr fontId="1" type="noConversion"/>
  </si>
  <si>
    <t>ID</t>
    <phoneticPr fontId="1" type="noConversion"/>
  </si>
  <si>
    <t>名称</t>
    <phoneticPr fontId="1" type="noConversion"/>
  </si>
  <si>
    <t>翅膀碎片</t>
  </si>
  <si>
    <t>富甲一方</t>
  </si>
  <si>
    <t>不哭死神</t>
  </si>
  <si>
    <t>至尊王者</t>
  </si>
  <si>
    <t>部位材料(武器)</t>
  </si>
  <si>
    <t>部位材料(衣服)</t>
  </si>
  <si>
    <t>部位材料(鞋子)</t>
  </si>
  <si>
    <t>野性之拳</t>
  </si>
  <si>
    <t>流光之拳</t>
  </si>
  <si>
    <t>暗羽霸刀</t>
  </si>
  <si>
    <t>暗羽之拳</t>
  </si>
  <si>
    <t>玄武霸刀</t>
  </si>
  <si>
    <t>玄武之拳</t>
  </si>
  <si>
    <t>嗜血拳</t>
  </si>
  <si>
    <t>霸道之刃</t>
  </si>
  <si>
    <t>霸道之拳</t>
  </si>
  <si>
    <t>白虎霸刀</t>
  </si>
  <si>
    <t>白虎之拳</t>
  </si>
  <si>
    <t>道具</t>
    <phoneticPr fontId="1" type="noConversion"/>
  </si>
  <si>
    <t>装备</t>
    <phoneticPr fontId="1" type="noConversion"/>
  </si>
  <si>
    <t>道具2权重</t>
  </si>
  <si>
    <t>道具3权重</t>
  </si>
  <si>
    <t>道具4权重</t>
  </si>
  <si>
    <t>道具5权重</t>
  </si>
  <si>
    <t>道具6权重</t>
  </si>
  <si>
    <t>道具7权重</t>
  </si>
  <si>
    <t>道具8权重</t>
  </si>
  <si>
    <t>道具9权重</t>
  </si>
  <si>
    <t>道具10权重</t>
  </si>
  <si>
    <t>道具11权重</t>
  </si>
  <si>
    <t>道具12权重</t>
  </si>
  <si>
    <t>道具1名称</t>
    <phoneticPr fontId="1" type="noConversion"/>
  </si>
  <si>
    <t>道具2名称</t>
  </si>
  <si>
    <t>道具3名称</t>
  </si>
  <si>
    <t>道具4名称</t>
  </si>
  <si>
    <t>道具5名称</t>
  </si>
  <si>
    <t>道具6名称</t>
  </si>
  <si>
    <t>道具7名称</t>
  </si>
  <si>
    <t>道具8名称</t>
  </si>
  <si>
    <t>道具9名称</t>
  </si>
  <si>
    <t>道具10名称</t>
  </si>
  <si>
    <t>道具11名称</t>
  </si>
  <si>
    <t>道具12名称</t>
  </si>
  <si>
    <t>道具13名称</t>
  </si>
  <si>
    <t>道具13权重</t>
  </si>
  <si>
    <t>道具14名称</t>
  </si>
  <si>
    <t>道具14权重</t>
  </si>
  <si>
    <t>道具15名称</t>
  </si>
  <si>
    <t>道具15权重</t>
  </si>
  <si>
    <t>备注</t>
    <phoneticPr fontId="1" type="noConversion"/>
  </si>
  <si>
    <t>钻石</t>
    <phoneticPr fontId="1" type="noConversion"/>
  </si>
  <si>
    <t>奖励ID</t>
    <phoneticPr fontId="1" type="noConversion"/>
  </si>
  <si>
    <t>道具奖励个数上限</t>
    <phoneticPr fontId="1" type="noConversion"/>
  </si>
  <si>
    <t>奖励所属副本</t>
    <phoneticPr fontId="1" type="noConversion"/>
  </si>
  <si>
    <t>副本消耗体力</t>
    <phoneticPr fontId="1" type="noConversion"/>
  </si>
  <si>
    <t>每点体力对应金币</t>
    <phoneticPr fontId="1" type="noConversion"/>
  </si>
  <si>
    <t>金币十连抽</t>
    <phoneticPr fontId="1" type="noConversion"/>
  </si>
  <si>
    <t>钻石十连抽</t>
    <phoneticPr fontId="1" type="noConversion"/>
  </si>
  <si>
    <t>VIP商城</t>
    <phoneticPr fontId="1" type="noConversion"/>
  </si>
  <si>
    <t>神秘商城</t>
    <phoneticPr fontId="1" type="noConversion"/>
  </si>
  <si>
    <t>金币商店</t>
    <phoneticPr fontId="1" type="noConversion"/>
  </si>
  <si>
    <t>ID</t>
    <phoneticPr fontId="1" type="noConversion"/>
  </si>
  <si>
    <t>名称</t>
    <phoneticPr fontId="1" type="noConversion"/>
  </si>
  <si>
    <t>马仔宝物</t>
    <phoneticPr fontId="1" type="noConversion"/>
  </si>
  <si>
    <t>冬利</t>
  </si>
  <si>
    <t>ID</t>
    <phoneticPr fontId="1" type="noConversion"/>
  </si>
  <si>
    <t>名字</t>
    <phoneticPr fontId="1" type="noConversion"/>
  </si>
  <si>
    <t>马仔</t>
    <phoneticPr fontId="1" type="noConversion"/>
  </si>
  <si>
    <t>ID</t>
    <phoneticPr fontId="1" type="noConversion"/>
  </si>
  <si>
    <t>名字</t>
    <phoneticPr fontId="1" type="noConversion"/>
  </si>
  <si>
    <t>比利</t>
  </si>
  <si>
    <t>肥仔</t>
  </si>
  <si>
    <t>司徒浩南</t>
  </si>
  <si>
    <t>大天二</t>
  </si>
  <si>
    <t>称号</t>
    <phoneticPr fontId="1" type="noConversion"/>
  </si>
  <si>
    <t>名字</t>
    <phoneticPr fontId="1" type="noConversion"/>
  </si>
  <si>
    <t>称号</t>
    <phoneticPr fontId="1" type="noConversion"/>
  </si>
  <si>
    <t>新手之拳</t>
  </si>
  <si>
    <t>新手之枪</t>
  </si>
  <si>
    <t>染血之剑</t>
  </si>
  <si>
    <t>染血之拳</t>
  </si>
  <si>
    <t>无</t>
    <phoneticPr fontId="1" type="noConversion"/>
  </si>
  <si>
    <t>双倍经验卡（1天）</t>
  </si>
  <si>
    <t>双倍经验卡（2天）</t>
  </si>
  <si>
    <t>命格</t>
    <phoneticPr fontId="1" type="noConversion"/>
  </si>
  <si>
    <t>冰魄寒光</t>
  </si>
  <si>
    <t>天命</t>
  </si>
  <si>
    <t>八卦</t>
  </si>
  <si>
    <t>困魔</t>
  </si>
  <si>
    <t>咆哮</t>
  </si>
  <si>
    <t>破天</t>
  </si>
  <si>
    <t>元初</t>
  </si>
  <si>
    <t>剎那</t>
  </si>
  <si>
    <t>噬生</t>
  </si>
  <si>
    <t>蟹仔</t>
  </si>
  <si>
    <t>黎九</t>
  </si>
  <si>
    <t>黑古</t>
  </si>
  <si>
    <t>山下忠秀</t>
  </si>
  <si>
    <t>是否根据职业掉落</t>
    <phoneticPr fontId="1" type="noConversion"/>
  </si>
  <si>
    <t>远征41-45级段第1关</t>
  </si>
  <si>
    <t>远征41-45级段第2关</t>
  </si>
  <si>
    <t>远征41-45级段第3关</t>
  </si>
  <si>
    <t>远征41-45级段第4关</t>
  </si>
  <si>
    <t>远征41-45级段第5关</t>
  </si>
  <si>
    <t>远征41-45级段第6关</t>
  </si>
  <si>
    <t>远征41-45级段第7关</t>
  </si>
  <si>
    <t>远征41-45级段第8关</t>
  </si>
  <si>
    <t>远征41-45级段第9关</t>
  </si>
  <si>
    <t>远征41-45级段第10关</t>
  </si>
  <si>
    <t>远征41-45级段第11关</t>
  </si>
  <si>
    <t>远征41-45级段第12关</t>
  </si>
  <si>
    <t>远征41-45级段第13关</t>
  </si>
  <si>
    <t>远征41-45级段第14关</t>
  </si>
  <si>
    <t>远征41-45级段第15关</t>
  </si>
  <si>
    <t>远征46-50级段第1关</t>
  </si>
  <si>
    <t>远征46-50级段第2关</t>
  </si>
  <si>
    <t>远征46-50级段第3关</t>
  </si>
  <si>
    <t>远征46-50级段第4关</t>
  </si>
  <si>
    <t>远征46-50级段第5关</t>
  </si>
  <si>
    <t>远征46-50级段第6关</t>
  </si>
  <si>
    <t>远征46-50级段第7关</t>
  </si>
  <si>
    <t>远征46-50级段第8关</t>
  </si>
  <si>
    <t>远征46-50级段第9关</t>
  </si>
  <si>
    <t>远征46-50级段第10关</t>
  </si>
  <si>
    <t>远征46-50级段第11关</t>
  </si>
  <si>
    <t>远征46-50级段第12关</t>
  </si>
  <si>
    <t>远征46-50级段第13关</t>
  </si>
  <si>
    <t>远征46-50级段第14关</t>
  </si>
  <si>
    <t>远征46-50级段第15关</t>
  </si>
  <si>
    <t>远征51-55级段第1关</t>
  </si>
  <si>
    <t>远征51-55级段第2关</t>
  </si>
  <si>
    <t>远征51-55级段第3关</t>
  </si>
  <si>
    <t>远征51-55级段第4关</t>
  </si>
  <si>
    <t>远征51-55级段第5关</t>
  </si>
  <si>
    <t>远征51-55级段第6关</t>
  </si>
  <si>
    <t>远征51-55级段第7关</t>
  </si>
  <si>
    <t>远征51-55级段第8关</t>
  </si>
  <si>
    <t>远征51-55级段第9关</t>
  </si>
  <si>
    <t>远征51-55级段第10关</t>
  </si>
  <si>
    <t>远征51-55级段第11关</t>
  </si>
  <si>
    <t>远征51-55级段第12关</t>
  </si>
  <si>
    <t>远征51-55级段第13关</t>
  </si>
  <si>
    <t>远征51-55级段第14关</t>
  </si>
  <si>
    <t>远征51-55级段第15关</t>
  </si>
  <si>
    <t>远征56-60级段第1关</t>
  </si>
  <si>
    <t>远征56-60级段第2关</t>
  </si>
  <si>
    <t>远征56-60级段第3关</t>
  </si>
  <si>
    <t>远征56-60级段第4关</t>
  </si>
  <si>
    <t>远征56-60级段第5关</t>
  </si>
  <si>
    <t>远征56-60级段第6关</t>
  </si>
  <si>
    <t>远征56-60级段第7关</t>
  </si>
  <si>
    <t>远征56-60级段第8关</t>
  </si>
  <si>
    <t>远征56-60级段第9关</t>
  </si>
  <si>
    <t>远征56-60级段第10关</t>
  </si>
  <si>
    <t>远征56-60级段第11关</t>
  </si>
  <si>
    <t>远征56-60级段第12关</t>
  </si>
  <si>
    <t>远征56-60级段第13关</t>
  </si>
  <si>
    <t>远征56-60级段第14关</t>
  </si>
  <si>
    <t>远征56-60级段第15关</t>
  </si>
  <si>
    <t>远征61-65级段第1关</t>
  </si>
  <si>
    <t>远征61-65级段第2关</t>
  </si>
  <si>
    <t>远征61-65级段第3关</t>
  </si>
  <si>
    <t>远征61-65级段第4关</t>
  </si>
  <si>
    <t>远征61-65级段第5关</t>
  </si>
  <si>
    <t>远征61-65级段第6关</t>
  </si>
  <si>
    <t>远征61-65级段第7关</t>
  </si>
  <si>
    <t>远征61-65级段第8关</t>
  </si>
  <si>
    <t>远征61-65级段第9关</t>
  </si>
  <si>
    <t>远征61-65级段第10关</t>
  </si>
  <si>
    <t>远征61-65级段第11关</t>
  </si>
  <si>
    <t>远征61-65级段第12关</t>
  </si>
  <si>
    <t>远征61-65级段第13关</t>
  </si>
  <si>
    <t>远征61-65级段第14关</t>
  </si>
  <si>
    <t>远征61-65级段第15关</t>
  </si>
  <si>
    <t>远征66-70级段第1关</t>
  </si>
  <si>
    <t>远征66-70级段第2关</t>
  </si>
  <si>
    <t>远征66-70级段第3关</t>
  </si>
  <si>
    <t>远征66-70级段第4关</t>
  </si>
  <si>
    <t>远征66-70级段第5关</t>
  </si>
  <si>
    <t>远征66-70级段第6关</t>
  </si>
  <si>
    <t>远征66-70级段第7关</t>
  </si>
  <si>
    <t>远征66-70级段第8关</t>
  </si>
  <si>
    <t>远征66-70级段第9关</t>
  </si>
  <si>
    <t>远征66-70级段第10关</t>
  </si>
  <si>
    <t>远征66-70级段第11关</t>
  </si>
  <si>
    <t>远征66-70级段第12关</t>
  </si>
  <si>
    <t>远征66-70级段第13关</t>
  </si>
  <si>
    <t>远征66-70级段第14关</t>
  </si>
  <si>
    <t>远征66-70级段第15关</t>
  </si>
  <si>
    <t>远征71-75级段第1关</t>
  </si>
  <si>
    <t>远征71-75级段第2关</t>
  </si>
  <si>
    <t>远征71-75级段第3关</t>
  </si>
  <si>
    <t>远征71-75级段第4关</t>
  </si>
  <si>
    <t>远征71-75级段第5关</t>
  </si>
  <si>
    <t>远征71-75级段第6关</t>
  </si>
  <si>
    <t>远征71-75级段第7关</t>
  </si>
  <si>
    <t>远征71-75级段第8关</t>
  </si>
  <si>
    <t>远征71-75级段第9关</t>
  </si>
  <si>
    <t>远征71-75级段第10关</t>
  </si>
  <si>
    <t>远征71-75级段第11关</t>
  </si>
  <si>
    <t>远征71-75级段第12关</t>
  </si>
  <si>
    <t>远征71-75级段第13关</t>
  </si>
  <si>
    <t>远征71-75级段第14关</t>
  </si>
  <si>
    <t>远征71-75级段第15关</t>
  </si>
  <si>
    <t>远征76-80级段第1关</t>
  </si>
  <si>
    <t>远征76-80级段第2关</t>
  </si>
  <si>
    <t>远征76-80级段第3关</t>
  </si>
  <si>
    <t>远征76-80级段第4关</t>
  </si>
  <si>
    <t>远征76-80级段第5关</t>
  </si>
  <si>
    <t>远征76-80级段第6关</t>
  </si>
  <si>
    <t>远征76-80级段第7关</t>
  </si>
  <si>
    <t>远征76-80级段第8关</t>
  </si>
  <si>
    <t>远征76-80级段第9关</t>
  </si>
  <si>
    <t>远征76-80级段第10关</t>
  </si>
  <si>
    <t>远征76-80级段第11关</t>
  </si>
  <si>
    <t>远征76-80级段第12关</t>
  </si>
  <si>
    <t>远征76-80级段第13关</t>
  </si>
  <si>
    <t>远征76-80级段第14关</t>
  </si>
  <si>
    <t>远征76-80级段第15关</t>
  </si>
  <si>
    <t>马仔灵魂石ID</t>
    <phoneticPr fontId="1" type="noConversion"/>
  </si>
  <si>
    <t>5位</t>
    <phoneticPr fontId="1" type="noConversion"/>
  </si>
  <si>
    <t>78101~78199</t>
    <phoneticPr fontId="1" type="noConversion"/>
  </si>
  <si>
    <t>道具ID</t>
    <phoneticPr fontId="1" type="noConversion"/>
  </si>
  <si>
    <t>5位</t>
    <phoneticPr fontId="1" type="noConversion"/>
  </si>
  <si>
    <t>80000~89999</t>
    <phoneticPr fontId="1" type="noConversion"/>
  </si>
  <si>
    <t>命格ID</t>
    <phoneticPr fontId="1" type="noConversion"/>
  </si>
  <si>
    <t>4位</t>
    <phoneticPr fontId="1" type="noConversion"/>
  </si>
  <si>
    <t>8000~9999</t>
    <phoneticPr fontId="1" type="noConversion"/>
  </si>
  <si>
    <t>马仔装备ID</t>
    <phoneticPr fontId="1" type="noConversion"/>
  </si>
  <si>
    <t>6位</t>
  </si>
  <si>
    <t>92000~98999</t>
    <phoneticPr fontId="1" type="noConversion"/>
  </si>
  <si>
    <t>马仔药水ID</t>
    <phoneticPr fontId="1" type="noConversion"/>
  </si>
  <si>
    <t>91000~91999</t>
    <phoneticPr fontId="1" type="noConversion"/>
  </si>
  <si>
    <t>装备ID</t>
    <phoneticPr fontId="1" type="noConversion"/>
  </si>
  <si>
    <t>5位</t>
    <phoneticPr fontId="1" type="noConversion"/>
  </si>
  <si>
    <t>武器10000~56999  装备 57000~57999</t>
    <phoneticPr fontId="1" type="noConversion"/>
  </si>
  <si>
    <t>71000~76000</t>
    <phoneticPr fontId="1" type="noConversion"/>
  </si>
  <si>
    <t>装备图纸</t>
    <phoneticPr fontId="1" type="noConversion"/>
  </si>
  <si>
    <t>升星石</t>
    <phoneticPr fontId="1" type="noConversion"/>
  </si>
  <si>
    <t>马仔药水</t>
    <phoneticPr fontId="1" type="noConversion"/>
  </si>
  <si>
    <t>强化石</t>
    <phoneticPr fontId="1" type="noConversion"/>
  </si>
  <si>
    <t>马仔装备</t>
    <phoneticPr fontId="1" type="noConversion"/>
  </si>
  <si>
    <t>道具ID</t>
    <phoneticPr fontId="1" type="noConversion"/>
  </si>
  <si>
    <t>命格</t>
    <phoneticPr fontId="1" type="noConversion"/>
  </si>
  <si>
    <t>装备</t>
    <phoneticPr fontId="1" type="noConversion"/>
  </si>
  <si>
    <t>马仔灵魂石</t>
    <phoneticPr fontId="1" type="noConversion"/>
  </si>
  <si>
    <t>部位材料</t>
    <phoneticPr fontId="1" type="noConversion"/>
  </si>
  <si>
    <t>真刚</t>
  </si>
  <si>
    <t>虎啸</t>
  </si>
  <si>
    <t>豪魄</t>
  </si>
  <si>
    <t>捉影</t>
  </si>
  <si>
    <t>游刃</t>
  </si>
  <si>
    <t>傲骨</t>
  </si>
  <si>
    <t>心眼</t>
  </si>
  <si>
    <t>痛击</t>
  </si>
  <si>
    <t>不坏</t>
  </si>
  <si>
    <t>盘蛇</t>
  </si>
  <si>
    <t>龙吟</t>
  </si>
  <si>
    <t>守御</t>
  </si>
  <si>
    <t>千眼</t>
  </si>
  <si>
    <t>逍遥</t>
  </si>
  <si>
    <t>流离</t>
  </si>
  <si>
    <t>夺魄</t>
  </si>
  <si>
    <t>幽灵</t>
  </si>
  <si>
    <t>备注</t>
    <phoneticPr fontId="1" type="noConversion"/>
  </si>
  <si>
    <t>道具1名称</t>
    <phoneticPr fontId="1" type="noConversion"/>
  </si>
  <si>
    <t>道具2名称</t>
    <phoneticPr fontId="1" type="noConversion"/>
  </si>
  <si>
    <t>道具3名称</t>
    <phoneticPr fontId="1" type="noConversion"/>
  </si>
  <si>
    <t>道具4名称</t>
    <phoneticPr fontId="1" type="noConversion"/>
  </si>
  <si>
    <t>道具5名称</t>
    <phoneticPr fontId="1" type="noConversion"/>
  </si>
  <si>
    <t>道具6名称</t>
    <phoneticPr fontId="1" type="noConversion"/>
  </si>
  <si>
    <t>道具7名称</t>
    <phoneticPr fontId="1" type="noConversion"/>
  </si>
  <si>
    <t>道具8名称</t>
    <phoneticPr fontId="1" type="noConversion"/>
  </si>
  <si>
    <t>道具9名称</t>
    <phoneticPr fontId="1" type="noConversion"/>
  </si>
  <si>
    <t>道具10名称</t>
    <phoneticPr fontId="1" type="noConversion"/>
  </si>
  <si>
    <t>道具11名称</t>
    <phoneticPr fontId="1" type="noConversion"/>
  </si>
  <si>
    <t>道具12名称</t>
    <phoneticPr fontId="1" type="noConversion"/>
  </si>
  <si>
    <t>道具13名称</t>
    <phoneticPr fontId="1" type="noConversion"/>
  </si>
  <si>
    <t>道具14名称</t>
    <phoneticPr fontId="1" type="noConversion"/>
  </si>
  <si>
    <t>道具15名称</t>
    <phoneticPr fontId="1" type="noConversion"/>
  </si>
  <si>
    <t>药水数量</t>
    <phoneticPr fontId="1" type="noConversion"/>
  </si>
  <si>
    <t>药水经验</t>
    <phoneticPr fontId="1" type="noConversion"/>
  </si>
  <si>
    <t>全通总经验</t>
    <phoneticPr fontId="1" type="noConversion"/>
  </si>
  <si>
    <t>单关经验</t>
    <phoneticPr fontId="1" type="noConversion"/>
  </si>
  <si>
    <t>幻痛霸刀</t>
  </si>
  <si>
    <t>幻痛之拳</t>
  </si>
  <si>
    <t>焚天之拳</t>
  </si>
  <si>
    <t>朱雀霸刀</t>
  </si>
  <si>
    <t>朱雀之拳</t>
  </si>
  <si>
    <t>扛把子</t>
  </si>
  <si>
    <t>神之手</t>
  </si>
  <si>
    <t>狂气之拳</t>
  </si>
  <si>
    <t>爵士之刃</t>
  </si>
  <si>
    <t>爵士之拳</t>
  </si>
  <si>
    <t>爵士之枪</t>
  </si>
  <si>
    <t>爵士战衣</t>
  </si>
  <si>
    <t>爵士长裤</t>
  </si>
  <si>
    <t>爵士长靴</t>
  </si>
  <si>
    <t>爵士腰带</t>
  </si>
  <si>
    <t>爵士项链</t>
  </si>
  <si>
    <t>暴血之刃</t>
  </si>
  <si>
    <t>暴血之拳</t>
  </si>
  <si>
    <t>暴血之枪</t>
  </si>
  <si>
    <t>暴血战衣</t>
  </si>
  <si>
    <t>暴血长裤</t>
  </si>
  <si>
    <t>暴血长靴</t>
  </si>
  <si>
    <t>暴血腰带</t>
  </si>
  <si>
    <t>暴血项链</t>
  </si>
  <si>
    <t>勇气之刃</t>
  </si>
  <si>
    <t>勇气之拳</t>
  </si>
  <si>
    <t>勇气之枪</t>
  </si>
  <si>
    <t>勇气战衣</t>
  </si>
  <si>
    <t>勇气长裤</t>
  </si>
  <si>
    <t>勇气长靴</t>
  </si>
  <si>
    <t>勇气腰带</t>
  </si>
  <si>
    <t>勇气项链</t>
  </si>
  <si>
    <t>暗魔之刃</t>
  </si>
  <si>
    <t>暗魔之拳</t>
  </si>
  <si>
    <t>暗魔之枪</t>
  </si>
  <si>
    <t>暗魔战衣</t>
  </si>
  <si>
    <t>暗魔长裤</t>
  </si>
  <si>
    <t>暗魔长靴</t>
  </si>
  <si>
    <t>暗魔腰带</t>
  </si>
  <si>
    <t>暗魔项链</t>
  </si>
  <si>
    <t>战爵之刃</t>
  </si>
  <si>
    <t>战爵之拳</t>
  </si>
  <si>
    <t>战爵之枪</t>
  </si>
  <si>
    <t>战爵之衣</t>
  </si>
  <si>
    <t>战爵长裤</t>
  </si>
  <si>
    <t>战爵长靴</t>
  </si>
  <si>
    <t>战爵腰带</t>
  </si>
  <si>
    <t>战爵项链</t>
  </si>
  <si>
    <t>堕落之刃</t>
  </si>
  <si>
    <t>堕落之拳</t>
  </si>
  <si>
    <t>堕落之枪</t>
  </si>
  <si>
    <t>堕落战衣</t>
  </si>
  <si>
    <t>堕落长裤</t>
  </si>
  <si>
    <t>堕落长靴</t>
  </si>
  <si>
    <t>堕落腰带</t>
  </si>
  <si>
    <t>堕落项链</t>
  </si>
  <si>
    <t>高洁之刃</t>
  </si>
  <si>
    <t>高洁之拳</t>
  </si>
  <si>
    <t>高洁之枪</t>
  </si>
  <si>
    <t>高洁战衣</t>
  </si>
  <si>
    <t>高洁长裤</t>
  </si>
  <si>
    <t>高洁长靴</t>
  </si>
  <si>
    <t>高洁腰带</t>
  </si>
  <si>
    <t>高洁项链</t>
  </si>
  <si>
    <t>星宿之刃</t>
  </si>
  <si>
    <t>星宿之拳</t>
  </si>
  <si>
    <t>星宿之枪</t>
  </si>
  <si>
    <t>星宿战衣</t>
  </si>
  <si>
    <t>星宿长裤</t>
  </si>
  <si>
    <t>星宿长靴</t>
  </si>
  <si>
    <t>星宿腰带</t>
  </si>
  <si>
    <t>星宿项链</t>
  </si>
  <si>
    <t>扛把子(3天)</t>
  </si>
  <si>
    <t>神之手(3天)</t>
  </si>
  <si>
    <t>富甲一方(3天)</t>
  </si>
  <si>
    <t>不哭死神(3天)</t>
  </si>
  <si>
    <t>至尊王者(3天)</t>
  </si>
  <si>
    <t>金币商店</t>
    <phoneticPr fontId="1" type="noConversion"/>
  </si>
  <si>
    <t>装备兑换商城</t>
    <phoneticPr fontId="1" type="noConversion"/>
  </si>
  <si>
    <t>拼战奖励20-30胜</t>
    <phoneticPr fontId="1" type="noConversion"/>
  </si>
  <si>
    <t>拼战奖励30-40胜</t>
    <phoneticPr fontId="1" type="noConversion"/>
  </si>
  <si>
    <t>拼战奖励40-50胜</t>
    <phoneticPr fontId="1" type="noConversion"/>
  </si>
  <si>
    <t>蓝色装备碎片（无用）</t>
  </si>
  <si>
    <t>紫色装备碎片（无用）</t>
  </si>
  <si>
    <t>橙色装备碎片（无用）</t>
  </si>
  <si>
    <t>成就任务：招募马仔1</t>
    <phoneticPr fontId="1" type="noConversion"/>
  </si>
  <si>
    <t>成就任务：招募马仔2</t>
  </si>
  <si>
    <t>成就任务：招募马仔3</t>
  </si>
  <si>
    <t>成就任务：招募马仔4</t>
  </si>
  <si>
    <t>成就任务：招募马仔5</t>
  </si>
  <si>
    <t>成就任务：招募马仔6</t>
  </si>
  <si>
    <t>成就任务：招募马仔7</t>
  </si>
  <si>
    <t>成就任务：招募马仔8</t>
  </si>
  <si>
    <t>成就任务：招募马仔9</t>
  </si>
  <si>
    <t>成就任务：招募马仔10</t>
  </si>
  <si>
    <t>成就任务：招募马仔11</t>
  </si>
  <si>
    <t>成就任务：招募马仔12</t>
  </si>
  <si>
    <t>成就任务：招募马仔13</t>
  </si>
  <si>
    <t>成就任务：招募马仔14</t>
  </si>
  <si>
    <t>成就任务：招募马仔15</t>
  </si>
  <si>
    <t>成就任务：招募马仔16</t>
  </si>
  <si>
    <t>成就任务：富甲一方</t>
    <phoneticPr fontId="1" type="noConversion"/>
  </si>
  <si>
    <t>成就任务：壕气冲天</t>
    <phoneticPr fontId="1" type="noConversion"/>
  </si>
  <si>
    <t>成就任务：富可敌国</t>
    <phoneticPr fontId="1" type="noConversion"/>
  </si>
  <si>
    <t>蓝装升级石获取期望</t>
    <phoneticPr fontId="1" type="noConversion"/>
  </si>
  <si>
    <t>紫装升级石获取期望</t>
    <phoneticPr fontId="1" type="noConversion"/>
  </si>
  <si>
    <t>橙装升级石获取期望</t>
    <phoneticPr fontId="1" type="noConversion"/>
  </si>
  <si>
    <t>成就任务：1马仔升阶2</t>
    <phoneticPr fontId="1" type="noConversion"/>
  </si>
  <si>
    <t>成就任务：1马仔升阶3</t>
    <phoneticPr fontId="1" type="noConversion"/>
  </si>
  <si>
    <t>成就任务：2马仔升阶4</t>
    <phoneticPr fontId="1" type="noConversion"/>
  </si>
  <si>
    <t>成就任务：2马仔升阶5</t>
    <phoneticPr fontId="1" type="noConversion"/>
  </si>
  <si>
    <t>成就任务：3马仔升阶6</t>
    <phoneticPr fontId="1" type="noConversion"/>
  </si>
  <si>
    <t>成就任务：3马仔升阶7</t>
    <phoneticPr fontId="1" type="noConversion"/>
  </si>
  <si>
    <t>成就任务：4马仔升阶8</t>
    <phoneticPr fontId="1" type="noConversion"/>
  </si>
  <si>
    <t>成就任务：4马仔升阶9</t>
    <phoneticPr fontId="1" type="noConversion"/>
  </si>
  <si>
    <t>成就任务：5马仔升阶10</t>
    <phoneticPr fontId="1" type="noConversion"/>
  </si>
  <si>
    <t>成就任务：1马仔培养+1</t>
    <phoneticPr fontId="1" type="noConversion"/>
  </si>
  <si>
    <t>成就任务：1马仔培养+2</t>
    <phoneticPr fontId="1" type="noConversion"/>
  </si>
  <si>
    <t>成就任务：2马仔培养+3</t>
    <phoneticPr fontId="1" type="noConversion"/>
  </si>
  <si>
    <t>成就任务：2马仔培养+4</t>
    <phoneticPr fontId="1" type="noConversion"/>
  </si>
  <si>
    <t>成就任务：3马仔培养+5</t>
    <phoneticPr fontId="1" type="noConversion"/>
  </si>
  <si>
    <t>成就任务：3马仔培养+6</t>
    <phoneticPr fontId="1" type="noConversion"/>
  </si>
  <si>
    <t>成就任务：4马仔培养+7</t>
    <phoneticPr fontId="1" type="noConversion"/>
  </si>
  <si>
    <t>成就任务：4马仔培养+8</t>
    <phoneticPr fontId="1" type="noConversion"/>
  </si>
  <si>
    <t>成就任务：5马仔培养+9</t>
    <phoneticPr fontId="1" type="noConversion"/>
  </si>
  <si>
    <t>成就任务：5马仔培养+10</t>
    <phoneticPr fontId="1" type="noConversion"/>
  </si>
  <si>
    <t>靓坤</t>
  </si>
  <si>
    <t>乌鸦</t>
  </si>
  <si>
    <t>赌王</t>
  </si>
  <si>
    <t>宫本一</t>
  </si>
  <si>
    <t>陈浩南</t>
  </si>
  <si>
    <t>山鸡</t>
  </si>
  <si>
    <t>亚诺</t>
  </si>
  <si>
    <t>毒蝎耳钉</t>
  </si>
  <si>
    <t>诅咒项链</t>
  </si>
  <si>
    <t>幸运戒指</t>
  </si>
  <si>
    <t>银色手环</t>
  </si>
  <si>
    <t>镀金耳钉</t>
  </si>
  <si>
    <t>水晶项链</t>
  </si>
  <si>
    <t>白银戒指</t>
  </si>
  <si>
    <t>银针手表</t>
  </si>
  <si>
    <t>水晶耳钉</t>
  </si>
  <si>
    <t>越野手表</t>
  </si>
  <si>
    <t>鎏金手环</t>
  </si>
  <si>
    <t>银饰耳钉</t>
  </si>
  <si>
    <t>金饰项链</t>
  </si>
  <si>
    <t>黄金戒指</t>
  </si>
  <si>
    <t>白金手环</t>
  </si>
  <si>
    <t>金针手表</t>
  </si>
  <si>
    <t>青玉项链</t>
  </si>
  <si>
    <t>猫妖项链</t>
  </si>
  <si>
    <t>苍蓝戒指</t>
  </si>
  <si>
    <t>红石项链</t>
  </si>
  <si>
    <t>精准手表</t>
  </si>
  <si>
    <t>苍蓝项链</t>
  </si>
  <si>
    <t>贵族项链</t>
  </si>
  <si>
    <t>王者手环</t>
  </si>
  <si>
    <t>小迭钞票</t>
  </si>
  <si>
    <t>金块</t>
  </si>
  <si>
    <t>大迭钞票</t>
  </si>
  <si>
    <t>汉密手表</t>
  </si>
  <si>
    <t>深蓝</t>
  </si>
  <si>
    <t>星光红石</t>
  </si>
  <si>
    <t>符文手环</t>
  </si>
  <si>
    <t>圣徒项链</t>
  </si>
  <si>
    <t>小堆金块</t>
  </si>
  <si>
    <t>红石耳钉</t>
  </si>
  <si>
    <t>金饰宝盒</t>
  </si>
  <si>
    <t>千国手表</t>
  </si>
  <si>
    <t>大金块</t>
  </si>
  <si>
    <t>菠萝</t>
  </si>
  <si>
    <t>大堆钞票</t>
  </si>
  <si>
    <t>宾倪</t>
  </si>
  <si>
    <t>智能手表</t>
  </si>
  <si>
    <t>宝驼</t>
  </si>
  <si>
    <t>黑耀项链</t>
  </si>
  <si>
    <t>珍珠宝盒</t>
  </si>
  <si>
    <t>宝石手环</t>
  </si>
  <si>
    <t>红博机利</t>
  </si>
  <si>
    <t>皇家项链</t>
  </si>
  <si>
    <t>壕利手表</t>
  </si>
  <si>
    <t>大堆金块</t>
  </si>
  <si>
    <t>劳莱斯特</t>
  </si>
  <si>
    <t>翠绿之心</t>
  </si>
  <si>
    <t>巨额钞票</t>
  </si>
  <si>
    <t>古董宝盒</t>
  </si>
  <si>
    <t>海洋之泪</t>
  </si>
  <si>
    <t>巨量金块</t>
  </si>
  <si>
    <t>水晶宝盒</t>
  </si>
  <si>
    <t>房产证</t>
  </si>
  <si>
    <t>红石项链碎片</t>
  </si>
  <si>
    <t>精准手表碎片</t>
  </si>
  <si>
    <t>苍蓝项链碎片</t>
  </si>
  <si>
    <t>贵族项链碎片</t>
  </si>
  <si>
    <t>王者手环碎片</t>
  </si>
  <si>
    <t>小迭钞票碎片</t>
  </si>
  <si>
    <t>金块碎片</t>
  </si>
  <si>
    <t>大迭钞票碎片</t>
  </si>
  <si>
    <t>汉密手表碎片</t>
  </si>
  <si>
    <t>深蓝碎片</t>
  </si>
  <si>
    <t>星光红石碎片</t>
  </si>
  <si>
    <t>符文手环碎片</t>
  </si>
  <si>
    <t>圣徒项链碎片</t>
  </si>
  <si>
    <t>小堆金块碎片</t>
  </si>
  <si>
    <t>红石耳钉碎片</t>
  </si>
  <si>
    <t>金饰宝盒碎片</t>
  </si>
  <si>
    <t>千国手表碎片</t>
  </si>
  <si>
    <t>大金块碎片</t>
  </si>
  <si>
    <t>菠萝碎片</t>
  </si>
  <si>
    <t>大堆钞票碎片</t>
  </si>
  <si>
    <t>宾倪碎片</t>
  </si>
  <si>
    <t>智能手表碎片</t>
  </si>
  <si>
    <t>宝驼碎片</t>
  </si>
  <si>
    <t>黑耀项链碎片</t>
  </si>
  <si>
    <t>珍珠宝盒碎片</t>
  </si>
  <si>
    <t>宝石手环碎片</t>
  </si>
  <si>
    <t>红博机利碎片</t>
  </si>
  <si>
    <t>皇家项链碎片</t>
  </si>
  <si>
    <t>壕利手表碎片</t>
  </si>
  <si>
    <t>大堆金块碎片</t>
  </si>
  <si>
    <t>劳莱斯特碎片</t>
  </si>
  <si>
    <t>翠绿之心碎片</t>
  </si>
  <si>
    <t>巨额钞票碎片</t>
  </si>
  <si>
    <t>古董宝盒碎片</t>
  </si>
  <si>
    <t>海洋之泪碎片</t>
  </si>
  <si>
    <t>巨量金块碎片</t>
  </si>
  <si>
    <t>水晶宝盒碎片</t>
  </si>
  <si>
    <t>房产证碎片</t>
  </si>
  <si>
    <t>新手之剑</t>
  </si>
  <si>
    <t>染血之枪</t>
  </si>
  <si>
    <t>染血战衣</t>
  </si>
  <si>
    <t>染血长裤</t>
  </si>
  <si>
    <t>染血长靴</t>
  </si>
  <si>
    <t>染血腰带</t>
  </si>
  <si>
    <t>染血项链</t>
  </si>
  <si>
    <t>狂气之剑</t>
  </si>
  <si>
    <t>狂气之枪</t>
  </si>
  <si>
    <t>狂气战衣</t>
  </si>
  <si>
    <t>狂气长裤</t>
  </si>
  <si>
    <t>狂气长靴</t>
  </si>
  <si>
    <t>狂气腰带</t>
  </si>
  <si>
    <t>狂气项链</t>
  </si>
  <si>
    <t>野性之剑</t>
  </si>
  <si>
    <t>野性之枪</t>
  </si>
  <si>
    <t>野性战衣</t>
  </si>
  <si>
    <t>野性长裤</t>
  </si>
  <si>
    <t>野性长靴</t>
  </si>
  <si>
    <t>野性腰带</t>
  </si>
  <si>
    <t>野性项链</t>
  </si>
  <si>
    <t>紫云之剑</t>
  </si>
  <si>
    <t>紫云之拳</t>
  </si>
  <si>
    <t>紫云之枪</t>
  </si>
  <si>
    <t>紫云战衣</t>
  </si>
  <si>
    <t>紫云长裤</t>
  </si>
  <si>
    <t>紫云长靴</t>
  </si>
  <si>
    <t>紫云腰带</t>
  </si>
  <si>
    <t>紫云项链</t>
  </si>
  <si>
    <t>碧蓝之剑</t>
  </si>
  <si>
    <t>碧蓝之拳</t>
  </si>
  <si>
    <t>碧蓝之枪</t>
  </si>
  <si>
    <t>碧蓝战衣</t>
  </si>
  <si>
    <t>碧蓝长裤</t>
  </si>
  <si>
    <t>碧蓝长靴</t>
  </si>
  <si>
    <t>碧蓝腰带</t>
  </si>
  <si>
    <t>碧蓝项链</t>
  </si>
  <si>
    <t>斩魄之刃</t>
  </si>
  <si>
    <t>玫瑰骑士</t>
  </si>
  <si>
    <t>黑鸦战衣</t>
  </si>
  <si>
    <t>黑鸦长裤</t>
  </si>
  <si>
    <t>黑鸦长靴</t>
  </si>
  <si>
    <t>黑鸦腰带</t>
  </si>
  <si>
    <t>黑鸦项链</t>
  </si>
  <si>
    <t>暗羽之枪</t>
  </si>
  <si>
    <t>暗羽战衣</t>
  </si>
  <si>
    <t>暗羽长裤</t>
  </si>
  <si>
    <t>暗羽长靴</t>
  </si>
  <si>
    <t>暗羽腰带</t>
  </si>
  <si>
    <t>暗羽项链</t>
  </si>
  <si>
    <t>玄武之枪</t>
  </si>
  <si>
    <t>玄武战衣</t>
  </si>
  <si>
    <t>玄武长裤</t>
  </si>
  <si>
    <t>玄武长靴</t>
  </si>
  <si>
    <t>玄武腰带</t>
  </si>
  <si>
    <t>玄武项链</t>
  </si>
  <si>
    <t>嗜血之剑</t>
  </si>
  <si>
    <t>嗜血枪</t>
  </si>
  <si>
    <t>嗜血战衣</t>
  </si>
  <si>
    <t>嗜血长裤</t>
  </si>
  <si>
    <t>嗜血长靴</t>
  </si>
  <si>
    <t>嗜血腰带</t>
  </si>
  <si>
    <t>嗜血项链</t>
  </si>
  <si>
    <t>霸道之枪</t>
  </si>
  <si>
    <t>霸道战衣</t>
  </si>
  <si>
    <t>霸道长裤</t>
  </si>
  <si>
    <t>霸道长靴</t>
  </si>
  <si>
    <t>霸道腰带</t>
  </si>
  <si>
    <t>霸道项链</t>
  </si>
  <si>
    <t>白虎之枪</t>
  </si>
  <si>
    <t>白虎战衣</t>
  </si>
  <si>
    <t>白虎长裤</t>
  </si>
  <si>
    <t>白虎长靴</t>
  </si>
  <si>
    <t>白虎腰带</t>
  </si>
  <si>
    <t>白虎项链</t>
  </si>
  <si>
    <t>幻痛之枪</t>
  </si>
  <si>
    <t>幻痛战衣</t>
  </si>
  <si>
    <t>幻痛长裤</t>
  </si>
  <si>
    <t>幻痛长靴</t>
  </si>
  <si>
    <t>幻痛腰带</t>
  </si>
  <si>
    <t>幻痛项链</t>
  </si>
  <si>
    <t>焚天之剑</t>
  </si>
  <si>
    <t>焚天之枪</t>
  </si>
  <si>
    <t>焚天战衣</t>
  </si>
  <si>
    <t>焚天长裤</t>
  </si>
  <si>
    <t>焚天长靴</t>
  </si>
  <si>
    <t>焚天腰带</t>
  </si>
  <si>
    <t>焚天项链</t>
  </si>
  <si>
    <t>朱雀之枪</t>
  </si>
  <si>
    <t>朱雀战衣</t>
  </si>
  <si>
    <t>朱雀长裤</t>
  </si>
  <si>
    <t>朱雀长靴</t>
  </si>
  <si>
    <t>朱雀腰带</t>
  </si>
  <si>
    <t>朱雀项链</t>
  </si>
  <si>
    <t>炼狱之剑</t>
  </si>
  <si>
    <t>炼狱之拳</t>
  </si>
  <si>
    <t>炼狱之枪</t>
  </si>
  <si>
    <t>炼狱战衣</t>
  </si>
  <si>
    <t>炼狱长裤</t>
  </si>
  <si>
    <t>炼狱长靴</t>
  </si>
  <si>
    <t>炼狱腰带</t>
  </si>
  <si>
    <t>炼狱项链</t>
  </si>
  <si>
    <t>青龙霸刀</t>
  </si>
  <si>
    <t>青龙之拳</t>
  </si>
  <si>
    <t>青龙之枪</t>
  </si>
  <si>
    <t>青龙战衣</t>
  </si>
  <si>
    <t>青龙长裤</t>
  </si>
  <si>
    <t>青龙长靴</t>
  </si>
  <si>
    <t>青龙腰带</t>
  </si>
  <si>
    <t>青龙项链</t>
  </si>
  <si>
    <t>灰色物质</t>
  </si>
  <si>
    <t>兽腾</t>
  </si>
  <si>
    <t>战狂</t>
  </si>
  <si>
    <t>贪狼</t>
  </si>
  <si>
    <t>辉煌</t>
  </si>
  <si>
    <t>破军</t>
  </si>
  <si>
    <t>飞仙</t>
  </si>
  <si>
    <t>虚空</t>
  </si>
  <si>
    <t>无惧</t>
  </si>
  <si>
    <t>天杀</t>
  </si>
  <si>
    <t>诛魔</t>
  </si>
  <si>
    <t>寂灭</t>
  </si>
  <si>
    <t>审判</t>
  </si>
  <si>
    <t>天狱</t>
  </si>
  <si>
    <t>无尽</t>
  </si>
  <si>
    <t>断罪</t>
  </si>
  <si>
    <t>一元复始</t>
  </si>
  <si>
    <t>大破坏神</t>
  </si>
  <si>
    <t>天地无用</t>
  </si>
  <si>
    <t>百步穿杨</t>
  </si>
  <si>
    <t>破碎虚空</t>
  </si>
  <si>
    <t>震破苍穹</t>
  </si>
  <si>
    <t>雷霆万钧</t>
  </si>
  <si>
    <t>快刀乱麻</t>
  </si>
  <si>
    <t>明镜止水</t>
  </si>
  <si>
    <t>背水一战</t>
  </si>
  <si>
    <t>金钟护体</t>
  </si>
  <si>
    <t>轩辕剑体</t>
  </si>
  <si>
    <t>气势如虹</t>
  </si>
  <si>
    <t>包罗万象</t>
  </si>
  <si>
    <t>心无杂念</t>
  </si>
  <si>
    <t>披荆斩棘</t>
  </si>
  <si>
    <t>斗转星移</t>
  </si>
  <si>
    <t>审判</t>
    <phoneticPr fontId="1" type="noConversion"/>
  </si>
  <si>
    <t>天狱</t>
    <phoneticPr fontId="1" type="noConversion"/>
  </si>
  <si>
    <t>无尽</t>
    <phoneticPr fontId="1" type="noConversion"/>
  </si>
  <si>
    <t>一元复始</t>
    <phoneticPr fontId="1" type="noConversion"/>
  </si>
  <si>
    <t>大破坏神</t>
    <phoneticPr fontId="1" type="noConversion"/>
  </si>
  <si>
    <t>天地无用</t>
    <phoneticPr fontId="1" type="noConversion"/>
  </si>
  <si>
    <t>百步穿杨</t>
    <phoneticPr fontId="1" type="noConversion"/>
  </si>
  <si>
    <t>破碎虚空</t>
    <phoneticPr fontId="1" type="noConversion"/>
  </si>
  <si>
    <t>震破苍穹</t>
    <phoneticPr fontId="1" type="noConversion"/>
  </si>
  <si>
    <t>雷霆万钧</t>
    <phoneticPr fontId="1" type="noConversion"/>
  </si>
  <si>
    <t>快刀乱麻</t>
    <phoneticPr fontId="1" type="noConversion"/>
  </si>
  <si>
    <t>明镜止水</t>
    <phoneticPr fontId="1" type="noConversion"/>
  </si>
  <si>
    <t>背水一战</t>
    <phoneticPr fontId="1" type="noConversion"/>
  </si>
  <si>
    <t>金钟护体</t>
    <phoneticPr fontId="1" type="noConversion"/>
  </si>
  <si>
    <t>轩辕剑体</t>
    <phoneticPr fontId="1" type="noConversion"/>
  </si>
  <si>
    <t>气势如虹</t>
    <phoneticPr fontId="1" type="noConversion"/>
  </si>
  <si>
    <t>包罗万象</t>
    <phoneticPr fontId="1" type="noConversion"/>
  </si>
  <si>
    <t>心无杂念</t>
    <phoneticPr fontId="1" type="noConversion"/>
  </si>
  <si>
    <t>披荆斩棘</t>
    <phoneticPr fontId="1" type="noConversion"/>
  </si>
  <si>
    <t>斗转星移</t>
    <phoneticPr fontId="1" type="noConversion"/>
  </si>
  <si>
    <t>断罪</t>
    <phoneticPr fontId="1" type="noConversion"/>
  </si>
  <si>
    <t>日常任务:普通关卡杀手</t>
  </si>
  <si>
    <t>日常任务:精英关卡杀手</t>
  </si>
  <si>
    <t>日常任务:装备强化</t>
  </si>
  <si>
    <t>日常任务:点石成金</t>
  </si>
  <si>
    <t>日常任务:擂台爱好者</t>
  </si>
  <si>
    <t>日常任务:寻宝</t>
  </si>
  <si>
    <t>日常任务:活动副本达人</t>
  </si>
  <si>
    <t>日常任务:挑战Boss</t>
  </si>
  <si>
    <t>日常任务:占卜猎命</t>
  </si>
  <si>
    <t>日常任务:持久体力</t>
  </si>
  <si>
    <t>日常任务:命运之手</t>
  </si>
  <si>
    <t>日常任务:车仔麺</t>
  </si>
  <si>
    <t>日常任务:吃龙虾</t>
  </si>
  <si>
    <t>日常任务:云吞面</t>
  </si>
  <si>
    <t>日常任务:横扫千军</t>
  </si>
  <si>
    <t>成就任务：6件装备强化+10</t>
    <phoneticPr fontId="1" type="noConversion"/>
  </si>
  <si>
    <t>成就任务：6件装备强化+20</t>
    <phoneticPr fontId="1" type="noConversion"/>
  </si>
  <si>
    <t>成就任务：6件装备强化+30</t>
    <phoneticPr fontId="1" type="noConversion"/>
  </si>
  <si>
    <t>成就任务：6件装备强化+40</t>
    <phoneticPr fontId="1" type="noConversion"/>
  </si>
  <si>
    <t>成就任务：6件装备强化+50</t>
    <phoneticPr fontId="1" type="noConversion"/>
  </si>
  <si>
    <t>成就任务：6件装备强化+60</t>
    <phoneticPr fontId="1" type="noConversion"/>
  </si>
  <si>
    <t>成就任务：6件装备强化+70</t>
    <phoneticPr fontId="1" type="noConversion"/>
  </si>
  <si>
    <t>成就任务：6件装备强化+80</t>
    <phoneticPr fontId="1" type="noConversion"/>
  </si>
  <si>
    <t>成就任务：6件装备升到1星</t>
    <phoneticPr fontId="1" type="noConversion"/>
  </si>
  <si>
    <t>成就任务：6件装备升到2星</t>
    <phoneticPr fontId="1" type="noConversion"/>
  </si>
  <si>
    <t>成就任务：6件装备升到3星</t>
    <phoneticPr fontId="1" type="noConversion"/>
  </si>
  <si>
    <t>成就任务：6件装备升到4星</t>
    <phoneticPr fontId="1" type="noConversion"/>
  </si>
  <si>
    <t>成就任务：6件装备升到5星</t>
    <phoneticPr fontId="1" type="noConversion"/>
  </si>
  <si>
    <t>成就任务：6件装备升到6星</t>
    <phoneticPr fontId="1" type="noConversion"/>
  </si>
  <si>
    <t>成就任务：6件装备升到7星</t>
    <phoneticPr fontId="1" type="noConversion"/>
  </si>
  <si>
    <t>成就任务：6件装备升到8星</t>
    <phoneticPr fontId="1" type="noConversion"/>
  </si>
  <si>
    <t>成就任务：6件装备升到9星</t>
    <phoneticPr fontId="1" type="noConversion"/>
  </si>
  <si>
    <t>成就任务：6件装备升到10星</t>
    <phoneticPr fontId="1" type="noConversion"/>
  </si>
  <si>
    <t>马仔经验药水</t>
  </si>
  <si>
    <t>金币卡</t>
  </si>
  <si>
    <t>VIP礼包</t>
  </si>
  <si>
    <t>VIP体验卡</t>
  </si>
  <si>
    <t>巨额金币卡</t>
  </si>
  <si>
    <t>扫荡券</t>
  </si>
  <si>
    <t>洪兴新星</t>
  </si>
  <si>
    <t>洪兴打仔</t>
  </si>
  <si>
    <t>二路元帅</t>
  </si>
  <si>
    <t>战无不胜</t>
  </si>
  <si>
    <t>猛龙过江</t>
  </si>
  <si>
    <t>壕气冲天</t>
  </si>
  <si>
    <t>富可敌国</t>
  </si>
  <si>
    <t>战斗狂人</t>
  </si>
  <si>
    <t>干架王</t>
  </si>
  <si>
    <t>破坏王</t>
  </si>
  <si>
    <t>战无尽</t>
  </si>
  <si>
    <t>绝世战神</t>
  </si>
  <si>
    <t>横砍一条街</t>
  </si>
  <si>
    <t>洪兴新星(3天)</t>
  </si>
  <si>
    <t>洪兴打仔(3天)</t>
  </si>
  <si>
    <t>二路元帅(3天)</t>
  </si>
  <si>
    <t>战无不胜(3天)</t>
  </si>
  <si>
    <t>猛龙过江(3天)</t>
  </si>
  <si>
    <t>壕气冲天(3天)</t>
  </si>
  <si>
    <t>富可敌国(3天)</t>
  </si>
  <si>
    <t>战斗狂人(3天)</t>
  </si>
  <si>
    <t>干架王(3天)</t>
  </si>
  <si>
    <t>破坏王(3天)</t>
  </si>
  <si>
    <t>战无尽(3天)</t>
  </si>
  <si>
    <t>绝世战神(3天)</t>
  </si>
  <si>
    <t>横砍一条街(3天)</t>
  </si>
  <si>
    <t>低级强化石</t>
  </si>
  <si>
    <t>中级强化石</t>
  </si>
  <si>
    <t>高级强化石</t>
  </si>
  <si>
    <t>初级升星石</t>
  </si>
  <si>
    <t>中级升星石</t>
  </si>
  <si>
    <t>高级升星石</t>
  </si>
  <si>
    <t>4阶升星石(不用）</t>
  </si>
  <si>
    <t>5阶升星石（不用）</t>
  </si>
  <si>
    <t>金币卡(1万)</t>
  </si>
  <si>
    <t>金币卡(2万)</t>
  </si>
  <si>
    <t>金币卡(5万)</t>
  </si>
  <si>
    <t>马仔经验合剂</t>
  </si>
  <si>
    <t>马仔经验甘露</t>
  </si>
  <si>
    <t>钻石兑换卡(100)</t>
  </si>
  <si>
    <t>钻石兑换卡(500)</t>
  </si>
  <si>
    <t>钻石兑换卡(1000)</t>
  </si>
  <si>
    <t>初级体力药水</t>
  </si>
  <si>
    <t>中级体力药水</t>
  </si>
  <si>
    <t>高级体力药水</t>
  </si>
  <si>
    <t>成长礼包</t>
  </si>
  <si>
    <t>部位材料(裤子)</t>
  </si>
  <si>
    <t>部位材料(项链)</t>
  </si>
  <si>
    <t>部位材料(腰带)</t>
  </si>
  <si>
    <t>龙魂币(500)</t>
  </si>
  <si>
    <t>龙魂币(1000)</t>
  </si>
  <si>
    <t>命运石(1万)</t>
  </si>
  <si>
    <t>命运石(2万)</t>
  </si>
  <si>
    <t>钻石</t>
  </si>
  <si>
    <t>金币</t>
  </si>
  <si>
    <t>龙魂币</t>
  </si>
  <si>
    <t>命运石</t>
  </si>
  <si>
    <t>擂台币</t>
  </si>
  <si>
    <t>vip经验卡</t>
  </si>
  <si>
    <t>技能升级石</t>
  </si>
  <si>
    <t>高级装备升级石</t>
  </si>
  <si>
    <t>稀有装备升级石</t>
  </si>
  <si>
    <t>史诗装备升级石</t>
  </si>
  <si>
    <t>传说装备升级石</t>
  </si>
  <si>
    <t>首充礼包</t>
    <phoneticPr fontId="1" type="noConversion"/>
  </si>
  <si>
    <t>累冲礼包第1档</t>
    <phoneticPr fontId="1" type="noConversion"/>
  </si>
  <si>
    <t>累冲礼包第2档</t>
  </si>
  <si>
    <t>累冲礼包第3档</t>
  </si>
  <si>
    <t>累冲礼包第4档</t>
  </si>
  <si>
    <t>累冲礼包第5档</t>
  </si>
  <si>
    <t>累冲礼包第6档</t>
  </si>
  <si>
    <t>累冲礼包第7档</t>
  </si>
  <si>
    <t>累冲礼包第8档</t>
  </si>
  <si>
    <t>竞技场第1名奖励称号</t>
    <phoneticPr fontId="1" type="noConversion"/>
  </si>
  <si>
    <t>每点体力对应龙魂</t>
    <phoneticPr fontId="1" type="noConversion"/>
  </si>
  <si>
    <t>拼战奖励20-30败</t>
  </si>
  <si>
    <t>拼战奖励20-30败</t>
    <phoneticPr fontId="1" type="noConversion"/>
  </si>
  <si>
    <t>拼战奖励30-40败</t>
    <phoneticPr fontId="1" type="noConversion"/>
  </si>
  <si>
    <t>拼战奖励40-50败</t>
    <phoneticPr fontId="1" type="noConversion"/>
  </si>
  <si>
    <t>副本体力经验</t>
    <phoneticPr fontId="1" type="noConversion"/>
  </si>
  <si>
    <t>远征24-30级段第1关</t>
    <phoneticPr fontId="1" type="noConversion"/>
  </si>
  <si>
    <t>远征24-30级段第2关</t>
  </si>
  <si>
    <t>远征24-30级段第3关</t>
  </si>
  <si>
    <t>远征24-30级段第4关</t>
  </si>
  <si>
    <t>远征24-30级段第5关</t>
  </si>
  <si>
    <t>远征24-30级段第6关</t>
  </si>
  <si>
    <t>远征24-30级段第7关</t>
  </si>
  <si>
    <t>远征24-30级段第8关</t>
  </si>
  <si>
    <t>远征24-30级段第9关</t>
  </si>
  <si>
    <t>远征24-30级段第10关</t>
  </si>
  <si>
    <t>远征24-30级段第11关</t>
  </si>
  <si>
    <t>远征24-30级段第12关</t>
  </si>
  <si>
    <t>远征24-30级段第13关</t>
  </si>
  <si>
    <t>远征24-30级段第14关</t>
  </si>
  <si>
    <t>远征24-30级段第15关</t>
  </si>
  <si>
    <t>远征31-35级段第1关</t>
    <phoneticPr fontId="1" type="noConversion"/>
  </si>
  <si>
    <t>远征31-35级段第2关</t>
  </si>
  <si>
    <t>远征31-35级段第3关</t>
  </si>
  <si>
    <t>远征31-35级段第4关</t>
  </si>
  <si>
    <t>远征31-35级段第5关</t>
  </si>
  <si>
    <t>远征31-35级段第6关</t>
  </si>
  <si>
    <t>远征31-35级段第7关</t>
  </si>
  <si>
    <t>远征31-35级段第8关</t>
  </si>
  <si>
    <t>远征31-35级段第9关</t>
  </si>
  <si>
    <t>远征31-35级段第10关</t>
  </si>
  <si>
    <t>远征31-35级段第11关</t>
  </si>
  <si>
    <t>远征31-35级段第12关</t>
  </si>
  <si>
    <t>远征31-35级段第13关</t>
  </si>
  <si>
    <t>远征31-35级段第14关</t>
  </si>
  <si>
    <t>远征31-35级段第15关</t>
  </si>
  <si>
    <t>远征36-40级段第1关</t>
    <phoneticPr fontId="1" type="noConversion"/>
  </si>
  <si>
    <t>远征36-40级段第2关</t>
  </si>
  <si>
    <t>远征36-40级段第3关</t>
  </si>
  <si>
    <t>远征36-40级段第4关</t>
  </si>
  <si>
    <t>远征36-40级段第5关</t>
  </si>
  <si>
    <t>远征36-40级段第6关</t>
  </si>
  <si>
    <t>远征36-40级段第7关</t>
  </si>
  <si>
    <t>远征36-40级段第8关</t>
  </si>
  <si>
    <t>远征36-40级段第9关</t>
  </si>
  <si>
    <t>远征36-40级段第10关</t>
  </si>
  <si>
    <t>远征36-40级段第11关</t>
  </si>
  <si>
    <t>远征36-40级段第12关</t>
  </si>
  <si>
    <t>远征36-40级段第13关</t>
  </si>
  <si>
    <t>远征36-40级段第14关</t>
  </si>
  <si>
    <t>远征36-40级段第15关</t>
  </si>
  <si>
    <t>远征24-30级段第1关</t>
    <phoneticPr fontId="1" type="noConversion"/>
  </si>
  <si>
    <t>远征31-35级段第1关</t>
    <phoneticPr fontId="1" type="noConversion"/>
  </si>
  <si>
    <t>远征36-40级段第1关</t>
    <phoneticPr fontId="1" type="noConversion"/>
  </si>
  <si>
    <t>日常任务：江湖路</t>
    <phoneticPr fontId="1" type="noConversion"/>
  </si>
  <si>
    <t>日常任务：月卡</t>
    <phoneticPr fontId="1" type="noConversion"/>
  </si>
  <si>
    <t>日常任务：精英重置</t>
    <phoneticPr fontId="1" type="noConversion"/>
  </si>
  <si>
    <t>马仔碎片(蟹仔)</t>
  </si>
  <si>
    <t>马仔碎片(比利)</t>
  </si>
  <si>
    <t>马仔碎片(黎九)</t>
  </si>
  <si>
    <t>马仔碎片(黑古)</t>
  </si>
  <si>
    <t>马仔碎片(靓坤)</t>
  </si>
  <si>
    <t>马仔碎片(雷复轰)</t>
  </si>
  <si>
    <t>马仔碎片(肥仔)</t>
  </si>
  <si>
    <t>马仔碎片(司徒浩南)</t>
  </si>
  <si>
    <t>马仔碎片(乌鸦)</t>
  </si>
  <si>
    <t>马仔碎片(赌王)</t>
  </si>
  <si>
    <t>马仔碎片(山下忠秀)</t>
  </si>
  <si>
    <t>马仔碎片(宫本一)</t>
  </si>
  <si>
    <t>马仔碎片(陈浩南)</t>
  </si>
  <si>
    <t>马仔碎片(山鸡)</t>
  </si>
  <si>
    <t>马仔碎片(大天二)</t>
  </si>
  <si>
    <t>寻宝券</t>
  </si>
  <si>
    <t>命运石(5000)</t>
  </si>
  <si>
    <t>马仔追债</t>
  </si>
  <si>
    <t>马仔劫掠</t>
  </si>
  <si>
    <t>马仔装备礼包（蓝）</t>
  </si>
  <si>
    <t>马仔装备礼包（紫）</t>
  </si>
  <si>
    <t>马仔装备礼包（橙）</t>
  </si>
  <si>
    <t>马仔装备礼包（红）</t>
  </si>
  <si>
    <t>马仔追债宝箱（绿）</t>
  </si>
  <si>
    <t>马仔追债宝箱（蓝）</t>
  </si>
  <si>
    <t>马仔追债宝箱（紫）</t>
  </si>
  <si>
    <t>马仔追债宝箱（橙）</t>
  </si>
  <si>
    <t>马仔追债宝箱（红）</t>
  </si>
  <si>
    <t>霸主</t>
  </si>
  <si>
    <t>金币副本获取金币算法</t>
    <phoneticPr fontId="1" type="noConversion"/>
  </si>
  <si>
    <t>辅助1</t>
    <phoneticPr fontId="1" type="noConversion"/>
  </si>
  <si>
    <t>辅助2</t>
  </si>
  <si>
    <t>辅助3</t>
  </si>
  <si>
    <t>辅助4</t>
  </si>
  <si>
    <t>获取金币=金币上限*(1-cos(min(总输出，BOSS总血量)/BOSS总血量*3.14))/2</t>
    <phoneticPr fontId="1" type="noConversion"/>
  </si>
  <si>
    <t>马仔装备礼包（绿）</t>
    <phoneticPr fontId="1" type="noConversion"/>
  </si>
  <si>
    <t>雷复轰</t>
  </si>
  <si>
    <t>洪兴小财主</t>
  </si>
  <si>
    <t>马仔碎片(巴闭)</t>
  </si>
  <si>
    <t>马仔碎片(耀阳)</t>
  </si>
  <si>
    <t>马仔碎片(笑面虎)</t>
  </si>
  <si>
    <t>技能冷却石</t>
  </si>
  <si>
    <t>金豆</t>
  </si>
  <si>
    <t>单次扫荡特权</t>
  </si>
  <si>
    <t>多次扫荡特权</t>
  </si>
  <si>
    <t>扫荡特权</t>
  </si>
  <si>
    <t>上限数量</t>
    <phoneticPr fontId="1" type="noConversion"/>
  </si>
  <si>
    <t>部位材料包</t>
    <phoneticPr fontId="1" type="noConversion"/>
  </si>
  <si>
    <t>龙魂币(2000)</t>
  </si>
  <si>
    <t>天天有礼第1档</t>
    <phoneticPr fontId="1" type="noConversion"/>
  </si>
  <si>
    <t>天天有礼第2档</t>
  </si>
  <si>
    <t>天天有礼第3档</t>
  </si>
  <si>
    <t>天天有礼第4档</t>
  </si>
  <si>
    <t>天天有礼第5档</t>
  </si>
  <si>
    <t>天天有礼第6档</t>
  </si>
  <si>
    <t>天天有礼第7档</t>
  </si>
  <si>
    <t>天天有礼第8档</t>
  </si>
  <si>
    <t>天天有礼第9档</t>
  </si>
  <si>
    <t>天天有礼第10档</t>
  </si>
  <si>
    <t>成就任务：招募马仔17</t>
  </si>
  <si>
    <t>成就任务：招募马仔18</t>
  </si>
  <si>
    <t>成就任务：招募马仔19</t>
  </si>
  <si>
    <t>参考值</t>
    <phoneticPr fontId="1" type="noConversion"/>
  </si>
  <si>
    <t>平均总经验</t>
    <phoneticPr fontId="1" type="noConversion"/>
  </si>
  <si>
    <t>奖励描述</t>
    <phoneticPr fontId="1" type="noConversion"/>
  </si>
  <si>
    <t>地图：挑战BOSS</t>
    <phoneticPr fontId="1" type="noConversion"/>
  </si>
  <si>
    <t>6-7</t>
    <phoneticPr fontId="24" type="noConversion"/>
  </si>
  <si>
    <t>6-8</t>
    <phoneticPr fontId="24" type="noConversion"/>
  </si>
  <si>
    <t>7-8</t>
    <phoneticPr fontId="24" type="noConversion"/>
  </si>
  <si>
    <t>2-3</t>
    <phoneticPr fontId="24" type="noConversion"/>
  </si>
  <si>
    <t>2-4</t>
    <phoneticPr fontId="24" type="noConversion"/>
  </si>
  <si>
    <t>2-4</t>
    <phoneticPr fontId="24" type="noConversion"/>
  </si>
  <si>
    <t>3-4</t>
    <phoneticPr fontId="24" type="noConversion"/>
  </si>
  <si>
    <t>3-5</t>
    <phoneticPr fontId="24" type="noConversion"/>
  </si>
  <si>
    <t>4-5</t>
    <phoneticPr fontId="24" type="noConversion"/>
  </si>
  <si>
    <t>4-6</t>
    <phoneticPr fontId="24" type="noConversion"/>
  </si>
  <si>
    <t>5-6</t>
    <phoneticPr fontId="24" type="noConversion"/>
  </si>
  <si>
    <t>1-2</t>
    <phoneticPr fontId="24" type="noConversion"/>
  </si>
  <si>
    <t>1-3</t>
    <phoneticPr fontId="24" type="noConversion"/>
  </si>
  <si>
    <t>7-9</t>
    <phoneticPr fontId="24" type="noConversion"/>
  </si>
  <si>
    <t>8-10</t>
    <phoneticPr fontId="24" type="noConversion"/>
  </si>
  <si>
    <t>8-11</t>
    <phoneticPr fontId="24" type="noConversion"/>
  </si>
  <si>
    <t>9-12</t>
    <phoneticPr fontId="24" type="noConversion"/>
  </si>
  <si>
    <t>10-13</t>
    <phoneticPr fontId="24" type="noConversion"/>
  </si>
  <si>
    <t>马仔碎片(制服太妹)</t>
  </si>
  <si>
    <t>制服太妹</t>
  </si>
  <si>
    <t>紫色装备礼包</t>
  </si>
  <si>
    <t>橙色装备礼包</t>
  </si>
  <si>
    <t>限时碎片(陈浩南)</t>
  </si>
  <si>
    <t>限时碎片(山鸡)</t>
  </si>
  <si>
    <t>限时碎片(大天二)</t>
  </si>
  <si>
    <t>水晶耳钉碎片</t>
  </si>
  <si>
    <t>紫色装备礼包</t>
    <phoneticPr fontId="1" type="noConversion"/>
  </si>
  <si>
    <t>橙色装备礼包</t>
    <phoneticPr fontId="1" type="noConversion"/>
  </si>
  <si>
    <t>巴闭</t>
  </si>
  <si>
    <t>耀阳</t>
  </si>
  <si>
    <t>笑面虎</t>
  </si>
  <si>
    <t>摩拉</t>
  </si>
  <si>
    <t>月立</t>
  </si>
  <si>
    <t>法拉捷</t>
  </si>
  <si>
    <t>赤金戒指</t>
  </si>
  <si>
    <t>白银戒指碎片</t>
  </si>
  <si>
    <t>猫妖项链碎片</t>
  </si>
  <si>
    <t>白金手环碎片</t>
  </si>
  <si>
    <t>金针手表碎片</t>
  </si>
  <si>
    <t>越野手表碎片</t>
  </si>
  <si>
    <t>黄金戒指碎片</t>
  </si>
  <si>
    <t>月立碎片</t>
  </si>
  <si>
    <t>苍蓝戒指碎片</t>
  </si>
  <si>
    <t>法拉捷碎片</t>
  </si>
  <si>
    <t>赤金戒指碎片</t>
  </si>
  <si>
    <t/>
  </si>
  <si>
    <t>防拉表</t>
    <phoneticPr fontId="1" type="noConversion"/>
  </si>
  <si>
    <t>堂口贡献</t>
  </si>
  <si>
    <t>银饰耳钉碎片</t>
  </si>
  <si>
    <t>水晶项链碎片</t>
  </si>
  <si>
    <t>摩拉碎片</t>
  </si>
  <si>
    <t>青玉项链碎片</t>
  </si>
  <si>
    <t>毒蝎耳钉碎片</t>
  </si>
  <si>
    <t>鎏金之剑</t>
  </si>
  <si>
    <t>鎏金之拳</t>
  </si>
  <si>
    <t>鎏金之枪</t>
  </si>
  <si>
    <t>鎏金战衣</t>
  </si>
  <si>
    <t>鎏金长裤</t>
  </si>
  <si>
    <t>鎏金长靴</t>
  </si>
  <si>
    <t>鎏金腰带</t>
  </si>
  <si>
    <t>鎏金项链</t>
  </si>
  <si>
    <t>虹光之剑</t>
  </si>
  <si>
    <t>虹光之拳</t>
  </si>
  <si>
    <t>虹光之枪</t>
  </si>
  <si>
    <t>虹光战衣</t>
  </si>
  <si>
    <t>虹光长裤</t>
  </si>
  <si>
    <t>虹光长靴</t>
  </si>
  <si>
    <t>虹光腰带</t>
  </si>
  <si>
    <t>虹光项链</t>
  </si>
  <si>
    <t>马仔宝物礼包</t>
  </si>
  <si>
    <t>马仔宝物碎片礼包</t>
  </si>
  <si>
    <t>马仔装备碎片礼包（蓝）</t>
    <phoneticPr fontId="1" type="noConversion"/>
  </si>
  <si>
    <t>马仔装备碎片礼包（紫）</t>
    <phoneticPr fontId="1" type="noConversion"/>
  </si>
  <si>
    <t>马仔装备碎片礼包（橙）</t>
    <phoneticPr fontId="1" type="noConversion"/>
  </si>
  <si>
    <t>马仔装备碎片礼包（红）</t>
    <phoneticPr fontId="1" type="noConversion"/>
  </si>
  <si>
    <t>道具16奖励道具</t>
  </si>
  <si>
    <t>道具16奖励数量</t>
  </si>
  <si>
    <t>道具16权重</t>
  </si>
  <si>
    <t>道具17奖励道具</t>
  </si>
  <si>
    <t>道具17奖励数量</t>
  </si>
  <si>
    <t>道具17权重</t>
  </si>
  <si>
    <t>道具18奖励道具</t>
  </si>
  <si>
    <t>道具18奖励数量</t>
  </si>
  <si>
    <t>道具18权重</t>
  </si>
  <si>
    <t>道具19奖励道具</t>
  </si>
  <si>
    <t>道具19奖励数量</t>
  </si>
  <si>
    <t>道具19权重</t>
  </si>
  <si>
    <t>道具20奖励道具</t>
  </si>
  <si>
    <t>道具20奖励数量</t>
  </si>
  <si>
    <t>道具20权重</t>
  </si>
  <si>
    <t>道具21奖励道具</t>
  </si>
  <si>
    <t>道具21奖励数量</t>
  </si>
  <si>
    <t>道具21权重</t>
  </si>
  <si>
    <t>道具22奖励道具</t>
  </si>
  <si>
    <t>道具22奖励数量</t>
  </si>
  <si>
    <t>道具22权重</t>
  </si>
  <si>
    <t>道具23奖励道具</t>
  </si>
  <si>
    <t>道具23奖励数量</t>
  </si>
  <si>
    <t>道具23权重</t>
  </si>
  <si>
    <t>道具24奖励道具</t>
  </si>
  <si>
    <t>道具24奖励数量</t>
  </si>
  <si>
    <t>道具24权重</t>
  </si>
  <si>
    <t>道具25奖励道具</t>
  </si>
  <si>
    <t>道具25奖励数量</t>
  </si>
  <si>
    <t>道具25权重</t>
  </si>
  <si>
    <t>道具26奖励道具</t>
  </si>
  <si>
    <t>道具26奖励数量</t>
  </si>
  <si>
    <t>道具26权重</t>
  </si>
  <si>
    <t>道具27奖励道具</t>
  </si>
  <si>
    <t>道具27奖励数量</t>
  </si>
  <si>
    <t>道具27权重</t>
  </si>
  <si>
    <t>道具28奖励道具</t>
  </si>
  <si>
    <t>道具28奖励数量</t>
  </si>
  <si>
    <t>道具28权重</t>
  </si>
  <si>
    <t>道具29奖励道具</t>
  </si>
  <si>
    <t>道具29奖励数量</t>
  </si>
  <si>
    <t>道具29权重</t>
  </si>
  <si>
    <t>道具30奖励道具</t>
  </si>
  <si>
    <t>道具30奖励数量</t>
  </si>
  <si>
    <t>道具30权重</t>
  </si>
  <si>
    <t>道具31奖励道具</t>
  </si>
  <si>
    <t>道具31奖励数量</t>
  </si>
  <si>
    <t>道具31权重</t>
  </si>
  <si>
    <t>道具32奖励道具</t>
  </si>
  <si>
    <t>道具32奖励数量</t>
  </si>
  <si>
    <t>道具32权重</t>
  </si>
  <si>
    <t>道具33奖励道具</t>
  </si>
  <si>
    <t>道具33奖励数量</t>
  </si>
  <si>
    <t>道具33权重</t>
  </si>
  <si>
    <t>道具34奖励道具</t>
  </si>
  <si>
    <t>道具34奖励数量</t>
  </si>
  <si>
    <t>道具34权重</t>
  </si>
  <si>
    <t>道具35奖励道具</t>
  </si>
  <si>
    <t>道具35奖励数量</t>
  </si>
  <si>
    <t>道具35权重</t>
  </si>
  <si>
    <t>道具36奖励道具</t>
  </si>
  <si>
    <t>道具36奖励数量</t>
  </si>
  <si>
    <t>道具36权重</t>
  </si>
  <si>
    <t>道具37奖励道具</t>
  </si>
  <si>
    <t>道具37奖励数量</t>
  </si>
  <si>
    <t>道具37权重</t>
  </si>
  <si>
    <t>道具38奖励道具</t>
  </si>
  <si>
    <t>道具38奖励数量</t>
  </si>
  <si>
    <t>道具38权重</t>
  </si>
  <si>
    <t>道具39奖励道具</t>
  </si>
  <si>
    <t>道具39奖励数量</t>
  </si>
  <si>
    <t>道具39权重</t>
  </si>
  <si>
    <t>道具40奖励道具</t>
  </si>
  <si>
    <t>道具40奖励数量</t>
  </si>
  <si>
    <t>道具40权重</t>
  </si>
  <si>
    <t>道具16名称</t>
  </si>
  <si>
    <t>道具17名称</t>
  </si>
  <si>
    <t>道具18名称</t>
  </si>
  <si>
    <t>道具19名称</t>
  </si>
  <si>
    <t>道具20名称</t>
  </si>
  <si>
    <t>道具21名称</t>
  </si>
  <si>
    <t>道具22名称</t>
  </si>
  <si>
    <t>道具23名称</t>
  </si>
  <si>
    <t>道具24名称</t>
  </si>
  <si>
    <t>道具25名称</t>
  </si>
  <si>
    <t>道具26名称</t>
  </si>
  <si>
    <t>道具27名称</t>
  </si>
  <si>
    <t>道具28名称</t>
  </si>
  <si>
    <t>道具29名称</t>
  </si>
  <si>
    <t>道具30名称</t>
  </si>
  <si>
    <t>道具31名称</t>
  </si>
  <si>
    <t>道具32名称</t>
  </si>
  <si>
    <t>道具33名称</t>
  </si>
  <si>
    <t>道具34名称</t>
  </si>
  <si>
    <t>道具35名称</t>
  </si>
  <si>
    <t>道具36名称</t>
  </si>
  <si>
    <t>道具37名称</t>
  </si>
  <si>
    <t>道具38名称</t>
  </si>
  <si>
    <t>道具39名称</t>
  </si>
  <si>
    <t>道具40名称</t>
  </si>
  <si>
    <t>远征掉落概率辅助1（等级段）</t>
  </si>
  <si>
    <t>远征掉落概率辅助2（关卡）</t>
  </si>
  <si>
    <t>命格福袋</t>
  </si>
  <si>
    <t>马仔碎片福袋</t>
  </si>
  <si>
    <t>装备升星石福袋</t>
  </si>
  <si>
    <t>命格福袋（绿）</t>
    <phoneticPr fontId="1" type="noConversion"/>
  </si>
  <si>
    <t>命格福袋（蓝）</t>
    <phoneticPr fontId="1" type="noConversion"/>
  </si>
  <si>
    <t>命格福袋（紫）</t>
    <phoneticPr fontId="1" type="noConversion"/>
  </si>
  <si>
    <t>命格福袋（橙）</t>
    <phoneticPr fontId="1" type="noConversion"/>
  </si>
  <si>
    <t>命格福袋（红）</t>
    <phoneticPr fontId="1" type="noConversion"/>
  </si>
  <si>
    <t>马仔碎片福袋（绿）</t>
    <phoneticPr fontId="1" type="noConversion"/>
  </si>
  <si>
    <t>马仔碎片福袋（蓝）</t>
    <phoneticPr fontId="1" type="noConversion"/>
  </si>
  <si>
    <t>马仔碎片福袋（紫）</t>
    <phoneticPr fontId="1" type="noConversion"/>
  </si>
  <si>
    <t>马仔碎片福袋（橙）</t>
    <phoneticPr fontId="1" type="noConversion"/>
  </si>
  <si>
    <t>马仔碎片福袋（红）</t>
    <phoneticPr fontId="1" type="noConversion"/>
  </si>
  <si>
    <t>红色装备礼包</t>
  </si>
  <si>
    <t>15级蓝色武器</t>
    <phoneticPr fontId="1" type="noConversion"/>
  </si>
  <si>
    <t>15级紫色武器</t>
    <phoneticPr fontId="1" type="noConversion"/>
  </si>
  <si>
    <t>15级橙色武器</t>
    <phoneticPr fontId="1" type="noConversion"/>
  </si>
  <si>
    <t>15级红色武器</t>
    <phoneticPr fontId="1" type="noConversion"/>
  </si>
  <si>
    <t>马仔追债宝箱</t>
  </si>
  <si>
    <t>部位材料宝箱</t>
  </si>
  <si>
    <t>马仔经验圣水</t>
  </si>
  <si>
    <t>难度1(材料）</t>
  </si>
  <si>
    <t>难度2(材料）</t>
  </si>
  <si>
    <t>难度3(材料）</t>
  </si>
  <si>
    <t>难度4(材料）</t>
  </si>
  <si>
    <t>难度5(材料）</t>
  </si>
  <si>
    <t>难度6(材料）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</si>
</sst>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rgb="FF3F3F3F"/>
      <name val="宋体"/>
      <family val="2"/>
      <charset val="134"/>
      <scheme val="minor"/>
    </font>
    <font>
      <sz val="11"/>
      <color rgb="FF3F3F3F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0"/>
      <name val="宋体"/>
      <family val="3"/>
      <charset val="134"/>
      <scheme val="minor"/>
    </font>
    <font>
      <sz val="11"/>
      <color theme="9" tint="0.79998168889431442"/>
      <name val="宋体"/>
      <family val="2"/>
      <scheme val="minor"/>
    </font>
    <font>
      <sz val="11"/>
      <color rgb="FFFFC000"/>
      <name val="宋体"/>
      <family val="2"/>
      <scheme val="minor"/>
    </font>
    <font>
      <sz val="11"/>
      <color rgb="FFFFFF00"/>
      <name val="宋体"/>
      <family val="2"/>
      <scheme val="minor"/>
    </font>
    <font>
      <sz val="11"/>
      <color theme="7" tint="-0.249977111117893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  <font>
      <sz val="11"/>
      <color theme="4" tint="0.79998168889431442"/>
      <name val="宋体"/>
      <family val="2"/>
      <scheme val="minor"/>
    </font>
    <font>
      <sz val="11"/>
      <color theme="9" tint="0.39997558519241921"/>
      <name val="宋体"/>
      <family val="2"/>
      <scheme val="minor"/>
    </font>
    <font>
      <sz val="11"/>
      <color theme="6" tint="0.39997558519241921"/>
      <name val="宋体"/>
      <family val="2"/>
      <scheme val="minor"/>
    </font>
    <font>
      <sz val="11"/>
      <color theme="6" tint="-0.249977111117893"/>
      <name val="宋体"/>
      <family val="2"/>
      <scheme val="minor"/>
    </font>
    <font>
      <sz val="11"/>
      <color theme="6"/>
      <name val="宋体"/>
      <family val="2"/>
      <scheme val="minor"/>
    </font>
    <font>
      <sz val="11"/>
      <color theme="8" tint="0.39997558519241921"/>
      <name val="宋体"/>
      <family val="3"/>
      <charset val="134"/>
      <scheme val="minor"/>
    </font>
    <font>
      <sz val="11"/>
      <color theme="6" tint="0.3999755851924192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8" tint="0.39997558519241921"/>
      <name val="宋体"/>
      <family val="2"/>
      <scheme val="minor"/>
    </font>
    <font>
      <sz val="11"/>
      <color theme="5" tint="0.79998168889431442"/>
      <name val="宋体"/>
      <family val="2"/>
      <scheme val="minor"/>
    </font>
    <font>
      <sz val="11"/>
      <color theme="9"/>
      <name val="宋体"/>
      <family val="2"/>
      <scheme val="minor"/>
    </font>
    <font>
      <sz val="11"/>
      <color rgb="FF92D050"/>
      <name val="宋体"/>
      <family val="2"/>
      <scheme val="minor"/>
    </font>
    <font>
      <sz val="11"/>
      <color theme="3" tint="-0.249977111117893"/>
      <name val="宋体"/>
      <family val="2"/>
      <scheme val="minor"/>
    </font>
    <font>
      <sz val="11"/>
      <color theme="9" tint="-0.499984740745262"/>
      <name val="宋体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4" borderId="2" applyNumberFormat="0" applyAlignment="0" applyProtection="0">
      <alignment vertical="center"/>
    </xf>
  </cellStyleXfs>
  <cellXfs count="106">
    <xf numFmtId="0" fontId="0" fillId="0" borderId="0" xfId="0"/>
    <xf numFmtId="0" fontId="0" fillId="3" borderId="0" xfId="0" applyFill="1"/>
    <xf numFmtId="0" fontId="0" fillId="0" borderId="0" xfId="0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0" xfId="0" applyFill="1"/>
    <xf numFmtId="0" fontId="0" fillId="5" borderId="1" xfId="0" applyFill="1" applyBorder="1"/>
    <xf numFmtId="0" fontId="0" fillId="0" borderId="0" xfId="0" applyNumberFormat="1"/>
    <xf numFmtId="0" fontId="5" fillId="5" borderId="2" xfId="1" applyFont="1" applyFill="1" applyAlignment="1">
      <alignment horizontal="center" vertical="center"/>
    </xf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0" borderId="3" xfId="0" applyBorder="1"/>
    <xf numFmtId="0" fontId="0" fillId="6" borderId="1" xfId="0" applyFill="1" applyBorder="1"/>
    <xf numFmtId="0" fontId="5" fillId="8" borderId="2" xfId="1" applyFont="1" applyFill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0" fillId="10" borderId="1" xfId="0" applyNumberFormat="1" applyFill="1" applyBorder="1"/>
    <xf numFmtId="0" fontId="0" fillId="10" borderId="1" xfId="0" applyFill="1" applyBorder="1"/>
    <xf numFmtId="0" fontId="0" fillId="0" borderId="1" xfId="0" applyNumberFormat="1" applyBorder="1"/>
    <xf numFmtId="0" fontId="6" fillId="0" borderId="1" xfId="0" applyFont="1" applyBorder="1"/>
    <xf numFmtId="0" fontId="0" fillId="7" borderId="1" xfId="0" applyFill="1" applyBorder="1"/>
    <xf numFmtId="0" fontId="0" fillId="0" borderId="4" xfId="0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Fill="1" applyBorder="1"/>
    <xf numFmtId="0" fontId="8" fillId="13" borderId="1" xfId="0" applyFont="1" applyFill="1" applyBorder="1"/>
    <xf numFmtId="0" fontId="8" fillId="14" borderId="1" xfId="0" applyFont="1" applyFill="1" applyBorder="1"/>
    <xf numFmtId="0" fontId="0" fillId="16" borderId="5" xfId="0" applyFont="1" applyFill="1" applyBorder="1"/>
    <xf numFmtId="0" fontId="9" fillId="15" borderId="5" xfId="0" applyFont="1" applyFill="1" applyBorder="1"/>
    <xf numFmtId="0" fontId="8" fillId="17" borderId="7" xfId="0" applyFont="1" applyFill="1" applyBorder="1"/>
    <xf numFmtId="0" fontId="8" fillId="18" borderId="5" xfId="0" applyFont="1" applyFill="1" applyBorder="1"/>
    <xf numFmtId="0" fontId="9" fillId="12" borderId="5" xfId="0" applyFont="1" applyFill="1" applyBorder="1"/>
    <xf numFmtId="0" fontId="0" fillId="0" borderId="0" xfId="0" applyFill="1" applyBorder="1"/>
    <xf numFmtId="0" fontId="0" fillId="0" borderId="8" xfId="0" applyFill="1" applyBorder="1"/>
    <xf numFmtId="0" fontId="0" fillId="11" borderId="1" xfId="0" applyNumberFormat="1" applyFill="1" applyBorder="1" applyAlignment="1">
      <alignment vertical="center"/>
    </xf>
    <xf numFmtId="0" fontId="0" fillId="19" borderId="1" xfId="0" applyFill="1" applyBorder="1"/>
    <xf numFmtId="0" fontId="0" fillId="15" borderId="1" xfId="0" applyFill="1" applyBorder="1"/>
    <xf numFmtId="0" fontId="0" fillId="18" borderId="1" xfId="0" applyFill="1" applyBorder="1"/>
    <xf numFmtId="0" fontId="11" fillId="6" borderId="1" xfId="0" applyNumberFormat="1" applyFont="1" applyFill="1" applyBorder="1"/>
    <xf numFmtId="0" fontId="11" fillId="6" borderId="1" xfId="0" applyFont="1" applyFill="1" applyBorder="1"/>
    <xf numFmtId="0" fontId="10" fillId="2" borderId="1" xfId="0" applyFont="1" applyFill="1" applyBorder="1"/>
    <xf numFmtId="0" fontId="0" fillId="19" borderId="0" xfId="0" applyFill="1"/>
    <xf numFmtId="0" fontId="0" fillId="9" borderId="0" xfId="0" applyNumberFormat="1" applyFill="1"/>
    <xf numFmtId="0" fontId="0" fillId="5" borderId="1" xfId="0" applyNumberFormat="1" applyFill="1" applyBorder="1"/>
    <xf numFmtId="0" fontId="13" fillId="18" borderId="1" xfId="0" applyFont="1" applyFill="1" applyBorder="1"/>
    <xf numFmtId="0" fontId="14" fillId="18" borderId="1" xfId="0" applyFont="1" applyFill="1" applyBorder="1"/>
    <xf numFmtId="0" fontId="9" fillId="6" borderId="0" xfId="0" applyFont="1" applyFill="1"/>
    <xf numFmtId="0" fontId="0" fillId="20" borderId="1" xfId="0" applyFill="1" applyBorder="1"/>
    <xf numFmtId="0" fontId="9" fillId="2" borderId="0" xfId="0" applyFont="1" applyFill="1"/>
    <xf numFmtId="0" fontId="9" fillId="15" borderId="0" xfId="0" applyFont="1" applyFill="1"/>
    <xf numFmtId="0" fontId="0" fillId="9" borderId="1" xfId="0" applyFill="1" applyBorder="1"/>
    <xf numFmtId="0" fontId="15" fillId="6" borderId="1" xfId="0" applyFont="1" applyFill="1" applyBorder="1"/>
    <xf numFmtId="0" fontId="16" fillId="6" borderId="1" xfId="0" applyFont="1" applyFill="1" applyBorder="1"/>
    <xf numFmtId="0" fontId="17" fillId="6" borderId="1" xfId="0" applyFont="1" applyFill="1" applyBorder="1"/>
    <xf numFmtId="0" fontId="16" fillId="2" borderId="1" xfId="0" applyFont="1" applyFill="1" applyBorder="1"/>
    <xf numFmtId="0" fontId="18" fillId="19" borderId="1" xfId="0" applyFont="1" applyFill="1" applyBorder="1"/>
    <xf numFmtId="0" fontId="17" fillId="15" borderId="1" xfId="0" applyFont="1" applyFill="1" applyBorder="1"/>
    <xf numFmtId="0" fontId="17" fillId="15" borderId="0" xfId="0" applyFont="1" applyFill="1"/>
    <xf numFmtId="0" fontId="19" fillId="19" borderId="1" xfId="0" applyFont="1" applyFill="1" applyBorder="1"/>
    <xf numFmtId="0" fontId="20" fillId="15" borderId="0" xfId="0" applyFont="1" applyFill="1"/>
    <xf numFmtId="0" fontId="20" fillId="15" borderId="1" xfId="0" applyFont="1" applyFill="1" applyBorder="1"/>
    <xf numFmtId="0" fontId="20" fillId="15" borderId="8" xfId="0" applyFont="1" applyFill="1" applyBorder="1"/>
    <xf numFmtId="0" fontId="12" fillId="15" borderId="1" xfId="0" applyFont="1" applyFill="1" applyBorder="1"/>
    <xf numFmtId="0" fontId="12" fillId="15" borderId="0" xfId="0" applyFont="1" applyFill="1"/>
    <xf numFmtId="0" fontId="21" fillId="15" borderId="0" xfId="0" applyFont="1" applyFill="1"/>
    <xf numFmtId="0" fontId="0" fillId="21" borderId="1" xfId="0" applyFill="1" applyBorder="1"/>
    <xf numFmtId="0" fontId="0" fillId="5" borderId="0" xfId="0" applyFill="1" applyBorder="1"/>
    <xf numFmtId="0" fontId="0" fillId="0" borderId="0" xfId="0" applyBorder="1"/>
    <xf numFmtId="0" fontId="0" fillId="10" borderId="0" xfId="0" applyFill="1" applyBorder="1"/>
    <xf numFmtId="0" fontId="7" fillId="0" borderId="0" xfId="0" applyFont="1" applyBorder="1"/>
    <xf numFmtId="0" fontId="0" fillId="0" borderId="0" xfId="0" applyFill="1" applyBorder="1" applyAlignment="1">
      <alignment vertical="center"/>
    </xf>
    <xf numFmtId="0" fontId="22" fillId="0" borderId="0" xfId="0" applyFont="1" applyAlignment="1"/>
    <xf numFmtId="49" fontId="23" fillId="0" borderId="0" xfId="0" applyNumberFormat="1" applyFont="1" applyAlignment="1"/>
    <xf numFmtId="0" fontId="0" fillId="18" borderId="0" xfId="0" applyFill="1" applyBorder="1"/>
    <xf numFmtId="0" fontId="8" fillId="6" borderId="0" xfId="0" applyFont="1" applyFill="1" applyBorder="1"/>
    <xf numFmtId="0" fontId="8" fillId="2" borderId="0" xfId="0" applyFont="1" applyFill="1" applyBorder="1"/>
    <xf numFmtId="0" fontId="8" fillId="19" borderId="0" xfId="0" applyFont="1" applyFill="1" applyBorder="1"/>
    <xf numFmtId="0" fontId="8" fillId="15" borderId="0" xfId="0" applyFont="1" applyFill="1" applyBorder="1"/>
    <xf numFmtId="0" fontId="8" fillId="18" borderId="0" xfId="0" applyFont="1" applyFill="1" applyBorder="1"/>
    <xf numFmtId="0" fontId="8" fillId="6" borderId="1" xfId="0" applyFont="1" applyFill="1" applyBorder="1"/>
    <xf numFmtId="0" fontId="16" fillId="6" borderId="0" xfId="0" applyFont="1" applyFill="1" applyBorder="1"/>
    <xf numFmtId="0" fontId="16" fillId="2" borderId="0" xfId="0" applyFont="1" applyFill="1" applyBorder="1"/>
    <xf numFmtId="0" fontId="26" fillId="2" borderId="1" xfId="0" applyFont="1" applyFill="1" applyBorder="1"/>
    <xf numFmtId="0" fontId="26" fillId="2" borderId="0" xfId="0" applyFont="1" applyFill="1" applyBorder="1"/>
    <xf numFmtId="0" fontId="27" fillId="2" borderId="0" xfId="0" applyFont="1" applyFill="1" applyBorder="1"/>
    <xf numFmtId="0" fontId="27" fillId="2" borderId="1" xfId="0" applyFont="1" applyFill="1" applyBorder="1"/>
    <xf numFmtId="0" fontId="28" fillId="2" borderId="0" xfId="0" applyFont="1" applyFill="1" applyBorder="1"/>
    <xf numFmtId="0" fontId="28" fillId="2" borderId="1" xfId="0" applyFont="1" applyFill="1" applyBorder="1"/>
    <xf numFmtId="0" fontId="29" fillId="2" borderId="0" xfId="0" applyFont="1" applyFill="1" applyBorder="1"/>
    <xf numFmtId="0" fontId="29" fillId="2" borderId="1" xfId="0" applyFont="1" applyFill="1" applyBorder="1"/>
    <xf numFmtId="0" fontId="8" fillId="19" borderId="1" xfId="0" applyFont="1" applyFill="1" applyBorder="1"/>
    <xf numFmtId="0" fontId="18" fillId="19" borderId="0" xfId="0" applyFont="1" applyFill="1" applyBorder="1"/>
    <xf numFmtId="0" fontId="27" fillId="19" borderId="0" xfId="0" applyFont="1" applyFill="1" applyBorder="1"/>
    <xf numFmtId="0" fontId="27" fillId="19" borderId="1" xfId="0" applyFont="1" applyFill="1" applyBorder="1"/>
    <xf numFmtId="0" fontId="8" fillId="15" borderId="1" xfId="0" applyFont="1" applyFill="1" applyBorder="1"/>
    <xf numFmtId="0" fontId="19" fillId="19" borderId="0" xfId="0" applyFont="1" applyFill="1" applyBorder="1"/>
    <xf numFmtId="0" fontId="30" fillId="19" borderId="0" xfId="0" applyFont="1" applyFill="1" applyBorder="1"/>
    <xf numFmtId="0" fontId="30" fillId="19" borderId="1" xfId="0" applyFont="1" applyFill="1" applyBorder="1"/>
    <xf numFmtId="0" fontId="17" fillId="19" borderId="1" xfId="0" applyFont="1" applyFill="1" applyBorder="1"/>
    <xf numFmtId="0" fontId="25" fillId="15" borderId="0" xfId="0" applyFont="1" applyFill="1" applyBorder="1"/>
    <xf numFmtId="0" fontId="25" fillId="15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8" fillId="2" borderId="1" xfId="0" applyFont="1" applyFill="1" applyBorder="1"/>
    <xf numFmtId="0" fontId="0" fillId="24" borderId="1" xfId="0" applyFill="1" applyBorder="1"/>
    <xf numFmtId="0" fontId="0" fillId="13" borderId="1" xfId="0" applyFill="1" applyBorder="1"/>
    <xf numFmtId="0" fontId="0" fillId="0" borderId="0" xfId="0" applyFont="1" applyBorder="1" applyAlignment="1">
      <alignment horizontal="center" vertical="center" wrapText="1"/>
    </xf>
  </cellXfs>
  <cellStyles count="2">
    <cellStyle name="常规" xfId="0" builtinId="0"/>
    <cellStyle name="输出" xfId="1" builtinId="21"/>
  </cellStyles>
  <dxfs count="35557"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6" tint="0.3999450666829432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theme="6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colors>
    <mruColors>
      <color rgb="FF213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548640</xdr:colOff>
      <xdr:row>8</xdr:row>
      <xdr:rowOff>60960</xdr:rowOff>
    </xdr:from>
    <xdr:to>
      <xdr:col>10</xdr:col>
      <xdr:colOff>68580</xdr:colOff>
      <xdr:row>9</xdr:row>
      <xdr:rowOff>160020</xdr:rowOff>
    </xdr:to>
    <xdr:sp macro="[0]!Sheet7.mergeItemData" textlink="">
      <xdr:nvSpPr>
        <xdr:cNvPr id="2" name="圆角矩形 1"/>
        <xdr:cNvSpPr/>
      </xdr:nvSpPr>
      <xdr:spPr>
        <a:xfrm>
          <a:off x="6073140" y="1524000"/>
          <a:ext cx="739140" cy="281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20;&#2227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963;&#21160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027;&#3528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219;&#211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1103;&#26412;&#3492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1629;&#26684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6947;&#20855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4920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39532;&#20180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31216;&#2149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地图数据"/>
      <sheetName val="D_关卡BOSS血条判断"/>
      <sheetName val="D_关卡怪物类型血条判断"/>
      <sheetName val="D_关卡评星奖励"/>
      <sheetName val="D_关卡占领奖励"/>
      <sheetName val="地图配置说明"/>
      <sheetName val="地图配置辅助表"/>
      <sheetName val="血条计算评估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>
            <v>1</v>
          </cell>
          <cell r="B3">
            <v>0</v>
          </cell>
          <cell r="C3">
            <v>1</v>
          </cell>
          <cell r="D3" t="str">
            <v>油尖旺</v>
          </cell>
          <cell r="E3">
            <v>0</v>
          </cell>
        </row>
        <row r="4">
          <cell r="A4">
            <v>2</v>
          </cell>
          <cell r="B4">
            <v>0</v>
          </cell>
          <cell r="C4">
            <v>2</v>
          </cell>
          <cell r="D4" t="str">
            <v>铜锣湾</v>
          </cell>
          <cell r="E4">
            <v>0</v>
          </cell>
        </row>
        <row r="5">
          <cell r="A5">
            <v>3</v>
          </cell>
          <cell r="B5">
            <v>0</v>
          </cell>
          <cell r="C5">
            <v>3</v>
          </cell>
          <cell r="D5" t="str">
            <v>维多利亚港</v>
          </cell>
          <cell r="E5">
            <v>0</v>
          </cell>
        </row>
        <row r="6">
          <cell r="A6">
            <v>4</v>
          </cell>
          <cell r="B6">
            <v>0</v>
          </cell>
          <cell r="C6">
            <v>4</v>
          </cell>
          <cell r="D6" t="str">
            <v>澳门</v>
          </cell>
          <cell r="E6">
            <v>0</v>
          </cell>
        </row>
        <row r="7">
          <cell r="A7">
            <v>5</v>
          </cell>
          <cell r="B7">
            <v>0</v>
          </cell>
          <cell r="C7">
            <v>5</v>
          </cell>
          <cell r="D7" t="str">
            <v>日月潭</v>
          </cell>
          <cell r="E7">
            <v>0</v>
          </cell>
        </row>
        <row r="8">
          <cell r="A8">
            <v>6</v>
          </cell>
          <cell r="B8">
            <v>0</v>
          </cell>
          <cell r="C8">
            <v>6</v>
          </cell>
          <cell r="D8" t="str">
            <v>富士山</v>
          </cell>
          <cell r="E8">
            <v>0</v>
          </cell>
        </row>
        <row r="9">
          <cell r="A9">
            <v>7</v>
          </cell>
          <cell r="B9">
            <v>0</v>
          </cell>
          <cell r="C9">
            <v>7</v>
          </cell>
          <cell r="D9" t="str">
            <v>东京</v>
          </cell>
          <cell r="E9">
            <v>0</v>
          </cell>
        </row>
        <row r="10">
          <cell r="A10">
            <v>8</v>
          </cell>
          <cell r="B10">
            <v>0</v>
          </cell>
          <cell r="C10">
            <v>8</v>
          </cell>
          <cell r="D10" t="str">
            <v>台北</v>
          </cell>
          <cell r="E10">
            <v>0</v>
          </cell>
        </row>
        <row r="11">
          <cell r="A11">
            <v>1001</v>
          </cell>
          <cell r="B11">
            <v>1</v>
          </cell>
          <cell r="C11">
            <v>1</v>
          </cell>
          <cell r="D11" t="str">
            <v>浴室砍巴闭</v>
          </cell>
          <cell r="E11">
            <v>6</v>
          </cell>
        </row>
        <row r="12">
          <cell r="A12">
            <v>1002</v>
          </cell>
          <cell r="B12">
            <v>1</v>
          </cell>
          <cell r="C12">
            <v>1</v>
          </cell>
          <cell r="D12" t="str">
            <v>西贡打大傻</v>
          </cell>
          <cell r="E12">
            <v>6</v>
          </cell>
        </row>
        <row r="13">
          <cell r="A13">
            <v>1003</v>
          </cell>
          <cell r="B13">
            <v>1</v>
          </cell>
          <cell r="C13">
            <v>1</v>
          </cell>
          <cell r="D13" t="str">
            <v>戏逗小结巴</v>
          </cell>
          <cell r="E13">
            <v>6</v>
          </cell>
        </row>
        <row r="14">
          <cell r="A14">
            <v>1004</v>
          </cell>
          <cell r="B14">
            <v>1</v>
          </cell>
          <cell r="C14">
            <v>1</v>
          </cell>
          <cell r="D14" t="str">
            <v>秘密任务</v>
          </cell>
          <cell r="E14">
            <v>6</v>
          </cell>
        </row>
        <row r="15">
          <cell r="A15">
            <v>1005</v>
          </cell>
          <cell r="B15">
            <v>1</v>
          </cell>
          <cell r="C15">
            <v>1</v>
          </cell>
          <cell r="D15" t="str">
            <v>遭遇埋伏</v>
          </cell>
          <cell r="E15">
            <v>6</v>
          </cell>
        </row>
        <row r="16">
          <cell r="A16">
            <v>1006</v>
          </cell>
          <cell r="B16">
            <v>1</v>
          </cell>
          <cell r="C16">
            <v>1</v>
          </cell>
          <cell r="D16" t="str">
            <v>逃出生天</v>
          </cell>
          <cell r="E16">
            <v>6</v>
          </cell>
        </row>
        <row r="17">
          <cell r="A17">
            <v>1007</v>
          </cell>
          <cell r="B17">
            <v>1</v>
          </cell>
          <cell r="C17">
            <v>1</v>
          </cell>
          <cell r="D17" t="str">
            <v>B哥遇害</v>
          </cell>
          <cell r="E17">
            <v>6</v>
          </cell>
        </row>
        <row r="18">
          <cell r="A18">
            <v>1008</v>
          </cell>
          <cell r="B18">
            <v>1</v>
          </cell>
          <cell r="C18">
            <v>1</v>
          </cell>
          <cell r="D18" t="str">
            <v>同仇敌忾</v>
          </cell>
          <cell r="E18">
            <v>6</v>
          </cell>
        </row>
        <row r="19">
          <cell r="A19">
            <v>1009</v>
          </cell>
          <cell r="B19">
            <v>1</v>
          </cell>
          <cell r="C19">
            <v>1</v>
          </cell>
          <cell r="D19" t="str">
            <v>合力毙靓坤</v>
          </cell>
          <cell r="E19">
            <v>6</v>
          </cell>
        </row>
        <row r="20">
          <cell r="A20">
            <v>1010</v>
          </cell>
          <cell r="B20">
            <v>1</v>
          </cell>
          <cell r="C20">
            <v>0</v>
          </cell>
          <cell r="D20" t="str">
            <v>新手关卡</v>
          </cell>
          <cell r="E20">
            <v>6</v>
          </cell>
        </row>
        <row r="21">
          <cell r="A21">
            <v>2001</v>
          </cell>
          <cell r="B21">
            <v>1</v>
          </cell>
          <cell r="C21">
            <v>2</v>
          </cell>
          <cell r="D21" t="str">
            <v>协助山鸡</v>
          </cell>
          <cell r="E21">
            <v>6</v>
          </cell>
        </row>
        <row r="22">
          <cell r="A22">
            <v>2002</v>
          </cell>
          <cell r="B22">
            <v>1</v>
          </cell>
          <cell r="C22">
            <v>2</v>
          </cell>
          <cell r="D22" t="str">
            <v>伏击张议员</v>
          </cell>
          <cell r="E22">
            <v>6</v>
          </cell>
        </row>
        <row r="23">
          <cell r="A23">
            <v>2003</v>
          </cell>
          <cell r="B23">
            <v>1</v>
          </cell>
          <cell r="C23">
            <v>2</v>
          </cell>
          <cell r="D23" t="str">
            <v>蒋生遇雷功</v>
          </cell>
          <cell r="E23">
            <v>6</v>
          </cell>
        </row>
        <row r="24">
          <cell r="A24">
            <v>2004</v>
          </cell>
          <cell r="B24">
            <v>1</v>
          </cell>
          <cell r="C24">
            <v>2</v>
          </cell>
          <cell r="D24" t="str">
            <v>争夺扛把子</v>
          </cell>
          <cell r="E24">
            <v>6</v>
          </cell>
        </row>
        <row r="25">
          <cell r="A25">
            <v>2005</v>
          </cell>
          <cell r="B25">
            <v>1</v>
          </cell>
          <cell r="C25">
            <v>2</v>
          </cell>
          <cell r="D25" t="str">
            <v>约战大飞</v>
          </cell>
          <cell r="E25">
            <v>6</v>
          </cell>
        </row>
        <row r="26">
          <cell r="A26">
            <v>2006</v>
          </cell>
          <cell r="B26">
            <v>1</v>
          </cell>
          <cell r="C26">
            <v>2</v>
          </cell>
          <cell r="D26" t="str">
            <v>缓和契机</v>
          </cell>
          <cell r="E26">
            <v>6</v>
          </cell>
        </row>
        <row r="27">
          <cell r="A27">
            <v>2007</v>
          </cell>
          <cell r="B27">
            <v>1</v>
          </cell>
          <cell r="C27">
            <v>2</v>
          </cell>
          <cell r="D27" t="str">
            <v>落入陷阱</v>
          </cell>
          <cell r="E27">
            <v>6</v>
          </cell>
        </row>
        <row r="28">
          <cell r="A28">
            <v>2008</v>
          </cell>
          <cell r="B28">
            <v>1</v>
          </cell>
          <cell r="C28">
            <v>2</v>
          </cell>
          <cell r="D28" t="str">
            <v>突出重围</v>
          </cell>
          <cell r="E28">
            <v>6</v>
          </cell>
        </row>
        <row r="29">
          <cell r="A29">
            <v>2009</v>
          </cell>
          <cell r="B29">
            <v>1</v>
          </cell>
          <cell r="C29">
            <v>2</v>
          </cell>
          <cell r="D29" t="str">
            <v>赌场除丁瑶</v>
          </cell>
          <cell r="E29">
            <v>6</v>
          </cell>
        </row>
        <row r="30">
          <cell r="A30">
            <v>3001</v>
          </cell>
          <cell r="B30">
            <v>1</v>
          </cell>
          <cell r="C30">
            <v>3</v>
          </cell>
          <cell r="D30" t="str">
            <v>东星鸿门宴</v>
          </cell>
          <cell r="E30">
            <v>6</v>
          </cell>
        </row>
        <row r="31">
          <cell r="A31">
            <v>3002</v>
          </cell>
          <cell r="B31">
            <v>1</v>
          </cell>
          <cell r="C31">
            <v>3</v>
          </cell>
          <cell r="D31" t="str">
            <v>怒打笑面虎</v>
          </cell>
          <cell r="E31">
            <v>6</v>
          </cell>
        </row>
        <row r="32">
          <cell r="A32">
            <v>3003</v>
          </cell>
          <cell r="B32">
            <v>1</v>
          </cell>
          <cell r="C32">
            <v>3</v>
          </cell>
          <cell r="D32" t="str">
            <v>蒋生遇袭</v>
          </cell>
          <cell r="E32">
            <v>6</v>
          </cell>
        </row>
        <row r="33">
          <cell r="A33">
            <v>3004</v>
          </cell>
          <cell r="B33">
            <v>1</v>
          </cell>
          <cell r="C33">
            <v>3</v>
          </cell>
          <cell r="D33" t="str">
            <v>遭遇诬陷</v>
          </cell>
          <cell r="E33">
            <v>6</v>
          </cell>
        </row>
        <row r="34">
          <cell r="A34">
            <v>3005</v>
          </cell>
          <cell r="B34">
            <v>1</v>
          </cell>
          <cell r="C34">
            <v>3</v>
          </cell>
          <cell r="D34" t="str">
            <v>掩护浩南</v>
          </cell>
          <cell r="E34">
            <v>6</v>
          </cell>
        </row>
        <row r="35">
          <cell r="A35">
            <v>3006</v>
          </cell>
          <cell r="B35">
            <v>1</v>
          </cell>
          <cell r="C35">
            <v>3</v>
          </cell>
          <cell r="D35" t="str">
            <v>获取弹药</v>
          </cell>
          <cell r="E35">
            <v>6</v>
          </cell>
        </row>
        <row r="36">
          <cell r="A36">
            <v>3007</v>
          </cell>
          <cell r="B36">
            <v>1</v>
          </cell>
          <cell r="C36">
            <v>3</v>
          </cell>
          <cell r="D36" t="str">
            <v>小结巴之死</v>
          </cell>
          <cell r="E36">
            <v>6</v>
          </cell>
        </row>
        <row r="37">
          <cell r="A37">
            <v>3008</v>
          </cell>
          <cell r="B37">
            <v>1</v>
          </cell>
          <cell r="C37">
            <v>3</v>
          </cell>
          <cell r="D37" t="str">
            <v>复仇之路</v>
          </cell>
          <cell r="E37">
            <v>6</v>
          </cell>
        </row>
        <row r="38">
          <cell r="A38">
            <v>3009</v>
          </cell>
          <cell r="B38">
            <v>1</v>
          </cell>
          <cell r="C38">
            <v>3</v>
          </cell>
          <cell r="D38" t="str">
            <v>双虎覆灭</v>
          </cell>
          <cell r="E38">
            <v>6</v>
          </cell>
        </row>
        <row r="39">
          <cell r="A39">
            <v>4001</v>
          </cell>
          <cell r="B39">
            <v>1</v>
          </cell>
          <cell r="C39">
            <v>4</v>
          </cell>
          <cell r="D39" t="str">
            <v>驱除袭击者</v>
          </cell>
          <cell r="E39">
            <v>8</v>
          </cell>
        </row>
        <row r="40">
          <cell r="A40">
            <v>4002</v>
          </cell>
          <cell r="B40">
            <v>1</v>
          </cell>
          <cell r="C40">
            <v>4</v>
          </cell>
          <cell r="D40" t="str">
            <v>屯门之争</v>
          </cell>
          <cell r="E40">
            <v>8</v>
          </cell>
        </row>
        <row r="41">
          <cell r="A41">
            <v>4003</v>
          </cell>
          <cell r="B41">
            <v>1</v>
          </cell>
          <cell r="C41">
            <v>4</v>
          </cell>
          <cell r="D41" t="str">
            <v>教会解围</v>
          </cell>
          <cell r="E41">
            <v>8</v>
          </cell>
        </row>
        <row r="42">
          <cell r="A42">
            <v>4004</v>
          </cell>
          <cell r="B42">
            <v>1</v>
          </cell>
          <cell r="C42">
            <v>4</v>
          </cell>
          <cell r="D42" t="str">
            <v>地盘纷争</v>
          </cell>
          <cell r="E42">
            <v>8</v>
          </cell>
        </row>
        <row r="43">
          <cell r="A43">
            <v>4005</v>
          </cell>
          <cell r="B43">
            <v>1</v>
          </cell>
          <cell r="C43">
            <v>4</v>
          </cell>
          <cell r="D43" t="str">
            <v>营救大天二</v>
          </cell>
          <cell r="E43">
            <v>8</v>
          </cell>
        </row>
        <row r="44">
          <cell r="A44">
            <v>4006</v>
          </cell>
          <cell r="B44">
            <v>1</v>
          </cell>
          <cell r="C44">
            <v>4</v>
          </cell>
          <cell r="D44" t="str">
            <v>调虎离山</v>
          </cell>
          <cell r="E44">
            <v>8</v>
          </cell>
        </row>
        <row r="45">
          <cell r="A45">
            <v>4007</v>
          </cell>
          <cell r="B45">
            <v>1</v>
          </cell>
          <cell r="C45">
            <v>4</v>
          </cell>
          <cell r="D45" t="str">
            <v>痛失战友</v>
          </cell>
          <cell r="E45">
            <v>8</v>
          </cell>
        </row>
        <row r="46">
          <cell r="A46">
            <v>4008</v>
          </cell>
          <cell r="B46">
            <v>1</v>
          </cell>
          <cell r="C46">
            <v>4</v>
          </cell>
          <cell r="D46" t="str">
            <v>追击真凶</v>
          </cell>
          <cell r="E46">
            <v>8</v>
          </cell>
        </row>
        <row r="47">
          <cell r="A47">
            <v>4009</v>
          </cell>
          <cell r="B47">
            <v>1</v>
          </cell>
          <cell r="C47">
            <v>4</v>
          </cell>
          <cell r="D47" t="str">
            <v>一决雌雄</v>
          </cell>
          <cell r="E47">
            <v>8</v>
          </cell>
        </row>
        <row r="48">
          <cell r="A48">
            <v>5001</v>
          </cell>
          <cell r="B48">
            <v>1</v>
          </cell>
          <cell r="C48">
            <v>5</v>
          </cell>
          <cell r="D48" t="str">
            <v>双雄之争</v>
          </cell>
          <cell r="E48">
            <v>8</v>
          </cell>
        </row>
        <row r="49">
          <cell r="A49">
            <v>5002</v>
          </cell>
          <cell r="B49">
            <v>1</v>
          </cell>
          <cell r="C49">
            <v>5</v>
          </cell>
          <cell r="D49" t="str">
            <v>守卫赌船</v>
          </cell>
          <cell r="E49">
            <v>8</v>
          </cell>
        </row>
        <row r="50">
          <cell r="A50">
            <v>5003</v>
          </cell>
          <cell r="B50">
            <v>1</v>
          </cell>
          <cell r="C50">
            <v>5</v>
          </cell>
          <cell r="D50" t="str">
            <v>正面冲突</v>
          </cell>
          <cell r="E50">
            <v>8</v>
          </cell>
        </row>
        <row r="51">
          <cell r="A51">
            <v>5004</v>
          </cell>
          <cell r="B51">
            <v>1</v>
          </cell>
          <cell r="C51">
            <v>5</v>
          </cell>
          <cell r="D51" t="str">
            <v>冲突升级</v>
          </cell>
          <cell r="E51">
            <v>8</v>
          </cell>
        </row>
        <row r="52">
          <cell r="A52">
            <v>5005</v>
          </cell>
          <cell r="B52">
            <v>1</v>
          </cell>
          <cell r="C52">
            <v>5</v>
          </cell>
          <cell r="D52" t="str">
            <v>缉拿长毛</v>
          </cell>
          <cell r="E52">
            <v>8</v>
          </cell>
        </row>
        <row r="53">
          <cell r="A53">
            <v>5006</v>
          </cell>
          <cell r="B53">
            <v>1</v>
          </cell>
          <cell r="C53">
            <v>5</v>
          </cell>
          <cell r="D53" t="str">
            <v>备战拳赛</v>
          </cell>
          <cell r="E53">
            <v>8</v>
          </cell>
        </row>
        <row r="54">
          <cell r="A54">
            <v>5007</v>
          </cell>
          <cell r="B54">
            <v>1</v>
          </cell>
          <cell r="C54">
            <v>5</v>
          </cell>
          <cell r="D54" t="str">
            <v>金牌打手</v>
          </cell>
          <cell r="E54">
            <v>8</v>
          </cell>
        </row>
        <row r="55">
          <cell r="A55">
            <v>5008</v>
          </cell>
          <cell r="B55">
            <v>1</v>
          </cell>
          <cell r="C55">
            <v>5</v>
          </cell>
          <cell r="D55" t="str">
            <v>螳臂当车</v>
          </cell>
          <cell r="E55">
            <v>8</v>
          </cell>
        </row>
        <row r="56">
          <cell r="A56">
            <v>5009</v>
          </cell>
          <cell r="B56">
            <v>1</v>
          </cell>
          <cell r="C56">
            <v>5</v>
          </cell>
          <cell r="D56" t="str">
            <v>龙争虎斗</v>
          </cell>
          <cell r="E56">
            <v>8</v>
          </cell>
        </row>
        <row r="57">
          <cell r="A57">
            <v>6001</v>
          </cell>
          <cell r="B57">
            <v>1</v>
          </cell>
          <cell r="C57">
            <v>6</v>
          </cell>
          <cell r="D57" t="str">
            <v>婚礼遭袭</v>
          </cell>
          <cell r="E57">
            <v>10</v>
          </cell>
        </row>
        <row r="58">
          <cell r="A58">
            <v>6002</v>
          </cell>
          <cell r="B58">
            <v>1</v>
          </cell>
          <cell r="C58">
            <v>6</v>
          </cell>
          <cell r="D58" t="str">
            <v>纠缠不休</v>
          </cell>
          <cell r="E58">
            <v>10</v>
          </cell>
        </row>
        <row r="59">
          <cell r="A59">
            <v>6003</v>
          </cell>
          <cell r="B59">
            <v>1</v>
          </cell>
          <cell r="C59">
            <v>6</v>
          </cell>
          <cell r="D59" t="str">
            <v>试炼之战</v>
          </cell>
          <cell r="E59">
            <v>10</v>
          </cell>
        </row>
        <row r="60">
          <cell r="A60">
            <v>6004</v>
          </cell>
          <cell r="B60">
            <v>1</v>
          </cell>
          <cell r="C60">
            <v>6</v>
          </cell>
          <cell r="D60" t="str">
            <v>反守为攻</v>
          </cell>
          <cell r="E60">
            <v>10</v>
          </cell>
        </row>
        <row r="61">
          <cell r="A61">
            <v>6005</v>
          </cell>
          <cell r="B61">
            <v>1</v>
          </cell>
          <cell r="C61">
            <v>6</v>
          </cell>
          <cell r="D61" t="str">
            <v>突破重围</v>
          </cell>
          <cell r="E61">
            <v>10</v>
          </cell>
        </row>
        <row r="62">
          <cell r="A62">
            <v>6006</v>
          </cell>
          <cell r="B62">
            <v>1</v>
          </cell>
          <cell r="C62">
            <v>6</v>
          </cell>
          <cell r="D62" t="str">
            <v>力克强敌</v>
          </cell>
          <cell r="E62">
            <v>10</v>
          </cell>
        </row>
        <row r="63">
          <cell r="A63">
            <v>6007</v>
          </cell>
          <cell r="B63">
            <v>1</v>
          </cell>
          <cell r="C63">
            <v>6</v>
          </cell>
          <cell r="D63" t="str">
            <v>正面交锋</v>
          </cell>
          <cell r="E63">
            <v>10</v>
          </cell>
        </row>
        <row r="64">
          <cell r="A64">
            <v>6008</v>
          </cell>
          <cell r="B64">
            <v>1</v>
          </cell>
          <cell r="C64">
            <v>6</v>
          </cell>
          <cell r="D64" t="str">
            <v>愈战愈勇</v>
          </cell>
          <cell r="E64">
            <v>10</v>
          </cell>
        </row>
        <row r="65">
          <cell r="A65">
            <v>6009</v>
          </cell>
          <cell r="B65">
            <v>1</v>
          </cell>
          <cell r="C65">
            <v>6</v>
          </cell>
          <cell r="D65" t="str">
            <v>决战太乙</v>
          </cell>
          <cell r="E65">
            <v>10</v>
          </cell>
        </row>
        <row r="66">
          <cell r="A66">
            <v>7001</v>
          </cell>
          <cell r="B66">
            <v>1</v>
          </cell>
          <cell r="C66">
            <v>7</v>
          </cell>
          <cell r="D66" t="str">
            <v>突袭白虎堂</v>
          </cell>
          <cell r="E66">
            <v>10</v>
          </cell>
        </row>
        <row r="67">
          <cell r="A67">
            <v>7002</v>
          </cell>
          <cell r="B67">
            <v>1</v>
          </cell>
          <cell r="C67">
            <v>7</v>
          </cell>
          <cell r="D67" t="str">
            <v>勇闯玄武堂</v>
          </cell>
          <cell r="E67">
            <v>10</v>
          </cell>
        </row>
        <row r="68">
          <cell r="A68">
            <v>7003</v>
          </cell>
          <cell r="B68">
            <v>1</v>
          </cell>
          <cell r="C68">
            <v>7</v>
          </cell>
          <cell r="D68" t="str">
            <v>激战朱雀堂</v>
          </cell>
          <cell r="E68">
            <v>10</v>
          </cell>
        </row>
        <row r="69">
          <cell r="A69">
            <v>7004</v>
          </cell>
          <cell r="B69">
            <v>1</v>
          </cell>
          <cell r="C69">
            <v>7</v>
          </cell>
          <cell r="D69" t="str">
            <v>恶战青龙堂</v>
          </cell>
          <cell r="E69">
            <v>10</v>
          </cell>
        </row>
        <row r="70">
          <cell r="A70">
            <v>7005</v>
          </cell>
          <cell r="B70">
            <v>1</v>
          </cell>
          <cell r="C70">
            <v>7</v>
          </cell>
          <cell r="D70" t="str">
            <v>挑战佐维</v>
          </cell>
          <cell r="E70">
            <v>10</v>
          </cell>
        </row>
        <row r="71">
          <cell r="A71">
            <v>7006</v>
          </cell>
          <cell r="B71">
            <v>1</v>
          </cell>
          <cell r="C71">
            <v>7</v>
          </cell>
          <cell r="D71" t="str">
            <v>恶虎下山</v>
          </cell>
          <cell r="E71">
            <v>10</v>
          </cell>
        </row>
        <row r="72">
          <cell r="A72">
            <v>7007</v>
          </cell>
          <cell r="B72">
            <v>1</v>
          </cell>
          <cell r="C72">
            <v>7</v>
          </cell>
          <cell r="D72" t="str">
            <v>狂龙出海</v>
          </cell>
          <cell r="E72">
            <v>10</v>
          </cell>
        </row>
        <row r="73">
          <cell r="A73">
            <v>7008</v>
          </cell>
          <cell r="B73">
            <v>1</v>
          </cell>
          <cell r="C73">
            <v>7</v>
          </cell>
          <cell r="D73" t="str">
            <v>兵临城下</v>
          </cell>
          <cell r="E73">
            <v>10</v>
          </cell>
        </row>
        <row r="74">
          <cell r="A74">
            <v>7009</v>
          </cell>
          <cell r="B74">
            <v>1</v>
          </cell>
          <cell r="C74">
            <v>7</v>
          </cell>
          <cell r="D74" t="str">
            <v>决战东京</v>
          </cell>
          <cell r="E74">
            <v>10</v>
          </cell>
        </row>
        <row r="75">
          <cell r="A75">
            <v>8001</v>
          </cell>
          <cell r="B75">
            <v>1</v>
          </cell>
          <cell r="C75">
            <v>8</v>
          </cell>
          <cell r="D75" t="str">
            <v>再战靓坤</v>
          </cell>
          <cell r="E75">
            <v>10</v>
          </cell>
        </row>
        <row r="76">
          <cell r="A76">
            <v>8002</v>
          </cell>
          <cell r="B76">
            <v>1</v>
          </cell>
          <cell r="C76">
            <v>8</v>
          </cell>
          <cell r="D76" t="str">
            <v>噩梦再临</v>
          </cell>
          <cell r="E76">
            <v>10</v>
          </cell>
        </row>
        <row r="77">
          <cell r="A77">
            <v>8003</v>
          </cell>
          <cell r="B77">
            <v>1</v>
          </cell>
          <cell r="C77">
            <v>8</v>
          </cell>
          <cell r="D77" t="str">
            <v>死性不改</v>
          </cell>
          <cell r="E77">
            <v>10</v>
          </cell>
        </row>
        <row r="78">
          <cell r="A78">
            <v>8004</v>
          </cell>
          <cell r="B78">
            <v>1</v>
          </cell>
          <cell r="C78">
            <v>8</v>
          </cell>
          <cell r="D78" t="str">
            <v>阴魂不散</v>
          </cell>
          <cell r="E78">
            <v>10</v>
          </cell>
        </row>
        <row r="79">
          <cell r="A79">
            <v>8005</v>
          </cell>
          <cell r="B79">
            <v>1</v>
          </cell>
          <cell r="C79">
            <v>8</v>
          </cell>
          <cell r="D79" t="str">
            <v>意外强敌</v>
          </cell>
          <cell r="E79">
            <v>10</v>
          </cell>
        </row>
        <row r="80">
          <cell r="A80">
            <v>8006</v>
          </cell>
          <cell r="B80">
            <v>1</v>
          </cell>
          <cell r="C80">
            <v>8</v>
          </cell>
          <cell r="D80" t="str">
            <v>复仇之战</v>
          </cell>
          <cell r="E80">
            <v>10</v>
          </cell>
        </row>
        <row r="81">
          <cell r="A81">
            <v>8007</v>
          </cell>
          <cell r="B81">
            <v>1</v>
          </cell>
          <cell r="C81">
            <v>8</v>
          </cell>
          <cell r="D81" t="str">
            <v>劲敌出现</v>
          </cell>
          <cell r="E81">
            <v>10</v>
          </cell>
        </row>
        <row r="82">
          <cell r="A82">
            <v>8008</v>
          </cell>
          <cell r="B82">
            <v>1</v>
          </cell>
          <cell r="C82">
            <v>8</v>
          </cell>
          <cell r="D82" t="str">
            <v>约战山鸡</v>
          </cell>
          <cell r="E82">
            <v>10</v>
          </cell>
        </row>
        <row r="83">
          <cell r="A83">
            <v>8009</v>
          </cell>
          <cell r="B83">
            <v>1</v>
          </cell>
          <cell r="C83">
            <v>8</v>
          </cell>
          <cell r="D83" t="str">
            <v>揭穿雷复轰</v>
          </cell>
          <cell r="E83">
            <v>10</v>
          </cell>
        </row>
        <row r="84">
          <cell r="A84">
            <v>1201</v>
          </cell>
          <cell r="B84">
            <v>2</v>
          </cell>
          <cell r="C84">
            <v>1</v>
          </cell>
          <cell r="D84" t="str">
            <v>精英巴闭</v>
          </cell>
          <cell r="E84">
            <v>10</v>
          </cell>
        </row>
        <row r="85">
          <cell r="A85">
            <v>1202</v>
          </cell>
          <cell r="B85">
            <v>2</v>
          </cell>
          <cell r="C85">
            <v>1</v>
          </cell>
          <cell r="D85" t="str">
            <v>精英大傻保镖</v>
          </cell>
          <cell r="E85">
            <v>10</v>
          </cell>
        </row>
        <row r="86">
          <cell r="A86">
            <v>1203</v>
          </cell>
          <cell r="B86">
            <v>2</v>
          </cell>
          <cell r="C86">
            <v>1</v>
          </cell>
          <cell r="D86" t="str">
            <v>精英偷车贼</v>
          </cell>
          <cell r="E86">
            <v>10</v>
          </cell>
        </row>
        <row r="87">
          <cell r="A87">
            <v>1204</v>
          </cell>
          <cell r="B87">
            <v>2</v>
          </cell>
          <cell r="C87">
            <v>1</v>
          </cell>
          <cell r="D87" t="str">
            <v>精英丧彪手下</v>
          </cell>
          <cell r="E87">
            <v>10</v>
          </cell>
        </row>
        <row r="88">
          <cell r="A88">
            <v>1205</v>
          </cell>
          <cell r="B88">
            <v>2</v>
          </cell>
          <cell r="C88">
            <v>1</v>
          </cell>
          <cell r="D88" t="str">
            <v>精英丧彪</v>
          </cell>
          <cell r="E88">
            <v>10</v>
          </cell>
        </row>
        <row r="89">
          <cell r="A89">
            <v>1206</v>
          </cell>
          <cell r="B89">
            <v>2</v>
          </cell>
          <cell r="C89">
            <v>1</v>
          </cell>
          <cell r="D89" t="str">
            <v>精英拦截者</v>
          </cell>
          <cell r="E89">
            <v>10</v>
          </cell>
        </row>
        <row r="90">
          <cell r="A90">
            <v>1207</v>
          </cell>
          <cell r="B90">
            <v>2</v>
          </cell>
          <cell r="C90">
            <v>1</v>
          </cell>
          <cell r="D90" t="str">
            <v>精英靓坤手下</v>
          </cell>
          <cell r="E90">
            <v>10</v>
          </cell>
        </row>
        <row r="91">
          <cell r="A91">
            <v>1208</v>
          </cell>
          <cell r="B91">
            <v>2</v>
          </cell>
          <cell r="C91">
            <v>1</v>
          </cell>
          <cell r="D91" t="str">
            <v>精英阿强</v>
          </cell>
          <cell r="E91">
            <v>10</v>
          </cell>
        </row>
        <row r="92">
          <cell r="A92">
            <v>1209</v>
          </cell>
          <cell r="B92">
            <v>2</v>
          </cell>
          <cell r="C92">
            <v>1</v>
          </cell>
          <cell r="D92" t="str">
            <v>精英靓坤</v>
          </cell>
          <cell r="E92">
            <v>10</v>
          </cell>
        </row>
        <row r="93">
          <cell r="A93">
            <v>2201</v>
          </cell>
          <cell r="B93">
            <v>2</v>
          </cell>
          <cell r="C93">
            <v>2</v>
          </cell>
          <cell r="D93" t="str">
            <v>精英议员保镖</v>
          </cell>
          <cell r="E93">
            <v>10</v>
          </cell>
        </row>
        <row r="94">
          <cell r="A94">
            <v>2202</v>
          </cell>
          <cell r="B94">
            <v>2</v>
          </cell>
          <cell r="C94">
            <v>2</v>
          </cell>
          <cell r="D94" t="str">
            <v>精英张议员</v>
          </cell>
          <cell r="E94">
            <v>10</v>
          </cell>
        </row>
        <row r="95">
          <cell r="A95">
            <v>2203</v>
          </cell>
          <cell r="B95">
            <v>2</v>
          </cell>
          <cell r="C95">
            <v>2</v>
          </cell>
          <cell r="D95" t="str">
            <v>精英枪手</v>
          </cell>
          <cell r="E95">
            <v>10</v>
          </cell>
        </row>
        <row r="96">
          <cell r="A96">
            <v>2204</v>
          </cell>
          <cell r="B96">
            <v>2</v>
          </cell>
          <cell r="C96">
            <v>2</v>
          </cell>
          <cell r="D96" t="str">
            <v>精英大飞手下</v>
          </cell>
          <cell r="E96">
            <v>10</v>
          </cell>
        </row>
        <row r="97">
          <cell r="A97">
            <v>2205</v>
          </cell>
          <cell r="B97">
            <v>2</v>
          </cell>
          <cell r="C97">
            <v>2</v>
          </cell>
          <cell r="D97" t="str">
            <v>精英大飞弟子</v>
          </cell>
          <cell r="E97">
            <v>10</v>
          </cell>
        </row>
        <row r="98">
          <cell r="A98">
            <v>2206</v>
          </cell>
          <cell r="B98">
            <v>2</v>
          </cell>
          <cell r="C98">
            <v>2</v>
          </cell>
          <cell r="D98" t="str">
            <v>精英追踪者</v>
          </cell>
          <cell r="E98">
            <v>10</v>
          </cell>
        </row>
        <row r="99">
          <cell r="A99">
            <v>2207</v>
          </cell>
          <cell r="B99">
            <v>2</v>
          </cell>
          <cell r="C99">
            <v>2</v>
          </cell>
          <cell r="D99" t="str">
            <v>精英雷公保镖</v>
          </cell>
          <cell r="E99">
            <v>10</v>
          </cell>
        </row>
        <row r="100">
          <cell r="A100">
            <v>2208</v>
          </cell>
          <cell r="B100">
            <v>2</v>
          </cell>
          <cell r="C100">
            <v>2</v>
          </cell>
          <cell r="D100" t="str">
            <v>精英赌场警卫</v>
          </cell>
          <cell r="E100">
            <v>10</v>
          </cell>
        </row>
        <row r="101">
          <cell r="A101">
            <v>2209</v>
          </cell>
          <cell r="B101">
            <v>2</v>
          </cell>
          <cell r="C101">
            <v>2</v>
          </cell>
          <cell r="D101" t="str">
            <v>精英丁瑶护卫</v>
          </cell>
          <cell r="E101">
            <v>10</v>
          </cell>
        </row>
        <row r="102">
          <cell r="A102">
            <v>3201</v>
          </cell>
          <cell r="B102">
            <v>2</v>
          </cell>
          <cell r="C102">
            <v>3</v>
          </cell>
          <cell r="D102" t="str">
            <v>精英乌鸦手下</v>
          </cell>
          <cell r="E102">
            <v>10</v>
          </cell>
        </row>
        <row r="103">
          <cell r="A103">
            <v>3202</v>
          </cell>
          <cell r="B103">
            <v>2</v>
          </cell>
          <cell r="C103">
            <v>3</v>
          </cell>
          <cell r="D103" t="str">
            <v>精英笑面虎</v>
          </cell>
          <cell r="E103">
            <v>10</v>
          </cell>
        </row>
        <row r="104">
          <cell r="A104">
            <v>3203</v>
          </cell>
          <cell r="B104">
            <v>2</v>
          </cell>
          <cell r="C104">
            <v>3</v>
          </cell>
          <cell r="D104" t="str">
            <v>精英东星杀手</v>
          </cell>
          <cell r="E104">
            <v>10</v>
          </cell>
        </row>
        <row r="105">
          <cell r="A105">
            <v>3204</v>
          </cell>
          <cell r="B105">
            <v>2</v>
          </cell>
          <cell r="C105">
            <v>3</v>
          </cell>
          <cell r="D105" t="str">
            <v>精英赏金猎手</v>
          </cell>
          <cell r="E105">
            <v>10</v>
          </cell>
        </row>
        <row r="106">
          <cell r="A106">
            <v>3205</v>
          </cell>
          <cell r="B106">
            <v>2</v>
          </cell>
          <cell r="C106">
            <v>3</v>
          </cell>
          <cell r="D106" t="str">
            <v>精英追杀者</v>
          </cell>
          <cell r="E106">
            <v>10</v>
          </cell>
        </row>
        <row r="107">
          <cell r="A107">
            <v>3206</v>
          </cell>
          <cell r="B107">
            <v>2</v>
          </cell>
          <cell r="C107">
            <v>3</v>
          </cell>
          <cell r="D107" t="str">
            <v>精英弹药守卫</v>
          </cell>
          <cell r="E107">
            <v>10</v>
          </cell>
        </row>
        <row r="108">
          <cell r="A108">
            <v>3207</v>
          </cell>
          <cell r="B108">
            <v>2</v>
          </cell>
          <cell r="C108">
            <v>3</v>
          </cell>
          <cell r="D108" t="str">
            <v>精英人质看守</v>
          </cell>
          <cell r="E108">
            <v>10</v>
          </cell>
        </row>
        <row r="109">
          <cell r="A109">
            <v>3208</v>
          </cell>
          <cell r="B109">
            <v>2</v>
          </cell>
          <cell r="C109">
            <v>3</v>
          </cell>
          <cell r="D109" t="str">
            <v>精英乌鸦心腹</v>
          </cell>
          <cell r="E109">
            <v>10</v>
          </cell>
        </row>
        <row r="110">
          <cell r="A110">
            <v>3209</v>
          </cell>
          <cell r="B110">
            <v>2</v>
          </cell>
          <cell r="C110">
            <v>3</v>
          </cell>
          <cell r="D110" t="str">
            <v>精英乌鸦</v>
          </cell>
          <cell r="E110">
            <v>10</v>
          </cell>
        </row>
        <row r="111">
          <cell r="A111">
            <v>4201</v>
          </cell>
          <cell r="B111">
            <v>2</v>
          </cell>
          <cell r="C111">
            <v>4</v>
          </cell>
          <cell r="D111" t="str">
            <v>精英袭击者</v>
          </cell>
          <cell r="E111">
            <v>12</v>
          </cell>
        </row>
        <row r="112">
          <cell r="A112">
            <v>4202</v>
          </cell>
          <cell r="B112">
            <v>2</v>
          </cell>
          <cell r="C112">
            <v>4</v>
          </cell>
          <cell r="D112" t="str">
            <v>精英生番手下</v>
          </cell>
          <cell r="E112">
            <v>12</v>
          </cell>
        </row>
        <row r="113">
          <cell r="A113">
            <v>4203</v>
          </cell>
          <cell r="B113">
            <v>2</v>
          </cell>
          <cell r="C113">
            <v>4</v>
          </cell>
          <cell r="D113" t="str">
            <v>精英混混头目</v>
          </cell>
          <cell r="E113">
            <v>12</v>
          </cell>
        </row>
        <row r="114">
          <cell r="A114">
            <v>4204</v>
          </cell>
          <cell r="B114">
            <v>2</v>
          </cell>
          <cell r="C114">
            <v>4</v>
          </cell>
          <cell r="D114" t="str">
            <v>精英黑星</v>
          </cell>
          <cell r="E114">
            <v>12</v>
          </cell>
        </row>
        <row r="115">
          <cell r="A115">
            <v>4205</v>
          </cell>
          <cell r="B115">
            <v>2</v>
          </cell>
          <cell r="C115">
            <v>4</v>
          </cell>
          <cell r="D115" t="str">
            <v>精英生番</v>
          </cell>
          <cell r="E115">
            <v>12</v>
          </cell>
        </row>
        <row r="116">
          <cell r="A116">
            <v>4206</v>
          </cell>
          <cell r="B116">
            <v>2</v>
          </cell>
          <cell r="C116">
            <v>4</v>
          </cell>
          <cell r="D116" t="str">
            <v>精英毒贩头目</v>
          </cell>
          <cell r="E116">
            <v>12</v>
          </cell>
        </row>
        <row r="117">
          <cell r="A117">
            <v>4207</v>
          </cell>
          <cell r="B117">
            <v>2</v>
          </cell>
          <cell r="C117">
            <v>4</v>
          </cell>
          <cell r="D117" t="str">
            <v>精英耀阳手下</v>
          </cell>
          <cell r="E117">
            <v>12</v>
          </cell>
        </row>
        <row r="118">
          <cell r="A118">
            <v>4208</v>
          </cell>
          <cell r="B118">
            <v>2</v>
          </cell>
          <cell r="C118">
            <v>4</v>
          </cell>
          <cell r="D118" t="str">
            <v>精英东星拳师</v>
          </cell>
          <cell r="E118">
            <v>12</v>
          </cell>
        </row>
        <row r="119">
          <cell r="A119">
            <v>4209</v>
          </cell>
          <cell r="B119">
            <v>2</v>
          </cell>
          <cell r="C119">
            <v>4</v>
          </cell>
          <cell r="D119" t="str">
            <v>精英耀阳</v>
          </cell>
          <cell r="E119">
            <v>12</v>
          </cell>
        </row>
        <row r="120">
          <cell r="A120">
            <v>5201</v>
          </cell>
          <cell r="B120">
            <v>2</v>
          </cell>
          <cell r="C120">
            <v>5</v>
          </cell>
          <cell r="D120" t="str">
            <v>精英司徒手下</v>
          </cell>
          <cell r="E120">
            <v>12</v>
          </cell>
        </row>
        <row r="121">
          <cell r="A121">
            <v>5202</v>
          </cell>
          <cell r="B121">
            <v>2</v>
          </cell>
          <cell r="C121">
            <v>5</v>
          </cell>
          <cell r="D121" t="str">
            <v>精英破坏分子</v>
          </cell>
          <cell r="E121">
            <v>12</v>
          </cell>
        </row>
        <row r="122">
          <cell r="A122">
            <v>5203</v>
          </cell>
          <cell r="B122">
            <v>2</v>
          </cell>
          <cell r="C122">
            <v>5</v>
          </cell>
          <cell r="D122" t="str">
            <v>精英地痞头目</v>
          </cell>
          <cell r="E122">
            <v>12</v>
          </cell>
        </row>
        <row r="123">
          <cell r="A123">
            <v>5204</v>
          </cell>
          <cell r="B123">
            <v>2</v>
          </cell>
          <cell r="C123">
            <v>5</v>
          </cell>
          <cell r="D123" t="str">
            <v>精英外籍打手</v>
          </cell>
          <cell r="E123">
            <v>12</v>
          </cell>
        </row>
        <row r="124">
          <cell r="A124">
            <v>5205</v>
          </cell>
          <cell r="B124">
            <v>2</v>
          </cell>
          <cell r="C124">
            <v>5</v>
          </cell>
          <cell r="D124" t="str">
            <v>精英长毛</v>
          </cell>
          <cell r="E124">
            <v>12</v>
          </cell>
        </row>
        <row r="125">
          <cell r="A125">
            <v>5206</v>
          </cell>
          <cell r="B125">
            <v>2</v>
          </cell>
          <cell r="C125">
            <v>5</v>
          </cell>
          <cell r="D125" t="str">
            <v>精英大头仔</v>
          </cell>
          <cell r="E125">
            <v>12</v>
          </cell>
        </row>
        <row r="126">
          <cell r="A126">
            <v>5207</v>
          </cell>
          <cell r="B126">
            <v>2</v>
          </cell>
          <cell r="C126">
            <v>5</v>
          </cell>
          <cell r="D126" t="str">
            <v>精英阿勇</v>
          </cell>
          <cell r="E126">
            <v>12</v>
          </cell>
        </row>
        <row r="127">
          <cell r="A127">
            <v>5208</v>
          </cell>
          <cell r="B127">
            <v>2</v>
          </cell>
          <cell r="C127">
            <v>5</v>
          </cell>
          <cell r="D127" t="str">
            <v>精英非法裁判</v>
          </cell>
          <cell r="E127">
            <v>12</v>
          </cell>
        </row>
        <row r="128">
          <cell r="A128">
            <v>5209</v>
          </cell>
          <cell r="B128">
            <v>2</v>
          </cell>
          <cell r="C128">
            <v>5</v>
          </cell>
          <cell r="D128" t="str">
            <v>精英司徒浩南</v>
          </cell>
          <cell r="E128">
            <v>12</v>
          </cell>
        </row>
        <row r="129">
          <cell r="A129">
            <v>6201</v>
          </cell>
          <cell r="B129">
            <v>2</v>
          </cell>
          <cell r="C129">
            <v>6</v>
          </cell>
          <cell r="D129" t="str">
            <v>精英鬼冢</v>
          </cell>
          <cell r="E129">
            <v>14</v>
          </cell>
        </row>
        <row r="130">
          <cell r="A130">
            <v>6202</v>
          </cell>
          <cell r="B130">
            <v>2</v>
          </cell>
          <cell r="C130">
            <v>6</v>
          </cell>
          <cell r="D130" t="str">
            <v>精英暗魔</v>
          </cell>
          <cell r="E130">
            <v>14</v>
          </cell>
        </row>
        <row r="131">
          <cell r="A131">
            <v>6203</v>
          </cell>
          <cell r="B131">
            <v>2</v>
          </cell>
          <cell r="C131">
            <v>6</v>
          </cell>
          <cell r="D131" t="str">
            <v>精英血狂</v>
          </cell>
          <cell r="E131">
            <v>14</v>
          </cell>
        </row>
        <row r="132">
          <cell r="A132">
            <v>6204</v>
          </cell>
          <cell r="B132">
            <v>2</v>
          </cell>
          <cell r="C132">
            <v>6</v>
          </cell>
          <cell r="D132" t="str">
            <v>精英獠牙</v>
          </cell>
          <cell r="E132">
            <v>14</v>
          </cell>
        </row>
        <row r="133">
          <cell r="A133">
            <v>6205</v>
          </cell>
          <cell r="B133">
            <v>2</v>
          </cell>
          <cell r="C133">
            <v>6</v>
          </cell>
          <cell r="D133" t="str">
            <v>精英陈浩南</v>
          </cell>
          <cell r="E133">
            <v>14</v>
          </cell>
        </row>
        <row r="134">
          <cell r="A134">
            <v>6206</v>
          </cell>
          <cell r="B134">
            <v>2</v>
          </cell>
          <cell r="C134">
            <v>6</v>
          </cell>
          <cell r="D134" t="str">
            <v>精英毒牙</v>
          </cell>
          <cell r="E134">
            <v>14</v>
          </cell>
        </row>
        <row r="135">
          <cell r="A135">
            <v>6207</v>
          </cell>
          <cell r="B135">
            <v>2</v>
          </cell>
          <cell r="C135">
            <v>6</v>
          </cell>
          <cell r="D135" t="str">
            <v>精英织田</v>
          </cell>
          <cell r="E135">
            <v>14</v>
          </cell>
        </row>
        <row r="136">
          <cell r="A136">
            <v>6208</v>
          </cell>
          <cell r="B136">
            <v>2</v>
          </cell>
          <cell r="C136">
            <v>6</v>
          </cell>
          <cell r="D136" t="str">
            <v>精英太乙部下</v>
          </cell>
          <cell r="E136">
            <v>14</v>
          </cell>
        </row>
        <row r="137">
          <cell r="A137">
            <v>6209</v>
          </cell>
          <cell r="B137">
            <v>2</v>
          </cell>
          <cell r="C137">
            <v>6</v>
          </cell>
          <cell r="D137" t="str">
            <v>精英太乙</v>
          </cell>
          <cell r="E137">
            <v>14</v>
          </cell>
        </row>
        <row r="138">
          <cell r="A138">
            <v>7201</v>
          </cell>
          <cell r="B138">
            <v>2</v>
          </cell>
          <cell r="C138">
            <v>7</v>
          </cell>
          <cell r="D138" t="str">
            <v>精英白虎堂</v>
          </cell>
          <cell r="E138">
            <v>14</v>
          </cell>
        </row>
        <row r="139">
          <cell r="A139">
            <v>7202</v>
          </cell>
          <cell r="B139">
            <v>2</v>
          </cell>
          <cell r="C139">
            <v>7</v>
          </cell>
          <cell r="D139" t="str">
            <v>精英玄武堂</v>
          </cell>
          <cell r="E139">
            <v>14</v>
          </cell>
        </row>
        <row r="140">
          <cell r="A140">
            <v>7203</v>
          </cell>
          <cell r="B140">
            <v>2</v>
          </cell>
          <cell r="C140">
            <v>7</v>
          </cell>
          <cell r="D140" t="str">
            <v>精英朱雀堂</v>
          </cell>
          <cell r="E140">
            <v>14</v>
          </cell>
        </row>
        <row r="141">
          <cell r="A141">
            <v>7204</v>
          </cell>
          <cell r="B141">
            <v>2</v>
          </cell>
          <cell r="C141">
            <v>7</v>
          </cell>
          <cell r="D141" t="str">
            <v>精英青龙堂</v>
          </cell>
          <cell r="E141">
            <v>14</v>
          </cell>
        </row>
        <row r="142">
          <cell r="A142">
            <v>7205</v>
          </cell>
          <cell r="B142">
            <v>2</v>
          </cell>
          <cell r="C142">
            <v>7</v>
          </cell>
          <cell r="D142" t="str">
            <v>精英佐维</v>
          </cell>
          <cell r="E142">
            <v>14</v>
          </cell>
        </row>
        <row r="143">
          <cell r="A143">
            <v>7206</v>
          </cell>
          <cell r="B143">
            <v>2</v>
          </cell>
          <cell r="C143">
            <v>7</v>
          </cell>
          <cell r="D143" t="str">
            <v>精英傲虎</v>
          </cell>
          <cell r="E143">
            <v>14</v>
          </cell>
        </row>
        <row r="144">
          <cell r="A144">
            <v>7207</v>
          </cell>
          <cell r="B144">
            <v>2</v>
          </cell>
          <cell r="C144">
            <v>7</v>
          </cell>
          <cell r="D144" t="str">
            <v>精英狂龙</v>
          </cell>
          <cell r="E144">
            <v>14</v>
          </cell>
        </row>
        <row r="145">
          <cell r="A145">
            <v>7208</v>
          </cell>
          <cell r="B145">
            <v>2</v>
          </cell>
          <cell r="C145">
            <v>7</v>
          </cell>
          <cell r="D145" t="str">
            <v>精英山崎</v>
          </cell>
          <cell r="E145">
            <v>14</v>
          </cell>
        </row>
        <row r="146">
          <cell r="A146">
            <v>7209</v>
          </cell>
          <cell r="B146">
            <v>2</v>
          </cell>
          <cell r="C146">
            <v>7</v>
          </cell>
          <cell r="D146" t="str">
            <v>精英杀手首领</v>
          </cell>
          <cell r="E146">
            <v>14</v>
          </cell>
        </row>
        <row r="147">
          <cell r="A147">
            <v>8201</v>
          </cell>
          <cell r="B147">
            <v>2</v>
          </cell>
          <cell r="C147">
            <v>8</v>
          </cell>
          <cell r="D147" t="str">
            <v>精英复仇靓坤</v>
          </cell>
          <cell r="E147">
            <v>14</v>
          </cell>
        </row>
        <row r="148">
          <cell r="A148">
            <v>8202</v>
          </cell>
          <cell r="B148">
            <v>2</v>
          </cell>
          <cell r="C148">
            <v>8</v>
          </cell>
          <cell r="D148" t="str">
            <v>精英复仇乌鸦</v>
          </cell>
          <cell r="E148">
            <v>14</v>
          </cell>
        </row>
        <row r="149">
          <cell r="A149">
            <v>8203</v>
          </cell>
          <cell r="B149">
            <v>2</v>
          </cell>
          <cell r="C149">
            <v>8</v>
          </cell>
          <cell r="D149" t="str">
            <v>精英复仇司徒</v>
          </cell>
          <cell r="E149">
            <v>14</v>
          </cell>
        </row>
        <row r="150">
          <cell r="A150">
            <v>8204</v>
          </cell>
          <cell r="B150">
            <v>2</v>
          </cell>
          <cell r="C150">
            <v>8</v>
          </cell>
          <cell r="D150" t="str">
            <v>精英生番</v>
          </cell>
          <cell r="E150">
            <v>14</v>
          </cell>
        </row>
        <row r="151">
          <cell r="A151">
            <v>8205</v>
          </cell>
          <cell r="B151">
            <v>2</v>
          </cell>
          <cell r="C151">
            <v>8</v>
          </cell>
          <cell r="D151" t="str">
            <v>精英耀阳</v>
          </cell>
          <cell r="E151">
            <v>14</v>
          </cell>
        </row>
        <row r="152">
          <cell r="A152">
            <v>8206</v>
          </cell>
          <cell r="B152">
            <v>2</v>
          </cell>
          <cell r="C152">
            <v>8</v>
          </cell>
          <cell r="D152" t="str">
            <v>精英赌王</v>
          </cell>
          <cell r="E152">
            <v>14</v>
          </cell>
        </row>
        <row r="153">
          <cell r="A153">
            <v>8207</v>
          </cell>
          <cell r="B153">
            <v>2</v>
          </cell>
          <cell r="C153">
            <v>8</v>
          </cell>
          <cell r="D153" t="str">
            <v>精英地中海</v>
          </cell>
          <cell r="E153">
            <v>14</v>
          </cell>
        </row>
        <row r="154">
          <cell r="A154">
            <v>8208</v>
          </cell>
          <cell r="B154">
            <v>2</v>
          </cell>
          <cell r="C154">
            <v>8</v>
          </cell>
          <cell r="D154" t="str">
            <v>精英山鸡</v>
          </cell>
          <cell r="E154">
            <v>14</v>
          </cell>
        </row>
        <row r="155">
          <cell r="A155">
            <v>8209</v>
          </cell>
          <cell r="B155">
            <v>2</v>
          </cell>
          <cell r="C155">
            <v>8</v>
          </cell>
          <cell r="D155" t="str">
            <v>精英雷复轰</v>
          </cell>
          <cell r="E155">
            <v>14</v>
          </cell>
        </row>
        <row r="156">
          <cell r="A156">
            <v>1301</v>
          </cell>
          <cell r="B156">
            <v>3</v>
          </cell>
          <cell r="C156">
            <v>1</v>
          </cell>
          <cell r="D156" t="str">
            <v>难度1（金币）</v>
          </cell>
          <cell r="E156">
            <v>12</v>
          </cell>
        </row>
        <row r="157">
          <cell r="A157">
            <v>1302</v>
          </cell>
          <cell r="B157">
            <v>3</v>
          </cell>
          <cell r="C157">
            <v>2</v>
          </cell>
          <cell r="D157" t="str">
            <v>难度2（金币）</v>
          </cell>
          <cell r="E157">
            <v>12</v>
          </cell>
        </row>
        <row r="158">
          <cell r="A158">
            <v>1303</v>
          </cell>
          <cell r="B158">
            <v>3</v>
          </cell>
          <cell r="C158">
            <v>3</v>
          </cell>
          <cell r="D158" t="str">
            <v>难度3（金币）</v>
          </cell>
          <cell r="E158">
            <v>12</v>
          </cell>
        </row>
        <row r="159">
          <cell r="A159">
            <v>1304</v>
          </cell>
          <cell r="B159">
            <v>3</v>
          </cell>
          <cell r="C159">
            <v>4</v>
          </cell>
          <cell r="D159" t="str">
            <v>难度4（金币）</v>
          </cell>
          <cell r="E159">
            <v>12</v>
          </cell>
        </row>
        <row r="160">
          <cell r="A160">
            <v>1305</v>
          </cell>
          <cell r="B160">
            <v>3</v>
          </cell>
          <cell r="C160">
            <v>5</v>
          </cell>
          <cell r="D160" t="str">
            <v>难度5（金币）</v>
          </cell>
          <cell r="E160">
            <v>12</v>
          </cell>
        </row>
        <row r="161">
          <cell r="A161">
            <v>1306</v>
          </cell>
          <cell r="B161">
            <v>3</v>
          </cell>
          <cell r="C161">
            <v>6</v>
          </cell>
          <cell r="D161" t="str">
            <v>难度6（金币）</v>
          </cell>
          <cell r="E161">
            <v>12</v>
          </cell>
        </row>
        <row r="162">
          <cell r="A162">
            <v>1401</v>
          </cell>
          <cell r="B162">
            <v>3</v>
          </cell>
          <cell r="C162">
            <v>1</v>
          </cell>
          <cell r="D162" t="str">
            <v>难度1(材料）</v>
          </cell>
          <cell r="E162">
            <v>12</v>
          </cell>
        </row>
        <row r="163">
          <cell r="A163">
            <v>1402</v>
          </cell>
          <cell r="B163">
            <v>3</v>
          </cell>
          <cell r="C163">
            <v>2</v>
          </cell>
          <cell r="D163" t="str">
            <v>难度2(材料）</v>
          </cell>
          <cell r="E163">
            <v>12</v>
          </cell>
        </row>
        <row r="164">
          <cell r="A164">
            <v>1403</v>
          </cell>
          <cell r="B164">
            <v>3</v>
          </cell>
          <cell r="C164">
            <v>3</v>
          </cell>
          <cell r="D164" t="str">
            <v>难度3(材料）</v>
          </cell>
          <cell r="E164">
            <v>12</v>
          </cell>
        </row>
        <row r="165">
          <cell r="A165">
            <v>1404</v>
          </cell>
          <cell r="B165">
            <v>3</v>
          </cell>
          <cell r="C165">
            <v>4</v>
          </cell>
          <cell r="D165" t="str">
            <v>难度4(材料）</v>
          </cell>
          <cell r="E165">
            <v>12</v>
          </cell>
        </row>
        <row r="166">
          <cell r="A166">
            <v>1405</v>
          </cell>
          <cell r="B166">
            <v>3</v>
          </cell>
          <cell r="C166">
            <v>5</v>
          </cell>
          <cell r="D166" t="str">
            <v>难度5(材料）</v>
          </cell>
          <cell r="E166">
            <v>12</v>
          </cell>
        </row>
        <row r="167">
          <cell r="A167">
            <v>1406</v>
          </cell>
          <cell r="B167">
            <v>3</v>
          </cell>
          <cell r="C167">
            <v>6</v>
          </cell>
          <cell r="D167" t="str">
            <v>难度6(材料）</v>
          </cell>
          <cell r="E167">
            <v>12</v>
          </cell>
        </row>
        <row r="168">
          <cell r="A168">
            <v>1501</v>
          </cell>
          <cell r="B168">
            <v>3</v>
          </cell>
          <cell r="C168">
            <v>1</v>
          </cell>
          <cell r="D168" t="str">
            <v>挑战Boss-制服太妹</v>
          </cell>
          <cell r="E168">
            <v>6</v>
          </cell>
        </row>
        <row r="169">
          <cell r="A169">
            <v>1502</v>
          </cell>
          <cell r="B169">
            <v>3</v>
          </cell>
          <cell r="C169">
            <v>1</v>
          </cell>
          <cell r="D169" t="str">
            <v>挑战Boss-比利</v>
          </cell>
          <cell r="E169">
            <v>6</v>
          </cell>
        </row>
        <row r="170">
          <cell r="A170">
            <v>1503</v>
          </cell>
          <cell r="B170">
            <v>3</v>
          </cell>
          <cell r="C170">
            <v>2</v>
          </cell>
          <cell r="D170" t="str">
            <v>挑战Boss-靓坤</v>
          </cell>
          <cell r="E170">
            <v>12</v>
          </cell>
        </row>
        <row r="171">
          <cell r="A171">
            <v>1504</v>
          </cell>
          <cell r="B171">
            <v>3</v>
          </cell>
          <cell r="C171">
            <v>2</v>
          </cell>
          <cell r="D171" t="str">
            <v>挑战Boss-雷复轰</v>
          </cell>
          <cell r="E171">
            <v>12</v>
          </cell>
        </row>
        <row r="172">
          <cell r="A172">
            <v>1505</v>
          </cell>
          <cell r="B172">
            <v>3</v>
          </cell>
          <cell r="C172">
            <v>2</v>
          </cell>
          <cell r="D172" t="str">
            <v>挑战Boss-肥仔</v>
          </cell>
          <cell r="E172">
            <v>12</v>
          </cell>
        </row>
        <row r="173">
          <cell r="A173">
            <v>1506</v>
          </cell>
          <cell r="B173">
            <v>3</v>
          </cell>
          <cell r="C173">
            <v>2</v>
          </cell>
          <cell r="D173" t="str">
            <v>挑战Boss-巴闭</v>
          </cell>
          <cell r="E173">
            <v>12</v>
          </cell>
        </row>
        <row r="174">
          <cell r="A174">
            <v>1507</v>
          </cell>
          <cell r="B174">
            <v>3</v>
          </cell>
          <cell r="C174">
            <v>3</v>
          </cell>
          <cell r="D174" t="str">
            <v>挑战Boss-赌王</v>
          </cell>
          <cell r="E174">
            <v>36</v>
          </cell>
        </row>
        <row r="175">
          <cell r="A175">
            <v>1508</v>
          </cell>
          <cell r="B175">
            <v>3</v>
          </cell>
          <cell r="C175">
            <v>3</v>
          </cell>
          <cell r="D175" t="str">
            <v>挑战Boss-乌鸦</v>
          </cell>
          <cell r="E175">
            <v>36</v>
          </cell>
        </row>
        <row r="176">
          <cell r="A176">
            <v>1509</v>
          </cell>
          <cell r="B176">
            <v>3</v>
          </cell>
          <cell r="C176">
            <v>3</v>
          </cell>
          <cell r="D176" t="str">
            <v>挑战Boss-山下忠秀</v>
          </cell>
          <cell r="E176">
            <v>36</v>
          </cell>
        </row>
        <row r="177">
          <cell r="A177">
            <v>1510</v>
          </cell>
          <cell r="B177">
            <v>3</v>
          </cell>
          <cell r="C177">
            <v>3</v>
          </cell>
          <cell r="D177" t="str">
            <v>挑战Boss-宫本一</v>
          </cell>
          <cell r="E177">
            <v>36</v>
          </cell>
        </row>
        <row r="178">
          <cell r="A178">
            <v>1511</v>
          </cell>
          <cell r="B178">
            <v>3</v>
          </cell>
          <cell r="C178">
            <v>3</v>
          </cell>
          <cell r="D178" t="str">
            <v>挑战Boss-笑面虎</v>
          </cell>
          <cell r="E178">
            <v>36</v>
          </cell>
        </row>
        <row r="179">
          <cell r="A179">
            <v>1512</v>
          </cell>
          <cell r="B179">
            <v>3</v>
          </cell>
          <cell r="C179">
            <v>4</v>
          </cell>
          <cell r="D179" t="str">
            <v>挑战Boss-陈浩南</v>
          </cell>
          <cell r="E179">
            <v>60</v>
          </cell>
        </row>
        <row r="180">
          <cell r="A180">
            <v>1513</v>
          </cell>
          <cell r="B180">
            <v>3</v>
          </cell>
          <cell r="C180">
            <v>4</v>
          </cell>
          <cell r="D180" t="str">
            <v>挑战Boss-山鸡</v>
          </cell>
          <cell r="E180">
            <v>60</v>
          </cell>
        </row>
        <row r="181">
          <cell r="A181">
            <v>1514</v>
          </cell>
          <cell r="B181">
            <v>3</v>
          </cell>
          <cell r="C181">
            <v>4</v>
          </cell>
          <cell r="D181" t="str">
            <v>挑战Boss-大天二</v>
          </cell>
          <cell r="E181">
            <v>60</v>
          </cell>
        </row>
        <row r="182">
          <cell r="A182">
            <v>1601</v>
          </cell>
          <cell r="B182">
            <v>3</v>
          </cell>
          <cell r="C182">
            <v>1</v>
          </cell>
          <cell r="D182" t="str">
            <v>组队1</v>
          </cell>
          <cell r="E182">
            <v>13</v>
          </cell>
        </row>
        <row r="183">
          <cell r="A183">
            <v>1602</v>
          </cell>
          <cell r="B183">
            <v>3</v>
          </cell>
          <cell r="C183">
            <v>1</v>
          </cell>
          <cell r="D183" t="str">
            <v>组队2</v>
          </cell>
          <cell r="E183">
            <v>13</v>
          </cell>
        </row>
        <row r="184">
          <cell r="A184">
            <v>1603</v>
          </cell>
          <cell r="B184">
            <v>3</v>
          </cell>
          <cell r="C184">
            <v>1</v>
          </cell>
          <cell r="D184" t="str">
            <v>组队3</v>
          </cell>
          <cell r="E184">
            <v>13</v>
          </cell>
        </row>
        <row r="185">
          <cell r="A185">
            <v>2401</v>
          </cell>
          <cell r="B185">
            <v>4</v>
          </cell>
          <cell r="C185">
            <v>1</v>
          </cell>
          <cell r="D185" t="str">
            <v>竞技场1</v>
          </cell>
          <cell r="E185">
            <v>14</v>
          </cell>
        </row>
        <row r="186">
          <cell r="A186">
            <v>2402</v>
          </cell>
          <cell r="B186">
            <v>4</v>
          </cell>
          <cell r="C186">
            <v>1</v>
          </cell>
          <cell r="D186" t="str">
            <v>竞技场2</v>
          </cell>
          <cell r="E186">
            <v>14</v>
          </cell>
        </row>
        <row r="187">
          <cell r="A187">
            <v>2403</v>
          </cell>
          <cell r="B187">
            <v>4</v>
          </cell>
          <cell r="C187">
            <v>1</v>
          </cell>
          <cell r="D187" t="str">
            <v>竞技场3</v>
          </cell>
          <cell r="E187">
            <v>14</v>
          </cell>
        </row>
        <row r="188">
          <cell r="A188">
            <v>999</v>
          </cell>
          <cell r="B188">
            <v>1</v>
          </cell>
          <cell r="C188">
            <v>9</v>
          </cell>
          <cell r="D188" t="str">
            <v>打豆豆</v>
          </cell>
          <cell r="E188">
            <v>11</v>
          </cell>
        </row>
        <row r="189">
          <cell r="A189">
            <v>1901</v>
          </cell>
          <cell r="B189">
            <v>6</v>
          </cell>
          <cell r="C189">
            <v>1</v>
          </cell>
          <cell r="D189" t="str">
            <v>英雄之路1</v>
          </cell>
          <cell r="E189">
            <v>0</v>
          </cell>
        </row>
        <row r="190">
          <cell r="A190">
            <v>1902</v>
          </cell>
          <cell r="B190">
            <v>6</v>
          </cell>
          <cell r="C190">
            <v>1</v>
          </cell>
          <cell r="D190" t="str">
            <v>英雄之路2</v>
          </cell>
          <cell r="E190">
            <v>0</v>
          </cell>
        </row>
        <row r="191">
          <cell r="A191">
            <v>1903</v>
          </cell>
          <cell r="B191">
            <v>6</v>
          </cell>
          <cell r="C191">
            <v>1</v>
          </cell>
          <cell r="D191" t="str">
            <v>英雄之路3</v>
          </cell>
          <cell r="E191">
            <v>0</v>
          </cell>
        </row>
        <row r="192">
          <cell r="A192">
            <v>1904</v>
          </cell>
          <cell r="B192">
            <v>6</v>
          </cell>
          <cell r="C192">
            <v>1</v>
          </cell>
          <cell r="D192" t="str">
            <v>英雄之路4</v>
          </cell>
          <cell r="E192">
            <v>0</v>
          </cell>
        </row>
        <row r="193">
          <cell r="A193">
            <v>1905</v>
          </cell>
          <cell r="B193">
            <v>6</v>
          </cell>
          <cell r="C193">
            <v>1</v>
          </cell>
          <cell r="D193" t="str">
            <v>英雄之路5</v>
          </cell>
          <cell r="E193">
            <v>0</v>
          </cell>
        </row>
        <row r="194">
          <cell r="A194">
            <v>1906</v>
          </cell>
          <cell r="B194">
            <v>6</v>
          </cell>
          <cell r="C194">
            <v>1</v>
          </cell>
          <cell r="D194" t="str">
            <v>英雄之路6</v>
          </cell>
          <cell r="E194">
            <v>0</v>
          </cell>
        </row>
        <row r="195">
          <cell r="A195">
            <v>1907</v>
          </cell>
          <cell r="B195">
            <v>6</v>
          </cell>
          <cell r="C195">
            <v>1</v>
          </cell>
          <cell r="D195" t="str">
            <v>英雄之路7</v>
          </cell>
          <cell r="E195">
            <v>0</v>
          </cell>
        </row>
        <row r="196">
          <cell r="A196">
            <v>1908</v>
          </cell>
          <cell r="B196">
            <v>6</v>
          </cell>
          <cell r="C196">
            <v>1</v>
          </cell>
          <cell r="D196" t="str">
            <v>英雄之路8</v>
          </cell>
          <cell r="E196">
            <v>0</v>
          </cell>
        </row>
        <row r="197">
          <cell r="A197">
            <v>1909</v>
          </cell>
          <cell r="B197">
            <v>6</v>
          </cell>
          <cell r="C197">
            <v>1</v>
          </cell>
          <cell r="D197" t="str">
            <v>英雄之路9</v>
          </cell>
          <cell r="E197">
            <v>0</v>
          </cell>
        </row>
        <row r="198">
          <cell r="A198">
            <v>1910</v>
          </cell>
          <cell r="B198">
            <v>6</v>
          </cell>
          <cell r="C198">
            <v>1</v>
          </cell>
          <cell r="D198" t="str">
            <v>英雄之路10</v>
          </cell>
          <cell r="E198">
            <v>0</v>
          </cell>
        </row>
        <row r="199">
          <cell r="A199">
            <v>1911</v>
          </cell>
          <cell r="B199">
            <v>6</v>
          </cell>
          <cell r="C199">
            <v>1</v>
          </cell>
          <cell r="D199" t="str">
            <v>英雄之路11</v>
          </cell>
          <cell r="E199">
            <v>0</v>
          </cell>
        </row>
        <row r="200">
          <cell r="A200">
            <v>1912</v>
          </cell>
          <cell r="B200">
            <v>6</v>
          </cell>
          <cell r="C200">
            <v>1</v>
          </cell>
          <cell r="D200" t="str">
            <v>英雄之路12</v>
          </cell>
          <cell r="E200">
            <v>0</v>
          </cell>
        </row>
        <row r="201">
          <cell r="A201">
            <v>1913</v>
          </cell>
          <cell r="B201">
            <v>6</v>
          </cell>
          <cell r="C201">
            <v>1</v>
          </cell>
          <cell r="D201" t="str">
            <v>英雄之路13</v>
          </cell>
          <cell r="E201">
            <v>0</v>
          </cell>
        </row>
        <row r="202">
          <cell r="A202">
            <v>1914</v>
          </cell>
          <cell r="B202">
            <v>6</v>
          </cell>
          <cell r="C202">
            <v>1</v>
          </cell>
          <cell r="D202" t="str">
            <v>英雄之路14</v>
          </cell>
          <cell r="E202">
            <v>0</v>
          </cell>
        </row>
        <row r="203">
          <cell r="A203">
            <v>1915</v>
          </cell>
          <cell r="B203">
            <v>6</v>
          </cell>
          <cell r="C203">
            <v>1</v>
          </cell>
          <cell r="D203" t="str">
            <v>英雄之路15</v>
          </cell>
          <cell r="E203">
            <v>0</v>
          </cell>
        </row>
        <row r="204">
          <cell r="A204">
            <v>1916</v>
          </cell>
          <cell r="B204">
            <v>6</v>
          </cell>
          <cell r="C204">
            <v>1</v>
          </cell>
          <cell r="D204" t="str">
            <v>英雄之路16</v>
          </cell>
          <cell r="E204">
            <v>0</v>
          </cell>
        </row>
        <row r="205">
          <cell r="A205">
            <v>1917</v>
          </cell>
          <cell r="B205">
            <v>6</v>
          </cell>
          <cell r="C205">
            <v>1</v>
          </cell>
          <cell r="D205" t="str">
            <v>英雄之路17</v>
          </cell>
          <cell r="E205">
            <v>0</v>
          </cell>
        </row>
        <row r="206">
          <cell r="A206">
            <v>1918</v>
          </cell>
          <cell r="B206">
            <v>6</v>
          </cell>
          <cell r="C206">
            <v>1</v>
          </cell>
          <cell r="D206" t="str">
            <v>英雄之路18</v>
          </cell>
          <cell r="E206">
            <v>0</v>
          </cell>
        </row>
        <row r="207">
          <cell r="A207">
            <v>1919</v>
          </cell>
          <cell r="B207">
            <v>6</v>
          </cell>
          <cell r="C207">
            <v>1</v>
          </cell>
          <cell r="D207" t="str">
            <v>英雄之路19</v>
          </cell>
          <cell r="E207">
            <v>0</v>
          </cell>
        </row>
        <row r="208">
          <cell r="A208">
            <v>1920</v>
          </cell>
          <cell r="B208">
            <v>6</v>
          </cell>
          <cell r="C208">
            <v>1</v>
          </cell>
          <cell r="D208" t="str">
            <v>英雄之路20</v>
          </cell>
          <cell r="E208">
            <v>0</v>
          </cell>
        </row>
        <row r="209">
          <cell r="A209">
            <v>1701</v>
          </cell>
          <cell r="B209">
            <v>3</v>
          </cell>
          <cell r="C209">
            <v>1</v>
          </cell>
          <cell r="D209" t="str">
            <v>难度1（命运石）</v>
          </cell>
          <cell r="E209">
            <v>12</v>
          </cell>
        </row>
        <row r="210">
          <cell r="A210">
            <v>1702</v>
          </cell>
          <cell r="B210">
            <v>3</v>
          </cell>
          <cell r="C210">
            <v>2</v>
          </cell>
          <cell r="D210" t="str">
            <v>难度2（命运石）</v>
          </cell>
          <cell r="E210">
            <v>12</v>
          </cell>
        </row>
        <row r="211">
          <cell r="A211">
            <v>1703</v>
          </cell>
          <cell r="B211">
            <v>3</v>
          </cell>
          <cell r="C211">
            <v>3</v>
          </cell>
          <cell r="D211" t="str">
            <v>难度3（命运石）</v>
          </cell>
          <cell r="E211">
            <v>12</v>
          </cell>
        </row>
        <row r="212">
          <cell r="A212">
            <v>1704</v>
          </cell>
          <cell r="B212">
            <v>3</v>
          </cell>
          <cell r="C212">
            <v>4</v>
          </cell>
          <cell r="D212" t="str">
            <v>难度4（命运石）</v>
          </cell>
          <cell r="E212">
            <v>12</v>
          </cell>
        </row>
        <row r="213">
          <cell r="A213">
            <v>1705</v>
          </cell>
          <cell r="B213">
            <v>3</v>
          </cell>
          <cell r="C213">
            <v>5</v>
          </cell>
          <cell r="D213" t="str">
            <v>难度5（命运石）</v>
          </cell>
          <cell r="E213">
            <v>12</v>
          </cell>
        </row>
        <row r="214">
          <cell r="A214">
            <v>1706</v>
          </cell>
          <cell r="B214">
            <v>3</v>
          </cell>
          <cell r="C214">
            <v>6</v>
          </cell>
          <cell r="D214" t="str">
            <v>难度6（命运石）</v>
          </cell>
          <cell r="E214">
            <v>12</v>
          </cell>
        </row>
        <row r="215">
          <cell r="A215">
            <v>1801</v>
          </cell>
          <cell r="B215">
            <v>3</v>
          </cell>
          <cell r="C215">
            <v>1</v>
          </cell>
          <cell r="D215" t="str">
            <v>难度1（马仔经验）</v>
          </cell>
          <cell r="E215">
            <v>12</v>
          </cell>
        </row>
        <row r="216">
          <cell r="A216">
            <v>1802</v>
          </cell>
          <cell r="B216">
            <v>3</v>
          </cell>
          <cell r="C216">
            <v>2</v>
          </cell>
          <cell r="D216" t="str">
            <v>难度2（马仔经验）</v>
          </cell>
          <cell r="E216">
            <v>12</v>
          </cell>
        </row>
        <row r="217">
          <cell r="A217">
            <v>1803</v>
          </cell>
          <cell r="B217">
            <v>3</v>
          </cell>
          <cell r="C217">
            <v>3</v>
          </cell>
          <cell r="D217" t="str">
            <v>难度3（马仔经验）</v>
          </cell>
          <cell r="E217">
            <v>12</v>
          </cell>
        </row>
        <row r="218">
          <cell r="A218">
            <v>1804</v>
          </cell>
          <cell r="B218">
            <v>3</v>
          </cell>
          <cell r="C218">
            <v>4</v>
          </cell>
          <cell r="D218" t="str">
            <v>难度4（马仔经验）</v>
          </cell>
          <cell r="E218">
            <v>12</v>
          </cell>
        </row>
        <row r="219">
          <cell r="A219">
            <v>1805</v>
          </cell>
          <cell r="B219">
            <v>3</v>
          </cell>
          <cell r="C219">
            <v>5</v>
          </cell>
          <cell r="D219" t="str">
            <v>难度5（马仔经验）</v>
          </cell>
          <cell r="E219">
            <v>12</v>
          </cell>
        </row>
        <row r="220">
          <cell r="A220">
            <v>1806</v>
          </cell>
          <cell r="B220">
            <v>3</v>
          </cell>
          <cell r="C220">
            <v>6</v>
          </cell>
          <cell r="D220" t="str">
            <v>难度6（马仔经验）</v>
          </cell>
          <cell r="E220">
            <v>12</v>
          </cell>
        </row>
        <row r="221">
          <cell r="A221">
            <v>2501</v>
          </cell>
          <cell r="B221">
            <v>3</v>
          </cell>
          <cell r="C221">
            <v>1</v>
          </cell>
          <cell r="D221" t="str">
            <v>追债</v>
          </cell>
          <cell r="E221">
            <v>0</v>
          </cell>
        </row>
        <row r="222">
          <cell r="A222">
            <v>2601</v>
          </cell>
          <cell r="B222">
            <v>7</v>
          </cell>
          <cell r="C222">
            <v>1</v>
          </cell>
          <cell r="D222" t="str">
            <v>练功房</v>
          </cell>
          <cell r="E222">
            <v>0</v>
          </cell>
        </row>
        <row r="223">
          <cell r="A223">
            <v>2701</v>
          </cell>
          <cell r="B223">
            <v>8</v>
          </cell>
          <cell r="C223">
            <v>1</v>
          </cell>
          <cell r="D223" t="str">
            <v>组队副本</v>
          </cell>
          <cell r="E223">
            <v>0</v>
          </cell>
        </row>
      </sheetData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月签到"/>
      <sheetName val="D_7天登陆"/>
      <sheetName val="D_等级礼包"/>
      <sheetName val="D_拼战"/>
      <sheetName val="D_升级达人奖励"/>
      <sheetName val="D_最强马仔奖励"/>
      <sheetName val="D_最强霸主奖励"/>
      <sheetName val="D_等级礼包配置"/>
      <sheetName val="D_首充礼包"/>
      <sheetName val="D_累冲活动"/>
      <sheetName val="D_累冲活动 (开服)"/>
      <sheetName val="D_天天有礼"/>
      <sheetName val="D_天天有礼 (开服)"/>
      <sheetName val="D_财神驾到"/>
      <sheetName val="D_财神驾到 (开服)"/>
      <sheetName val="D_单笔充值"/>
      <sheetName val="D_马仔升星日"/>
      <sheetName val="D_马仔升星日奖励数量"/>
    </sheetNames>
    <sheetDataSet>
      <sheetData sheetId="0">
        <row r="1">
          <cell r="A1" t="str">
            <v>签到次数</v>
          </cell>
        </row>
      </sheetData>
      <sheetData sheetId="1">
        <row r="1">
          <cell r="A1" t="str">
            <v>连续登陆次数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</sheetData>
      <sheetData sheetId="2">
        <row r="2">
          <cell r="B2">
            <v>5</v>
          </cell>
        </row>
        <row r="3">
          <cell r="B3">
            <v>9</v>
          </cell>
        </row>
        <row r="4">
          <cell r="B4">
            <v>11</v>
          </cell>
        </row>
        <row r="5">
          <cell r="B5">
            <v>13</v>
          </cell>
        </row>
        <row r="6">
          <cell r="B6">
            <v>15</v>
          </cell>
        </row>
        <row r="7">
          <cell r="B7">
            <v>17</v>
          </cell>
        </row>
        <row r="8">
          <cell r="B8">
            <v>21</v>
          </cell>
        </row>
        <row r="9">
          <cell r="B9">
            <v>24</v>
          </cell>
        </row>
        <row r="10">
          <cell r="B10">
            <v>27</v>
          </cell>
        </row>
        <row r="11">
          <cell r="B11">
            <v>31</v>
          </cell>
        </row>
        <row r="12">
          <cell r="B12">
            <v>36</v>
          </cell>
        </row>
      </sheetData>
      <sheetData sheetId="3">
        <row r="2">
          <cell r="D2">
            <v>20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经验表"/>
      <sheetName val="D_角色属性"/>
      <sheetName val="D_VIP对应表"/>
      <sheetName val="D_VIP描述表"/>
      <sheetName val="D_VIP重置表"/>
      <sheetName val="D_VIP充值表"/>
      <sheetName val="D_BUFF表"/>
      <sheetName val="D_我要变强"/>
      <sheetName val="D_改名消耗"/>
      <sheetName val="角色辅助表"/>
      <sheetName val="VIP辅助表"/>
      <sheetName val="VIP描述辅助表"/>
      <sheetName val="VIP礼包奖辅助表"/>
    </sheetNames>
    <sheetDataSet>
      <sheetData sheetId="0"/>
      <sheetData sheetId="1"/>
      <sheetData sheetId="2">
        <row r="2">
          <cell r="AK2">
            <v>1</v>
          </cell>
        </row>
        <row r="3">
          <cell r="AK3">
            <v>5</v>
          </cell>
        </row>
        <row r="4">
          <cell r="AK4">
            <v>20</v>
          </cell>
        </row>
        <row r="5">
          <cell r="AK5">
            <v>40</v>
          </cell>
        </row>
        <row r="6">
          <cell r="AK6">
            <v>60</v>
          </cell>
        </row>
        <row r="7">
          <cell r="AK7">
            <v>70</v>
          </cell>
        </row>
        <row r="8">
          <cell r="AK8">
            <v>80</v>
          </cell>
        </row>
        <row r="9">
          <cell r="AK9">
            <v>90</v>
          </cell>
        </row>
        <row r="10">
          <cell r="AK10">
            <v>100</v>
          </cell>
        </row>
        <row r="11">
          <cell r="AK11">
            <v>110</v>
          </cell>
        </row>
        <row r="12">
          <cell r="AK12">
            <v>120</v>
          </cell>
        </row>
      </sheetData>
      <sheetData sheetId="3"/>
      <sheetData sheetId="4">
        <row r="2">
          <cell r="G2">
            <v>50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17">
          <cell r="D17">
            <v>53104</v>
          </cell>
          <cell r="E17">
            <v>1</v>
          </cell>
          <cell r="H17">
            <v>91100</v>
          </cell>
          <cell r="I17">
            <v>5</v>
          </cell>
          <cell r="L17">
            <v>70101</v>
          </cell>
          <cell r="M17">
            <v>5</v>
          </cell>
          <cell r="P17">
            <v>82100</v>
          </cell>
          <cell r="Q17">
            <v>1</v>
          </cell>
        </row>
        <row r="18">
          <cell r="D18">
            <v>89200</v>
          </cell>
          <cell r="E18">
            <v>1</v>
          </cell>
          <cell r="H18">
            <v>91100</v>
          </cell>
          <cell r="I18">
            <v>10</v>
          </cell>
          <cell r="L18">
            <v>70101</v>
          </cell>
          <cell r="M18">
            <v>10</v>
          </cell>
          <cell r="P18">
            <v>82100</v>
          </cell>
          <cell r="Q18">
            <v>1</v>
          </cell>
        </row>
        <row r="19">
          <cell r="D19">
            <v>85200</v>
          </cell>
          <cell r="E19">
            <v>12</v>
          </cell>
          <cell r="H19">
            <v>91100</v>
          </cell>
          <cell r="I19">
            <v>15</v>
          </cell>
          <cell r="L19">
            <v>70101</v>
          </cell>
          <cell r="M19">
            <v>20</v>
          </cell>
          <cell r="P19">
            <v>82100</v>
          </cell>
          <cell r="Q19">
            <v>1</v>
          </cell>
        </row>
        <row r="20">
          <cell r="D20">
            <v>53205</v>
          </cell>
          <cell r="E20">
            <v>1</v>
          </cell>
          <cell r="H20">
            <v>91100</v>
          </cell>
          <cell r="I20">
            <v>20</v>
          </cell>
          <cell r="L20">
            <v>70201</v>
          </cell>
          <cell r="M20">
            <v>5</v>
          </cell>
          <cell r="P20">
            <v>82200</v>
          </cell>
          <cell r="Q20">
            <v>1</v>
          </cell>
        </row>
        <row r="21">
          <cell r="D21">
            <v>85300</v>
          </cell>
          <cell r="E21">
            <v>8</v>
          </cell>
          <cell r="H21">
            <v>91200</v>
          </cell>
          <cell r="I21">
            <v>5</v>
          </cell>
          <cell r="L21">
            <v>70201</v>
          </cell>
          <cell r="M21">
            <v>10</v>
          </cell>
          <cell r="P21">
            <v>82200</v>
          </cell>
          <cell r="Q21">
            <v>1</v>
          </cell>
        </row>
        <row r="22">
          <cell r="D22">
            <v>89300</v>
          </cell>
          <cell r="E22">
            <v>1</v>
          </cell>
          <cell r="H22">
            <v>91200</v>
          </cell>
          <cell r="I22">
            <v>6</v>
          </cell>
          <cell r="L22">
            <v>70201</v>
          </cell>
          <cell r="M22">
            <v>15</v>
          </cell>
          <cell r="P22">
            <v>82200</v>
          </cell>
          <cell r="Q22">
            <v>1</v>
          </cell>
        </row>
        <row r="23">
          <cell r="D23">
            <v>85300</v>
          </cell>
          <cell r="E23">
            <v>12</v>
          </cell>
          <cell r="H23">
            <v>91200</v>
          </cell>
          <cell r="I23">
            <v>8</v>
          </cell>
          <cell r="L23">
            <v>70201</v>
          </cell>
          <cell r="M23">
            <v>20</v>
          </cell>
          <cell r="P23">
            <v>82300</v>
          </cell>
          <cell r="Q23">
            <v>1</v>
          </cell>
        </row>
        <row r="24">
          <cell r="D24">
            <v>53306</v>
          </cell>
          <cell r="E24">
            <v>1</v>
          </cell>
          <cell r="H24">
            <v>91200</v>
          </cell>
          <cell r="I24">
            <v>10</v>
          </cell>
          <cell r="L24">
            <v>70301</v>
          </cell>
          <cell r="M24">
            <v>5</v>
          </cell>
          <cell r="P24">
            <v>82300</v>
          </cell>
          <cell r="Q24">
            <v>1</v>
          </cell>
        </row>
        <row r="25">
          <cell r="D25">
            <v>85400</v>
          </cell>
          <cell r="E25">
            <v>14</v>
          </cell>
          <cell r="H25">
            <v>91300</v>
          </cell>
          <cell r="I25">
            <v>3</v>
          </cell>
          <cell r="L25">
            <v>70301</v>
          </cell>
          <cell r="M25">
            <v>10</v>
          </cell>
          <cell r="P25">
            <v>82300</v>
          </cell>
          <cell r="Q25">
            <v>1</v>
          </cell>
        </row>
        <row r="26">
          <cell r="D26">
            <v>85400</v>
          </cell>
          <cell r="E26">
            <v>21</v>
          </cell>
          <cell r="H26">
            <v>91300</v>
          </cell>
          <cell r="I26">
            <v>5</v>
          </cell>
          <cell r="L26">
            <v>70301</v>
          </cell>
          <cell r="M26">
            <v>15</v>
          </cell>
          <cell r="P26">
            <v>82300</v>
          </cell>
          <cell r="Q26">
            <v>1</v>
          </cell>
        </row>
        <row r="27">
          <cell r="D27">
            <v>78103</v>
          </cell>
          <cell r="E27">
            <v>10</v>
          </cell>
          <cell r="H27">
            <v>80510</v>
          </cell>
          <cell r="I27">
            <v>2</v>
          </cell>
          <cell r="L27">
            <v>86010</v>
          </cell>
          <cell r="M27">
            <v>2</v>
          </cell>
          <cell r="P27">
            <v>86110</v>
          </cell>
          <cell r="Q27">
            <v>1</v>
          </cell>
        </row>
        <row r="28">
          <cell r="D28">
            <v>78103</v>
          </cell>
          <cell r="E28">
            <v>20</v>
          </cell>
          <cell r="H28">
            <v>80110</v>
          </cell>
          <cell r="I28">
            <v>1</v>
          </cell>
          <cell r="L28">
            <v>86010</v>
          </cell>
          <cell r="M28">
            <v>2</v>
          </cell>
          <cell r="P28">
            <v>86110</v>
          </cell>
          <cell r="Q28">
            <v>1</v>
          </cell>
        </row>
        <row r="29">
          <cell r="D29">
            <v>78103</v>
          </cell>
          <cell r="E29">
            <v>30</v>
          </cell>
          <cell r="H29">
            <v>80610</v>
          </cell>
          <cell r="I29">
            <v>2</v>
          </cell>
          <cell r="L29">
            <v>86010</v>
          </cell>
          <cell r="M29">
            <v>2</v>
          </cell>
          <cell r="P29">
            <v>86120</v>
          </cell>
          <cell r="Q29">
            <v>1</v>
          </cell>
        </row>
        <row r="30">
          <cell r="D30">
            <v>78107</v>
          </cell>
          <cell r="E30">
            <v>10</v>
          </cell>
          <cell r="H30">
            <v>80210</v>
          </cell>
          <cell r="I30">
            <v>2</v>
          </cell>
          <cell r="L30">
            <v>86010</v>
          </cell>
          <cell r="M30">
            <v>3</v>
          </cell>
          <cell r="P30">
            <v>86120</v>
          </cell>
          <cell r="Q30">
            <v>1</v>
          </cell>
        </row>
        <row r="31">
          <cell r="D31">
            <v>78107</v>
          </cell>
          <cell r="E31">
            <v>10</v>
          </cell>
          <cell r="H31">
            <v>80610</v>
          </cell>
          <cell r="I31">
            <v>4</v>
          </cell>
          <cell r="L31">
            <v>86010</v>
          </cell>
          <cell r="M31">
            <v>3</v>
          </cell>
          <cell r="P31">
            <v>86120</v>
          </cell>
          <cell r="Q31">
            <v>1</v>
          </cell>
        </row>
        <row r="32">
          <cell r="D32">
            <v>78107</v>
          </cell>
          <cell r="E32">
            <v>20</v>
          </cell>
          <cell r="H32">
            <v>80310</v>
          </cell>
          <cell r="I32">
            <v>2</v>
          </cell>
          <cell r="L32">
            <v>86010</v>
          </cell>
          <cell r="M32">
            <v>3</v>
          </cell>
          <cell r="P32">
            <v>86130</v>
          </cell>
          <cell r="Q32">
            <v>1</v>
          </cell>
        </row>
        <row r="33">
          <cell r="D33">
            <v>78107</v>
          </cell>
          <cell r="E33">
            <v>20</v>
          </cell>
          <cell r="H33">
            <v>80610</v>
          </cell>
          <cell r="I33">
            <v>6</v>
          </cell>
          <cell r="L33">
            <v>86010</v>
          </cell>
          <cell r="M33">
            <v>4</v>
          </cell>
          <cell r="P33">
            <v>86130</v>
          </cell>
          <cell r="Q33">
            <v>1</v>
          </cell>
        </row>
        <row r="34">
          <cell r="D34">
            <v>78113</v>
          </cell>
          <cell r="E34">
            <v>10</v>
          </cell>
          <cell r="H34">
            <v>80310</v>
          </cell>
          <cell r="I34">
            <v>3</v>
          </cell>
          <cell r="L34">
            <v>86010</v>
          </cell>
          <cell r="M34">
            <v>4</v>
          </cell>
          <cell r="P34">
            <v>86130</v>
          </cell>
          <cell r="Q34">
            <v>1</v>
          </cell>
        </row>
        <row r="35">
          <cell r="D35">
            <v>78113</v>
          </cell>
          <cell r="E35">
            <v>20</v>
          </cell>
          <cell r="H35">
            <v>80610</v>
          </cell>
          <cell r="I35">
            <v>10</v>
          </cell>
          <cell r="L35">
            <v>86010</v>
          </cell>
          <cell r="M35">
            <v>5</v>
          </cell>
          <cell r="P35">
            <v>86140</v>
          </cell>
          <cell r="Q35">
            <v>1</v>
          </cell>
        </row>
        <row r="36">
          <cell r="D36">
            <v>78113</v>
          </cell>
          <cell r="E36">
            <v>30</v>
          </cell>
          <cell r="H36">
            <v>80310</v>
          </cell>
          <cell r="I36">
            <v>5</v>
          </cell>
          <cell r="L36">
            <v>86010</v>
          </cell>
          <cell r="M36">
            <v>5</v>
          </cell>
          <cell r="P36">
            <v>86140</v>
          </cell>
          <cell r="Q36">
            <v>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任务"/>
      <sheetName val="D_日常任务"/>
      <sheetName val="D_新手引导"/>
      <sheetName val="D_成就任务"/>
      <sheetName val="任务辅助表"/>
      <sheetName val="任务经验掉落配置表"/>
      <sheetName val="任务剧情配置表"/>
      <sheetName val="日常任务辅助表"/>
      <sheetName val="任务配置辅助表"/>
      <sheetName val="日常任务配置"/>
      <sheetName val="成就任务配置"/>
      <sheetName val="任务运算表"/>
      <sheetName val="日常任务运算表"/>
    </sheetNames>
    <sheetDataSet>
      <sheetData sheetId="0">
        <row r="2">
          <cell r="A2">
            <v>1001</v>
          </cell>
        </row>
      </sheetData>
      <sheetData sheetId="1"/>
      <sheetData sheetId="2"/>
      <sheetData sheetId="3">
        <row r="8">
          <cell r="G8">
            <v>1001</v>
          </cell>
        </row>
      </sheetData>
      <sheetData sheetId="4"/>
      <sheetData sheetId="5">
        <row r="3">
          <cell r="D3" t="str">
            <v>任务名称</v>
          </cell>
          <cell r="X3" t="str">
            <v>掉落id</v>
          </cell>
        </row>
        <row r="4">
          <cell r="D4" t="str">
            <v>初入江湖</v>
          </cell>
          <cell r="X4">
            <v>901001</v>
          </cell>
        </row>
        <row r="5">
          <cell r="D5" t="str">
            <v>必备之物</v>
          </cell>
          <cell r="X5">
            <v>901002</v>
          </cell>
        </row>
        <row r="6">
          <cell r="D6" t="str">
            <v>勇闯西贡</v>
          </cell>
          <cell r="X6">
            <v>901003</v>
          </cell>
        </row>
        <row r="7">
          <cell r="D7" t="str">
            <v>习得技能</v>
          </cell>
          <cell r="X7">
            <v>901004</v>
          </cell>
        </row>
        <row r="8">
          <cell r="D8" t="str">
            <v>召见</v>
          </cell>
          <cell r="X8">
            <v>901005</v>
          </cell>
        </row>
        <row r="9">
          <cell r="D9" t="str">
            <v>戏逗小结巴</v>
          </cell>
          <cell r="X9">
            <v>901006</v>
          </cell>
        </row>
        <row r="10">
          <cell r="D10" t="str">
            <v>陷阱</v>
          </cell>
          <cell r="X10">
            <v>901008</v>
          </cell>
        </row>
        <row r="11">
          <cell r="D11" t="str">
            <v>追查线索</v>
          </cell>
          <cell r="X11">
            <v>901010</v>
          </cell>
        </row>
        <row r="12">
          <cell r="D12" t="str">
            <v>B哥遇害</v>
          </cell>
          <cell r="X12">
            <v>901011</v>
          </cell>
        </row>
        <row r="13">
          <cell r="D13" t="str">
            <v>截杀靓坤</v>
          </cell>
          <cell r="X13">
            <v>901012</v>
          </cell>
        </row>
        <row r="14">
          <cell r="D14" t="str">
            <v>猛龙过江</v>
          </cell>
          <cell r="X14">
            <v>901013</v>
          </cell>
        </row>
        <row r="15">
          <cell r="D15" t="str">
            <v>傲气冲天</v>
          </cell>
          <cell r="X15">
            <v>901014</v>
          </cell>
        </row>
        <row r="16">
          <cell r="D16" t="str">
            <v>伏击张议员</v>
          </cell>
          <cell r="X16">
            <v>901015</v>
          </cell>
        </row>
        <row r="17">
          <cell r="D17" t="str">
            <v>阴云密布</v>
          </cell>
          <cell r="X17">
            <v>901016</v>
          </cell>
        </row>
        <row r="18">
          <cell r="D18" t="str">
            <v>蒋生遇雷功</v>
          </cell>
          <cell r="X18">
            <v>901017</v>
          </cell>
        </row>
        <row r="19">
          <cell r="D19" t="str">
            <v>重返洪兴</v>
          </cell>
          <cell r="X19">
            <v>901018</v>
          </cell>
        </row>
        <row r="20">
          <cell r="D20" t="str">
            <v>以武服人</v>
          </cell>
          <cell r="X20">
            <v>901019</v>
          </cell>
        </row>
        <row r="21">
          <cell r="D21" t="str">
            <v>和谈</v>
          </cell>
          <cell r="X21">
            <v>901020</v>
          </cell>
        </row>
        <row r="22">
          <cell r="D22" t="str">
            <v>遭遇诬陷</v>
          </cell>
          <cell r="X22">
            <v>901021</v>
          </cell>
        </row>
        <row r="23">
          <cell r="D23" t="str">
            <v>力破阴谋</v>
          </cell>
          <cell r="X23">
            <v>901022</v>
          </cell>
        </row>
        <row r="24">
          <cell r="D24" t="str">
            <v>暂别山鸡</v>
          </cell>
          <cell r="X24">
            <v>901023</v>
          </cell>
        </row>
        <row r="25">
          <cell r="D25" t="str">
            <v>风起云涌</v>
          </cell>
          <cell r="X25">
            <v>901024</v>
          </cell>
        </row>
        <row r="26">
          <cell r="D26" t="str">
            <v>宴会波澜</v>
          </cell>
          <cell r="X26">
            <v>901025</v>
          </cell>
        </row>
        <row r="27">
          <cell r="D27" t="str">
            <v>调查酒吧</v>
          </cell>
          <cell r="X27">
            <v>901026</v>
          </cell>
        </row>
        <row r="28">
          <cell r="D28" t="str">
            <v>痛打笑面虎</v>
          </cell>
          <cell r="X28">
            <v>901027</v>
          </cell>
        </row>
        <row r="29">
          <cell r="D29" t="str">
            <v>护卫蒋生</v>
          </cell>
          <cell r="X29">
            <v>901028</v>
          </cell>
        </row>
        <row r="30">
          <cell r="D30" t="str">
            <v>蒋生遭袭</v>
          </cell>
          <cell r="X30">
            <v>901029</v>
          </cell>
        </row>
        <row r="31">
          <cell r="D31" t="str">
            <v>突围</v>
          </cell>
          <cell r="X31">
            <v>901030</v>
          </cell>
        </row>
        <row r="32">
          <cell r="D32" t="str">
            <v>营救准备</v>
          </cell>
          <cell r="X32">
            <v>901031</v>
          </cell>
        </row>
        <row r="33">
          <cell r="D33" t="str">
            <v>生死相随</v>
          </cell>
          <cell r="X33">
            <v>901032</v>
          </cell>
        </row>
        <row r="34">
          <cell r="D34" t="str">
            <v>双虎覆灭</v>
          </cell>
          <cell r="X34">
            <v>901033</v>
          </cell>
        </row>
        <row r="35">
          <cell r="D35" t="str">
            <v>探望浩南</v>
          </cell>
          <cell r="X35">
            <v>901034</v>
          </cell>
        </row>
        <row r="36">
          <cell r="D36" t="str">
            <v>龙头更替</v>
          </cell>
          <cell r="X36">
            <v>901035</v>
          </cell>
        </row>
        <row r="37">
          <cell r="D37" t="str">
            <v>趁虚而入</v>
          </cell>
          <cell r="X37">
            <v>901036</v>
          </cell>
        </row>
        <row r="38">
          <cell r="D38" t="str">
            <v>屯门之位</v>
          </cell>
          <cell r="X38">
            <v>901037</v>
          </cell>
        </row>
        <row r="39">
          <cell r="D39" t="str">
            <v>竞争</v>
          </cell>
          <cell r="X39">
            <v>901038</v>
          </cell>
        </row>
        <row r="40">
          <cell r="D40" t="str">
            <v>协助山鸡</v>
          </cell>
          <cell r="X40">
            <v>901039</v>
          </cell>
        </row>
        <row r="41">
          <cell r="D41" t="str">
            <v>街头激斗</v>
          </cell>
          <cell r="X41">
            <v>901040</v>
          </cell>
        </row>
        <row r="42">
          <cell r="D42" t="str">
            <v>马失前蹄</v>
          </cell>
          <cell r="X42">
            <v>901041</v>
          </cell>
        </row>
        <row r="43">
          <cell r="D43" t="str">
            <v>营救大天二</v>
          </cell>
          <cell r="X43">
            <v>901042</v>
          </cell>
        </row>
        <row r="44">
          <cell r="D44" t="str">
            <v>痛失战友</v>
          </cell>
          <cell r="X44">
            <v>901043</v>
          </cell>
        </row>
        <row r="45">
          <cell r="D45" t="str">
            <v>一决雌雄</v>
          </cell>
          <cell r="X45">
            <v>901044</v>
          </cell>
        </row>
        <row r="46">
          <cell r="D46" t="str">
            <v>成长</v>
          </cell>
          <cell r="X46">
            <v>901045</v>
          </cell>
        </row>
        <row r="47">
          <cell r="D47" t="str">
            <v>风起铜锣湾</v>
          </cell>
          <cell r="X47">
            <v>901046</v>
          </cell>
        </row>
        <row r="48">
          <cell r="D48" t="str">
            <v>前哨战</v>
          </cell>
          <cell r="X48">
            <v>901047</v>
          </cell>
        </row>
        <row r="49">
          <cell r="D49" t="str">
            <v>禁止通行</v>
          </cell>
          <cell r="X49">
            <v>901048</v>
          </cell>
        </row>
        <row r="50">
          <cell r="D50" t="str">
            <v>联络十三妹</v>
          </cell>
          <cell r="X50">
            <v>901049</v>
          </cell>
        </row>
        <row r="51">
          <cell r="D51" t="str">
            <v>冲突</v>
          </cell>
          <cell r="X51">
            <v>901050</v>
          </cell>
        </row>
        <row r="52">
          <cell r="D52" t="str">
            <v>战书</v>
          </cell>
          <cell r="X52">
            <v>901051</v>
          </cell>
        </row>
        <row r="53">
          <cell r="D53" t="str">
            <v>应战</v>
          </cell>
          <cell r="X53">
            <v>901052</v>
          </cell>
        </row>
        <row r="54">
          <cell r="D54" t="str">
            <v>力克强敌</v>
          </cell>
          <cell r="X54">
            <v>901053</v>
          </cell>
        </row>
        <row r="55">
          <cell r="D55" t="str">
            <v>龙争虎斗</v>
          </cell>
          <cell r="X55">
            <v>901054</v>
          </cell>
        </row>
        <row r="56">
          <cell r="D56" t="str">
            <v>山鸡大婚</v>
          </cell>
          <cell r="X56">
            <v>901055</v>
          </cell>
        </row>
        <row r="57">
          <cell r="D57" t="str">
            <v>远渡重洋</v>
          </cell>
          <cell r="X57">
            <v>901056</v>
          </cell>
        </row>
        <row r="58">
          <cell r="D58" t="str">
            <v>神秘访客</v>
          </cell>
          <cell r="X58">
            <v>901057</v>
          </cell>
        </row>
        <row r="59">
          <cell r="D59" t="str">
            <v>阴谋</v>
          </cell>
          <cell r="X59">
            <v>901058</v>
          </cell>
        </row>
        <row r="60">
          <cell r="D60" t="str">
            <v>协力合作</v>
          </cell>
          <cell r="X60">
            <v>901059</v>
          </cell>
        </row>
        <row r="61">
          <cell r="D61" t="str">
            <v>突破点</v>
          </cell>
          <cell r="X61">
            <v>901060</v>
          </cell>
        </row>
        <row r="62">
          <cell r="D62" t="str">
            <v>强者之战</v>
          </cell>
          <cell r="X62">
            <v>901061</v>
          </cell>
        </row>
        <row r="63">
          <cell r="D63" t="str">
            <v>阔别重逢</v>
          </cell>
          <cell r="X63">
            <v>901062</v>
          </cell>
        </row>
        <row r="64">
          <cell r="D64" t="str">
            <v>风暴前夕</v>
          </cell>
          <cell r="X64">
            <v>901063</v>
          </cell>
        </row>
        <row r="65">
          <cell r="D65" t="str">
            <v>讨伐</v>
          </cell>
          <cell r="X65">
            <v>901064</v>
          </cell>
        </row>
        <row r="66">
          <cell r="D66" t="str">
            <v>僵局</v>
          </cell>
          <cell r="X66">
            <v>901065</v>
          </cell>
        </row>
        <row r="67">
          <cell r="D67" t="str">
            <v>深入虎穴</v>
          </cell>
          <cell r="X67">
            <v>901066</v>
          </cell>
        </row>
        <row r="68">
          <cell r="D68" t="str">
            <v>激战东京1</v>
          </cell>
          <cell r="X68">
            <v>901067</v>
          </cell>
        </row>
        <row r="69">
          <cell r="D69" t="str">
            <v>激战东京2</v>
          </cell>
          <cell r="X69">
            <v>901068</v>
          </cell>
        </row>
        <row r="70">
          <cell r="D70" t="str">
            <v>激战东京3</v>
          </cell>
          <cell r="X70">
            <v>901069</v>
          </cell>
        </row>
        <row r="71">
          <cell r="D71" t="str">
            <v>激战东京4</v>
          </cell>
          <cell r="X71">
            <v>901070</v>
          </cell>
        </row>
        <row r="72">
          <cell r="D72" t="str">
            <v>蓄势待发</v>
          </cell>
          <cell r="X72">
            <v>901071</v>
          </cell>
        </row>
        <row r="73">
          <cell r="D73" t="str">
            <v>渔翁得利</v>
          </cell>
          <cell r="X73">
            <v>901072</v>
          </cell>
        </row>
        <row r="74">
          <cell r="D74" t="str">
            <v>破晓</v>
          </cell>
          <cell r="X74">
            <v>901073</v>
          </cell>
        </row>
        <row r="75">
          <cell r="D75" t="str">
            <v>再相会</v>
          </cell>
          <cell r="X75">
            <v>901074</v>
          </cell>
        </row>
        <row r="76">
          <cell r="D76" t="str">
            <v>宿敌逆袭</v>
          </cell>
          <cell r="X76">
            <v>901075</v>
          </cell>
        </row>
        <row r="77">
          <cell r="D77" t="str">
            <v>冤家路窄</v>
          </cell>
          <cell r="X77">
            <v>901076</v>
          </cell>
        </row>
        <row r="78">
          <cell r="D78" t="str">
            <v>强敌涌现</v>
          </cell>
          <cell r="X78">
            <v>901077</v>
          </cell>
        </row>
        <row r="79">
          <cell r="D79" t="str">
            <v>再会浩南</v>
          </cell>
          <cell r="X79">
            <v>901078</v>
          </cell>
        </row>
        <row r="80">
          <cell r="D80" t="str">
            <v>携手抗敌</v>
          </cell>
          <cell r="X80">
            <v>901079</v>
          </cell>
        </row>
        <row r="81">
          <cell r="D81" t="str">
            <v>友情岁月</v>
          </cell>
          <cell r="X81">
            <v>901080</v>
          </cell>
        </row>
        <row r="82">
          <cell r="D82" t="str">
            <v>血战宝岛</v>
          </cell>
          <cell r="X82">
            <v>901081</v>
          </cell>
        </row>
        <row r="83">
          <cell r="D83" t="str">
            <v>精英副本</v>
          </cell>
          <cell r="X83">
            <v>902201</v>
          </cell>
        </row>
        <row r="84">
          <cell r="D84" t="str">
            <v>狩猎巴闭</v>
          </cell>
          <cell r="X84">
            <v>903001</v>
          </cell>
        </row>
        <row r="85">
          <cell r="D85" t="str">
            <v>实力检测</v>
          </cell>
          <cell r="X85">
            <v>903003</v>
          </cell>
        </row>
        <row r="86">
          <cell r="D86" t="str">
            <v>最后主线</v>
          </cell>
          <cell r="X86">
            <v>909999</v>
          </cell>
        </row>
        <row r="87">
          <cell r="D87" t="str">
            <v>联络蒋生</v>
          </cell>
          <cell r="X87">
            <v>903004</v>
          </cell>
        </row>
        <row r="88">
          <cell r="D88" t="str">
            <v>正面交锋</v>
          </cell>
          <cell r="X88">
            <v>903005</v>
          </cell>
        </row>
        <row r="89">
          <cell r="D89" t="str">
            <v>愈战愈勇</v>
          </cell>
          <cell r="X89">
            <v>903006</v>
          </cell>
        </row>
        <row r="90">
          <cell r="D90" t="str">
            <v>恶战</v>
          </cell>
          <cell r="X90">
            <v>903007</v>
          </cell>
        </row>
        <row r="91">
          <cell r="D91" t="str">
            <v>战况升级</v>
          </cell>
          <cell r="X91">
            <v>903008</v>
          </cell>
        </row>
        <row r="92">
          <cell r="D92" t="str">
            <v>罪恶之巢</v>
          </cell>
          <cell r="X92">
            <v>903009</v>
          </cell>
        </row>
        <row r="93">
          <cell r="D93" t="str">
            <v>斩破黑暗</v>
          </cell>
          <cell r="X93">
            <v>903010</v>
          </cell>
        </row>
        <row r="94">
          <cell r="D94" t="str">
            <v>自甘堕落</v>
          </cell>
          <cell r="X94">
            <v>903011</v>
          </cell>
        </row>
        <row r="95">
          <cell r="D95" t="str">
            <v>阴魂不散</v>
          </cell>
          <cell r="X95">
            <v>903012</v>
          </cell>
        </row>
        <row r="96">
          <cell r="D96" t="str">
            <v>意外强敌</v>
          </cell>
          <cell r="X96">
            <v>903013</v>
          </cell>
        </row>
        <row r="97">
          <cell r="D97" t="str">
            <v>精英巴闭</v>
          </cell>
          <cell r="X97">
            <v>910001</v>
          </cell>
        </row>
        <row r="98">
          <cell r="D98" t="str">
            <v>精英大傻保镖</v>
          </cell>
          <cell r="X98">
            <v>910002</v>
          </cell>
        </row>
        <row r="99">
          <cell r="D99" t="str">
            <v>精英偷车贼</v>
          </cell>
          <cell r="X99">
            <v>910003</v>
          </cell>
        </row>
        <row r="100">
          <cell r="D100" t="str">
            <v>精英丧彪手下</v>
          </cell>
          <cell r="X100">
            <v>910004</v>
          </cell>
        </row>
        <row r="101">
          <cell r="D101" t="str">
            <v>精英丧彪</v>
          </cell>
          <cell r="X101">
            <v>910005</v>
          </cell>
        </row>
        <row r="102">
          <cell r="D102" t="str">
            <v>精英拦截者</v>
          </cell>
          <cell r="X102">
            <v>910006</v>
          </cell>
        </row>
        <row r="103">
          <cell r="D103" t="str">
            <v>精英靓坤手下</v>
          </cell>
          <cell r="X103">
            <v>910007</v>
          </cell>
        </row>
        <row r="104">
          <cell r="D104" t="str">
            <v>精英阿强</v>
          </cell>
          <cell r="X104">
            <v>910008</v>
          </cell>
        </row>
        <row r="105">
          <cell r="D105" t="str">
            <v>精英靓坤</v>
          </cell>
          <cell r="X105">
            <v>910009</v>
          </cell>
        </row>
        <row r="106">
          <cell r="D106" t="str">
            <v>精英议员保镖</v>
          </cell>
          <cell r="X106">
            <v>910010</v>
          </cell>
        </row>
        <row r="107">
          <cell r="D107" t="str">
            <v>精英张议员</v>
          </cell>
          <cell r="X107">
            <v>910011</v>
          </cell>
        </row>
        <row r="108">
          <cell r="D108" t="str">
            <v>精英枪手</v>
          </cell>
          <cell r="X108">
            <v>910012</v>
          </cell>
        </row>
        <row r="109">
          <cell r="D109" t="str">
            <v>精英大飞手下</v>
          </cell>
          <cell r="X109">
            <v>910013</v>
          </cell>
        </row>
        <row r="110">
          <cell r="D110" t="str">
            <v>精英大飞弟子</v>
          </cell>
          <cell r="X110">
            <v>910014</v>
          </cell>
        </row>
        <row r="111">
          <cell r="D111" t="str">
            <v>精英追踪者</v>
          </cell>
          <cell r="X111">
            <v>910015</v>
          </cell>
        </row>
        <row r="112">
          <cell r="D112" t="str">
            <v>精英雷公保镖</v>
          </cell>
          <cell r="X112">
            <v>910016</v>
          </cell>
        </row>
        <row r="113">
          <cell r="D113" t="str">
            <v>精英赌场警卫</v>
          </cell>
          <cell r="X113">
            <v>910017</v>
          </cell>
        </row>
        <row r="114">
          <cell r="D114" t="str">
            <v>精英丁瑶护卫</v>
          </cell>
          <cell r="X114">
            <v>910018</v>
          </cell>
        </row>
        <row r="115">
          <cell r="D115" t="str">
            <v>精英乌鸦手下</v>
          </cell>
          <cell r="X115">
            <v>910019</v>
          </cell>
        </row>
        <row r="116">
          <cell r="D116" t="str">
            <v>精英笑面虎</v>
          </cell>
          <cell r="X116">
            <v>910020</v>
          </cell>
        </row>
        <row r="117">
          <cell r="D117" t="str">
            <v>精英东星杀手</v>
          </cell>
          <cell r="X117">
            <v>910021</v>
          </cell>
        </row>
        <row r="118">
          <cell r="D118" t="str">
            <v>精英赏金猎手</v>
          </cell>
          <cell r="X118">
            <v>910022</v>
          </cell>
        </row>
        <row r="119">
          <cell r="D119" t="str">
            <v>精英追杀者</v>
          </cell>
          <cell r="X119">
            <v>910023</v>
          </cell>
        </row>
        <row r="120">
          <cell r="D120" t="str">
            <v>精英弹药守卫</v>
          </cell>
          <cell r="X120">
            <v>910024</v>
          </cell>
        </row>
        <row r="121">
          <cell r="D121" t="str">
            <v>精英人质看守</v>
          </cell>
          <cell r="X121">
            <v>910025</v>
          </cell>
        </row>
        <row r="122">
          <cell r="D122" t="str">
            <v>精英乌鸦心腹</v>
          </cell>
          <cell r="X122">
            <v>910026</v>
          </cell>
        </row>
        <row r="123">
          <cell r="D123" t="str">
            <v>精英乌鸦</v>
          </cell>
          <cell r="X123">
            <v>910027</v>
          </cell>
        </row>
        <row r="124">
          <cell r="D124" t="str">
            <v>精英袭击者</v>
          </cell>
          <cell r="X124">
            <v>910028</v>
          </cell>
        </row>
        <row r="125">
          <cell r="D125" t="str">
            <v>精英生番手下</v>
          </cell>
          <cell r="X125">
            <v>910029</v>
          </cell>
        </row>
        <row r="126">
          <cell r="D126" t="str">
            <v>精英混混头目</v>
          </cell>
          <cell r="X126">
            <v>910030</v>
          </cell>
        </row>
        <row r="127">
          <cell r="D127" t="str">
            <v>精英黑星</v>
          </cell>
          <cell r="X127">
            <v>910031</v>
          </cell>
        </row>
        <row r="128">
          <cell r="D128" t="str">
            <v>精英生番</v>
          </cell>
          <cell r="X128">
            <v>910032</v>
          </cell>
        </row>
        <row r="129">
          <cell r="D129" t="str">
            <v>精英毒贩头目</v>
          </cell>
          <cell r="X129">
            <v>910033</v>
          </cell>
        </row>
        <row r="130">
          <cell r="D130" t="str">
            <v>精英耀阳手下</v>
          </cell>
          <cell r="X130">
            <v>910034</v>
          </cell>
        </row>
        <row r="131">
          <cell r="D131" t="str">
            <v>精英东星拳师</v>
          </cell>
          <cell r="X131">
            <v>910035</v>
          </cell>
        </row>
        <row r="132">
          <cell r="D132" t="str">
            <v>精英耀阳</v>
          </cell>
          <cell r="X132">
            <v>910036</v>
          </cell>
        </row>
        <row r="133">
          <cell r="D133" t="str">
            <v>精英司徒手下</v>
          </cell>
          <cell r="X133">
            <v>910037</v>
          </cell>
        </row>
        <row r="134">
          <cell r="D134" t="str">
            <v>精英破坏分子</v>
          </cell>
          <cell r="X134">
            <v>910038</v>
          </cell>
        </row>
        <row r="135">
          <cell r="D135" t="str">
            <v>精英地痞头目</v>
          </cell>
          <cell r="X135">
            <v>910039</v>
          </cell>
        </row>
        <row r="136">
          <cell r="D136" t="str">
            <v>精英外籍打手</v>
          </cell>
          <cell r="X136">
            <v>910040</v>
          </cell>
        </row>
        <row r="137">
          <cell r="D137" t="str">
            <v>精英长毛</v>
          </cell>
          <cell r="X137">
            <v>910041</v>
          </cell>
        </row>
        <row r="138">
          <cell r="D138" t="str">
            <v>精英大头仔</v>
          </cell>
          <cell r="X138">
            <v>910042</v>
          </cell>
        </row>
        <row r="139">
          <cell r="D139" t="str">
            <v>精英阿勇</v>
          </cell>
          <cell r="X139">
            <v>910043</v>
          </cell>
        </row>
        <row r="140">
          <cell r="D140" t="str">
            <v>精英非法裁判</v>
          </cell>
          <cell r="X140">
            <v>910044</v>
          </cell>
        </row>
        <row r="141">
          <cell r="D141" t="str">
            <v>精英司徒浩南</v>
          </cell>
          <cell r="X141">
            <v>910045</v>
          </cell>
        </row>
        <row r="142">
          <cell r="D142" t="str">
            <v>精英鬼冢</v>
          </cell>
          <cell r="X142">
            <v>910046</v>
          </cell>
        </row>
        <row r="143">
          <cell r="D143" t="str">
            <v>精英暗魔</v>
          </cell>
          <cell r="X143">
            <v>910047</v>
          </cell>
        </row>
        <row r="144">
          <cell r="D144" t="str">
            <v>精英血狂</v>
          </cell>
          <cell r="X144">
            <v>910048</v>
          </cell>
        </row>
        <row r="145">
          <cell r="D145" t="str">
            <v>精英獠牙</v>
          </cell>
          <cell r="X145">
            <v>910049</v>
          </cell>
        </row>
        <row r="146">
          <cell r="D146" t="str">
            <v>精英陈浩南</v>
          </cell>
          <cell r="X146">
            <v>910050</v>
          </cell>
        </row>
        <row r="147">
          <cell r="D147" t="str">
            <v>精英毒牙</v>
          </cell>
          <cell r="X147">
            <v>910051</v>
          </cell>
        </row>
        <row r="148">
          <cell r="D148" t="str">
            <v>精英织田</v>
          </cell>
          <cell r="X148">
            <v>910052</v>
          </cell>
        </row>
        <row r="149">
          <cell r="D149" t="str">
            <v>精英太乙部下</v>
          </cell>
          <cell r="X149">
            <v>910053</v>
          </cell>
        </row>
        <row r="150">
          <cell r="D150" t="str">
            <v>精英太乙</v>
          </cell>
          <cell r="X150">
            <v>910054</v>
          </cell>
        </row>
        <row r="151">
          <cell r="D151" t="str">
            <v>精英白虎堂</v>
          </cell>
          <cell r="X151">
            <v>910055</v>
          </cell>
        </row>
        <row r="152">
          <cell r="D152" t="str">
            <v>精英玄武堂</v>
          </cell>
          <cell r="X152">
            <v>910056</v>
          </cell>
        </row>
        <row r="153">
          <cell r="D153" t="str">
            <v>精英朱雀堂</v>
          </cell>
          <cell r="X153">
            <v>910057</v>
          </cell>
        </row>
        <row r="154">
          <cell r="D154" t="str">
            <v>精英青龙堂</v>
          </cell>
          <cell r="X154">
            <v>910058</v>
          </cell>
        </row>
        <row r="155">
          <cell r="D155" t="str">
            <v>精英佐维</v>
          </cell>
          <cell r="X155">
            <v>910059</v>
          </cell>
        </row>
        <row r="156">
          <cell r="D156" t="str">
            <v>精英傲虎</v>
          </cell>
          <cell r="X156">
            <v>910060</v>
          </cell>
        </row>
        <row r="157">
          <cell r="D157" t="str">
            <v>精英狂龙</v>
          </cell>
          <cell r="X157">
            <v>910061</v>
          </cell>
        </row>
        <row r="158">
          <cell r="D158" t="str">
            <v>精英山崎</v>
          </cell>
          <cell r="X158">
            <v>910062</v>
          </cell>
        </row>
        <row r="159">
          <cell r="D159" t="str">
            <v>精英杀手首领</v>
          </cell>
          <cell r="X159">
            <v>910063</v>
          </cell>
        </row>
        <row r="160">
          <cell r="D160" t="str">
            <v>精英复仇靓坤</v>
          </cell>
          <cell r="X160">
            <v>910064</v>
          </cell>
        </row>
        <row r="161">
          <cell r="D161" t="str">
            <v>精英复仇乌鸦</v>
          </cell>
          <cell r="X161">
            <v>910065</v>
          </cell>
        </row>
        <row r="162">
          <cell r="D162" t="str">
            <v>精英复仇司徒</v>
          </cell>
          <cell r="X162">
            <v>910066</v>
          </cell>
        </row>
        <row r="163">
          <cell r="D163" t="str">
            <v>精英生番</v>
          </cell>
          <cell r="X163">
            <v>910067</v>
          </cell>
        </row>
        <row r="164">
          <cell r="D164" t="str">
            <v>精英耀阳</v>
          </cell>
          <cell r="X164">
            <v>910068</v>
          </cell>
        </row>
        <row r="165">
          <cell r="D165" t="str">
            <v>精英赌王</v>
          </cell>
          <cell r="X165">
            <v>910069</v>
          </cell>
        </row>
        <row r="166">
          <cell r="D166" t="str">
            <v>精英地中海</v>
          </cell>
          <cell r="X166">
            <v>910070</v>
          </cell>
        </row>
        <row r="167">
          <cell r="D167" t="str">
            <v>精英山鸡</v>
          </cell>
          <cell r="X167">
            <v>910071</v>
          </cell>
        </row>
        <row r="168">
          <cell r="D168" t="str">
            <v>精英雷复轰</v>
          </cell>
          <cell r="X168">
            <v>910072</v>
          </cell>
        </row>
        <row r="169">
          <cell r="D169"/>
          <cell r="X169"/>
        </row>
        <row r="170">
          <cell r="D170"/>
          <cell r="X170"/>
        </row>
        <row r="171">
          <cell r="D171"/>
          <cell r="X171"/>
        </row>
        <row r="172">
          <cell r="D172"/>
          <cell r="X172"/>
        </row>
        <row r="173">
          <cell r="D173"/>
          <cell r="X173"/>
        </row>
      </sheetData>
      <sheetData sheetId="6"/>
      <sheetData sheetId="7">
        <row r="6">
          <cell r="H6">
            <v>619.27545087976534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AC5">
            <v>20</v>
          </cell>
        </row>
      </sheetData>
      <sheetData sheetId="8"/>
      <sheetData sheetId="9">
        <row r="2">
          <cell r="N2">
            <v>39856.139784946237</v>
          </cell>
        </row>
        <row r="8">
          <cell r="N8">
            <v>53.319249649368864</v>
          </cell>
        </row>
      </sheetData>
      <sheetData sheetId="10"/>
      <sheetData sheetId="11"/>
      <sheetData sheetId="12">
        <row r="36">
          <cell r="AH36">
            <v>0.71400254176785605</v>
          </cell>
        </row>
        <row r="37">
          <cell r="AH37">
            <v>0.67123124089359087</v>
          </cell>
        </row>
      </sheetData>
      <sheetData sheetId="13">
        <row r="7">
          <cell r="C7">
            <v>2</v>
          </cell>
        </row>
        <row r="16">
          <cell r="Q16" t="str">
            <v>ID</v>
          </cell>
          <cell r="R16" t="str">
            <v>精英副本</v>
          </cell>
          <cell r="S16" t="str">
            <v>消耗体力</v>
          </cell>
          <cell r="T16" t="str">
            <v>副本名称</v>
          </cell>
          <cell r="U16" t="str">
            <v>龙魂投放</v>
          </cell>
        </row>
        <row r="17">
          <cell r="Q17">
            <v>501201</v>
          </cell>
          <cell r="R17">
            <v>1</v>
          </cell>
          <cell r="S17">
            <v>10</v>
          </cell>
          <cell r="T17" t="str">
            <v>精英巴闭</v>
          </cell>
          <cell r="U17">
            <v>20</v>
          </cell>
        </row>
        <row r="18">
          <cell r="Q18">
            <v>501202</v>
          </cell>
          <cell r="R18">
            <v>2</v>
          </cell>
          <cell r="S18">
            <v>10</v>
          </cell>
          <cell r="T18" t="str">
            <v>精英大傻保镖</v>
          </cell>
          <cell r="U18">
            <v>20</v>
          </cell>
        </row>
        <row r="19">
          <cell r="Q19">
            <v>501203</v>
          </cell>
          <cell r="R19">
            <v>3</v>
          </cell>
          <cell r="S19">
            <v>10</v>
          </cell>
          <cell r="T19" t="str">
            <v>精英偷车贼</v>
          </cell>
          <cell r="U19">
            <v>20</v>
          </cell>
        </row>
        <row r="20">
          <cell r="Q20">
            <v>501204</v>
          </cell>
          <cell r="R20">
            <v>4</v>
          </cell>
          <cell r="S20">
            <v>10</v>
          </cell>
          <cell r="T20" t="str">
            <v>精英丧彪手下</v>
          </cell>
          <cell r="U20">
            <v>20</v>
          </cell>
        </row>
        <row r="21">
          <cell r="Q21">
            <v>501205</v>
          </cell>
          <cell r="R21">
            <v>5</v>
          </cell>
          <cell r="S21">
            <v>10</v>
          </cell>
          <cell r="T21" t="str">
            <v>精英丧彪</v>
          </cell>
          <cell r="U21">
            <v>20</v>
          </cell>
        </row>
        <row r="22">
          <cell r="Q22">
            <v>501206</v>
          </cell>
          <cell r="R22">
            <v>6</v>
          </cell>
          <cell r="S22">
            <v>10</v>
          </cell>
          <cell r="T22" t="str">
            <v>精英拦截者</v>
          </cell>
          <cell r="U22">
            <v>20</v>
          </cell>
        </row>
        <row r="23">
          <cell r="Q23">
            <v>501207</v>
          </cell>
          <cell r="R23">
            <v>7</v>
          </cell>
          <cell r="S23">
            <v>10</v>
          </cell>
          <cell r="T23" t="str">
            <v>精英靓坤手下</v>
          </cell>
          <cell r="U23">
            <v>20</v>
          </cell>
        </row>
        <row r="24">
          <cell r="Q24">
            <v>501208</v>
          </cell>
          <cell r="R24">
            <v>8</v>
          </cell>
          <cell r="S24">
            <v>10</v>
          </cell>
          <cell r="T24" t="str">
            <v>精英阿强</v>
          </cell>
          <cell r="U24">
            <v>20</v>
          </cell>
        </row>
        <row r="25">
          <cell r="Q25">
            <v>501209</v>
          </cell>
          <cell r="R25">
            <v>9</v>
          </cell>
          <cell r="S25">
            <v>10</v>
          </cell>
          <cell r="T25" t="str">
            <v>精英靓坤</v>
          </cell>
          <cell r="U25">
            <v>20</v>
          </cell>
        </row>
        <row r="26">
          <cell r="Q26">
            <v>502201</v>
          </cell>
          <cell r="R26">
            <v>10</v>
          </cell>
          <cell r="S26">
            <v>10</v>
          </cell>
          <cell r="T26" t="str">
            <v>精英议员保镖</v>
          </cell>
          <cell r="U26">
            <v>20</v>
          </cell>
        </row>
        <row r="27">
          <cell r="Q27">
            <v>502202</v>
          </cell>
          <cell r="R27">
            <v>11</v>
          </cell>
          <cell r="S27">
            <v>10</v>
          </cell>
          <cell r="T27" t="str">
            <v>精英张议员</v>
          </cell>
          <cell r="U27">
            <v>20</v>
          </cell>
        </row>
        <row r="28">
          <cell r="Q28">
            <v>502203</v>
          </cell>
          <cell r="R28">
            <v>12</v>
          </cell>
          <cell r="S28">
            <v>10</v>
          </cell>
          <cell r="T28" t="str">
            <v>精英枪手</v>
          </cell>
          <cell r="U28">
            <v>20</v>
          </cell>
        </row>
        <row r="29">
          <cell r="Q29">
            <v>502204</v>
          </cell>
          <cell r="R29">
            <v>13</v>
          </cell>
          <cell r="S29">
            <v>10</v>
          </cell>
          <cell r="T29" t="str">
            <v>精英大飞手下</v>
          </cell>
          <cell r="U29">
            <v>20</v>
          </cell>
        </row>
        <row r="30">
          <cell r="Q30">
            <v>502205</v>
          </cell>
          <cell r="R30">
            <v>14</v>
          </cell>
          <cell r="S30">
            <v>10</v>
          </cell>
          <cell r="T30" t="str">
            <v>精英大飞弟子</v>
          </cell>
          <cell r="U30">
            <v>20</v>
          </cell>
        </row>
        <row r="31">
          <cell r="Q31">
            <v>502206</v>
          </cell>
          <cell r="R31">
            <v>15</v>
          </cell>
          <cell r="S31">
            <v>10</v>
          </cell>
          <cell r="T31" t="str">
            <v>精英追踪者</v>
          </cell>
          <cell r="U31">
            <v>20</v>
          </cell>
        </row>
        <row r="32">
          <cell r="Q32">
            <v>502207</v>
          </cell>
          <cell r="R32">
            <v>16</v>
          </cell>
          <cell r="S32">
            <v>10</v>
          </cell>
          <cell r="T32" t="str">
            <v>精英雷公保镖</v>
          </cell>
          <cell r="U32">
            <v>20</v>
          </cell>
        </row>
        <row r="33">
          <cell r="Q33">
            <v>502208</v>
          </cell>
          <cell r="R33">
            <v>17</v>
          </cell>
          <cell r="S33">
            <v>10</v>
          </cell>
          <cell r="T33" t="str">
            <v>精英赌场警卫</v>
          </cell>
          <cell r="U33">
            <v>20</v>
          </cell>
        </row>
        <row r="34">
          <cell r="Q34">
            <v>502209</v>
          </cell>
          <cell r="R34">
            <v>18</v>
          </cell>
          <cell r="S34">
            <v>10</v>
          </cell>
          <cell r="T34" t="str">
            <v>精英丁瑶护卫</v>
          </cell>
          <cell r="U34">
            <v>20</v>
          </cell>
        </row>
        <row r="35">
          <cell r="Q35">
            <v>503201</v>
          </cell>
          <cell r="R35">
            <v>19</v>
          </cell>
          <cell r="S35">
            <v>10</v>
          </cell>
          <cell r="T35" t="str">
            <v>精英乌鸦手下</v>
          </cell>
          <cell r="U35">
            <v>20</v>
          </cell>
        </row>
        <row r="36">
          <cell r="Q36">
            <v>503202</v>
          </cell>
          <cell r="R36">
            <v>20</v>
          </cell>
          <cell r="S36">
            <v>10</v>
          </cell>
          <cell r="T36" t="str">
            <v>精英笑面虎</v>
          </cell>
          <cell r="U36">
            <v>20</v>
          </cell>
        </row>
        <row r="37">
          <cell r="Q37">
            <v>503203</v>
          </cell>
          <cell r="R37">
            <v>21</v>
          </cell>
          <cell r="S37">
            <v>10</v>
          </cell>
          <cell r="T37" t="str">
            <v>精英东星杀手</v>
          </cell>
          <cell r="U37">
            <v>20</v>
          </cell>
        </row>
        <row r="38">
          <cell r="Q38">
            <v>503204</v>
          </cell>
          <cell r="R38">
            <v>22</v>
          </cell>
          <cell r="S38">
            <v>10</v>
          </cell>
          <cell r="T38" t="str">
            <v>精英赏金猎手</v>
          </cell>
          <cell r="U38">
            <v>20</v>
          </cell>
        </row>
        <row r="39">
          <cell r="Q39">
            <v>503205</v>
          </cell>
          <cell r="R39">
            <v>23</v>
          </cell>
          <cell r="S39">
            <v>10</v>
          </cell>
          <cell r="T39" t="str">
            <v>精英追杀者</v>
          </cell>
          <cell r="U39">
            <v>20</v>
          </cell>
        </row>
        <row r="40">
          <cell r="Q40">
            <v>503206</v>
          </cell>
          <cell r="R40">
            <v>24</v>
          </cell>
          <cell r="S40">
            <v>10</v>
          </cell>
          <cell r="T40" t="str">
            <v>精英弹药守卫</v>
          </cell>
          <cell r="U40">
            <v>20</v>
          </cell>
        </row>
        <row r="41">
          <cell r="Q41">
            <v>503207</v>
          </cell>
          <cell r="R41">
            <v>25</v>
          </cell>
          <cell r="S41">
            <v>10</v>
          </cell>
          <cell r="T41" t="str">
            <v>精英人质看守</v>
          </cell>
          <cell r="U41">
            <v>20</v>
          </cell>
        </row>
        <row r="42">
          <cell r="Q42">
            <v>503208</v>
          </cell>
          <cell r="R42">
            <v>26</v>
          </cell>
          <cell r="S42">
            <v>10</v>
          </cell>
          <cell r="T42" t="str">
            <v>精英乌鸦心腹</v>
          </cell>
          <cell r="U42">
            <v>20</v>
          </cell>
        </row>
        <row r="43">
          <cell r="Q43">
            <v>503209</v>
          </cell>
          <cell r="R43">
            <v>27</v>
          </cell>
          <cell r="S43">
            <v>10</v>
          </cell>
          <cell r="T43" t="str">
            <v>精英乌鸦</v>
          </cell>
          <cell r="U43">
            <v>20</v>
          </cell>
        </row>
        <row r="44">
          <cell r="Q44">
            <v>504201</v>
          </cell>
          <cell r="R44">
            <v>28</v>
          </cell>
          <cell r="S44">
            <v>12</v>
          </cell>
          <cell r="T44" t="str">
            <v>精英袭击者</v>
          </cell>
          <cell r="U44">
            <v>24</v>
          </cell>
        </row>
        <row r="45">
          <cell r="Q45">
            <v>504202</v>
          </cell>
          <cell r="R45">
            <v>29</v>
          </cell>
          <cell r="S45">
            <v>12</v>
          </cell>
          <cell r="T45" t="str">
            <v>精英生番手下</v>
          </cell>
          <cell r="U45">
            <v>24</v>
          </cell>
        </row>
        <row r="46">
          <cell r="Q46">
            <v>504203</v>
          </cell>
          <cell r="R46">
            <v>30</v>
          </cell>
          <cell r="S46">
            <v>12</v>
          </cell>
          <cell r="T46" t="str">
            <v>精英混混头目</v>
          </cell>
          <cell r="U46">
            <v>24</v>
          </cell>
        </row>
        <row r="47">
          <cell r="Q47">
            <v>504204</v>
          </cell>
          <cell r="R47">
            <v>31</v>
          </cell>
          <cell r="S47">
            <v>12</v>
          </cell>
          <cell r="T47" t="str">
            <v>精英黑星</v>
          </cell>
          <cell r="U47">
            <v>24</v>
          </cell>
        </row>
        <row r="48">
          <cell r="Q48">
            <v>504205</v>
          </cell>
          <cell r="R48">
            <v>32</v>
          </cell>
          <cell r="S48">
            <v>12</v>
          </cell>
          <cell r="T48" t="str">
            <v>精英生番</v>
          </cell>
          <cell r="U48">
            <v>24</v>
          </cell>
        </row>
        <row r="49">
          <cell r="Q49">
            <v>504206</v>
          </cell>
          <cell r="R49">
            <v>33</v>
          </cell>
          <cell r="S49">
            <v>12</v>
          </cell>
          <cell r="T49" t="str">
            <v>精英毒贩头目</v>
          </cell>
          <cell r="U49">
            <v>24</v>
          </cell>
        </row>
        <row r="50">
          <cell r="Q50">
            <v>504207</v>
          </cell>
          <cell r="R50">
            <v>34</v>
          </cell>
          <cell r="S50">
            <v>12</v>
          </cell>
          <cell r="T50" t="str">
            <v>精英耀阳手下</v>
          </cell>
          <cell r="U50">
            <v>24</v>
          </cell>
        </row>
        <row r="51">
          <cell r="Q51">
            <v>504208</v>
          </cell>
          <cell r="R51">
            <v>35</v>
          </cell>
          <cell r="S51">
            <v>12</v>
          </cell>
          <cell r="T51" t="str">
            <v>精英东星拳师</v>
          </cell>
          <cell r="U51">
            <v>24</v>
          </cell>
        </row>
        <row r="52">
          <cell r="Q52">
            <v>504209</v>
          </cell>
          <cell r="R52">
            <v>36</v>
          </cell>
          <cell r="S52">
            <v>12</v>
          </cell>
          <cell r="T52" t="str">
            <v>精英耀阳</v>
          </cell>
          <cell r="U52">
            <v>24</v>
          </cell>
        </row>
        <row r="53">
          <cell r="Q53">
            <v>505201</v>
          </cell>
          <cell r="R53">
            <v>37</v>
          </cell>
          <cell r="S53">
            <v>12</v>
          </cell>
          <cell r="T53" t="str">
            <v>精英司徒手下</v>
          </cell>
          <cell r="U53">
            <v>24</v>
          </cell>
        </row>
        <row r="54">
          <cell r="Q54">
            <v>505202</v>
          </cell>
          <cell r="R54">
            <v>38</v>
          </cell>
          <cell r="S54">
            <v>12</v>
          </cell>
          <cell r="T54" t="str">
            <v>精英破坏分子</v>
          </cell>
          <cell r="U54">
            <v>24</v>
          </cell>
        </row>
        <row r="55">
          <cell r="Q55">
            <v>505203</v>
          </cell>
          <cell r="R55">
            <v>39</v>
          </cell>
          <cell r="S55">
            <v>12</v>
          </cell>
          <cell r="T55" t="str">
            <v>精英地痞头目</v>
          </cell>
          <cell r="U55">
            <v>24</v>
          </cell>
        </row>
        <row r="56">
          <cell r="Q56">
            <v>505204</v>
          </cell>
          <cell r="R56">
            <v>40</v>
          </cell>
          <cell r="S56">
            <v>12</v>
          </cell>
          <cell r="T56" t="str">
            <v>精英外籍打手</v>
          </cell>
          <cell r="U56">
            <v>24</v>
          </cell>
        </row>
        <row r="57">
          <cell r="Q57">
            <v>505205</v>
          </cell>
          <cell r="R57">
            <v>41</v>
          </cell>
          <cell r="S57">
            <v>12</v>
          </cell>
          <cell r="T57" t="str">
            <v>精英长毛</v>
          </cell>
          <cell r="U57">
            <v>24</v>
          </cell>
        </row>
        <row r="58">
          <cell r="Q58">
            <v>505206</v>
          </cell>
          <cell r="R58">
            <v>42</v>
          </cell>
          <cell r="S58">
            <v>12</v>
          </cell>
          <cell r="T58" t="str">
            <v>精英大头仔</v>
          </cell>
          <cell r="U58">
            <v>24</v>
          </cell>
        </row>
        <row r="59">
          <cell r="Q59">
            <v>505207</v>
          </cell>
          <cell r="R59">
            <v>43</v>
          </cell>
          <cell r="S59">
            <v>12</v>
          </cell>
          <cell r="T59" t="str">
            <v>精英阿勇</v>
          </cell>
          <cell r="U59">
            <v>24</v>
          </cell>
        </row>
        <row r="60">
          <cell r="Q60">
            <v>505208</v>
          </cell>
          <cell r="R60">
            <v>44</v>
          </cell>
          <cell r="S60">
            <v>12</v>
          </cell>
          <cell r="T60" t="str">
            <v>精英非法裁判</v>
          </cell>
          <cell r="U60">
            <v>24</v>
          </cell>
        </row>
        <row r="61">
          <cell r="Q61">
            <v>505209</v>
          </cell>
          <cell r="R61">
            <v>45</v>
          </cell>
          <cell r="S61">
            <v>12</v>
          </cell>
          <cell r="T61" t="str">
            <v>精英司徒浩南</v>
          </cell>
          <cell r="U61">
            <v>24</v>
          </cell>
        </row>
        <row r="62">
          <cell r="Q62">
            <v>506201</v>
          </cell>
          <cell r="R62">
            <v>46</v>
          </cell>
          <cell r="S62">
            <v>14</v>
          </cell>
          <cell r="T62" t="str">
            <v>精英鬼冢</v>
          </cell>
          <cell r="U62">
            <v>28</v>
          </cell>
        </row>
        <row r="63">
          <cell r="Q63">
            <v>506202</v>
          </cell>
          <cell r="R63">
            <v>47</v>
          </cell>
          <cell r="S63">
            <v>14</v>
          </cell>
          <cell r="T63" t="str">
            <v>精英暗魔</v>
          </cell>
          <cell r="U63">
            <v>28</v>
          </cell>
        </row>
        <row r="64">
          <cell r="Q64">
            <v>506203</v>
          </cell>
          <cell r="R64">
            <v>48</v>
          </cell>
          <cell r="S64">
            <v>14</v>
          </cell>
          <cell r="T64" t="str">
            <v>精英血狂</v>
          </cell>
          <cell r="U64">
            <v>28</v>
          </cell>
        </row>
        <row r="65">
          <cell r="Q65">
            <v>506204</v>
          </cell>
          <cell r="R65">
            <v>49</v>
          </cell>
          <cell r="S65">
            <v>14</v>
          </cell>
          <cell r="T65" t="str">
            <v>精英獠牙</v>
          </cell>
          <cell r="U65">
            <v>28</v>
          </cell>
        </row>
        <row r="66">
          <cell r="Q66">
            <v>506205</v>
          </cell>
          <cell r="R66">
            <v>50</v>
          </cell>
          <cell r="S66">
            <v>14</v>
          </cell>
          <cell r="T66" t="str">
            <v>精英陈浩南</v>
          </cell>
          <cell r="U66">
            <v>28</v>
          </cell>
        </row>
        <row r="67">
          <cell r="Q67">
            <v>506206</v>
          </cell>
          <cell r="R67">
            <v>51</v>
          </cell>
          <cell r="S67">
            <v>14</v>
          </cell>
          <cell r="T67" t="str">
            <v>精英毒牙</v>
          </cell>
          <cell r="U67">
            <v>28</v>
          </cell>
        </row>
        <row r="68">
          <cell r="Q68">
            <v>506207</v>
          </cell>
          <cell r="R68">
            <v>52</v>
          </cell>
          <cell r="S68">
            <v>14</v>
          </cell>
          <cell r="T68" t="str">
            <v>精英织田</v>
          </cell>
          <cell r="U68">
            <v>28</v>
          </cell>
        </row>
        <row r="69">
          <cell r="Q69">
            <v>506208</v>
          </cell>
          <cell r="R69">
            <v>53</v>
          </cell>
          <cell r="S69">
            <v>14</v>
          </cell>
          <cell r="T69" t="str">
            <v>精英太乙部下</v>
          </cell>
          <cell r="U69">
            <v>28</v>
          </cell>
        </row>
        <row r="70">
          <cell r="Q70">
            <v>506209</v>
          </cell>
          <cell r="R70">
            <v>54</v>
          </cell>
          <cell r="S70">
            <v>14</v>
          </cell>
          <cell r="T70" t="str">
            <v>精英太乙</v>
          </cell>
          <cell r="U70">
            <v>28</v>
          </cell>
        </row>
        <row r="71">
          <cell r="Q71">
            <v>507201</v>
          </cell>
          <cell r="R71">
            <v>55</v>
          </cell>
          <cell r="S71">
            <v>14</v>
          </cell>
          <cell r="T71" t="str">
            <v>精英白虎堂</v>
          </cell>
          <cell r="U71">
            <v>28</v>
          </cell>
        </row>
        <row r="72">
          <cell r="Q72">
            <v>507202</v>
          </cell>
          <cell r="R72">
            <v>56</v>
          </cell>
          <cell r="S72">
            <v>14</v>
          </cell>
          <cell r="T72" t="str">
            <v>精英玄武堂</v>
          </cell>
          <cell r="U72">
            <v>28</v>
          </cell>
        </row>
        <row r="73">
          <cell r="Q73">
            <v>507203</v>
          </cell>
          <cell r="R73">
            <v>57</v>
          </cell>
          <cell r="S73">
            <v>14</v>
          </cell>
          <cell r="T73" t="str">
            <v>精英朱雀堂</v>
          </cell>
          <cell r="U73">
            <v>28</v>
          </cell>
        </row>
        <row r="74">
          <cell r="Q74">
            <v>507204</v>
          </cell>
          <cell r="R74">
            <v>58</v>
          </cell>
          <cell r="S74">
            <v>14</v>
          </cell>
          <cell r="T74" t="str">
            <v>精英青龙堂</v>
          </cell>
          <cell r="U74">
            <v>28</v>
          </cell>
        </row>
        <row r="75">
          <cell r="Q75">
            <v>507205</v>
          </cell>
          <cell r="R75">
            <v>59</v>
          </cell>
          <cell r="S75">
            <v>14</v>
          </cell>
          <cell r="T75" t="str">
            <v>精英佐维</v>
          </cell>
          <cell r="U75">
            <v>28</v>
          </cell>
        </row>
        <row r="76">
          <cell r="Q76">
            <v>507206</v>
          </cell>
          <cell r="R76">
            <v>60</v>
          </cell>
          <cell r="S76">
            <v>14</v>
          </cell>
          <cell r="T76" t="str">
            <v>精英傲虎</v>
          </cell>
          <cell r="U76">
            <v>28</v>
          </cell>
        </row>
        <row r="77">
          <cell r="Q77">
            <v>507207</v>
          </cell>
          <cell r="R77">
            <v>61</v>
          </cell>
          <cell r="S77">
            <v>14</v>
          </cell>
          <cell r="T77" t="str">
            <v>精英狂龙</v>
          </cell>
          <cell r="U77">
            <v>28</v>
          </cell>
        </row>
        <row r="78">
          <cell r="Q78">
            <v>507208</v>
          </cell>
          <cell r="R78">
            <v>62</v>
          </cell>
          <cell r="S78">
            <v>14</v>
          </cell>
          <cell r="T78" t="str">
            <v>精英山崎</v>
          </cell>
          <cell r="U78">
            <v>28</v>
          </cell>
        </row>
        <row r="79">
          <cell r="Q79">
            <v>507209</v>
          </cell>
          <cell r="R79">
            <v>63</v>
          </cell>
          <cell r="S79">
            <v>14</v>
          </cell>
          <cell r="T79" t="str">
            <v>精英杀手首领</v>
          </cell>
          <cell r="U79">
            <v>28</v>
          </cell>
        </row>
        <row r="80">
          <cell r="Q80">
            <v>508201</v>
          </cell>
          <cell r="R80">
            <v>64</v>
          </cell>
          <cell r="S80">
            <v>14</v>
          </cell>
          <cell r="T80" t="str">
            <v>精英复仇靓坤</v>
          </cell>
          <cell r="U80">
            <v>28</v>
          </cell>
        </row>
        <row r="81">
          <cell r="Q81">
            <v>508202</v>
          </cell>
          <cell r="R81">
            <v>65</v>
          </cell>
          <cell r="S81">
            <v>14</v>
          </cell>
          <cell r="T81" t="str">
            <v>精英复仇乌鸦</v>
          </cell>
          <cell r="U81">
            <v>28</v>
          </cell>
        </row>
        <row r="82">
          <cell r="Q82">
            <v>508203</v>
          </cell>
          <cell r="R82">
            <v>66</v>
          </cell>
          <cell r="S82">
            <v>14</v>
          </cell>
          <cell r="T82" t="str">
            <v>精英复仇司徒</v>
          </cell>
          <cell r="U82">
            <v>28</v>
          </cell>
        </row>
        <row r="83">
          <cell r="Q83">
            <v>508204</v>
          </cell>
          <cell r="R83">
            <v>67</v>
          </cell>
          <cell r="S83">
            <v>14</v>
          </cell>
          <cell r="T83" t="str">
            <v>精英生番</v>
          </cell>
          <cell r="U83">
            <v>28</v>
          </cell>
        </row>
        <row r="84">
          <cell r="Q84">
            <v>508205</v>
          </cell>
          <cell r="R84">
            <v>68</v>
          </cell>
          <cell r="S84">
            <v>14</v>
          </cell>
          <cell r="T84" t="str">
            <v>精英耀阳</v>
          </cell>
          <cell r="U84">
            <v>28</v>
          </cell>
        </row>
        <row r="85">
          <cell r="Q85">
            <v>508206</v>
          </cell>
          <cell r="R85">
            <v>69</v>
          </cell>
          <cell r="S85">
            <v>14</v>
          </cell>
          <cell r="T85" t="str">
            <v>精英赌王</v>
          </cell>
          <cell r="U85">
            <v>28</v>
          </cell>
        </row>
        <row r="86">
          <cell r="Q86">
            <v>508207</v>
          </cell>
          <cell r="R86">
            <v>70</v>
          </cell>
          <cell r="S86">
            <v>14</v>
          </cell>
          <cell r="T86" t="str">
            <v>精英地中海</v>
          </cell>
          <cell r="U86">
            <v>28</v>
          </cell>
        </row>
        <row r="87">
          <cell r="Q87">
            <v>508208</v>
          </cell>
          <cell r="R87">
            <v>71</v>
          </cell>
          <cell r="S87">
            <v>14</v>
          </cell>
          <cell r="T87" t="str">
            <v>精英山鸡</v>
          </cell>
          <cell r="U87">
            <v>28</v>
          </cell>
        </row>
        <row r="88">
          <cell r="Q88">
            <v>508209</v>
          </cell>
          <cell r="R88">
            <v>72</v>
          </cell>
          <cell r="S88">
            <v>14</v>
          </cell>
          <cell r="T88" t="str">
            <v>精英雷复轰</v>
          </cell>
          <cell r="U88">
            <v>28</v>
          </cell>
        </row>
      </sheetData>
      <sheetData sheetId="14">
        <row r="3">
          <cell r="M3">
            <v>12800</v>
          </cell>
        </row>
        <row r="4">
          <cell r="M4">
            <v>15200</v>
          </cell>
        </row>
        <row r="5">
          <cell r="M5">
            <v>18400</v>
          </cell>
        </row>
        <row r="6">
          <cell r="M6">
            <v>22000</v>
          </cell>
        </row>
        <row r="7">
          <cell r="M7">
            <v>26400</v>
          </cell>
        </row>
        <row r="8">
          <cell r="M8">
            <v>32000</v>
          </cell>
        </row>
        <row r="13">
          <cell r="H13">
            <v>2978.3988795180703</v>
          </cell>
        </row>
        <row r="14">
          <cell r="H14">
            <v>3541.2246630271056</v>
          </cell>
        </row>
        <row r="15">
          <cell r="H15">
            <v>4977.9250120481893</v>
          </cell>
        </row>
        <row r="16">
          <cell r="H16">
            <v>3578.2577139307205</v>
          </cell>
        </row>
        <row r="17">
          <cell r="H17">
            <v>4122.9614683734926</v>
          </cell>
        </row>
        <row r="18">
          <cell r="H18">
            <v>5808.3496653990942</v>
          </cell>
        </row>
        <row r="19">
          <cell r="H19">
            <v>4217.9684096385527</v>
          </cell>
        </row>
        <row r="20">
          <cell r="H20">
            <v>4719.9368256777088</v>
          </cell>
        </row>
        <row r="21">
          <cell r="H21">
            <v>6672.4713852409632</v>
          </cell>
        </row>
        <row r="22">
          <cell r="H22">
            <v>4898.5468701054206</v>
          </cell>
        </row>
        <row r="23">
          <cell r="H23">
            <v>5332.1507349397589</v>
          </cell>
        </row>
        <row r="24">
          <cell r="H24">
            <v>7570.7981233057226</v>
          </cell>
        </row>
        <row r="25">
          <cell r="H25">
            <v>5621.0089987951806</v>
          </cell>
        </row>
        <row r="26">
          <cell r="H26">
            <v>5959.6031961596391</v>
          </cell>
        </row>
        <row r="27">
          <cell r="H27">
            <v>8572.4171686746995</v>
          </cell>
        </row>
        <row r="28">
          <cell r="H28">
            <v>3361.9729246987936</v>
          </cell>
        </row>
        <row r="29">
          <cell r="H29">
            <v>3986.290843373492</v>
          </cell>
        </row>
        <row r="30">
          <cell r="H30">
            <v>5589.407091867467</v>
          </cell>
        </row>
        <row r="31">
          <cell r="H31">
            <v>4008.4451475903597</v>
          </cell>
        </row>
        <row r="32">
          <cell r="H32">
            <v>4608.6637872740957</v>
          </cell>
        </row>
        <row r="33">
          <cell r="H33">
            <v>6479.5604599397575</v>
          </cell>
        </row>
        <row r="34">
          <cell r="H34">
            <v>4696.5752823795174</v>
          </cell>
        </row>
        <row r="35">
          <cell r="H35">
            <v>5246.2752831325288</v>
          </cell>
        </row>
        <row r="36">
          <cell r="H36">
            <v>7404.3139198042154</v>
          </cell>
        </row>
        <row r="37">
          <cell r="H37">
            <v>5427.3792325301192</v>
          </cell>
        </row>
        <row r="38">
          <cell r="H38">
            <v>5899.1253309487938</v>
          </cell>
        </row>
        <row r="39">
          <cell r="H39">
            <v>8364.1754231927698</v>
          </cell>
        </row>
        <row r="40">
          <cell r="H40">
            <v>6201.8729015060244</v>
          </cell>
        </row>
        <row r="41">
          <cell r="H41">
            <v>6567.2139307228917</v>
          </cell>
        </row>
        <row r="42">
          <cell r="H42">
            <v>9435.133993787651</v>
          </cell>
        </row>
        <row r="43">
          <cell r="H43">
            <v>3768.1226024096368</v>
          </cell>
        </row>
        <row r="44">
          <cell r="H44">
            <v>4456.7546103162631</v>
          </cell>
        </row>
        <row r="45">
          <cell r="H45">
            <v>6234.7526204819251</v>
          </cell>
        </row>
        <row r="46">
          <cell r="H46">
            <v>4461.7726045933705</v>
          </cell>
        </row>
        <row r="47">
          <cell r="H47">
            <v>5119.7636927710828</v>
          </cell>
        </row>
        <row r="48">
          <cell r="H48">
            <v>7184.9168986822269</v>
          </cell>
        </row>
        <row r="49">
          <cell r="H49">
            <v>5198.8865692771078</v>
          </cell>
        </row>
        <row r="50">
          <cell r="H50">
            <v>5798.0113271837336</v>
          </cell>
        </row>
        <row r="51">
          <cell r="H51">
            <v>8170.5842939759023</v>
          </cell>
        </row>
        <row r="52">
          <cell r="H52">
            <v>5980.4803999246969</v>
          </cell>
        </row>
        <row r="53">
          <cell r="H53">
            <v>6491.4975135542154</v>
          </cell>
        </row>
        <row r="54">
          <cell r="H54">
            <v>9192.2627580948774</v>
          </cell>
        </row>
        <row r="55">
          <cell r="H55">
            <v>6807.57</v>
          </cell>
        </row>
        <row r="56">
          <cell r="H56">
            <v>7200.2222518825301</v>
          </cell>
        </row>
        <row r="57">
          <cell r="H57">
            <v>10333.125244728915</v>
          </cell>
        </row>
        <row r="58">
          <cell r="H58">
            <v>4196.8479126505999</v>
          </cell>
        </row>
        <row r="59">
          <cell r="H59">
            <v>4952.61596385542</v>
          </cell>
        </row>
        <row r="60">
          <cell r="H60">
            <v>6913.9615978915626</v>
          </cell>
        </row>
        <row r="61">
          <cell r="H61">
            <v>4938.2400849397582</v>
          </cell>
        </row>
        <row r="62">
          <cell r="H62">
            <v>5656.2611848644556</v>
          </cell>
        </row>
        <row r="63">
          <cell r="H63">
            <v>7924.4189816265043</v>
          </cell>
        </row>
        <row r="64">
          <cell r="H64">
            <v>5724.9022703313231</v>
          </cell>
        </row>
        <row r="65">
          <cell r="H65">
            <v>6375.1449578313241</v>
          </cell>
        </row>
        <row r="66">
          <cell r="H66">
            <v>8971.2825077560228</v>
          </cell>
        </row>
        <row r="67">
          <cell r="H67">
            <v>6557.8503722891564</v>
          </cell>
        </row>
        <row r="68">
          <cell r="H68">
            <v>7109.2672827560236</v>
          </cell>
        </row>
        <row r="69">
          <cell r="H69">
            <v>10055.060128012048</v>
          </cell>
        </row>
        <row r="70">
          <cell r="H70">
            <v>7438.1002942771092</v>
          </cell>
        </row>
        <row r="71">
          <cell r="H71">
            <v>7858.628159638557</v>
          </cell>
        </row>
        <row r="72">
          <cell r="H72">
            <v>11266.390921498496</v>
          </cell>
        </row>
        <row r="73">
          <cell r="H73">
            <v>4648.1488554216849</v>
          </cell>
        </row>
        <row r="74">
          <cell r="H74">
            <v>5473.8749039909617</v>
          </cell>
        </row>
        <row r="75">
          <cell r="H75">
            <v>7627.0340240963824</v>
          </cell>
        </row>
        <row r="76">
          <cell r="H76">
            <v>5437.8475886295164</v>
          </cell>
        </row>
        <row r="77">
          <cell r="H77">
            <v>6218.1562635542168</v>
          </cell>
        </row>
        <row r="78">
          <cell r="H78">
            <v>8698.0667087725888</v>
          </cell>
        </row>
        <row r="79">
          <cell r="H79">
            <v>6274.6223855421676</v>
          </cell>
        </row>
        <row r="80">
          <cell r="H80">
            <v>6977.6761750753012</v>
          </cell>
        </row>
        <row r="81">
          <cell r="H81">
            <v>9806.4085611445771</v>
          </cell>
        </row>
        <row r="82">
          <cell r="H82">
            <v>7159.4891496234941</v>
          </cell>
        </row>
        <row r="83">
          <cell r="H83">
            <v>7752.4346385542167</v>
          </cell>
        </row>
        <row r="84">
          <cell r="H84">
            <v>10952.567532944275</v>
          </cell>
        </row>
        <row r="85">
          <cell r="H85">
            <v>8093.4637843373503</v>
          </cell>
        </row>
        <row r="86">
          <cell r="H86">
            <v>8542.4316539909632</v>
          </cell>
        </row>
        <row r="87">
          <cell r="H87">
            <v>12234.931024096386</v>
          </cell>
        </row>
        <row r="88">
          <cell r="H88">
            <v>5122.0254307228906</v>
          </cell>
        </row>
        <row r="89">
          <cell r="H89">
            <v>6020.53143072289</v>
          </cell>
        </row>
        <row r="90">
          <cell r="H90">
            <v>8373.9698990963825</v>
          </cell>
        </row>
        <row r="91">
          <cell r="H91">
            <v>5960.5951156626497</v>
          </cell>
        </row>
        <row r="92">
          <cell r="H92">
            <v>6805.4489288403602</v>
          </cell>
        </row>
        <row r="93">
          <cell r="H93">
            <v>9505.8600801204793</v>
          </cell>
        </row>
        <row r="94">
          <cell r="H94">
            <v>6848.046914909638</v>
          </cell>
        </row>
        <row r="95">
          <cell r="H95">
            <v>7605.6049789156623</v>
          </cell>
        </row>
        <row r="96">
          <cell r="H96">
            <v>10675.962454141567</v>
          </cell>
        </row>
        <row r="97">
          <cell r="H97">
            <v>7785.3967319277117</v>
          </cell>
        </row>
        <row r="98">
          <cell r="H98">
            <v>8420.9995809487955</v>
          </cell>
        </row>
        <row r="99">
          <cell r="H99">
            <v>11884.784972891566</v>
          </cell>
        </row>
        <row r="100">
          <cell r="H100">
            <v>8773.6604701807246</v>
          </cell>
        </row>
        <row r="101">
          <cell r="H101">
            <v>9251.6327349397616</v>
          </cell>
        </row>
        <row r="102">
          <cell r="H102">
            <v>13238.745552522594</v>
          </cell>
        </row>
        <row r="103">
          <cell r="H103">
            <v>5618.4776385542164</v>
          </cell>
        </row>
        <row r="104">
          <cell r="H104">
            <v>6592.5855440512041</v>
          </cell>
        </row>
        <row r="105">
          <cell r="H105">
            <v>9154.7692228915639</v>
          </cell>
        </row>
        <row r="106">
          <cell r="H106">
            <v>6506.4826660391554</v>
          </cell>
        </row>
        <row r="107">
          <cell r="H107">
            <v>7418.1391807228929</v>
          </cell>
        </row>
        <row r="108">
          <cell r="H108">
            <v>10347.79909567018</v>
          </cell>
        </row>
        <row r="109">
          <cell r="H109">
            <v>7445.1758584337349</v>
          </cell>
        </row>
        <row r="110">
          <cell r="H110">
            <v>8258.9313693524091</v>
          </cell>
        </row>
        <row r="111">
          <cell r="H111">
            <v>11579.944186746987</v>
          </cell>
        </row>
        <row r="112">
          <cell r="H112">
            <v>8435.5731192018084</v>
          </cell>
        </row>
        <row r="113">
          <cell r="H113">
            <v>9114.9621099397591</v>
          </cell>
        </row>
        <row r="114">
          <cell r="H114">
            <v>12851.712447853915</v>
          </cell>
        </row>
        <row r="115">
          <cell r="H115">
            <v>9478.6903518072304</v>
          </cell>
        </row>
        <row r="116">
          <cell r="H116">
            <v>9986.231402484942</v>
          </cell>
        </row>
        <row r="117">
          <cell r="H117">
            <v>14277.83450677711</v>
          </cell>
        </row>
        <row r="118">
          <cell r="H118">
            <v>6137.505478915662</v>
          </cell>
        </row>
        <row r="119">
          <cell r="H119">
            <v>7190.0372439759021</v>
          </cell>
        </row>
        <row r="120">
          <cell r="H120">
            <v>9969.4319954819257</v>
          </cell>
        </row>
        <row r="121">
          <cell r="H121">
            <v>7075.5102397590344</v>
          </cell>
        </row>
        <row r="122">
          <cell r="H122">
            <v>8056.2270192018068</v>
          </cell>
        </row>
        <row r="123">
          <cell r="H123">
            <v>11223.883755421686</v>
          </cell>
        </row>
        <row r="124">
          <cell r="H124">
            <v>8066.0092161144585</v>
          </cell>
        </row>
        <row r="125">
          <cell r="H125">
            <v>8937.6553463855435</v>
          </cell>
        </row>
        <row r="126">
          <cell r="H126">
            <v>12518.353758960844</v>
          </cell>
        </row>
        <row r="127">
          <cell r="H127">
            <v>9110.0183114457832</v>
          </cell>
        </row>
        <row r="128">
          <cell r="H128">
            <v>9834.3222255271085</v>
          </cell>
        </row>
        <row r="129">
          <cell r="H129">
            <v>13853.349957831328</v>
          </cell>
        </row>
        <row r="130">
          <cell r="H130">
            <v>10208.55342921687</v>
          </cell>
        </row>
        <row r="131">
          <cell r="H131">
            <v>10746.227656626508</v>
          </cell>
        </row>
        <row r="132">
          <cell r="H132">
            <v>15352.197886859942</v>
          </cell>
        </row>
        <row r="133">
          <cell r="H133">
            <v>6679.1089518072276</v>
          </cell>
        </row>
        <row r="134">
          <cell r="H134">
            <v>7812.8865304969859</v>
          </cell>
        </row>
        <row r="135">
          <cell r="H135">
            <v>10817.95821686747</v>
          </cell>
        </row>
        <row r="136">
          <cell r="H136">
            <v>7667.6778368222895</v>
          </cell>
        </row>
        <row r="137">
          <cell r="H137">
            <v>8719.7124442771092</v>
          </cell>
        </row>
        <row r="138">
          <cell r="H138">
            <v>12134.114059375001</v>
          </cell>
        </row>
        <row r="139">
          <cell r="H139">
            <v>8710.5469879518059</v>
          </cell>
        </row>
        <row r="140">
          <cell r="H140">
            <v>9641.7769100150599</v>
          </cell>
        </row>
        <row r="141">
          <cell r="H141">
            <v>13491.191170783133</v>
          </cell>
        </row>
        <row r="142">
          <cell r="H142">
            <v>9808.7323086596407</v>
          </cell>
        </row>
        <row r="143">
          <cell r="H143">
            <v>10579.079927710845</v>
          </cell>
        </row>
        <row r="144">
          <cell r="H144">
            <v>14889.697502823798</v>
          </cell>
        </row>
        <row r="145">
          <cell r="H145">
            <v>10963.249702409641</v>
          </cell>
        </row>
        <row r="146">
          <cell r="H146">
            <v>11531.621497364462</v>
          </cell>
        </row>
        <row r="147">
          <cell r="H147">
            <v>16461.835692771088</v>
          </cell>
        </row>
        <row r="148">
          <cell r="H148">
            <v>7243.2880572289159</v>
          </cell>
        </row>
        <row r="149">
          <cell r="H149">
            <v>8461.1334036144563</v>
          </cell>
        </row>
        <row r="150">
          <cell r="H150">
            <v>11700.34788704819</v>
          </cell>
        </row>
        <row r="151">
          <cell r="H151">
            <v>8282.9854572289132</v>
          </cell>
        </row>
        <row r="152">
          <cell r="H152">
            <v>9408.5954559487964</v>
          </cell>
        </row>
        <row r="153">
          <cell r="H153">
            <v>13078.490007530121</v>
          </cell>
        </row>
        <row r="154">
          <cell r="H154">
            <v>9378.7891739457827</v>
          </cell>
        </row>
        <row r="155">
          <cell r="H155">
            <v>10371.296060240966</v>
          </cell>
        </row>
        <row r="156">
          <cell r="H156">
            <v>14498.456422213856</v>
          </cell>
        </row>
        <row r="157">
          <cell r="H157">
            <v>10531.715110843374</v>
          </cell>
        </row>
        <row r="158">
          <cell r="H158">
            <v>11349.235216490964</v>
          </cell>
        </row>
        <row r="159">
          <cell r="H159">
            <v>15960.755082831327</v>
          </cell>
        </row>
        <row r="160">
          <cell r="H160">
            <v>11742.779171385546</v>
          </cell>
        </row>
        <row r="161">
          <cell r="H161">
            <v>12342.412924698798</v>
          </cell>
        </row>
        <row r="162">
          <cell r="H162">
            <v>17606.747924510546</v>
          </cell>
        </row>
        <row r="163">
          <cell r="H163">
            <v>7830.0427951807214</v>
          </cell>
        </row>
        <row r="164">
          <cell r="H164">
            <v>9134.7778633283124</v>
          </cell>
        </row>
        <row r="165">
          <cell r="H165">
            <v>12616.601006024097</v>
          </cell>
        </row>
        <row r="166">
          <cell r="H166">
            <v>8921.4331009789148</v>
          </cell>
        </row>
        <row r="167">
          <cell r="H167">
            <v>10122.876054216869</v>
          </cell>
        </row>
        <row r="168">
          <cell r="H168">
            <v>14057.011599887048</v>
          </cell>
        </row>
        <row r="169">
          <cell r="H169">
            <v>10070.735774096385</v>
          </cell>
        </row>
        <row r="170">
          <cell r="H170">
            <v>11126.212797063254</v>
          </cell>
        </row>
        <row r="171">
          <cell r="H171">
            <v>15540.149513253013</v>
          </cell>
        </row>
        <row r="172">
          <cell r="H172">
            <v>11278.966717996989</v>
          </cell>
        </row>
        <row r="173">
          <cell r="H173">
            <v>12144.788091867471</v>
          </cell>
        </row>
        <row r="174">
          <cell r="H174">
            <v>17066.522697853918</v>
          </cell>
        </row>
        <row r="175">
          <cell r="H175">
            <v>12547.141836144581</v>
          </cell>
        </row>
        <row r="176">
          <cell r="H176">
            <v>13178.601938629519</v>
          </cell>
        </row>
        <row r="177">
          <cell r="H177">
            <v>18786.934582078316</v>
          </cell>
        </row>
      </sheetData>
      <sheetData sheetId="15">
        <row r="13">
          <cell r="D13">
            <v>15000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每日副本"/>
      <sheetName val="每日副本辅助配置"/>
      <sheetName val="D_好友援助价格表"/>
      <sheetName val="D_好友援助机器人"/>
      <sheetName val="D_远征关卡"/>
      <sheetName val="D_BOSS副本等级难度系数"/>
      <sheetName val="D_BOSS副本难度系数"/>
      <sheetName val="D_远征等级难度控制"/>
      <sheetName val="D_远征奖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 t="str">
            <v>奖励1</v>
          </cell>
          <cell r="E1" t="str">
            <v>奖励2</v>
          </cell>
          <cell r="F1" t="str">
            <v>金币奖励</v>
          </cell>
          <cell r="G1" t="str">
            <v>掉落表金币奖励</v>
          </cell>
        </row>
        <row r="2">
          <cell r="D2">
            <v>510101</v>
          </cell>
          <cell r="E2">
            <v>0</v>
          </cell>
          <cell r="F2">
            <v>0</v>
          </cell>
          <cell r="G2">
            <v>7926</v>
          </cell>
        </row>
        <row r="3">
          <cell r="D3">
            <v>510102</v>
          </cell>
          <cell r="E3">
            <v>0</v>
          </cell>
          <cell r="F3">
            <v>0</v>
          </cell>
          <cell r="G3">
            <v>8917</v>
          </cell>
        </row>
        <row r="4">
          <cell r="D4">
            <v>510103</v>
          </cell>
          <cell r="E4">
            <v>0</v>
          </cell>
          <cell r="F4">
            <v>0</v>
          </cell>
          <cell r="G4">
            <v>10032</v>
          </cell>
        </row>
        <row r="5">
          <cell r="D5">
            <v>510104</v>
          </cell>
          <cell r="E5">
            <v>0</v>
          </cell>
          <cell r="F5">
            <v>0</v>
          </cell>
          <cell r="G5">
            <v>8917</v>
          </cell>
        </row>
        <row r="6">
          <cell r="D6">
            <v>510105</v>
          </cell>
          <cell r="E6">
            <v>0</v>
          </cell>
          <cell r="F6">
            <v>0</v>
          </cell>
          <cell r="G6">
            <v>10032</v>
          </cell>
        </row>
        <row r="7">
          <cell r="D7">
            <v>510106</v>
          </cell>
          <cell r="E7">
            <v>0</v>
          </cell>
          <cell r="F7">
            <v>0</v>
          </cell>
          <cell r="G7">
            <v>11286</v>
          </cell>
        </row>
        <row r="8">
          <cell r="D8">
            <v>510107</v>
          </cell>
          <cell r="E8">
            <v>0</v>
          </cell>
          <cell r="F8">
            <v>0</v>
          </cell>
          <cell r="G8">
            <v>10032</v>
          </cell>
        </row>
        <row r="9">
          <cell r="D9">
            <v>510108</v>
          </cell>
          <cell r="E9">
            <v>0</v>
          </cell>
          <cell r="F9">
            <v>0</v>
          </cell>
          <cell r="G9">
            <v>11286</v>
          </cell>
        </row>
        <row r="10">
          <cell r="D10">
            <v>510109</v>
          </cell>
          <cell r="E10">
            <v>0</v>
          </cell>
          <cell r="F10">
            <v>0</v>
          </cell>
          <cell r="G10">
            <v>12696</v>
          </cell>
        </row>
        <row r="11">
          <cell r="D11">
            <v>510110</v>
          </cell>
          <cell r="E11">
            <v>0</v>
          </cell>
          <cell r="F11">
            <v>0</v>
          </cell>
          <cell r="G11">
            <v>11286</v>
          </cell>
        </row>
        <row r="12">
          <cell r="D12">
            <v>510111</v>
          </cell>
          <cell r="E12">
            <v>0</v>
          </cell>
          <cell r="F12">
            <v>0</v>
          </cell>
          <cell r="G12">
            <v>12696</v>
          </cell>
        </row>
        <row r="13">
          <cell r="D13">
            <v>510112</v>
          </cell>
          <cell r="E13">
            <v>0</v>
          </cell>
          <cell r="F13">
            <v>0</v>
          </cell>
          <cell r="G13">
            <v>14283</v>
          </cell>
        </row>
        <row r="14">
          <cell r="D14">
            <v>510113</v>
          </cell>
          <cell r="E14">
            <v>0</v>
          </cell>
          <cell r="F14">
            <v>0</v>
          </cell>
          <cell r="G14">
            <v>12696</v>
          </cell>
        </row>
        <row r="15">
          <cell r="D15">
            <v>510114</v>
          </cell>
          <cell r="E15">
            <v>0</v>
          </cell>
          <cell r="F15">
            <v>0</v>
          </cell>
          <cell r="G15">
            <v>14283</v>
          </cell>
        </row>
        <row r="16">
          <cell r="D16">
            <v>510115</v>
          </cell>
          <cell r="E16">
            <v>0</v>
          </cell>
          <cell r="F16">
            <v>0</v>
          </cell>
          <cell r="G16">
            <v>16069</v>
          </cell>
        </row>
        <row r="17">
          <cell r="D17">
            <v>510201</v>
          </cell>
          <cell r="E17">
            <v>0</v>
          </cell>
          <cell r="F17">
            <v>0</v>
          </cell>
          <cell r="G17">
            <v>9247</v>
          </cell>
        </row>
        <row r="18">
          <cell r="D18">
            <v>510202</v>
          </cell>
          <cell r="E18">
            <v>0</v>
          </cell>
          <cell r="F18">
            <v>0</v>
          </cell>
          <cell r="G18">
            <v>10403</v>
          </cell>
        </row>
        <row r="19">
          <cell r="D19">
            <v>510203</v>
          </cell>
          <cell r="E19">
            <v>0</v>
          </cell>
          <cell r="F19">
            <v>0</v>
          </cell>
          <cell r="G19">
            <v>11704</v>
          </cell>
        </row>
        <row r="20">
          <cell r="D20">
            <v>510204</v>
          </cell>
          <cell r="E20">
            <v>0</v>
          </cell>
          <cell r="F20">
            <v>0</v>
          </cell>
          <cell r="G20">
            <v>10403</v>
          </cell>
        </row>
        <row r="21">
          <cell r="D21">
            <v>510205</v>
          </cell>
          <cell r="E21">
            <v>0</v>
          </cell>
          <cell r="F21">
            <v>0</v>
          </cell>
          <cell r="G21">
            <v>11704</v>
          </cell>
        </row>
        <row r="22">
          <cell r="D22">
            <v>510206</v>
          </cell>
          <cell r="E22">
            <v>0</v>
          </cell>
          <cell r="F22">
            <v>0</v>
          </cell>
          <cell r="G22">
            <v>13167</v>
          </cell>
        </row>
        <row r="23">
          <cell r="D23">
            <v>510207</v>
          </cell>
          <cell r="E23">
            <v>0</v>
          </cell>
          <cell r="F23">
            <v>0</v>
          </cell>
          <cell r="G23">
            <v>11704</v>
          </cell>
        </row>
        <row r="24">
          <cell r="D24">
            <v>510208</v>
          </cell>
          <cell r="E24">
            <v>0</v>
          </cell>
          <cell r="F24">
            <v>0</v>
          </cell>
          <cell r="G24">
            <v>13167</v>
          </cell>
        </row>
        <row r="25">
          <cell r="D25">
            <v>510209</v>
          </cell>
          <cell r="E25">
            <v>0</v>
          </cell>
          <cell r="F25">
            <v>0</v>
          </cell>
          <cell r="G25">
            <v>14813</v>
          </cell>
        </row>
        <row r="26">
          <cell r="D26">
            <v>510210</v>
          </cell>
          <cell r="E26">
            <v>0</v>
          </cell>
          <cell r="F26">
            <v>0</v>
          </cell>
          <cell r="G26">
            <v>13167</v>
          </cell>
        </row>
        <row r="27">
          <cell r="D27">
            <v>510211</v>
          </cell>
          <cell r="E27">
            <v>0</v>
          </cell>
          <cell r="F27">
            <v>0</v>
          </cell>
          <cell r="G27">
            <v>14813</v>
          </cell>
        </row>
        <row r="28">
          <cell r="D28">
            <v>510212</v>
          </cell>
          <cell r="E28">
            <v>0</v>
          </cell>
          <cell r="F28">
            <v>0</v>
          </cell>
          <cell r="G28">
            <v>16664</v>
          </cell>
        </row>
        <row r="29">
          <cell r="D29">
            <v>510213</v>
          </cell>
          <cell r="E29">
            <v>0</v>
          </cell>
          <cell r="F29">
            <v>0</v>
          </cell>
          <cell r="G29">
            <v>14813</v>
          </cell>
        </row>
        <row r="30">
          <cell r="D30">
            <v>510214</v>
          </cell>
          <cell r="E30">
            <v>0</v>
          </cell>
          <cell r="F30">
            <v>0</v>
          </cell>
          <cell r="G30">
            <v>16664</v>
          </cell>
        </row>
        <row r="31">
          <cell r="D31">
            <v>510215</v>
          </cell>
          <cell r="E31">
            <v>0</v>
          </cell>
          <cell r="F31">
            <v>0</v>
          </cell>
          <cell r="G31">
            <v>18747</v>
          </cell>
        </row>
        <row r="32">
          <cell r="D32">
            <v>510301</v>
          </cell>
          <cell r="E32">
            <v>0</v>
          </cell>
          <cell r="F32">
            <v>0</v>
          </cell>
          <cell r="G32">
            <v>10568</v>
          </cell>
        </row>
        <row r="33">
          <cell r="D33">
            <v>510302</v>
          </cell>
          <cell r="E33">
            <v>0</v>
          </cell>
          <cell r="F33">
            <v>0</v>
          </cell>
          <cell r="G33">
            <v>11889</v>
          </cell>
        </row>
        <row r="34">
          <cell r="D34">
            <v>510303</v>
          </cell>
          <cell r="E34">
            <v>0</v>
          </cell>
          <cell r="F34">
            <v>0</v>
          </cell>
          <cell r="G34">
            <v>13376</v>
          </cell>
        </row>
        <row r="35">
          <cell r="D35">
            <v>510304</v>
          </cell>
          <cell r="E35">
            <v>0</v>
          </cell>
          <cell r="F35">
            <v>0</v>
          </cell>
          <cell r="G35">
            <v>11889</v>
          </cell>
        </row>
        <row r="36">
          <cell r="D36">
            <v>510305</v>
          </cell>
          <cell r="E36">
            <v>0</v>
          </cell>
          <cell r="F36">
            <v>0</v>
          </cell>
          <cell r="G36">
            <v>13376</v>
          </cell>
        </row>
        <row r="37">
          <cell r="D37">
            <v>510306</v>
          </cell>
          <cell r="E37">
            <v>0</v>
          </cell>
          <cell r="F37">
            <v>0</v>
          </cell>
          <cell r="G37">
            <v>15048</v>
          </cell>
        </row>
        <row r="38">
          <cell r="D38">
            <v>510307</v>
          </cell>
          <cell r="E38">
            <v>0</v>
          </cell>
          <cell r="F38">
            <v>0</v>
          </cell>
          <cell r="G38">
            <v>13376</v>
          </cell>
        </row>
        <row r="39">
          <cell r="D39">
            <v>510308</v>
          </cell>
          <cell r="E39">
            <v>0</v>
          </cell>
          <cell r="F39">
            <v>0</v>
          </cell>
          <cell r="G39">
            <v>15048</v>
          </cell>
        </row>
        <row r="40">
          <cell r="D40">
            <v>510309</v>
          </cell>
          <cell r="E40">
            <v>0</v>
          </cell>
          <cell r="F40">
            <v>0</v>
          </cell>
          <cell r="G40">
            <v>16929</v>
          </cell>
        </row>
        <row r="41">
          <cell r="D41">
            <v>510310</v>
          </cell>
          <cell r="E41">
            <v>0</v>
          </cell>
          <cell r="F41">
            <v>0</v>
          </cell>
          <cell r="G41">
            <v>15048</v>
          </cell>
        </row>
        <row r="42">
          <cell r="D42">
            <v>510311</v>
          </cell>
          <cell r="E42">
            <v>0</v>
          </cell>
          <cell r="F42">
            <v>0</v>
          </cell>
          <cell r="G42">
            <v>16929</v>
          </cell>
        </row>
        <row r="43">
          <cell r="D43">
            <v>510312</v>
          </cell>
          <cell r="E43">
            <v>0</v>
          </cell>
          <cell r="F43">
            <v>0</v>
          </cell>
          <cell r="G43">
            <v>19045</v>
          </cell>
        </row>
        <row r="44">
          <cell r="D44">
            <v>510313</v>
          </cell>
          <cell r="E44">
            <v>0</v>
          </cell>
          <cell r="F44">
            <v>0</v>
          </cell>
          <cell r="G44">
            <v>16929</v>
          </cell>
        </row>
        <row r="45">
          <cell r="D45">
            <v>510314</v>
          </cell>
          <cell r="E45">
            <v>0</v>
          </cell>
          <cell r="F45">
            <v>0</v>
          </cell>
          <cell r="G45">
            <v>19045</v>
          </cell>
        </row>
        <row r="46">
          <cell r="D46">
            <v>510315</v>
          </cell>
          <cell r="E46">
            <v>0</v>
          </cell>
          <cell r="F46">
            <v>0</v>
          </cell>
          <cell r="G46">
            <v>21425</v>
          </cell>
        </row>
        <row r="47">
          <cell r="D47">
            <v>510401</v>
          </cell>
          <cell r="E47">
            <v>0</v>
          </cell>
          <cell r="F47">
            <v>0</v>
          </cell>
          <cell r="G47">
            <v>11889</v>
          </cell>
        </row>
        <row r="48">
          <cell r="D48">
            <v>510402</v>
          </cell>
          <cell r="E48">
            <v>0</v>
          </cell>
          <cell r="F48">
            <v>0</v>
          </cell>
          <cell r="G48">
            <v>13376</v>
          </cell>
        </row>
        <row r="49">
          <cell r="D49">
            <v>510403</v>
          </cell>
          <cell r="E49">
            <v>0</v>
          </cell>
          <cell r="F49">
            <v>0</v>
          </cell>
          <cell r="G49">
            <v>15048</v>
          </cell>
        </row>
        <row r="50">
          <cell r="D50">
            <v>510404</v>
          </cell>
          <cell r="E50">
            <v>0</v>
          </cell>
          <cell r="F50">
            <v>0</v>
          </cell>
          <cell r="G50">
            <v>13376</v>
          </cell>
        </row>
        <row r="51">
          <cell r="D51">
            <v>510405</v>
          </cell>
          <cell r="E51">
            <v>0</v>
          </cell>
          <cell r="F51">
            <v>0</v>
          </cell>
          <cell r="G51">
            <v>15048</v>
          </cell>
        </row>
        <row r="52">
          <cell r="D52">
            <v>510406</v>
          </cell>
          <cell r="E52">
            <v>0</v>
          </cell>
          <cell r="F52">
            <v>0</v>
          </cell>
          <cell r="G52">
            <v>16929</v>
          </cell>
        </row>
        <row r="53">
          <cell r="D53">
            <v>510407</v>
          </cell>
          <cell r="E53">
            <v>0</v>
          </cell>
          <cell r="F53">
            <v>0</v>
          </cell>
          <cell r="G53">
            <v>15048</v>
          </cell>
        </row>
        <row r="54">
          <cell r="D54">
            <v>510408</v>
          </cell>
          <cell r="E54">
            <v>0</v>
          </cell>
          <cell r="F54">
            <v>0</v>
          </cell>
          <cell r="G54">
            <v>16929</v>
          </cell>
        </row>
        <row r="55">
          <cell r="D55">
            <v>510409</v>
          </cell>
          <cell r="E55">
            <v>0</v>
          </cell>
          <cell r="F55">
            <v>0</v>
          </cell>
          <cell r="G55">
            <v>19045</v>
          </cell>
        </row>
        <row r="56">
          <cell r="D56">
            <v>510410</v>
          </cell>
          <cell r="E56">
            <v>0</v>
          </cell>
          <cell r="F56">
            <v>0</v>
          </cell>
          <cell r="G56">
            <v>16929</v>
          </cell>
        </row>
        <row r="57">
          <cell r="D57">
            <v>510411</v>
          </cell>
          <cell r="E57">
            <v>0</v>
          </cell>
          <cell r="F57">
            <v>0</v>
          </cell>
          <cell r="G57">
            <v>19045</v>
          </cell>
        </row>
        <row r="58">
          <cell r="D58">
            <v>510412</v>
          </cell>
          <cell r="E58">
            <v>0</v>
          </cell>
          <cell r="F58">
            <v>0</v>
          </cell>
          <cell r="G58">
            <v>21425</v>
          </cell>
        </row>
        <row r="59">
          <cell r="D59">
            <v>510413</v>
          </cell>
          <cell r="E59">
            <v>0</v>
          </cell>
          <cell r="F59">
            <v>0</v>
          </cell>
          <cell r="G59">
            <v>19045</v>
          </cell>
        </row>
        <row r="60">
          <cell r="D60">
            <v>510414</v>
          </cell>
          <cell r="E60">
            <v>0</v>
          </cell>
          <cell r="F60">
            <v>0</v>
          </cell>
          <cell r="G60">
            <v>21425</v>
          </cell>
        </row>
        <row r="61">
          <cell r="D61">
            <v>510415</v>
          </cell>
          <cell r="E61">
            <v>0</v>
          </cell>
          <cell r="F61">
            <v>0</v>
          </cell>
          <cell r="G61">
            <v>24103</v>
          </cell>
        </row>
        <row r="62">
          <cell r="D62">
            <v>510501</v>
          </cell>
          <cell r="E62">
            <v>0</v>
          </cell>
          <cell r="F62">
            <v>0</v>
          </cell>
          <cell r="G62">
            <v>13211</v>
          </cell>
        </row>
        <row r="63">
          <cell r="D63">
            <v>510502</v>
          </cell>
          <cell r="E63">
            <v>0</v>
          </cell>
          <cell r="F63">
            <v>0</v>
          </cell>
          <cell r="G63">
            <v>14862</v>
          </cell>
        </row>
        <row r="64">
          <cell r="D64">
            <v>510503</v>
          </cell>
          <cell r="E64">
            <v>0</v>
          </cell>
          <cell r="F64">
            <v>0</v>
          </cell>
          <cell r="G64">
            <v>16720</v>
          </cell>
        </row>
        <row r="65">
          <cell r="D65">
            <v>510504</v>
          </cell>
          <cell r="E65">
            <v>0</v>
          </cell>
          <cell r="F65">
            <v>0</v>
          </cell>
          <cell r="G65">
            <v>14862</v>
          </cell>
        </row>
        <row r="66">
          <cell r="D66">
            <v>510505</v>
          </cell>
          <cell r="E66">
            <v>0</v>
          </cell>
          <cell r="F66">
            <v>0</v>
          </cell>
          <cell r="G66">
            <v>16720</v>
          </cell>
        </row>
        <row r="67">
          <cell r="D67">
            <v>510506</v>
          </cell>
          <cell r="E67">
            <v>0</v>
          </cell>
          <cell r="F67">
            <v>0</v>
          </cell>
          <cell r="G67">
            <v>18810</v>
          </cell>
        </row>
        <row r="68">
          <cell r="D68">
            <v>510507</v>
          </cell>
          <cell r="E68">
            <v>0</v>
          </cell>
          <cell r="F68">
            <v>0</v>
          </cell>
          <cell r="G68">
            <v>16720</v>
          </cell>
        </row>
        <row r="69">
          <cell r="D69">
            <v>510508</v>
          </cell>
          <cell r="E69">
            <v>0</v>
          </cell>
          <cell r="F69">
            <v>0</v>
          </cell>
          <cell r="G69">
            <v>18810</v>
          </cell>
        </row>
        <row r="70">
          <cell r="D70">
            <v>510509</v>
          </cell>
          <cell r="E70">
            <v>0</v>
          </cell>
          <cell r="F70">
            <v>0</v>
          </cell>
          <cell r="G70">
            <v>21161</v>
          </cell>
        </row>
        <row r="71">
          <cell r="D71">
            <v>510510</v>
          </cell>
          <cell r="E71">
            <v>0</v>
          </cell>
          <cell r="F71">
            <v>0</v>
          </cell>
          <cell r="G71">
            <v>18810</v>
          </cell>
        </row>
        <row r="72">
          <cell r="D72">
            <v>510511</v>
          </cell>
          <cell r="E72">
            <v>0</v>
          </cell>
          <cell r="F72">
            <v>0</v>
          </cell>
          <cell r="G72">
            <v>21161</v>
          </cell>
        </row>
        <row r="73">
          <cell r="D73">
            <v>510512</v>
          </cell>
          <cell r="E73">
            <v>0</v>
          </cell>
          <cell r="F73">
            <v>0</v>
          </cell>
          <cell r="G73">
            <v>23806</v>
          </cell>
        </row>
        <row r="74">
          <cell r="D74">
            <v>510513</v>
          </cell>
          <cell r="E74">
            <v>0</v>
          </cell>
          <cell r="F74">
            <v>0</v>
          </cell>
          <cell r="G74">
            <v>21161</v>
          </cell>
        </row>
        <row r="75">
          <cell r="D75">
            <v>510514</v>
          </cell>
          <cell r="E75">
            <v>0</v>
          </cell>
          <cell r="F75">
            <v>0</v>
          </cell>
          <cell r="G75">
            <v>23806</v>
          </cell>
        </row>
        <row r="76">
          <cell r="D76">
            <v>510515</v>
          </cell>
          <cell r="E76">
            <v>0</v>
          </cell>
          <cell r="F76">
            <v>0</v>
          </cell>
          <cell r="G76">
            <v>26782</v>
          </cell>
        </row>
        <row r="77">
          <cell r="D77">
            <v>510601</v>
          </cell>
          <cell r="E77">
            <v>0</v>
          </cell>
          <cell r="F77">
            <v>0</v>
          </cell>
          <cell r="G77">
            <v>13871</v>
          </cell>
        </row>
        <row r="78">
          <cell r="D78">
            <v>510602</v>
          </cell>
          <cell r="E78">
            <v>0</v>
          </cell>
          <cell r="F78">
            <v>0</v>
          </cell>
          <cell r="G78">
            <v>15605</v>
          </cell>
        </row>
        <row r="79">
          <cell r="D79">
            <v>510603</v>
          </cell>
          <cell r="E79">
            <v>0</v>
          </cell>
          <cell r="F79">
            <v>0</v>
          </cell>
          <cell r="G79">
            <v>17556</v>
          </cell>
        </row>
        <row r="80">
          <cell r="D80">
            <v>510604</v>
          </cell>
          <cell r="E80">
            <v>0</v>
          </cell>
          <cell r="F80">
            <v>0</v>
          </cell>
          <cell r="G80">
            <v>15605</v>
          </cell>
        </row>
        <row r="81">
          <cell r="D81">
            <v>510605</v>
          </cell>
          <cell r="E81">
            <v>0</v>
          </cell>
          <cell r="F81">
            <v>0</v>
          </cell>
          <cell r="G81">
            <v>17556</v>
          </cell>
        </row>
        <row r="82">
          <cell r="D82">
            <v>510606</v>
          </cell>
          <cell r="E82">
            <v>0</v>
          </cell>
          <cell r="F82">
            <v>0</v>
          </cell>
          <cell r="G82">
            <v>19750</v>
          </cell>
        </row>
        <row r="83">
          <cell r="D83">
            <v>510607</v>
          </cell>
          <cell r="E83">
            <v>0</v>
          </cell>
          <cell r="F83">
            <v>0</v>
          </cell>
          <cell r="G83">
            <v>17556</v>
          </cell>
        </row>
        <row r="84">
          <cell r="D84">
            <v>510608</v>
          </cell>
          <cell r="E84">
            <v>0</v>
          </cell>
          <cell r="F84">
            <v>0</v>
          </cell>
          <cell r="G84">
            <v>19750</v>
          </cell>
        </row>
        <row r="85">
          <cell r="D85">
            <v>510609</v>
          </cell>
          <cell r="E85">
            <v>0</v>
          </cell>
          <cell r="F85">
            <v>0</v>
          </cell>
          <cell r="G85">
            <v>22219</v>
          </cell>
        </row>
        <row r="86">
          <cell r="D86">
            <v>510610</v>
          </cell>
          <cell r="E86">
            <v>0</v>
          </cell>
          <cell r="F86">
            <v>0</v>
          </cell>
          <cell r="G86">
            <v>19750</v>
          </cell>
        </row>
        <row r="87">
          <cell r="D87">
            <v>510611</v>
          </cell>
          <cell r="E87">
            <v>0</v>
          </cell>
          <cell r="F87">
            <v>0</v>
          </cell>
          <cell r="G87">
            <v>22219</v>
          </cell>
        </row>
        <row r="88">
          <cell r="D88">
            <v>510612</v>
          </cell>
          <cell r="E88">
            <v>0</v>
          </cell>
          <cell r="F88">
            <v>0</v>
          </cell>
          <cell r="G88">
            <v>24996</v>
          </cell>
        </row>
        <row r="89">
          <cell r="D89">
            <v>510613</v>
          </cell>
          <cell r="E89">
            <v>0</v>
          </cell>
          <cell r="F89">
            <v>0</v>
          </cell>
          <cell r="G89">
            <v>22219</v>
          </cell>
        </row>
        <row r="90">
          <cell r="D90">
            <v>510614</v>
          </cell>
          <cell r="E90">
            <v>0</v>
          </cell>
          <cell r="F90">
            <v>0</v>
          </cell>
          <cell r="G90">
            <v>24996</v>
          </cell>
        </row>
        <row r="91">
          <cell r="D91">
            <v>510615</v>
          </cell>
          <cell r="E91">
            <v>0</v>
          </cell>
          <cell r="F91">
            <v>0</v>
          </cell>
          <cell r="G91">
            <v>28121</v>
          </cell>
        </row>
        <row r="92">
          <cell r="D92">
            <v>510701</v>
          </cell>
          <cell r="E92">
            <v>0</v>
          </cell>
          <cell r="F92">
            <v>0</v>
          </cell>
          <cell r="G92">
            <v>14532</v>
          </cell>
        </row>
        <row r="93">
          <cell r="D93">
            <v>510702</v>
          </cell>
          <cell r="E93">
            <v>0</v>
          </cell>
          <cell r="F93">
            <v>0</v>
          </cell>
          <cell r="G93">
            <v>16348</v>
          </cell>
        </row>
        <row r="94">
          <cell r="D94">
            <v>510703</v>
          </cell>
          <cell r="E94">
            <v>0</v>
          </cell>
          <cell r="F94">
            <v>0</v>
          </cell>
          <cell r="G94">
            <v>18392</v>
          </cell>
        </row>
        <row r="95">
          <cell r="D95">
            <v>510704</v>
          </cell>
          <cell r="E95">
            <v>0</v>
          </cell>
          <cell r="F95">
            <v>0</v>
          </cell>
          <cell r="G95">
            <v>16348</v>
          </cell>
        </row>
        <row r="96">
          <cell r="D96">
            <v>510705</v>
          </cell>
          <cell r="E96">
            <v>0</v>
          </cell>
          <cell r="F96">
            <v>0</v>
          </cell>
          <cell r="G96">
            <v>18392</v>
          </cell>
        </row>
        <row r="97">
          <cell r="D97">
            <v>510706</v>
          </cell>
          <cell r="E97">
            <v>0</v>
          </cell>
          <cell r="F97">
            <v>0</v>
          </cell>
          <cell r="G97">
            <v>20690</v>
          </cell>
        </row>
        <row r="98">
          <cell r="D98">
            <v>510707</v>
          </cell>
          <cell r="E98">
            <v>0</v>
          </cell>
          <cell r="F98">
            <v>0</v>
          </cell>
          <cell r="G98">
            <v>18392</v>
          </cell>
        </row>
        <row r="99">
          <cell r="D99">
            <v>510708</v>
          </cell>
          <cell r="E99">
            <v>0</v>
          </cell>
          <cell r="F99">
            <v>0</v>
          </cell>
          <cell r="G99">
            <v>20690</v>
          </cell>
        </row>
        <row r="100">
          <cell r="D100">
            <v>510709</v>
          </cell>
          <cell r="E100">
            <v>0</v>
          </cell>
          <cell r="F100">
            <v>0</v>
          </cell>
          <cell r="G100">
            <v>23277</v>
          </cell>
        </row>
        <row r="101">
          <cell r="D101">
            <v>510710</v>
          </cell>
          <cell r="E101">
            <v>0</v>
          </cell>
          <cell r="F101">
            <v>0</v>
          </cell>
          <cell r="G101">
            <v>20690</v>
          </cell>
        </row>
        <row r="102">
          <cell r="D102">
            <v>510711</v>
          </cell>
          <cell r="E102">
            <v>0</v>
          </cell>
          <cell r="F102">
            <v>0</v>
          </cell>
          <cell r="G102">
            <v>23277</v>
          </cell>
        </row>
        <row r="103">
          <cell r="D103">
            <v>510712</v>
          </cell>
          <cell r="E103">
            <v>0</v>
          </cell>
          <cell r="F103">
            <v>0</v>
          </cell>
          <cell r="G103">
            <v>26186</v>
          </cell>
        </row>
        <row r="104">
          <cell r="D104">
            <v>510713</v>
          </cell>
          <cell r="E104">
            <v>0</v>
          </cell>
          <cell r="F104">
            <v>0</v>
          </cell>
          <cell r="G104">
            <v>23277</v>
          </cell>
        </row>
        <row r="105">
          <cell r="D105">
            <v>510714</v>
          </cell>
          <cell r="E105">
            <v>0</v>
          </cell>
          <cell r="F105">
            <v>0</v>
          </cell>
          <cell r="G105">
            <v>26186</v>
          </cell>
        </row>
        <row r="106">
          <cell r="D106">
            <v>510715</v>
          </cell>
          <cell r="E106">
            <v>0</v>
          </cell>
          <cell r="F106">
            <v>0</v>
          </cell>
          <cell r="G106">
            <v>29460</v>
          </cell>
        </row>
        <row r="107">
          <cell r="D107">
            <v>510801</v>
          </cell>
          <cell r="E107">
            <v>0</v>
          </cell>
          <cell r="F107">
            <v>0</v>
          </cell>
          <cell r="G107">
            <v>15192</v>
          </cell>
        </row>
        <row r="108">
          <cell r="D108">
            <v>510802</v>
          </cell>
          <cell r="E108">
            <v>0</v>
          </cell>
          <cell r="F108">
            <v>0</v>
          </cell>
          <cell r="G108">
            <v>17091</v>
          </cell>
        </row>
        <row r="109">
          <cell r="D109">
            <v>510803</v>
          </cell>
          <cell r="E109">
            <v>0</v>
          </cell>
          <cell r="F109">
            <v>0</v>
          </cell>
          <cell r="G109">
            <v>19228</v>
          </cell>
        </row>
        <row r="110">
          <cell r="D110">
            <v>510804</v>
          </cell>
          <cell r="E110">
            <v>0</v>
          </cell>
          <cell r="F110">
            <v>0</v>
          </cell>
          <cell r="G110">
            <v>17091</v>
          </cell>
        </row>
        <row r="111">
          <cell r="D111">
            <v>510805</v>
          </cell>
          <cell r="E111">
            <v>0</v>
          </cell>
          <cell r="F111">
            <v>0</v>
          </cell>
          <cell r="G111">
            <v>19228</v>
          </cell>
        </row>
        <row r="112">
          <cell r="D112">
            <v>510806</v>
          </cell>
          <cell r="E112">
            <v>0</v>
          </cell>
          <cell r="F112">
            <v>0</v>
          </cell>
          <cell r="G112">
            <v>21631</v>
          </cell>
        </row>
        <row r="113">
          <cell r="D113">
            <v>510807</v>
          </cell>
          <cell r="E113">
            <v>0</v>
          </cell>
          <cell r="F113">
            <v>0</v>
          </cell>
          <cell r="G113">
            <v>19228</v>
          </cell>
        </row>
        <row r="114">
          <cell r="D114">
            <v>510808</v>
          </cell>
          <cell r="E114">
            <v>0</v>
          </cell>
          <cell r="F114">
            <v>0</v>
          </cell>
          <cell r="G114">
            <v>21631</v>
          </cell>
        </row>
        <row r="115">
          <cell r="D115">
            <v>510809</v>
          </cell>
          <cell r="E115">
            <v>0</v>
          </cell>
          <cell r="F115">
            <v>0</v>
          </cell>
          <cell r="G115">
            <v>24335</v>
          </cell>
        </row>
        <row r="116">
          <cell r="D116">
            <v>510810</v>
          </cell>
          <cell r="E116">
            <v>0</v>
          </cell>
          <cell r="F116">
            <v>0</v>
          </cell>
          <cell r="G116">
            <v>21631</v>
          </cell>
        </row>
        <row r="117">
          <cell r="D117">
            <v>510811</v>
          </cell>
          <cell r="E117">
            <v>0</v>
          </cell>
          <cell r="F117">
            <v>0</v>
          </cell>
          <cell r="G117">
            <v>24335</v>
          </cell>
        </row>
        <row r="118">
          <cell r="D118">
            <v>510812</v>
          </cell>
          <cell r="E118">
            <v>0</v>
          </cell>
          <cell r="F118">
            <v>0</v>
          </cell>
          <cell r="G118">
            <v>27377</v>
          </cell>
        </row>
        <row r="119">
          <cell r="D119">
            <v>510813</v>
          </cell>
          <cell r="E119">
            <v>0</v>
          </cell>
          <cell r="F119">
            <v>0</v>
          </cell>
          <cell r="G119">
            <v>24335</v>
          </cell>
        </row>
        <row r="120">
          <cell r="D120">
            <v>510814</v>
          </cell>
          <cell r="E120">
            <v>0</v>
          </cell>
          <cell r="F120">
            <v>0</v>
          </cell>
          <cell r="G120">
            <v>27377</v>
          </cell>
        </row>
        <row r="121">
          <cell r="D121">
            <v>510815</v>
          </cell>
          <cell r="E121">
            <v>0</v>
          </cell>
          <cell r="F121">
            <v>0</v>
          </cell>
          <cell r="G121">
            <v>30799</v>
          </cell>
        </row>
        <row r="122">
          <cell r="D122">
            <v>510901</v>
          </cell>
          <cell r="E122">
            <v>0</v>
          </cell>
          <cell r="F122">
            <v>0</v>
          </cell>
          <cell r="G122">
            <v>15853</v>
          </cell>
        </row>
        <row r="123">
          <cell r="D123">
            <v>510902</v>
          </cell>
          <cell r="E123">
            <v>0</v>
          </cell>
          <cell r="F123">
            <v>0</v>
          </cell>
          <cell r="G123">
            <v>17834</v>
          </cell>
        </row>
        <row r="124">
          <cell r="D124">
            <v>510903</v>
          </cell>
          <cell r="E124">
            <v>0</v>
          </cell>
          <cell r="F124">
            <v>0</v>
          </cell>
          <cell r="G124">
            <v>20064</v>
          </cell>
        </row>
        <row r="125">
          <cell r="D125">
            <v>510904</v>
          </cell>
          <cell r="E125">
            <v>0</v>
          </cell>
          <cell r="F125">
            <v>0</v>
          </cell>
          <cell r="G125">
            <v>17834</v>
          </cell>
        </row>
        <row r="126">
          <cell r="D126">
            <v>510905</v>
          </cell>
          <cell r="E126">
            <v>0</v>
          </cell>
          <cell r="F126">
            <v>0</v>
          </cell>
          <cell r="G126">
            <v>20064</v>
          </cell>
        </row>
        <row r="127">
          <cell r="D127">
            <v>510906</v>
          </cell>
          <cell r="E127">
            <v>0</v>
          </cell>
          <cell r="F127">
            <v>0</v>
          </cell>
          <cell r="G127">
            <v>22571</v>
          </cell>
        </row>
        <row r="128">
          <cell r="D128">
            <v>510907</v>
          </cell>
          <cell r="E128">
            <v>0</v>
          </cell>
          <cell r="F128">
            <v>0</v>
          </cell>
          <cell r="G128">
            <v>20064</v>
          </cell>
        </row>
        <row r="129">
          <cell r="D129">
            <v>510908</v>
          </cell>
          <cell r="E129">
            <v>0</v>
          </cell>
          <cell r="F129">
            <v>0</v>
          </cell>
          <cell r="G129">
            <v>22571</v>
          </cell>
        </row>
        <row r="130">
          <cell r="D130">
            <v>510909</v>
          </cell>
          <cell r="E130">
            <v>0</v>
          </cell>
          <cell r="F130">
            <v>0</v>
          </cell>
          <cell r="G130">
            <v>25393</v>
          </cell>
        </row>
        <row r="131">
          <cell r="D131">
            <v>510910</v>
          </cell>
          <cell r="E131">
            <v>0</v>
          </cell>
          <cell r="F131">
            <v>0</v>
          </cell>
          <cell r="G131">
            <v>22571</v>
          </cell>
        </row>
        <row r="132">
          <cell r="D132">
            <v>510911</v>
          </cell>
          <cell r="E132">
            <v>0</v>
          </cell>
          <cell r="F132">
            <v>0</v>
          </cell>
          <cell r="G132">
            <v>25393</v>
          </cell>
        </row>
        <row r="133">
          <cell r="D133">
            <v>510912</v>
          </cell>
          <cell r="E133">
            <v>0</v>
          </cell>
          <cell r="F133">
            <v>0</v>
          </cell>
          <cell r="G133">
            <v>28567</v>
          </cell>
        </row>
        <row r="134">
          <cell r="D134">
            <v>510913</v>
          </cell>
          <cell r="E134">
            <v>0</v>
          </cell>
          <cell r="F134">
            <v>0</v>
          </cell>
          <cell r="G134">
            <v>25393</v>
          </cell>
        </row>
        <row r="135">
          <cell r="D135">
            <v>510914</v>
          </cell>
          <cell r="E135">
            <v>0</v>
          </cell>
          <cell r="F135">
            <v>0</v>
          </cell>
          <cell r="G135">
            <v>28567</v>
          </cell>
        </row>
        <row r="136">
          <cell r="D136">
            <v>510915</v>
          </cell>
          <cell r="E136">
            <v>0</v>
          </cell>
          <cell r="F136">
            <v>0</v>
          </cell>
          <cell r="G136">
            <v>32138</v>
          </cell>
        </row>
        <row r="137">
          <cell r="D137">
            <v>511001</v>
          </cell>
          <cell r="E137">
            <v>0</v>
          </cell>
          <cell r="F137">
            <v>0</v>
          </cell>
          <cell r="G137">
            <v>16513</v>
          </cell>
        </row>
        <row r="138">
          <cell r="D138">
            <v>511002</v>
          </cell>
          <cell r="E138">
            <v>0</v>
          </cell>
          <cell r="F138">
            <v>0</v>
          </cell>
          <cell r="G138">
            <v>18577</v>
          </cell>
        </row>
        <row r="139">
          <cell r="D139">
            <v>511003</v>
          </cell>
          <cell r="E139">
            <v>0</v>
          </cell>
          <cell r="F139">
            <v>0</v>
          </cell>
          <cell r="G139">
            <v>20899</v>
          </cell>
        </row>
        <row r="140">
          <cell r="D140">
            <v>511004</v>
          </cell>
          <cell r="E140">
            <v>0</v>
          </cell>
          <cell r="F140">
            <v>0</v>
          </cell>
          <cell r="G140">
            <v>18577</v>
          </cell>
        </row>
        <row r="141">
          <cell r="D141">
            <v>511005</v>
          </cell>
          <cell r="E141">
            <v>0</v>
          </cell>
          <cell r="F141">
            <v>0</v>
          </cell>
          <cell r="G141">
            <v>20899</v>
          </cell>
        </row>
        <row r="142">
          <cell r="D142">
            <v>511006</v>
          </cell>
          <cell r="E142">
            <v>0</v>
          </cell>
          <cell r="F142">
            <v>0</v>
          </cell>
          <cell r="G142">
            <v>23512</v>
          </cell>
        </row>
        <row r="143">
          <cell r="D143">
            <v>511007</v>
          </cell>
          <cell r="E143">
            <v>0</v>
          </cell>
          <cell r="F143">
            <v>0</v>
          </cell>
          <cell r="G143">
            <v>20899</v>
          </cell>
        </row>
        <row r="144">
          <cell r="D144">
            <v>511008</v>
          </cell>
          <cell r="E144">
            <v>0</v>
          </cell>
          <cell r="F144">
            <v>0</v>
          </cell>
          <cell r="G144">
            <v>23512</v>
          </cell>
        </row>
        <row r="145">
          <cell r="D145">
            <v>511009</v>
          </cell>
          <cell r="E145">
            <v>0</v>
          </cell>
          <cell r="F145">
            <v>0</v>
          </cell>
          <cell r="G145">
            <v>26451</v>
          </cell>
        </row>
        <row r="146">
          <cell r="D146">
            <v>511010</v>
          </cell>
          <cell r="E146">
            <v>0</v>
          </cell>
          <cell r="F146">
            <v>0</v>
          </cell>
          <cell r="G146">
            <v>23512</v>
          </cell>
        </row>
        <row r="147">
          <cell r="D147">
            <v>511011</v>
          </cell>
          <cell r="E147">
            <v>0</v>
          </cell>
          <cell r="F147">
            <v>0</v>
          </cell>
          <cell r="G147">
            <v>26451</v>
          </cell>
        </row>
        <row r="148">
          <cell r="D148">
            <v>511012</v>
          </cell>
          <cell r="E148">
            <v>0</v>
          </cell>
          <cell r="F148">
            <v>0</v>
          </cell>
          <cell r="G148">
            <v>29757</v>
          </cell>
        </row>
        <row r="149">
          <cell r="D149">
            <v>511013</v>
          </cell>
          <cell r="E149">
            <v>0</v>
          </cell>
          <cell r="F149">
            <v>0</v>
          </cell>
          <cell r="G149">
            <v>26451</v>
          </cell>
        </row>
        <row r="150">
          <cell r="D150">
            <v>511014</v>
          </cell>
          <cell r="E150">
            <v>0</v>
          </cell>
          <cell r="F150">
            <v>0</v>
          </cell>
          <cell r="G150">
            <v>29757</v>
          </cell>
        </row>
        <row r="151">
          <cell r="D151">
            <v>511015</v>
          </cell>
          <cell r="E151">
            <v>0</v>
          </cell>
          <cell r="F151">
            <v>0</v>
          </cell>
          <cell r="G151">
            <v>33477</v>
          </cell>
        </row>
        <row r="152">
          <cell r="D152">
            <v>511101</v>
          </cell>
          <cell r="E152">
            <v>0</v>
          </cell>
          <cell r="F152">
            <v>0</v>
          </cell>
          <cell r="G152">
            <v>17174</v>
          </cell>
        </row>
        <row r="153">
          <cell r="D153">
            <v>511102</v>
          </cell>
          <cell r="E153">
            <v>0</v>
          </cell>
          <cell r="F153">
            <v>0</v>
          </cell>
          <cell r="G153">
            <v>19320</v>
          </cell>
        </row>
        <row r="154">
          <cell r="D154">
            <v>511103</v>
          </cell>
          <cell r="E154">
            <v>0</v>
          </cell>
          <cell r="F154">
            <v>0</v>
          </cell>
          <cell r="G154">
            <v>21735</v>
          </cell>
        </row>
        <row r="155">
          <cell r="D155">
            <v>511104</v>
          </cell>
          <cell r="E155">
            <v>0</v>
          </cell>
          <cell r="F155">
            <v>0</v>
          </cell>
          <cell r="G155">
            <v>19320</v>
          </cell>
        </row>
        <row r="156">
          <cell r="D156">
            <v>511105</v>
          </cell>
          <cell r="E156">
            <v>0</v>
          </cell>
          <cell r="F156">
            <v>0</v>
          </cell>
          <cell r="G156">
            <v>21735</v>
          </cell>
        </row>
        <row r="157">
          <cell r="D157">
            <v>511106</v>
          </cell>
          <cell r="E157">
            <v>0</v>
          </cell>
          <cell r="F157">
            <v>0</v>
          </cell>
          <cell r="G157">
            <v>24452</v>
          </cell>
        </row>
        <row r="158">
          <cell r="D158">
            <v>511107</v>
          </cell>
          <cell r="E158">
            <v>0</v>
          </cell>
          <cell r="F158">
            <v>0</v>
          </cell>
          <cell r="G158">
            <v>21735</v>
          </cell>
        </row>
        <row r="159">
          <cell r="D159">
            <v>511108</v>
          </cell>
          <cell r="E159">
            <v>0</v>
          </cell>
          <cell r="F159">
            <v>0</v>
          </cell>
          <cell r="G159">
            <v>24452</v>
          </cell>
        </row>
        <row r="160">
          <cell r="D160">
            <v>511109</v>
          </cell>
          <cell r="E160">
            <v>0</v>
          </cell>
          <cell r="F160">
            <v>0</v>
          </cell>
          <cell r="G160">
            <v>27509</v>
          </cell>
        </row>
        <row r="161">
          <cell r="D161">
            <v>511110</v>
          </cell>
          <cell r="E161">
            <v>0</v>
          </cell>
          <cell r="F161">
            <v>0</v>
          </cell>
          <cell r="G161">
            <v>24452</v>
          </cell>
        </row>
        <row r="162">
          <cell r="D162">
            <v>511111</v>
          </cell>
          <cell r="E162">
            <v>0</v>
          </cell>
          <cell r="F162">
            <v>0</v>
          </cell>
          <cell r="G162">
            <v>27509</v>
          </cell>
        </row>
        <row r="163">
          <cell r="D163">
            <v>511112</v>
          </cell>
          <cell r="E163">
            <v>0</v>
          </cell>
          <cell r="F163">
            <v>0</v>
          </cell>
          <cell r="G163">
            <v>30948</v>
          </cell>
        </row>
        <row r="164">
          <cell r="D164">
            <v>511113</v>
          </cell>
          <cell r="E164">
            <v>0</v>
          </cell>
          <cell r="F164">
            <v>0</v>
          </cell>
          <cell r="G164">
            <v>27509</v>
          </cell>
        </row>
        <row r="165">
          <cell r="D165">
            <v>511114</v>
          </cell>
          <cell r="E165">
            <v>0</v>
          </cell>
          <cell r="F165">
            <v>0</v>
          </cell>
          <cell r="G165">
            <v>30948</v>
          </cell>
        </row>
        <row r="166">
          <cell r="D166">
            <v>511115</v>
          </cell>
          <cell r="E166">
            <v>0</v>
          </cell>
          <cell r="F166">
            <v>0</v>
          </cell>
          <cell r="G166">
            <v>34816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猎命表"/>
      <sheetName val="D_猎命产出表"/>
      <sheetName val="D_命格表"/>
      <sheetName val="D_命格装备表"/>
      <sheetName val="猎命辅助表"/>
      <sheetName val="命格辅助表"/>
      <sheetName val="数值对比"/>
      <sheetName val="定义数据"/>
      <sheetName val="命格"/>
    </sheetNames>
    <sheetDataSet>
      <sheetData sheetId="0"/>
      <sheetData sheetId="1"/>
      <sheetData sheetId="2"/>
      <sheetData sheetId="3"/>
      <sheetData sheetId="4">
        <row r="1">
          <cell r="I1" t="str">
            <v>每天命格副本次数</v>
          </cell>
        </row>
        <row r="10">
          <cell r="E10" t="str">
            <v>概率分布</v>
          </cell>
          <cell r="F10" t="str">
            <v>每价格经验</v>
          </cell>
        </row>
        <row r="11">
          <cell r="E11">
            <v>0.507292327203551</v>
          </cell>
          <cell r="F11">
            <v>6.2500000000000003E-3</v>
          </cell>
        </row>
        <row r="12">
          <cell r="E12">
            <v>0.30437539632213056</v>
          </cell>
          <cell r="F12">
            <v>7.4999999999999997E-3</v>
          </cell>
        </row>
        <row r="13">
          <cell r="E13">
            <v>0.13696892834495877</v>
          </cell>
          <cell r="F13">
            <v>5.5833333333333325E-3</v>
          </cell>
        </row>
        <row r="14">
          <cell r="E14">
            <v>4.1090678503487632E-2</v>
          </cell>
          <cell r="F14">
            <v>4.2399999999999998E-3</v>
          </cell>
        </row>
        <row r="15">
          <cell r="E15">
            <v>1.0272669625871908E-2</v>
          </cell>
          <cell r="F15">
            <v>3.2000000000000002E-3</v>
          </cell>
        </row>
        <row r="18">
          <cell r="E18"/>
          <cell r="F18" t="str">
            <v>60级</v>
          </cell>
          <cell r="G18" t="str">
            <v>80级</v>
          </cell>
        </row>
        <row r="19">
          <cell r="E19" t="str">
            <v>每天获得</v>
          </cell>
          <cell r="F19" t="str">
            <v>每月获得</v>
          </cell>
          <cell r="G19" t="str">
            <v>6个月</v>
          </cell>
          <cell r="H19"/>
        </row>
      </sheetData>
      <sheetData sheetId="5">
        <row r="28">
          <cell r="O28">
            <v>25600</v>
          </cell>
        </row>
        <row r="93">
          <cell r="A93">
            <v>8001</v>
          </cell>
        </row>
        <row r="94">
          <cell r="A94">
            <v>8110</v>
          </cell>
        </row>
        <row r="95">
          <cell r="A95">
            <v>8210</v>
          </cell>
        </row>
        <row r="96">
          <cell r="A96">
            <v>8310</v>
          </cell>
        </row>
        <row r="97">
          <cell r="A97">
            <v>8120</v>
          </cell>
        </row>
        <row r="98">
          <cell r="A98">
            <v>8220</v>
          </cell>
        </row>
        <row r="99">
          <cell r="A99">
            <v>8320</v>
          </cell>
          <cell r="B99" t="str">
            <v>真刚</v>
          </cell>
        </row>
        <row r="100">
          <cell r="A100">
            <v>8420</v>
          </cell>
        </row>
        <row r="101">
          <cell r="A101">
            <v>8520</v>
          </cell>
        </row>
        <row r="102">
          <cell r="A102">
            <v>8620</v>
          </cell>
        </row>
        <row r="103">
          <cell r="A103">
            <v>8720</v>
          </cell>
        </row>
        <row r="104">
          <cell r="A104">
            <v>8820</v>
          </cell>
        </row>
        <row r="105">
          <cell r="A105">
            <v>8130</v>
          </cell>
          <cell r="B105" t="str">
            <v>霸主</v>
          </cell>
        </row>
        <row r="106">
          <cell r="A106">
            <v>8230</v>
          </cell>
          <cell r="B106" t="str">
            <v>虎啸</v>
          </cell>
        </row>
        <row r="107">
          <cell r="A107">
            <v>8330</v>
          </cell>
          <cell r="B107" t="str">
            <v>豪魄</v>
          </cell>
        </row>
        <row r="108">
          <cell r="A108">
            <v>8430</v>
          </cell>
          <cell r="B108" t="str">
            <v>捉影</v>
          </cell>
        </row>
        <row r="109">
          <cell r="A109">
            <v>8530</v>
          </cell>
          <cell r="B109" t="str">
            <v>游刃</v>
          </cell>
        </row>
        <row r="110">
          <cell r="A110">
            <v>8630</v>
          </cell>
          <cell r="B110" t="str">
            <v>傲骨</v>
          </cell>
        </row>
        <row r="111">
          <cell r="A111">
            <v>8730</v>
          </cell>
          <cell r="B111" t="str">
            <v>心眼</v>
          </cell>
        </row>
        <row r="112">
          <cell r="A112">
            <v>8830</v>
          </cell>
          <cell r="B112" t="str">
            <v>噬生</v>
          </cell>
        </row>
        <row r="113">
          <cell r="A113">
            <v>8930</v>
          </cell>
          <cell r="B113" t="str">
            <v>痛击</v>
          </cell>
        </row>
        <row r="114">
          <cell r="A114">
            <v>9030</v>
          </cell>
          <cell r="B114" t="str">
            <v>不坏</v>
          </cell>
        </row>
        <row r="115">
          <cell r="A115">
            <v>9130</v>
          </cell>
        </row>
        <row r="116">
          <cell r="A116">
            <v>9230</v>
          </cell>
          <cell r="B116" t="str">
            <v>盘蛇</v>
          </cell>
        </row>
        <row r="117">
          <cell r="A117">
            <v>8140</v>
          </cell>
          <cell r="B117" t="str">
            <v>天命</v>
          </cell>
        </row>
        <row r="118">
          <cell r="A118">
            <v>8240</v>
          </cell>
          <cell r="B118" t="str">
            <v>龙吟</v>
          </cell>
        </row>
        <row r="119">
          <cell r="A119">
            <v>8340</v>
          </cell>
          <cell r="B119" t="str">
            <v>守御</v>
          </cell>
        </row>
        <row r="120">
          <cell r="A120">
            <v>8440</v>
          </cell>
          <cell r="B120" t="str">
            <v>千眼</v>
          </cell>
        </row>
        <row r="121">
          <cell r="A121">
            <v>8540</v>
          </cell>
          <cell r="B121" t="str">
            <v>逍遥</v>
          </cell>
        </row>
        <row r="122">
          <cell r="A122">
            <v>8640</v>
          </cell>
          <cell r="B122" t="str">
            <v>流离</v>
          </cell>
        </row>
        <row r="123">
          <cell r="A123">
            <v>8740</v>
          </cell>
          <cell r="B123" t="str">
            <v>夺魄</v>
          </cell>
        </row>
        <row r="124">
          <cell r="A124">
            <v>8840</v>
          </cell>
        </row>
        <row r="125">
          <cell r="A125">
            <v>8940</v>
          </cell>
          <cell r="B125" t="str">
            <v>破天</v>
          </cell>
        </row>
        <row r="126">
          <cell r="A126">
            <v>9040</v>
          </cell>
        </row>
        <row r="127">
          <cell r="A127">
            <v>9140</v>
          </cell>
          <cell r="B127" t="str">
            <v>幽灵</v>
          </cell>
        </row>
        <row r="128">
          <cell r="A128">
            <v>9240</v>
          </cell>
          <cell r="B128" t="str">
            <v>困魔</v>
          </cell>
        </row>
        <row r="129">
          <cell r="A129">
            <v>9340</v>
          </cell>
          <cell r="B129" t="str">
            <v>无尽</v>
          </cell>
        </row>
        <row r="130">
          <cell r="A130">
            <v>9440</v>
          </cell>
        </row>
        <row r="131">
          <cell r="A131">
            <v>9540</v>
          </cell>
          <cell r="B131" t="str">
            <v>八卦</v>
          </cell>
        </row>
        <row r="132">
          <cell r="A132">
            <v>9640</v>
          </cell>
          <cell r="B132" t="str">
            <v>剎那</v>
          </cell>
        </row>
        <row r="133">
          <cell r="A133">
            <v>9740</v>
          </cell>
          <cell r="B133" t="str">
            <v>咆哮</v>
          </cell>
        </row>
        <row r="134">
          <cell r="A134">
            <v>9840</v>
          </cell>
        </row>
        <row r="135">
          <cell r="A135">
            <v>8150</v>
          </cell>
        </row>
        <row r="136">
          <cell r="A136">
            <v>8250</v>
          </cell>
        </row>
        <row r="137">
          <cell r="A137">
            <v>8350</v>
          </cell>
        </row>
        <row r="138">
          <cell r="A138">
            <v>8450</v>
          </cell>
        </row>
        <row r="139">
          <cell r="A139">
            <v>8550</v>
          </cell>
        </row>
        <row r="140">
          <cell r="A140">
            <v>8650</v>
          </cell>
          <cell r="B140" t="str">
            <v>冰魄寒光</v>
          </cell>
        </row>
        <row r="141">
          <cell r="A141">
            <v>8750</v>
          </cell>
        </row>
        <row r="142">
          <cell r="A142">
            <v>8850</v>
          </cell>
        </row>
        <row r="143">
          <cell r="A143">
            <v>8950</v>
          </cell>
        </row>
        <row r="144">
          <cell r="A144">
            <v>9050</v>
          </cell>
        </row>
        <row r="145">
          <cell r="A145">
            <v>9150</v>
          </cell>
        </row>
        <row r="146">
          <cell r="A146">
            <v>9250</v>
          </cell>
        </row>
        <row r="147">
          <cell r="A147">
            <v>9350</v>
          </cell>
        </row>
        <row r="148">
          <cell r="A148">
            <v>9450</v>
          </cell>
        </row>
        <row r="149">
          <cell r="A149">
            <v>9550</v>
          </cell>
        </row>
        <row r="150">
          <cell r="A150">
            <v>9650</v>
          </cell>
        </row>
        <row r="151">
          <cell r="A151">
            <v>9750</v>
          </cell>
        </row>
        <row r="152">
          <cell r="A152">
            <v>9850</v>
          </cell>
        </row>
      </sheetData>
      <sheetData sheetId="6"/>
      <sheetData sheetId="7"/>
      <sheetData sheetId="8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道具表"/>
      <sheetName val="D_合成表"/>
      <sheetName val="icon"/>
      <sheetName val="道具配置辅助表"/>
      <sheetName val="D_获取途径"/>
      <sheetName val="道具说明"/>
      <sheetName val="道具表价值评估"/>
    </sheetNames>
    <sheetDataSet>
      <sheetData sheetId="0"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马仔追债宝箱</v>
          </cell>
        </row>
        <row r="121">
          <cell r="A121">
            <v>86002</v>
          </cell>
          <cell r="B121" t="str">
            <v>马仔追债宝箱</v>
          </cell>
        </row>
        <row r="122">
          <cell r="A122">
            <v>86003</v>
          </cell>
          <cell r="B122" t="str">
            <v>马仔追债宝箱</v>
          </cell>
        </row>
        <row r="123">
          <cell r="A123">
            <v>86004</v>
          </cell>
          <cell r="B123" t="str">
            <v>马仔追债宝箱</v>
          </cell>
        </row>
        <row r="124">
          <cell r="A124">
            <v>86005</v>
          </cell>
          <cell r="B124" t="str">
            <v>马仔追债宝箱</v>
          </cell>
        </row>
        <row r="125">
          <cell r="A125">
            <v>86110</v>
          </cell>
          <cell r="B125" t="str">
            <v>马仔宝物礼包</v>
          </cell>
        </row>
        <row r="126">
          <cell r="A126">
            <v>86120</v>
          </cell>
          <cell r="B126" t="str">
            <v>马仔宝物礼包</v>
          </cell>
        </row>
        <row r="127">
          <cell r="A127">
            <v>86130</v>
          </cell>
          <cell r="B127" t="str">
            <v>马仔宝物礼包</v>
          </cell>
        </row>
        <row r="128">
          <cell r="A128">
            <v>86140</v>
          </cell>
          <cell r="B128" t="str">
            <v>马仔宝物礼包</v>
          </cell>
        </row>
        <row r="129">
          <cell r="A129">
            <v>86150</v>
          </cell>
          <cell r="B129" t="str">
            <v>马仔宝物礼包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部位材料宝箱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86023</v>
          </cell>
          <cell r="B137" t="str">
            <v>红色装备礼包</v>
          </cell>
        </row>
        <row r="138">
          <cell r="A138">
            <v>78214</v>
          </cell>
          <cell r="B138" t="str">
            <v>限时碎片(陈浩南)</v>
          </cell>
        </row>
        <row r="139">
          <cell r="A139">
            <v>78215</v>
          </cell>
          <cell r="B139" t="str">
            <v>限时碎片(山鸡)</v>
          </cell>
        </row>
        <row r="140">
          <cell r="A140">
            <v>78216</v>
          </cell>
          <cell r="B140" t="str">
            <v>限时碎片(大天二)</v>
          </cell>
        </row>
        <row r="141">
          <cell r="A141">
            <v>83309</v>
          </cell>
          <cell r="B141" t="str">
            <v>堂口贡献</v>
          </cell>
        </row>
        <row r="142">
          <cell r="A142">
            <v>86121</v>
          </cell>
          <cell r="B142" t="str">
            <v>马仔宝物碎片礼包</v>
          </cell>
        </row>
        <row r="143">
          <cell r="A143">
            <v>86131</v>
          </cell>
          <cell r="B143" t="str">
            <v>马仔宝物碎片礼包</v>
          </cell>
        </row>
        <row r="144">
          <cell r="A144">
            <v>86141</v>
          </cell>
          <cell r="B144" t="str">
            <v>马仔宝物碎片礼包</v>
          </cell>
        </row>
        <row r="145">
          <cell r="A145">
            <v>86151</v>
          </cell>
          <cell r="B145" t="str">
            <v>马仔宝物碎片礼包</v>
          </cell>
        </row>
        <row r="146">
          <cell r="A146">
            <v>86210</v>
          </cell>
          <cell r="B146" t="str">
            <v>命格福袋</v>
          </cell>
        </row>
        <row r="147">
          <cell r="A147">
            <v>86220</v>
          </cell>
          <cell r="B147" t="str">
            <v>命格福袋</v>
          </cell>
        </row>
        <row r="148">
          <cell r="A148">
            <v>86230</v>
          </cell>
          <cell r="B148" t="str">
            <v>命格福袋</v>
          </cell>
        </row>
        <row r="149">
          <cell r="A149">
            <v>86240</v>
          </cell>
          <cell r="B149" t="str">
            <v>命格福袋</v>
          </cell>
        </row>
        <row r="150">
          <cell r="A150">
            <v>86250</v>
          </cell>
          <cell r="B150" t="str">
            <v>命格福袋</v>
          </cell>
        </row>
        <row r="151">
          <cell r="A151">
            <v>86310</v>
          </cell>
          <cell r="B151" t="str">
            <v>马仔碎片福袋</v>
          </cell>
        </row>
        <row r="152">
          <cell r="A152">
            <v>86320</v>
          </cell>
          <cell r="B152" t="str">
            <v>马仔碎片福袋</v>
          </cell>
        </row>
        <row r="153">
          <cell r="A153">
            <v>86330</v>
          </cell>
          <cell r="B153" t="str">
            <v>马仔碎片福袋</v>
          </cell>
        </row>
        <row r="154">
          <cell r="A154">
            <v>86340</v>
          </cell>
          <cell r="B154" t="str">
            <v>马仔碎片福袋</v>
          </cell>
        </row>
        <row r="155">
          <cell r="A155">
            <v>86350</v>
          </cell>
          <cell r="B155" t="str">
            <v>马仔碎片福袋</v>
          </cell>
        </row>
        <row r="156">
          <cell r="A156">
            <v>86400</v>
          </cell>
          <cell r="B156" t="str">
            <v>装备升星石福袋</v>
          </cell>
        </row>
      </sheetData>
      <sheetData sheetId="1"/>
      <sheetData sheetId="2"/>
      <sheetData sheetId="3">
        <row r="5">
          <cell r="C5" t="str">
            <v>道具ID</v>
          </cell>
          <cell r="D5" t="str">
            <v>道具名称</v>
          </cell>
        </row>
      </sheetData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装备基础数据"/>
      <sheetName val="D_装备升级表"/>
      <sheetName val="D_装备强化数据"/>
      <sheetName val="D_装备金币参考表"/>
      <sheetName val="D_装备升星数据"/>
      <sheetName val="D_装备分解表"/>
      <sheetName val="定义数据"/>
      <sheetName val="装备属性计算表"/>
      <sheetName val="强化辅助表"/>
      <sheetName val="升星辅助表"/>
      <sheetName val="升星消耗"/>
      <sheetName val="价值&amp;消耗"/>
    </sheetNames>
    <sheetDataSet>
      <sheetData sheetId="0">
        <row r="2">
          <cell r="A2" t="str">
            <v>10001</v>
          </cell>
          <cell r="B2" t="str">
            <v>新手之剑</v>
          </cell>
        </row>
        <row r="3">
          <cell r="A3" t="str">
            <v>20001</v>
          </cell>
          <cell r="B3" t="str">
            <v>新手之拳</v>
          </cell>
        </row>
        <row r="4">
          <cell r="A4" t="str">
            <v>30001</v>
          </cell>
          <cell r="B4" t="str">
            <v>新手之枪</v>
          </cell>
        </row>
        <row r="5">
          <cell r="A5" t="str">
            <v>10002</v>
          </cell>
          <cell r="B5" t="str">
            <v>染血之剑</v>
          </cell>
        </row>
        <row r="6">
          <cell r="A6" t="str">
            <v>20002</v>
          </cell>
          <cell r="B6" t="str">
            <v>染血之拳</v>
          </cell>
        </row>
        <row r="7">
          <cell r="A7" t="str">
            <v>30002</v>
          </cell>
          <cell r="B7" t="str">
            <v>染血之枪</v>
          </cell>
        </row>
        <row r="8">
          <cell r="A8" t="str">
            <v>51002</v>
          </cell>
          <cell r="B8" t="str">
            <v>染血战衣</v>
          </cell>
        </row>
        <row r="9">
          <cell r="A9" t="str">
            <v>52002</v>
          </cell>
          <cell r="B9" t="str">
            <v>染血长裤</v>
          </cell>
        </row>
        <row r="10">
          <cell r="A10" t="str">
            <v>55002</v>
          </cell>
          <cell r="B10" t="str">
            <v>染血长靴</v>
          </cell>
        </row>
        <row r="11">
          <cell r="A11" t="str">
            <v>54002</v>
          </cell>
          <cell r="B11" t="str">
            <v>染血腰带</v>
          </cell>
        </row>
        <row r="12">
          <cell r="A12" t="str">
            <v>53002</v>
          </cell>
          <cell r="B12" t="str">
            <v>染血项链</v>
          </cell>
        </row>
        <row r="13">
          <cell r="A13" t="str">
            <v>10103</v>
          </cell>
          <cell r="B13" t="str">
            <v>狂气之剑</v>
          </cell>
        </row>
        <row r="14">
          <cell r="A14" t="str">
            <v>20103</v>
          </cell>
          <cell r="B14" t="str">
            <v>狂气之拳</v>
          </cell>
        </row>
        <row r="15">
          <cell r="A15" t="str">
            <v>30103</v>
          </cell>
          <cell r="B15" t="str">
            <v>狂气之枪</v>
          </cell>
        </row>
        <row r="16">
          <cell r="A16" t="str">
            <v>51103</v>
          </cell>
          <cell r="B16" t="str">
            <v>狂气战衣</v>
          </cell>
        </row>
        <row r="17">
          <cell r="A17" t="str">
            <v>52103</v>
          </cell>
          <cell r="B17" t="str">
            <v>狂气长裤</v>
          </cell>
        </row>
        <row r="18">
          <cell r="A18" t="str">
            <v>55103</v>
          </cell>
          <cell r="B18" t="str">
            <v>狂气长靴</v>
          </cell>
        </row>
        <row r="19">
          <cell r="A19" t="str">
            <v>54103</v>
          </cell>
          <cell r="B19" t="str">
            <v>狂气腰带</v>
          </cell>
        </row>
        <row r="20">
          <cell r="A20" t="str">
            <v>53103</v>
          </cell>
          <cell r="B20" t="str">
            <v>狂气项链</v>
          </cell>
        </row>
        <row r="21">
          <cell r="A21" t="str">
            <v>10104</v>
          </cell>
          <cell r="B21" t="str">
            <v>野性之剑</v>
          </cell>
        </row>
        <row r="22">
          <cell r="A22" t="str">
            <v>20104</v>
          </cell>
          <cell r="B22" t="str">
            <v>野性之拳</v>
          </cell>
        </row>
        <row r="23">
          <cell r="A23" t="str">
            <v>30104</v>
          </cell>
          <cell r="B23" t="str">
            <v>野性之枪</v>
          </cell>
        </row>
        <row r="24">
          <cell r="A24" t="str">
            <v>51104</v>
          </cell>
          <cell r="B24" t="str">
            <v>野性战衣</v>
          </cell>
        </row>
        <row r="25">
          <cell r="A25" t="str">
            <v>52104</v>
          </cell>
          <cell r="B25" t="str">
            <v>野性长裤</v>
          </cell>
        </row>
        <row r="26">
          <cell r="A26" t="str">
            <v>55104</v>
          </cell>
          <cell r="B26" t="str">
            <v>野性长靴</v>
          </cell>
        </row>
        <row r="27">
          <cell r="A27" t="str">
            <v>54104</v>
          </cell>
          <cell r="B27" t="str">
            <v>野性腰带</v>
          </cell>
        </row>
        <row r="28">
          <cell r="A28" t="str">
            <v>53104</v>
          </cell>
          <cell r="B28" t="str">
            <v>野性项链</v>
          </cell>
        </row>
        <row r="29">
          <cell r="A29" t="str">
            <v>10205</v>
          </cell>
          <cell r="B29" t="str">
            <v>紫云之剑</v>
          </cell>
        </row>
        <row r="30">
          <cell r="A30" t="str">
            <v>20205</v>
          </cell>
          <cell r="B30" t="str">
            <v>紫云之拳</v>
          </cell>
        </row>
        <row r="31">
          <cell r="A31" t="str">
            <v>30205</v>
          </cell>
          <cell r="B31" t="str">
            <v>紫云之枪</v>
          </cell>
        </row>
        <row r="32">
          <cell r="A32" t="str">
            <v>51205</v>
          </cell>
          <cell r="B32" t="str">
            <v>紫云战衣</v>
          </cell>
        </row>
        <row r="33">
          <cell r="A33" t="str">
            <v>52205</v>
          </cell>
          <cell r="B33" t="str">
            <v>紫云长裤</v>
          </cell>
        </row>
        <row r="34">
          <cell r="A34" t="str">
            <v>55205</v>
          </cell>
          <cell r="B34" t="str">
            <v>紫云长靴</v>
          </cell>
        </row>
        <row r="35">
          <cell r="A35" t="str">
            <v>54205</v>
          </cell>
          <cell r="B35" t="str">
            <v>紫云腰带</v>
          </cell>
        </row>
        <row r="36">
          <cell r="A36" t="str">
            <v>53205</v>
          </cell>
          <cell r="B36" t="str">
            <v>紫云项链</v>
          </cell>
        </row>
        <row r="37">
          <cell r="A37" t="str">
            <v>10306</v>
          </cell>
          <cell r="B37" t="str">
            <v>鎏金之剑</v>
          </cell>
        </row>
        <row r="38">
          <cell r="A38" t="str">
            <v>20306</v>
          </cell>
          <cell r="B38" t="str">
            <v>鎏金之拳</v>
          </cell>
        </row>
        <row r="39">
          <cell r="A39" t="str">
            <v>30306</v>
          </cell>
          <cell r="B39" t="str">
            <v>鎏金之枪</v>
          </cell>
        </row>
        <row r="40">
          <cell r="A40" t="str">
            <v>51306</v>
          </cell>
          <cell r="B40" t="str">
            <v>鎏金战衣</v>
          </cell>
        </row>
        <row r="41">
          <cell r="A41" t="str">
            <v>52306</v>
          </cell>
          <cell r="B41" t="str">
            <v>鎏金长裤</v>
          </cell>
        </row>
        <row r="42">
          <cell r="A42" t="str">
            <v>55306</v>
          </cell>
          <cell r="B42" t="str">
            <v>鎏金长靴</v>
          </cell>
        </row>
        <row r="43">
          <cell r="A43" t="str">
            <v>54306</v>
          </cell>
          <cell r="B43" t="str">
            <v>鎏金腰带</v>
          </cell>
        </row>
        <row r="44">
          <cell r="A44" t="str">
            <v>53306</v>
          </cell>
          <cell r="B44" t="str">
            <v>鎏金项链</v>
          </cell>
        </row>
        <row r="45">
          <cell r="A45" t="str">
            <v>10407</v>
          </cell>
          <cell r="B45" t="str">
            <v>虹光之剑</v>
          </cell>
        </row>
        <row r="46">
          <cell r="A46" t="str">
            <v>20407</v>
          </cell>
          <cell r="B46" t="str">
            <v>虹光之拳</v>
          </cell>
        </row>
        <row r="47">
          <cell r="A47" t="str">
            <v>30407</v>
          </cell>
          <cell r="B47" t="str">
            <v>虹光之枪</v>
          </cell>
        </row>
        <row r="48">
          <cell r="A48" t="str">
            <v>51407</v>
          </cell>
          <cell r="B48" t="str">
            <v>虹光战衣</v>
          </cell>
        </row>
        <row r="49">
          <cell r="A49" t="str">
            <v>52407</v>
          </cell>
          <cell r="B49" t="str">
            <v>虹光长裤</v>
          </cell>
        </row>
        <row r="50">
          <cell r="A50" t="str">
            <v>55407</v>
          </cell>
          <cell r="B50" t="str">
            <v>虹光长靴</v>
          </cell>
        </row>
        <row r="51">
          <cell r="A51" t="str">
            <v>54407</v>
          </cell>
          <cell r="B51" t="str">
            <v>虹光腰带</v>
          </cell>
        </row>
        <row r="52">
          <cell r="A52" t="str">
            <v>53407</v>
          </cell>
          <cell r="B52" t="str">
            <v>虹光项链</v>
          </cell>
        </row>
        <row r="53">
          <cell r="A53" t="str">
            <v>10108</v>
          </cell>
          <cell r="B53" t="str">
            <v>碧蓝之剑</v>
          </cell>
        </row>
        <row r="54">
          <cell r="A54" t="str">
            <v>20108</v>
          </cell>
          <cell r="B54" t="str">
            <v>碧蓝之拳</v>
          </cell>
        </row>
        <row r="55">
          <cell r="A55" t="str">
            <v>30108</v>
          </cell>
          <cell r="B55" t="str">
            <v>碧蓝之枪</v>
          </cell>
        </row>
        <row r="56">
          <cell r="A56" t="str">
            <v>51108</v>
          </cell>
          <cell r="B56" t="str">
            <v>碧蓝战衣</v>
          </cell>
        </row>
        <row r="57">
          <cell r="A57" t="str">
            <v>52108</v>
          </cell>
          <cell r="B57" t="str">
            <v>碧蓝长裤</v>
          </cell>
        </row>
        <row r="58">
          <cell r="A58" t="str">
            <v>55108</v>
          </cell>
          <cell r="B58" t="str">
            <v>碧蓝长靴</v>
          </cell>
        </row>
        <row r="59">
          <cell r="A59" t="str">
            <v>54108</v>
          </cell>
          <cell r="B59" t="str">
            <v>碧蓝腰带</v>
          </cell>
        </row>
        <row r="60">
          <cell r="A60" t="str">
            <v>53108</v>
          </cell>
          <cell r="B60" t="str">
            <v>碧蓝项链</v>
          </cell>
        </row>
        <row r="61">
          <cell r="A61" t="str">
            <v>10209</v>
          </cell>
          <cell r="B61" t="str">
            <v>斩魄之刃</v>
          </cell>
        </row>
        <row r="62">
          <cell r="A62" t="str">
            <v>20209</v>
          </cell>
          <cell r="B62" t="str">
            <v>流光之拳</v>
          </cell>
        </row>
        <row r="63">
          <cell r="A63" t="str">
            <v>30209</v>
          </cell>
          <cell r="B63" t="str">
            <v>玫瑰骑士</v>
          </cell>
        </row>
        <row r="64">
          <cell r="A64" t="str">
            <v>51209</v>
          </cell>
          <cell r="B64" t="str">
            <v>黑鸦战衣</v>
          </cell>
        </row>
        <row r="65">
          <cell r="A65" t="str">
            <v>52209</v>
          </cell>
          <cell r="B65" t="str">
            <v>黑鸦长裤</v>
          </cell>
        </row>
        <row r="66">
          <cell r="A66" t="str">
            <v>55209</v>
          </cell>
          <cell r="B66" t="str">
            <v>黑鸦长靴</v>
          </cell>
        </row>
        <row r="67">
          <cell r="A67" t="str">
            <v>54209</v>
          </cell>
          <cell r="B67" t="str">
            <v>黑鸦腰带</v>
          </cell>
        </row>
        <row r="68">
          <cell r="A68" t="str">
            <v>53209</v>
          </cell>
          <cell r="B68" t="str">
            <v>黑鸦项链</v>
          </cell>
        </row>
        <row r="69">
          <cell r="A69" t="str">
            <v>10310</v>
          </cell>
          <cell r="B69" t="str">
            <v>爵士之刃</v>
          </cell>
        </row>
        <row r="70">
          <cell r="A70" t="str">
            <v>20310</v>
          </cell>
          <cell r="B70" t="str">
            <v>爵士之拳</v>
          </cell>
        </row>
        <row r="71">
          <cell r="A71" t="str">
            <v>30310</v>
          </cell>
          <cell r="B71" t="str">
            <v>爵士之枪</v>
          </cell>
        </row>
        <row r="72">
          <cell r="A72" t="str">
            <v>51310</v>
          </cell>
          <cell r="B72" t="str">
            <v>爵士战衣</v>
          </cell>
        </row>
        <row r="73">
          <cell r="A73" t="str">
            <v>52310</v>
          </cell>
          <cell r="B73" t="str">
            <v>爵士长裤</v>
          </cell>
        </row>
        <row r="74">
          <cell r="A74" t="str">
            <v>55310</v>
          </cell>
          <cell r="B74" t="str">
            <v>爵士长靴</v>
          </cell>
        </row>
        <row r="75">
          <cell r="A75" t="str">
            <v>54310</v>
          </cell>
          <cell r="B75" t="str">
            <v>爵士腰带</v>
          </cell>
        </row>
        <row r="76">
          <cell r="A76" t="str">
            <v>53310</v>
          </cell>
          <cell r="B76" t="str">
            <v>爵士项链</v>
          </cell>
        </row>
        <row r="77">
          <cell r="A77" t="str">
            <v>10411</v>
          </cell>
          <cell r="B77" t="str">
            <v>暴血之刃</v>
          </cell>
        </row>
        <row r="78">
          <cell r="A78" t="str">
            <v>20411</v>
          </cell>
          <cell r="B78" t="str">
            <v>暴血之拳</v>
          </cell>
        </row>
        <row r="79">
          <cell r="A79" t="str">
            <v>30411</v>
          </cell>
          <cell r="B79" t="str">
            <v>暴血之枪</v>
          </cell>
        </row>
        <row r="80">
          <cell r="A80" t="str">
            <v>51411</v>
          </cell>
          <cell r="B80" t="str">
            <v>暴血战衣</v>
          </cell>
        </row>
        <row r="81">
          <cell r="A81" t="str">
            <v>52411</v>
          </cell>
          <cell r="B81" t="str">
            <v>暴血长裤</v>
          </cell>
        </row>
        <row r="82">
          <cell r="A82" t="str">
            <v>55411</v>
          </cell>
          <cell r="B82" t="str">
            <v>暴血长靴</v>
          </cell>
        </row>
        <row r="83">
          <cell r="A83" t="str">
            <v>54411</v>
          </cell>
          <cell r="B83" t="str">
            <v>暴血腰带</v>
          </cell>
        </row>
        <row r="84">
          <cell r="A84" t="str">
            <v>53411</v>
          </cell>
          <cell r="B84" t="str">
            <v>暴血项链</v>
          </cell>
        </row>
        <row r="85">
          <cell r="A85" t="str">
            <v>10112</v>
          </cell>
          <cell r="B85" t="str">
            <v>勇气之刃</v>
          </cell>
        </row>
        <row r="86">
          <cell r="A86" t="str">
            <v>20112</v>
          </cell>
          <cell r="B86" t="str">
            <v>勇气之拳</v>
          </cell>
        </row>
        <row r="87">
          <cell r="A87" t="str">
            <v>30112</v>
          </cell>
          <cell r="B87" t="str">
            <v>勇气之枪</v>
          </cell>
        </row>
        <row r="88">
          <cell r="A88" t="str">
            <v>51112</v>
          </cell>
          <cell r="B88" t="str">
            <v>勇气战衣</v>
          </cell>
        </row>
        <row r="89">
          <cell r="A89" t="str">
            <v>52112</v>
          </cell>
          <cell r="B89" t="str">
            <v>勇气长裤</v>
          </cell>
        </row>
        <row r="90">
          <cell r="A90" t="str">
            <v>55112</v>
          </cell>
          <cell r="B90" t="str">
            <v>勇气长靴</v>
          </cell>
        </row>
        <row r="91">
          <cell r="A91" t="str">
            <v>54112</v>
          </cell>
          <cell r="B91" t="str">
            <v>勇气腰带</v>
          </cell>
        </row>
        <row r="92">
          <cell r="A92" t="str">
            <v>53112</v>
          </cell>
          <cell r="B92" t="str">
            <v>勇气项链</v>
          </cell>
        </row>
        <row r="93">
          <cell r="A93" t="str">
            <v>10213</v>
          </cell>
          <cell r="B93" t="str">
            <v>暗羽霸刀</v>
          </cell>
        </row>
        <row r="94">
          <cell r="A94" t="str">
            <v>20213</v>
          </cell>
          <cell r="B94" t="str">
            <v>暗羽之拳</v>
          </cell>
        </row>
        <row r="95">
          <cell r="A95" t="str">
            <v>30213</v>
          </cell>
          <cell r="B95" t="str">
            <v>暗羽之枪</v>
          </cell>
        </row>
        <row r="96">
          <cell r="A96" t="str">
            <v>51213</v>
          </cell>
          <cell r="B96" t="str">
            <v>暗羽战衣</v>
          </cell>
        </row>
        <row r="97">
          <cell r="A97" t="str">
            <v>52213</v>
          </cell>
          <cell r="B97" t="str">
            <v>暗羽长裤</v>
          </cell>
        </row>
        <row r="98">
          <cell r="A98" t="str">
            <v>55213</v>
          </cell>
          <cell r="B98" t="str">
            <v>暗羽长靴</v>
          </cell>
        </row>
        <row r="99">
          <cell r="A99" t="str">
            <v>54213</v>
          </cell>
          <cell r="B99" t="str">
            <v>暗羽腰带</v>
          </cell>
        </row>
        <row r="100">
          <cell r="A100" t="str">
            <v>53213</v>
          </cell>
          <cell r="B100" t="str">
            <v>暗羽项链</v>
          </cell>
        </row>
        <row r="101">
          <cell r="A101" t="str">
            <v>10314</v>
          </cell>
          <cell r="B101" t="str">
            <v>玄武霸刀</v>
          </cell>
        </row>
        <row r="102">
          <cell r="A102" t="str">
            <v>20314</v>
          </cell>
          <cell r="B102" t="str">
            <v>玄武之拳</v>
          </cell>
        </row>
        <row r="103">
          <cell r="A103" t="str">
            <v>30314</v>
          </cell>
          <cell r="B103" t="str">
            <v>玄武之枪</v>
          </cell>
        </row>
        <row r="104">
          <cell r="A104" t="str">
            <v>51314</v>
          </cell>
          <cell r="B104" t="str">
            <v>玄武战衣</v>
          </cell>
        </row>
        <row r="105">
          <cell r="A105" t="str">
            <v>52314</v>
          </cell>
          <cell r="B105" t="str">
            <v>玄武长裤</v>
          </cell>
        </row>
        <row r="106">
          <cell r="A106" t="str">
            <v>55314</v>
          </cell>
          <cell r="B106" t="str">
            <v>玄武长靴</v>
          </cell>
        </row>
        <row r="107">
          <cell r="A107" t="str">
            <v>54314</v>
          </cell>
          <cell r="B107" t="str">
            <v>玄武腰带</v>
          </cell>
        </row>
        <row r="108">
          <cell r="A108" t="str">
            <v>53314</v>
          </cell>
          <cell r="B108" t="str">
            <v>玄武项链</v>
          </cell>
        </row>
        <row r="109">
          <cell r="A109" t="str">
            <v>10415</v>
          </cell>
          <cell r="B109" t="str">
            <v>暗魔之刃</v>
          </cell>
        </row>
        <row r="110">
          <cell r="A110" t="str">
            <v>20415</v>
          </cell>
          <cell r="B110" t="str">
            <v>暗魔之拳</v>
          </cell>
        </row>
        <row r="111">
          <cell r="A111" t="str">
            <v>30415</v>
          </cell>
          <cell r="B111" t="str">
            <v>暗魔之枪</v>
          </cell>
        </row>
        <row r="112">
          <cell r="A112" t="str">
            <v>51415</v>
          </cell>
          <cell r="B112" t="str">
            <v>暗魔战衣</v>
          </cell>
        </row>
        <row r="113">
          <cell r="A113" t="str">
            <v>52415</v>
          </cell>
          <cell r="B113" t="str">
            <v>暗魔长裤</v>
          </cell>
        </row>
        <row r="114">
          <cell r="A114" t="str">
            <v>55415</v>
          </cell>
          <cell r="B114" t="str">
            <v>暗魔长靴</v>
          </cell>
        </row>
        <row r="115">
          <cell r="A115" t="str">
            <v>54415</v>
          </cell>
          <cell r="B115" t="str">
            <v>暗魔腰带</v>
          </cell>
        </row>
        <row r="116">
          <cell r="A116" t="str">
            <v>53415</v>
          </cell>
          <cell r="B116" t="str">
            <v>暗魔项链</v>
          </cell>
        </row>
        <row r="117">
          <cell r="A117" t="str">
            <v>10116</v>
          </cell>
          <cell r="B117" t="str">
            <v>战爵之刃</v>
          </cell>
        </row>
        <row r="118">
          <cell r="A118" t="str">
            <v>20116</v>
          </cell>
          <cell r="B118" t="str">
            <v>战爵之拳</v>
          </cell>
        </row>
        <row r="119">
          <cell r="A119" t="str">
            <v>30116</v>
          </cell>
          <cell r="B119" t="str">
            <v>战爵之枪</v>
          </cell>
        </row>
        <row r="120">
          <cell r="A120" t="str">
            <v>51116</v>
          </cell>
          <cell r="B120" t="str">
            <v>战爵之衣</v>
          </cell>
        </row>
        <row r="121">
          <cell r="A121" t="str">
            <v>52116</v>
          </cell>
          <cell r="B121" t="str">
            <v>战爵长裤</v>
          </cell>
        </row>
        <row r="122">
          <cell r="A122" t="str">
            <v>55116</v>
          </cell>
          <cell r="B122" t="str">
            <v>战爵长靴</v>
          </cell>
        </row>
        <row r="123">
          <cell r="A123" t="str">
            <v>54116</v>
          </cell>
          <cell r="B123" t="str">
            <v>战爵腰带</v>
          </cell>
        </row>
        <row r="124">
          <cell r="A124" t="str">
            <v>53116</v>
          </cell>
          <cell r="B124" t="str">
            <v>战爵项链</v>
          </cell>
        </row>
        <row r="125">
          <cell r="A125" t="str">
            <v>10217</v>
          </cell>
          <cell r="B125" t="str">
            <v>嗜血之剑</v>
          </cell>
        </row>
        <row r="126">
          <cell r="A126" t="str">
            <v>20217</v>
          </cell>
          <cell r="B126" t="str">
            <v>嗜血拳</v>
          </cell>
        </row>
        <row r="127">
          <cell r="A127" t="str">
            <v>30217</v>
          </cell>
          <cell r="B127" t="str">
            <v>嗜血枪</v>
          </cell>
        </row>
        <row r="128">
          <cell r="A128" t="str">
            <v>51217</v>
          </cell>
          <cell r="B128" t="str">
            <v>嗜血战衣</v>
          </cell>
        </row>
        <row r="129">
          <cell r="A129" t="str">
            <v>52217</v>
          </cell>
          <cell r="B129" t="str">
            <v>嗜血长裤</v>
          </cell>
        </row>
        <row r="130">
          <cell r="A130" t="str">
            <v>55217</v>
          </cell>
          <cell r="B130" t="str">
            <v>嗜血长靴</v>
          </cell>
        </row>
        <row r="131">
          <cell r="A131" t="str">
            <v>54217</v>
          </cell>
          <cell r="B131" t="str">
            <v>嗜血腰带</v>
          </cell>
        </row>
        <row r="132">
          <cell r="A132" t="str">
            <v>53217</v>
          </cell>
          <cell r="B132" t="str">
            <v>嗜血项链</v>
          </cell>
        </row>
        <row r="133">
          <cell r="A133" t="str">
            <v>10318</v>
          </cell>
          <cell r="B133" t="str">
            <v>霸道之刃</v>
          </cell>
        </row>
        <row r="134">
          <cell r="A134" t="str">
            <v>20318</v>
          </cell>
          <cell r="B134" t="str">
            <v>霸道之拳</v>
          </cell>
        </row>
        <row r="135">
          <cell r="A135" t="str">
            <v>30318</v>
          </cell>
          <cell r="B135" t="str">
            <v>霸道之枪</v>
          </cell>
        </row>
        <row r="136">
          <cell r="A136" t="str">
            <v>51318</v>
          </cell>
          <cell r="B136" t="str">
            <v>霸道战衣</v>
          </cell>
        </row>
        <row r="137">
          <cell r="A137" t="str">
            <v>52318</v>
          </cell>
          <cell r="B137" t="str">
            <v>霸道长裤</v>
          </cell>
        </row>
        <row r="138">
          <cell r="A138" t="str">
            <v>55318</v>
          </cell>
          <cell r="B138" t="str">
            <v>霸道长靴</v>
          </cell>
        </row>
        <row r="139">
          <cell r="A139" t="str">
            <v>54318</v>
          </cell>
          <cell r="B139" t="str">
            <v>霸道腰带</v>
          </cell>
        </row>
        <row r="140">
          <cell r="A140" t="str">
            <v>53318</v>
          </cell>
          <cell r="B140" t="str">
            <v>霸道项链</v>
          </cell>
        </row>
        <row r="141">
          <cell r="A141" t="str">
            <v>10419</v>
          </cell>
          <cell r="B141" t="str">
            <v>白虎霸刀</v>
          </cell>
        </row>
        <row r="142">
          <cell r="A142" t="str">
            <v>20419</v>
          </cell>
          <cell r="B142" t="str">
            <v>白虎之拳</v>
          </cell>
        </row>
        <row r="143">
          <cell r="A143" t="str">
            <v>30419</v>
          </cell>
          <cell r="B143" t="str">
            <v>白虎之枪</v>
          </cell>
        </row>
        <row r="144">
          <cell r="A144" t="str">
            <v>51419</v>
          </cell>
          <cell r="B144" t="str">
            <v>白虎战衣</v>
          </cell>
        </row>
        <row r="145">
          <cell r="A145" t="str">
            <v>52419</v>
          </cell>
          <cell r="B145" t="str">
            <v>白虎长裤</v>
          </cell>
        </row>
        <row r="146">
          <cell r="A146" t="str">
            <v>55419</v>
          </cell>
          <cell r="B146" t="str">
            <v>白虎长靴</v>
          </cell>
        </row>
        <row r="147">
          <cell r="A147" t="str">
            <v>54419</v>
          </cell>
          <cell r="B147" t="str">
            <v>白虎腰带</v>
          </cell>
        </row>
        <row r="148">
          <cell r="A148" t="str">
            <v>53419</v>
          </cell>
          <cell r="B148" t="str">
            <v>白虎项链</v>
          </cell>
        </row>
        <row r="149">
          <cell r="A149" t="str">
            <v>10120</v>
          </cell>
          <cell r="B149" t="str">
            <v>堕落之刃</v>
          </cell>
        </row>
        <row r="150">
          <cell r="A150" t="str">
            <v>20120</v>
          </cell>
          <cell r="B150" t="str">
            <v>堕落之拳</v>
          </cell>
        </row>
        <row r="151">
          <cell r="A151" t="str">
            <v>30120</v>
          </cell>
          <cell r="B151" t="str">
            <v>堕落之枪</v>
          </cell>
        </row>
        <row r="152">
          <cell r="A152" t="str">
            <v>51120</v>
          </cell>
          <cell r="B152" t="str">
            <v>堕落战衣</v>
          </cell>
        </row>
        <row r="153">
          <cell r="A153" t="str">
            <v>52120</v>
          </cell>
          <cell r="B153" t="str">
            <v>堕落长裤</v>
          </cell>
        </row>
        <row r="154">
          <cell r="A154" t="str">
            <v>55120</v>
          </cell>
          <cell r="B154" t="str">
            <v>堕落长靴</v>
          </cell>
        </row>
        <row r="155">
          <cell r="A155" t="str">
            <v>54120</v>
          </cell>
          <cell r="B155" t="str">
            <v>堕落腰带</v>
          </cell>
        </row>
        <row r="156">
          <cell r="A156" t="str">
            <v>53120</v>
          </cell>
          <cell r="B156" t="str">
            <v>堕落项链</v>
          </cell>
        </row>
        <row r="157">
          <cell r="A157" t="str">
            <v>10221</v>
          </cell>
          <cell r="B157" t="str">
            <v>幻痛霸刀</v>
          </cell>
        </row>
        <row r="158">
          <cell r="A158" t="str">
            <v>20221</v>
          </cell>
          <cell r="B158" t="str">
            <v>幻痛之拳</v>
          </cell>
        </row>
        <row r="159">
          <cell r="A159" t="str">
            <v>30221</v>
          </cell>
          <cell r="B159" t="str">
            <v>幻痛之枪</v>
          </cell>
        </row>
        <row r="160">
          <cell r="A160" t="str">
            <v>51221</v>
          </cell>
          <cell r="B160" t="str">
            <v>幻痛战衣</v>
          </cell>
        </row>
        <row r="161">
          <cell r="A161" t="str">
            <v>52221</v>
          </cell>
          <cell r="B161" t="str">
            <v>幻痛长裤</v>
          </cell>
        </row>
        <row r="162">
          <cell r="A162" t="str">
            <v>55221</v>
          </cell>
          <cell r="B162" t="str">
            <v>幻痛长靴</v>
          </cell>
        </row>
        <row r="163">
          <cell r="A163" t="str">
            <v>54221</v>
          </cell>
          <cell r="B163" t="str">
            <v>幻痛腰带</v>
          </cell>
        </row>
        <row r="164">
          <cell r="A164" t="str">
            <v>53221</v>
          </cell>
          <cell r="B164" t="str">
            <v>幻痛项链</v>
          </cell>
        </row>
        <row r="165">
          <cell r="A165" t="str">
            <v>10322</v>
          </cell>
          <cell r="B165" t="str">
            <v>焚天之剑</v>
          </cell>
        </row>
        <row r="166">
          <cell r="A166" t="str">
            <v>20322</v>
          </cell>
          <cell r="B166" t="str">
            <v>焚天之拳</v>
          </cell>
        </row>
        <row r="167">
          <cell r="A167" t="str">
            <v>30322</v>
          </cell>
          <cell r="B167" t="str">
            <v>焚天之枪</v>
          </cell>
        </row>
        <row r="168">
          <cell r="A168" t="str">
            <v>51322</v>
          </cell>
          <cell r="B168" t="str">
            <v>焚天战衣</v>
          </cell>
        </row>
        <row r="169">
          <cell r="A169" t="str">
            <v>52322</v>
          </cell>
          <cell r="B169" t="str">
            <v>焚天长裤</v>
          </cell>
        </row>
        <row r="170">
          <cell r="A170" t="str">
            <v>55322</v>
          </cell>
          <cell r="B170" t="str">
            <v>焚天长靴</v>
          </cell>
        </row>
        <row r="171">
          <cell r="A171" t="str">
            <v>54322</v>
          </cell>
          <cell r="B171" t="str">
            <v>焚天腰带</v>
          </cell>
        </row>
        <row r="172">
          <cell r="A172" t="str">
            <v>53322</v>
          </cell>
          <cell r="B172" t="str">
            <v>焚天项链</v>
          </cell>
        </row>
        <row r="173">
          <cell r="A173" t="str">
            <v>10423</v>
          </cell>
          <cell r="B173" t="str">
            <v>朱雀霸刀</v>
          </cell>
        </row>
        <row r="174">
          <cell r="A174" t="str">
            <v>20423</v>
          </cell>
          <cell r="B174" t="str">
            <v>朱雀之拳</v>
          </cell>
        </row>
        <row r="175">
          <cell r="A175" t="str">
            <v>30423</v>
          </cell>
          <cell r="B175" t="str">
            <v>朱雀之枪</v>
          </cell>
        </row>
        <row r="176">
          <cell r="A176" t="str">
            <v>51423</v>
          </cell>
          <cell r="B176" t="str">
            <v>朱雀战衣</v>
          </cell>
        </row>
        <row r="177">
          <cell r="A177" t="str">
            <v>52423</v>
          </cell>
          <cell r="B177" t="str">
            <v>朱雀长裤</v>
          </cell>
        </row>
        <row r="178">
          <cell r="A178" t="str">
            <v>55423</v>
          </cell>
          <cell r="B178" t="str">
            <v>朱雀长靴</v>
          </cell>
        </row>
        <row r="179">
          <cell r="A179" t="str">
            <v>54423</v>
          </cell>
          <cell r="B179" t="str">
            <v>朱雀腰带</v>
          </cell>
        </row>
        <row r="180">
          <cell r="A180" t="str">
            <v>53423</v>
          </cell>
          <cell r="B180" t="str">
            <v>朱雀项链</v>
          </cell>
        </row>
        <row r="181">
          <cell r="A181" t="str">
            <v>10124</v>
          </cell>
          <cell r="B181" t="str">
            <v>高洁之刃</v>
          </cell>
        </row>
        <row r="182">
          <cell r="A182" t="str">
            <v>20124</v>
          </cell>
          <cell r="B182" t="str">
            <v>高洁之拳</v>
          </cell>
        </row>
        <row r="183">
          <cell r="A183" t="str">
            <v>30124</v>
          </cell>
          <cell r="B183" t="str">
            <v>高洁之枪</v>
          </cell>
        </row>
        <row r="184">
          <cell r="A184" t="str">
            <v>51124</v>
          </cell>
          <cell r="B184" t="str">
            <v>高洁战衣</v>
          </cell>
        </row>
        <row r="185">
          <cell r="A185" t="str">
            <v>52124</v>
          </cell>
          <cell r="B185" t="str">
            <v>高洁长裤</v>
          </cell>
        </row>
        <row r="186">
          <cell r="A186" t="str">
            <v>55124</v>
          </cell>
          <cell r="B186" t="str">
            <v>高洁长靴</v>
          </cell>
        </row>
        <row r="187">
          <cell r="A187" t="str">
            <v>54124</v>
          </cell>
          <cell r="B187" t="str">
            <v>高洁腰带</v>
          </cell>
        </row>
        <row r="188">
          <cell r="A188" t="str">
            <v>53124</v>
          </cell>
          <cell r="B188" t="str">
            <v>高洁项链</v>
          </cell>
        </row>
        <row r="189">
          <cell r="A189" t="str">
            <v>10225</v>
          </cell>
          <cell r="B189" t="str">
            <v>星宿之刃</v>
          </cell>
        </row>
        <row r="190">
          <cell r="A190" t="str">
            <v>20225</v>
          </cell>
          <cell r="B190" t="str">
            <v>星宿之拳</v>
          </cell>
        </row>
        <row r="191">
          <cell r="A191" t="str">
            <v>30225</v>
          </cell>
          <cell r="B191" t="str">
            <v>星宿之枪</v>
          </cell>
        </row>
        <row r="192">
          <cell r="A192" t="str">
            <v>51225</v>
          </cell>
          <cell r="B192" t="str">
            <v>星宿战衣</v>
          </cell>
        </row>
        <row r="193">
          <cell r="A193" t="str">
            <v>52225</v>
          </cell>
          <cell r="B193" t="str">
            <v>星宿长裤</v>
          </cell>
        </row>
        <row r="194">
          <cell r="A194" t="str">
            <v>55225</v>
          </cell>
          <cell r="B194" t="str">
            <v>星宿长靴</v>
          </cell>
        </row>
        <row r="195">
          <cell r="A195" t="str">
            <v>54225</v>
          </cell>
          <cell r="B195" t="str">
            <v>星宿腰带</v>
          </cell>
        </row>
        <row r="196">
          <cell r="A196" t="str">
            <v>53225</v>
          </cell>
          <cell r="B196" t="str">
            <v>星宿项链</v>
          </cell>
        </row>
        <row r="197">
          <cell r="A197" t="str">
            <v>10326</v>
          </cell>
          <cell r="B197" t="str">
            <v>炼狱之剑</v>
          </cell>
        </row>
        <row r="198">
          <cell r="A198" t="str">
            <v>20326</v>
          </cell>
          <cell r="B198" t="str">
            <v>炼狱之拳</v>
          </cell>
        </row>
        <row r="199">
          <cell r="A199" t="str">
            <v>30326</v>
          </cell>
          <cell r="B199" t="str">
            <v>炼狱之枪</v>
          </cell>
        </row>
        <row r="200">
          <cell r="A200" t="str">
            <v>51326</v>
          </cell>
          <cell r="B200" t="str">
            <v>炼狱战衣</v>
          </cell>
        </row>
        <row r="201">
          <cell r="A201" t="str">
            <v>52326</v>
          </cell>
          <cell r="B201" t="str">
            <v>炼狱长裤</v>
          </cell>
        </row>
        <row r="202">
          <cell r="A202" t="str">
            <v>55326</v>
          </cell>
          <cell r="B202" t="str">
            <v>炼狱长靴</v>
          </cell>
        </row>
        <row r="203">
          <cell r="A203" t="str">
            <v>54326</v>
          </cell>
          <cell r="B203" t="str">
            <v>炼狱腰带</v>
          </cell>
        </row>
        <row r="204">
          <cell r="A204" t="str">
            <v>53326</v>
          </cell>
          <cell r="B204" t="str">
            <v>炼狱项链</v>
          </cell>
        </row>
        <row r="205">
          <cell r="A205" t="str">
            <v>10427</v>
          </cell>
          <cell r="B205" t="str">
            <v>青龙霸刀</v>
          </cell>
        </row>
        <row r="206">
          <cell r="A206" t="str">
            <v>20427</v>
          </cell>
          <cell r="B206" t="str">
            <v>青龙之拳</v>
          </cell>
        </row>
        <row r="207">
          <cell r="A207" t="str">
            <v>30427</v>
          </cell>
          <cell r="B207" t="str">
            <v>青龙之枪</v>
          </cell>
        </row>
        <row r="208">
          <cell r="A208" t="str">
            <v>51427</v>
          </cell>
          <cell r="B208" t="str">
            <v>青龙战衣</v>
          </cell>
        </row>
        <row r="209">
          <cell r="A209" t="str">
            <v>52427</v>
          </cell>
          <cell r="B209" t="str">
            <v>青龙长裤</v>
          </cell>
        </row>
        <row r="210">
          <cell r="A210" t="str">
            <v>55427</v>
          </cell>
          <cell r="B210" t="str">
            <v>青龙长靴</v>
          </cell>
        </row>
        <row r="211">
          <cell r="A211" t="str">
            <v>54427</v>
          </cell>
          <cell r="B211" t="str">
            <v>青龙腰带</v>
          </cell>
        </row>
        <row r="212">
          <cell r="A212" t="str">
            <v>53427</v>
          </cell>
          <cell r="B212" t="str">
            <v>青龙项链</v>
          </cell>
        </row>
      </sheetData>
      <sheetData sheetId="1">
        <row r="3">
          <cell r="U3">
            <v>85200</v>
          </cell>
        </row>
      </sheetData>
      <sheetData sheetId="2"/>
      <sheetData sheetId="3"/>
      <sheetData sheetId="4"/>
      <sheetData sheetId="5"/>
      <sheetData sheetId="6"/>
      <sheetData sheetId="7">
        <row r="32">
          <cell r="A32" t="str">
            <v>500</v>
          </cell>
        </row>
      </sheetData>
      <sheetData sheetId="8">
        <row r="32">
          <cell r="R32">
            <v>50</v>
          </cell>
        </row>
      </sheetData>
      <sheetData sheetId="9">
        <row r="33">
          <cell r="U33">
            <v>50</v>
          </cell>
        </row>
      </sheetData>
      <sheetData sheetId="10"/>
      <sheetData sheetId="11">
        <row r="4">
          <cell r="F4">
            <v>13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马仔表"/>
      <sheetName val="D_马仔经验"/>
      <sheetName val="马仔辅助经验表"/>
      <sheetName val="马仔等级性价比"/>
      <sheetName val="D_马仔升级属性"/>
      <sheetName val="D_马仔升星灵魂石"/>
      <sheetName val="D_马仔升星属性"/>
      <sheetName val="D_马仔培养进阶属性"/>
      <sheetName val="D_马仔培养宝物"/>
      <sheetName val="D_马仔宝物"/>
      <sheetName val="价值评估"/>
      <sheetName val="D_马仔技能"/>
      <sheetName val="技能辅助表"/>
      <sheetName val="D_马仔BUF表"/>
      <sheetName val="D__马仔援护位开放"/>
      <sheetName val="D_马仔追债任务表"/>
      <sheetName val="马仔追债辅助表"/>
      <sheetName val="D_追债劫掠购买表"/>
      <sheetName val="马仔辅助表"/>
      <sheetName val="马仔培养辅助表"/>
      <sheetName val="马仔"/>
    </sheetNames>
    <sheetDataSet>
      <sheetData sheetId="0">
        <row r="2">
          <cell r="A2">
            <v>101101</v>
          </cell>
          <cell r="B2" t="str">
            <v>制服太妹</v>
          </cell>
        </row>
        <row r="3">
          <cell r="A3">
            <v>101102</v>
          </cell>
          <cell r="B3" t="str">
            <v>蟹仔</v>
          </cell>
        </row>
        <row r="4">
          <cell r="A4">
            <v>101103</v>
          </cell>
          <cell r="B4" t="str">
            <v>比利</v>
          </cell>
        </row>
        <row r="5">
          <cell r="A5">
            <v>101104</v>
          </cell>
          <cell r="B5" t="str">
            <v>黎九</v>
          </cell>
        </row>
        <row r="6">
          <cell r="A6">
            <v>101105</v>
          </cell>
          <cell r="B6" t="str">
            <v>黑古</v>
          </cell>
        </row>
        <row r="7">
          <cell r="A7">
            <v>101106</v>
          </cell>
          <cell r="B7" t="str">
            <v>靓坤</v>
          </cell>
        </row>
        <row r="8">
          <cell r="A8">
            <v>101107</v>
          </cell>
          <cell r="B8" t="str">
            <v>雷复轰</v>
          </cell>
        </row>
        <row r="9">
          <cell r="A9">
            <v>101108</v>
          </cell>
          <cell r="B9" t="str">
            <v>肥仔</v>
          </cell>
        </row>
        <row r="10">
          <cell r="A10">
            <v>101109</v>
          </cell>
          <cell r="B10" t="str">
            <v>司徒浩南</v>
          </cell>
        </row>
        <row r="11">
          <cell r="A11">
            <v>101110</v>
          </cell>
          <cell r="B11" t="str">
            <v>乌鸦</v>
          </cell>
        </row>
        <row r="12">
          <cell r="A12">
            <v>101111</v>
          </cell>
          <cell r="B12" t="str">
            <v>赌王</v>
          </cell>
        </row>
        <row r="13">
          <cell r="A13">
            <v>101112</v>
          </cell>
          <cell r="B13" t="str">
            <v>山下忠秀</v>
          </cell>
        </row>
        <row r="14">
          <cell r="A14">
            <v>101113</v>
          </cell>
          <cell r="B14" t="str">
            <v>宫本一</v>
          </cell>
        </row>
        <row r="15">
          <cell r="A15">
            <v>101114</v>
          </cell>
          <cell r="B15" t="str">
            <v>陈浩南</v>
          </cell>
        </row>
        <row r="16">
          <cell r="A16">
            <v>101115</v>
          </cell>
          <cell r="B16" t="str">
            <v>山鸡</v>
          </cell>
        </row>
        <row r="17">
          <cell r="A17">
            <v>101116</v>
          </cell>
          <cell r="B17" t="str">
            <v>大天二</v>
          </cell>
        </row>
        <row r="18">
          <cell r="A18">
            <v>101117</v>
          </cell>
          <cell r="B18" t="str">
            <v>巴闭</v>
          </cell>
        </row>
        <row r="19">
          <cell r="A19">
            <v>101118</v>
          </cell>
          <cell r="B19" t="str">
            <v>耀阳</v>
          </cell>
        </row>
        <row r="20">
          <cell r="A20">
            <v>101119</v>
          </cell>
          <cell r="B20" t="str">
            <v>笑面虎</v>
          </cell>
        </row>
      </sheetData>
      <sheetData sheetId="1">
        <row r="1">
          <cell r="A1" t="str">
            <v>等级</v>
          </cell>
        </row>
      </sheetData>
      <sheetData sheetId="2"/>
      <sheetData sheetId="3"/>
      <sheetData sheetId="4"/>
      <sheetData sheetId="5">
        <row r="2">
          <cell r="E2">
            <v>10</v>
          </cell>
        </row>
      </sheetData>
      <sheetData sheetId="6"/>
      <sheetData sheetId="7"/>
      <sheetData sheetId="8"/>
      <sheetData sheetId="9">
        <row r="2">
          <cell r="A2">
            <v>92131</v>
          </cell>
          <cell r="B2" t="str">
            <v>幸运戒指</v>
          </cell>
        </row>
        <row r="3">
          <cell r="A3">
            <v>92011</v>
          </cell>
          <cell r="B3" t="str">
            <v>亚诺</v>
          </cell>
        </row>
        <row r="4">
          <cell r="A4">
            <v>92228</v>
          </cell>
          <cell r="B4" t="str">
            <v>银色手环</v>
          </cell>
        </row>
        <row r="5">
          <cell r="A5">
            <v>92232</v>
          </cell>
          <cell r="B5" t="str">
            <v>鎏金手环</v>
          </cell>
        </row>
        <row r="6">
          <cell r="A6">
            <v>92121</v>
          </cell>
          <cell r="B6" t="str">
            <v>镀金耳钉</v>
          </cell>
        </row>
        <row r="7">
          <cell r="A7">
            <v>92243</v>
          </cell>
          <cell r="B7" t="str">
            <v>诅咒项链</v>
          </cell>
        </row>
        <row r="8">
          <cell r="A8">
            <v>92244</v>
          </cell>
          <cell r="B8" t="str">
            <v>金饰项链</v>
          </cell>
        </row>
        <row r="9">
          <cell r="A9">
            <v>92263</v>
          </cell>
          <cell r="B9" t="str">
            <v>银针手表</v>
          </cell>
        </row>
        <row r="10">
          <cell r="A10">
            <v>92277</v>
          </cell>
          <cell r="B10" t="str">
            <v>冬利</v>
          </cell>
        </row>
        <row r="11">
          <cell r="A11">
            <v>92233</v>
          </cell>
          <cell r="B11" t="str">
            <v>白金手环</v>
          </cell>
        </row>
        <row r="12">
          <cell r="A12">
            <v>92122</v>
          </cell>
          <cell r="B12" t="str">
            <v>银饰耳钉</v>
          </cell>
        </row>
        <row r="13">
          <cell r="A13">
            <v>92141</v>
          </cell>
          <cell r="B13" t="str">
            <v>白银戒指</v>
          </cell>
        </row>
        <row r="14">
          <cell r="A14">
            <v>92245</v>
          </cell>
          <cell r="B14" t="str">
            <v>水晶项链</v>
          </cell>
        </row>
        <row r="15">
          <cell r="A15">
            <v>92251</v>
          </cell>
          <cell r="B15" t="str">
            <v>红石项链</v>
          </cell>
        </row>
        <row r="16">
          <cell r="A16">
            <v>92264</v>
          </cell>
          <cell r="B16" t="str">
            <v>越野手表</v>
          </cell>
        </row>
        <row r="17">
          <cell r="A17">
            <v>92271</v>
          </cell>
          <cell r="B17" t="str">
            <v>精准手表</v>
          </cell>
        </row>
        <row r="18">
          <cell r="A18">
            <v>92278</v>
          </cell>
          <cell r="B18" t="str">
            <v>宝驼</v>
          </cell>
        </row>
        <row r="19">
          <cell r="A19">
            <v>92283</v>
          </cell>
          <cell r="B19" t="str">
            <v>小迭钞票</v>
          </cell>
        </row>
        <row r="20">
          <cell r="A20">
            <v>92287</v>
          </cell>
          <cell r="B20" t="str">
            <v>金块</v>
          </cell>
        </row>
        <row r="21">
          <cell r="A21">
            <v>92142</v>
          </cell>
          <cell r="B21" t="str">
            <v>黄金戒指</v>
          </cell>
        </row>
        <row r="22">
          <cell r="A22">
            <v>92235</v>
          </cell>
          <cell r="B22" t="str">
            <v>宝石手环</v>
          </cell>
        </row>
        <row r="23">
          <cell r="A23">
            <v>92012</v>
          </cell>
          <cell r="B23" t="str">
            <v>摩拉</v>
          </cell>
        </row>
        <row r="24">
          <cell r="A24">
            <v>92252</v>
          </cell>
          <cell r="B24" t="str">
            <v>青玉项链</v>
          </cell>
        </row>
        <row r="25">
          <cell r="A25">
            <v>92124</v>
          </cell>
          <cell r="B25" t="str">
            <v>水晶耳钉</v>
          </cell>
        </row>
        <row r="26">
          <cell r="A26">
            <v>92272</v>
          </cell>
          <cell r="B26" t="str">
            <v>金针手表</v>
          </cell>
        </row>
        <row r="27">
          <cell r="A27">
            <v>92273</v>
          </cell>
          <cell r="B27" t="str">
            <v>智能手表</v>
          </cell>
        </row>
        <row r="28">
          <cell r="A28">
            <v>92279</v>
          </cell>
          <cell r="B28" t="str">
            <v>宾倪</v>
          </cell>
        </row>
        <row r="29">
          <cell r="A29">
            <v>92284</v>
          </cell>
          <cell r="B29" t="str">
            <v>大迭钞票</v>
          </cell>
        </row>
        <row r="30">
          <cell r="A30">
            <v>92288</v>
          </cell>
          <cell r="B30" t="str">
            <v>大金块</v>
          </cell>
        </row>
        <row r="31">
          <cell r="A31">
            <v>92125</v>
          </cell>
          <cell r="B31" t="str">
            <v>红石耳钉</v>
          </cell>
        </row>
        <row r="32">
          <cell r="A32">
            <v>92134</v>
          </cell>
          <cell r="B32" t="str">
            <v>毒蝎耳钉</v>
          </cell>
        </row>
        <row r="33">
          <cell r="A33">
            <v>92223</v>
          </cell>
          <cell r="B33" t="str">
            <v>赤金戒指</v>
          </cell>
        </row>
        <row r="34">
          <cell r="A34">
            <v>92227</v>
          </cell>
          <cell r="B34" t="str">
            <v>王者手环</v>
          </cell>
        </row>
        <row r="35">
          <cell r="A35">
            <v>92236</v>
          </cell>
          <cell r="B35" t="str">
            <v>符文手环</v>
          </cell>
        </row>
        <row r="36">
          <cell r="A36">
            <v>92013</v>
          </cell>
          <cell r="B36" t="str">
            <v>月立</v>
          </cell>
        </row>
        <row r="37">
          <cell r="A37">
            <v>92253</v>
          </cell>
          <cell r="B37" t="str">
            <v>猫妖项链</v>
          </cell>
        </row>
        <row r="38">
          <cell r="A38">
            <v>92254</v>
          </cell>
          <cell r="B38" t="str">
            <v>苍蓝项链</v>
          </cell>
        </row>
        <row r="39">
          <cell r="A39">
            <v>92274</v>
          </cell>
          <cell r="B39" t="str">
            <v>汉密手表</v>
          </cell>
        </row>
        <row r="40">
          <cell r="A40">
            <v>92280</v>
          </cell>
          <cell r="B40" t="str">
            <v>法拉捷</v>
          </cell>
        </row>
        <row r="41">
          <cell r="A41">
            <v>92285</v>
          </cell>
          <cell r="B41" t="str">
            <v>大堆钞票</v>
          </cell>
        </row>
        <row r="42">
          <cell r="A42">
            <v>92289</v>
          </cell>
          <cell r="B42" t="str">
            <v>小堆金块</v>
          </cell>
        </row>
        <row r="43">
          <cell r="A43">
            <v>92014</v>
          </cell>
          <cell r="B43" t="str">
            <v>菠萝</v>
          </cell>
        </row>
        <row r="44">
          <cell r="A44">
            <v>92296</v>
          </cell>
          <cell r="B44" t="str">
            <v>星光红石</v>
          </cell>
        </row>
        <row r="45">
          <cell r="A45">
            <v>92240</v>
          </cell>
          <cell r="B45" t="str">
            <v>苍蓝戒指</v>
          </cell>
        </row>
        <row r="46">
          <cell r="A46">
            <v>92292</v>
          </cell>
          <cell r="B46" t="str">
            <v>金饰宝盒</v>
          </cell>
        </row>
        <row r="47">
          <cell r="A47">
            <v>92256</v>
          </cell>
          <cell r="B47" t="str">
            <v>圣徒项链</v>
          </cell>
        </row>
        <row r="48">
          <cell r="A48">
            <v>92261</v>
          </cell>
          <cell r="B48" t="str">
            <v>贵族项链</v>
          </cell>
        </row>
        <row r="49">
          <cell r="A49">
            <v>92275</v>
          </cell>
          <cell r="B49" t="str">
            <v>千国手表</v>
          </cell>
        </row>
        <row r="50">
          <cell r="A50">
            <v>92281</v>
          </cell>
          <cell r="B50" t="str">
            <v>红博机利</v>
          </cell>
        </row>
        <row r="51">
          <cell r="A51">
            <v>92286</v>
          </cell>
          <cell r="B51" t="str">
            <v>巨额钞票</v>
          </cell>
        </row>
        <row r="52">
          <cell r="A52">
            <v>92290</v>
          </cell>
          <cell r="B52" t="str">
            <v>大堆金块</v>
          </cell>
        </row>
        <row r="53">
          <cell r="A53">
            <v>92026</v>
          </cell>
          <cell r="B53" t="str">
            <v>深蓝</v>
          </cell>
        </row>
        <row r="54">
          <cell r="A54">
            <v>92255</v>
          </cell>
          <cell r="B54" t="str">
            <v>黑耀项链</v>
          </cell>
        </row>
        <row r="55">
          <cell r="A55">
            <v>92297</v>
          </cell>
          <cell r="B55" t="str">
            <v>翠绿之心</v>
          </cell>
        </row>
        <row r="56">
          <cell r="A56">
            <v>92293</v>
          </cell>
          <cell r="B56" t="str">
            <v>珍珠宝盒</v>
          </cell>
        </row>
        <row r="57">
          <cell r="A57">
            <v>92294</v>
          </cell>
          <cell r="B57" t="str">
            <v>古董宝盒</v>
          </cell>
        </row>
        <row r="58">
          <cell r="A58">
            <v>92295</v>
          </cell>
          <cell r="B58" t="str">
            <v>水晶宝盒</v>
          </cell>
        </row>
        <row r="59">
          <cell r="A59">
            <v>92262</v>
          </cell>
          <cell r="B59" t="str">
            <v>皇家项链</v>
          </cell>
        </row>
        <row r="60">
          <cell r="A60">
            <v>92298</v>
          </cell>
          <cell r="B60" t="str">
            <v>海洋之泪</v>
          </cell>
        </row>
        <row r="61">
          <cell r="A61">
            <v>92276</v>
          </cell>
          <cell r="B61" t="str">
            <v>壕利手表</v>
          </cell>
        </row>
        <row r="62">
          <cell r="A62">
            <v>92282</v>
          </cell>
          <cell r="B62" t="str">
            <v>劳莱斯特</v>
          </cell>
        </row>
        <row r="63">
          <cell r="A63">
            <v>92299</v>
          </cell>
          <cell r="B63" t="str">
            <v>房产证</v>
          </cell>
        </row>
        <row r="64">
          <cell r="A64">
            <v>92291</v>
          </cell>
          <cell r="B64" t="str">
            <v>巨量金块</v>
          </cell>
        </row>
        <row r="65">
          <cell r="A65">
            <v>93233</v>
          </cell>
          <cell r="B65" t="str">
            <v>白金手环碎片</v>
          </cell>
        </row>
        <row r="66">
          <cell r="A66">
            <v>93122</v>
          </cell>
          <cell r="B66" t="str">
            <v>银饰耳钉碎片</v>
          </cell>
        </row>
        <row r="67">
          <cell r="A67">
            <v>93141</v>
          </cell>
          <cell r="B67" t="str">
            <v>白银戒指碎片</v>
          </cell>
        </row>
        <row r="68">
          <cell r="A68">
            <v>93245</v>
          </cell>
          <cell r="B68" t="str">
            <v>水晶项链碎片</v>
          </cell>
        </row>
        <row r="69">
          <cell r="A69">
            <v>93251</v>
          </cell>
          <cell r="B69" t="str">
            <v>红石项链碎片</v>
          </cell>
        </row>
        <row r="70">
          <cell r="A70">
            <v>93264</v>
          </cell>
          <cell r="B70" t="str">
            <v>越野手表碎片</v>
          </cell>
        </row>
        <row r="71">
          <cell r="A71">
            <v>93271</v>
          </cell>
          <cell r="B71" t="str">
            <v>精准手表碎片</v>
          </cell>
        </row>
        <row r="72">
          <cell r="A72">
            <v>93278</v>
          </cell>
          <cell r="B72" t="str">
            <v>宝驼碎片</v>
          </cell>
        </row>
        <row r="73">
          <cell r="A73">
            <v>93283</v>
          </cell>
          <cell r="B73" t="str">
            <v>小迭钞票碎片</v>
          </cell>
        </row>
        <row r="74">
          <cell r="A74">
            <v>93287</v>
          </cell>
          <cell r="B74" t="str">
            <v>金块碎片</v>
          </cell>
        </row>
        <row r="75">
          <cell r="A75">
            <v>93142</v>
          </cell>
          <cell r="B75" t="str">
            <v>黄金戒指碎片</v>
          </cell>
        </row>
        <row r="76">
          <cell r="A76">
            <v>93235</v>
          </cell>
          <cell r="B76" t="str">
            <v>宝石手环碎片</v>
          </cell>
        </row>
        <row r="77">
          <cell r="A77">
            <v>93012</v>
          </cell>
          <cell r="B77" t="str">
            <v>摩拉碎片</v>
          </cell>
        </row>
        <row r="78">
          <cell r="A78">
            <v>93252</v>
          </cell>
          <cell r="B78" t="str">
            <v>青玉项链碎片</v>
          </cell>
        </row>
        <row r="79">
          <cell r="A79">
            <v>93124</v>
          </cell>
          <cell r="B79" t="str">
            <v>水晶耳钉碎片</v>
          </cell>
        </row>
        <row r="80">
          <cell r="A80">
            <v>93272</v>
          </cell>
          <cell r="B80" t="str">
            <v>金针手表碎片</v>
          </cell>
        </row>
        <row r="81">
          <cell r="A81">
            <v>93273</v>
          </cell>
          <cell r="B81" t="str">
            <v>智能手表碎片</v>
          </cell>
        </row>
        <row r="82">
          <cell r="A82">
            <v>93279</v>
          </cell>
          <cell r="B82" t="str">
            <v>宾倪碎片</v>
          </cell>
        </row>
        <row r="83">
          <cell r="A83">
            <v>93284</v>
          </cell>
          <cell r="B83" t="str">
            <v>大迭钞票碎片</v>
          </cell>
        </row>
        <row r="84">
          <cell r="A84">
            <v>93288</v>
          </cell>
          <cell r="B84" t="str">
            <v>大金块碎片</v>
          </cell>
        </row>
        <row r="85">
          <cell r="A85">
            <v>93125</v>
          </cell>
          <cell r="B85" t="str">
            <v>红石耳钉碎片</v>
          </cell>
        </row>
        <row r="86">
          <cell r="A86">
            <v>93134</v>
          </cell>
          <cell r="B86" t="str">
            <v>毒蝎耳钉碎片</v>
          </cell>
        </row>
        <row r="87">
          <cell r="A87">
            <v>93223</v>
          </cell>
          <cell r="B87" t="str">
            <v>赤金戒指碎片</v>
          </cell>
        </row>
        <row r="88">
          <cell r="A88">
            <v>93227</v>
          </cell>
          <cell r="B88" t="str">
            <v>王者手环碎片</v>
          </cell>
        </row>
        <row r="89">
          <cell r="A89">
            <v>93236</v>
          </cell>
          <cell r="B89" t="str">
            <v>符文手环碎片</v>
          </cell>
        </row>
        <row r="90">
          <cell r="A90">
            <v>93013</v>
          </cell>
          <cell r="B90" t="str">
            <v>月立碎片</v>
          </cell>
        </row>
        <row r="91">
          <cell r="A91">
            <v>93253</v>
          </cell>
          <cell r="B91" t="str">
            <v>猫妖项链碎片</v>
          </cell>
        </row>
        <row r="92">
          <cell r="A92">
            <v>93254</v>
          </cell>
          <cell r="B92" t="str">
            <v>苍蓝项链碎片</v>
          </cell>
        </row>
        <row r="93">
          <cell r="A93">
            <v>93274</v>
          </cell>
          <cell r="B93" t="str">
            <v>汉密手表碎片</v>
          </cell>
        </row>
        <row r="94">
          <cell r="A94">
            <v>93280</v>
          </cell>
          <cell r="B94" t="str">
            <v>法拉捷碎片</v>
          </cell>
        </row>
        <row r="95">
          <cell r="A95">
            <v>93285</v>
          </cell>
          <cell r="B95" t="str">
            <v>大堆钞票碎片</v>
          </cell>
        </row>
        <row r="96">
          <cell r="A96">
            <v>93289</v>
          </cell>
          <cell r="B96" t="str">
            <v>小堆金块碎片</v>
          </cell>
        </row>
        <row r="97">
          <cell r="A97">
            <v>93014</v>
          </cell>
          <cell r="B97" t="str">
            <v>菠萝碎片</v>
          </cell>
        </row>
        <row r="98">
          <cell r="A98">
            <v>93296</v>
          </cell>
          <cell r="B98" t="str">
            <v>星光红石碎片</v>
          </cell>
        </row>
        <row r="99">
          <cell r="A99">
            <v>93240</v>
          </cell>
          <cell r="B99" t="str">
            <v>苍蓝戒指碎片</v>
          </cell>
        </row>
        <row r="100">
          <cell r="A100">
            <v>93292</v>
          </cell>
          <cell r="B100" t="str">
            <v>金饰宝盒碎片</v>
          </cell>
        </row>
        <row r="101">
          <cell r="A101">
            <v>93256</v>
          </cell>
          <cell r="B101" t="str">
            <v>圣徒项链碎片</v>
          </cell>
        </row>
        <row r="102">
          <cell r="A102">
            <v>93261</v>
          </cell>
          <cell r="B102" t="str">
            <v>贵族项链碎片</v>
          </cell>
        </row>
        <row r="103">
          <cell r="A103">
            <v>93275</v>
          </cell>
          <cell r="B103" t="str">
            <v>千国手表碎片</v>
          </cell>
        </row>
        <row r="104">
          <cell r="A104">
            <v>93281</v>
          </cell>
          <cell r="B104" t="str">
            <v>红博机利碎片</v>
          </cell>
        </row>
        <row r="105">
          <cell r="A105">
            <v>93286</v>
          </cell>
          <cell r="B105" t="str">
            <v>巨额钞票碎片</v>
          </cell>
        </row>
        <row r="106">
          <cell r="A106">
            <v>93290</v>
          </cell>
          <cell r="B106" t="str">
            <v>大堆金块碎片</v>
          </cell>
        </row>
        <row r="107">
          <cell r="A107">
            <v>93026</v>
          </cell>
          <cell r="B107" t="str">
            <v>深蓝碎片</v>
          </cell>
        </row>
        <row r="108">
          <cell r="A108">
            <v>93255</v>
          </cell>
          <cell r="B108" t="str">
            <v>黑耀项链碎片</v>
          </cell>
        </row>
        <row r="109">
          <cell r="A109">
            <v>93297</v>
          </cell>
          <cell r="B109" t="str">
            <v>翠绿之心碎片</v>
          </cell>
        </row>
        <row r="110">
          <cell r="A110">
            <v>93293</v>
          </cell>
          <cell r="B110" t="str">
            <v>珍珠宝盒碎片</v>
          </cell>
        </row>
        <row r="111">
          <cell r="A111">
            <v>93294</v>
          </cell>
          <cell r="B111" t="str">
            <v>古董宝盒碎片</v>
          </cell>
        </row>
        <row r="112">
          <cell r="A112">
            <v>93295</v>
          </cell>
          <cell r="B112" t="str">
            <v>水晶宝盒碎片</v>
          </cell>
        </row>
        <row r="113">
          <cell r="A113">
            <v>93262</v>
          </cell>
          <cell r="B113" t="str">
            <v>皇家项链碎片</v>
          </cell>
        </row>
        <row r="114">
          <cell r="A114">
            <v>93298</v>
          </cell>
          <cell r="B114" t="str">
            <v>海洋之泪碎片</v>
          </cell>
        </row>
        <row r="115">
          <cell r="A115">
            <v>93276</v>
          </cell>
          <cell r="B115" t="str">
            <v>壕利手表碎片</v>
          </cell>
        </row>
        <row r="116">
          <cell r="A116">
            <v>93282</v>
          </cell>
          <cell r="B116" t="str">
            <v>劳莱斯特碎片</v>
          </cell>
        </row>
        <row r="117">
          <cell r="A117">
            <v>93299</v>
          </cell>
          <cell r="B117" t="str">
            <v>房产证碎片</v>
          </cell>
        </row>
        <row r="118">
          <cell r="A118">
            <v>93291</v>
          </cell>
          <cell r="B118" t="str">
            <v>巨量金块碎片</v>
          </cell>
        </row>
      </sheetData>
      <sheetData sheetId="10">
        <row r="3">
          <cell r="E3">
            <v>6.09656012947488E-4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称号"/>
      <sheetName val="称号辅助表"/>
      <sheetName val="称号估值"/>
    </sheetNames>
    <sheetDataSet>
      <sheetData sheetId="0">
        <row r="2">
          <cell r="A2">
            <v>59001</v>
          </cell>
          <cell r="C2" t="str">
            <v>洪兴新星</v>
          </cell>
        </row>
        <row r="3">
          <cell r="A3">
            <v>59002</v>
          </cell>
          <cell r="C3" t="str">
            <v>洪兴打仔</v>
          </cell>
        </row>
        <row r="4">
          <cell r="A4">
            <v>59003</v>
          </cell>
          <cell r="C4" t="str">
            <v>扛把子</v>
          </cell>
        </row>
        <row r="5">
          <cell r="A5">
            <v>59004</v>
          </cell>
          <cell r="C5" t="str">
            <v>二路元帅</v>
          </cell>
        </row>
        <row r="6">
          <cell r="A6">
            <v>59005</v>
          </cell>
          <cell r="C6" t="str">
            <v>战无不胜</v>
          </cell>
        </row>
        <row r="7">
          <cell r="A7">
            <v>59006</v>
          </cell>
          <cell r="C7" t="str">
            <v>猛龙过江</v>
          </cell>
        </row>
        <row r="8">
          <cell r="A8">
            <v>59007</v>
          </cell>
          <cell r="C8" t="str">
            <v>神之手</v>
          </cell>
        </row>
        <row r="9">
          <cell r="A9">
            <v>59008</v>
          </cell>
          <cell r="C9" t="str">
            <v>富甲一方</v>
          </cell>
        </row>
        <row r="10">
          <cell r="A10">
            <v>59009</v>
          </cell>
          <cell r="C10" t="str">
            <v>壕气冲天</v>
          </cell>
        </row>
        <row r="11">
          <cell r="A11">
            <v>59010</v>
          </cell>
          <cell r="C11" t="str">
            <v>富可敌国</v>
          </cell>
        </row>
        <row r="12">
          <cell r="A12">
            <v>59030</v>
          </cell>
          <cell r="C12" t="str">
            <v>洪兴小财主</v>
          </cell>
        </row>
      </sheetData>
      <sheetData sheetId="1">
        <row r="3">
          <cell r="D3">
            <v>5</v>
          </cell>
        </row>
      </sheetData>
      <sheetData sheetId="2">
        <row r="2">
          <cell r="C2">
            <v>40.883264194285957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FL815"/>
  <sheetViews>
    <sheetView tabSelected="1" zoomScaleNormal="100" workbookViewId="0">
      <pane xSplit="5" ySplit="1" topLeftCell="F161" activePane="bottomRight" state="frozen"/>
      <selection pane="topRight" activeCell="E1" sqref="E1"/>
      <selection pane="bottomLeft" activeCell="A2" sqref="A2"/>
      <selection pane="bottomRight" activeCell="I177" sqref="I177"/>
    </sheetView>
  </sheetViews>
  <sheetFormatPr defaultColWidth="9" defaultRowHeight="13.5" x14ac:dyDescent="0.15"/>
  <cols>
    <col min="1" max="1" width="12" style="8" customWidth="1"/>
    <col min="2" max="2" width="24.625" style="8" customWidth="1"/>
    <col min="3" max="3" width="5.5" style="8" customWidth="1"/>
    <col min="4" max="5" width="9.5" style="8" bestFit="1" customWidth="1"/>
    <col min="6" max="6" width="9.5" style="8" customWidth="1"/>
    <col min="7" max="7" width="19.375" style="8" bestFit="1" customWidth="1"/>
    <col min="8" max="8" width="8.875" style="8" customWidth="1"/>
    <col min="9" max="9" width="6.75" style="8" customWidth="1"/>
    <col min="10" max="10" width="8" style="10" customWidth="1"/>
    <col min="11" max="11" width="18.625" style="10" customWidth="1"/>
    <col min="12" max="12" width="8.75" style="10" customWidth="1"/>
    <col min="13" max="13" width="6.5" style="10" customWidth="1"/>
    <col min="14" max="14" width="8" style="10" customWidth="1"/>
    <col min="15" max="15" width="16.125" style="10" bestFit="1" customWidth="1"/>
    <col min="16" max="16" width="7.875" style="10" customWidth="1"/>
    <col min="17" max="17" width="5.5" style="10" customWidth="1"/>
    <col min="18" max="18" width="8" style="10" customWidth="1"/>
    <col min="19" max="19" width="16.125" style="10" bestFit="1" customWidth="1"/>
    <col min="20" max="20" width="8.625" style="10" customWidth="1"/>
    <col min="21" max="21" width="5.5" style="10" customWidth="1"/>
    <col min="22" max="22" width="6.75" style="10" customWidth="1"/>
    <col min="23" max="23" width="15" style="10" bestFit="1" customWidth="1"/>
    <col min="24" max="24" width="7.875" style="10" customWidth="1"/>
    <col min="25" max="25" width="5" style="10" customWidth="1"/>
    <col min="26" max="26" width="8" style="10" customWidth="1"/>
    <col min="27" max="27" width="15" style="10" bestFit="1" customWidth="1"/>
    <col min="28" max="28" width="8.125" style="10" customWidth="1"/>
    <col min="29" max="29" width="5.125" style="10" customWidth="1"/>
    <col min="30" max="30" width="7.5" style="10" customWidth="1"/>
    <col min="31" max="31" width="13.875" style="10" customWidth="1"/>
    <col min="32" max="32" width="7.25" style="10" customWidth="1"/>
    <col min="33" max="33" width="5.125" style="10" customWidth="1"/>
    <col min="34" max="34" width="7.375" style="10" customWidth="1"/>
    <col min="35" max="35" width="16.125" style="10" bestFit="1" customWidth="1"/>
    <col min="36" max="36" width="6.875" style="10" customWidth="1"/>
    <col min="37" max="37" width="5.125" style="10" customWidth="1"/>
    <col min="38" max="38" width="7.5" style="10" customWidth="1"/>
    <col min="39" max="39" width="16.125" style="10" bestFit="1" customWidth="1"/>
    <col min="40" max="40" width="7.75" style="10" customWidth="1"/>
    <col min="41" max="41" width="5.5" style="10" customWidth="1"/>
    <col min="42" max="42" width="6.75" style="10" customWidth="1"/>
    <col min="43" max="43" width="14.125" style="10" customWidth="1"/>
    <col min="44" max="44" width="7.5" style="10" customWidth="1"/>
    <col min="45" max="45" width="5.5" style="10" customWidth="1"/>
    <col min="46" max="46" width="7.375" style="10" customWidth="1"/>
    <col min="47" max="47" width="16.125" style="10" bestFit="1" customWidth="1"/>
    <col min="48" max="48" width="7" style="10" customWidth="1"/>
    <col min="49" max="49" width="5.625" style="10" customWidth="1"/>
    <col min="50" max="50" width="7.75" style="10" customWidth="1"/>
    <col min="51" max="51" width="16.125" style="10" bestFit="1" customWidth="1"/>
    <col min="52" max="52" width="6.5" style="10" customWidth="1"/>
    <col min="53" max="53" width="4.75" style="10" customWidth="1"/>
    <col min="54" max="54" width="7.25" style="10" customWidth="1"/>
    <col min="55" max="55" width="12.875" style="8" customWidth="1"/>
    <col min="56" max="56" width="7.125" style="10" customWidth="1"/>
    <col min="57" max="58" width="8.875" style="8" customWidth="1"/>
    <col min="59" max="59" width="15.5" style="8" customWidth="1"/>
    <col min="60" max="60" width="7.5" style="10" customWidth="1"/>
    <col min="61" max="62" width="8.875" style="8" customWidth="1"/>
    <col min="63" max="63" width="15.75" style="8" customWidth="1"/>
    <col min="64" max="64" width="8.125" style="10" customWidth="1"/>
    <col min="65" max="66" width="8.875" style="8" customWidth="1"/>
    <col min="67" max="16384" width="9" style="8"/>
  </cols>
  <sheetData>
    <row r="1" spans="1:168" x14ac:dyDescent="0.15">
      <c r="A1" s="9" t="s">
        <v>0</v>
      </c>
      <c r="B1" s="9" t="s">
        <v>115</v>
      </c>
      <c r="C1" s="9" t="s">
        <v>164</v>
      </c>
      <c r="D1" s="9" t="s">
        <v>1</v>
      </c>
      <c r="E1" s="9" t="s">
        <v>2</v>
      </c>
      <c r="F1" s="9" t="s">
        <v>958</v>
      </c>
      <c r="G1" s="8" t="s">
        <v>97</v>
      </c>
      <c r="H1" s="12" t="s">
        <v>3</v>
      </c>
      <c r="I1" s="12" t="s">
        <v>4</v>
      </c>
      <c r="J1" s="12" t="s">
        <v>5</v>
      </c>
      <c r="K1" s="19" t="s">
        <v>98</v>
      </c>
      <c r="L1" s="12" t="s">
        <v>6</v>
      </c>
      <c r="M1" s="12" t="s">
        <v>15</v>
      </c>
      <c r="N1" s="12" t="s">
        <v>86</v>
      </c>
      <c r="O1" s="10" t="s">
        <v>99</v>
      </c>
      <c r="P1" s="12" t="s">
        <v>7</v>
      </c>
      <c r="Q1" s="12" t="s">
        <v>16</v>
      </c>
      <c r="R1" s="12" t="s">
        <v>87</v>
      </c>
      <c r="S1" s="10" t="s">
        <v>100</v>
      </c>
      <c r="T1" s="12" t="s">
        <v>8</v>
      </c>
      <c r="U1" s="12" t="s">
        <v>18</v>
      </c>
      <c r="V1" s="12" t="s">
        <v>88</v>
      </c>
      <c r="W1" s="10" t="s">
        <v>101</v>
      </c>
      <c r="X1" s="12" t="s">
        <v>9</v>
      </c>
      <c r="Y1" s="12" t="s">
        <v>20</v>
      </c>
      <c r="Z1" s="12" t="s">
        <v>89</v>
      </c>
      <c r="AA1" s="10" t="s">
        <v>102</v>
      </c>
      <c r="AB1" s="12" t="s">
        <v>22</v>
      </c>
      <c r="AC1" s="12" t="s">
        <v>23</v>
      </c>
      <c r="AD1" s="12" t="s">
        <v>90</v>
      </c>
      <c r="AE1" s="10" t="s">
        <v>103</v>
      </c>
      <c r="AF1" s="12" t="s">
        <v>25</v>
      </c>
      <c r="AG1" s="12" t="s">
        <v>26</v>
      </c>
      <c r="AH1" s="12" t="s">
        <v>91</v>
      </c>
      <c r="AI1" s="10" t="s">
        <v>104</v>
      </c>
      <c r="AJ1" s="12" t="s">
        <v>28</v>
      </c>
      <c r="AK1" s="12" t="s">
        <v>29</v>
      </c>
      <c r="AL1" s="12" t="s">
        <v>92</v>
      </c>
      <c r="AM1" s="10" t="s">
        <v>105</v>
      </c>
      <c r="AN1" s="12" t="s">
        <v>31</v>
      </c>
      <c r="AO1" s="12" t="s">
        <v>32</v>
      </c>
      <c r="AP1" s="12" t="s">
        <v>93</v>
      </c>
      <c r="AQ1" s="10" t="s">
        <v>106</v>
      </c>
      <c r="AR1" s="12" t="s">
        <v>34</v>
      </c>
      <c r="AS1" s="12" t="s">
        <v>35</v>
      </c>
      <c r="AT1" s="12" t="s">
        <v>94</v>
      </c>
      <c r="AU1" s="10" t="s">
        <v>107</v>
      </c>
      <c r="AV1" s="12" t="s">
        <v>37</v>
      </c>
      <c r="AW1" s="12" t="s">
        <v>38</v>
      </c>
      <c r="AX1" s="12" t="s">
        <v>95</v>
      </c>
      <c r="AY1" s="10" t="s">
        <v>108</v>
      </c>
      <c r="AZ1" s="12" t="s">
        <v>40</v>
      </c>
      <c r="BA1" s="12" t="s">
        <v>41</v>
      </c>
      <c r="BB1" s="12" t="s">
        <v>96</v>
      </c>
      <c r="BC1" s="10" t="s">
        <v>109</v>
      </c>
      <c r="BD1" s="12" t="s">
        <v>43</v>
      </c>
      <c r="BE1" s="12" t="s">
        <v>44</v>
      </c>
      <c r="BF1" s="12" t="s">
        <v>110</v>
      </c>
      <c r="BG1" s="10" t="s">
        <v>111</v>
      </c>
      <c r="BH1" s="12" t="s">
        <v>46</v>
      </c>
      <c r="BI1" s="12" t="s">
        <v>47</v>
      </c>
      <c r="BJ1" s="12" t="s">
        <v>112</v>
      </c>
      <c r="BK1" s="10" t="s">
        <v>113</v>
      </c>
      <c r="BL1" s="12" t="s">
        <v>49</v>
      </c>
      <c r="BM1" s="12" t="s">
        <v>50</v>
      </c>
      <c r="BN1" s="12" t="s">
        <v>114</v>
      </c>
      <c r="BO1" s="10" t="s">
        <v>1128</v>
      </c>
      <c r="BP1" s="12" t="s">
        <v>1053</v>
      </c>
      <c r="BQ1" s="12" t="s">
        <v>1054</v>
      </c>
      <c r="BR1" s="12" t="s">
        <v>1055</v>
      </c>
      <c r="BS1" s="10" t="s">
        <v>1129</v>
      </c>
      <c r="BT1" s="12" t="s">
        <v>1056</v>
      </c>
      <c r="BU1" s="12" t="s">
        <v>1057</v>
      </c>
      <c r="BV1" s="12" t="s">
        <v>1058</v>
      </c>
      <c r="BW1" s="10" t="s">
        <v>1130</v>
      </c>
      <c r="BX1" s="12" t="s">
        <v>1059</v>
      </c>
      <c r="BY1" s="12" t="s">
        <v>1060</v>
      </c>
      <c r="BZ1" s="12" t="s">
        <v>1061</v>
      </c>
      <c r="CA1" s="10" t="s">
        <v>1131</v>
      </c>
      <c r="CB1" s="12" t="s">
        <v>1062</v>
      </c>
      <c r="CC1" s="12" t="s">
        <v>1063</v>
      </c>
      <c r="CD1" s="12" t="s">
        <v>1064</v>
      </c>
      <c r="CE1" s="10" t="s">
        <v>1132</v>
      </c>
      <c r="CF1" s="12" t="s">
        <v>1065</v>
      </c>
      <c r="CG1" s="12" t="s">
        <v>1066</v>
      </c>
      <c r="CH1" s="12" t="s">
        <v>1067</v>
      </c>
      <c r="CI1" s="10" t="s">
        <v>1133</v>
      </c>
      <c r="CJ1" s="12" t="s">
        <v>1068</v>
      </c>
      <c r="CK1" s="12" t="s">
        <v>1069</v>
      </c>
      <c r="CL1" s="12" t="s">
        <v>1070</v>
      </c>
      <c r="CM1" s="10" t="s">
        <v>1134</v>
      </c>
      <c r="CN1" s="12" t="s">
        <v>1071</v>
      </c>
      <c r="CO1" s="12" t="s">
        <v>1072</v>
      </c>
      <c r="CP1" s="12" t="s">
        <v>1073</v>
      </c>
      <c r="CQ1" s="10" t="s">
        <v>1135</v>
      </c>
      <c r="CR1" s="12" t="s">
        <v>1074</v>
      </c>
      <c r="CS1" s="12" t="s">
        <v>1075</v>
      </c>
      <c r="CT1" s="12" t="s">
        <v>1076</v>
      </c>
      <c r="CU1" s="10" t="s">
        <v>1136</v>
      </c>
      <c r="CV1" s="12" t="s">
        <v>1077</v>
      </c>
      <c r="CW1" s="12" t="s">
        <v>1078</v>
      </c>
      <c r="CX1" s="12" t="s">
        <v>1079</v>
      </c>
      <c r="CY1" s="10" t="s">
        <v>1137</v>
      </c>
      <c r="CZ1" s="12" t="s">
        <v>1080</v>
      </c>
      <c r="DA1" s="12" t="s">
        <v>1081</v>
      </c>
      <c r="DB1" s="12" t="s">
        <v>1082</v>
      </c>
      <c r="DC1" s="10" t="s">
        <v>1138</v>
      </c>
      <c r="DD1" s="12" t="s">
        <v>1083</v>
      </c>
      <c r="DE1" s="12" t="s">
        <v>1084</v>
      </c>
      <c r="DF1" s="12" t="s">
        <v>1085</v>
      </c>
      <c r="DG1" s="10" t="s">
        <v>1139</v>
      </c>
      <c r="DH1" s="12" t="s">
        <v>1086</v>
      </c>
      <c r="DI1" s="12" t="s">
        <v>1087</v>
      </c>
      <c r="DJ1" s="12" t="s">
        <v>1088</v>
      </c>
      <c r="DK1" s="10" t="s">
        <v>1140</v>
      </c>
      <c r="DL1" s="12" t="s">
        <v>1089</v>
      </c>
      <c r="DM1" s="12" t="s">
        <v>1090</v>
      </c>
      <c r="DN1" s="12" t="s">
        <v>1091</v>
      </c>
      <c r="DO1" s="10" t="s">
        <v>1141</v>
      </c>
      <c r="DP1" s="12" t="s">
        <v>1092</v>
      </c>
      <c r="DQ1" s="12" t="s">
        <v>1093</v>
      </c>
      <c r="DR1" s="12" t="s">
        <v>1094</v>
      </c>
      <c r="DS1" s="10" t="s">
        <v>1142</v>
      </c>
      <c r="DT1" s="12" t="s">
        <v>1095</v>
      </c>
      <c r="DU1" s="12" t="s">
        <v>1096</v>
      </c>
      <c r="DV1" s="12" t="s">
        <v>1097</v>
      </c>
      <c r="DW1" s="10" t="s">
        <v>1143</v>
      </c>
      <c r="DX1" s="12" t="s">
        <v>1098</v>
      </c>
      <c r="DY1" s="12" t="s">
        <v>1099</v>
      </c>
      <c r="DZ1" s="12" t="s">
        <v>1100</v>
      </c>
      <c r="EA1" s="10" t="s">
        <v>1144</v>
      </c>
      <c r="EB1" s="12" t="s">
        <v>1101</v>
      </c>
      <c r="EC1" s="12" t="s">
        <v>1102</v>
      </c>
      <c r="ED1" s="12" t="s">
        <v>1103</v>
      </c>
      <c r="EE1" s="10" t="s">
        <v>1145</v>
      </c>
      <c r="EF1" s="12" t="s">
        <v>1104</v>
      </c>
      <c r="EG1" s="12" t="s">
        <v>1105</v>
      </c>
      <c r="EH1" s="12" t="s">
        <v>1106</v>
      </c>
      <c r="EI1" s="10" t="s">
        <v>1146</v>
      </c>
      <c r="EJ1" s="12" t="s">
        <v>1107</v>
      </c>
      <c r="EK1" s="12" t="s">
        <v>1108</v>
      </c>
      <c r="EL1" s="12" t="s">
        <v>1109</v>
      </c>
      <c r="EM1" s="10" t="s">
        <v>1147</v>
      </c>
      <c r="EN1" s="12" t="s">
        <v>1110</v>
      </c>
      <c r="EO1" s="12" t="s">
        <v>1111</v>
      </c>
      <c r="EP1" s="12" t="s">
        <v>1112</v>
      </c>
      <c r="EQ1" s="10" t="s">
        <v>1148</v>
      </c>
      <c r="ER1" s="12" t="s">
        <v>1113</v>
      </c>
      <c r="ES1" s="12" t="s">
        <v>1114</v>
      </c>
      <c r="ET1" s="12" t="s">
        <v>1115</v>
      </c>
      <c r="EU1" s="10" t="s">
        <v>1149</v>
      </c>
      <c r="EV1" s="12" t="s">
        <v>1116</v>
      </c>
      <c r="EW1" s="12" t="s">
        <v>1117</v>
      </c>
      <c r="EX1" s="12" t="s">
        <v>1118</v>
      </c>
      <c r="EY1" s="10" t="s">
        <v>1150</v>
      </c>
      <c r="EZ1" s="12" t="s">
        <v>1119</v>
      </c>
      <c r="FA1" s="12" t="s">
        <v>1120</v>
      </c>
      <c r="FB1" s="12" t="s">
        <v>1121</v>
      </c>
      <c r="FC1" s="10" t="s">
        <v>1151</v>
      </c>
      <c r="FD1" s="12" t="s">
        <v>1122</v>
      </c>
      <c r="FE1" s="12" t="s">
        <v>1123</v>
      </c>
      <c r="FF1" s="12" t="s">
        <v>1124</v>
      </c>
      <c r="FG1" s="10" t="s">
        <v>1152</v>
      </c>
      <c r="FH1" s="12" t="s">
        <v>1125</v>
      </c>
      <c r="FI1" s="12" t="s">
        <v>1126</v>
      </c>
      <c r="FJ1" s="12" t="s">
        <v>1127</v>
      </c>
      <c r="FK1" s="8" t="s">
        <v>1153</v>
      </c>
      <c r="FL1" s="8" t="s">
        <v>1154</v>
      </c>
    </row>
    <row r="2" spans="1:168" x14ac:dyDescent="0.15">
      <c r="A2" s="8">
        <v>0</v>
      </c>
      <c r="B2" s="8" t="s">
        <v>147</v>
      </c>
      <c r="C2" s="8">
        <v>0</v>
      </c>
      <c r="D2" s="8">
        <v>0</v>
      </c>
      <c r="E2" s="16">
        <f t="shared" ref="E2:E65" si="0">COUNTIF(G2:FJ2,"&gt;0")/3</f>
        <v>0</v>
      </c>
      <c r="F2" s="16">
        <f>E2</f>
        <v>0</v>
      </c>
      <c r="G2" s="8" t="str">
        <f>IF(H2="","",VLOOKUP(H2,引用表合并!$A:$B,2,FALSE))</f>
        <v/>
      </c>
      <c r="K2" s="8" t="str">
        <f>IF(L2="","",VLOOKUP(L2,引用表合并!$A:$B,2,FALSE))</f>
        <v/>
      </c>
      <c r="L2" s="8"/>
      <c r="M2" s="8"/>
      <c r="O2" s="8" t="str">
        <f>IF(P2="","",VLOOKUP(P2,引用表合并!$A:$B,2,FALSE))</f>
        <v/>
      </c>
      <c r="P2" s="8"/>
      <c r="Q2" s="8"/>
      <c r="S2" s="8" t="str">
        <f>IF(T2="","",VLOOKUP(T2,引用表合并!$A:$B,2,FALSE))</f>
        <v/>
      </c>
      <c r="T2" s="8"/>
      <c r="U2" s="8"/>
      <c r="W2" s="8" t="str">
        <f>IF(X2="","",VLOOKUP(X2,引用表合并!$A:$B,2,FALSE))</f>
        <v/>
      </c>
      <c r="X2" s="8"/>
      <c r="Y2" s="8"/>
      <c r="AA2" s="8" t="str">
        <f>IF(AB2="","",VLOOKUP(AB2,引用表合并!$A:$B,2,FALSE))</f>
        <v/>
      </c>
      <c r="AB2" s="8"/>
      <c r="AC2" s="8"/>
      <c r="AE2" s="8" t="str">
        <f>IF(AF2="","",VLOOKUP(AF2,引用表合并!$A:$B,2,FALSE))</f>
        <v/>
      </c>
      <c r="AF2" s="8"/>
      <c r="AG2" s="8"/>
      <c r="AI2" s="8" t="str">
        <f>IF(AJ2="","",VLOOKUP(AJ2,引用表合并!$A:$B,2,FALSE))</f>
        <v/>
      </c>
      <c r="AJ2" s="8"/>
      <c r="AK2" s="8"/>
      <c r="AM2" s="8" t="str">
        <f>IF(AN2="","",VLOOKUP(AN2,引用表合并!$A:$B,2,FALSE))</f>
        <v/>
      </c>
      <c r="AN2" s="8"/>
      <c r="AO2" s="8"/>
      <c r="AQ2" s="8" t="str">
        <f>IF(AR2="","",VLOOKUP(AR2,引用表合并!$A:$B,2,FALSE))</f>
        <v/>
      </c>
      <c r="AR2" s="8"/>
      <c r="AS2" s="8"/>
      <c r="AU2" s="8" t="str">
        <f>IF(AV2="","",VLOOKUP(AV2,引用表合并!$A:$B,2,FALSE))</f>
        <v/>
      </c>
      <c r="AV2" s="8"/>
      <c r="AW2" s="8"/>
      <c r="AY2" s="8" t="str">
        <f>IF(AZ2="","",VLOOKUP(AZ2,引用表合并!$A:$B,2,FALSE))</f>
        <v/>
      </c>
      <c r="AZ2" s="8"/>
      <c r="BA2" s="8"/>
      <c r="BC2" s="8" t="str">
        <f>IF(BD2="","",VLOOKUP(BD2,引用表合并!$A:$B,2,FALSE))</f>
        <v/>
      </c>
      <c r="BD2" s="8"/>
      <c r="BF2" s="10"/>
      <c r="BG2" s="8" t="str">
        <f>IF(BH2="","",VLOOKUP(BH2,引用表合并!$A:$B,2,FALSE))</f>
        <v/>
      </c>
      <c r="BH2" s="8"/>
      <c r="BJ2" s="10"/>
      <c r="BK2" s="8" t="str">
        <f>IF(BL2="","",VLOOKUP(BL2,引用表合并!$A:$B,2,FALSE))</f>
        <v/>
      </c>
      <c r="BL2" s="8"/>
      <c r="BN2" s="10"/>
    </row>
    <row r="3" spans="1:168" x14ac:dyDescent="0.15">
      <c r="A3" s="8">
        <v>1001</v>
      </c>
      <c r="B3" s="8" t="str">
        <f>"地图:"&amp;VLOOKUP(A3,[1]地图配置辅助表!$A$3:$E$229,4,FALSE)</f>
        <v>地图:浴室砍巴闭</v>
      </c>
      <c r="C3" s="8">
        <v>0</v>
      </c>
      <c r="D3" s="8">
        <f t="shared" ref="D3:D8" si="1">E3</f>
        <v>0</v>
      </c>
      <c r="E3" s="16">
        <f t="shared" si="0"/>
        <v>0</v>
      </c>
      <c r="F3" s="16">
        <f t="shared" ref="F3:F12" si="2">E3</f>
        <v>0</v>
      </c>
      <c r="G3" s="8" t="str">
        <f>IF(H3="","",VLOOKUP(H3,引用表合并!$A:$B,2,FALSE))</f>
        <v/>
      </c>
      <c r="K3" s="8" t="str">
        <f>IF(L3="","",VLOOKUP(L3,引用表合并!$A:$B,2,FALSE))</f>
        <v/>
      </c>
      <c r="L3" s="8"/>
      <c r="M3" s="8"/>
      <c r="O3" s="8" t="str">
        <f>IF(P3="","",VLOOKUP(P3,引用表合并!$A:$B,2,FALSE))</f>
        <v/>
      </c>
      <c r="P3" s="8"/>
      <c r="Q3" s="8"/>
      <c r="S3" s="8" t="str">
        <f>IF(T3="","",VLOOKUP(T3,引用表合并!$A:$B,2,FALSE))</f>
        <v/>
      </c>
      <c r="T3" s="8"/>
      <c r="U3" s="8"/>
      <c r="W3" s="8" t="str">
        <f>IF(X3="","",VLOOKUP(X3,引用表合并!$A:$B,2,FALSE))</f>
        <v/>
      </c>
      <c r="X3" s="8"/>
      <c r="Y3" s="8"/>
      <c r="AA3" s="8" t="str">
        <f>IF(AB3="","",VLOOKUP(AB3,引用表合并!$A:$B,2,FALSE))</f>
        <v/>
      </c>
      <c r="AB3" s="8"/>
      <c r="AC3" s="8"/>
      <c r="AE3" s="8" t="str">
        <f>IF(AF3="","",VLOOKUP(AF3,引用表合并!$A:$B,2,FALSE))</f>
        <v/>
      </c>
      <c r="AF3" s="8"/>
      <c r="AG3" s="8"/>
      <c r="AI3" s="8" t="str">
        <f>IF(AJ3="","",VLOOKUP(AJ3,引用表合并!$A:$B,2,FALSE))</f>
        <v/>
      </c>
      <c r="AJ3" s="8"/>
      <c r="AK3" s="8"/>
      <c r="AM3" s="8" t="str">
        <f>IF(AN3="","",VLOOKUP(AN3,引用表合并!$A:$B,2,FALSE))</f>
        <v/>
      </c>
      <c r="AN3" s="8"/>
      <c r="AO3" s="8"/>
      <c r="AQ3" s="8" t="str">
        <f>IF(AR3="","",VLOOKUP(AR3,引用表合并!$A:$B,2,FALSE))</f>
        <v/>
      </c>
      <c r="AR3" s="8"/>
      <c r="AS3" s="8"/>
      <c r="AU3" s="8" t="str">
        <f>IF(AV3="","",VLOOKUP(AV3,引用表合并!$A:$B,2,FALSE))</f>
        <v/>
      </c>
      <c r="AV3" s="8"/>
      <c r="AW3" s="8"/>
      <c r="AY3" s="8" t="str">
        <f>IF(AZ3="","",VLOOKUP(AZ3,引用表合并!$A:$B,2,FALSE))</f>
        <v/>
      </c>
      <c r="AZ3" s="8"/>
      <c r="BA3" s="8"/>
      <c r="BC3" s="8" t="str">
        <f>IF(BD3="","",VLOOKUP(BD3,引用表合并!$A:$B,2,FALSE))</f>
        <v/>
      </c>
      <c r="BD3" s="8"/>
      <c r="BF3" s="10"/>
      <c r="BG3" s="8" t="str">
        <f>IF(BH3="","",VLOOKUP(BH3,引用表合并!$A:$B,2,FALSE))</f>
        <v/>
      </c>
      <c r="BH3" s="8"/>
      <c r="BJ3" s="10"/>
      <c r="BK3" s="8" t="str">
        <f>IF(BL3="","",VLOOKUP(BL3,引用表合并!$A:$B,2,FALSE))</f>
        <v/>
      </c>
      <c r="BL3" s="8"/>
      <c r="BN3" s="10"/>
    </row>
    <row r="4" spans="1:168" x14ac:dyDescent="0.15">
      <c r="A4" s="8">
        <v>1002</v>
      </c>
      <c r="B4" s="8" t="str">
        <f>"地图:"&amp;VLOOKUP(A4,[1]地图配置辅助表!$A$3:$E$229,4,FALSE)</f>
        <v>地图:西贡打大傻</v>
      </c>
      <c r="C4" s="8">
        <v>0</v>
      </c>
      <c r="D4" s="8">
        <f t="shared" si="1"/>
        <v>0</v>
      </c>
      <c r="E4" s="16">
        <f t="shared" si="0"/>
        <v>0</v>
      </c>
      <c r="F4" s="16">
        <f t="shared" si="2"/>
        <v>0</v>
      </c>
      <c r="G4" s="8" t="str">
        <f>IF(H4="","",VLOOKUP(H4,引用表合并!$A:$B,2,FALSE))</f>
        <v/>
      </c>
      <c r="K4" s="8" t="str">
        <f>IF(L4="","",VLOOKUP(L4,引用表合并!$A:$B,2,FALSE))</f>
        <v/>
      </c>
      <c r="L4" s="8"/>
      <c r="M4" s="8"/>
      <c r="O4" s="8" t="str">
        <f>IF(P4="","",VLOOKUP(P4,引用表合并!$A:$B,2,FALSE))</f>
        <v/>
      </c>
      <c r="P4" s="8"/>
      <c r="Q4" s="8"/>
      <c r="S4" s="8" t="str">
        <f>IF(T4="","",VLOOKUP(T4,引用表合并!$A:$B,2,FALSE))</f>
        <v/>
      </c>
      <c r="T4" s="8"/>
      <c r="U4" s="8"/>
      <c r="W4" s="8" t="str">
        <f>IF(X4="","",VLOOKUP(X4,引用表合并!$A:$B,2,FALSE))</f>
        <v/>
      </c>
      <c r="X4" s="8"/>
      <c r="Y4" s="8"/>
      <c r="AA4" s="8" t="str">
        <f>IF(AB4="","",VLOOKUP(AB4,引用表合并!$A:$B,2,FALSE))</f>
        <v/>
      </c>
      <c r="AB4" s="8"/>
      <c r="AC4" s="8"/>
      <c r="AE4" s="8" t="str">
        <f>IF(AF4="","",VLOOKUP(AF4,引用表合并!$A:$B,2,FALSE))</f>
        <v/>
      </c>
      <c r="AF4" s="8"/>
      <c r="AG4" s="8"/>
      <c r="AI4" s="8" t="str">
        <f>IF(AJ4="","",VLOOKUP(AJ4,引用表合并!$A:$B,2,FALSE))</f>
        <v/>
      </c>
      <c r="AJ4" s="8"/>
      <c r="AK4" s="8"/>
      <c r="AM4" s="8" t="str">
        <f>IF(AN4="","",VLOOKUP(AN4,引用表合并!$A:$B,2,FALSE))</f>
        <v/>
      </c>
      <c r="AN4" s="8"/>
      <c r="AO4" s="8"/>
      <c r="AQ4" s="8" t="str">
        <f>IF(AR4="","",VLOOKUP(AR4,引用表合并!$A:$B,2,FALSE))</f>
        <v/>
      </c>
      <c r="AR4" s="8"/>
      <c r="AS4" s="8"/>
      <c r="AU4" s="8" t="str">
        <f>IF(AV4="","",VLOOKUP(AV4,引用表合并!$A:$B,2,FALSE))</f>
        <v/>
      </c>
      <c r="AV4" s="8"/>
      <c r="AW4" s="8"/>
      <c r="AY4" s="8" t="str">
        <f>IF(AZ4="","",VLOOKUP(AZ4,引用表合并!$A:$B,2,FALSE))</f>
        <v/>
      </c>
      <c r="AZ4" s="8"/>
      <c r="BA4" s="8"/>
      <c r="BC4" s="8" t="str">
        <f>IF(BD4="","",VLOOKUP(BD4,引用表合并!$A:$B,2,FALSE))</f>
        <v/>
      </c>
      <c r="BD4" s="8"/>
      <c r="BF4" s="10"/>
      <c r="BG4" s="8" t="str">
        <f>IF(BH4="","",VLOOKUP(BH4,引用表合并!$A:$B,2,FALSE))</f>
        <v/>
      </c>
      <c r="BH4" s="8"/>
      <c r="BJ4" s="10"/>
      <c r="BK4" s="8" t="str">
        <f>IF(BL4="","",VLOOKUP(BL4,引用表合并!$A:$B,2,FALSE))</f>
        <v/>
      </c>
      <c r="BL4" s="8"/>
      <c r="BN4" s="10"/>
    </row>
    <row r="5" spans="1:168" x14ac:dyDescent="0.15">
      <c r="A5" s="8">
        <v>1003</v>
      </c>
      <c r="B5" s="8" t="str">
        <f>"地图:"&amp;VLOOKUP(A5,[1]地图配置辅助表!$A$3:$E$229,4,FALSE)</f>
        <v>地图:戏逗小结巴</v>
      </c>
      <c r="C5" s="8">
        <v>0</v>
      </c>
      <c r="D5" s="8">
        <f t="shared" si="1"/>
        <v>0</v>
      </c>
      <c r="E5" s="16">
        <f t="shared" si="0"/>
        <v>0</v>
      </c>
      <c r="F5" s="16">
        <f t="shared" si="2"/>
        <v>0</v>
      </c>
      <c r="G5" s="8" t="str">
        <f>IF(H5="","",VLOOKUP(H5,引用表合并!$A:$B,2,FALSE))</f>
        <v/>
      </c>
      <c r="K5" s="8" t="str">
        <f>IF(L5="","",VLOOKUP(L5,引用表合并!$A:$B,2,FALSE))</f>
        <v/>
      </c>
      <c r="L5" s="8"/>
      <c r="M5" s="8"/>
      <c r="O5" s="8" t="str">
        <f>IF(P5="","",VLOOKUP(P5,引用表合并!$A:$B,2,FALSE))</f>
        <v/>
      </c>
      <c r="P5" s="8"/>
      <c r="Q5" s="8"/>
      <c r="S5" s="8" t="str">
        <f>IF(T5="","",VLOOKUP(T5,引用表合并!$A:$B,2,FALSE))</f>
        <v/>
      </c>
      <c r="T5" s="8"/>
      <c r="U5" s="8"/>
      <c r="W5" s="8" t="str">
        <f>IF(X5="","",VLOOKUP(X5,引用表合并!$A:$B,2,FALSE))</f>
        <v/>
      </c>
      <c r="X5" s="8"/>
      <c r="Y5" s="8"/>
      <c r="AA5" s="8" t="str">
        <f>IF(AB5="","",VLOOKUP(AB5,引用表合并!$A:$B,2,FALSE))</f>
        <v/>
      </c>
      <c r="AB5" s="8"/>
      <c r="AC5" s="8"/>
      <c r="AE5" s="8" t="str">
        <f>IF(AF5="","",VLOOKUP(AF5,引用表合并!$A:$B,2,FALSE))</f>
        <v/>
      </c>
      <c r="AF5" s="8"/>
      <c r="AG5" s="8"/>
      <c r="AI5" s="8" t="str">
        <f>IF(AJ5="","",VLOOKUP(AJ5,引用表合并!$A:$B,2,FALSE))</f>
        <v/>
      </c>
      <c r="AJ5" s="8"/>
      <c r="AK5" s="8"/>
      <c r="AM5" s="8" t="str">
        <f>IF(AN5="","",VLOOKUP(AN5,引用表合并!$A:$B,2,FALSE))</f>
        <v/>
      </c>
      <c r="AN5" s="8"/>
      <c r="AO5" s="8"/>
      <c r="AQ5" s="8" t="str">
        <f>IF(AR5="","",VLOOKUP(AR5,引用表合并!$A:$B,2,FALSE))</f>
        <v/>
      </c>
      <c r="AR5" s="8"/>
      <c r="AS5" s="8"/>
      <c r="AU5" s="8" t="str">
        <f>IF(AV5="","",VLOOKUP(AV5,引用表合并!$A:$B,2,FALSE))</f>
        <v/>
      </c>
      <c r="AV5" s="8"/>
      <c r="AW5" s="8"/>
      <c r="AY5" s="8" t="str">
        <f>IF(AZ5="","",VLOOKUP(AZ5,引用表合并!$A:$B,2,FALSE))</f>
        <v/>
      </c>
      <c r="AZ5" s="8"/>
      <c r="BA5" s="8"/>
      <c r="BC5" s="8" t="str">
        <f>IF(BD5="","",VLOOKUP(BD5,引用表合并!$A:$B,2,FALSE))</f>
        <v/>
      </c>
      <c r="BD5" s="8"/>
      <c r="BF5" s="10"/>
      <c r="BG5" s="8" t="str">
        <f>IF(BH5="","",VLOOKUP(BH5,引用表合并!$A:$B,2,FALSE))</f>
        <v/>
      </c>
      <c r="BH5" s="8"/>
      <c r="BJ5" s="10"/>
      <c r="BK5" s="8" t="str">
        <f>IF(BL5="","",VLOOKUP(BL5,引用表合并!$A:$B,2,FALSE))</f>
        <v/>
      </c>
      <c r="BL5" s="8"/>
      <c r="BN5" s="10"/>
    </row>
    <row r="6" spans="1:168" x14ac:dyDescent="0.15">
      <c r="A6" s="8">
        <v>1004</v>
      </c>
      <c r="B6" s="8" t="str">
        <f>"地图:"&amp;VLOOKUP(A6,[1]地图配置辅助表!$A$3:$E$229,4,FALSE)</f>
        <v>地图:秘密任务</v>
      </c>
      <c r="C6" s="8">
        <v>0</v>
      </c>
      <c r="D6" s="8">
        <f t="shared" si="1"/>
        <v>0</v>
      </c>
      <c r="E6" s="16">
        <f t="shared" si="0"/>
        <v>0</v>
      </c>
      <c r="F6" s="16">
        <f t="shared" si="2"/>
        <v>0</v>
      </c>
      <c r="G6" s="8" t="str">
        <f>IF(H6="","",VLOOKUP(H6,引用表合并!$A:$B,2,FALSE))</f>
        <v/>
      </c>
      <c r="K6" s="8" t="str">
        <f>IF(L6="","",VLOOKUP(L6,引用表合并!$A:$B,2,FALSE))</f>
        <v/>
      </c>
      <c r="L6" s="8"/>
      <c r="M6" s="8"/>
      <c r="O6" s="8" t="str">
        <f>IF(P6="","",VLOOKUP(P6,引用表合并!$A:$B,2,FALSE))</f>
        <v/>
      </c>
      <c r="P6" s="8"/>
      <c r="Q6" s="8"/>
      <c r="S6" s="8" t="str">
        <f>IF(T6="","",VLOOKUP(T6,引用表合并!$A:$B,2,FALSE))</f>
        <v/>
      </c>
      <c r="T6" s="8"/>
      <c r="U6" s="8"/>
      <c r="W6" s="8" t="str">
        <f>IF(X6="","",VLOOKUP(X6,引用表合并!$A:$B,2,FALSE))</f>
        <v/>
      </c>
      <c r="X6" s="8"/>
      <c r="Y6" s="8"/>
      <c r="AA6" s="8" t="str">
        <f>IF(AB6="","",VLOOKUP(AB6,引用表合并!$A:$B,2,FALSE))</f>
        <v/>
      </c>
      <c r="AB6" s="8"/>
      <c r="AC6" s="8"/>
      <c r="AE6" s="8" t="str">
        <f>IF(AF6="","",VLOOKUP(AF6,引用表合并!$A:$B,2,FALSE))</f>
        <v/>
      </c>
      <c r="AF6" s="8"/>
      <c r="AG6" s="8"/>
      <c r="AI6" s="8" t="str">
        <f>IF(AJ6="","",VLOOKUP(AJ6,引用表合并!$A:$B,2,FALSE))</f>
        <v/>
      </c>
      <c r="AJ6" s="8"/>
      <c r="AK6" s="8"/>
      <c r="AM6" s="8" t="str">
        <f>IF(AN6="","",VLOOKUP(AN6,引用表合并!$A:$B,2,FALSE))</f>
        <v/>
      </c>
      <c r="AN6" s="8"/>
      <c r="AO6" s="8"/>
      <c r="AQ6" s="8" t="str">
        <f>IF(AR6="","",VLOOKUP(AR6,引用表合并!$A:$B,2,FALSE))</f>
        <v/>
      </c>
      <c r="AR6" s="8"/>
      <c r="AS6" s="8"/>
      <c r="AU6" s="8" t="str">
        <f>IF(AV6="","",VLOOKUP(AV6,引用表合并!$A:$B,2,FALSE))</f>
        <v/>
      </c>
      <c r="AV6" s="8"/>
      <c r="AW6" s="8"/>
      <c r="AY6" s="8" t="str">
        <f>IF(AZ6="","",VLOOKUP(AZ6,引用表合并!$A:$B,2,FALSE))</f>
        <v/>
      </c>
      <c r="AZ6" s="8"/>
      <c r="BA6" s="8"/>
      <c r="BC6" s="8" t="str">
        <f>IF(BD6="","",VLOOKUP(BD6,引用表合并!$A:$B,2,FALSE))</f>
        <v/>
      </c>
      <c r="BD6" s="8"/>
      <c r="BF6" s="10"/>
      <c r="BG6" s="8" t="str">
        <f>IF(BH6="","",VLOOKUP(BH6,引用表合并!$A:$B,2,FALSE))</f>
        <v/>
      </c>
      <c r="BH6" s="8"/>
      <c r="BJ6" s="10"/>
      <c r="BK6" s="8" t="str">
        <f>IF(BL6="","",VLOOKUP(BL6,引用表合并!$A:$B,2,FALSE))</f>
        <v/>
      </c>
      <c r="BL6" s="8"/>
      <c r="BN6" s="10"/>
    </row>
    <row r="7" spans="1:168" x14ac:dyDescent="0.15">
      <c r="A7" s="8">
        <v>1005</v>
      </c>
      <c r="B7" s="8" t="str">
        <f>"地图:"&amp;VLOOKUP(A7,[1]地图配置辅助表!$A$3:$E$229,4,FALSE)</f>
        <v>地图:遭遇埋伏</v>
      </c>
      <c r="C7" s="8">
        <v>0</v>
      </c>
      <c r="D7" s="8">
        <f t="shared" si="1"/>
        <v>0</v>
      </c>
      <c r="E7" s="16">
        <f t="shared" si="0"/>
        <v>0</v>
      </c>
      <c r="F7" s="16">
        <f t="shared" si="2"/>
        <v>0</v>
      </c>
      <c r="G7" s="8" t="str">
        <f>IF(H7="","",VLOOKUP(H7,引用表合并!$A:$B,2,FALSE))</f>
        <v/>
      </c>
      <c r="K7" s="8" t="str">
        <f>IF(L7="","",VLOOKUP(L7,引用表合并!$A:$B,2,FALSE))</f>
        <v/>
      </c>
      <c r="L7" s="8"/>
      <c r="M7" s="8"/>
      <c r="O7" s="8" t="str">
        <f>IF(P7="","",VLOOKUP(P7,引用表合并!$A:$B,2,FALSE))</f>
        <v/>
      </c>
      <c r="P7" s="8"/>
      <c r="Q7" s="8"/>
      <c r="S7" s="8" t="str">
        <f>IF(T7="","",VLOOKUP(T7,引用表合并!$A:$B,2,FALSE))</f>
        <v/>
      </c>
      <c r="T7" s="8"/>
      <c r="U7" s="8"/>
      <c r="W7" s="8" t="str">
        <f>IF(X7="","",VLOOKUP(X7,引用表合并!$A:$B,2,FALSE))</f>
        <v/>
      </c>
      <c r="X7" s="8"/>
      <c r="Y7" s="8"/>
      <c r="AA7" s="8" t="str">
        <f>IF(AB7="","",VLOOKUP(AB7,引用表合并!$A:$B,2,FALSE))</f>
        <v/>
      </c>
      <c r="AB7" s="8"/>
      <c r="AC7" s="8"/>
      <c r="AE7" s="8" t="str">
        <f>IF(AF7="","",VLOOKUP(AF7,引用表合并!$A:$B,2,FALSE))</f>
        <v/>
      </c>
      <c r="AF7" s="8"/>
      <c r="AG7" s="8"/>
      <c r="AI7" s="8" t="str">
        <f>IF(AJ7="","",VLOOKUP(AJ7,引用表合并!$A:$B,2,FALSE))</f>
        <v/>
      </c>
      <c r="AJ7" s="8"/>
      <c r="AK7" s="8"/>
      <c r="AM7" s="8" t="str">
        <f>IF(AN7="","",VLOOKUP(AN7,引用表合并!$A:$B,2,FALSE))</f>
        <v/>
      </c>
      <c r="AN7" s="8"/>
      <c r="AO7" s="8"/>
      <c r="AQ7" s="8" t="str">
        <f>IF(AR7="","",VLOOKUP(AR7,引用表合并!$A:$B,2,FALSE))</f>
        <v/>
      </c>
      <c r="AR7" s="8"/>
      <c r="AS7" s="8"/>
      <c r="AU7" s="8" t="str">
        <f>IF(AV7="","",VLOOKUP(AV7,引用表合并!$A:$B,2,FALSE))</f>
        <v/>
      </c>
      <c r="AV7" s="8"/>
      <c r="AW7" s="8"/>
      <c r="AY7" s="8" t="str">
        <f>IF(AZ7="","",VLOOKUP(AZ7,引用表合并!$A:$B,2,FALSE))</f>
        <v/>
      </c>
      <c r="AZ7" s="8"/>
      <c r="BA7" s="8"/>
      <c r="BC7" s="8" t="str">
        <f>IF(BD7="","",VLOOKUP(BD7,引用表合并!$A:$B,2,FALSE))</f>
        <v/>
      </c>
      <c r="BD7" s="8"/>
      <c r="BF7" s="10"/>
      <c r="BG7" s="8" t="str">
        <f>IF(BH7="","",VLOOKUP(BH7,引用表合并!$A:$B,2,FALSE))</f>
        <v/>
      </c>
      <c r="BH7" s="8"/>
      <c r="BJ7" s="10"/>
      <c r="BK7" s="8" t="str">
        <f>IF(BL7="","",VLOOKUP(BL7,引用表合并!$A:$B,2,FALSE))</f>
        <v/>
      </c>
      <c r="BL7" s="8"/>
      <c r="BN7" s="10"/>
    </row>
    <row r="8" spans="1:168" x14ac:dyDescent="0.15">
      <c r="A8" s="8">
        <v>1006</v>
      </c>
      <c r="B8" s="8" t="str">
        <f>"地图:"&amp;VLOOKUP(A8,[1]地图配置辅助表!$A$3:$E$229,4,FALSE)</f>
        <v>地图:逃出生天</v>
      </c>
      <c r="C8" s="8">
        <v>0</v>
      </c>
      <c r="D8" s="8">
        <f t="shared" si="1"/>
        <v>0</v>
      </c>
      <c r="E8" s="16">
        <f t="shared" si="0"/>
        <v>0</v>
      </c>
      <c r="F8" s="16">
        <f t="shared" si="2"/>
        <v>0</v>
      </c>
      <c r="G8" s="8" t="str">
        <f>IF(H8="","",VLOOKUP(H8,引用表合并!$A:$B,2,FALSE))</f>
        <v/>
      </c>
      <c r="K8" s="8" t="str">
        <f>IF(L8="","",VLOOKUP(L8,引用表合并!$A:$B,2,FALSE))</f>
        <v/>
      </c>
      <c r="L8" s="8"/>
      <c r="M8" s="8"/>
      <c r="O8" s="8" t="str">
        <f>IF(P8="","",VLOOKUP(P8,引用表合并!$A:$B,2,FALSE))</f>
        <v/>
      </c>
      <c r="P8" s="8"/>
      <c r="Q8" s="8"/>
      <c r="S8" s="8" t="str">
        <f>IF(T8="","",VLOOKUP(T8,引用表合并!$A:$B,2,FALSE))</f>
        <v/>
      </c>
      <c r="T8" s="8"/>
      <c r="U8" s="8"/>
      <c r="W8" s="8" t="str">
        <f>IF(X8="","",VLOOKUP(X8,引用表合并!$A:$B,2,FALSE))</f>
        <v/>
      </c>
      <c r="X8" s="8"/>
      <c r="Y8" s="8"/>
      <c r="AA8" s="8" t="str">
        <f>IF(AB8="","",VLOOKUP(AB8,引用表合并!$A:$B,2,FALSE))</f>
        <v/>
      </c>
      <c r="AB8" s="8"/>
      <c r="AC8" s="8"/>
      <c r="AE8" s="8" t="str">
        <f>IF(AF8="","",VLOOKUP(AF8,引用表合并!$A:$B,2,FALSE))</f>
        <v/>
      </c>
      <c r="AF8" s="8"/>
      <c r="AG8" s="8"/>
      <c r="AI8" s="8" t="str">
        <f>IF(AJ8="","",VLOOKUP(AJ8,引用表合并!$A:$B,2,FALSE))</f>
        <v/>
      </c>
      <c r="AJ8" s="8"/>
      <c r="AK8" s="8"/>
      <c r="AM8" s="8" t="str">
        <f>IF(AN8="","",VLOOKUP(AN8,引用表合并!$A:$B,2,FALSE))</f>
        <v/>
      </c>
      <c r="AN8" s="8"/>
      <c r="AO8" s="8"/>
      <c r="AQ8" s="8" t="str">
        <f>IF(AR8="","",VLOOKUP(AR8,引用表合并!$A:$B,2,FALSE))</f>
        <v/>
      </c>
      <c r="AR8" s="8"/>
      <c r="AS8" s="8"/>
      <c r="AU8" s="8" t="str">
        <f>IF(AV8="","",VLOOKUP(AV8,引用表合并!$A:$B,2,FALSE))</f>
        <v/>
      </c>
      <c r="AV8" s="8"/>
      <c r="AW8" s="8"/>
      <c r="AY8" s="8" t="str">
        <f>IF(AZ8="","",VLOOKUP(AZ8,引用表合并!$A:$B,2,FALSE))</f>
        <v/>
      </c>
      <c r="AZ8" s="8"/>
      <c r="BA8" s="8"/>
      <c r="BC8" s="8" t="str">
        <f>IF(BD8="","",VLOOKUP(BD8,引用表合并!$A:$B,2,FALSE))</f>
        <v/>
      </c>
      <c r="BD8" s="8"/>
      <c r="BF8" s="10"/>
      <c r="BG8" s="8" t="str">
        <f>IF(BH8="","",VLOOKUP(BH8,引用表合并!$A:$B,2,FALSE))</f>
        <v/>
      </c>
      <c r="BH8" s="8"/>
      <c r="BJ8" s="10"/>
      <c r="BK8" s="8" t="str">
        <f>IF(BL8="","",VLOOKUP(BL8,引用表合并!$A:$B,2,FALSE))</f>
        <v/>
      </c>
      <c r="BL8" s="8"/>
      <c r="BN8" s="10"/>
    </row>
    <row r="9" spans="1:168" x14ac:dyDescent="0.15">
      <c r="A9" s="8">
        <v>1007</v>
      </c>
      <c r="B9" s="8" t="str">
        <f>"地图:"&amp;VLOOKUP(A9,[1]地图配置辅助表!$A$3:$E$229,4,FALSE)</f>
        <v>地图:B哥遇害</v>
      </c>
      <c r="C9" s="8">
        <v>0</v>
      </c>
      <c r="D9" s="8">
        <f t="shared" ref="D9:D11" si="3">E9</f>
        <v>0</v>
      </c>
      <c r="E9" s="16">
        <f t="shared" si="0"/>
        <v>0</v>
      </c>
      <c r="F9" s="16">
        <f t="shared" si="2"/>
        <v>0</v>
      </c>
      <c r="G9" s="8" t="str">
        <f>IF(H9="","",VLOOKUP(H9,引用表合并!$A:$B,2,FALSE))</f>
        <v/>
      </c>
      <c r="K9" s="8" t="str">
        <f>IF(L9="","",VLOOKUP(L9,引用表合并!$A:$B,2,FALSE))</f>
        <v/>
      </c>
      <c r="L9" s="8"/>
      <c r="M9" s="8"/>
      <c r="O9" s="8" t="str">
        <f>IF(P9="","",VLOOKUP(P9,引用表合并!$A:$B,2,FALSE))</f>
        <v/>
      </c>
      <c r="P9" s="8"/>
      <c r="Q9" s="8"/>
      <c r="S9" s="8" t="str">
        <f>IF(T9="","",VLOOKUP(T9,引用表合并!$A:$B,2,FALSE))</f>
        <v/>
      </c>
      <c r="T9" s="8"/>
      <c r="U9" s="8"/>
      <c r="W9" s="8" t="str">
        <f>IF(X9="","",VLOOKUP(X9,引用表合并!$A:$B,2,FALSE))</f>
        <v/>
      </c>
      <c r="X9" s="8"/>
      <c r="Y9" s="8"/>
      <c r="AA9" s="8" t="str">
        <f>IF(AB9="","",VLOOKUP(AB9,引用表合并!$A:$B,2,FALSE))</f>
        <v/>
      </c>
      <c r="AB9" s="8"/>
      <c r="AC9" s="8"/>
      <c r="AE9" s="8" t="str">
        <f>IF(AF9="","",VLOOKUP(AF9,引用表合并!$A:$B,2,FALSE))</f>
        <v/>
      </c>
      <c r="AF9" s="8"/>
      <c r="AG9" s="8"/>
      <c r="AI9" s="8" t="str">
        <f>IF(AJ9="","",VLOOKUP(AJ9,引用表合并!$A:$B,2,FALSE))</f>
        <v/>
      </c>
      <c r="AJ9" s="8"/>
      <c r="AK9" s="8"/>
      <c r="AM9" s="8" t="str">
        <f>IF(AN9="","",VLOOKUP(AN9,引用表合并!$A:$B,2,FALSE))</f>
        <v/>
      </c>
      <c r="AN9" s="8"/>
      <c r="AO9" s="8"/>
      <c r="AQ9" s="8" t="str">
        <f>IF(AR9="","",VLOOKUP(AR9,引用表合并!$A:$B,2,FALSE))</f>
        <v/>
      </c>
      <c r="AR9" s="8"/>
      <c r="AS9" s="8"/>
      <c r="AU9" s="8" t="str">
        <f>IF(AV9="","",VLOOKUP(AV9,引用表合并!$A:$B,2,FALSE))</f>
        <v/>
      </c>
      <c r="AV9" s="8"/>
      <c r="AW9" s="8"/>
      <c r="AY9" s="8" t="str">
        <f>IF(AZ9="","",VLOOKUP(AZ9,引用表合并!$A:$B,2,FALSE))</f>
        <v/>
      </c>
      <c r="AZ9" s="8"/>
      <c r="BA9" s="8"/>
      <c r="BC9" s="8" t="str">
        <f>IF(BD9="","",VLOOKUP(BD9,引用表合并!$A:$B,2,FALSE))</f>
        <v/>
      </c>
      <c r="BD9" s="8"/>
      <c r="BF9" s="10"/>
      <c r="BG9" s="8" t="str">
        <f>IF(BH9="","",VLOOKUP(BH9,引用表合并!$A:$B,2,FALSE))</f>
        <v/>
      </c>
      <c r="BH9" s="8"/>
      <c r="BJ9" s="10"/>
      <c r="BK9" s="8" t="str">
        <f>IF(BL9="","",VLOOKUP(BL9,引用表合并!$A:$B,2,FALSE))</f>
        <v/>
      </c>
      <c r="BL9" s="8"/>
      <c r="BN9" s="10"/>
    </row>
    <row r="10" spans="1:168" x14ac:dyDescent="0.15">
      <c r="A10" s="8">
        <v>1008</v>
      </c>
      <c r="B10" s="8" t="str">
        <f>"地图:"&amp;VLOOKUP(A10,[1]地图配置辅助表!$A$3:$E$229,4,FALSE)</f>
        <v>地图:同仇敌忾</v>
      </c>
      <c r="C10" s="8">
        <v>0</v>
      </c>
      <c r="D10" s="8">
        <f t="shared" si="3"/>
        <v>0</v>
      </c>
      <c r="E10" s="16">
        <f t="shared" si="0"/>
        <v>0</v>
      </c>
      <c r="F10" s="16">
        <f t="shared" si="2"/>
        <v>0</v>
      </c>
      <c r="G10" s="8" t="str">
        <f>IF(H10="","",VLOOKUP(H10,引用表合并!$A:$B,2,FALSE))</f>
        <v/>
      </c>
      <c r="K10" s="8" t="str">
        <f>IF(L10="","",VLOOKUP(L10,引用表合并!$A:$B,2,FALSE))</f>
        <v/>
      </c>
      <c r="L10" s="8"/>
      <c r="M10" s="8"/>
      <c r="O10" s="8" t="str">
        <f>IF(P10="","",VLOOKUP(P10,引用表合并!$A:$B,2,FALSE))</f>
        <v/>
      </c>
      <c r="P10" s="8"/>
      <c r="Q10" s="8"/>
      <c r="S10" s="8" t="str">
        <f>IF(T10="","",VLOOKUP(T10,引用表合并!$A:$B,2,FALSE))</f>
        <v/>
      </c>
      <c r="T10" s="8"/>
      <c r="U10" s="8"/>
      <c r="W10" s="8" t="str">
        <f>IF(X10="","",VLOOKUP(X10,引用表合并!$A:$B,2,FALSE))</f>
        <v/>
      </c>
      <c r="X10" s="8"/>
      <c r="Y10" s="8"/>
      <c r="AA10" s="8" t="str">
        <f>IF(AB10="","",VLOOKUP(AB10,引用表合并!$A:$B,2,FALSE))</f>
        <v/>
      </c>
      <c r="AB10" s="8"/>
      <c r="AC10" s="8"/>
      <c r="AE10" s="8" t="str">
        <f>IF(AF10="","",VLOOKUP(AF10,引用表合并!$A:$B,2,FALSE))</f>
        <v/>
      </c>
      <c r="AF10" s="8"/>
      <c r="AG10" s="8"/>
      <c r="AI10" s="8" t="str">
        <f>IF(AJ10="","",VLOOKUP(AJ10,引用表合并!$A:$B,2,FALSE))</f>
        <v/>
      </c>
      <c r="AJ10" s="8"/>
      <c r="AK10" s="8"/>
      <c r="AM10" s="8" t="str">
        <f>IF(AN10="","",VLOOKUP(AN10,引用表合并!$A:$B,2,FALSE))</f>
        <v/>
      </c>
      <c r="AN10" s="8"/>
      <c r="AO10" s="8"/>
      <c r="AQ10" s="8" t="str">
        <f>IF(AR10="","",VLOOKUP(AR10,引用表合并!$A:$B,2,FALSE))</f>
        <v/>
      </c>
      <c r="AR10" s="8"/>
      <c r="AS10" s="8"/>
      <c r="AU10" s="8" t="str">
        <f>IF(AV10="","",VLOOKUP(AV10,引用表合并!$A:$B,2,FALSE))</f>
        <v/>
      </c>
      <c r="AV10" s="8"/>
      <c r="AW10" s="8"/>
      <c r="AY10" s="8" t="str">
        <f>IF(AZ10="","",VLOOKUP(AZ10,引用表合并!$A:$B,2,FALSE))</f>
        <v/>
      </c>
      <c r="AZ10" s="8"/>
      <c r="BA10" s="8"/>
      <c r="BC10" s="8" t="str">
        <f>IF(BD10="","",VLOOKUP(BD10,引用表合并!$A:$B,2,FALSE))</f>
        <v/>
      </c>
      <c r="BD10" s="8"/>
      <c r="BF10" s="10"/>
      <c r="BG10" s="8" t="str">
        <f>IF(BH10="","",VLOOKUP(BH10,引用表合并!$A:$B,2,FALSE))</f>
        <v/>
      </c>
      <c r="BH10" s="8"/>
      <c r="BJ10" s="10"/>
      <c r="BK10" s="8" t="str">
        <f>IF(BL10="","",VLOOKUP(BL10,引用表合并!$A:$B,2,FALSE))</f>
        <v/>
      </c>
      <c r="BL10" s="8"/>
      <c r="BN10" s="10"/>
    </row>
    <row r="11" spans="1:168" x14ac:dyDescent="0.15">
      <c r="A11" s="8">
        <v>1009</v>
      </c>
      <c r="B11" s="8" t="str">
        <f>"地图:"&amp;VLOOKUP(A11,[1]地图配置辅助表!$A$3:$E$229,4,FALSE)</f>
        <v>地图:合力毙靓坤</v>
      </c>
      <c r="C11" s="8">
        <v>0</v>
      </c>
      <c r="D11" s="8">
        <f t="shared" si="3"/>
        <v>0</v>
      </c>
      <c r="E11" s="16">
        <f t="shared" si="0"/>
        <v>0</v>
      </c>
      <c r="F11" s="16">
        <f t="shared" si="2"/>
        <v>0</v>
      </c>
      <c r="G11" s="8" t="str">
        <f>IF(H11="","",VLOOKUP(H11,引用表合并!$A:$B,2,FALSE))</f>
        <v/>
      </c>
      <c r="K11" s="8" t="str">
        <f>IF(L11="","",VLOOKUP(L11,引用表合并!$A:$B,2,FALSE))</f>
        <v/>
      </c>
      <c r="L11" s="8"/>
      <c r="M11" s="8"/>
      <c r="O11" s="8" t="str">
        <f>IF(P11="","",VLOOKUP(P11,引用表合并!$A:$B,2,FALSE))</f>
        <v/>
      </c>
      <c r="P11" s="8"/>
      <c r="Q11" s="8"/>
      <c r="S11" s="8" t="str">
        <f>IF(T11="","",VLOOKUP(T11,引用表合并!$A:$B,2,FALSE))</f>
        <v/>
      </c>
      <c r="T11" s="8"/>
      <c r="U11" s="8"/>
      <c r="W11" s="8" t="str">
        <f>IF(X11="","",VLOOKUP(X11,引用表合并!$A:$B,2,FALSE))</f>
        <v/>
      </c>
      <c r="X11" s="8"/>
      <c r="Y11" s="8"/>
      <c r="AA11" s="8" t="str">
        <f>IF(AB11="","",VLOOKUP(AB11,引用表合并!$A:$B,2,FALSE))</f>
        <v/>
      </c>
      <c r="AB11" s="8"/>
      <c r="AC11" s="8"/>
      <c r="AE11" s="8" t="str">
        <f>IF(AF11="","",VLOOKUP(AF11,引用表合并!$A:$B,2,FALSE))</f>
        <v/>
      </c>
      <c r="AF11" s="8"/>
      <c r="AG11" s="8"/>
      <c r="AI11" s="8" t="str">
        <f>IF(AJ11="","",VLOOKUP(AJ11,引用表合并!$A:$B,2,FALSE))</f>
        <v/>
      </c>
      <c r="AJ11" s="8"/>
      <c r="AK11" s="8"/>
      <c r="AM11" s="8" t="str">
        <f>IF(AN11="","",VLOOKUP(AN11,引用表合并!$A:$B,2,FALSE))</f>
        <v/>
      </c>
      <c r="AN11" s="8"/>
      <c r="AO11" s="8"/>
      <c r="AQ11" s="8" t="str">
        <f>IF(AR11="","",VLOOKUP(AR11,引用表合并!$A:$B,2,FALSE))</f>
        <v/>
      </c>
      <c r="AR11" s="8"/>
      <c r="AS11" s="8"/>
      <c r="AU11" s="8" t="str">
        <f>IF(AV11="","",VLOOKUP(AV11,引用表合并!$A:$B,2,FALSE))</f>
        <v/>
      </c>
      <c r="AV11" s="8"/>
      <c r="AW11" s="8"/>
      <c r="AY11" s="8" t="str">
        <f>IF(AZ11="","",VLOOKUP(AZ11,引用表合并!$A:$B,2,FALSE))</f>
        <v/>
      </c>
      <c r="AZ11" s="8"/>
      <c r="BA11" s="8"/>
      <c r="BC11" s="8" t="str">
        <f>IF(BD11="","",VLOOKUP(BD11,引用表合并!$A:$B,2,FALSE))</f>
        <v/>
      </c>
      <c r="BD11" s="8"/>
      <c r="BF11" s="10"/>
      <c r="BG11" s="8" t="str">
        <f>IF(BH11="","",VLOOKUP(BH11,引用表合并!$A:$B,2,FALSE))</f>
        <v/>
      </c>
      <c r="BH11" s="8"/>
      <c r="BJ11" s="10"/>
      <c r="BK11" s="8" t="str">
        <f>IF(BL11="","",VLOOKUP(BL11,引用表合并!$A:$B,2,FALSE))</f>
        <v/>
      </c>
      <c r="BL11" s="8"/>
      <c r="BN11" s="10"/>
    </row>
    <row r="12" spans="1:168" x14ac:dyDescent="0.15">
      <c r="A12" s="8">
        <v>1010</v>
      </c>
      <c r="B12" s="8" t="str">
        <f>"地图:"&amp;VLOOKUP(A12,[1]地图配置辅助表!$A$3:$E$229,4,FALSE)</f>
        <v>地图:新手关卡</v>
      </c>
      <c r="C12" s="8">
        <v>0</v>
      </c>
      <c r="D12" s="8">
        <f>E12</f>
        <v>0</v>
      </c>
      <c r="E12" s="16">
        <f t="shared" si="0"/>
        <v>0</v>
      </c>
      <c r="F12" s="16">
        <f t="shared" si="2"/>
        <v>0</v>
      </c>
      <c r="G12" s="8" t="str">
        <f>IF(H12="","",VLOOKUP(H12,引用表合并!$A:$B,2,FALSE))</f>
        <v/>
      </c>
      <c r="K12" s="8" t="str">
        <f>IF(L12="","",VLOOKUP(L12,引用表合并!$A:$B,2,FALSE))</f>
        <v/>
      </c>
      <c r="L12" s="8"/>
      <c r="M12" s="8"/>
      <c r="O12" s="8" t="str">
        <f>IF(P12="","",VLOOKUP(P12,引用表合并!$A:$B,2,FALSE))</f>
        <v/>
      </c>
      <c r="P12" s="8"/>
      <c r="Q12" s="8"/>
      <c r="S12" s="8" t="str">
        <f>IF(T12="","",VLOOKUP(T12,引用表合并!$A:$B,2,FALSE))</f>
        <v/>
      </c>
      <c r="T12" s="8"/>
      <c r="U12" s="8"/>
      <c r="W12" s="8" t="str">
        <f>IF(X12="","",VLOOKUP(X12,引用表合并!$A:$B,2,FALSE))</f>
        <v/>
      </c>
      <c r="X12" s="8"/>
      <c r="Y12" s="8"/>
      <c r="AA12" s="8" t="str">
        <f>IF(AB12="","",VLOOKUP(AB12,引用表合并!$A:$B,2,FALSE))</f>
        <v/>
      </c>
      <c r="AB12" s="8"/>
      <c r="AC12" s="8"/>
      <c r="AE12" s="8" t="str">
        <f>IF(AF12="","",VLOOKUP(AF12,引用表合并!$A:$B,2,FALSE))</f>
        <v/>
      </c>
      <c r="AF12" s="8"/>
      <c r="AG12" s="8"/>
      <c r="AI12" s="8" t="str">
        <f>IF(AJ12="","",VLOOKUP(AJ12,引用表合并!$A:$B,2,FALSE))</f>
        <v/>
      </c>
      <c r="AJ12" s="8"/>
      <c r="AK12" s="8"/>
      <c r="AM12" s="8" t="str">
        <f>IF(AN12="","",VLOOKUP(AN12,引用表合并!$A:$B,2,FALSE))</f>
        <v/>
      </c>
      <c r="AN12" s="8"/>
      <c r="AO12" s="8"/>
      <c r="AQ12" s="8" t="str">
        <f>IF(AR12="","",VLOOKUP(AR12,引用表合并!$A:$B,2,FALSE))</f>
        <v/>
      </c>
      <c r="AR12" s="8"/>
      <c r="AS12" s="8"/>
      <c r="AU12" s="8" t="str">
        <f>IF(AV12="","",VLOOKUP(AV12,引用表合并!$A:$B,2,FALSE))</f>
        <v/>
      </c>
      <c r="AV12" s="8"/>
      <c r="AW12" s="8"/>
      <c r="AY12" s="8" t="str">
        <f>IF(AZ12="","",VLOOKUP(AZ12,引用表合并!$A:$B,2,FALSE))</f>
        <v/>
      </c>
      <c r="AZ12" s="8"/>
      <c r="BA12" s="8"/>
      <c r="BC12" s="8" t="str">
        <f>IF(BD12="","",VLOOKUP(BD12,引用表合并!$A:$B,2,FALSE))</f>
        <v/>
      </c>
      <c r="BD12" s="8"/>
      <c r="BF12" s="10"/>
      <c r="BG12" s="8" t="str">
        <f>IF(BH12="","",VLOOKUP(BH12,引用表合并!$A:$B,2,FALSE))</f>
        <v/>
      </c>
      <c r="BH12" s="8"/>
      <c r="BJ12" s="10"/>
      <c r="BK12" s="8" t="str">
        <f>IF(BL12="","",VLOOKUP(BL12,引用表合并!$A:$B,2,FALSE))</f>
        <v/>
      </c>
      <c r="BL12" s="8"/>
      <c r="BN12" s="10"/>
    </row>
    <row r="13" spans="1:168" x14ac:dyDescent="0.15">
      <c r="A13" s="8">
        <v>2001</v>
      </c>
      <c r="B13" s="8" t="str">
        <f>"地图:"&amp;VLOOKUP(A13,[1]地图配置辅助表!$A$3:$E$229,4,FALSE)</f>
        <v>地图:协助山鸡</v>
      </c>
      <c r="C13" s="8">
        <v>0</v>
      </c>
      <c r="D13" s="8">
        <f>E13</f>
        <v>2</v>
      </c>
      <c r="E13" s="16">
        <f t="shared" si="0"/>
        <v>2</v>
      </c>
      <c r="F13" s="16">
        <v>1</v>
      </c>
      <c r="G13" s="8" t="str">
        <f>IF(H13="","",VLOOKUP(H13,引用表合并!$A:$B,2,FALSE))</f>
        <v>高级装备升级石</v>
      </c>
      <c r="H13" s="8">
        <v>85200</v>
      </c>
      <c r="I13" s="8">
        <v>1</v>
      </c>
      <c r="J13" s="10">
        <v>3000</v>
      </c>
      <c r="K13" s="8" t="str">
        <f>IF(L13="","",VLOOKUP(L13,引用表合并!$A:$B,2,FALSE))</f>
        <v>部位材料(武器)</v>
      </c>
      <c r="L13" s="8">
        <v>70010</v>
      </c>
      <c r="M13" s="8">
        <v>1</v>
      </c>
      <c r="N13" s="10">
        <v>4000</v>
      </c>
      <c r="O13" s="8" t="str">
        <f>IF(P13="","",VLOOKUP(P13,引用表合并!$A:$B,2,FALSE))</f>
        <v/>
      </c>
      <c r="P13" s="8"/>
      <c r="Q13" s="8"/>
      <c r="S13" s="8" t="str">
        <f>IF(T13="","",VLOOKUP(T13,引用表合并!$A:$B,2,FALSE))</f>
        <v/>
      </c>
      <c r="T13" s="8"/>
      <c r="U13" s="8"/>
      <c r="W13" s="8" t="str">
        <f>IF(X13="","",VLOOKUP(X13,引用表合并!$A:$B,2,FALSE))</f>
        <v/>
      </c>
      <c r="X13" s="8"/>
      <c r="Y13" s="8"/>
      <c r="AA13" s="8" t="str">
        <f>IF(AB13="","",VLOOKUP(AB13,引用表合并!$A:$B,2,FALSE))</f>
        <v/>
      </c>
      <c r="AB13" s="8"/>
      <c r="AC13" s="8"/>
      <c r="AE13" s="8" t="str">
        <f>IF(AF13="","",VLOOKUP(AF13,引用表合并!$A:$B,2,FALSE))</f>
        <v/>
      </c>
      <c r="AF13" s="8"/>
      <c r="AG13" s="8"/>
      <c r="AI13" s="8" t="str">
        <f>IF(AJ13="","",VLOOKUP(AJ13,引用表合并!$A:$B,2,FALSE))</f>
        <v/>
      </c>
      <c r="AJ13" s="8"/>
      <c r="AK13" s="8"/>
      <c r="AM13" s="8" t="str">
        <f>IF(AN13="","",VLOOKUP(AN13,引用表合并!$A:$B,2,FALSE))</f>
        <v/>
      </c>
      <c r="AN13" s="8"/>
      <c r="AO13" s="8"/>
      <c r="AQ13" s="8" t="str">
        <f>IF(AR13="","",VLOOKUP(AR13,引用表合并!$A:$B,2,FALSE))</f>
        <v/>
      </c>
      <c r="AR13" s="8"/>
      <c r="AS13" s="8"/>
      <c r="AU13" s="8" t="str">
        <f>IF(AV13="","",VLOOKUP(AV13,引用表合并!$A:$B,2,FALSE))</f>
        <v/>
      </c>
      <c r="AV13" s="8"/>
      <c r="AW13" s="8"/>
      <c r="AY13" s="8" t="str">
        <f>IF(AZ13="","",VLOOKUP(AZ13,引用表合并!$A:$B,2,FALSE))</f>
        <v/>
      </c>
      <c r="AZ13" s="8"/>
      <c r="BA13" s="8"/>
      <c r="BC13" s="8" t="str">
        <f>IF(BD13="","",VLOOKUP(BD13,引用表合并!$A:$B,2,FALSE))</f>
        <v/>
      </c>
      <c r="BD13" s="8"/>
      <c r="BF13" s="10"/>
      <c r="BG13" s="8" t="str">
        <f>IF(BH13="","",VLOOKUP(BH13,引用表合并!$A:$B,2,FALSE))</f>
        <v/>
      </c>
      <c r="BH13" s="8"/>
      <c r="BJ13" s="10"/>
      <c r="BK13" s="8" t="str">
        <f>IF(BL13="","",VLOOKUP(BL13,引用表合并!$A:$B,2,FALSE))</f>
        <v/>
      </c>
      <c r="BL13" s="8"/>
      <c r="BN13" s="10"/>
    </row>
    <row r="14" spans="1:168" x14ac:dyDescent="0.15">
      <c r="A14" s="8">
        <v>2002</v>
      </c>
      <c r="B14" s="8" t="str">
        <f>"地图:"&amp;VLOOKUP(A14,[1]地图配置辅助表!$A$3:$E$229,4,FALSE)</f>
        <v>地图:伏击张议员</v>
      </c>
      <c r="C14" s="8">
        <v>0</v>
      </c>
      <c r="D14" s="8">
        <f t="shared" ref="D14:D107" si="4">E14</f>
        <v>2</v>
      </c>
      <c r="E14" s="16">
        <f t="shared" si="0"/>
        <v>2</v>
      </c>
      <c r="F14" s="16">
        <v>1</v>
      </c>
      <c r="G14" s="8" t="str">
        <f>IF(H14="","",VLOOKUP(H14,引用表合并!$A:$B,2,FALSE))</f>
        <v>高级装备升级石</v>
      </c>
      <c r="H14" s="8">
        <v>85200</v>
      </c>
      <c r="I14" s="8">
        <v>1</v>
      </c>
      <c r="J14" s="10">
        <v>3000</v>
      </c>
      <c r="K14" s="8" t="str">
        <f>IF(L14="","",VLOOKUP(L14,引用表合并!$A:$B,2,FALSE))</f>
        <v>部位材料(项链)</v>
      </c>
      <c r="L14" s="8">
        <v>73010</v>
      </c>
      <c r="M14" s="8">
        <v>1</v>
      </c>
      <c r="N14" s="10">
        <v>4000</v>
      </c>
      <c r="O14" s="8" t="str">
        <f>IF(P14="","",VLOOKUP(P14,引用表合并!$A:$B,2,FALSE))</f>
        <v/>
      </c>
      <c r="P14" s="8"/>
      <c r="Q14" s="8"/>
      <c r="S14" s="8" t="str">
        <f>IF(T14="","",VLOOKUP(T14,引用表合并!$A:$B,2,FALSE))</f>
        <v/>
      </c>
      <c r="T14" s="8"/>
      <c r="U14" s="8"/>
      <c r="W14" s="8" t="str">
        <f>IF(X14="","",VLOOKUP(X14,引用表合并!$A:$B,2,FALSE))</f>
        <v/>
      </c>
      <c r="X14" s="8"/>
      <c r="Y14" s="8"/>
      <c r="AA14" s="8" t="str">
        <f>IF(AB14="","",VLOOKUP(AB14,引用表合并!$A:$B,2,FALSE))</f>
        <v/>
      </c>
      <c r="AB14" s="8"/>
      <c r="AC14" s="8"/>
      <c r="AE14" s="8" t="str">
        <f>IF(AF14="","",VLOOKUP(AF14,引用表合并!$A:$B,2,FALSE))</f>
        <v/>
      </c>
      <c r="AF14" s="8"/>
      <c r="AG14" s="8"/>
      <c r="AI14" s="8" t="str">
        <f>IF(AJ14="","",VLOOKUP(AJ14,引用表合并!$A:$B,2,FALSE))</f>
        <v/>
      </c>
      <c r="AJ14" s="8"/>
      <c r="AK14" s="8"/>
      <c r="AM14" s="8" t="str">
        <f>IF(AN14="","",VLOOKUP(AN14,引用表合并!$A:$B,2,FALSE))</f>
        <v/>
      </c>
      <c r="AN14" s="8"/>
      <c r="AO14" s="8"/>
      <c r="AQ14" s="8" t="str">
        <f>IF(AR14="","",VLOOKUP(AR14,引用表合并!$A:$B,2,FALSE))</f>
        <v/>
      </c>
      <c r="AR14" s="8"/>
      <c r="AS14" s="8"/>
      <c r="AU14" s="8" t="str">
        <f>IF(AV14="","",VLOOKUP(AV14,引用表合并!$A:$B,2,FALSE))</f>
        <v/>
      </c>
      <c r="AV14" s="8"/>
      <c r="AW14" s="8"/>
      <c r="AY14" s="8" t="str">
        <f>IF(AZ14="","",VLOOKUP(AZ14,引用表合并!$A:$B,2,FALSE))</f>
        <v/>
      </c>
      <c r="AZ14" s="8"/>
      <c r="BA14" s="8"/>
      <c r="BC14" s="8" t="str">
        <f>IF(BD14="","",VLOOKUP(BD14,引用表合并!$A:$B,2,FALSE))</f>
        <v/>
      </c>
      <c r="BD14" s="8"/>
      <c r="BF14" s="10"/>
      <c r="BG14" s="8" t="str">
        <f>IF(BH14="","",VLOOKUP(BH14,引用表合并!$A:$B,2,FALSE))</f>
        <v/>
      </c>
      <c r="BH14" s="8"/>
      <c r="BJ14" s="10"/>
      <c r="BK14" s="8" t="str">
        <f>IF(BL14="","",VLOOKUP(BL14,引用表合并!$A:$B,2,FALSE))</f>
        <v/>
      </c>
      <c r="BL14" s="8"/>
      <c r="BN14" s="10"/>
    </row>
    <row r="15" spans="1:168" x14ac:dyDescent="0.15">
      <c r="A15" s="8">
        <v>2003</v>
      </c>
      <c r="B15" s="8" t="str">
        <f>"地图:"&amp;VLOOKUP(A15,[1]地图配置辅助表!$A$3:$E$229,4,FALSE)</f>
        <v>地图:蒋生遇雷功</v>
      </c>
      <c r="C15" s="8">
        <v>0</v>
      </c>
      <c r="D15" s="8">
        <f t="shared" si="4"/>
        <v>2</v>
      </c>
      <c r="E15" s="16">
        <f t="shared" si="0"/>
        <v>2</v>
      </c>
      <c r="F15" s="16">
        <v>1</v>
      </c>
      <c r="G15" s="8" t="str">
        <f>IF(H15="","",VLOOKUP(H15,引用表合并!$A:$B,2,FALSE))</f>
        <v>高级装备升级石</v>
      </c>
      <c r="H15" s="8">
        <v>85200</v>
      </c>
      <c r="I15" s="8">
        <v>1</v>
      </c>
      <c r="J15" s="10">
        <v>3000</v>
      </c>
      <c r="K15" s="8" t="str">
        <f>IF(L15="","",VLOOKUP(L15,引用表合并!$A:$B,2,FALSE))</f>
        <v>部位材料(裤子)</v>
      </c>
      <c r="L15" s="8">
        <v>72010</v>
      </c>
      <c r="M15" s="8">
        <v>1</v>
      </c>
      <c r="N15" s="10">
        <v>4000</v>
      </c>
      <c r="O15" s="8" t="str">
        <f>IF(P15="","",VLOOKUP(P15,引用表合并!$A:$B,2,FALSE))</f>
        <v/>
      </c>
      <c r="P15" s="8"/>
      <c r="Q15" s="8"/>
      <c r="S15" s="8" t="str">
        <f>IF(T15="","",VLOOKUP(T15,引用表合并!$A:$B,2,FALSE))</f>
        <v/>
      </c>
      <c r="T15" s="8"/>
      <c r="U15" s="8"/>
      <c r="W15" s="8" t="str">
        <f>IF(X15="","",VLOOKUP(X15,引用表合并!$A:$B,2,FALSE))</f>
        <v/>
      </c>
      <c r="X15" s="8"/>
      <c r="Y15" s="8"/>
      <c r="AA15" s="8" t="str">
        <f>IF(AB15="","",VLOOKUP(AB15,引用表合并!$A:$B,2,FALSE))</f>
        <v/>
      </c>
      <c r="AB15" s="8"/>
      <c r="AC15" s="8"/>
      <c r="AE15" s="8" t="str">
        <f>IF(AF15="","",VLOOKUP(AF15,引用表合并!$A:$B,2,FALSE))</f>
        <v/>
      </c>
      <c r="AF15" s="8"/>
      <c r="AG15" s="8"/>
      <c r="AI15" s="8" t="str">
        <f>IF(AJ15="","",VLOOKUP(AJ15,引用表合并!$A:$B,2,FALSE))</f>
        <v/>
      </c>
      <c r="AJ15" s="8"/>
      <c r="AK15" s="8"/>
      <c r="AM15" s="8" t="str">
        <f>IF(AN15="","",VLOOKUP(AN15,引用表合并!$A:$B,2,FALSE))</f>
        <v/>
      </c>
      <c r="AN15" s="8"/>
      <c r="AO15" s="8"/>
      <c r="AQ15" s="8" t="str">
        <f>IF(AR15="","",VLOOKUP(AR15,引用表合并!$A:$B,2,FALSE))</f>
        <v/>
      </c>
      <c r="AR15" s="8"/>
      <c r="AS15" s="8"/>
      <c r="AU15" s="8" t="str">
        <f>IF(AV15="","",VLOOKUP(AV15,引用表合并!$A:$B,2,FALSE))</f>
        <v/>
      </c>
      <c r="AV15" s="8"/>
      <c r="AW15" s="8"/>
      <c r="AY15" s="8" t="str">
        <f>IF(AZ15="","",VLOOKUP(AZ15,引用表合并!$A:$B,2,FALSE))</f>
        <v/>
      </c>
      <c r="AZ15" s="8"/>
      <c r="BA15" s="8"/>
      <c r="BC15" s="8" t="str">
        <f>IF(BD15="","",VLOOKUP(BD15,引用表合并!$A:$B,2,FALSE))</f>
        <v/>
      </c>
      <c r="BD15" s="8"/>
      <c r="BF15" s="10"/>
      <c r="BG15" s="8" t="str">
        <f>IF(BH15="","",VLOOKUP(BH15,引用表合并!$A:$B,2,FALSE))</f>
        <v/>
      </c>
      <c r="BH15" s="8"/>
      <c r="BJ15" s="10"/>
      <c r="BK15" s="8" t="str">
        <f>IF(BL15="","",VLOOKUP(BL15,引用表合并!$A:$B,2,FALSE))</f>
        <v/>
      </c>
      <c r="BL15" s="8"/>
      <c r="BN15" s="10"/>
    </row>
    <row r="16" spans="1:168" x14ac:dyDescent="0.15">
      <c r="A16" s="8">
        <v>2004</v>
      </c>
      <c r="B16" s="8" t="str">
        <f>"地图:"&amp;VLOOKUP(A16,[1]地图配置辅助表!$A$3:$E$229,4,FALSE)</f>
        <v>地图:争夺扛把子</v>
      </c>
      <c r="C16" s="8">
        <v>0</v>
      </c>
      <c r="D16" s="8">
        <f t="shared" si="4"/>
        <v>2</v>
      </c>
      <c r="E16" s="16">
        <f t="shared" si="0"/>
        <v>2</v>
      </c>
      <c r="F16" s="16">
        <v>1</v>
      </c>
      <c r="G16" s="8" t="str">
        <f>IF(H16="","",VLOOKUP(H16,引用表合并!$A:$B,2,FALSE))</f>
        <v>高级装备升级石</v>
      </c>
      <c r="H16" s="8">
        <v>85200</v>
      </c>
      <c r="I16" s="8">
        <v>1</v>
      </c>
      <c r="J16" s="10">
        <v>3000</v>
      </c>
      <c r="K16" s="8" t="str">
        <f>IF(L16="","",VLOOKUP(L16,引用表合并!$A:$B,2,FALSE))</f>
        <v>部位材料(鞋子)</v>
      </c>
      <c r="L16" s="8">
        <v>75010</v>
      </c>
      <c r="M16" s="8">
        <v>1</v>
      </c>
      <c r="N16" s="10">
        <v>4000</v>
      </c>
      <c r="O16" s="8" t="str">
        <f>IF(P16="","",VLOOKUP(P16,引用表合并!$A:$B,2,FALSE))</f>
        <v/>
      </c>
      <c r="P16" s="8"/>
      <c r="Q16" s="8"/>
      <c r="S16" s="8" t="str">
        <f>IF(T16="","",VLOOKUP(T16,引用表合并!$A:$B,2,FALSE))</f>
        <v/>
      </c>
      <c r="T16" s="8"/>
      <c r="U16" s="8"/>
      <c r="W16" s="8" t="str">
        <f>IF(X16="","",VLOOKUP(X16,引用表合并!$A:$B,2,FALSE))</f>
        <v/>
      </c>
      <c r="X16" s="8"/>
      <c r="Y16" s="8"/>
      <c r="AA16" s="8" t="str">
        <f>IF(AB16="","",VLOOKUP(AB16,引用表合并!$A:$B,2,FALSE))</f>
        <v/>
      </c>
      <c r="AB16" s="8"/>
      <c r="AC16" s="8"/>
      <c r="AE16" s="8" t="str">
        <f>IF(AF16="","",VLOOKUP(AF16,引用表合并!$A:$B,2,FALSE))</f>
        <v/>
      </c>
      <c r="AF16" s="8"/>
      <c r="AG16" s="8"/>
      <c r="AI16" s="8" t="str">
        <f>IF(AJ16="","",VLOOKUP(AJ16,引用表合并!$A:$B,2,FALSE))</f>
        <v/>
      </c>
      <c r="AJ16" s="8"/>
      <c r="AK16" s="8"/>
      <c r="AM16" s="8" t="str">
        <f>IF(AN16="","",VLOOKUP(AN16,引用表合并!$A:$B,2,FALSE))</f>
        <v/>
      </c>
      <c r="AN16" s="8"/>
      <c r="AO16" s="8"/>
      <c r="AQ16" s="8" t="str">
        <f>IF(AR16="","",VLOOKUP(AR16,引用表合并!$A:$B,2,FALSE))</f>
        <v/>
      </c>
      <c r="AR16" s="8"/>
      <c r="AS16" s="8"/>
      <c r="AU16" s="8" t="str">
        <f>IF(AV16="","",VLOOKUP(AV16,引用表合并!$A:$B,2,FALSE))</f>
        <v/>
      </c>
      <c r="AV16" s="8"/>
      <c r="AW16" s="8"/>
      <c r="AY16" s="8" t="str">
        <f>IF(AZ16="","",VLOOKUP(AZ16,引用表合并!$A:$B,2,FALSE))</f>
        <v/>
      </c>
      <c r="AZ16" s="8"/>
      <c r="BA16" s="8"/>
      <c r="BC16" s="8" t="str">
        <f>IF(BD16="","",VLOOKUP(BD16,引用表合并!$A:$B,2,FALSE))</f>
        <v/>
      </c>
      <c r="BD16" s="8"/>
      <c r="BF16" s="10"/>
      <c r="BG16" s="8" t="str">
        <f>IF(BH16="","",VLOOKUP(BH16,引用表合并!$A:$B,2,FALSE))</f>
        <v/>
      </c>
      <c r="BH16" s="8"/>
      <c r="BJ16" s="10"/>
      <c r="BK16" s="8" t="str">
        <f>IF(BL16="","",VLOOKUP(BL16,引用表合并!$A:$B,2,FALSE))</f>
        <v/>
      </c>
      <c r="BL16" s="8"/>
      <c r="BN16" s="10"/>
    </row>
    <row r="17" spans="1:66" x14ac:dyDescent="0.15">
      <c r="A17" s="8">
        <v>2005</v>
      </c>
      <c r="B17" s="8" t="str">
        <f>"地图:"&amp;VLOOKUP(A17,[1]地图配置辅助表!$A$3:$E$229,4,FALSE)</f>
        <v>地图:约战大飞</v>
      </c>
      <c r="C17" s="8">
        <v>0</v>
      </c>
      <c r="D17" s="8">
        <f t="shared" si="4"/>
        <v>2</v>
      </c>
      <c r="E17" s="16">
        <f t="shared" si="0"/>
        <v>2</v>
      </c>
      <c r="F17" s="16">
        <v>1</v>
      </c>
      <c r="G17" s="8" t="str">
        <f>IF(H17="","",VLOOKUP(H17,引用表合并!$A:$B,2,FALSE))</f>
        <v>高级装备升级石</v>
      </c>
      <c r="H17" s="8">
        <v>85200</v>
      </c>
      <c r="I17" s="8">
        <v>1</v>
      </c>
      <c r="J17" s="10">
        <v>3000</v>
      </c>
      <c r="K17" s="8" t="str">
        <f>IF(L17="","",VLOOKUP(L17,引用表合并!$A:$B,2,FALSE))</f>
        <v>部位材料(腰带)</v>
      </c>
      <c r="L17" s="8">
        <v>74010</v>
      </c>
      <c r="M17" s="8">
        <v>1</v>
      </c>
      <c r="N17" s="10">
        <v>4000</v>
      </c>
      <c r="O17" s="8" t="str">
        <f>IF(P17="","",VLOOKUP(P17,引用表合并!$A:$B,2,FALSE))</f>
        <v/>
      </c>
      <c r="P17" s="8"/>
      <c r="Q17" s="8"/>
      <c r="S17" s="8" t="str">
        <f>IF(T17="","",VLOOKUP(T17,引用表合并!$A:$B,2,FALSE))</f>
        <v/>
      </c>
      <c r="T17" s="8"/>
      <c r="U17" s="8"/>
      <c r="W17" s="8" t="str">
        <f>IF(X17="","",VLOOKUP(X17,引用表合并!$A:$B,2,FALSE))</f>
        <v/>
      </c>
      <c r="X17" s="8"/>
      <c r="Y17" s="8"/>
      <c r="AA17" s="8" t="str">
        <f>IF(AB17="","",VLOOKUP(AB17,引用表合并!$A:$B,2,FALSE))</f>
        <v/>
      </c>
      <c r="AB17" s="8"/>
      <c r="AC17" s="8"/>
      <c r="AE17" s="8" t="str">
        <f>IF(AF17="","",VLOOKUP(AF17,引用表合并!$A:$B,2,FALSE))</f>
        <v/>
      </c>
      <c r="AF17" s="8"/>
      <c r="AG17" s="8"/>
      <c r="AI17" s="8" t="str">
        <f>IF(AJ17="","",VLOOKUP(AJ17,引用表合并!$A:$B,2,FALSE))</f>
        <v/>
      </c>
      <c r="AJ17" s="8"/>
      <c r="AK17" s="8"/>
      <c r="AM17" s="8" t="str">
        <f>IF(AN17="","",VLOOKUP(AN17,引用表合并!$A:$B,2,FALSE))</f>
        <v/>
      </c>
      <c r="AN17" s="8"/>
      <c r="AO17" s="8"/>
      <c r="AQ17" s="8" t="str">
        <f>IF(AR17="","",VLOOKUP(AR17,引用表合并!$A:$B,2,FALSE))</f>
        <v/>
      </c>
      <c r="AR17" s="8"/>
      <c r="AS17" s="8"/>
      <c r="AU17" s="8" t="str">
        <f>IF(AV17="","",VLOOKUP(AV17,引用表合并!$A:$B,2,FALSE))</f>
        <v/>
      </c>
      <c r="AV17" s="8"/>
      <c r="AW17" s="8"/>
      <c r="AY17" s="8" t="str">
        <f>IF(AZ17="","",VLOOKUP(AZ17,引用表合并!$A:$B,2,FALSE))</f>
        <v/>
      </c>
      <c r="AZ17" s="8"/>
      <c r="BA17" s="8"/>
      <c r="BC17" s="8" t="str">
        <f>IF(BD17="","",VLOOKUP(BD17,引用表合并!$A:$B,2,FALSE))</f>
        <v/>
      </c>
      <c r="BD17" s="8"/>
      <c r="BF17" s="10"/>
      <c r="BG17" s="8" t="str">
        <f>IF(BH17="","",VLOOKUP(BH17,引用表合并!$A:$B,2,FALSE))</f>
        <v/>
      </c>
      <c r="BH17" s="8"/>
      <c r="BJ17" s="10"/>
      <c r="BK17" s="8" t="str">
        <f>IF(BL17="","",VLOOKUP(BL17,引用表合并!$A:$B,2,FALSE))</f>
        <v/>
      </c>
      <c r="BL17" s="8"/>
      <c r="BN17" s="10"/>
    </row>
    <row r="18" spans="1:66" x14ac:dyDescent="0.15">
      <c r="A18" s="8">
        <v>2006</v>
      </c>
      <c r="B18" s="8" t="str">
        <f>"地图:"&amp;VLOOKUP(A18,[1]地图配置辅助表!$A$3:$E$229,4,FALSE)</f>
        <v>地图:缓和契机</v>
      </c>
      <c r="C18" s="8">
        <v>0</v>
      </c>
      <c r="D18" s="8">
        <f t="shared" si="4"/>
        <v>2</v>
      </c>
      <c r="E18" s="16">
        <f t="shared" si="0"/>
        <v>2</v>
      </c>
      <c r="F18" s="16">
        <v>1</v>
      </c>
      <c r="G18" s="8" t="str">
        <f>IF(H18="","",VLOOKUP(H18,引用表合并!$A:$B,2,FALSE))</f>
        <v>高级装备升级石</v>
      </c>
      <c r="H18" s="8">
        <v>85200</v>
      </c>
      <c r="I18" s="8">
        <v>1</v>
      </c>
      <c r="J18" s="10">
        <v>3000</v>
      </c>
      <c r="K18" s="8" t="str">
        <f>IF(L18="","",VLOOKUP(L18,引用表合并!$A:$B,2,FALSE))</f>
        <v>部位材料(衣服)</v>
      </c>
      <c r="L18" s="8">
        <v>71010</v>
      </c>
      <c r="M18" s="8">
        <v>1</v>
      </c>
      <c r="N18" s="10">
        <v>4000</v>
      </c>
      <c r="O18" s="8" t="str">
        <f>IF(P18="","",VLOOKUP(P18,引用表合并!$A:$B,2,FALSE))</f>
        <v/>
      </c>
      <c r="P18" s="8"/>
      <c r="Q18" s="8"/>
      <c r="S18" s="8" t="str">
        <f>IF(T18="","",VLOOKUP(T18,引用表合并!$A:$B,2,FALSE))</f>
        <v/>
      </c>
      <c r="T18" s="8"/>
      <c r="U18" s="8"/>
      <c r="W18" s="8" t="str">
        <f>IF(X18="","",VLOOKUP(X18,引用表合并!$A:$B,2,FALSE))</f>
        <v/>
      </c>
      <c r="X18" s="8"/>
      <c r="Y18" s="8"/>
      <c r="AA18" s="8" t="str">
        <f>IF(AB18="","",VLOOKUP(AB18,引用表合并!$A:$B,2,FALSE))</f>
        <v/>
      </c>
      <c r="AB18" s="8"/>
      <c r="AC18" s="8"/>
      <c r="AE18" s="8" t="str">
        <f>IF(AF18="","",VLOOKUP(AF18,引用表合并!$A:$B,2,FALSE))</f>
        <v/>
      </c>
      <c r="AF18" s="8"/>
      <c r="AG18" s="8"/>
      <c r="AI18" s="8" t="str">
        <f>IF(AJ18="","",VLOOKUP(AJ18,引用表合并!$A:$B,2,FALSE))</f>
        <v/>
      </c>
      <c r="AJ18" s="8"/>
      <c r="AK18" s="8"/>
      <c r="AM18" s="8" t="str">
        <f>IF(AN18="","",VLOOKUP(AN18,引用表合并!$A:$B,2,FALSE))</f>
        <v/>
      </c>
      <c r="AN18" s="8"/>
      <c r="AO18" s="8"/>
      <c r="AQ18" s="8" t="str">
        <f>IF(AR18="","",VLOOKUP(AR18,引用表合并!$A:$B,2,FALSE))</f>
        <v/>
      </c>
      <c r="AR18" s="8"/>
      <c r="AS18" s="8"/>
      <c r="AU18" s="8" t="str">
        <f>IF(AV18="","",VLOOKUP(AV18,引用表合并!$A:$B,2,FALSE))</f>
        <v/>
      </c>
      <c r="AV18" s="8"/>
      <c r="AW18" s="8"/>
      <c r="AY18" s="8" t="str">
        <f>IF(AZ18="","",VLOOKUP(AZ18,引用表合并!$A:$B,2,FALSE))</f>
        <v/>
      </c>
      <c r="AZ18" s="8"/>
      <c r="BA18" s="8"/>
      <c r="BC18" s="8" t="str">
        <f>IF(BD18="","",VLOOKUP(BD18,引用表合并!$A:$B,2,FALSE))</f>
        <v/>
      </c>
      <c r="BD18" s="8"/>
      <c r="BF18" s="10"/>
      <c r="BG18" s="8" t="str">
        <f>IF(BH18="","",VLOOKUP(BH18,引用表合并!$A:$B,2,FALSE))</f>
        <v/>
      </c>
      <c r="BH18" s="8"/>
      <c r="BJ18" s="10"/>
      <c r="BK18" s="8" t="str">
        <f>IF(BL18="","",VLOOKUP(BL18,引用表合并!$A:$B,2,FALSE))</f>
        <v/>
      </c>
      <c r="BL18" s="8"/>
      <c r="BN18" s="10"/>
    </row>
    <row r="19" spans="1:66" x14ac:dyDescent="0.15">
      <c r="A19" s="8">
        <v>2007</v>
      </c>
      <c r="B19" s="8" t="str">
        <f>"地图:"&amp;VLOOKUP(A19,[1]地图配置辅助表!$A$3:$E$229,4,FALSE)</f>
        <v>地图:落入陷阱</v>
      </c>
      <c r="C19" s="8">
        <v>0</v>
      </c>
      <c r="D19" s="8">
        <f t="shared" ref="D19:D21" si="5">E19</f>
        <v>2</v>
      </c>
      <c r="E19" s="16">
        <f t="shared" si="0"/>
        <v>2</v>
      </c>
      <c r="F19" s="16">
        <v>1</v>
      </c>
      <c r="G19" s="8" t="str">
        <f>IF(H19="","",VLOOKUP(H19,引用表合并!$A:$B,2,FALSE))</f>
        <v>高级装备升级石</v>
      </c>
      <c r="H19" s="8">
        <v>85200</v>
      </c>
      <c r="I19" s="8">
        <v>1</v>
      </c>
      <c r="J19" s="10">
        <v>3000</v>
      </c>
      <c r="K19" s="8" t="str">
        <f>IF(L19="","",VLOOKUP(L19,引用表合并!$A:$B,2,FALSE))</f>
        <v>部位材料(武器)</v>
      </c>
      <c r="L19" s="8">
        <v>70010</v>
      </c>
      <c r="M19" s="8">
        <v>1</v>
      </c>
      <c r="N19" s="10">
        <v>4000</v>
      </c>
      <c r="O19" s="8" t="str">
        <f>IF(P19="","",VLOOKUP(P19,引用表合并!$A:$B,2,FALSE))</f>
        <v/>
      </c>
      <c r="P19" s="8"/>
      <c r="Q19" s="8"/>
      <c r="S19" s="8" t="str">
        <f>IF(T19="","",VLOOKUP(T19,引用表合并!$A:$B,2,FALSE))</f>
        <v/>
      </c>
      <c r="T19" s="8"/>
      <c r="U19" s="8"/>
      <c r="W19" s="8" t="str">
        <f>IF(X19="","",VLOOKUP(X19,引用表合并!$A:$B,2,FALSE))</f>
        <v/>
      </c>
      <c r="X19" s="8"/>
      <c r="Y19" s="8"/>
      <c r="AA19" s="8" t="str">
        <f>IF(AB19="","",VLOOKUP(AB19,引用表合并!$A:$B,2,FALSE))</f>
        <v/>
      </c>
      <c r="AB19" s="8"/>
      <c r="AC19" s="8"/>
      <c r="AE19" s="8" t="str">
        <f>IF(AF19="","",VLOOKUP(AF19,引用表合并!$A:$B,2,FALSE))</f>
        <v/>
      </c>
      <c r="AF19" s="8"/>
      <c r="AG19" s="8"/>
      <c r="AI19" s="8" t="str">
        <f>IF(AJ19="","",VLOOKUP(AJ19,引用表合并!$A:$B,2,FALSE))</f>
        <v/>
      </c>
      <c r="AJ19" s="8"/>
      <c r="AK19" s="8"/>
      <c r="AM19" s="8" t="str">
        <f>IF(AN19="","",VLOOKUP(AN19,引用表合并!$A:$B,2,FALSE))</f>
        <v/>
      </c>
      <c r="AN19" s="8"/>
      <c r="AO19" s="8"/>
      <c r="AQ19" s="8" t="str">
        <f>IF(AR19="","",VLOOKUP(AR19,引用表合并!$A:$B,2,FALSE))</f>
        <v/>
      </c>
      <c r="AR19" s="8"/>
      <c r="AS19" s="8"/>
      <c r="AU19" s="8" t="str">
        <f>IF(AV19="","",VLOOKUP(AV19,引用表合并!$A:$B,2,FALSE))</f>
        <v/>
      </c>
      <c r="AV19" s="8"/>
      <c r="AW19" s="8"/>
      <c r="AY19" s="8" t="str">
        <f>IF(AZ19="","",VLOOKUP(AZ19,引用表合并!$A:$B,2,FALSE))</f>
        <v/>
      </c>
      <c r="AZ19" s="8"/>
      <c r="BA19" s="8"/>
      <c r="BC19" s="8" t="str">
        <f>IF(BD19="","",VLOOKUP(BD19,引用表合并!$A:$B,2,FALSE))</f>
        <v/>
      </c>
      <c r="BD19" s="8"/>
      <c r="BF19" s="10"/>
      <c r="BG19" s="8" t="str">
        <f>IF(BH19="","",VLOOKUP(BH19,引用表合并!$A:$B,2,FALSE))</f>
        <v/>
      </c>
      <c r="BH19" s="8"/>
      <c r="BJ19" s="10"/>
      <c r="BK19" s="8" t="str">
        <f>IF(BL19="","",VLOOKUP(BL19,引用表合并!$A:$B,2,FALSE))</f>
        <v/>
      </c>
      <c r="BL19" s="8"/>
      <c r="BN19" s="10"/>
    </row>
    <row r="20" spans="1:66" x14ac:dyDescent="0.15">
      <c r="A20" s="8">
        <v>2008</v>
      </c>
      <c r="B20" s="8" t="str">
        <f>"地图:"&amp;VLOOKUP(A20,[1]地图配置辅助表!$A$3:$E$229,4,FALSE)</f>
        <v>地图:突出重围</v>
      </c>
      <c r="C20" s="8">
        <v>0</v>
      </c>
      <c r="D20" s="8">
        <f t="shared" si="5"/>
        <v>2</v>
      </c>
      <c r="E20" s="16">
        <f t="shared" si="0"/>
        <v>2</v>
      </c>
      <c r="F20" s="16">
        <v>1</v>
      </c>
      <c r="G20" s="8" t="str">
        <f>IF(H20="","",VLOOKUP(H20,引用表合并!$A:$B,2,FALSE))</f>
        <v>高级装备升级石</v>
      </c>
      <c r="H20" s="8">
        <v>85200</v>
      </c>
      <c r="I20" s="8">
        <v>1</v>
      </c>
      <c r="J20" s="10">
        <v>3000</v>
      </c>
      <c r="K20" s="8" t="str">
        <f>IF(L20="","",VLOOKUP(L20,引用表合并!$A:$B,2,FALSE))</f>
        <v>部位材料(项链)</v>
      </c>
      <c r="L20" s="8">
        <v>73010</v>
      </c>
      <c r="M20" s="8">
        <v>1</v>
      </c>
      <c r="N20" s="10">
        <v>4000</v>
      </c>
      <c r="O20" s="8" t="str">
        <f>IF(P20="","",VLOOKUP(P20,引用表合并!$A:$B,2,FALSE))</f>
        <v/>
      </c>
      <c r="P20" s="8"/>
      <c r="Q20" s="8"/>
      <c r="S20" s="8" t="str">
        <f>IF(T20="","",VLOOKUP(T20,引用表合并!$A:$B,2,FALSE))</f>
        <v/>
      </c>
      <c r="T20" s="8"/>
      <c r="U20" s="8"/>
      <c r="W20" s="8" t="str">
        <f>IF(X20="","",VLOOKUP(X20,引用表合并!$A:$B,2,FALSE))</f>
        <v/>
      </c>
      <c r="X20" s="8"/>
      <c r="Y20" s="8"/>
      <c r="AA20" s="8" t="str">
        <f>IF(AB20="","",VLOOKUP(AB20,引用表合并!$A:$B,2,FALSE))</f>
        <v/>
      </c>
      <c r="AB20" s="8"/>
      <c r="AC20" s="8"/>
      <c r="AE20" s="8" t="str">
        <f>IF(AF20="","",VLOOKUP(AF20,引用表合并!$A:$B,2,FALSE))</f>
        <v/>
      </c>
      <c r="AF20" s="8"/>
      <c r="AG20" s="8"/>
      <c r="AI20" s="8" t="str">
        <f>IF(AJ20="","",VLOOKUP(AJ20,引用表合并!$A:$B,2,FALSE))</f>
        <v/>
      </c>
      <c r="AJ20" s="8"/>
      <c r="AK20" s="8"/>
      <c r="AM20" s="8" t="str">
        <f>IF(AN20="","",VLOOKUP(AN20,引用表合并!$A:$B,2,FALSE))</f>
        <v/>
      </c>
      <c r="AN20" s="8"/>
      <c r="AO20" s="8"/>
      <c r="AQ20" s="8" t="str">
        <f>IF(AR20="","",VLOOKUP(AR20,引用表合并!$A:$B,2,FALSE))</f>
        <v/>
      </c>
      <c r="AR20" s="8"/>
      <c r="AS20" s="8"/>
      <c r="AU20" s="8" t="str">
        <f>IF(AV20="","",VLOOKUP(AV20,引用表合并!$A:$B,2,FALSE))</f>
        <v/>
      </c>
      <c r="AV20" s="8"/>
      <c r="AW20" s="8"/>
      <c r="AY20" s="8" t="str">
        <f>IF(AZ20="","",VLOOKUP(AZ20,引用表合并!$A:$B,2,FALSE))</f>
        <v/>
      </c>
      <c r="AZ20" s="8"/>
      <c r="BA20" s="8"/>
      <c r="BC20" s="8" t="str">
        <f>IF(BD20="","",VLOOKUP(BD20,引用表合并!$A:$B,2,FALSE))</f>
        <v/>
      </c>
      <c r="BD20" s="8"/>
      <c r="BF20" s="10"/>
      <c r="BG20" s="8" t="str">
        <f>IF(BH20="","",VLOOKUP(BH20,引用表合并!$A:$B,2,FALSE))</f>
        <v/>
      </c>
      <c r="BH20" s="8"/>
      <c r="BJ20" s="10"/>
      <c r="BK20" s="8" t="str">
        <f>IF(BL20="","",VLOOKUP(BL20,引用表合并!$A:$B,2,FALSE))</f>
        <v/>
      </c>
      <c r="BL20" s="8"/>
      <c r="BN20" s="10"/>
    </row>
    <row r="21" spans="1:66" x14ac:dyDescent="0.15">
      <c r="A21" s="8">
        <v>2009</v>
      </c>
      <c r="B21" s="8" t="str">
        <f>"地图:"&amp;VLOOKUP(A21,[1]地图配置辅助表!$A$3:$E$229,4,FALSE)</f>
        <v>地图:赌场除丁瑶</v>
      </c>
      <c r="C21" s="8">
        <v>0</v>
      </c>
      <c r="D21" s="8">
        <f t="shared" si="5"/>
        <v>2</v>
      </c>
      <c r="E21" s="16">
        <f t="shared" si="0"/>
        <v>2</v>
      </c>
      <c r="F21" s="16">
        <v>1</v>
      </c>
      <c r="G21" s="8" t="str">
        <f>IF(H21="","",VLOOKUP(H21,引用表合并!$A:$B,2,FALSE))</f>
        <v>高级装备升级石</v>
      </c>
      <c r="H21" s="8">
        <v>85200</v>
      </c>
      <c r="I21" s="8">
        <v>1</v>
      </c>
      <c r="J21" s="10">
        <v>3000</v>
      </c>
      <c r="K21" s="8" t="str">
        <f>IF(L21="","",VLOOKUP(L21,引用表合并!$A:$B,2,FALSE))</f>
        <v>部位材料(裤子)</v>
      </c>
      <c r="L21" s="8">
        <v>72010</v>
      </c>
      <c r="M21" s="8">
        <v>1</v>
      </c>
      <c r="N21" s="10">
        <v>4000</v>
      </c>
      <c r="O21" s="8" t="str">
        <f>IF(P21="","",VLOOKUP(P21,引用表合并!$A:$B,2,FALSE))</f>
        <v/>
      </c>
      <c r="P21" s="8"/>
      <c r="Q21" s="8"/>
      <c r="S21" s="8" t="str">
        <f>IF(T21="","",VLOOKUP(T21,引用表合并!$A:$B,2,FALSE))</f>
        <v/>
      </c>
      <c r="T21" s="8"/>
      <c r="U21" s="8"/>
      <c r="W21" s="8" t="str">
        <f>IF(X21="","",VLOOKUP(X21,引用表合并!$A:$B,2,FALSE))</f>
        <v/>
      </c>
      <c r="X21" s="8"/>
      <c r="Y21" s="8"/>
      <c r="AA21" s="8" t="str">
        <f>IF(AB21="","",VLOOKUP(AB21,引用表合并!$A:$B,2,FALSE))</f>
        <v/>
      </c>
      <c r="AB21" s="8"/>
      <c r="AC21" s="8"/>
      <c r="AE21" s="8" t="str">
        <f>IF(AF21="","",VLOOKUP(AF21,引用表合并!$A:$B,2,FALSE))</f>
        <v/>
      </c>
      <c r="AF21" s="8"/>
      <c r="AG21" s="8"/>
      <c r="AI21" s="8" t="str">
        <f>IF(AJ21="","",VLOOKUP(AJ21,引用表合并!$A:$B,2,FALSE))</f>
        <v/>
      </c>
      <c r="AJ21" s="8"/>
      <c r="AK21" s="8"/>
      <c r="AM21" s="8" t="str">
        <f>IF(AN21="","",VLOOKUP(AN21,引用表合并!$A:$B,2,FALSE))</f>
        <v/>
      </c>
      <c r="AN21" s="8"/>
      <c r="AO21" s="8"/>
      <c r="AQ21" s="8" t="str">
        <f>IF(AR21="","",VLOOKUP(AR21,引用表合并!$A:$B,2,FALSE))</f>
        <v/>
      </c>
      <c r="AR21" s="8"/>
      <c r="AS21" s="8"/>
      <c r="AU21" s="8" t="str">
        <f>IF(AV21="","",VLOOKUP(AV21,引用表合并!$A:$B,2,FALSE))</f>
        <v/>
      </c>
      <c r="AV21" s="8"/>
      <c r="AW21" s="8"/>
      <c r="AY21" s="8" t="str">
        <f>IF(AZ21="","",VLOOKUP(AZ21,引用表合并!$A:$B,2,FALSE))</f>
        <v/>
      </c>
      <c r="AZ21" s="8"/>
      <c r="BA21" s="8"/>
      <c r="BC21" s="8" t="str">
        <f>IF(BD21="","",VLOOKUP(BD21,引用表合并!$A:$B,2,FALSE))</f>
        <v/>
      </c>
      <c r="BD21" s="8"/>
      <c r="BF21" s="10"/>
      <c r="BG21" s="8" t="str">
        <f>IF(BH21="","",VLOOKUP(BH21,引用表合并!$A:$B,2,FALSE))</f>
        <v/>
      </c>
      <c r="BH21" s="8"/>
      <c r="BJ21" s="10"/>
      <c r="BK21" s="8" t="str">
        <f>IF(BL21="","",VLOOKUP(BL21,引用表合并!$A:$B,2,FALSE))</f>
        <v/>
      </c>
      <c r="BL21" s="8"/>
      <c r="BN21" s="10"/>
    </row>
    <row r="22" spans="1:66" x14ac:dyDescent="0.15">
      <c r="A22" s="8">
        <v>3001</v>
      </c>
      <c r="B22" s="8" t="str">
        <f>"地图:"&amp;VLOOKUP(A22,[1]地图配置辅助表!$A$3:$E$229,4,FALSE)</f>
        <v>地图:东星鸿门宴</v>
      </c>
      <c r="C22" s="8">
        <v>0</v>
      </c>
      <c r="D22" s="8">
        <f t="shared" si="4"/>
        <v>2</v>
      </c>
      <c r="E22" s="16">
        <f t="shared" si="0"/>
        <v>2</v>
      </c>
      <c r="F22" s="16">
        <v>1</v>
      </c>
      <c r="G22" s="8" t="str">
        <f>IF(H22="","",VLOOKUP(H22,引用表合并!$A:$B,2,FALSE))</f>
        <v>高级装备升级石</v>
      </c>
      <c r="H22" s="8">
        <v>85200</v>
      </c>
      <c r="I22" s="8">
        <v>1</v>
      </c>
      <c r="J22" s="10">
        <v>3500</v>
      </c>
      <c r="K22" s="8" t="str">
        <f>IF(L22="","",VLOOKUP(L22,引用表合并!$A:$B,2,FALSE))</f>
        <v>部位材料(鞋子)</v>
      </c>
      <c r="L22" s="8">
        <v>75010</v>
      </c>
      <c r="M22" s="8">
        <v>1</v>
      </c>
      <c r="N22" s="10">
        <v>5000</v>
      </c>
      <c r="O22" s="8" t="str">
        <f>IF(P22="","",VLOOKUP(P22,引用表合并!$A:$B,2,FALSE))</f>
        <v/>
      </c>
      <c r="P22" s="8"/>
      <c r="Q22" s="8"/>
      <c r="S22" s="8" t="str">
        <f>IF(T22="","",VLOOKUP(T22,引用表合并!$A:$B,2,FALSE))</f>
        <v/>
      </c>
      <c r="T22" s="8"/>
      <c r="U22" s="8"/>
      <c r="W22" s="8" t="str">
        <f>IF(X22="","",VLOOKUP(X22,引用表合并!$A:$B,2,FALSE))</f>
        <v/>
      </c>
      <c r="X22" s="8"/>
      <c r="Y22" s="8"/>
      <c r="AA22" s="8" t="str">
        <f>IF(AB22="","",VLOOKUP(AB22,引用表合并!$A:$B,2,FALSE))</f>
        <v/>
      </c>
      <c r="AB22" s="8"/>
      <c r="AC22" s="8"/>
      <c r="AE22" s="8" t="str">
        <f>IF(AF22="","",VLOOKUP(AF22,引用表合并!$A:$B,2,FALSE))</f>
        <v/>
      </c>
      <c r="AF22" s="8"/>
      <c r="AG22" s="8"/>
      <c r="AI22" s="8" t="str">
        <f>IF(AJ22="","",VLOOKUP(AJ22,引用表合并!$A:$B,2,FALSE))</f>
        <v/>
      </c>
      <c r="AJ22" s="8"/>
      <c r="AK22" s="8"/>
      <c r="AM22" s="8" t="str">
        <f>IF(AN22="","",VLOOKUP(AN22,引用表合并!$A:$B,2,FALSE))</f>
        <v/>
      </c>
      <c r="AN22" s="8"/>
      <c r="AO22" s="8"/>
      <c r="AQ22" s="8" t="str">
        <f>IF(AR22="","",VLOOKUP(AR22,引用表合并!$A:$B,2,FALSE))</f>
        <v/>
      </c>
      <c r="AR22" s="8"/>
      <c r="AS22" s="8"/>
      <c r="AU22" s="8" t="str">
        <f>IF(AV22="","",VLOOKUP(AV22,引用表合并!$A:$B,2,FALSE))</f>
        <v/>
      </c>
      <c r="AV22" s="8"/>
      <c r="AW22" s="8"/>
      <c r="AY22" s="8" t="str">
        <f>IF(AZ22="","",VLOOKUP(AZ22,引用表合并!$A:$B,2,FALSE))</f>
        <v/>
      </c>
      <c r="AZ22" s="8"/>
      <c r="BA22" s="8"/>
      <c r="BC22" s="8" t="str">
        <f>IF(BD22="","",VLOOKUP(BD22,引用表合并!$A:$B,2,FALSE))</f>
        <v/>
      </c>
      <c r="BD22" s="8"/>
      <c r="BF22" s="10"/>
      <c r="BG22" s="8" t="str">
        <f>IF(BH22="","",VLOOKUP(BH22,引用表合并!$A:$B,2,FALSE))</f>
        <v/>
      </c>
      <c r="BH22" s="8"/>
      <c r="BJ22" s="10"/>
      <c r="BK22" s="8" t="str">
        <f>IF(BL22="","",VLOOKUP(BL22,引用表合并!$A:$B,2,FALSE))</f>
        <v/>
      </c>
      <c r="BL22" s="8"/>
      <c r="BN22" s="10"/>
    </row>
    <row r="23" spans="1:66" x14ac:dyDescent="0.15">
      <c r="A23" s="8">
        <v>3002</v>
      </c>
      <c r="B23" s="8" t="str">
        <f>"地图:"&amp;VLOOKUP(A23,[1]地图配置辅助表!$A$3:$E$229,4,FALSE)</f>
        <v>地图:怒打笑面虎</v>
      </c>
      <c r="C23" s="8">
        <v>0</v>
      </c>
      <c r="D23" s="8">
        <f t="shared" si="4"/>
        <v>2</v>
      </c>
      <c r="E23" s="16">
        <f t="shared" si="0"/>
        <v>2</v>
      </c>
      <c r="F23" s="16">
        <v>1</v>
      </c>
      <c r="G23" s="8" t="str">
        <f>IF(H23="","",VLOOKUP(H23,引用表合并!$A:$B,2,FALSE))</f>
        <v>高级装备升级石</v>
      </c>
      <c r="H23" s="8">
        <v>85200</v>
      </c>
      <c r="I23" s="8">
        <v>1</v>
      </c>
      <c r="J23" s="10">
        <v>3500</v>
      </c>
      <c r="K23" s="8" t="str">
        <f>IF(L23="","",VLOOKUP(L23,引用表合并!$A:$B,2,FALSE))</f>
        <v>部位材料(腰带)</v>
      </c>
      <c r="L23" s="8">
        <v>74010</v>
      </c>
      <c r="M23" s="8">
        <v>1</v>
      </c>
      <c r="N23" s="10">
        <v>5000</v>
      </c>
      <c r="O23" s="8" t="str">
        <f>IF(P23="","",VLOOKUP(P23,引用表合并!$A:$B,2,FALSE))</f>
        <v/>
      </c>
      <c r="P23" s="8"/>
      <c r="Q23" s="8"/>
      <c r="S23" s="8" t="str">
        <f>IF(T23="","",VLOOKUP(T23,引用表合并!$A:$B,2,FALSE))</f>
        <v/>
      </c>
      <c r="T23" s="8"/>
      <c r="U23" s="8"/>
      <c r="W23" s="8" t="str">
        <f>IF(X23="","",VLOOKUP(X23,引用表合并!$A:$B,2,FALSE))</f>
        <v/>
      </c>
      <c r="X23" s="8"/>
      <c r="Y23" s="8"/>
      <c r="AA23" s="8" t="str">
        <f>IF(AB23="","",VLOOKUP(AB23,引用表合并!$A:$B,2,FALSE))</f>
        <v/>
      </c>
      <c r="AB23" s="8"/>
      <c r="AC23" s="8"/>
      <c r="AE23" s="8" t="str">
        <f>IF(AF23="","",VLOOKUP(AF23,引用表合并!$A:$B,2,FALSE))</f>
        <v/>
      </c>
      <c r="AF23" s="8"/>
      <c r="AG23" s="8"/>
      <c r="AI23" s="8" t="str">
        <f>IF(AJ23="","",VLOOKUP(AJ23,引用表合并!$A:$B,2,FALSE))</f>
        <v/>
      </c>
      <c r="AJ23" s="8"/>
      <c r="AK23" s="8"/>
      <c r="AM23" s="8" t="str">
        <f>IF(AN23="","",VLOOKUP(AN23,引用表合并!$A:$B,2,FALSE))</f>
        <v/>
      </c>
      <c r="AN23" s="8"/>
      <c r="AO23" s="8"/>
      <c r="AQ23" s="8" t="str">
        <f>IF(AR23="","",VLOOKUP(AR23,引用表合并!$A:$B,2,FALSE))</f>
        <v/>
      </c>
      <c r="AR23" s="8"/>
      <c r="AS23" s="8"/>
      <c r="AU23" s="8" t="str">
        <f>IF(AV23="","",VLOOKUP(AV23,引用表合并!$A:$B,2,FALSE))</f>
        <v/>
      </c>
      <c r="AV23" s="8"/>
      <c r="AW23" s="8"/>
      <c r="AY23" s="8" t="str">
        <f>IF(AZ23="","",VLOOKUP(AZ23,引用表合并!$A:$B,2,FALSE))</f>
        <v/>
      </c>
      <c r="AZ23" s="8"/>
      <c r="BA23" s="8"/>
      <c r="BC23" s="8" t="str">
        <f>IF(BD23="","",VLOOKUP(BD23,引用表合并!$A:$B,2,FALSE))</f>
        <v/>
      </c>
      <c r="BD23" s="8"/>
      <c r="BF23" s="10"/>
      <c r="BG23" s="8" t="str">
        <f>IF(BH23="","",VLOOKUP(BH23,引用表合并!$A:$B,2,FALSE))</f>
        <v/>
      </c>
      <c r="BH23" s="8"/>
      <c r="BJ23" s="10"/>
      <c r="BK23" s="8" t="str">
        <f>IF(BL23="","",VLOOKUP(BL23,引用表合并!$A:$B,2,FALSE))</f>
        <v/>
      </c>
      <c r="BL23" s="8"/>
      <c r="BN23" s="10"/>
    </row>
    <row r="24" spans="1:66" x14ac:dyDescent="0.15">
      <c r="A24" s="8">
        <v>3003</v>
      </c>
      <c r="B24" s="8" t="str">
        <f>"地图:"&amp;VLOOKUP(A24,[1]地图配置辅助表!$A$3:$E$229,4,FALSE)</f>
        <v>地图:蒋生遇袭</v>
      </c>
      <c r="C24" s="8">
        <v>0</v>
      </c>
      <c r="D24" s="8">
        <f t="shared" si="4"/>
        <v>2</v>
      </c>
      <c r="E24" s="16">
        <f t="shared" si="0"/>
        <v>2</v>
      </c>
      <c r="F24" s="16">
        <v>1</v>
      </c>
      <c r="G24" s="8" t="str">
        <f>IF(H24="","",VLOOKUP(H24,引用表合并!$A:$B,2,FALSE))</f>
        <v>高级装备升级石</v>
      </c>
      <c r="H24" s="8">
        <v>85200</v>
      </c>
      <c r="I24" s="8">
        <v>1</v>
      </c>
      <c r="J24" s="10">
        <v>3500</v>
      </c>
      <c r="K24" s="8" t="str">
        <f>IF(L24="","",VLOOKUP(L24,引用表合并!$A:$B,2,FALSE))</f>
        <v>部位材料(衣服)</v>
      </c>
      <c r="L24" s="8">
        <v>71010</v>
      </c>
      <c r="M24" s="8">
        <v>1</v>
      </c>
      <c r="N24" s="10">
        <v>5000</v>
      </c>
      <c r="O24" s="8" t="str">
        <f>IF(P24="","",VLOOKUP(P24,引用表合并!$A:$B,2,FALSE))</f>
        <v/>
      </c>
      <c r="P24" s="8"/>
      <c r="Q24" s="8"/>
      <c r="S24" s="8" t="str">
        <f>IF(T24="","",VLOOKUP(T24,引用表合并!$A:$B,2,FALSE))</f>
        <v/>
      </c>
      <c r="T24" s="8"/>
      <c r="U24" s="8"/>
      <c r="W24" s="8" t="str">
        <f>IF(X24="","",VLOOKUP(X24,引用表合并!$A:$B,2,FALSE))</f>
        <v/>
      </c>
      <c r="X24" s="8"/>
      <c r="Y24" s="8"/>
      <c r="AA24" s="8" t="str">
        <f>IF(AB24="","",VLOOKUP(AB24,引用表合并!$A:$B,2,FALSE))</f>
        <v/>
      </c>
      <c r="AB24" s="8"/>
      <c r="AC24" s="8"/>
      <c r="AE24" s="8" t="str">
        <f>IF(AF24="","",VLOOKUP(AF24,引用表合并!$A:$B,2,FALSE))</f>
        <v/>
      </c>
      <c r="AF24" s="8"/>
      <c r="AG24" s="8"/>
      <c r="AI24" s="8" t="str">
        <f>IF(AJ24="","",VLOOKUP(AJ24,引用表合并!$A:$B,2,FALSE))</f>
        <v/>
      </c>
      <c r="AJ24" s="8"/>
      <c r="AK24" s="8"/>
      <c r="AM24" s="8" t="str">
        <f>IF(AN24="","",VLOOKUP(AN24,引用表合并!$A:$B,2,FALSE))</f>
        <v/>
      </c>
      <c r="AN24" s="8"/>
      <c r="AO24" s="8"/>
      <c r="AQ24" s="8" t="str">
        <f>IF(AR24="","",VLOOKUP(AR24,引用表合并!$A:$B,2,FALSE))</f>
        <v/>
      </c>
      <c r="AR24" s="8"/>
      <c r="AS24" s="8"/>
      <c r="AU24" s="8" t="str">
        <f>IF(AV24="","",VLOOKUP(AV24,引用表合并!$A:$B,2,FALSE))</f>
        <v/>
      </c>
      <c r="AV24" s="8"/>
      <c r="AW24" s="8"/>
      <c r="AY24" s="8" t="str">
        <f>IF(AZ24="","",VLOOKUP(AZ24,引用表合并!$A:$B,2,FALSE))</f>
        <v/>
      </c>
      <c r="AZ24" s="8"/>
      <c r="BA24" s="8"/>
      <c r="BC24" s="8" t="str">
        <f>IF(BD24="","",VLOOKUP(BD24,引用表合并!$A:$B,2,FALSE))</f>
        <v/>
      </c>
      <c r="BD24" s="8"/>
      <c r="BF24" s="10"/>
      <c r="BG24" s="8" t="str">
        <f>IF(BH24="","",VLOOKUP(BH24,引用表合并!$A:$B,2,FALSE))</f>
        <v/>
      </c>
      <c r="BH24" s="8"/>
      <c r="BJ24" s="10"/>
      <c r="BK24" s="8" t="str">
        <f>IF(BL24="","",VLOOKUP(BL24,引用表合并!$A:$B,2,FALSE))</f>
        <v/>
      </c>
      <c r="BL24" s="8"/>
      <c r="BN24" s="10"/>
    </row>
    <row r="25" spans="1:66" x14ac:dyDescent="0.15">
      <c r="A25" s="8">
        <v>3004</v>
      </c>
      <c r="B25" s="8" t="str">
        <f>"地图:"&amp;VLOOKUP(A25,[1]地图配置辅助表!$A$3:$E$229,4,FALSE)</f>
        <v>地图:遭遇诬陷</v>
      </c>
      <c r="C25" s="8">
        <v>0</v>
      </c>
      <c r="D25" s="8">
        <f t="shared" si="4"/>
        <v>2</v>
      </c>
      <c r="E25" s="16">
        <f t="shared" si="0"/>
        <v>2</v>
      </c>
      <c r="F25" s="16">
        <v>1</v>
      </c>
      <c r="G25" s="8" t="str">
        <f>IF(H25="","",VLOOKUP(H25,引用表合并!$A:$B,2,FALSE))</f>
        <v>高级装备升级石</v>
      </c>
      <c r="H25" s="8">
        <v>85200</v>
      </c>
      <c r="I25" s="8">
        <v>1</v>
      </c>
      <c r="J25" s="10">
        <v>3500</v>
      </c>
      <c r="K25" s="8" t="str">
        <f>IF(L25="","",VLOOKUP(L25,引用表合并!$A:$B,2,FALSE))</f>
        <v>部位材料(武器)</v>
      </c>
      <c r="L25" s="8">
        <v>70010</v>
      </c>
      <c r="M25" s="8">
        <v>1</v>
      </c>
      <c r="N25" s="10">
        <v>5000</v>
      </c>
      <c r="O25" s="8" t="str">
        <f>IF(P25="","",VLOOKUP(P25,引用表合并!$A:$B,2,FALSE))</f>
        <v/>
      </c>
      <c r="P25" s="8"/>
      <c r="Q25" s="8"/>
      <c r="S25" s="8" t="str">
        <f>IF(T25="","",VLOOKUP(T25,引用表合并!$A:$B,2,FALSE))</f>
        <v/>
      </c>
      <c r="T25" s="8"/>
      <c r="U25" s="8"/>
      <c r="W25" s="8" t="str">
        <f>IF(X25="","",VLOOKUP(X25,引用表合并!$A:$B,2,FALSE))</f>
        <v/>
      </c>
      <c r="X25" s="8"/>
      <c r="Y25" s="8"/>
      <c r="AA25" s="8" t="str">
        <f>IF(AB25="","",VLOOKUP(AB25,引用表合并!$A:$B,2,FALSE))</f>
        <v/>
      </c>
      <c r="AB25" s="8"/>
      <c r="AC25" s="8"/>
      <c r="AE25" s="8" t="str">
        <f>IF(AF25="","",VLOOKUP(AF25,引用表合并!$A:$B,2,FALSE))</f>
        <v/>
      </c>
      <c r="AF25" s="8"/>
      <c r="AG25" s="8"/>
      <c r="AI25" s="8" t="str">
        <f>IF(AJ25="","",VLOOKUP(AJ25,引用表合并!$A:$B,2,FALSE))</f>
        <v/>
      </c>
      <c r="AJ25" s="8"/>
      <c r="AK25" s="8"/>
      <c r="AM25" s="8" t="str">
        <f>IF(AN25="","",VLOOKUP(AN25,引用表合并!$A:$B,2,FALSE))</f>
        <v/>
      </c>
      <c r="AN25" s="8"/>
      <c r="AO25" s="8"/>
      <c r="AQ25" s="8" t="str">
        <f>IF(AR25="","",VLOOKUP(AR25,引用表合并!$A:$B,2,FALSE))</f>
        <v/>
      </c>
      <c r="AR25" s="8"/>
      <c r="AS25" s="8"/>
      <c r="AU25" s="8" t="str">
        <f>IF(AV25="","",VLOOKUP(AV25,引用表合并!$A:$B,2,FALSE))</f>
        <v/>
      </c>
      <c r="AV25" s="8"/>
      <c r="AW25" s="8"/>
      <c r="AY25" s="8" t="str">
        <f>IF(AZ25="","",VLOOKUP(AZ25,引用表合并!$A:$B,2,FALSE))</f>
        <v/>
      </c>
      <c r="AZ25" s="8"/>
      <c r="BA25" s="8"/>
      <c r="BC25" s="8" t="str">
        <f>IF(BD25="","",VLOOKUP(BD25,引用表合并!$A:$B,2,FALSE))</f>
        <v/>
      </c>
      <c r="BD25" s="8"/>
      <c r="BF25" s="10"/>
      <c r="BG25" s="8" t="str">
        <f>IF(BH25="","",VLOOKUP(BH25,引用表合并!$A:$B,2,FALSE))</f>
        <v/>
      </c>
      <c r="BH25" s="8"/>
      <c r="BJ25" s="10"/>
      <c r="BK25" s="8" t="str">
        <f>IF(BL25="","",VLOOKUP(BL25,引用表合并!$A:$B,2,FALSE))</f>
        <v/>
      </c>
      <c r="BL25" s="8"/>
      <c r="BN25" s="10"/>
    </row>
    <row r="26" spans="1:66" x14ac:dyDescent="0.15">
      <c r="A26" s="8">
        <v>3005</v>
      </c>
      <c r="B26" s="8" t="str">
        <f>"地图:"&amp;VLOOKUP(A26,[1]地图配置辅助表!$A$3:$E$229,4,FALSE)</f>
        <v>地图:掩护浩南</v>
      </c>
      <c r="C26" s="8">
        <v>0</v>
      </c>
      <c r="D26" s="8">
        <f t="shared" si="4"/>
        <v>2</v>
      </c>
      <c r="E26" s="16">
        <f t="shared" si="0"/>
        <v>2</v>
      </c>
      <c r="F26" s="16">
        <v>1</v>
      </c>
      <c r="G26" s="8" t="str">
        <f>IF(H26="","",VLOOKUP(H26,引用表合并!$A:$B,2,FALSE))</f>
        <v>高级装备升级石</v>
      </c>
      <c r="H26" s="8">
        <v>85200</v>
      </c>
      <c r="I26" s="8">
        <v>1</v>
      </c>
      <c r="J26" s="10">
        <v>3500</v>
      </c>
      <c r="K26" s="8" t="str">
        <f>IF(L26="","",VLOOKUP(L26,引用表合并!$A:$B,2,FALSE))</f>
        <v>部位材料(项链)</v>
      </c>
      <c r="L26" s="8">
        <v>73010</v>
      </c>
      <c r="M26" s="8">
        <v>1</v>
      </c>
      <c r="N26" s="10">
        <v>5000</v>
      </c>
      <c r="O26" s="8" t="str">
        <f>IF(P26="","",VLOOKUP(P26,引用表合并!$A:$B,2,FALSE))</f>
        <v/>
      </c>
      <c r="P26" s="8"/>
      <c r="Q26" s="8"/>
      <c r="S26" s="8" t="str">
        <f>IF(T26="","",VLOOKUP(T26,引用表合并!$A:$B,2,FALSE))</f>
        <v/>
      </c>
      <c r="T26" s="8"/>
      <c r="U26" s="8"/>
      <c r="W26" s="8" t="str">
        <f>IF(X26="","",VLOOKUP(X26,引用表合并!$A:$B,2,FALSE))</f>
        <v/>
      </c>
      <c r="X26" s="8"/>
      <c r="Y26" s="8"/>
      <c r="AA26" s="8" t="str">
        <f>IF(AB26="","",VLOOKUP(AB26,引用表合并!$A:$B,2,FALSE))</f>
        <v/>
      </c>
      <c r="AB26" s="8"/>
      <c r="AC26" s="8"/>
      <c r="AE26" s="8" t="str">
        <f>IF(AF26="","",VLOOKUP(AF26,引用表合并!$A:$B,2,FALSE))</f>
        <v/>
      </c>
      <c r="AF26" s="8"/>
      <c r="AG26" s="8"/>
      <c r="AI26" s="8" t="str">
        <f>IF(AJ26="","",VLOOKUP(AJ26,引用表合并!$A:$B,2,FALSE))</f>
        <v/>
      </c>
      <c r="AJ26" s="8"/>
      <c r="AK26" s="8"/>
      <c r="AM26" s="8" t="str">
        <f>IF(AN26="","",VLOOKUP(AN26,引用表合并!$A:$B,2,FALSE))</f>
        <v/>
      </c>
      <c r="AN26" s="8"/>
      <c r="AO26" s="8"/>
      <c r="AQ26" s="8" t="str">
        <f>IF(AR26="","",VLOOKUP(AR26,引用表合并!$A:$B,2,FALSE))</f>
        <v/>
      </c>
      <c r="AR26" s="8"/>
      <c r="AS26" s="8"/>
      <c r="AU26" s="8" t="str">
        <f>IF(AV26="","",VLOOKUP(AV26,引用表合并!$A:$B,2,FALSE))</f>
        <v/>
      </c>
      <c r="AV26" s="8"/>
      <c r="AW26" s="8"/>
      <c r="AY26" s="8" t="str">
        <f>IF(AZ26="","",VLOOKUP(AZ26,引用表合并!$A:$B,2,FALSE))</f>
        <v/>
      </c>
      <c r="AZ26" s="8"/>
      <c r="BA26" s="8"/>
      <c r="BC26" s="8" t="str">
        <f>IF(BD26="","",VLOOKUP(BD26,引用表合并!$A:$B,2,FALSE))</f>
        <v/>
      </c>
      <c r="BD26" s="8"/>
      <c r="BF26" s="10"/>
      <c r="BG26" s="8" t="str">
        <f>IF(BH26="","",VLOOKUP(BH26,引用表合并!$A:$B,2,FALSE))</f>
        <v/>
      </c>
      <c r="BH26" s="8"/>
      <c r="BJ26" s="10"/>
      <c r="BK26" s="8" t="str">
        <f>IF(BL26="","",VLOOKUP(BL26,引用表合并!$A:$B,2,FALSE))</f>
        <v/>
      </c>
      <c r="BL26" s="8"/>
      <c r="BN26" s="10"/>
    </row>
    <row r="27" spans="1:66" x14ac:dyDescent="0.15">
      <c r="A27" s="8">
        <v>3006</v>
      </c>
      <c r="B27" s="8" t="str">
        <f>"地图:"&amp;VLOOKUP(A27,[1]地图配置辅助表!$A$3:$E$229,4,FALSE)</f>
        <v>地图:获取弹药</v>
      </c>
      <c r="C27" s="8">
        <v>0</v>
      </c>
      <c r="D27" s="8">
        <f t="shared" si="4"/>
        <v>2</v>
      </c>
      <c r="E27" s="16">
        <f t="shared" si="0"/>
        <v>2</v>
      </c>
      <c r="F27" s="16">
        <v>1</v>
      </c>
      <c r="G27" s="8" t="str">
        <f>IF(H27="","",VLOOKUP(H27,引用表合并!$A:$B,2,FALSE))</f>
        <v>高级装备升级石</v>
      </c>
      <c r="H27" s="8">
        <v>85200</v>
      </c>
      <c r="I27" s="8">
        <v>1</v>
      </c>
      <c r="J27" s="10">
        <v>3500</v>
      </c>
      <c r="K27" s="8" t="str">
        <f>IF(L27="","",VLOOKUP(L27,引用表合并!$A:$B,2,FALSE))</f>
        <v>部位材料(裤子)</v>
      </c>
      <c r="L27" s="8">
        <v>72010</v>
      </c>
      <c r="M27" s="8">
        <v>1</v>
      </c>
      <c r="N27" s="10">
        <v>5000</v>
      </c>
      <c r="O27" s="8" t="str">
        <f>IF(P27="","",VLOOKUP(P27,引用表合并!$A:$B,2,FALSE))</f>
        <v/>
      </c>
      <c r="P27" s="8"/>
      <c r="Q27" s="8"/>
      <c r="S27" s="8" t="str">
        <f>IF(T27="","",VLOOKUP(T27,引用表合并!$A:$B,2,FALSE))</f>
        <v/>
      </c>
      <c r="T27" s="8"/>
      <c r="U27" s="8"/>
      <c r="W27" s="8" t="str">
        <f>IF(X27="","",VLOOKUP(X27,引用表合并!$A:$B,2,FALSE))</f>
        <v/>
      </c>
      <c r="X27" s="8"/>
      <c r="Y27" s="8"/>
      <c r="AA27" s="8" t="str">
        <f>IF(AB27="","",VLOOKUP(AB27,引用表合并!$A:$B,2,FALSE))</f>
        <v/>
      </c>
      <c r="AB27" s="8"/>
      <c r="AC27" s="8"/>
      <c r="AE27" s="8" t="str">
        <f>IF(AF27="","",VLOOKUP(AF27,引用表合并!$A:$B,2,FALSE))</f>
        <v/>
      </c>
      <c r="AF27" s="8"/>
      <c r="AG27" s="8"/>
      <c r="AI27" s="8" t="str">
        <f>IF(AJ27="","",VLOOKUP(AJ27,引用表合并!$A:$B,2,FALSE))</f>
        <v/>
      </c>
      <c r="AJ27" s="8"/>
      <c r="AK27" s="8"/>
      <c r="AM27" s="8" t="str">
        <f>IF(AN27="","",VLOOKUP(AN27,引用表合并!$A:$B,2,FALSE))</f>
        <v/>
      </c>
      <c r="AN27" s="8"/>
      <c r="AO27" s="8"/>
      <c r="AQ27" s="8" t="str">
        <f>IF(AR27="","",VLOOKUP(AR27,引用表合并!$A:$B,2,FALSE))</f>
        <v/>
      </c>
      <c r="AR27" s="8"/>
      <c r="AS27" s="8"/>
      <c r="AU27" s="8" t="str">
        <f>IF(AV27="","",VLOOKUP(AV27,引用表合并!$A:$B,2,FALSE))</f>
        <v/>
      </c>
      <c r="AV27" s="8"/>
      <c r="AW27" s="8"/>
      <c r="AY27" s="8" t="str">
        <f>IF(AZ27="","",VLOOKUP(AZ27,引用表合并!$A:$B,2,FALSE))</f>
        <v/>
      </c>
      <c r="AZ27" s="8"/>
      <c r="BA27" s="8"/>
      <c r="BC27" s="8" t="str">
        <f>IF(BD27="","",VLOOKUP(BD27,引用表合并!$A:$B,2,FALSE))</f>
        <v/>
      </c>
      <c r="BD27" s="8"/>
      <c r="BF27" s="10"/>
      <c r="BG27" s="8" t="str">
        <f>IF(BH27="","",VLOOKUP(BH27,引用表合并!$A:$B,2,FALSE))</f>
        <v/>
      </c>
      <c r="BH27" s="8"/>
      <c r="BJ27" s="10"/>
      <c r="BK27" s="8" t="str">
        <f>IF(BL27="","",VLOOKUP(BL27,引用表合并!$A:$B,2,FALSE))</f>
        <v/>
      </c>
      <c r="BL27" s="8"/>
      <c r="BN27" s="10"/>
    </row>
    <row r="28" spans="1:66" x14ac:dyDescent="0.15">
      <c r="A28" s="8">
        <v>3007</v>
      </c>
      <c r="B28" s="8" t="str">
        <f>"地图:"&amp;VLOOKUP(A28,[1]地图配置辅助表!$A$3:$E$229,4,FALSE)</f>
        <v>地图:小结巴之死</v>
      </c>
      <c r="C28" s="8">
        <v>0</v>
      </c>
      <c r="D28" s="8">
        <f t="shared" ref="D28:D30" si="6">E28</f>
        <v>2</v>
      </c>
      <c r="E28" s="16">
        <f t="shared" si="0"/>
        <v>2</v>
      </c>
      <c r="F28" s="16">
        <v>1</v>
      </c>
      <c r="G28" s="8" t="str">
        <f>IF(H28="","",VLOOKUP(H28,引用表合并!$A:$B,2,FALSE))</f>
        <v>高级装备升级石</v>
      </c>
      <c r="H28" s="8">
        <v>85200</v>
      </c>
      <c r="I28" s="8">
        <v>1</v>
      </c>
      <c r="J28" s="10">
        <v>3500</v>
      </c>
      <c r="K28" s="8" t="str">
        <f>IF(L28="","",VLOOKUP(L28,引用表合并!$A:$B,2,FALSE))</f>
        <v>部位材料(鞋子)</v>
      </c>
      <c r="L28" s="8">
        <v>75010</v>
      </c>
      <c r="M28" s="8">
        <v>1</v>
      </c>
      <c r="N28" s="10">
        <v>5000</v>
      </c>
      <c r="O28" s="8" t="str">
        <f>IF(P28="","",VLOOKUP(P28,引用表合并!$A:$B,2,FALSE))</f>
        <v/>
      </c>
      <c r="P28" s="8"/>
      <c r="Q28" s="8"/>
      <c r="S28" s="8" t="str">
        <f>IF(T28="","",VLOOKUP(T28,引用表合并!$A:$B,2,FALSE))</f>
        <v/>
      </c>
      <c r="T28" s="8"/>
      <c r="U28" s="8"/>
      <c r="W28" s="8" t="str">
        <f>IF(X28="","",VLOOKUP(X28,引用表合并!$A:$B,2,FALSE))</f>
        <v/>
      </c>
      <c r="X28" s="8"/>
      <c r="Y28" s="8"/>
      <c r="AA28" s="8" t="str">
        <f>IF(AB28="","",VLOOKUP(AB28,引用表合并!$A:$B,2,FALSE))</f>
        <v/>
      </c>
      <c r="AB28" s="8"/>
      <c r="AC28" s="8"/>
      <c r="AE28" s="8" t="str">
        <f>IF(AF28="","",VLOOKUP(AF28,引用表合并!$A:$B,2,FALSE))</f>
        <v/>
      </c>
      <c r="AF28" s="8"/>
      <c r="AG28" s="8"/>
      <c r="AI28" s="8" t="str">
        <f>IF(AJ28="","",VLOOKUP(AJ28,引用表合并!$A:$B,2,FALSE))</f>
        <v/>
      </c>
      <c r="AJ28" s="8"/>
      <c r="AK28" s="8"/>
      <c r="AM28" s="8" t="str">
        <f>IF(AN28="","",VLOOKUP(AN28,引用表合并!$A:$B,2,FALSE))</f>
        <v/>
      </c>
      <c r="AN28" s="8"/>
      <c r="AO28" s="8"/>
      <c r="AQ28" s="8" t="str">
        <f>IF(AR28="","",VLOOKUP(AR28,引用表合并!$A:$B,2,FALSE))</f>
        <v/>
      </c>
      <c r="AR28" s="8"/>
      <c r="AS28" s="8"/>
      <c r="AU28" s="8" t="str">
        <f>IF(AV28="","",VLOOKUP(AV28,引用表合并!$A:$B,2,FALSE))</f>
        <v/>
      </c>
      <c r="AV28" s="8"/>
      <c r="AW28" s="8"/>
      <c r="AY28" s="8" t="str">
        <f>IF(AZ28="","",VLOOKUP(AZ28,引用表合并!$A:$B,2,FALSE))</f>
        <v/>
      </c>
      <c r="AZ28" s="8"/>
      <c r="BA28" s="8"/>
      <c r="BC28" s="8" t="str">
        <f>IF(BD28="","",VLOOKUP(BD28,引用表合并!$A:$B,2,FALSE))</f>
        <v/>
      </c>
      <c r="BD28" s="8"/>
      <c r="BF28" s="10"/>
      <c r="BG28" s="8" t="str">
        <f>IF(BH28="","",VLOOKUP(BH28,引用表合并!$A:$B,2,FALSE))</f>
        <v/>
      </c>
      <c r="BH28" s="8"/>
      <c r="BJ28" s="10"/>
      <c r="BK28" s="8" t="str">
        <f>IF(BL28="","",VLOOKUP(BL28,引用表合并!$A:$B,2,FALSE))</f>
        <v/>
      </c>
      <c r="BL28" s="8"/>
      <c r="BN28" s="10"/>
    </row>
    <row r="29" spans="1:66" x14ac:dyDescent="0.15">
      <c r="A29" s="8">
        <v>3008</v>
      </c>
      <c r="B29" s="8" t="str">
        <f>"地图:"&amp;VLOOKUP(A29,[1]地图配置辅助表!$A$3:$E$229,4,FALSE)</f>
        <v>地图:复仇之路</v>
      </c>
      <c r="C29" s="8">
        <v>0</v>
      </c>
      <c r="D29" s="8">
        <f t="shared" si="6"/>
        <v>2</v>
      </c>
      <c r="E29" s="16">
        <f t="shared" si="0"/>
        <v>2</v>
      </c>
      <c r="F29" s="16">
        <v>1</v>
      </c>
      <c r="G29" s="8" t="str">
        <f>IF(H29="","",VLOOKUP(H29,引用表合并!$A:$B,2,FALSE))</f>
        <v>高级装备升级石</v>
      </c>
      <c r="H29" s="8">
        <v>85200</v>
      </c>
      <c r="I29" s="8">
        <v>1</v>
      </c>
      <c r="J29" s="10">
        <v>3500</v>
      </c>
      <c r="K29" s="8" t="str">
        <f>IF(L29="","",VLOOKUP(L29,引用表合并!$A:$B,2,FALSE))</f>
        <v>部位材料(腰带)</v>
      </c>
      <c r="L29" s="8">
        <v>74010</v>
      </c>
      <c r="M29" s="8">
        <v>1</v>
      </c>
      <c r="N29" s="10">
        <v>5000</v>
      </c>
      <c r="O29" s="8" t="str">
        <f>IF(P29="","",VLOOKUP(P29,引用表合并!$A:$B,2,FALSE))</f>
        <v/>
      </c>
      <c r="P29" s="8"/>
      <c r="Q29" s="8"/>
      <c r="S29" s="8" t="str">
        <f>IF(T29="","",VLOOKUP(T29,引用表合并!$A:$B,2,FALSE))</f>
        <v/>
      </c>
      <c r="T29" s="8"/>
      <c r="U29" s="8"/>
      <c r="W29" s="8" t="str">
        <f>IF(X29="","",VLOOKUP(X29,引用表合并!$A:$B,2,FALSE))</f>
        <v/>
      </c>
      <c r="X29" s="8"/>
      <c r="Y29" s="8"/>
      <c r="AA29" s="8" t="str">
        <f>IF(AB29="","",VLOOKUP(AB29,引用表合并!$A:$B,2,FALSE))</f>
        <v/>
      </c>
      <c r="AB29" s="8"/>
      <c r="AC29" s="8"/>
      <c r="AE29" s="8" t="str">
        <f>IF(AF29="","",VLOOKUP(AF29,引用表合并!$A:$B,2,FALSE))</f>
        <v/>
      </c>
      <c r="AF29" s="8"/>
      <c r="AG29" s="8"/>
      <c r="AI29" s="8" t="str">
        <f>IF(AJ29="","",VLOOKUP(AJ29,引用表合并!$A:$B,2,FALSE))</f>
        <v/>
      </c>
      <c r="AJ29" s="8"/>
      <c r="AK29" s="8"/>
      <c r="AM29" s="8" t="str">
        <f>IF(AN29="","",VLOOKUP(AN29,引用表合并!$A:$B,2,FALSE))</f>
        <v/>
      </c>
      <c r="AN29" s="8"/>
      <c r="AO29" s="8"/>
      <c r="AQ29" s="8" t="str">
        <f>IF(AR29="","",VLOOKUP(AR29,引用表合并!$A:$B,2,FALSE))</f>
        <v/>
      </c>
      <c r="AR29" s="8"/>
      <c r="AS29" s="8"/>
      <c r="AU29" s="8" t="str">
        <f>IF(AV29="","",VLOOKUP(AV29,引用表合并!$A:$B,2,FALSE))</f>
        <v/>
      </c>
      <c r="AV29" s="8"/>
      <c r="AW29" s="8"/>
      <c r="AY29" s="8" t="str">
        <f>IF(AZ29="","",VLOOKUP(AZ29,引用表合并!$A:$B,2,FALSE))</f>
        <v/>
      </c>
      <c r="AZ29" s="8"/>
      <c r="BA29" s="8"/>
      <c r="BC29" s="8" t="str">
        <f>IF(BD29="","",VLOOKUP(BD29,引用表合并!$A:$B,2,FALSE))</f>
        <v/>
      </c>
      <c r="BD29" s="8"/>
      <c r="BF29" s="10"/>
      <c r="BG29" s="8" t="str">
        <f>IF(BH29="","",VLOOKUP(BH29,引用表合并!$A:$B,2,FALSE))</f>
        <v/>
      </c>
      <c r="BH29" s="8"/>
      <c r="BJ29" s="10"/>
      <c r="BK29" s="8" t="str">
        <f>IF(BL29="","",VLOOKUP(BL29,引用表合并!$A:$B,2,FALSE))</f>
        <v/>
      </c>
      <c r="BL29" s="8"/>
      <c r="BN29" s="10"/>
    </row>
    <row r="30" spans="1:66" x14ac:dyDescent="0.15">
      <c r="A30" s="8">
        <v>3009</v>
      </c>
      <c r="B30" s="8" t="str">
        <f>"地图:"&amp;VLOOKUP(A30,[1]地图配置辅助表!$A$3:$E$229,4,FALSE)</f>
        <v>地图:双虎覆灭</v>
      </c>
      <c r="C30" s="8">
        <v>0</v>
      </c>
      <c r="D30" s="8">
        <f t="shared" si="6"/>
        <v>2</v>
      </c>
      <c r="E30" s="16">
        <f t="shared" si="0"/>
        <v>2</v>
      </c>
      <c r="F30" s="16">
        <v>1</v>
      </c>
      <c r="G30" s="8" t="str">
        <f>IF(H30="","",VLOOKUP(H30,引用表合并!$A:$B,2,FALSE))</f>
        <v>高级装备升级石</v>
      </c>
      <c r="H30" s="8">
        <v>85200</v>
      </c>
      <c r="I30" s="8">
        <v>1</v>
      </c>
      <c r="J30" s="10">
        <v>3500</v>
      </c>
      <c r="K30" s="8" t="str">
        <f>IF(L30="","",VLOOKUP(L30,引用表合并!$A:$B,2,FALSE))</f>
        <v>部位材料(衣服)</v>
      </c>
      <c r="L30" s="8">
        <v>71010</v>
      </c>
      <c r="M30" s="8">
        <v>1</v>
      </c>
      <c r="N30" s="10">
        <v>5000</v>
      </c>
      <c r="O30" s="8" t="str">
        <f>IF(P30="","",VLOOKUP(P30,引用表合并!$A:$B,2,FALSE))</f>
        <v/>
      </c>
      <c r="P30" s="8"/>
      <c r="Q30" s="8"/>
      <c r="S30" s="8" t="str">
        <f>IF(T30="","",VLOOKUP(T30,引用表合并!$A:$B,2,FALSE))</f>
        <v/>
      </c>
      <c r="T30" s="8"/>
      <c r="U30" s="8"/>
      <c r="W30" s="8" t="str">
        <f>IF(X30="","",VLOOKUP(X30,引用表合并!$A:$B,2,FALSE))</f>
        <v/>
      </c>
      <c r="X30" s="8"/>
      <c r="Y30" s="8"/>
      <c r="AA30" s="8" t="str">
        <f>IF(AB30="","",VLOOKUP(AB30,引用表合并!$A:$B,2,FALSE))</f>
        <v/>
      </c>
      <c r="AB30" s="8"/>
      <c r="AC30" s="8"/>
      <c r="AE30" s="8" t="str">
        <f>IF(AF30="","",VLOOKUP(AF30,引用表合并!$A:$B,2,FALSE))</f>
        <v/>
      </c>
      <c r="AF30" s="8"/>
      <c r="AG30" s="8"/>
      <c r="AI30" s="8" t="str">
        <f>IF(AJ30="","",VLOOKUP(AJ30,引用表合并!$A:$B,2,FALSE))</f>
        <v/>
      </c>
      <c r="AJ30" s="8"/>
      <c r="AK30" s="8"/>
      <c r="AM30" s="8" t="str">
        <f>IF(AN30="","",VLOOKUP(AN30,引用表合并!$A:$B,2,FALSE))</f>
        <v/>
      </c>
      <c r="AN30" s="8"/>
      <c r="AO30" s="8"/>
      <c r="AQ30" s="8" t="str">
        <f>IF(AR30="","",VLOOKUP(AR30,引用表合并!$A:$B,2,FALSE))</f>
        <v/>
      </c>
      <c r="AR30" s="8"/>
      <c r="AS30" s="8"/>
      <c r="AU30" s="8" t="str">
        <f>IF(AV30="","",VLOOKUP(AV30,引用表合并!$A:$B,2,FALSE))</f>
        <v/>
      </c>
      <c r="AV30" s="8"/>
      <c r="AW30" s="8"/>
      <c r="AY30" s="8" t="str">
        <f>IF(AZ30="","",VLOOKUP(AZ30,引用表合并!$A:$B,2,FALSE))</f>
        <v/>
      </c>
      <c r="AZ30" s="8"/>
      <c r="BA30" s="8"/>
      <c r="BC30" s="8" t="str">
        <f>IF(BD30="","",VLOOKUP(BD30,引用表合并!$A:$B,2,FALSE))</f>
        <v/>
      </c>
      <c r="BD30" s="8"/>
      <c r="BF30" s="10"/>
      <c r="BG30" s="8" t="str">
        <f>IF(BH30="","",VLOOKUP(BH30,引用表合并!$A:$B,2,FALSE))</f>
        <v/>
      </c>
      <c r="BH30" s="8"/>
      <c r="BJ30" s="10"/>
      <c r="BK30" s="8" t="str">
        <f>IF(BL30="","",VLOOKUP(BL30,引用表合并!$A:$B,2,FALSE))</f>
        <v/>
      </c>
      <c r="BL30" s="8"/>
      <c r="BN30" s="10"/>
    </row>
    <row r="31" spans="1:66" x14ac:dyDescent="0.15">
      <c r="A31" s="8">
        <v>4001</v>
      </c>
      <c r="B31" s="8" t="str">
        <f>"地图:"&amp;VLOOKUP(A31,[1]地图配置辅助表!$A$3:$E$229,4,FALSE)</f>
        <v>地图:驱除袭击者</v>
      </c>
      <c r="C31" s="8">
        <v>0</v>
      </c>
      <c r="D31" s="8">
        <f t="shared" si="4"/>
        <v>2</v>
      </c>
      <c r="E31" s="16">
        <f t="shared" si="0"/>
        <v>2</v>
      </c>
      <c r="F31" s="16">
        <v>1</v>
      </c>
      <c r="G31" s="8" t="str">
        <f>IF(H31="","",VLOOKUP(H31,引用表合并!$A:$B,2,FALSE))</f>
        <v>高级装备升级石</v>
      </c>
      <c r="H31" s="8">
        <v>85200</v>
      </c>
      <c r="I31" s="8">
        <v>1</v>
      </c>
      <c r="J31" s="10">
        <v>3500</v>
      </c>
      <c r="K31" s="8" t="str">
        <f>IF(L31="","",VLOOKUP(L31,引用表合并!$A:$B,2,FALSE))</f>
        <v>部位材料(武器)</v>
      </c>
      <c r="L31" s="8">
        <v>70010</v>
      </c>
      <c r="M31" s="8">
        <v>1</v>
      </c>
      <c r="N31" s="10">
        <v>6000</v>
      </c>
      <c r="O31" s="8" t="str">
        <f>IF(P31="","",VLOOKUP(P31,引用表合并!$A:$B,2,FALSE))</f>
        <v/>
      </c>
      <c r="P31" s="8"/>
      <c r="Q31" s="8"/>
      <c r="S31" s="8" t="str">
        <f>IF(T31="","",VLOOKUP(T31,引用表合并!$A:$B,2,FALSE))</f>
        <v/>
      </c>
      <c r="T31" s="8"/>
      <c r="U31" s="8"/>
      <c r="W31" s="8" t="str">
        <f>IF(X31="","",VLOOKUP(X31,引用表合并!$A:$B,2,FALSE))</f>
        <v/>
      </c>
      <c r="X31" s="8"/>
      <c r="Y31" s="8"/>
      <c r="AA31" s="8" t="str">
        <f>IF(AB31="","",VLOOKUP(AB31,引用表合并!$A:$B,2,FALSE))</f>
        <v/>
      </c>
      <c r="AB31" s="8"/>
      <c r="AC31" s="8"/>
      <c r="AE31" s="8" t="str">
        <f>IF(AF31="","",VLOOKUP(AF31,引用表合并!$A:$B,2,FALSE))</f>
        <v/>
      </c>
      <c r="AF31" s="8"/>
      <c r="AG31" s="8"/>
      <c r="AI31" s="8" t="str">
        <f>IF(AJ31="","",VLOOKUP(AJ31,引用表合并!$A:$B,2,FALSE))</f>
        <v/>
      </c>
      <c r="AJ31" s="8"/>
      <c r="AK31" s="8"/>
      <c r="AM31" s="8" t="str">
        <f>IF(AN31="","",VLOOKUP(AN31,引用表合并!$A:$B,2,FALSE))</f>
        <v/>
      </c>
      <c r="AN31" s="8"/>
      <c r="AO31" s="8"/>
      <c r="AQ31" s="8" t="str">
        <f>IF(AR31="","",VLOOKUP(AR31,引用表合并!$A:$B,2,FALSE))</f>
        <v/>
      </c>
      <c r="AR31" s="8"/>
      <c r="AS31" s="8"/>
      <c r="AU31" s="8" t="str">
        <f>IF(AV31="","",VLOOKUP(AV31,引用表合并!$A:$B,2,FALSE))</f>
        <v/>
      </c>
      <c r="AV31" s="8"/>
      <c r="AW31" s="8"/>
      <c r="AY31" s="8" t="str">
        <f>IF(AZ31="","",VLOOKUP(AZ31,引用表合并!$A:$B,2,FALSE))</f>
        <v/>
      </c>
      <c r="AZ31" s="8"/>
      <c r="BA31" s="8"/>
      <c r="BC31" s="8" t="str">
        <f>IF(BD31="","",VLOOKUP(BD31,引用表合并!$A:$B,2,FALSE))</f>
        <v/>
      </c>
      <c r="BD31" s="8"/>
      <c r="BF31" s="10"/>
      <c r="BG31" s="8" t="str">
        <f>IF(BH31="","",VLOOKUP(BH31,引用表合并!$A:$B,2,FALSE))</f>
        <v/>
      </c>
      <c r="BH31" s="8"/>
      <c r="BJ31" s="10"/>
      <c r="BK31" s="8" t="str">
        <f>IF(BL31="","",VLOOKUP(BL31,引用表合并!$A:$B,2,FALSE))</f>
        <v/>
      </c>
      <c r="BL31" s="8"/>
      <c r="BN31" s="10"/>
    </row>
    <row r="32" spans="1:66" x14ac:dyDescent="0.15">
      <c r="A32" s="8">
        <v>4002</v>
      </c>
      <c r="B32" s="8" t="str">
        <f>"地图:"&amp;VLOOKUP(A32,[1]地图配置辅助表!$A$3:$E$229,4,FALSE)</f>
        <v>地图:屯门之争</v>
      </c>
      <c r="C32" s="8">
        <v>0</v>
      </c>
      <c r="D32" s="8">
        <f t="shared" si="4"/>
        <v>2</v>
      </c>
      <c r="E32" s="16">
        <f t="shared" si="0"/>
        <v>2</v>
      </c>
      <c r="F32" s="16">
        <v>1</v>
      </c>
      <c r="G32" s="8" t="str">
        <f>IF(H32="","",VLOOKUP(H32,引用表合并!$A:$B,2,FALSE))</f>
        <v>高级装备升级石</v>
      </c>
      <c r="H32" s="8">
        <v>85200</v>
      </c>
      <c r="I32" s="8">
        <v>1</v>
      </c>
      <c r="J32" s="10">
        <v>3500</v>
      </c>
      <c r="K32" s="8" t="str">
        <f>IF(L32="","",VLOOKUP(L32,引用表合并!$A:$B,2,FALSE))</f>
        <v>部位材料(项链)</v>
      </c>
      <c r="L32" s="8">
        <v>73010</v>
      </c>
      <c r="M32" s="8">
        <v>1</v>
      </c>
      <c r="N32" s="10">
        <v>6000</v>
      </c>
      <c r="O32" s="8" t="str">
        <f>IF(P32="","",VLOOKUP(P32,引用表合并!$A:$B,2,FALSE))</f>
        <v/>
      </c>
      <c r="P32" s="8"/>
      <c r="Q32" s="8"/>
      <c r="S32" s="8" t="str">
        <f>IF(T32="","",VLOOKUP(T32,引用表合并!$A:$B,2,FALSE))</f>
        <v/>
      </c>
      <c r="T32" s="8"/>
      <c r="U32" s="8"/>
      <c r="W32" s="8" t="str">
        <f>IF(X32="","",VLOOKUP(X32,引用表合并!$A:$B,2,FALSE))</f>
        <v/>
      </c>
      <c r="X32" s="8"/>
      <c r="Y32" s="8"/>
      <c r="AA32" s="8" t="str">
        <f>IF(AB32="","",VLOOKUP(AB32,引用表合并!$A:$B,2,FALSE))</f>
        <v/>
      </c>
      <c r="AB32" s="8"/>
      <c r="AC32" s="8"/>
      <c r="AE32" s="8" t="str">
        <f>IF(AF32="","",VLOOKUP(AF32,引用表合并!$A:$B,2,FALSE))</f>
        <v/>
      </c>
      <c r="AF32" s="8"/>
      <c r="AG32" s="8"/>
      <c r="AI32" s="8" t="str">
        <f>IF(AJ32="","",VLOOKUP(AJ32,引用表合并!$A:$B,2,FALSE))</f>
        <v/>
      </c>
      <c r="AJ32" s="8"/>
      <c r="AK32" s="8"/>
      <c r="AM32" s="8" t="str">
        <f>IF(AN32="","",VLOOKUP(AN32,引用表合并!$A:$B,2,FALSE))</f>
        <v/>
      </c>
      <c r="AN32" s="8"/>
      <c r="AO32" s="8"/>
      <c r="AQ32" s="8" t="str">
        <f>IF(AR32="","",VLOOKUP(AR32,引用表合并!$A:$B,2,FALSE))</f>
        <v/>
      </c>
      <c r="AR32" s="8"/>
      <c r="AS32" s="8"/>
      <c r="AU32" s="8" t="str">
        <f>IF(AV32="","",VLOOKUP(AV32,引用表合并!$A:$B,2,FALSE))</f>
        <v/>
      </c>
      <c r="AV32" s="8"/>
      <c r="AW32" s="8"/>
      <c r="AY32" s="8" t="str">
        <f>IF(AZ32="","",VLOOKUP(AZ32,引用表合并!$A:$B,2,FALSE))</f>
        <v/>
      </c>
      <c r="AZ32" s="8"/>
      <c r="BA32" s="8"/>
      <c r="BC32" s="8" t="str">
        <f>IF(BD32="","",VLOOKUP(BD32,引用表合并!$A:$B,2,FALSE))</f>
        <v/>
      </c>
      <c r="BD32" s="8"/>
      <c r="BF32" s="10"/>
      <c r="BG32" s="8" t="str">
        <f>IF(BH32="","",VLOOKUP(BH32,引用表合并!$A:$B,2,FALSE))</f>
        <v/>
      </c>
      <c r="BH32" s="8"/>
      <c r="BJ32" s="10"/>
      <c r="BK32" s="8" t="str">
        <f>IF(BL32="","",VLOOKUP(BL32,引用表合并!$A:$B,2,FALSE))</f>
        <v/>
      </c>
      <c r="BL32" s="8"/>
      <c r="BN32" s="10"/>
    </row>
    <row r="33" spans="1:66" x14ac:dyDescent="0.15">
      <c r="A33" s="8">
        <v>4003</v>
      </c>
      <c r="B33" s="8" t="str">
        <f>"地图:"&amp;VLOOKUP(A33,[1]地图配置辅助表!$A$3:$E$229,4,FALSE)</f>
        <v>地图:教会解围</v>
      </c>
      <c r="C33" s="8">
        <v>0</v>
      </c>
      <c r="D33" s="8">
        <f t="shared" si="4"/>
        <v>2</v>
      </c>
      <c r="E33" s="16">
        <f t="shared" si="0"/>
        <v>2</v>
      </c>
      <c r="F33" s="16">
        <v>1</v>
      </c>
      <c r="G33" s="8" t="str">
        <f>IF(H33="","",VLOOKUP(H33,引用表合并!$A:$B,2,FALSE))</f>
        <v>高级装备升级石</v>
      </c>
      <c r="H33" s="8">
        <v>85200</v>
      </c>
      <c r="I33" s="8">
        <v>1</v>
      </c>
      <c r="J33" s="10">
        <v>3500</v>
      </c>
      <c r="K33" s="8" t="str">
        <f>IF(L33="","",VLOOKUP(L33,引用表合并!$A:$B,2,FALSE))</f>
        <v>部位材料(裤子)</v>
      </c>
      <c r="L33" s="8">
        <v>72010</v>
      </c>
      <c r="M33" s="8">
        <v>1</v>
      </c>
      <c r="N33" s="10">
        <v>6000</v>
      </c>
      <c r="O33" s="8" t="str">
        <f>IF(P33="","",VLOOKUP(P33,引用表合并!$A:$B,2,FALSE))</f>
        <v/>
      </c>
      <c r="P33" s="8"/>
      <c r="Q33" s="8"/>
      <c r="S33" s="8" t="str">
        <f>IF(T33="","",VLOOKUP(T33,引用表合并!$A:$B,2,FALSE))</f>
        <v/>
      </c>
      <c r="T33" s="8"/>
      <c r="U33" s="8"/>
      <c r="W33" s="8" t="str">
        <f>IF(X33="","",VLOOKUP(X33,引用表合并!$A:$B,2,FALSE))</f>
        <v/>
      </c>
      <c r="X33" s="8"/>
      <c r="Y33" s="8"/>
      <c r="AA33" s="8" t="str">
        <f>IF(AB33="","",VLOOKUP(AB33,引用表合并!$A:$B,2,FALSE))</f>
        <v/>
      </c>
      <c r="AB33" s="8"/>
      <c r="AC33" s="8"/>
      <c r="AE33" s="8" t="str">
        <f>IF(AF33="","",VLOOKUP(AF33,引用表合并!$A:$B,2,FALSE))</f>
        <v/>
      </c>
      <c r="AF33" s="8"/>
      <c r="AG33" s="8"/>
      <c r="AI33" s="8" t="str">
        <f>IF(AJ33="","",VLOOKUP(AJ33,引用表合并!$A:$B,2,FALSE))</f>
        <v/>
      </c>
      <c r="AJ33" s="8"/>
      <c r="AK33" s="8"/>
      <c r="AM33" s="8" t="str">
        <f>IF(AN33="","",VLOOKUP(AN33,引用表合并!$A:$B,2,FALSE))</f>
        <v/>
      </c>
      <c r="AN33" s="8"/>
      <c r="AO33" s="8"/>
      <c r="AQ33" s="8" t="str">
        <f>IF(AR33="","",VLOOKUP(AR33,引用表合并!$A:$B,2,FALSE))</f>
        <v/>
      </c>
      <c r="AR33" s="8"/>
      <c r="AS33" s="8"/>
      <c r="AU33" s="8" t="str">
        <f>IF(AV33="","",VLOOKUP(AV33,引用表合并!$A:$B,2,FALSE))</f>
        <v/>
      </c>
      <c r="AV33" s="8"/>
      <c r="AW33" s="8"/>
      <c r="AY33" s="8" t="str">
        <f>IF(AZ33="","",VLOOKUP(AZ33,引用表合并!$A:$B,2,FALSE))</f>
        <v/>
      </c>
      <c r="AZ33" s="8"/>
      <c r="BA33" s="8"/>
      <c r="BC33" s="8" t="str">
        <f>IF(BD33="","",VLOOKUP(BD33,引用表合并!$A:$B,2,FALSE))</f>
        <v/>
      </c>
      <c r="BD33" s="8"/>
      <c r="BF33" s="10"/>
      <c r="BG33" s="8" t="str">
        <f>IF(BH33="","",VLOOKUP(BH33,引用表合并!$A:$B,2,FALSE))</f>
        <v/>
      </c>
      <c r="BH33" s="8"/>
      <c r="BJ33" s="10"/>
      <c r="BK33" s="8" t="str">
        <f>IF(BL33="","",VLOOKUP(BL33,引用表合并!$A:$B,2,FALSE))</f>
        <v/>
      </c>
      <c r="BL33" s="8"/>
      <c r="BN33" s="10"/>
    </row>
    <row r="34" spans="1:66" x14ac:dyDescent="0.15">
      <c r="A34" s="8">
        <v>4004</v>
      </c>
      <c r="B34" s="8" t="str">
        <f>"地图:"&amp;VLOOKUP(A34,[1]地图配置辅助表!$A$3:$E$229,4,FALSE)</f>
        <v>地图:地盘纷争</v>
      </c>
      <c r="C34" s="8">
        <v>0</v>
      </c>
      <c r="D34" s="8">
        <f t="shared" si="4"/>
        <v>2</v>
      </c>
      <c r="E34" s="16">
        <f t="shared" si="0"/>
        <v>2</v>
      </c>
      <c r="F34" s="16">
        <v>1</v>
      </c>
      <c r="G34" s="8" t="str">
        <f>IF(H34="","",VLOOKUP(H34,引用表合并!$A:$B,2,FALSE))</f>
        <v>高级装备升级石</v>
      </c>
      <c r="H34" s="8">
        <v>85200</v>
      </c>
      <c r="I34" s="8">
        <v>1</v>
      </c>
      <c r="J34" s="10">
        <v>3500</v>
      </c>
      <c r="K34" s="8" t="str">
        <f>IF(L34="","",VLOOKUP(L34,引用表合并!$A:$B,2,FALSE))</f>
        <v>部位材料(鞋子)</v>
      </c>
      <c r="L34" s="8">
        <v>75010</v>
      </c>
      <c r="M34" s="8">
        <v>1</v>
      </c>
      <c r="N34" s="10">
        <v>6000</v>
      </c>
      <c r="O34" s="8" t="str">
        <f>IF(P34="","",VLOOKUP(P34,引用表合并!$A:$B,2,FALSE))</f>
        <v/>
      </c>
      <c r="P34" s="8"/>
      <c r="Q34" s="8"/>
      <c r="S34" s="8" t="str">
        <f>IF(T34="","",VLOOKUP(T34,引用表合并!$A:$B,2,FALSE))</f>
        <v/>
      </c>
      <c r="T34" s="8"/>
      <c r="U34" s="8"/>
      <c r="W34" s="8" t="str">
        <f>IF(X34="","",VLOOKUP(X34,引用表合并!$A:$B,2,FALSE))</f>
        <v/>
      </c>
      <c r="X34" s="8"/>
      <c r="Y34" s="8"/>
      <c r="AA34" s="8" t="str">
        <f>IF(AB34="","",VLOOKUP(AB34,引用表合并!$A:$B,2,FALSE))</f>
        <v/>
      </c>
      <c r="AB34" s="8"/>
      <c r="AC34" s="8"/>
      <c r="AE34" s="8" t="str">
        <f>IF(AF34="","",VLOOKUP(AF34,引用表合并!$A:$B,2,FALSE))</f>
        <v/>
      </c>
      <c r="AF34" s="8"/>
      <c r="AG34" s="8"/>
      <c r="AI34" s="8" t="str">
        <f>IF(AJ34="","",VLOOKUP(AJ34,引用表合并!$A:$B,2,FALSE))</f>
        <v/>
      </c>
      <c r="AJ34" s="8"/>
      <c r="AK34" s="8"/>
      <c r="AM34" s="8" t="str">
        <f>IF(AN34="","",VLOOKUP(AN34,引用表合并!$A:$B,2,FALSE))</f>
        <v/>
      </c>
      <c r="AN34" s="8"/>
      <c r="AO34" s="8"/>
      <c r="AQ34" s="8" t="str">
        <f>IF(AR34="","",VLOOKUP(AR34,引用表合并!$A:$B,2,FALSE))</f>
        <v/>
      </c>
      <c r="AR34" s="8"/>
      <c r="AS34" s="8"/>
      <c r="AU34" s="8" t="str">
        <f>IF(AV34="","",VLOOKUP(AV34,引用表合并!$A:$B,2,FALSE))</f>
        <v/>
      </c>
      <c r="AV34" s="8"/>
      <c r="AW34" s="8"/>
      <c r="AY34" s="8" t="str">
        <f>IF(AZ34="","",VLOOKUP(AZ34,引用表合并!$A:$B,2,FALSE))</f>
        <v/>
      </c>
      <c r="AZ34" s="8"/>
      <c r="BA34" s="8"/>
      <c r="BC34" s="8" t="str">
        <f>IF(BD34="","",VLOOKUP(BD34,引用表合并!$A:$B,2,FALSE))</f>
        <v/>
      </c>
      <c r="BD34" s="8"/>
      <c r="BF34" s="10"/>
      <c r="BG34" s="8" t="str">
        <f>IF(BH34="","",VLOOKUP(BH34,引用表合并!$A:$B,2,FALSE))</f>
        <v/>
      </c>
      <c r="BH34" s="8"/>
      <c r="BJ34" s="10"/>
      <c r="BK34" s="8" t="str">
        <f>IF(BL34="","",VLOOKUP(BL34,引用表合并!$A:$B,2,FALSE))</f>
        <v/>
      </c>
      <c r="BL34" s="8"/>
      <c r="BN34" s="10"/>
    </row>
    <row r="35" spans="1:66" x14ac:dyDescent="0.15">
      <c r="A35" s="8">
        <v>4005</v>
      </c>
      <c r="B35" s="8" t="str">
        <f>"地图:"&amp;VLOOKUP(A35,[1]地图配置辅助表!$A$3:$E$229,4,FALSE)</f>
        <v>地图:营救大天二</v>
      </c>
      <c r="C35" s="8">
        <v>0</v>
      </c>
      <c r="D35" s="8">
        <f t="shared" si="4"/>
        <v>2</v>
      </c>
      <c r="E35" s="16">
        <f t="shared" si="0"/>
        <v>2</v>
      </c>
      <c r="F35" s="16">
        <v>1</v>
      </c>
      <c r="G35" s="8" t="str">
        <f>IF(H35="","",VLOOKUP(H35,引用表合并!$A:$B,2,FALSE))</f>
        <v>高级装备升级石</v>
      </c>
      <c r="H35" s="8">
        <v>85200</v>
      </c>
      <c r="I35" s="8">
        <v>1</v>
      </c>
      <c r="J35" s="10">
        <v>3500</v>
      </c>
      <c r="K35" s="8" t="str">
        <f>IF(L35="","",VLOOKUP(L35,引用表合并!$A:$B,2,FALSE))</f>
        <v>部位材料(腰带)</v>
      </c>
      <c r="L35" s="8">
        <v>74010</v>
      </c>
      <c r="M35" s="8">
        <v>1</v>
      </c>
      <c r="N35" s="10">
        <v>6000</v>
      </c>
      <c r="O35" s="8" t="str">
        <f>IF(P35="","",VLOOKUP(P35,引用表合并!$A:$B,2,FALSE))</f>
        <v/>
      </c>
      <c r="P35" s="8"/>
      <c r="Q35" s="8"/>
      <c r="S35" s="8" t="str">
        <f>IF(T35="","",VLOOKUP(T35,引用表合并!$A:$B,2,FALSE))</f>
        <v/>
      </c>
      <c r="T35" s="8"/>
      <c r="U35" s="8"/>
      <c r="W35" s="8" t="str">
        <f>IF(X35="","",VLOOKUP(X35,引用表合并!$A:$B,2,FALSE))</f>
        <v/>
      </c>
      <c r="X35" s="8"/>
      <c r="Y35" s="8"/>
      <c r="AA35" s="8" t="str">
        <f>IF(AB35="","",VLOOKUP(AB35,引用表合并!$A:$B,2,FALSE))</f>
        <v/>
      </c>
      <c r="AB35" s="8"/>
      <c r="AC35" s="8"/>
      <c r="AE35" s="8" t="str">
        <f>IF(AF35="","",VLOOKUP(AF35,引用表合并!$A:$B,2,FALSE))</f>
        <v/>
      </c>
      <c r="AF35" s="8"/>
      <c r="AG35" s="8"/>
      <c r="AI35" s="8" t="str">
        <f>IF(AJ35="","",VLOOKUP(AJ35,引用表合并!$A:$B,2,FALSE))</f>
        <v/>
      </c>
      <c r="AJ35" s="8"/>
      <c r="AK35" s="8"/>
      <c r="AM35" s="8" t="str">
        <f>IF(AN35="","",VLOOKUP(AN35,引用表合并!$A:$B,2,FALSE))</f>
        <v/>
      </c>
      <c r="AN35" s="8"/>
      <c r="AO35" s="8"/>
      <c r="AQ35" s="8" t="str">
        <f>IF(AR35="","",VLOOKUP(AR35,引用表合并!$A:$B,2,FALSE))</f>
        <v/>
      </c>
      <c r="AR35" s="8"/>
      <c r="AS35" s="8"/>
      <c r="AU35" s="8" t="str">
        <f>IF(AV35="","",VLOOKUP(AV35,引用表合并!$A:$B,2,FALSE))</f>
        <v/>
      </c>
      <c r="AV35" s="8"/>
      <c r="AW35" s="8"/>
      <c r="AY35" s="8" t="str">
        <f>IF(AZ35="","",VLOOKUP(AZ35,引用表合并!$A:$B,2,FALSE))</f>
        <v/>
      </c>
      <c r="AZ35" s="8"/>
      <c r="BA35" s="8"/>
      <c r="BC35" s="8" t="str">
        <f>IF(BD35="","",VLOOKUP(BD35,引用表合并!$A:$B,2,FALSE))</f>
        <v/>
      </c>
      <c r="BD35" s="8"/>
      <c r="BF35" s="10"/>
      <c r="BG35" s="8" t="str">
        <f>IF(BH35="","",VLOOKUP(BH35,引用表合并!$A:$B,2,FALSE))</f>
        <v/>
      </c>
      <c r="BH35" s="8"/>
      <c r="BJ35" s="10"/>
      <c r="BK35" s="8" t="str">
        <f>IF(BL35="","",VLOOKUP(BL35,引用表合并!$A:$B,2,FALSE))</f>
        <v/>
      </c>
      <c r="BL35" s="8"/>
      <c r="BN35" s="10"/>
    </row>
    <row r="36" spans="1:66" x14ac:dyDescent="0.15">
      <c r="A36" s="8">
        <v>4006</v>
      </c>
      <c r="B36" s="8" t="str">
        <f>"地图:"&amp;VLOOKUP(A36,[1]地图配置辅助表!$A$3:$E$229,4,FALSE)</f>
        <v>地图:调虎离山</v>
      </c>
      <c r="C36" s="8">
        <v>0</v>
      </c>
      <c r="D36" s="8">
        <f t="shared" si="4"/>
        <v>2</v>
      </c>
      <c r="E36" s="16">
        <f t="shared" si="0"/>
        <v>2</v>
      </c>
      <c r="F36" s="16">
        <v>1</v>
      </c>
      <c r="G36" s="8" t="str">
        <f>IF(H36="","",VLOOKUP(H36,引用表合并!$A:$B,2,FALSE))</f>
        <v>高级装备升级石</v>
      </c>
      <c r="H36" s="8">
        <v>85200</v>
      </c>
      <c r="I36" s="8">
        <v>1</v>
      </c>
      <c r="J36" s="10">
        <v>3500</v>
      </c>
      <c r="K36" s="8" t="str">
        <f>IF(L36="","",VLOOKUP(L36,引用表合并!$A:$B,2,FALSE))</f>
        <v>部位材料(衣服)</v>
      </c>
      <c r="L36" s="8">
        <v>71010</v>
      </c>
      <c r="M36" s="8">
        <v>1</v>
      </c>
      <c r="N36" s="10">
        <v>6000</v>
      </c>
      <c r="O36" s="8" t="str">
        <f>IF(P36="","",VLOOKUP(P36,引用表合并!$A:$B,2,FALSE))</f>
        <v/>
      </c>
      <c r="P36" s="8"/>
      <c r="Q36" s="8"/>
      <c r="S36" s="8" t="str">
        <f>IF(T36="","",VLOOKUP(T36,引用表合并!$A:$B,2,FALSE))</f>
        <v/>
      </c>
      <c r="T36" s="8"/>
      <c r="U36" s="8"/>
      <c r="W36" s="8" t="str">
        <f>IF(X36="","",VLOOKUP(X36,引用表合并!$A:$B,2,FALSE))</f>
        <v/>
      </c>
      <c r="X36" s="8"/>
      <c r="Y36" s="8"/>
      <c r="AA36" s="8" t="str">
        <f>IF(AB36="","",VLOOKUP(AB36,引用表合并!$A:$B,2,FALSE))</f>
        <v/>
      </c>
      <c r="AB36" s="8"/>
      <c r="AC36" s="8"/>
      <c r="AE36" s="8" t="str">
        <f>IF(AF36="","",VLOOKUP(AF36,引用表合并!$A:$B,2,FALSE))</f>
        <v/>
      </c>
      <c r="AF36" s="8"/>
      <c r="AG36" s="8"/>
      <c r="AI36" s="8" t="str">
        <f>IF(AJ36="","",VLOOKUP(AJ36,引用表合并!$A:$B,2,FALSE))</f>
        <v/>
      </c>
      <c r="AJ36" s="8"/>
      <c r="AK36" s="8"/>
      <c r="AM36" s="8" t="str">
        <f>IF(AN36="","",VLOOKUP(AN36,引用表合并!$A:$B,2,FALSE))</f>
        <v/>
      </c>
      <c r="AN36" s="8"/>
      <c r="AO36" s="8"/>
      <c r="AQ36" s="8" t="str">
        <f>IF(AR36="","",VLOOKUP(AR36,引用表合并!$A:$B,2,FALSE))</f>
        <v/>
      </c>
      <c r="AR36" s="8"/>
      <c r="AS36" s="8"/>
      <c r="AU36" s="8" t="str">
        <f>IF(AV36="","",VLOOKUP(AV36,引用表合并!$A:$B,2,FALSE))</f>
        <v/>
      </c>
      <c r="AV36" s="8"/>
      <c r="AW36" s="8"/>
      <c r="AY36" s="8" t="str">
        <f>IF(AZ36="","",VLOOKUP(AZ36,引用表合并!$A:$B,2,FALSE))</f>
        <v/>
      </c>
      <c r="AZ36" s="8"/>
      <c r="BA36" s="8"/>
      <c r="BC36" s="8" t="str">
        <f>IF(BD36="","",VLOOKUP(BD36,引用表合并!$A:$B,2,FALSE))</f>
        <v/>
      </c>
      <c r="BD36" s="8"/>
      <c r="BF36" s="10"/>
      <c r="BG36" s="8" t="str">
        <f>IF(BH36="","",VLOOKUP(BH36,引用表合并!$A:$B,2,FALSE))</f>
        <v/>
      </c>
      <c r="BH36" s="8"/>
      <c r="BJ36" s="10"/>
      <c r="BK36" s="8" t="str">
        <f>IF(BL36="","",VLOOKUP(BL36,引用表合并!$A:$B,2,FALSE))</f>
        <v/>
      </c>
      <c r="BL36" s="8"/>
      <c r="BN36" s="10"/>
    </row>
    <row r="37" spans="1:66" x14ac:dyDescent="0.15">
      <c r="A37" s="8">
        <v>4007</v>
      </c>
      <c r="B37" s="8" t="str">
        <f>"地图:"&amp;VLOOKUP(A37,[1]地图配置辅助表!$A$3:$E$229,4,FALSE)</f>
        <v>地图:痛失战友</v>
      </c>
      <c r="C37" s="8">
        <v>0</v>
      </c>
      <c r="D37" s="8">
        <f t="shared" ref="D37:D39" si="7">E37</f>
        <v>2</v>
      </c>
      <c r="E37" s="16">
        <f t="shared" si="0"/>
        <v>2</v>
      </c>
      <c r="F37" s="16">
        <v>1</v>
      </c>
      <c r="G37" s="8" t="str">
        <f>IF(H37="","",VLOOKUP(H37,引用表合并!$A:$B,2,FALSE))</f>
        <v>高级装备升级石</v>
      </c>
      <c r="H37" s="8">
        <v>85200</v>
      </c>
      <c r="I37" s="8">
        <v>1</v>
      </c>
      <c r="J37" s="10">
        <v>3500</v>
      </c>
      <c r="K37" s="8" t="str">
        <f>IF(L37="","",VLOOKUP(L37,引用表合并!$A:$B,2,FALSE))</f>
        <v>部位材料(武器)</v>
      </c>
      <c r="L37" s="8">
        <v>70010</v>
      </c>
      <c r="M37" s="8">
        <v>1</v>
      </c>
      <c r="N37" s="10">
        <v>6000</v>
      </c>
      <c r="O37" s="8" t="str">
        <f>IF(P37="","",VLOOKUP(P37,引用表合并!$A:$B,2,FALSE))</f>
        <v/>
      </c>
      <c r="P37" s="8"/>
      <c r="Q37" s="8"/>
      <c r="S37" s="8" t="str">
        <f>IF(T37="","",VLOOKUP(T37,引用表合并!$A:$B,2,FALSE))</f>
        <v/>
      </c>
      <c r="T37" s="8"/>
      <c r="U37" s="8"/>
      <c r="W37" s="8" t="str">
        <f>IF(X37="","",VLOOKUP(X37,引用表合并!$A:$B,2,FALSE))</f>
        <v/>
      </c>
      <c r="X37" s="8"/>
      <c r="Y37" s="8"/>
      <c r="AA37" s="8" t="str">
        <f>IF(AB37="","",VLOOKUP(AB37,引用表合并!$A:$B,2,FALSE))</f>
        <v/>
      </c>
      <c r="AB37" s="8"/>
      <c r="AC37" s="8"/>
      <c r="AE37" s="8" t="str">
        <f>IF(AF37="","",VLOOKUP(AF37,引用表合并!$A:$B,2,FALSE))</f>
        <v/>
      </c>
      <c r="AF37" s="8"/>
      <c r="AG37" s="8"/>
      <c r="AI37" s="8" t="str">
        <f>IF(AJ37="","",VLOOKUP(AJ37,引用表合并!$A:$B,2,FALSE))</f>
        <v/>
      </c>
      <c r="AJ37" s="8"/>
      <c r="AK37" s="8"/>
      <c r="AM37" s="8" t="str">
        <f>IF(AN37="","",VLOOKUP(AN37,引用表合并!$A:$B,2,FALSE))</f>
        <v/>
      </c>
      <c r="AN37" s="8"/>
      <c r="AO37" s="8"/>
      <c r="AQ37" s="8" t="str">
        <f>IF(AR37="","",VLOOKUP(AR37,引用表合并!$A:$B,2,FALSE))</f>
        <v/>
      </c>
      <c r="AR37" s="8"/>
      <c r="AS37" s="8"/>
      <c r="AU37" s="8" t="str">
        <f>IF(AV37="","",VLOOKUP(AV37,引用表合并!$A:$B,2,FALSE))</f>
        <v/>
      </c>
      <c r="AV37" s="8"/>
      <c r="AW37" s="8"/>
      <c r="AY37" s="8" t="str">
        <f>IF(AZ37="","",VLOOKUP(AZ37,引用表合并!$A:$B,2,FALSE))</f>
        <v/>
      </c>
      <c r="AZ37" s="8"/>
      <c r="BA37" s="8"/>
      <c r="BC37" s="8" t="str">
        <f>IF(BD37="","",VLOOKUP(BD37,引用表合并!$A:$B,2,FALSE))</f>
        <v/>
      </c>
      <c r="BD37" s="8"/>
      <c r="BF37" s="10"/>
      <c r="BG37" s="8" t="str">
        <f>IF(BH37="","",VLOOKUP(BH37,引用表合并!$A:$B,2,FALSE))</f>
        <v/>
      </c>
      <c r="BH37" s="8"/>
      <c r="BJ37" s="10"/>
      <c r="BK37" s="8" t="str">
        <f>IF(BL37="","",VLOOKUP(BL37,引用表合并!$A:$B,2,FALSE))</f>
        <v/>
      </c>
      <c r="BL37" s="8"/>
      <c r="BN37" s="10"/>
    </row>
    <row r="38" spans="1:66" x14ac:dyDescent="0.15">
      <c r="A38" s="8">
        <v>4008</v>
      </c>
      <c r="B38" s="8" t="str">
        <f>"地图:"&amp;VLOOKUP(A38,[1]地图配置辅助表!$A$3:$E$229,4,FALSE)</f>
        <v>地图:追击真凶</v>
      </c>
      <c r="C38" s="8">
        <v>0</v>
      </c>
      <c r="D38" s="8">
        <f t="shared" si="7"/>
        <v>2</v>
      </c>
      <c r="E38" s="16">
        <f t="shared" si="0"/>
        <v>2</v>
      </c>
      <c r="F38" s="16">
        <v>1</v>
      </c>
      <c r="G38" s="8" t="str">
        <f>IF(H38="","",VLOOKUP(H38,引用表合并!$A:$B,2,FALSE))</f>
        <v>高级装备升级石</v>
      </c>
      <c r="H38" s="8">
        <v>85200</v>
      </c>
      <c r="I38" s="8">
        <v>1</v>
      </c>
      <c r="J38" s="10">
        <v>3500</v>
      </c>
      <c r="K38" s="8" t="str">
        <f>IF(L38="","",VLOOKUP(L38,引用表合并!$A:$B,2,FALSE))</f>
        <v>部位材料(项链)</v>
      </c>
      <c r="L38" s="8">
        <v>73010</v>
      </c>
      <c r="M38" s="8">
        <v>1</v>
      </c>
      <c r="N38" s="10">
        <v>6000</v>
      </c>
      <c r="O38" s="8" t="str">
        <f>IF(P38="","",VLOOKUP(P38,引用表合并!$A:$B,2,FALSE))</f>
        <v/>
      </c>
      <c r="P38" s="8"/>
      <c r="Q38" s="8"/>
      <c r="S38" s="8" t="str">
        <f>IF(T38="","",VLOOKUP(T38,引用表合并!$A:$B,2,FALSE))</f>
        <v/>
      </c>
      <c r="T38" s="8"/>
      <c r="U38" s="8"/>
      <c r="W38" s="8" t="str">
        <f>IF(X38="","",VLOOKUP(X38,引用表合并!$A:$B,2,FALSE))</f>
        <v/>
      </c>
      <c r="X38" s="8"/>
      <c r="Y38" s="8"/>
      <c r="AA38" s="8" t="str">
        <f>IF(AB38="","",VLOOKUP(AB38,引用表合并!$A:$B,2,FALSE))</f>
        <v/>
      </c>
      <c r="AB38" s="8"/>
      <c r="AC38" s="8"/>
      <c r="AE38" s="8" t="str">
        <f>IF(AF38="","",VLOOKUP(AF38,引用表合并!$A:$B,2,FALSE))</f>
        <v/>
      </c>
      <c r="AF38" s="8"/>
      <c r="AG38" s="8"/>
      <c r="AI38" s="8" t="str">
        <f>IF(AJ38="","",VLOOKUP(AJ38,引用表合并!$A:$B,2,FALSE))</f>
        <v/>
      </c>
      <c r="AJ38" s="8"/>
      <c r="AK38" s="8"/>
      <c r="AM38" s="8" t="str">
        <f>IF(AN38="","",VLOOKUP(AN38,引用表合并!$A:$B,2,FALSE))</f>
        <v/>
      </c>
      <c r="AN38" s="8"/>
      <c r="AO38" s="8"/>
      <c r="AQ38" s="8" t="str">
        <f>IF(AR38="","",VLOOKUP(AR38,引用表合并!$A:$B,2,FALSE))</f>
        <v/>
      </c>
      <c r="AR38" s="8"/>
      <c r="AS38" s="8"/>
      <c r="AU38" s="8" t="str">
        <f>IF(AV38="","",VLOOKUP(AV38,引用表合并!$A:$B,2,FALSE))</f>
        <v/>
      </c>
      <c r="AV38" s="8"/>
      <c r="AW38" s="8"/>
      <c r="AY38" s="8" t="str">
        <f>IF(AZ38="","",VLOOKUP(AZ38,引用表合并!$A:$B,2,FALSE))</f>
        <v/>
      </c>
      <c r="AZ38" s="8"/>
      <c r="BA38" s="8"/>
      <c r="BC38" s="8" t="str">
        <f>IF(BD38="","",VLOOKUP(BD38,引用表合并!$A:$B,2,FALSE))</f>
        <v/>
      </c>
      <c r="BD38" s="8"/>
      <c r="BF38" s="10"/>
      <c r="BG38" s="8" t="str">
        <f>IF(BH38="","",VLOOKUP(BH38,引用表合并!$A:$B,2,FALSE))</f>
        <v/>
      </c>
      <c r="BH38" s="8"/>
      <c r="BJ38" s="10"/>
      <c r="BK38" s="8" t="str">
        <f>IF(BL38="","",VLOOKUP(BL38,引用表合并!$A:$B,2,FALSE))</f>
        <v/>
      </c>
      <c r="BL38" s="8"/>
      <c r="BN38" s="10"/>
    </row>
    <row r="39" spans="1:66" x14ac:dyDescent="0.15">
      <c r="A39" s="8">
        <v>4009</v>
      </c>
      <c r="B39" s="8" t="str">
        <f>"地图:"&amp;VLOOKUP(A39,[1]地图配置辅助表!$A$3:$E$229,4,FALSE)</f>
        <v>地图:一决雌雄</v>
      </c>
      <c r="C39" s="8">
        <v>0</v>
      </c>
      <c r="D39" s="8">
        <f t="shared" si="7"/>
        <v>2</v>
      </c>
      <c r="E39" s="16">
        <f t="shared" si="0"/>
        <v>2</v>
      </c>
      <c r="F39" s="16">
        <v>1</v>
      </c>
      <c r="G39" s="8" t="str">
        <f>IF(H39="","",VLOOKUP(H39,引用表合并!$A:$B,2,FALSE))</f>
        <v>高级装备升级石</v>
      </c>
      <c r="H39" s="8">
        <v>85200</v>
      </c>
      <c r="I39" s="8">
        <v>1</v>
      </c>
      <c r="J39" s="10">
        <v>3500</v>
      </c>
      <c r="K39" s="8" t="str">
        <f>IF(L39="","",VLOOKUP(L39,引用表合并!$A:$B,2,FALSE))</f>
        <v>部位材料(裤子)</v>
      </c>
      <c r="L39" s="8">
        <v>72010</v>
      </c>
      <c r="M39" s="8">
        <v>1</v>
      </c>
      <c r="N39" s="10">
        <v>6000</v>
      </c>
      <c r="O39" s="8" t="str">
        <f>IF(P39="","",VLOOKUP(P39,引用表合并!$A:$B,2,FALSE))</f>
        <v/>
      </c>
      <c r="P39" s="8"/>
      <c r="Q39" s="8"/>
      <c r="S39" s="8" t="str">
        <f>IF(T39="","",VLOOKUP(T39,引用表合并!$A:$B,2,FALSE))</f>
        <v/>
      </c>
      <c r="T39" s="8"/>
      <c r="U39" s="8"/>
      <c r="W39" s="8" t="str">
        <f>IF(X39="","",VLOOKUP(X39,引用表合并!$A:$B,2,FALSE))</f>
        <v/>
      </c>
      <c r="X39" s="8"/>
      <c r="Y39" s="8"/>
      <c r="AA39" s="8" t="str">
        <f>IF(AB39="","",VLOOKUP(AB39,引用表合并!$A:$B,2,FALSE))</f>
        <v/>
      </c>
      <c r="AB39" s="8"/>
      <c r="AC39" s="8"/>
      <c r="AE39" s="8" t="str">
        <f>IF(AF39="","",VLOOKUP(AF39,引用表合并!$A:$B,2,FALSE))</f>
        <v/>
      </c>
      <c r="AF39" s="8"/>
      <c r="AG39" s="8"/>
      <c r="AI39" s="8" t="str">
        <f>IF(AJ39="","",VLOOKUP(AJ39,引用表合并!$A:$B,2,FALSE))</f>
        <v/>
      </c>
      <c r="AJ39" s="8"/>
      <c r="AK39" s="8"/>
      <c r="AM39" s="8" t="str">
        <f>IF(AN39="","",VLOOKUP(AN39,引用表合并!$A:$B,2,FALSE))</f>
        <v/>
      </c>
      <c r="AN39" s="8"/>
      <c r="AO39" s="8"/>
      <c r="AQ39" s="8" t="str">
        <f>IF(AR39="","",VLOOKUP(AR39,引用表合并!$A:$B,2,FALSE))</f>
        <v/>
      </c>
      <c r="AR39" s="8"/>
      <c r="AS39" s="8"/>
      <c r="AU39" s="8" t="str">
        <f>IF(AV39="","",VLOOKUP(AV39,引用表合并!$A:$B,2,FALSE))</f>
        <v/>
      </c>
      <c r="AV39" s="8"/>
      <c r="AW39" s="8"/>
      <c r="AY39" s="8" t="str">
        <f>IF(AZ39="","",VLOOKUP(AZ39,引用表合并!$A:$B,2,FALSE))</f>
        <v/>
      </c>
      <c r="AZ39" s="8"/>
      <c r="BA39" s="8"/>
      <c r="BC39" s="8" t="str">
        <f>IF(BD39="","",VLOOKUP(BD39,引用表合并!$A:$B,2,FALSE))</f>
        <v/>
      </c>
      <c r="BD39" s="8"/>
      <c r="BF39" s="10"/>
      <c r="BG39" s="8" t="str">
        <f>IF(BH39="","",VLOOKUP(BH39,引用表合并!$A:$B,2,FALSE))</f>
        <v/>
      </c>
      <c r="BH39" s="8"/>
      <c r="BJ39" s="10"/>
      <c r="BK39" s="8" t="str">
        <f>IF(BL39="","",VLOOKUP(BL39,引用表合并!$A:$B,2,FALSE))</f>
        <v/>
      </c>
      <c r="BL39" s="8"/>
      <c r="BN39" s="10"/>
    </row>
    <row r="40" spans="1:66" x14ac:dyDescent="0.15">
      <c r="A40" s="8">
        <v>5001</v>
      </c>
      <c r="B40" s="8" t="str">
        <f>"地图:"&amp;VLOOKUP(A40,[1]地图配置辅助表!$A$3:$E$229,4,FALSE)</f>
        <v>地图:双雄之争</v>
      </c>
      <c r="C40" s="8">
        <v>0</v>
      </c>
      <c r="D40" s="8">
        <f t="shared" si="4"/>
        <v>2</v>
      </c>
      <c r="E40" s="16">
        <f t="shared" si="0"/>
        <v>2</v>
      </c>
      <c r="F40" s="16">
        <v>1</v>
      </c>
      <c r="G40" s="8" t="str">
        <f>IF(H40="","",VLOOKUP(H40,引用表合并!$A:$B,2,FALSE))</f>
        <v>高级装备升级石</v>
      </c>
      <c r="H40" s="8">
        <v>85200</v>
      </c>
      <c r="I40" s="8">
        <v>1</v>
      </c>
      <c r="J40" s="10">
        <v>3500</v>
      </c>
      <c r="K40" s="8" t="str">
        <f>IF(L40="","",VLOOKUP(L40,引用表合并!$A:$B,2,FALSE))</f>
        <v>部位材料(鞋子)</v>
      </c>
      <c r="L40" s="8">
        <v>75010</v>
      </c>
      <c r="M40" s="8">
        <v>2</v>
      </c>
      <c r="N40" s="10">
        <v>4000</v>
      </c>
      <c r="O40" s="8" t="str">
        <f>IF(P40="","",VLOOKUP(P40,引用表合并!$A:$B,2,FALSE))</f>
        <v/>
      </c>
      <c r="P40" s="8"/>
      <c r="Q40" s="8"/>
      <c r="S40" s="8" t="str">
        <f>IF(T40="","",VLOOKUP(T40,引用表合并!$A:$B,2,FALSE))</f>
        <v/>
      </c>
      <c r="T40" s="8"/>
      <c r="U40" s="8"/>
      <c r="W40" s="8" t="str">
        <f>IF(X40="","",VLOOKUP(X40,引用表合并!$A:$B,2,FALSE))</f>
        <v/>
      </c>
      <c r="X40" s="8"/>
      <c r="Y40" s="8"/>
      <c r="AA40" s="8" t="str">
        <f>IF(AB40="","",VLOOKUP(AB40,引用表合并!$A:$B,2,FALSE))</f>
        <v/>
      </c>
      <c r="AB40" s="8"/>
      <c r="AC40" s="8"/>
      <c r="AE40" s="8" t="str">
        <f>IF(AF40="","",VLOOKUP(AF40,引用表合并!$A:$B,2,FALSE))</f>
        <v/>
      </c>
      <c r="AF40" s="8"/>
      <c r="AG40" s="8"/>
      <c r="AI40" s="8" t="str">
        <f>IF(AJ40="","",VLOOKUP(AJ40,引用表合并!$A:$B,2,FALSE))</f>
        <v/>
      </c>
      <c r="AJ40" s="8"/>
      <c r="AK40" s="8"/>
      <c r="AM40" s="8" t="str">
        <f>IF(AN40="","",VLOOKUP(AN40,引用表合并!$A:$B,2,FALSE))</f>
        <v/>
      </c>
      <c r="AN40" s="8"/>
      <c r="AO40" s="8"/>
      <c r="AQ40" s="8" t="str">
        <f>IF(AR40="","",VLOOKUP(AR40,引用表合并!$A:$B,2,FALSE))</f>
        <v/>
      </c>
      <c r="AR40" s="8"/>
      <c r="AS40" s="8"/>
      <c r="AU40" s="8" t="str">
        <f>IF(AV40="","",VLOOKUP(AV40,引用表合并!$A:$B,2,FALSE))</f>
        <v/>
      </c>
      <c r="AV40" s="8"/>
      <c r="AW40" s="8"/>
      <c r="AY40" s="8" t="str">
        <f>IF(AZ40="","",VLOOKUP(AZ40,引用表合并!$A:$B,2,FALSE))</f>
        <v/>
      </c>
      <c r="AZ40" s="8"/>
      <c r="BA40" s="8"/>
      <c r="BC40" s="8" t="str">
        <f>IF(BD40="","",VLOOKUP(BD40,引用表合并!$A:$B,2,FALSE))</f>
        <v/>
      </c>
      <c r="BD40" s="8"/>
      <c r="BF40" s="10"/>
      <c r="BG40" s="8" t="str">
        <f>IF(BH40="","",VLOOKUP(BH40,引用表合并!$A:$B,2,FALSE))</f>
        <v/>
      </c>
      <c r="BH40" s="8"/>
      <c r="BJ40" s="10"/>
      <c r="BK40" s="8" t="str">
        <f>IF(BL40="","",VLOOKUP(BL40,引用表合并!$A:$B,2,FALSE))</f>
        <v/>
      </c>
      <c r="BL40" s="8"/>
      <c r="BN40" s="10"/>
    </row>
    <row r="41" spans="1:66" x14ac:dyDescent="0.15">
      <c r="A41" s="8">
        <v>5002</v>
      </c>
      <c r="B41" s="8" t="str">
        <f>"地图:"&amp;VLOOKUP(A41,[1]地图配置辅助表!$A$3:$E$229,4,FALSE)</f>
        <v>地图:守卫赌船</v>
      </c>
      <c r="C41" s="8">
        <v>0</v>
      </c>
      <c r="D41" s="8">
        <f t="shared" si="4"/>
        <v>2</v>
      </c>
      <c r="E41" s="16">
        <f t="shared" si="0"/>
        <v>2</v>
      </c>
      <c r="F41" s="16">
        <v>1</v>
      </c>
      <c r="G41" s="8" t="str">
        <f>IF(H41="","",VLOOKUP(H41,引用表合并!$A:$B,2,FALSE))</f>
        <v>高级装备升级石</v>
      </c>
      <c r="H41" s="8">
        <v>85200</v>
      </c>
      <c r="I41" s="8">
        <v>1</v>
      </c>
      <c r="J41" s="10">
        <v>3500</v>
      </c>
      <c r="K41" s="8" t="str">
        <f>IF(L41="","",VLOOKUP(L41,引用表合并!$A:$B,2,FALSE))</f>
        <v>部位材料(腰带)</v>
      </c>
      <c r="L41" s="8">
        <v>74010</v>
      </c>
      <c r="M41" s="8">
        <v>2</v>
      </c>
      <c r="N41" s="10">
        <v>4000</v>
      </c>
      <c r="O41" s="8" t="str">
        <f>IF(P41="","",VLOOKUP(P41,引用表合并!$A:$B,2,FALSE))</f>
        <v/>
      </c>
      <c r="P41" s="8"/>
      <c r="Q41" s="8"/>
      <c r="S41" s="8" t="str">
        <f>IF(T41="","",VLOOKUP(T41,引用表合并!$A:$B,2,FALSE))</f>
        <v/>
      </c>
      <c r="T41" s="8"/>
      <c r="U41" s="8"/>
      <c r="W41" s="8" t="str">
        <f>IF(X41="","",VLOOKUP(X41,引用表合并!$A:$B,2,FALSE))</f>
        <v/>
      </c>
      <c r="X41" s="8"/>
      <c r="Y41" s="8"/>
      <c r="AA41" s="8" t="str">
        <f>IF(AB41="","",VLOOKUP(AB41,引用表合并!$A:$B,2,FALSE))</f>
        <v/>
      </c>
      <c r="AB41" s="8"/>
      <c r="AC41" s="8"/>
      <c r="AE41" s="8" t="str">
        <f>IF(AF41="","",VLOOKUP(AF41,引用表合并!$A:$B,2,FALSE))</f>
        <v/>
      </c>
      <c r="AF41" s="8"/>
      <c r="AG41" s="8"/>
      <c r="AI41" s="8" t="str">
        <f>IF(AJ41="","",VLOOKUP(AJ41,引用表合并!$A:$B,2,FALSE))</f>
        <v/>
      </c>
      <c r="AJ41" s="8"/>
      <c r="AK41" s="8"/>
      <c r="AM41" s="8" t="str">
        <f>IF(AN41="","",VLOOKUP(AN41,引用表合并!$A:$B,2,FALSE))</f>
        <v/>
      </c>
      <c r="AN41" s="8"/>
      <c r="AO41" s="8"/>
      <c r="AQ41" s="8" t="str">
        <f>IF(AR41="","",VLOOKUP(AR41,引用表合并!$A:$B,2,FALSE))</f>
        <v/>
      </c>
      <c r="AR41" s="8"/>
      <c r="AS41" s="8"/>
      <c r="AU41" s="8" t="str">
        <f>IF(AV41="","",VLOOKUP(AV41,引用表合并!$A:$B,2,FALSE))</f>
        <v/>
      </c>
      <c r="AV41" s="8"/>
      <c r="AW41" s="8"/>
      <c r="AY41" s="8" t="str">
        <f>IF(AZ41="","",VLOOKUP(AZ41,引用表合并!$A:$B,2,FALSE))</f>
        <v/>
      </c>
      <c r="AZ41" s="8"/>
      <c r="BA41" s="8"/>
      <c r="BC41" s="8" t="str">
        <f>IF(BD41="","",VLOOKUP(BD41,引用表合并!$A:$B,2,FALSE))</f>
        <v/>
      </c>
      <c r="BD41" s="8"/>
      <c r="BF41" s="10"/>
      <c r="BG41" s="8" t="str">
        <f>IF(BH41="","",VLOOKUP(BH41,引用表合并!$A:$B,2,FALSE))</f>
        <v/>
      </c>
      <c r="BH41" s="8"/>
      <c r="BJ41" s="10"/>
      <c r="BK41" s="8" t="str">
        <f>IF(BL41="","",VLOOKUP(BL41,引用表合并!$A:$B,2,FALSE))</f>
        <v/>
      </c>
      <c r="BL41" s="8"/>
      <c r="BN41" s="10"/>
    </row>
    <row r="42" spans="1:66" x14ac:dyDescent="0.15">
      <c r="A42" s="8">
        <v>5003</v>
      </c>
      <c r="B42" s="8" t="str">
        <f>"地图:"&amp;VLOOKUP(A42,[1]地图配置辅助表!$A$3:$E$229,4,FALSE)</f>
        <v>地图:正面冲突</v>
      </c>
      <c r="C42" s="8">
        <v>0</v>
      </c>
      <c r="D42" s="8">
        <f t="shared" si="4"/>
        <v>2</v>
      </c>
      <c r="E42" s="16">
        <f t="shared" si="0"/>
        <v>2</v>
      </c>
      <c r="F42" s="16">
        <v>1</v>
      </c>
      <c r="G42" s="8" t="str">
        <f>IF(H42="","",VLOOKUP(H42,引用表合并!$A:$B,2,FALSE))</f>
        <v>高级装备升级石</v>
      </c>
      <c r="H42" s="8">
        <v>85200</v>
      </c>
      <c r="I42" s="8">
        <v>1</v>
      </c>
      <c r="J42" s="10">
        <v>3500</v>
      </c>
      <c r="K42" s="8" t="str">
        <f>IF(L42="","",VLOOKUP(L42,引用表合并!$A:$B,2,FALSE))</f>
        <v>部位材料(衣服)</v>
      </c>
      <c r="L42" s="8">
        <v>71010</v>
      </c>
      <c r="M42" s="8">
        <v>2</v>
      </c>
      <c r="N42" s="10">
        <v>4000</v>
      </c>
      <c r="O42" s="8" t="str">
        <f>IF(P42="","",VLOOKUP(P42,引用表合并!$A:$B,2,FALSE))</f>
        <v/>
      </c>
      <c r="P42" s="8"/>
      <c r="Q42" s="8"/>
      <c r="S42" s="8" t="str">
        <f>IF(T42="","",VLOOKUP(T42,引用表合并!$A:$B,2,FALSE))</f>
        <v/>
      </c>
      <c r="T42" s="8"/>
      <c r="U42" s="8"/>
      <c r="W42" s="8" t="str">
        <f>IF(X42="","",VLOOKUP(X42,引用表合并!$A:$B,2,FALSE))</f>
        <v/>
      </c>
      <c r="X42" s="8"/>
      <c r="Y42" s="8"/>
      <c r="AA42" s="8" t="str">
        <f>IF(AB42="","",VLOOKUP(AB42,引用表合并!$A:$B,2,FALSE))</f>
        <v/>
      </c>
      <c r="AB42" s="8"/>
      <c r="AC42" s="8"/>
      <c r="AE42" s="8" t="str">
        <f>IF(AF42="","",VLOOKUP(AF42,引用表合并!$A:$B,2,FALSE))</f>
        <v/>
      </c>
      <c r="AF42" s="8"/>
      <c r="AG42" s="8"/>
      <c r="AI42" s="8" t="str">
        <f>IF(AJ42="","",VLOOKUP(AJ42,引用表合并!$A:$B,2,FALSE))</f>
        <v/>
      </c>
      <c r="AJ42" s="8"/>
      <c r="AK42" s="8"/>
      <c r="AM42" s="8" t="str">
        <f>IF(AN42="","",VLOOKUP(AN42,引用表合并!$A:$B,2,FALSE))</f>
        <v/>
      </c>
      <c r="AN42" s="8"/>
      <c r="AO42" s="8"/>
      <c r="AQ42" s="8" t="str">
        <f>IF(AR42="","",VLOOKUP(AR42,引用表合并!$A:$B,2,FALSE))</f>
        <v/>
      </c>
      <c r="AR42" s="8"/>
      <c r="AS42" s="8"/>
      <c r="AU42" s="8" t="str">
        <f>IF(AV42="","",VLOOKUP(AV42,引用表合并!$A:$B,2,FALSE))</f>
        <v/>
      </c>
      <c r="AV42" s="8"/>
      <c r="AW42" s="8"/>
      <c r="AY42" s="8" t="str">
        <f>IF(AZ42="","",VLOOKUP(AZ42,引用表合并!$A:$B,2,FALSE))</f>
        <v/>
      </c>
      <c r="AZ42" s="8"/>
      <c r="BA42" s="8"/>
      <c r="BC42" s="8" t="str">
        <f>IF(BD42="","",VLOOKUP(BD42,引用表合并!$A:$B,2,FALSE))</f>
        <v/>
      </c>
      <c r="BD42" s="8"/>
      <c r="BF42" s="10"/>
      <c r="BG42" s="8" t="str">
        <f>IF(BH42="","",VLOOKUP(BH42,引用表合并!$A:$B,2,FALSE))</f>
        <v/>
      </c>
      <c r="BH42" s="8"/>
      <c r="BJ42" s="10"/>
      <c r="BK42" s="8" t="str">
        <f>IF(BL42="","",VLOOKUP(BL42,引用表合并!$A:$B,2,FALSE))</f>
        <v/>
      </c>
      <c r="BL42" s="8"/>
      <c r="BN42" s="10"/>
    </row>
    <row r="43" spans="1:66" x14ac:dyDescent="0.15">
      <c r="A43" s="8">
        <v>5004</v>
      </c>
      <c r="B43" s="8" t="str">
        <f>"地图:"&amp;VLOOKUP(A43,[1]地图配置辅助表!$A$3:$E$229,4,FALSE)</f>
        <v>地图:冲突升级</v>
      </c>
      <c r="C43" s="8">
        <v>0</v>
      </c>
      <c r="D43" s="8">
        <f t="shared" si="4"/>
        <v>2</v>
      </c>
      <c r="E43" s="16">
        <f t="shared" si="0"/>
        <v>2</v>
      </c>
      <c r="F43" s="16">
        <v>1</v>
      </c>
      <c r="G43" s="8" t="str">
        <f>IF(H43="","",VLOOKUP(H43,引用表合并!$A:$B,2,FALSE))</f>
        <v>高级装备升级石</v>
      </c>
      <c r="H43" s="8">
        <v>85200</v>
      </c>
      <c r="I43" s="8">
        <v>1</v>
      </c>
      <c r="J43" s="10">
        <v>3500</v>
      </c>
      <c r="K43" s="8" t="str">
        <f>IF(L43="","",VLOOKUP(L43,引用表合并!$A:$B,2,FALSE))</f>
        <v>部位材料(武器)</v>
      </c>
      <c r="L43" s="8">
        <v>70010</v>
      </c>
      <c r="M43" s="8">
        <v>2</v>
      </c>
      <c r="N43" s="10">
        <v>4000</v>
      </c>
      <c r="O43" s="8" t="str">
        <f>IF(P43="","",VLOOKUP(P43,引用表合并!$A:$B,2,FALSE))</f>
        <v/>
      </c>
      <c r="P43" s="8"/>
      <c r="Q43" s="8"/>
      <c r="S43" s="8" t="str">
        <f>IF(T43="","",VLOOKUP(T43,引用表合并!$A:$B,2,FALSE))</f>
        <v/>
      </c>
      <c r="T43" s="8"/>
      <c r="U43" s="8"/>
      <c r="W43" s="8" t="str">
        <f>IF(X43="","",VLOOKUP(X43,引用表合并!$A:$B,2,FALSE))</f>
        <v/>
      </c>
      <c r="X43" s="8"/>
      <c r="Y43" s="8"/>
      <c r="AA43" s="8" t="str">
        <f>IF(AB43="","",VLOOKUP(AB43,引用表合并!$A:$B,2,FALSE))</f>
        <v/>
      </c>
      <c r="AB43" s="8"/>
      <c r="AC43" s="8"/>
      <c r="AE43" s="8" t="str">
        <f>IF(AF43="","",VLOOKUP(AF43,引用表合并!$A:$B,2,FALSE))</f>
        <v/>
      </c>
      <c r="AF43" s="8"/>
      <c r="AG43" s="8"/>
      <c r="AI43" s="8" t="str">
        <f>IF(AJ43="","",VLOOKUP(AJ43,引用表合并!$A:$B,2,FALSE))</f>
        <v/>
      </c>
      <c r="AJ43" s="8"/>
      <c r="AK43" s="8"/>
      <c r="AM43" s="8" t="str">
        <f>IF(AN43="","",VLOOKUP(AN43,引用表合并!$A:$B,2,FALSE))</f>
        <v/>
      </c>
      <c r="AN43" s="8"/>
      <c r="AO43" s="8"/>
      <c r="AQ43" s="8" t="str">
        <f>IF(AR43="","",VLOOKUP(AR43,引用表合并!$A:$B,2,FALSE))</f>
        <v/>
      </c>
      <c r="AR43" s="8"/>
      <c r="AS43" s="8"/>
      <c r="AU43" s="8" t="str">
        <f>IF(AV43="","",VLOOKUP(AV43,引用表合并!$A:$B,2,FALSE))</f>
        <v/>
      </c>
      <c r="AV43" s="8"/>
      <c r="AW43" s="8"/>
      <c r="AY43" s="8" t="str">
        <f>IF(AZ43="","",VLOOKUP(AZ43,引用表合并!$A:$B,2,FALSE))</f>
        <v/>
      </c>
      <c r="AZ43" s="8"/>
      <c r="BA43" s="8"/>
      <c r="BC43" s="8" t="str">
        <f>IF(BD43="","",VLOOKUP(BD43,引用表合并!$A:$B,2,FALSE))</f>
        <v/>
      </c>
      <c r="BD43" s="8"/>
      <c r="BF43" s="10"/>
      <c r="BG43" s="8" t="str">
        <f>IF(BH43="","",VLOOKUP(BH43,引用表合并!$A:$B,2,FALSE))</f>
        <v/>
      </c>
      <c r="BH43" s="8"/>
      <c r="BJ43" s="10"/>
      <c r="BK43" s="8" t="str">
        <f>IF(BL43="","",VLOOKUP(BL43,引用表合并!$A:$B,2,FALSE))</f>
        <v/>
      </c>
      <c r="BL43" s="8"/>
      <c r="BN43" s="10"/>
    </row>
    <row r="44" spans="1:66" x14ac:dyDescent="0.15">
      <c r="A44" s="8">
        <v>5005</v>
      </c>
      <c r="B44" s="8" t="str">
        <f>"地图:"&amp;VLOOKUP(A44,[1]地图配置辅助表!$A$3:$E$229,4,FALSE)</f>
        <v>地图:缉拿长毛</v>
      </c>
      <c r="C44" s="8">
        <v>0</v>
      </c>
      <c r="D44" s="8">
        <f t="shared" si="4"/>
        <v>2</v>
      </c>
      <c r="E44" s="16">
        <f t="shared" si="0"/>
        <v>2</v>
      </c>
      <c r="F44" s="16">
        <v>1</v>
      </c>
      <c r="G44" s="8" t="str">
        <f>IF(H44="","",VLOOKUP(H44,引用表合并!$A:$B,2,FALSE))</f>
        <v>高级装备升级石</v>
      </c>
      <c r="H44" s="8">
        <v>85200</v>
      </c>
      <c r="I44" s="8">
        <v>1</v>
      </c>
      <c r="J44" s="10">
        <v>3500</v>
      </c>
      <c r="K44" s="8" t="str">
        <f>IF(L44="","",VLOOKUP(L44,引用表合并!$A:$B,2,FALSE))</f>
        <v>部位材料(项链)</v>
      </c>
      <c r="L44" s="8">
        <v>73010</v>
      </c>
      <c r="M44" s="8">
        <v>2</v>
      </c>
      <c r="N44" s="10">
        <v>4000</v>
      </c>
      <c r="O44" s="8" t="str">
        <f>IF(P44="","",VLOOKUP(P44,引用表合并!$A:$B,2,FALSE))</f>
        <v/>
      </c>
      <c r="P44" s="8"/>
      <c r="Q44" s="8"/>
      <c r="S44" s="8" t="str">
        <f>IF(T44="","",VLOOKUP(T44,引用表合并!$A:$B,2,FALSE))</f>
        <v/>
      </c>
      <c r="T44" s="8"/>
      <c r="U44" s="8"/>
      <c r="W44" s="8" t="str">
        <f>IF(X44="","",VLOOKUP(X44,引用表合并!$A:$B,2,FALSE))</f>
        <v/>
      </c>
      <c r="X44" s="8"/>
      <c r="Y44" s="8"/>
      <c r="AA44" s="8" t="str">
        <f>IF(AB44="","",VLOOKUP(AB44,引用表合并!$A:$B,2,FALSE))</f>
        <v/>
      </c>
      <c r="AB44" s="8"/>
      <c r="AC44" s="8"/>
      <c r="AE44" s="8" t="str">
        <f>IF(AF44="","",VLOOKUP(AF44,引用表合并!$A:$B,2,FALSE))</f>
        <v/>
      </c>
      <c r="AF44" s="8"/>
      <c r="AG44" s="8"/>
      <c r="AI44" s="8" t="str">
        <f>IF(AJ44="","",VLOOKUP(AJ44,引用表合并!$A:$B,2,FALSE))</f>
        <v/>
      </c>
      <c r="AJ44" s="8"/>
      <c r="AK44" s="8"/>
      <c r="AM44" s="8" t="str">
        <f>IF(AN44="","",VLOOKUP(AN44,引用表合并!$A:$B,2,FALSE))</f>
        <v/>
      </c>
      <c r="AN44" s="8"/>
      <c r="AO44" s="8"/>
      <c r="AQ44" s="8" t="str">
        <f>IF(AR44="","",VLOOKUP(AR44,引用表合并!$A:$B,2,FALSE))</f>
        <v/>
      </c>
      <c r="AR44" s="8"/>
      <c r="AS44" s="8"/>
      <c r="AU44" s="8" t="str">
        <f>IF(AV44="","",VLOOKUP(AV44,引用表合并!$A:$B,2,FALSE))</f>
        <v/>
      </c>
      <c r="AV44" s="8"/>
      <c r="AW44" s="8"/>
      <c r="AY44" s="8" t="str">
        <f>IF(AZ44="","",VLOOKUP(AZ44,引用表合并!$A:$B,2,FALSE))</f>
        <v/>
      </c>
      <c r="AZ44" s="8"/>
      <c r="BA44" s="8"/>
      <c r="BC44" s="8" t="str">
        <f>IF(BD44="","",VLOOKUP(BD44,引用表合并!$A:$B,2,FALSE))</f>
        <v/>
      </c>
      <c r="BD44" s="8"/>
      <c r="BF44" s="10"/>
      <c r="BG44" s="8" t="str">
        <f>IF(BH44="","",VLOOKUP(BH44,引用表合并!$A:$B,2,FALSE))</f>
        <v/>
      </c>
      <c r="BH44" s="8"/>
      <c r="BJ44" s="10"/>
      <c r="BK44" s="8" t="str">
        <f>IF(BL44="","",VLOOKUP(BL44,引用表合并!$A:$B,2,FALSE))</f>
        <v/>
      </c>
      <c r="BL44" s="8"/>
      <c r="BN44" s="10"/>
    </row>
    <row r="45" spans="1:66" x14ac:dyDescent="0.15">
      <c r="A45" s="8">
        <v>5006</v>
      </c>
      <c r="B45" s="8" t="str">
        <f>"地图:"&amp;VLOOKUP(A45,[1]地图配置辅助表!$A$3:$E$229,4,FALSE)</f>
        <v>地图:备战拳赛</v>
      </c>
      <c r="C45" s="8">
        <v>0</v>
      </c>
      <c r="D45" s="8">
        <f t="shared" si="4"/>
        <v>2</v>
      </c>
      <c r="E45" s="16">
        <f t="shared" si="0"/>
        <v>2</v>
      </c>
      <c r="F45" s="16">
        <v>1</v>
      </c>
      <c r="G45" s="8" t="str">
        <f>IF(H45="","",VLOOKUP(H45,引用表合并!$A:$B,2,FALSE))</f>
        <v>高级装备升级石</v>
      </c>
      <c r="H45" s="8">
        <v>85200</v>
      </c>
      <c r="I45" s="8">
        <v>1</v>
      </c>
      <c r="J45" s="10">
        <v>3500</v>
      </c>
      <c r="K45" s="8" t="str">
        <f>IF(L45="","",VLOOKUP(L45,引用表合并!$A:$B,2,FALSE))</f>
        <v>部位材料(裤子)</v>
      </c>
      <c r="L45" s="8">
        <v>72010</v>
      </c>
      <c r="M45" s="8">
        <v>2</v>
      </c>
      <c r="N45" s="10">
        <v>4000</v>
      </c>
      <c r="O45" s="8" t="str">
        <f>IF(P45="","",VLOOKUP(P45,引用表合并!$A:$B,2,FALSE))</f>
        <v/>
      </c>
      <c r="P45" s="8"/>
      <c r="Q45" s="8"/>
      <c r="S45" s="8" t="str">
        <f>IF(T45="","",VLOOKUP(T45,引用表合并!$A:$B,2,FALSE))</f>
        <v/>
      </c>
      <c r="T45" s="8"/>
      <c r="U45" s="8"/>
      <c r="W45" s="8" t="str">
        <f>IF(X45="","",VLOOKUP(X45,引用表合并!$A:$B,2,FALSE))</f>
        <v/>
      </c>
      <c r="X45" s="8"/>
      <c r="Y45" s="8"/>
      <c r="AA45" s="8" t="str">
        <f>IF(AB45="","",VLOOKUP(AB45,引用表合并!$A:$B,2,FALSE))</f>
        <v/>
      </c>
      <c r="AB45" s="8"/>
      <c r="AC45" s="8"/>
      <c r="AE45" s="8" t="str">
        <f>IF(AF45="","",VLOOKUP(AF45,引用表合并!$A:$B,2,FALSE))</f>
        <v/>
      </c>
      <c r="AF45" s="8"/>
      <c r="AG45" s="8"/>
      <c r="AI45" s="8" t="str">
        <f>IF(AJ45="","",VLOOKUP(AJ45,引用表合并!$A:$B,2,FALSE))</f>
        <v/>
      </c>
      <c r="AJ45" s="8"/>
      <c r="AK45" s="8"/>
      <c r="AM45" s="8" t="str">
        <f>IF(AN45="","",VLOOKUP(AN45,引用表合并!$A:$B,2,FALSE))</f>
        <v/>
      </c>
      <c r="AN45" s="8"/>
      <c r="AO45" s="8"/>
      <c r="AQ45" s="8" t="str">
        <f>IF(AR45="","",VLOOKUP(AR45,引用表合并!$A:$B,2,FALSE))</f>
        <v/>
      </c>
      <c r="AR45" s="8"/>
      <c r="AS45" s="8"/>
      <c r="AU45" s="8" t="str">
        <f>IF(AV45="","",VLOOKUP(AV45,引用表合并!$A:$B,2,FALSE))</f>
        <v/>
      </c>
      <c r="AV45" s="8"/>
      <c r="AW45" s="8"/>
      <c r="AY45" s="8" t="str">
        <f>IF(AZ45="","",VLOOKUP(AZ45,引用表合并!$A:$B,2,FALSE))</f>
        <v/>
      </c>
      <c r="AZ45" s="8"/>
      <c r="BA45" s="8"/>
      <c r="BC45" s="8" t="str">
        <f>IF(BD45="","",VLOOKUP(BD45,引用表合并!$A:$B,2,FALSE))</f>
        <v/>
      </c>
      <c r="BD45" s="8"/>
      <c r="BF45" s="10"/>
      <c r="BG45" s="8" t="str">
        <f>IF(BH45="","",VLOOKUP(BH45,引用表合并!$A:$B,2,FALSE))</f>
        <v/>
      </c>
      <c r="BH45" s="8"/>
      <c r="BJ45" s="10"/>
      <c r="BK45" s="8" t="str">
        <f>IF(BL45="","",VLOOKUP(BL45,引用表合并!$A:$B,2,FALSE))</f>
        <v/>
      </c>
      <c r="BL45" s="8"/>
      <c r="BN45" s="10"/>
    </row>
    <row r="46" spans="1:66" x14ac:dyDescent="0.15">
      <c r="A46" s="8">
        <v>5007</v>
      </c>
      <c r="B46" s="8" t="str">
        <f>"地图:"&amp;VLOOKUP(A46,[1]地图配置辅助表!$A$3:$E$229,4,FALSE)</f>
        <v>地图:金牌打手</v>
      </c>
      <c r="C46" s="8">
        <v>0</v>
      </c>
      <c r="D46" s="8">
        <f t="shared" ref="D46:D48" si="8">E46</f>
        <v>2</v>
      </c>
      <c r="E46" s="16">
        <f t="shared" si="0"/>
        <v>2</v>
      </c>
      <c r="F46" s="16">
        <v>1</v>
      </c>
      <c r="G46" s="8" t="str">
        <f>IF(H46="","",VLOOKUP(H46,引用表合并!$A:$B,2,FALSE))</f>
        <v>高级装备升级石</v>
      </c>
      <c r="H46" s="8">
        <v>85200</v>
      </c>
      <c r="I46" s="8">
        <v>1</v>
      </c>
      <c r="J46" s="10">
        <v>3500</v>
      </c>
      <c r="K46" s="8" t="str">
        <f>IF(L46="","",VLOOKUP(L46,引用表合并!$A:$B,2,FALSE))</f>
        <v>部位材料(鞋子)</v>
      </c>
      <c r="L46" s="8">
        <v>75010</v>
      </c>
      <c r="M46" s="8">
        <v>2</v>
      </c>
      <c r="N46" s="10">
        <v>4000</v>
      </c>
      <c r="O46" s="8" t="str">
        <f>IF(P46="","",VLOOKUP(P46,引用表合并!$A:$B,2,FALSE))</f>
        <v/>
      </c>
      <c r="P46" s="8"/>
      <c r="Q46" s="8"/>
      <c r="S46" s="8" t="str">
        <f>IF(T46="","",VLOOKUP(T46,引用表合并!$A:$B,2,FALSE))</f>
        <v/>
      </c>
      <c r="T46" s="8"/>
      <c r="U46" s="8"/>
      <c r="W46" s="8" t="str">
        <f>IF(X46="","",VLOOKUP(X46,引用表合并!$A:$B,2,FALSE))</f>
        <v/>
      </c>
      <c r="X46" s="8"/>
      <c r="Y46" s="8"/>
      <c r="AA46" s="8" t="str">
        <f>IF(AB46="","",VLOOKUP(AB46,引用表合并!$A:$B,2,FALSE))</f>
        <v/>
      </c>
      <c r="AB46" s="8"/>
      <c r="AC46" s="8"/>
      <c r="AE46" s="8" t="str">
        <f>IF(AF46="","",VLOOKUP(AF46,引用表合并!$A:$B,2,FALSE))</f>
        <v/>
      </c>
      <c r="AF46" s="8"/>
      <c r="AG46" s="8"/>
      <c r="AI46" s="8" t="str">
        <f>IF(AJ46="","",VLOOKUP(AJ46,引用表合并!$A:$B,2,FALSE))</f>
        <v/>
      </c>
      <c r="AJ46" s="8"/>
      <c r="AK46" s="8"/>
      <c r="AM46" s="8" t="str">
        <f>IF(AN46="","",VLOOKUP(AN46,引用表合并!$A:$B,2,FALSE))</f>
        <v/>
      </c>
      <c r="AN46" s="8"/>
      <c r="AO46" s="8"/>
      <c r="AQ46" s="8" t="str">
        <f>IF(AR46="","",VLOOKUP(AR46,引用表合并!$A:$B,2,FALSE))</f>
        <v/>
      </c>
      <c r="AR46" s="8"/>
      <c r="AS46" s="8"/>
      <c r="AU46" s="8" t="str">
        <f>IF(AV46="","",VLOOKUP(AV46,引用表合并!$A:$B,2,FALSE))</f>
        <v/>
      </c>
      <c r="AV46" s="8"/>
      <c r="AW46" s="8"/>
      <c r="AY46" s="8" t="str">
        <f>IF(AZ46="","",VLOOKUP(AZ46,引用表合并!$A:$B,2,FALSE))</f>
        <v/>
      </c>
      <c r="AZ46" s="8"/>
      <c r="BA46" s="8"/>
      <c r="BC46" s="8" t="str">
        <f>IF(BD46="","",VLOOKUP(BD46,引用表合并!$A:$B,2,FALSE))</f>
        <v/>
      </c>
      <c r="BD46" s="8"/>
      <c r="BF46" s="10"/>
      <c r="BG46" s="8" t="str">
        <f>IF(BH46="","",VLOOKUP(BH46,引用表合并!$A:$B,2,FALSE))</f>
        <v/>
      </c>
      <c r="BH46" s="8"/>
      <c r="BJ46" s="10"/>
      <c r="BK46" s="8" t="str">
        <f>IF(BL46="","",VLOOKUP(BL46,引用表合并!$A:$B,2,FALSE))</f>
        <v/>
      </c>
      <c r="BL46" s="8"/>
      <c r="BN46" s="10"/>
    </row>
    <row r="47" spans="1:66" x14ac:dyDescent="0.15">
      <c r="A47" s="8">
        <v>5008</v>
      </c>
      <c r="B47" s="8" t="str">
        <f>"地图:"&amp;VLOOKUP(A47,[1]地图配置辅助表!$A$3:$E$229,4,FALSE)</f>
        <v>地图:螳臂当车</v>
      </c>
      <c r="C47" s="8">
        <v>0</v>
      </c>
      <c r="D47" s="8">
        <f t="shared" si="8"/>
        <v>2</v>
      </c>
      <c r="E47" s="16">
        <f t="shared" si="0"/>
        <v>2</v>
      </c>
      <c r="F47" s="16">
        <v>1</v>
      </c>
      <c r="G47" s="8" t="str">
        <f>IF(H47="","",VLOOKUP(H47,引用表合并!$A:$B,2,FALSE))</f>
        <v>高级装备升级石</v>
      </c>
      <c r="H47" s="8">
        <v>85200</v>
      </c>
      <c r="I47" s="8">
        <v>1</v>
      </c>
      <c r="J47" s="10">
        <v>3500</v>
      </c>
      <c r="K47" s="8" t="str">
        <f>IF(L47="","",VLOOKUP(L47,引用表合并!$A:$B,2,FALSE))</f>
        <v>部位材料(腰带)</v>
      </c>
      <c r="L47" s="8">
        <v>74010</v>
      </c>
      <c r="M47" s="8">
        <v>2</v>
      </c>
      <c r="N47" s="10">
        <v>4000</v>
      </c>
      <c r="O47" s="8" t="str">
        <f>IF(P47="","",VLOOKUP(P47,引用表合并!$A:$B,2,FALSE))</f>
        <v/>
      </c>
      <c r="P47" s="8"/>
      <c r="Q47" s="8"/>
      <c r="S47" s="8" t="str">
        <f>IF(T47="","",VLOOKUP(T47,引用表合并!$A:$B,2,FALSE))</f>
        <v/>
      </c>
      <c r="T47" s="8"/>
      <c r="U47" s="8"/>
      <c r="W47" s="8" t="str">
        <f>IF(X47="","",VLOOKUP(X47,引用表合并!$A:$B,2,FALSE))</f>
        <v/>
      </c>
      <c r="X47" s="8"/>
      <c r="Y47" s="8"/>
      <c r="AA47" s="8" t="str">
        <f>IF(AB47="","",VLOOKUP(AB47,引用表合并!$A:$B,2,FALSE))</f>
        <v/>
      </c>
      <c r="AB47" s="8"/>
      <c r="AC47" s="8"/>
      <c r="AE47" s="8" t="str">
        <f>IF(AF47="","",VLOOKUP(AF47,引用表合并!$A:$B,2,FALSE))</f>
        <v/>
      </c>
      <c r="AF47" s="8"/>
      <c r="AG47" s="8"/>
      <c r="AI47" s="8" t="str">
        <f>IF(AJ47="","",VLOOKUP(AJ47,引用表合并!$A:$B,2,FALSE))</f>
        <v/>
      </c>
      <c r="AJ47" s="8"/>
      <c r="AK47" s="8"/>
      <c r="AM47" s="8" t="str">
        <f>IF(AN47="","",VLOOKUP(AN47,引用表合并!$A:$B,2,FALSE))</f>
        <v/>
      </c>
      <c r="AN47" s="8"/>
      <c r="AO47" s="8"/>
      <c r="AQ47" s="8" t="str">
        <f>IF(AR47="","",VLOOKUP(AR47,引用表合并!$A:$B,2,FALSE))</f>
        <v/>
      </c>
      <c r="AR47" s="8"/>
      <c r="AS47" s="8"/>
      <c r="AU47" s="8" t="str">
        <f>IF(AV47="","",VLOOKUP(AV47,引用表合并!$A:$B,2,FALSE))</f>
        <v/>
      </c>
      <c r="AV47" s="8"/>
      <c r="AW47" s="8"/>
      <c r="AY47" s="8" t="str">
        <f>IF(AZ47="","",VLOOKUP(AZ47,引用表合并!$A:$B,2,FALSE))</f>
        <v/>
      </c>
      <c r="AZ47" s="8"/>
      <c r="BA47" s="8"/>
      <c r="BC47" s="8" t="str">
        <f>IF(BD47="","",VLOOKUP(BD47,引用表合并!$A:$B,2,FALSE))</f>
        <v/>
      </c>
      <c r="BD47" s="8"/>
      <c r="BF47" s="10"/>
      <c r="BG47" s="8" t="str">
        <f>IF(BH47="","",VLOOKUP(BH47,引用表合并!$A:$B,2,FALSE))</f>
        <v/>
      </c>
      <c r="BH47" s="8"/>
      <c r="BJ47" s="10"/>
      <c r="BK47" s="8" t="str">
        <f>IF(BL47="","",VLOOKUP(BL47,引用表合并!$A:$B,2,FALSE))</f>
        <v/>
      </c>
      <c r="BL47" s="8"/>
      <c r="BN47" s="10"/>
    </row>
    <row r="48" spans="1:66" x14ac:dyDescent="0.15">
      <c r="A48" s="8">
        <v>5009</v>
      </c>
      <c r="B48" s="8" t="str">
        <f>"地图:"&amp;VLOOKUP(A48,[1]地图配置辅助表!$A$3:$E$229,4,FALSE)</f>
        <v>地图:龙争虎斗</v>
      </c>
      <c r="C48" s="8">
        <v>0</v>
      </c>
      <c r="D48" s="8">
        <f t="shared" si="8"/>
        <v>2</v>
      </c>
      <c r="E48" s="16">
        <f t="shared" si="0"/>
        <v>2</v>
      </c>
      <c r="F48" s="16">
        <v>1</v>
      </c>
      <c r="G48" s="8" t="str">
        <f>IF(H48="","",VLOOKUP(H48,引用表合并!$A:$B,2,FALSE))</f>
        <v>高级装备升级石</v>
      </c>
      <c r="H48" s="8">
        <v>85200</v>
      </c>
      <c r="I48" s="8">
        <v>1</v>
      </c>
      <c r="J48" s="10">
        <v>3500</v>
      </c>
      <c r="K48" s="8" t="str">
        <f>IF(L48="","",VLOOKUP(L48,引用表合并!$A:$B,2,FALSE))</f>
        <v>部位材料(衣服)</v>
      </c>
      <c r="L48" s="8">
        <v>71010</v>
      </c>
      <c r="M48" s="8">
        <v>2</v>
      </c>
      <c r="N48" s="10">
        <v>4000</v>
      </c>
      <c r="O48" s="8" t="str">
        <f>IF(P48="","",VLOOKUP(P48,引用表合并!$A:$B,2,FALSE))</f>
        <v/>
      </c>
      <c r="P48" s="8"/>
      <c r="Q48" s="8"/>
      <c r="S48" s="8" t="str">
        <f>IF(T48="","",VLOOKUP(T48,引用表合并!$A:$B,2,FALSE))</f>
        <v/>
      </c>
      <c r="T48" s="8"/>
      <c r="U48" s="8"/>
      <c r="W48" s="8" t="str">
        <f>IF(X48="","",VLOOKUP(X48,引用表合并!$A:$B,2,FALSE))</f>
        <v/>
      </c>
      <c r="X48" s="8"/>
      <c r="Y48" s="8"/>
      <c r="AA48" s="8" t="str">
        <f>IF(AB48="","",VLOOKUP(AB48,引用表合并!$A:$B,2,FALSE))</f>
        <v/>
      </c>
      <c r="AB48" s="8"/>
      <c r="AC48" s="8"/>
      <c r="AE48" s="8" t="str">
        <f>IF(AF48="","",VLOOKUP(AF48,引用表合并!$A:$B,2,FALSE))</f>
        <v/>
      </c>
      <c r="AF48" s="8"/>
      <c r="AG48" s="8"/>
      <c r="AI48" s="8" t="str">
        <f>IF(AJ48="","",VLOOKUP(AJ48,引用表合并!$A:$B,2,FALSE))</f>
        <v/>
      </c>
      <c r="AJ48" s="8"/>
      <c r="AK48" s="8"/>
      <c r="AM48" s="8" t="str">
        <f>IF(AN48="","",VLOOKUP(AN48,引用表合并!$A:$B,2,FALSE))</f>
        <v/>
      </c>
      <c r="AN48" s="8"/>
      <c r="AO48" s="8"/>
      <c r="AQ48" s="8" t="str">
        <f>IF(AR48="","",VLOOKUP(AR48,引用表合并!$A:$B,2,FALSE))</f>
        <v/>
      </c>
      <c r="AR48" s="8"/>
      <c r="AS48" s="8"/>
      <c r="AU48" s="8" t="str">
        <f>IF(AV48="","",VLOOKUP(AV48,引用表合并!$A:$B,2,FALSE))</f>
        <v/>
      </c>
      <c r="AV48" s="8"/>
      <c r="AW48" s="8"/>
      <c r="AY48" s="8" t="str">
        <f>IF(AZ48="","",VLOOKUP(AZ48,引用表合并!$A:$B,2,FALSE))</f>
        <v/>
      </c>
      <c r="AZ48" s="8"/>
      <c r="BA48" s="8"/>
      <c r="BC48" s="8" t="str">
        <f>IF(BD48="","",VLOOKUP(BD48,引用表合并!$A:$B,2,FALSE))</f>
        <v/>
      </c>
      <c r="BD48" s="8"/>
      <c r="BF48" s="10"/>
      <c r="BG48" s="8" t="str">
        <f>IF(BH48="","",VLOOKUP(BH48,引用表合并!$A:$B,2,FALSE))</f>
        <v/>
      </c>
      <c r="BH48" s="8"/>
      <c r="BJ48" s="10"/>
      <c r="BK48" s="8" t="str">
        <f>IF(BL48="","",VLOOKUP(BL48,引用表合并!$A:$B,2,FALSE))</f>
        <v/>
      </c>
      <c r="BL48" s="8"/>
      <c r="BN48" s="10"/>
    </row>
    <row r="49" spans="1:66" x14ac:dyDescent="0.15">
      <c r="A49" s="8">
        <v>6001</v>
      </c>
      <c r="B49" s="8" t="str">
        <f>"地图:"&amp;VLOOKUP(A49,[1]地图配置辅助表!$A$3:$E$229,4,FALSE)</f>
        <v>地图:婚礼遭袭</v>
      </c>
      <c r="C49" s="8">
        <v>0</v>
      </c>
      <c r="D49" s="8">
        <f t="shared" si="4"/>
        <v>2</v>
      </c>
      <c r="E49" s="16">
        <f t="shared" si="0"/>
        <v>2</v>
      </c>
      <c r="F49" s="16">
        <v>1</v>
      </c>
      <c r="G49" s="8" t="str">
        <f>IF(H49="","",VLOOKUP(H49,引用表合并!$A:$B,2,FALSE))</f>
        <v>高级装备升级石</v>
      </c>
      <c r="H49" s="8">
        <v>85200</v>
      </c>
      <c r="I49" s="8">
        <v>1</v>
      </c>
      <c r="J49" s="10">
        <v>4000</v>
      </c>
      <c r="K49" s="8" t="str">
        <f>IF(L49="","",VLOOKUP(L49,引用表合并!$A:$B,2,FALSE))</f>
        <v>部位材料(武器)</v>
      </c>
      <c r="L49" s="8">
        <v>70010</v>
      </c>
      <c r="M49" s="8">
        <v>2</v>
      </c>
      <c r="N49" s="10">
        <v>5000</v>
      </c>
      <c r="O49" s="8" t="str">
        <f>IF(P49="","",VLOOKUP(P49,引用表合并!$A:$B,2,FALSE))</f>
        <v/>
      </c>
      <c r="P49" s="8"/>
      <c r="Q49" s="8"/>
      <c r="S49" s="8" t="str">
        <f>IF(T49="","",VLOOKUP(T49,引用表合并!$A:$B,2,FALSE))</f>
        <v/>
      </c>
      <c r="T49" s="8"/>
      <c r="U49" s="8"/>
      <c r="W49" s="8" t="str">
        <f>IF(X49="","",VLOOKUP(X49,引用表合并!$A:$B,2,FALSE))</f>
        <v/>
      </c>
      <c r="X49" s="8"/>
      <c r="Y49" s="8"/>
      <c r="AA49" s="8" t="str">
        <f>IF(AB49="","",VLOOKUP(AB49,引用表合并!$A:$B,2,FALSE))</f>
        <v/>
      </c>
      <c r="AB49" s="8"/>
      <c r="AC49" s="8"/>
      <c r="AE49" s="8" t="str">
        <f>IF(AF49="","",VLOOKUP(AF49,引用表合并!$A:$B,2,FALSE))</f>
        <v/>
      </c>
      <c r="AF49" s="8"/>
      <c r="AG49" s="8"/>
      <c r="AI49" s="8" t="str">
        <f>IF(AJ49="","",VLOOKUP(AJ49,引用表合并!$A:$B,2,FALSE))</f>
        <v/>
      </c>
      <c r="AJ49" s="8"/>
      <c r="AK49" s="8"/>
      <c r="AM49" s="8" t="str">
        <f>IF(AN49="","",VLOOKUP(AN49,引用表合并!$A:$B,2,FALSE))</f>
        <v/>
      </c>
      <c r="AN49" s="8"/>
      <c r="AO49" s="8"/>
      <c r="AQ49" s="8" t="str">
        <f>IF(AR49="","",VLOOKUP(AR49,引用表合并!$A:$B,2,FALSE))</f>
        <v/>
      </c>
      <c r="AR49" s="8"/>
      <c r="AS49" s="8"/>
      <c r="AU49" s="8" t="str">
        <f>IF(AV49="","",VLOOKUP(AV49,引用表合并!$A:$B,2,FALSE))</f>
        <v/>
      </c>
      <c r="AV49" s="8"/>
      <c r="AW49" s="8"/>
      <c r="AY49" s="8" t="str">
        <f>IF(AZ49="","",VLOOKUP(AZ49,引用表合并!$A:$B,2,FALSE))</f>
        <v/>
      </c>
      <c r="AZ49" s="8"/>
      <c r="BA49" s="8"/>
      <c r="BC49" s="8" t="str">
        <f>IF(BD49="","",VLOOKUP(BD49,引用表合并!$A:$B,2,FALSE))</f>
        <v/>
      </c>
      <c r="BD49" s="8"/>
      <c r="BF49" s="10"/>
      <c r="BG49" s="8" t="str">
        <f>IF(BH49="","",VLOOKUP(BH49,引用表合并!$A:$B,2,FALSE))</f>
        <v/>
      </c>
      <c r="BH49" s="8"/>
      <c r="BJ49" s="10"/>
      <c r="BK49" s="8" t="str">
        <f>IF(BL49="","",VLOOKUP(BL49,引用表合并!$A:$B,2,FALSE))</f>
        <v/>
      </c>
      <c r="BL49" s="8"/>
      <c r="BN49" s="10"/>
    </row>
    <row r="50" spans="1:66" x14ac:dyDescent="0.15">
      <c r="A50" s="8">
        <v>6002</v>
      </c>
      <c r="B50" s="8" t="str">
        <f>"地图:"&amp;VLOOKUP(A50,[1]地图配置辅助表!$A$3:$E$229,4,FALSE)</f>
        <v>地图:纠缠不休</v>
      </c>
      <c r="C50" s="8">
        <v>0</v>
      </c>
      <c r="D50" s="8">
        <f t="shared" si="4"/>
        <v>2</v>
      </c>
      <c r="E50" s="16">
        <f t="shared" si="0"/>
        <v>2</v>
      </c>
      <c r="F50" s="16">
        <v>1</v>
      </c>
      <c r="G50" s="8" t="str">
        <f>IF(H50="","",VLOOKUP(H50,引用表合并!$A:$B,2,FALSE))</f>
        <v>高级装备升级石</v>
      </c>
      <c r="H50" s="8">
        <v>85200</v>
      </c>
      <c r="I50" s="8">
        <v>1</v>
      </c>
      <c r="J50" s="10">
        <v>4000</v>
      </c>
      <c r="K50" s="8" t="str">
        <f>IF(L50="","",VLOOKUP(L50,引用表合并!$A:$B,2,FALSE))</f>
        <v>部位材料(项链)</v>
      </c>
      <c r="L50" s="8">
        <v>73010</v>
      </c>
      <c r="M50" s="8">
        <v>2</v>
      </c>
      <c r="N50" s="10">
        <v>5000</v>
      </c>
      <c r="O50" s="8" t="str">
        <f>IF(P50="","",VLOOKUP(P50,引用表合并!$A:$B,2,FALSE))</f>
        <v/>
      </c>
      <c r="P50" s="8"/>
      <c r="Q50" s="8"/>
      <c r="S50" s="8" t="str">
        <f>IF(T50="","",VLOOKUP(T50,引用表合并!$A:$B,2,FALSE))</f>
        <v/>
      </c>
      <c r="T50" s="8"/>
      <c r="U50" s="8"/>
      <c r="W50" s="8" t="str">
        <f>IF(X50="","",VLOOKUP(X50,引用表合并!$A:$B,2,FALSE))</f>
        <v/>
      </c>
      <c r="X50" s="8"/>
      <c r="Y50" s="8"/>
      <c r="AA50" s="8" t="str">
        <f>IF(AB50="","",VLOOKUP(AB50,引用表合并!$A:$B,2,FALSE))</f>
        <v/>
      </c>
      <c r="AB50" s="8"/>
      <c r="AC50" s="8"/>
      <c r="AE50" s="8" t="str">
        <f>IF(AF50="","",VLOOKUP(AF50,引用表合并!$A:$B,2,FALSE))</f>
        <v/>
      </c>
      <c r="AF50" s="8"/>
      <c r="AG50" s="8"/>
      <c r="AI50" s="8" t="str">
        <f>IF(AJ50="","",VLOOKUP(AJ50,引用表合并!$A:$B,2,FALSE))</f>
        <v/>
      </c>
      <c r="AJ50" s="8"/>
      <c r="AK50" s="8"/>
      <c r="AM50" s="8" t="str">
        <f>IF(AN50="","",VLOOKUP(AN50,引用表合并!$A:$B,2,FALSE))</f>
        <v/>
      </c>
      <c r="AN50" s="8"/>
      <c r="AO50" s="8"/>
      <c r="AQ50" s="8" t="str">
        <f>IF(AR50="","",VLOOKUP(AR50,引用表合并!$A:$B,2,FALSE))</f>
        <v/>
      </c>
      <c r="AR50" s="8"/>
      <c r="AS50" s="8"/>
      <c r="AU50" s="8" t="str">
        <f>IF(AV50="","",VLOOKUP(AV50,引用表合并!$A:$B,2,FALSE))</f>
        <v/>
      </c>
      <c r="AV50" s="8"/>
      <c r="AW50" s="8"/>
      <c r="AY50" s="8" t="str">
        <f>IF(AZ50="","",VLOOKUP(AZ50,引用表合并!$A:$B,2,FALSE))</f>
        <v/>
      </c>
      <c r="AZ50" s="8"/>
      <c r="BA50" s="8"/>
      <c r="BC50" s="8" t="str">
        <f>IF(BD50="","",VLOOKUP(BD50,引用表合并!$A:$B,2,FALSE))</f>
        <v/>
      </c>
      <c r="BD50" s="8"/>
      <c r="BF50" s="10"/>
      <c r="BG50" s="8" t="str">
        <f>IF(BH50="","",VLOOKUP(BH50,引用表合并!$A:$B,2,FALSE))</f>
        <v/>
      </c>
      <c r="BH50" s="8"/>
      <c r="BJ50" s="10"/>
      <c r="BK50" s="8" t="str">
        <f>IF(BL50="","",VLOOKUP(BL50,引用表合并!$A:$B,2,FALSE))</f>
        <v/>
      </c>
      <c r="BL50" s="8"/>
      <c r="BN50" s="10"/>
    </row>
    <row r="51" spans="1:66" x14ac:dyDescent="0.15">
      <c r="A51" s="8">
        <v>6003</v>
      </c>
      <c r="B51" s="8" t="str">
        <f>"地图:"&amp;VLOOKUP(A51,[1]地图配置辅助表!$A$3:$E$229,4,FALSE)</f>
        <v>地图:试炼之战</v>
      </c>
      <c r="C51" s="8">
        <v>0</v>
      </c>
      <c r="D51" s="8">
        <f t="shared" si="4"/>
        <v>2</v>
      </c>
      <c r="E51" s="16">
        <f t="shared" si="0"/>
        <v>2</v>
      </c>
      <c r="F51" s="16">
        <v>1</v>
      </c>
      <c r="G51" s="8" t="str">
        <f>IF(H51="","",VLOOKUP(H51,引用表合并!$A:$B,2,FALSE))</f>
        <v>高级装备升级石</v>
      </c>
      <c r="H51" s="8">
        <v>85200</v>
      </c>
      <c r="I51" s="8">
        <v>1</v>
      </c>
      <c r="J51" s="10">
        <v>4000</v>
      </c>
      <c r="K51" s="8" t="str">
        <f>IF(L51="","",VLOOKUP(L51,引用表合并!$A:$B,2,FALSE))</f>
        <v>部位材料(裤子)</v>
      </c>
      <c r="L51" s="8">
        <v>72010</v>
      </c>
      <c r="M51" s="8">
        <v>2</v>
      </c>
      <c r="N51" s="10">
        <v>5000</v>
      </c>
      <c r="O51" s="8" t="str">
        <f>IF(P51="","",VLOOKUP(P51,引用表合并!$A:$B,2,FALSE))</f>
        <v/>
      </c>
      <c r="P51" s="8"/>
      <c r="Q51" s="8"/>
      <c r="S51" s="8" t="str">
        <f>IF(T51="","",VLOOKUP(T51,引用表合并!$A:$B,2,FALSE))</f>
        <v/>
      </c>
      <c r="T51" s="8"/>
      <c r="U51" s="8"/>
      <c r="W51" s="8" t="str">
        <f>IF(X51="","",VLOOKUP(X51,引用表合并!$A:$B,2,FALSE))</f>
        <v/>
      </c>
      <c r="X51" s="8"/>
      <c r="Y51" s="8"/>
      <c r="AA51" s="8" t="str">
        <f>IF(AB51="","",VLOOKUP(AB51,引用表合并!$A:$B,2,FALSE))</f>
        <v/>
      </c>
      <c r="AB51" s="8"/>
      <c r="AC51" s="8"/>
      <c r="AE51" s="8" t="str">
        <f>IF(AF51="","",VLOOKUP(AF51,引用表合并!$A:$B,2,FALSE))</f>
        <v/>
      </c>
      <c r="AF51" s="8"/>
      <c r="AG51" s="8"/>
      <c r="AI51" s="8" t="str">
        <f>IF(AJ51="","",VLOOKUP(AJ51,引用表合并!$A:$B,2,FALSE))</f>
        <v/>
      </c>
      <c r="AJ51" s="8"/>
      <c r="AK51" s="8"/>
      <c r="AM51" s="8" t="str">
        <f>IF(AN51="","",VLOOKUP(AN51,引用表合并!$A:$B,2,FALSE))</f>
        <v/>
      </c>
      <c r="AN51" s="8"/>
      <c r="AO51" s="8"/>
      <c r="AQ51" s="8" t="str">
        <f>IF(AR51="","",VLOOKUP(AR51,引用表合并!$A:$B,2,FALSE))</f>
        <v/>
      </c>
      <c r="AR51" s="8"/>
      <c r="AS51" s="8"/>
      <c r="AU51" s="8" t="str">
        <f>IF(AV51="","",VLOOKUP(AV51,引用表合并!$A:$B,2,FALSE))</f>
        <v/>
      </c>
      <c r="AV51" s="8"/>
      <c r="AW51" s="8"/>
      <c r="AY51" s="8" t="str">
        <f>IF(AZ51="","",VLOOKUP(AZ51,引用表合并!$A:$B,2,FALSE))</f>
        <v/>
      </c>
      <c r="AZ51" s="8"/>
      <c r="BA51" s="8"/>
      <c r="BC51" s="8" t="str">
        <f>IF(BD51="","",VLOOKUP(BD51,引用表合并!$A:$B,2,FALSE))</f>
        <v/>
      </c>
      <c r="BD51" s="8"/>
      <c r="BF51" s="10"/>
      <c r="BG51" s="8" t="str">
        <f>IF(BH51="","",VLOOKUP(BH51,引用表合并!$A:$B,2,FALSE))</f>
        <v/>
      </c>
      <c r="BH51" s="8"/>
      <c r="BJ51" s="10"/>
      <c r="BK51" s="8" t="str">
        <f>IF(BL51="","",VLOOKUP(BL51,引用表合并!$A:$B,2,FALSE))</f>
        <v/>
      </c>
      <c r="BL51" s="8"/>
      <c r="BN51" s="10"/>
    </row>
    <row r="52" spans="1:66" x14ac:dyDescent="0.15">
      <c r="A52" s="10">
        <v>6004</v>
      </c>
      <c r="B52" s="8" t="str">
        <f>"地图:"&amp;VLOOKUP(A52,[1]地图配置辅助表!$A$3:$E$229,4,FALSE)</f>
        <v>地图:反守为攻</v>
      </c>
      <c r="C52" s="8">
        <v>0</v>
      </c>
      <c r="D52" s="8">
        <f t="shared" si="4"/>
        <v>2</v>
      </c>
      <c r="E52" s="16">
        <f t="shared" si="0"/>
        <v>2</v>
      </c>
      <c r="F52" s="16">
        <v>1</v>
      </c>
      <c r="G52" s="8" t="str">
        <f>IF(H52="","",VLOOKUP(H52,引用表合并!$A:$B,2,FALSE))</f>
        <v>高级装备升级石</v>
      </c>
      <c r="H52" s="8">
        <v>85200</v>
      </c>
      <c r="I52" s="8">
        <v>1</v>
      </c>
      <c r="J52" s="10">
        <v>4000</v>
      </c>
      <c r="K52" s="8" t="str">
        <f>IF(L52="","",VLOOKUP(L52,引用表合并!$A:$B,2,FALSE))</f>
        <v>部位材料(鞋子)</v>
      </c>
      <c r="L52" s="8">
        <v>75010</v>
      </c>
      <c r="M52" s="8">
        <v>2</v>
      </c>
      <c r="N52" s="10">
        <v>5000</v>
      </c>
      <c r="O52" s="8" t="str">
        <f>IF(P52="","",VLOOKUP(P52,引用表合并!$A:$B,2,FALSE))</f>
        <v/>
      </c>
      <c r="P52" s="8"/>
      <c r="Q52" s="8"/>
      <c r="S52" s="8" t="str">
        <f>IF(T52="","",VLOOKUP(T52,引用表合并!$A:$B,2,FALSE))</f>
        <v/>
      </c>
      <c r="T52" s="8"/>
      <c r="U52" s="8"/>
      <c r="W52" s="8" t="str">
        <f>IF(X52="","",VLOOKUP(X52,引用表合并!$A:$B,2,FALSE))</f>
        <v/>
      </c>
      <c r="X52" s="8"/>
      <c r="Y52" s="8"/>
      <c r="AA52" s="8" t="str">
        <f>IF(AB52="","",VLOOKUP(AB52,引用表合并!$A:$B,2,FALSE))</f>
        <v/>
      </c>
      <c r="AB52" s="8"/>
      <c r="AC52" s="8"/>
      <c r="AE52" s="8" t="str">
        <f>IF(AF52="","",VLOOKUP(AF52,引用表合并!$A:$B,2,FALSE))</f>
        <v/>
      </c>
      <c r="AF52" s="8"/>
      <c r="AG52" s="8"/>
      <c r="AI52" s="8" t="str">
        <f>IF(AJ52="","",VLOOKUP(AJ52,引用表合并!$A:$B,2,FALSE))</f>
        <v/>
      </c>
      <c r="AJ52" s="8"/>
      <c r="AK52" s="8"/>
      <c r="AM52" s="8" t="str">
        <f>IF(AN52="","",VLOOKUP(AN52,引用表合并!$A:$B,2,FALSE))</f>
        <v/>
      </c>
      <c r="AN52" s="8"/>
      <c r="AO52" s="8"/>
      <c r="AQ52" s="8" t="str">
        <f>IF(AR52="","",VLOOKUP(AR52,引用表合并!$A:$B,2,FALSE))</f>
        <v/>
      </c>
      <c r="AR52" s="8"/>
      <c r="AS52" s="8"/>
      <c r="AU52" s="8" t="str">
        <f>IF(AV52="","",VLOOKUP(AV52,引用表合并!$A:$B,2,FALSE))</f>
        <v/>
      </c>
      <c r="AV52" s="8"/>
      <c r="AW52" s="8"/>
      <c r="AY52" s="8" t="str">
        <f>IF(AZ52="","",VLOOKUP(AZ52,引用表合并!$A:$B,2,FALSE))</f>
        <v/>
      </c>
      <c r="AZ52" s="8"/>
      <c r="BA52" s="8"/>
      <c r="BC52" s="8" t="str">
        <f>IF(BD52="","",VLOOKUP(BD52,引用表合并!$A:$B,2,FALSE))</f>
        <v/>
      </c>
      <c r="BD52" s="8"/>
      <c r="BF52" s="10"/>
      <c r="BG52" s="8" t="str">
        <f>IF(BH52="","",VLOOKUP(BH52,引用表合并!$A:$B,2,FALSE))</f>
        <v/>
      </c>
      <c r="BH52" s="8"/>
      <c r="BJ52" s="10"/>
      <c r="BK52" s="8" t="str">
        <f>IF(BL52="","",VLOOKUP(BL52,引用表合并!$A:$B,2,FALSE))</f>
        <v/>
      </c>
      <c r="BL52" s="8"/>
      <c r="BN52" s="10"/>
    </row>
    <row r="53" spans="1:66" x14ac:dyDescent="0.15">
      <c r="A53" s="10">
        <v>6005</v>
      </c>
      <c r="B53" s="8" t="str">
        <f>"地图:"&amp;VLOOKUP(A53,[1]地图配置辅助表!$A$3:$E$229,4,FALSE)</f>
        <v>地图:突破重围</v>
      </c>
      <c r="C53" s="8">
        <v>0</v>
      </c>
      <c r="D53" s="8">
        <f t="shared" si="4"/>
        <v>2</v>
      </c>
      <c r="E53" s="16">
        <f t="shared" si="0"/>
        <v>2</v>
      </c>
      <c r="F53" s="16">
        <v>1</v>
      </c>
      <c r="G53" s="8" t="str">
        <f>IF(H53="","",VLOOKUP(H53,引用表合并!$A:$B,2,FALSE))</f>
        <v>高级装备升级石</v>
      </c>
      <c r="H53" s="8">
        <v>85200</v>
      </c>
      <c r="I53" s="8">
        <v>1</v>
      </c>
      <c r="J53" s="10">
        <v>4000</v>
      </c>
      <c r="K53" s="8" t="str">
        <f>IF(L53="","",VLOOKUP(L53,引用表合并!$A:$B,2,FALSE))</f>
        <v>部位材料(腰带)</v>
      </c>
      <c r="L53" s="8">
        <v>74010</v>
      </c>
      <c r="M53" s="8">
        <v>2</v>
      </c>
      <c r="N53" s="10">
        <v>5000</v>
      </c>
      <c r="O53" s="8" t="str">
        <f>IF(P53="","",VLOOKUP(P53,引用表合并!$A:$B,2,FALSE))</f>
        <v/>
      </c>
      <c r="P53" s="8"/>
      <c r="Q53" s="8"/>
      <c r="S53" s="8" t="str">
        <f>IF(T53="","",VLOOKUP(T53,引用表合并!$A:$B,2,FALSE))</f>
        <v/>
      </c>
      <c r="T53" s="8"/>
      <c r="U53" s="8"/>
      <c r="W53" s="8" t="str">
        <f>IF(X53="","",VLOOKUP(X53,引用表合并!$A:$B,2,FALSE))</f>
        <v/>
      </c>
      <c r="X53" s="8"/>
      <c r="Y53" s="8"/>
      <c r="AA53" s="8" t="str">
        <f>IF(AB53="","",VLOOKUP(AB53,引用表合并!$A:$B,2,FALSE))</f>
        <v/>
      </c>
      <c r="AB53" s="8"/>
      <c r="AC53" s="8"/>
      <c r="AE53" s="8" t="str">
        <f>IF(AF53="","",VLOOKUP(AF53,引用表合并!$A:$B,2,FALSE))</f>
        <v/>
      </c>
      <c r="AF53" s="8"/>
      <c r="AG53" s="8"/>
      <c r="AI53" s="8" t="str">
        <f>IF(AJ53="","",VLOOKUP(AJ53,引用表合并!$A:$B,2,FALSE))</f>
        <v/>
      </c>
      <c r="AJ53" s="8"/>
      <c r="AK53" s="8"/>
      <c r="AM53" s="8" t="str">
        <f>IF(AN53="","",VLOOKUP(AN53,引用表合并!$A:$B,2,FALSE))</f>
        <v/>
      </c>
      <c r="AN53" s="8"/>
      <c r="AO53" s="8"/>
      <c r="AQ53" s="8" t="str">
        <f>IF(AR53="","",VLOOKUP(AR53,引用表合并!$A:$B,2,FALSE))</f>
        <v/>
      </c>
      <c r="AR53" s="8"/>
      <c r="AS53" s="8"/>
      <c r="AU53" s="8" t="str">
        <f>IF(AV53="","",VLOOKUP(AV53,引用表合并!$A:$B,2,FALSE))</f>
        <v/>
      </c>
      <c r="AV53" s="8"/>
      <c r="AW53" s="8"/>
      <c r="AY53" s="8" t="str">
        <f>IF(AZ53="","",VLOOKUP(AZ53,引用表合并!$A:$B,2,FALSE))</f>
        <v/>
      </c>
      <c r="AZ53" s="8"/>
      <c r="BA53" s="8"/>
      <c r="BC53" s="8" t="str">
        <f>IF(BD53="","",VLOOKUP(BD53,引用表合并!$A:$B,2,FALSE))</f>
        <v/>
      </c>
      <c r="BD53" s="8"/>
      <c r="BF53" s="10"/>
      <c r="BG53" s="8" t="str">
        <f>IF(BH53="","",VLOOKUP(BH53,引用表合并!$A:$B,2,FALSE))</f>
        <v/>
      </c>
      <c r="BH53" s="8"/>
      <c r="BJ53" s="10"/>
      <c r="BK53" s="8" t="str">
        <f>IF(BL53="","",VLOOKUP(BL53,引用表合并!$A:$B,2,FALSE))</f>
        <v/>
      </c>
      <c r="BL53" s="8"/>
      <c r="BN53" s="10"/>
    </row>
    <row r="54" spans="1:66" x14ac:dyDescent="0.15">
      <c r="A54" s="10">
        <v>6006</v>
      </c>
      <c r="B54" s="8" t="str">
        <f>"地图:"&amp;VLOOKUP(A54,[1]地图配置辅助表!$A$3:$E$229,4,FALSE)</f>
        <v>地图:力克强敌</v>
      </c>
      <c r="C54" s="8">
        <v>0</v>
      </c>
      <c r="D54" s="8">
        <f t="shared" si="4"/>
        <v>2</v>
      </c>
      <c r="E54" s="16">
        <f t="shared" si="0"/>
        <v>2</v>
      </c>
      <c r="F54" s="16">
        <v>1</v>
      </c>
      <c r="G54" s="8" t="str">
        <f>IF(H54="","",VLOOKUP(H54,引用表合并!$A:$B,2,FALSE))</f>
        <v>高级装备升级石</v>
      </c>
      <c r="H54" s="8">
        <v>85200</v>
      </c>
      <c r="I54" s="8">
        <v>1</v>
      </c>
      <c r="J54" s="10">
        <v>4000</v>
      </c>
      <c r="K54" s="8" t="str">
        <f>IF(L54="","",VLOOKUP(L54,引用表合并!$A:$B,2,FALSE))</f>
        <v>部位材料(衣服)</v>
      </c>
      <c r="L54" s="8">
        <v>71010</v>
      </c>
      <c r="M54" s="8">
        <v>2</v>
      </c>
      <c r="N54" s="10">
        <v>5000</v>
      </c>
      <c r="O54" s="8" t="str">
        <f>IF(P54="","",VLOOKUP(P54,引用表合并!$A:$B,2,FALSE))</f>
        <v/>
      </c>
      <c r="P54" s="8"/>
      <c r="Q54" s="8"/>
      <c r="S54" s="8" t="str">
        <f>IF(T54="","",VLOOKUP(T54,引用表合并!$A:$B,2,FALSE))</f>
        <v/>
      </c>
      <c r="T54" s="8"/>
      <c r="U54" s="8"/>
      <c r="W54" s="8" t="str">
        <f>IF(X54="","",VLOOKUP(X54,引用表合并!$A:$B,2,FALSE))</f>
        <v/>
      </c>
      <c r="X54" s="8"/>
      <c r="Y54" s="8"/>
      <c r="AA54" s="8" t="str">
        <f>IF(AB54="","",VLOOKUP(AB54,引用表合并!$A:$B,2,FALSE))</f>
        <v/>
      </c>
      <c r="AB54" s="8"/>
      <c r="AC54" s="8"/>
      <c r="AE54" s="8" t="str">
        <f>IF(AF54="","",VLOOKUP(AF54,引用表合并!$A:$B,2,FALSE))</f>
        <v/>
      </c>
      <c r="AF54" s="8"/>
      <c r="AG54" s="8"/>
      <c r="AI54" s="8" t="str">
        <f>IF(AJ54="","",VLOOKUP(AJ54,引用表合并!$A:$B,2,FALSE))</f>
        <v/>
      </c>
      <c r="AJ54" s="8"/>
      <c r="AK54" s="8"/>
      <c r="AM54" s="8" t="str">
        <f>IF(AN54="","",VLOOKUP(AN54,引用表合并!$A:$B,2,FALSE))</f>
        <v/>
      </c>
      <c r="AN54" s="8"/>
      <c r="AO54" s="8"/>
      <c r="AQ54" s="8" t="str">
        <f>IF(AR54="","",VLOOKUP(AR54,引用表合并!$A:$B,2,FALSE))</f>
        <v/>
      </c>
      <c r="AR54" s="8"/>
      <c r="AS54" s="8"/>
      <c r="AU54" s="8" t="str">
        <f>IF(AV54="","",VLOOKUP(AV54,引用表合并!$A:$B,2,FALSE))</f>
        <v/>
      </c>
      <c r="AV54" s="8"/>
      <c r="AW54" s="8"/>
      <c r="AY54" s="8" t="str">
        <f>IF(AZ54="","",VLOOKUP(AZ54,引用表合并!$A:$B,2,FALSE))</f>
        <v/>
      </c>
      <c r="AZ54" s="8"/>
      <c r="BA54" s="8"/>
      <c r="BC54" s="8" t="str">
        <f>IF(BD54="","",VLOOKUP(BD54,引用表合并!$A:$B,2,FALSE))</f>
        <v/>
      </c>
      <c r="BD54" s="8"/>
      <c r="BF54" s="10"/>
      <c r="BG54" s="8" t="str">
        <f>IF(BH54="","",VLOOKUP(BH54,引用表合并!$A:$B,2,FALSE))</f>
        <v/>
      </c>
      <c r="BH54" s="8"/>
      <c r="BJ54" s="10"/>
      <c r="BK54" s="8" t="str">
        <f>IF(BL54="","",VLOOKUP(BL54,引用表合并!$A:$B,2,FALSE))</f>
        <v/>
      </c>
      <c r="BL54" s="8"/>
      <c r="BN54" s="10"/>
    </row>
    <row r="55" spans="1:66" x14ac:dyDescent="0.15">
      <c r="A55" s="10">
        <v>6007</v>
      </c>
      <c r="B55" s="8" t="str">
        <f>"地图:"&amp;VLOOKUP(A55,[1]地图配置辅助表!$A$3:$E$229,4,FALSE)</f>
        <v>地图:正面交锋</v>
      </c>
      <c r="C55" s="8">
        <v>0</v>
      </c>
      <c r="D55" s="8">
        <f t="shared" ref="D55:D57" si="9">E55</f>
        <v>2</v>
      </c>
      <c r="E55" s="16">
        <f t="shared" si="0"/>
        <v>2</v>
      </c>
      <c r="F55" s="16">
        <v>1</v>
      </c>
      <c r="G55" s="8" t="str">
        <f>IF(H55="","",VLOOKUP(H55,引用表合并!$A:$B,2,FALSE))</f>
        <v>高级装备升级石</v>
      </c>
      <c r="H55" s="8">
        <v>85200</v>
      </c>
      <c r="I55" s="8">
        <v>1</v>
      </c>
      <c r="J55" s="10">
        <v>4000</v>
      </c>
      <c r="K55" s="8" t="str">
        <f>IF(L55="","",VLOOKUP(L55,引用表合并!$A:$B,2,FALSE))</f>
        <v>部位材料(武器)</v>
      </c>
      <c r="L55" s="8">
        <v>70010</v>
      </c>
      <c r="M55" s="8">
        <v>2</v>
      </c>
      <c r="N55" s="10">
        <v>5000</v>
      </c>
      <c r="O55" s="8" t="str">
        <f>IF(P55="","",VLOOKUP(P55,引用表合并!$A:$B,2,FALSE))</f>
        <v/>
      </c>
      <c r="P55" s="8"/>
      <c r="Q55" s="8"/>
      <c r="S55" s="8" t="str">
        <f>IF(T55="","",VLOOKUP(T55,引用表合并!$A:$B,2,FALSE))</f>
        <v/>
      </c>
      <c r="T55" s="8"/>
      <c r="U55" s="8"/>
      <c r="W55" s="8" t="str">
        <f>IF(X55="","",VLOOKUP(X55,引用表合并!$A:$B,2,FALSE))</f>
        <v/>
      </c>
      <c r="X55" s="8"/>
      <c r="Y55" s="8"/>
      <c r="AA55" s="8" t="str">
        <f>IF(AB55="","",VLOOKUP(AB55,引用表合并!$A:$B,2,FALSE))</f>
        <v/>
      </c>
      <c r="AB55" s="8"/>
      <c r="AC55" s="8"/>
      <c r="AE55" s="8" t="str">
        <f>IF(AF55="","",VLOOKUP(AF55,引用表合并!$A:$B,2,FALSE))</f>
        <v/>
      </c>
      <c r="AF55" s="8"/>
      <c r="AG55" s="8"/>
      <c r="AI55" s="8" t="str">
        <f>IF(AJ55="","",VLOOKUP(AJ55,引用表合并!$A:$B,2,FALSE))</f>
        <v/>
      </c>
      <c r="AJ55" s="8"/>
      <c r="AK55" s="8"/>
      <c r="AM55" s="8" t="str">
        <f>IF(AN55="","",VLOOKUP(AN55,引用表合并!$A:$B,2,FALSE))</f>
        <v/>
      </c>
      <c r="AN55" s="8"/>
      <c r="AO55" s="8"/>
      <c r="AQ55" s="8" t="str">
        <f>IF(AR55="","",VLOOKUP(AR55,引用表合并!$A:$B,2,FALSE))</f>
        <v/>
      </c>
      <c r="AR55" s="8"/>
      <c r="AS55" s="8"/>
      <c r="AU55" s="8" t="str">
        <f>IF(AV55="","",VLOOKUP(AV55,引用表合并!$A:$B,2,FALSE))</f>
        <v/>
      </c>
      <c r="AV55" s="8"/>
      <c r="AW55" s="8"/>
      <c r="AY55" s="8" t="str">
        <f>IF(AZ55="","",VLOOKUP(AZ55,引用表合并!$A:$B,2,FALSE))</f>
        <v/>
      </c>
      <c r="AZ55" s="8"/>
      <c r="BA55" s="8"/>
      <c r="BC55" s="8" t="str">
        <f>IF(BD55="","",VLOOKUP(BD55,引用表合并!$A:$B,2,FALSE))</f>
        <v/>
      </c>
      <c r="BD55" s="8"/>
      <c r="BF55" s="10"/>
      <c r="BG55" s="8" t="str">
        <f>IF(BH55="","",VLOOKUP(BH55,引用表合并!$A:$B,2,FALSE))</f>
        <v/>
      </c>
      <c r="BH55" s="8"/>
      <c r="BJ55" s="10"/>
      <c r="BK55" s="8" t="str">
        <f>IF(BL55="","",VLOOKUP(BL55,引用表合并!$A:$B,2,FALSE))</f>
        <v/>
      </c>
      <c r="BL55" s="8"/>
      <c r="BN55" s="10"/>
    </row>
    <row r="56" spans="1:66" x14ac:dyDescent="0.15">
      <c r="A56" s="10">
        <v>6008</v>
      </c>
      <c r="B56" s="8" t="str">
        <f>"地图:"&amp;VLOOKUP(A56,[1]地图配置辅助表!$A$3:$E$229,4,FALSE)</f>
        <v>地图:愈战愈勇</v>
      </c>
      <c r="C56" s="8">
        <v>0</v>
      </c>
      <c r="D56" s="8">
        <f t="shared" si="9"/>
        <v>2</v>
      </c>
      <c r="E56" s="16">
        <f t="shared" si="0"/>
        <v>2</v>
      </c>
      <c r="F56" s="16">
        <v>1</v>
      </c>
      <c r="G56" s="8" t="str">
        <f>IF(H56="","",VLOOKUP(H56,引用表合并!$A:$B,2,FALSE))</f>
        <v>高级装备升级石</v>
      </c>
      <c r="H56" s="8">
        <v>85200</v>
      </c>
      <c r="I56" s="8">
        <v>1</v>
      </c>
      <c r="J56" s="10">
        <v>4000</v>
      </c>
      <c r="K56" s="8" t="str">
        <f>IF(L56="","",VLOOKUP(L56,引用表合并!$A:$B,2,FALSE))</f>
        <v>部位材料(项链)</v>
      </c>
      <c r="L56" s="8">
        <v>73010</v>
      </c>
      <c r="M56" s="8">
        <v>2</v>
      </c>
      <c r="N56" s="10">
        <v>5000</v>
      </c>
      <c r="O56" s="8" t="str">
        <f>IF(P56="","",VLOOKUP(P56,引用表合并!$A:$B,2,FALSE))</f>
        <v/>
      </c>
      <c r="P56" s="8"/>
      <c r="Q56" s="8"/>
      <c r="S56" s="8" t="str">
        <f>IF(T56="","",VLOOKUP(T56,引用表合并!$A:$B,2,FALSE))</f>
        <v/>
      </c>
      <c r="T56" s="8"/>
      <c r="U56" s="8"/>
      <c r="W56" s="8" t="str">
        <f>IF(X56="","",VLOOKUP(X56,引用表合并!$A:$B,2,FALSE))</f>
        <v/>
      </c>
      <c r="X56" s="8"/>
      <c r="Y56" s="8"/>
      <c r="AA56" s="8" t="str">
        <f>IF(AB56="","",VLOOKUP(AB56,引用表合并!$A:$B,2,FALSE))</f>
        <v/>
      </c>
      <c r="AB56" s="8"/>
      <c r="AC56" s="8"/>
      <c r="AE56" s="8" t="str">
        <f>IF(AF56="","",VLOOKUP(AF56,引用表合并!$A:$B,2,FALSE))</f>
        <v/>
      </c>
      <c r="AF56" s="8"/>
      <c r="AG56" s="8"/>
      <c r="AI56" s="8" t="str">
        <f>IF(AJ56="","",VLOOKUP(AJ56,引用表合并!$A:$B,2,FALSE))</f>
        <v/>
      </c>
      <c r="AJ56" s="8"/>
      <c r="AK56" s="8"/>
      <c r="AM56" s="8" t="str">
        <f>IF(AN56="","",VLOOKUP(AN56,引用表合并!$A:$B,2,FALSE))</f>
        <v/>
      </c>
      <c r="AN56" s="8"/>
      <c r="AO56" s="8"/>
      <c r="AQ56" s="8" t="str">
        <f>IF(AR56="","",VLOOKUP(AR56,引用表合并!$A:$B,2,FALSE))</f>
        <v/>
      </c>
      <c r="AR56" s="8"/>
      <c r="AS56" s="8"/>
      <c r="AU56" s="8" t="str">
        <f>IF(AV56="","",VLOOKUP(AV56,引用表合并!$A:$B,2,FALSE))</f>
        <v/>
      </c>
      <c r="AV56" s="8"/>
      <c r="AW56" s="8"/>
      <c r="AY56" s="8" t="str">
        <f>IF(AZ56="","",VLOOKUP(AZ56,引用表合并!$A:$B,2,FALSE))</f>
        <v/>
      </c>
      <c r="AZ56" s="8"/>
      <c r="BA56" s="8"/>
      <c r="BC56" s="8" t="str">
        <f>IF(BD56="","",VLOOKUP(BD56,引用表合并!$A:$B,2,FALSE))</f>
        <v/>
      </c>
      <c r="BD56" s="8"/>
      <c r="BF56" s="10"/>
      <c r="BG56" s="8" t="str">
        <f>IF(BH56="","",VLOOKUP(BH56,引用表合并!$A:$B,2,FALSE))</f>
        <v/>
      </c>
      <c r="BH56" s="8"/>
      <c r="BJ56" s="10"/>
      <c r="BK56" s="8" t="str">
        <f>IF(BL56="","",VLOOKUP(BL56,引用表合并!$A:$B,2,FALSE))</f>
        <v/>
      </c>
      <c r="BL56" s="8"/>
      <c r="BN56" s="10"/>
    </row>
    <row r="57" spans="1:66" x14ac:dyDescent="0.15">
      <c r="A57" s="10">
        <v>6009</v>
      </c>
      <c r="B57" s="8" t="str">
        <f>"地图:"&amp;VLOOKUP(A57,[1]地图配置辅助表!$A$3:$E$229,4,FALSE)</f>
        <v>地图:决战太乙</v>
      </c>
      <c r="C57" s="8">
        <v>0</v>
      </c>
      <c r="D57" s="8">
        <f t="shared" si="9"/>
        <v>2</v>
      </c>
      <c r="E57" s="16">
        <f t="shared" si="0"/>
        <v>2</v>
      </c>
      <c r="F57" s="16">
        <v>1</v>
      </c>
      <c r="G57" s="8" t="str">
        <f>IF(H57="","",VLOOKUP(H57,引用表合并!$A:$B,2,FALSE))</f>
        <v>高级装备升级石</v>
      </c>
      <c r="H57" s="8">
        <v>85200</v>
      </c>
      <c r="I57" s="8">
        <v>1</v>
      </c>
      <c r="J57" s="10">
        <v>4000</v>
      </c>
      <c r="K57" s="8" t="str">
        <f>IF(L57="","",VLOOKUP(L57,引用表合并!$A:$B,2,FALSE))</f>
        <v>部位材料(裤子)</v>
      </c>
      <c r="L57" s="8">
        <v>72010</v>
      </c>
      <c r="M57" s="8">
        <v>2</v>
      </c>
      <c r="N57" s="10">
        <v>5000</v>
      </c>
      <c r="O57" s="8" t="str">
        <f>IF(P57="","",VLOOKUP(P57,引用表合并!$A:$B,2,FALSE))</f>
        <v/>
      </c>
      <c r="P57" s="8"/>
      <c r="Q57" s="8"/>
      <c r="S57" s="8" t="str">
        <f>IF(T57="","",VLOOKUP(T57,引用表合并!$A:$B,2,FALSE))</f>
        <v/>
      </c>
      <c r="T57" s="8"/>
      <c r="U57" s="8"/>
      <c r="W57" s="8" t="str">
        <f>IF(X57="","",VLOOKUP(X57,引用表合并!$A:$B,2,FALSE))</f>
        <v/>
      </c>
      <c r="X57" s="8"/>
      <c r="Y57" s="8"/>
      <c r="AA57" s="8" t="str">
        <f>IF(AB57="","",VLOOKUP(AB57,引用表合并!$A:$B,2,FALSE))</f>
        <v/>
      </c>
      <c r="AB57" s="8"/>
      <c r="AC57" s="8"/>
      <c r="AE57" s="8" t="str">
        <f>IF(AF57="","",VLOOKUP(AF57,引用表合并!$A:$B,2,FALSE))</f>
        <v/>
      </c>
      <c r="AF57" s="8"/>
      <c r="AG57" s="8"/>
      <c r="AI57" s="8" t="str">
        <f>IF(AJ57="","",VLOOKUP(AJ57,引用表合并!$A:$B,2,FALSE))</f>
        <v/>
      </c>
      <c r="AJ57" s="8"/>
      <c r="AK57" s="8"/>
      <c r="AM57" s="8" t="str">
        <f>IF(AN57="","",VLOOKUP(AN57,引用表合并!$A:$B,2,FALSE))</f>
        <v/>
      </c>
      <c r="AN57" s="8"/>
      <c r="AO57" s="8"/>
      <c r="AQ57" s="8" t="str">
        <f>IF(AR57="","",VLOOKUP(AR57,引用表合并!$A:$B,2,FALSE))</f>
        <v/>
      </c>
      <c r="AR57" s="8"/>
      <c r="AS57" s="8"/>
      <c r="AU57" s="8" t="str">
        <f>IF(AV57="","",VLOOKUP(AV57,引用表合并!$A:$B,2,FALSE))</f>
        <v/>
      </c>
      <c r="AV57" s="8"/>
      <c r="AW57" s="8"/>
      <c r="AY57" s="8" t="str">
        <f>IF(AZ57="","",VLOOKUP(AZ57,引用表合并!$A:$B,2,FALSE))</f>
        <v/>
      </c>
      <c r="AZ57" s="8"/>
      <c r="BA57" s="8"/>
      <c r="BC57" s="8" t="str">
        <f>IF(BD57="","",VLOOKUP(BD57,引用表合并!$A:$B,2,FALSE))</f>
        <v/>
      </c>
      <c r="BD57" s="8"/>
      <c r="BF57" s="10"/>
      <c r="BG57" s="8" t="str">
        <f>IF(BH57="","",VLOOKUP(BH57,引用表合并!$A:$B,2,FALSE))</f>
        <v/>
      </c>
      <c r="BH57" s="8"/>
      <c r="BJ57" s="10"/>
      <c r="BK57" s="8" t="str">
        <f>IF(BL57="","",VLOOKUP(BL57,引用表合并!$A:$B,2,FALSE))</f>
        <v/>
      </c>
      <c r="BL57" s="8"/>
      <c r="BN57" s="10"/>
    </row>
    <row r="58" spans="1:66" x14ac:dyDescent="0.15">
      <c r="A58" s="10">
        <v>7001</v>
      </c>
      <c r="B58" s="8" t="str">
        <f>"地图:"&amp;VLOOKUP(A58,[1]地图配置辅助表!$A$3:$E$229,4,FALSE)</f>
        <v>地图:突袭白虎堂</v>
      </c>
      <c r="C58" s="8">
        <v>0</v>
      </c>
      <c r="D58" s="8">
        <f t="shared" si="4"/>
        <v>2</v>
      </c>
      <c r="E58" s="16">
        <f t="shared" si="0"/>
        <v>2</v>
      </c>
      <c r="F58" s="16">
        <v>1</v>
      </c>
      <c r="G58" s="8" t="str">
        <f>IF(H58="","",VLOOKUP(H58,引用表合并!$A:$B,2,FALSE))</f>
        <v>高级装备升级石</v>
      </c>
      <c r="H58" s="8">
        <v>85200</v>
      </c>
      <c r="I58" s="8">
        <v>1</v>
      </c>
      <c r="J58" s="10">
        <v>4000</v>
      </c>
      <c r="K58" s="8" t="str">
        <f>IF(L58="","",VLOOKUP(L58,引用表合并!$A:$B,2,FALSE))</f>
        <v>部位材料(鞋子)</v>
      </c>
      <c r="L58" s="8">
        <v>75010</v>
      </c>
      <c r="M58" s="8">
        <v>2</v>
      </c>
      <c r="N58" s="10">
        <v>6000</v>
      </c>
      <c r="O58" s="8" t="str">
        <f>IF(P58="","",VLOOKUP(P58,引用表合并!$A:$B,2,FALSE))</f>
        <v/>
      </c>
      <c r="P58" s="8"/>
      <c r="Q58" s="8"/>
      <c r="S58" s="8" t="str">
        <f>IF(T58="","",VLOOKUP(T58,引用表合并!$A:$B,2,FALSE))</f>
        <v/>
      </c>
      <c r="T58" s="8"/>
      <c r="U58" s="8"/>
      <c r="W58" s="8" t="str">
        <f>IF(X58="","",VLOOKUP(X58,引用表合并!$A:$B,2,FALSE))</f>
        <v/>
      </c>
      <c r="X58" s="8"/>
      <c r="Y58" s="8"/>
      <c r="AA58" s="8" t="str">
        <f>IF(AB58="","",VLOOKUP(AB58,引用表合并!$A:$B,2,FALSE))</f>
        <v/>
      </c>
      <c r="AB58" s="8"/>
      <c r="AC58" s="8"/>
      <c r="AE58" s="8" t="str">
        <f>IF(AF58="","",VLOOKUP(AF58,引用表合并!$A:$B,2,FALSE))</f>
        <v/>
      </c>
      <c r="AF58" s="8"/>
      <c r="AG58" s="8"/>
      <c r="AI58" s="8" t="str">
        <f>IF(AJ58="","",VLOOKUP(AJ58,引用表合并!$A:$B,2,FALSE))</f>
        <v/>
      </c>
      <c r="AJ58" s="8"/>
      <c r="AK58" s="8"/>
      <c r="AM58" s="8" t="str">
        <f>IF(AN58="","",VLOOKUP(AN58,引用表合并!$A:$B,2,FALSE))</f>
        <v/>
      </c>
      <c r="AN58" s="8"/>
      <c r="AO58" s="8"/>
      <c r="AQ58" s="8" t="str">
        <f>IF(AR58="","",VLOOKUP(AR58,引用表合并!$A:$B,2,FALSE))</f>
        <v/>
      </c>
      <c r="AR58" s="8"/>
      <c r="AS58" s="8"/>
      <c r="AU58" s="8" t="str">
        <f>IF(AV58="","",VLOOKUP(AV58,引用表合并!$A:$B,2,FALSE))</f>
        <v/>
      </c>
      <c r="AV58" s="8"/>
      <c r="AW58" s="8"/>
      <c r="AY58" s="8" t="str">
        <f>IF(AZ58="","",VLOOKUP(AZ58,引用表合并!$A:$B,2,FALSE))</f>
        <v/>
      </c>
      <c r="AZ58" s="8"/>
      <c r="BA58" s="8"/>
      <c r="BC58" s="8" t="str">
        <f>IF(BD58="","",VLOOKUP(BD58,引用表合并!$A:$B,2,FALSE))</f>
        <v/>
      </c>
      <c r="BD58" s="8"/>
      <c r="BF58" s="10"/>
      <c r="BG58" s="8" t="str">
        <f>IF(BH58="","",VLOOKUP(BH58,引用表合并!$A:$B,2,FALSE))</f>
        <v/>
      </c>
      <c r="BH58" s="8"/>
      <c r="BJ58" s="10"/>
      <c r="BK58" s="8" t="str">
        <f>IF(BL58="","",VLOOKUP(BL58,引用表合并!$A:$B,2,FALSE))</f>
        <v/>
      </c>
      <c r="BL58" s="8"/>
      <c r="BN58" s="10"/>
    </row>
    <row r="59" spans="1:66" x14ac:dyDescent="0.15">
      <c r="A59" s="10">
        <v>7002</v>
      </c>
      <c r="B59" s="8" t="str">
        <f>"地图:"&amp;VLOOKUP(A59,[1]地图配置辅助表!$A$3:$E$229,4,FALSE)</f>
        <v>地图:勇闯玄武堂</v>
      </c>
      <c r="C59" s="8">
        <v>0</v>
      </c>
      <c r="D59" s="8">
        <f t="shared" si="4"/>
        <v>2</v>
      </c>
      <c r="E59" s="16">
        <f t="shared" si="0"/>
        <v>2</v>
      </c>
      <c r="F59" s="16">
        <v>1</v>
      </c>
      <c r="G59" s="8" t="str">
        <f>IF(H59="","",VLOOKUP(H59,引用表合并!$A:$B,2,FALSE))</f>
        <v>高级装备升级石</v>
      </c>
      <c r="H59" s="8">
        <v>85200</v>
      </c>
      <c r="I59" s="8">
        <v>1</v>
      </c>
      <c r="J59" s="10">
        <v>4000</v>
      </c>
      <c r="K59" s="8" t="str">
        <f>IF(L59="","",VLOOKUP(L59,引用表合并!$A:$B,2,FALSE))</f>
        <v>部位材料(腰带)</v>
      </c>
      <c r="L59" s="8">
        <v>74010</v>
      </c>
      <c r="M59" s="8">
        <v>2</v>
      </c>
      <c r="N59" s="10">
        <v>6000</v>
      </c>
      <c r="O59" s="8" t="str">
        <f>IF(P59="","",VLOOKUP(P59,引用表合并!$A:$B,2,FALSE))</f>
        <v/>
      </c>
      <c r="P59" s="8"/>
      <c r="Q59" s="8"/>
      <c r="S59" s="8" t="str">
        <f>IF(T59="","",VLOOKUP(T59,引用表合并!$A:$B,2,FALSE))</f>
        <v/>
      </c>
      <c r="T59" s="8"/>
      <c r="U59" s="8"/>
      <c r="W59" s="8" t="str">
        <f>IF(X59="","",VLOOKUP(X59,引用表合并!$A:$B,2,FALSE))</f>
        <v/>
      </c>
      <c r="X59" s="8"/>
      <c r="Y59" s="8"/>
      <c r="AA59" s="8" t="str">
        <f>IF(AB59="","",VLOOKUP(AB59,引用表合并!$A:$B,2,FALSE))</f>
        <v/>
      </c>
      <c r="AB59" s="8"/>
      <c r="AC59" s="8"/>
      <c r="AE59" s="8" t="str">
        <f>IF(AF59="","",VLOOKUP(AF59,引用表合并!$A:$B,2,FALSE))</f>
        <v/>
      </c>
      <c r="AF59" s="8"/>
      <c r="AG59" s="8"/>
      <c r="AI59" s="8" t="str">
        <f>IF(AJ59="","",VLOOKUP(AJ59,引用表合并!$A:$B,2,FALSE))</f>
        <v/>
      </c>
      <c r="AJ59" s="8"/>
      <c r="AK59" s="8"/>
      <c r="AM59" s="8" t="str">
        <f>IF(AN59="","",VLOOKUP(AN59,引用表合并!$A:$B,2,FALSE))</f>
        <v/>
      </c>
      <c r="AN59" s="8"/>
      <c r="AO59" s="8"/>
      <c r="AQ59" s="8" t="str">
        <f>IF(AR59="","",VLOOKUP(AR59,引用表合并!$A:$B,2,FALSE))</f>
        <v/>
      </c>
      <c r="AR59" s="8"/>
      <c r="AS59" s="8"/>
      <c r="AU59" s="8" t="str">
        <f>IF(AV59="","",VLOOKUP(AV59,引用表合并!$A:$B,2,FALSE))</f>
        <v/>
      </c>
      <c r="AV59" s="8"/>
      <c r="AW59" s="8"/>
      <c r="AY59" s="8" t="str">
        <f>IF(AZ59="","",VLOOKUP(AZ59,引用表合并!$A:$B,2,FALSE))</f>
        <v/>
      </c>
      <c r="AZ59" s="8"/>
      <c r="BA59" s="8"/>
      <c r="BC59" s="8" t="str">
        <f>IF(BD59="","",VLOOKUP(BD59,引用表合并!$A:$B,2,FALSE))</f>
        <v/>
      </c>
      <c r="BD59" s="8"/>
      <c r="BF59" s="10"/>
      <c r="BG59" s="8" t="str">
        <f>IF(BH59="","",VLOOKUP(BH59,引用表合并!$A:$B,2,FALSE))</f>
        <v/>
      </c>
      <c r="BH59" s="8"/>
      <c r="BJ59" s="10"/>
      <c r="BK59" s="8" t="str">
        <f>IF(BL59="","",VLOOKUP(BL59,引用表合并!$A:$B,2,FALSE))</f>
        <v/>
      </c>
      <c r="BL59" s="8"/>
      <c r="BN59" s="10"/>
    </row>
    <row r="60" spans="1:66" x14ac:dyDescent="0.15">
      <c r="A60" s="10">
        <v>7003</v>
      </c>
      <c r="B60" s="8" t="str">
        <f>"地图:"&amp;VLOOKUP(A60,[1]地图配置辅助表!$A$3:$E$229,4,FALSE)</f>
        <v>地图:激战朱雀堂</v>
      </c>
      <c r="C60" s="8">
        <v>0</v>
      </c>
      <c r="D60" s="8">
        <f t="shared" si="4"/>
        <v>2</v>
      </c>
      <c r="E60" s="16">
        <f t="shared" si="0"/>
        <v>2</v>
      </c>
      <c r="F60" s="16">
        <v>1</v>
      </c>
      <c r="G60" s="8" t="str">
        <f>IF(H60="","",VLOOKUP(H60,引用表合并!$A:$B,2,FALSE))</f>
        <v>高级装备升级石</v>
      </c>
      <c r="H60" s="8">
        <v>85200</v>
      </c>
      <c r="I60" s="8">
        <v>1</v>
      </c>
      <c r="J60" s="10">
        <v>4000</v>
      </c>
      <c r="K60" s="8" t="str">
        <f>IF(L60="","",VLOOKUP(L60,引用表合并!$A:$B,2,FALSE))</f>
        <v>部位材料(衣服)</v>
      </c>
      <c r="L60" s="8">
        <v>71010</v>
      </c>
      <c r="M60" s="8">
        <v>2</v>
      </c>
      <c r="N60" s="10">
        <v>6000</v>
      </c>
      <c r="O60" s="8" t="str">
        <f>IF(P60="","",VLOOKUP(P60,引用表合并!$A:$B,2,FALSE))</f>
        <v/>
      </c>
      <c r="P60" s="8"/>
      <c r="Q60" s="8"/>
      <c r="S60" s="8" t="str">
        <f>IF(T60="","",VLOOKUP(T60,引用表合并!$A:$B,2,FALSE))</f>
        <v/>
      </c>
      <c r="T60" s="8"/>
      <c r="U60" s="8"/>
      <c r="W60" s="8" t="str">
        <f>IF(X60="","",VLOOKUP(X60,引用表合并!$A:$B,2,FALSE))</f>
        <v/>
      </c>
      <c r="X60" s="8"/>
      <c r="Y60" s="8"/>
      <c r="AA60" s="8" t="str">
        <f>IF(AB60="","",VLOOKUP(AB60,引用表合并!$A:$B,2,FALSE))</f>
        <v/>
      </c>
      <c r="AB60" s="8"/>
      <c r="AC60" s="8"/>
      <c r="AE60" s="8" t="str">
        <f>IF(AF60="","",VLOOKUP(AF60,引用表合并!$A:$B,2,FALSE))</f>
        <v/>
      </c>
      <c r="AF60" s="8"/>
      <c r="AG60" s="8"/>
      <c r="AI60" s="8" t="str">
        <f>IF(AJ60="","",VLOOKUP(AJ60,引用表合并!$A:$B,2,FALSE))</f>
        <v/>
      </c>
      <c r="AJ60" s="8"/>
      <c r="AK60" s="8"/>
      <c r="AM60" s="8" t="str">
        <f>IF(AN60="","",VLOOKUP(AN60,引用表合并!$A:$B,2,FALSE))</f>
        <v/>
      </c>
      <c r="AN60" s="8"/>
      <c r="AO60" s="8"/>
      <c r="AQ60" s="8" t="str">
        <f>IF(AR60="","",VLOOKUP(AR60,引用表合并!$A:$B,2,FALSE))</f>
        <v/>
      </c>
      <c r="AR60" s="8"/>
      <c r="AS60" s="8"/>
      <c r="AU60" s="8" t="str">
        <f>IF(AV60="","",VLOOKUP(AV60,引用表合并!$A:$B,2,FALSE))</f>
        <v/>
      </c>
      <c r="AV60" s="8"/>
      <c r="AW60" s="8"/>
      <c r="AY60" s="8" t="str">
        <f>IF(AZ60="","",VLOOKUP(AZ60,引用表合并!$A:$B,2,FALSE))</f>
        <v/>
      </c>
      <c r="AZ60" s="8"/>
      <c r="BA60" s="8"/>
      <c r="BC60" s="8" t="str">
        <f>IF(BD60="","",VLOOKUP(BD60,引用表合并!$A:$B,2,FALSE))</f>
        <v/>
      </c>
      <c r="BD60" s="8"/>
      <c r="BF60" s="10"/>
      <c r="BG60" s="8" t="str">
        <f>IF(BH60="","",VLOOKUP(BH60,引用表合并!$A:$B,2,FALSE))</f>
        <v/>
      </c>
      <c r="BH60" s="8"/>
      <c r="BJ60" s="10"/>
      <c r="BK60" s="8" t="str">
        <f>IF(BL60="","",VLOOKUP(BL60,引用表合并!$A:$B,2,FALSE))</f>
        <v/>
      </c>
      <c r="BL60" s="8"/>
      <c r="BN60" s="10"/>
    </row>
    <row r="61" spans="1:66" x14ac:dyDescent="0.15">
      <c r="A61" s="10">
        <v>7004</v>
      </c>
      <c r="B61" s="8" t="str">
        <f>"地图:"&amp;VLOOKUP(A61,[1]地图配置辅助表!$A$3:$E$229,4,FALSE)</f>
        <v>地图:恶战青龙堂</v>
      </c>
      <c r="C61" s="8">
        <v>0</v>
      </c>
      <c r="D61" s="8">
        <f t="shared" si="4"/>
        <v>2</v>
      </c>
      <c r="E61" s="16">
        <f t="shared" si="0"/>
        <v>2</v>
      </c>
      <c r="F61" s="16">
        <v>1</v>
      </c>
      <c r="G61" s="8" t="str">
        <f>IF(H61="","",VLOOKUP(H61,引用表合并!$A:$B,2,FALSE))</f>
        <v>高级装备升级石</v>
      </c>
      <c r="H61" s="8">
        <v>85200</v>
      </c>
      <c r="I61" s="8">
        <v>1</v>
      </c>
      <c r="J61" s="10">
        <v>4000</v>
      </c>
      <c r="K61" s="8" t="str">
        <f>IF(L61="","",VLOOKUP(L61,引用表合并!$A:$B,2,FALSE))</f>
        <v>部位材料(武器)</v>
      </c>
      <c r="L61" s="8">
        <v>70010</v>
      </c>
      <c r="M61" s="8">
        <v>2</v>
      </c>
      <c r="N61" s="10">
        <v>6000</v>
      </c>
      <c r="O61" s="8" t="str">
        <f>IF(P61="","",VLOOKUP(P61,引用表合并!$A:$B,2,FALSE))</f>
        <v/>
      </c>
      <c r="P61" s="8"/>
      <c r="Q61" s="8"/>
      <c r="S61" s="8" t="str">
        <f>IF(T61="","",VLOOKUP(T61,引用表合并!$A:$B,2,FALSE))</f>
        <v/>
      </c>
      <c r="T61" s="8"/>
      <c r="U61" s="8"/>
      <c r="W61" s="8" t="str">
        <f>IF(X61="","",VLOOKUP(X61,引用表合并!$A:$B,2,FALSE))</f>
        <v/>
      </c>
      <c r="X61" s="8"/>
      <c r="Y61" s="8"/>
      <c r="AA61" s="8" t="str">
        <f>IF(AB61="","",VLOOKUP(AB61,引用表合并!$A:$B,2,FALSE))</f>
        <v/>
      </c>
      <c r="AB61" s="8"/>
      <c r="AC61" s="8"/>
      <c r="AE61" s="8" t="str">
        <f>IF(AF61="","",VLOOKUP(AF61,引用表合并!$A:$B,2,FALSE))</f>
        <v/>
      </c>
      <c r="AF61" s="8"/>
      <c r="AG61" s="8"/>
      <c r="AI61" s="8" t="str">
        <f>IF(AJ61="","",VLOOKUP(AJ61,引用表合并!$A:$B,2,FALSE))</f>
        <v/>
      </c>
      <c r="AJ61" s="8"/>
      <c r="AK61" s="8"/>
      <c r="AM61" s="8" t="str">
        <f>IF(AN61="","",VLOOKUP(AN61,引用表合并!$A:$B,2,FALSE))</f>
        <v/>
      </c>
      <c r="AN61" s="8"/>
      <c r="AO61" s="8"/>
      <c r="AQ61" s="8" t="str">
        <f>IF(AR61="","",VLOOKUP(AR61,引用表合并!$A:$B,2,FALSE))</f>
        <v/>
      </c>
      <c r="AR61" s="8"/>
      <c r="AS61" s="8"/>
      <c r="AU61" s="8" t="str">
        <f>IF(AV61="","",VLOOKUP(AV61,引用表合并!$A:$B,2,FALSE))</f>
        <v/>
      </c>
      <c r="AV61" s="8"/>
      <c r="AW61" s="8"/>
      <c r="AY61" s="8" t="str">
        <f>IF(AZ61="","",VLOOKUP(AZ61,引用表合并!$A:$B,2,FALSE))</f>
        <v/>
      </c>
      <c r="AZ61" s="8"/>
      <c r="BA61" s="8"/>
      <c r="BC61" s="8" t="str">
        <f>IF(BD61="","",VLOOKUP(BD61,引用表合并!$A:$B,2,FALSE))</f>
        <v/>
      </c>
      <c r="BD61" s="8"/>
      <c r="BF61" s="10"/>
      <c r="BG61" s="8" t="str">
        <f>IF(BH61="","",VLOOKUP(BH61,引用表合并!$A:$B,2,FALSE))</f>
        <v/>
      </c>
      <c r="BH61" s="8"/>
      <c r="BJ61" s="10"/>
      <c r="BK61" s="8" t="str">
        <f>IF(BL61="","",VLOOKUP(BL61,引用表合并!$A:$B,2,FALSE))</f>
        <v/>
      </c>
      <c r="BL61" s="8"/>
      <c r="BN61" s="10"/>
    </row>
    <row r="62" spans="1:66" x14ac:dyDescent="0.15">
      <c r="A62" s="10">
        <v>7005</v>
      </c>
      <c r="B62" s="8" t="str">
        <f>"地图:"&amp;VLOOKUP(A62,[1]地图配置辅助表!$A$3:$E$229,4,FALSE)</f>
        <v>地图:挑战佐维</v>
      </c>
      <c r="C62" s="8">
        <v>0</v>
      </c>
      <c r="D62" s="8">
        <f t="shared" si="4"/>
        <v>2</v>
      </c>
      <c r="E62" s="16">
        <f t="shared" si="0"/>
        <v>2</v>
      </c>
      <c r="F62" s="16">
        <v>1</v>
      </c>
      <c r="G62" s="8" t="str">
        <f>IF(H62="","",VLOOKUP(H62,引用表合并!$A:$B,2,FALSE))</f>
        <v>高级装备升级石</v>
      </c>
      <c r="H62" s="8">
        <v>85200</v>
      </c>
      <c r="I62" s="8">
        <v>1</v>
      </c>
      <c r="J62" s="10">
        <v>4000</v>
      </c>
      <c r="K62" s="8" t="str">
        <f>IF(L62="","",VLOOKUP(L62,引用表合并!$A:$B,2,FALSE))</f>
        <v>部位材料(项链)</v>
      </c>
      <c r="L62" s="8">
        <v>73010</v>
      </c>
      <c r="M62" s="8">
        <v>2</v>
      </c>
      <c r="N62" s="10">
        <v>6000</v>
      </c>
      <c r="O62" s="8" t="str">
        <f>IF(P62="","",VLOOKUP(P62,引用表合并!$A:$B,2,FALSE))</f>
        <v/>
      </c>
      <c r="P62" s="8"/>
      <c r="Q62" s="8"/>
      <c r="S62" s="8" t="str">
        <f>IF(T62="","",VLOOKUP(T62,引用表合并!$A:$B,2,FALSE))</f>
        <v/>
      </c>
      <c r="T62" s="8"/>
      <c r="U62" s="8"/>
      <c r="W62" s="8" t="str">
        <f>IF(X62="","",VLOOKUP(X62,引用表合并!$A:$B,2,FALSE))</f>
        <v/>
      </c>
      <c r="X62" s="8"/>
      <c r="Y62" s="8"/>
      <c r="AA62" s="8" t="str">
        <f>IF(AB62="","",VLOOKUP(AB62,引用表合并!$A:$B,2,FALSE))</f>
        <v/>
      </c>
      <c r="AB62" s="8"/>
      <c r="AC62" s="8"/>
      <c r="AE62" s="8" t="str">
        <f>IF(AF62="","",VLOOKUP(AF62,引用表合并!$A:$B,2,FALSE))</f>
        <v/>
      </c>
      <c r="AF62" s="8"/>
      <c r="AG62" s="8"/>
      <c r="AI62" s="8" t="str">
        <f>IF(AJ62="","",VLOOKUP(AJ62,引用表合并!$A:$B,2,FALSE))</f>
        <v/>
      </c>
      <c r="AJ62" s="8"/>
      <c r="AK62" s="8"/>
      <c r="AM62" s="8" t="str">
        <f>IF(AN62="","",VLOOKUP(AN62,引用表合并!$A:$B,2,FALSE))</f>
        <v/>
      </c>
      <c r="AN62" s="8"/>
      <c r="AO62" s="8"/>
      <c r="AQ62" s="8" t="str">
        <f>IF(AR62="","",VLOOKUP(AR62,引用表合并!$A:$B,2,FALSE))</f>
        <v/>
      </c>
      <c r="AR62" s="8"/>
      <c r="AS62" s="8"/>
      <c r="AU62" s="8" t="str">
        <f>IF(AV62="","",VLOOKUP(AV62,引用表合并!$A:$B,2,FALSE))</f>
        <v/>
      </c>
      <c r="AV62" s="8"/>
      <c r="AW62" s="8"/>
      <c r="AY62" s="8" t="str">
        <f>IF(AZ62="","",VLOOKUP(AZ62,引用表合并!$A:$B,2,FALSE))</f>
        <v/>
      </c>
      <c r="AZ62" s="8"/>
      <c r="BA62" s="8"/>
      <c r="BC62" s="8" t="str">
        <f>IF(BD62="","",VLOOKUP(BD62,引用表合并!$A:$B,2,FALSE))</f>
        <v/>
      </c>
      <c r="BD62" s="8"/>
      <c r="BF62" s="10"/>
      <c r="BG62" s="8" t="str">
        <f>IF(BH62="","",VLOOKUP(BH62,引用表合并!$A:$B,2,FALSE))</f>
        <v/>
      </c>
      <c r="BH62" s="8"/>
      <c r="BJ62" s="10"/>
      <c r="BK62" s="8" t="str">
        <f>IF(BL62="","",VLOOKUP(BL62,引用表合并!$A:$B,2,FALSE))</f>
        <v/>
      </c>
      <c r="BL62" s="8"/>
      <c r="BN62" s="10"/>
    </row>
    <row r="63" spans="1:66" x14ac:dyDescent="0.15">
      <c r="A63" s="10">
        <v>7006</v>
      </c>
      <c r="B63" s="8" t="str">
        <f>"地图:"&amp;VLOOKUP(A63,[1]地图配置辅助表!$A$3:$E$229,4,FALSE)</f>
        <v>地图:恶虎下山</v>
      </c>
      <c r="C63" s="8">
        <v>0</v>
      </c>
      <c r="D63" s="8">
        <f t="shared" si="4"/>
        <v>2</v>
      </c>
      <c r="E63" s="16">
        <f t="shared" si="0"/>
        <v>2</v>
      </c>
      <c r="F63" s="16">
        <v>1</v>
      </c>
      <c r="G63" s="8" t="str">
        <f>IF(H63="","",VLOOKUP(H63,引用表合并!$A:$B,2,FALSE))</f>
        <v>高级装备升级石</v>
      </c>
      <c r="H63" s="8">
        <v>85200</v>
      </c>
      <c r="I63" s="8">
        <v>1</v>
      </c>
      <c r="J63" s="10">
        <v>4000</v>
      </c>
      <c r="K63" s="8" t="str">
        <f>IF(L63="","",VLOOKUP(L63,引用表合并!$A:$B,2,FALSE))</f>
        <v>部位材料(裤子)</v>
      </c>
      <c r="L63" s="8">
        <v>72010</v>
      </c>
      <c r="M63" s="8">
        <v>2</v>
      </c>
      <c r="N63" s="10">
        <v>6000</v>
      </c>
      <c r="O63" s="8" t="str">
        <f>IF(P63="","",VLOOKUP(P63,引用表合并!$A:$B,2,FALSE))</f>
        <v/>
      </c>
      <c r="P63" s="8"/>
      <c r="Q63" s="8"/>
      <c r="S63" s="8" t="str">
        <f>IF(T63="","",VLOOKUP(T63,引用表合并!$A:$B,2,FALSE))</f>
        <v/>
      </c>
      <c r="T63" s="8"/>
      <c r="U63" s="8"/>
      <c r="W63" s="8" t="str">
        <f>IF(X63="","",VLOOKUP(X63,引用表合并!$A:$B,2,FALSE))</f>
        <v/>
      </c>
      <c r="X63" s="8"/>
      <c r="Y63" s="8"/>
      <c r="AA63" s="8" t="str">
        <f>IF(AB63="","",VLOOKUP(AB63,引用表合并!$A:$B,2,FALSE))</f>
        <v/>
      </c>
      <c r="AB63" s="8"/>
      <c r="AC63" s="8"/>
      <c r="AE63" s="8" t="str">
        <f>IF(AF63="","",VLOOKUP(AF63,引用表合并!$A:$B,2,FALSE))</f>
        <v/>
      </c>
      <c r="AF63" s="8"/>
      <c r="AG63" s="8"/>
      <c r="AI63" s="8" t="str">
        <f>IF(AJ63="","",VLOOKUP(AJ63,引用表合并!$A:$B,2,FALSE))</f>
        <v/>
      </c>
      <c r="AJ63" s="8"/>
      <c r="AK63" s="8"/>
      <c r="AM63" s="8" t="str">
        <f>IF(AN63="","",VLOOKUP(AN63,引用表合并!$A:$B,2,FALSE))</f>
        <v/>
      </c>
      <c r="AN63" s="8"/>
      <c r="AO63" s="8"/>
      <c r="AQ63" s="8" t="str">
        <f>IF(AR63="","",VLOOKUP(AR63,引用表合并!$A:$B,2,FALSE))</f>
        <v/>
      </c>
      <c r="AR63" s="8"/>
      <c r="AS63" s="8"/>
      <c r="AU63" s="8" t="str">
        <f>IF(AV63="","",VLOOKUP(AV63,引用表合并!$A:$B,2,FALSE))</f>
        <v/>
      </c>
      <c r="AV63" s="8"/>
      <c r="AW63" s="8"/>
      <c r="AY63" s="8" t="str">
        <f>IF(AZ63="","",VLOOKUP(AZ63,引用表合并!$A:$B,2,FALSE))</f>
        <v/>
      </c>
      <c r="AZ63" s="8"/>
      <c r="BA63" s="8"/>
      <c r="BC63" s="8" t="str">
        <f>IF(BD63="","",VLOOKUP(BD63,引用表合并!$A:$B,2,FALSE))</f>
        <v/>
      </c>
      <c r="BD63" s="8"/>
      <c r="BF63" s="10"/>
      <c r="BG63" s="8" t="str">
        <f>IF(BH63="","",VLOOKUP(BH63,引用表合并!$A:$B,2,FALSE))</f>
        <v/>
      </c>
      <c r="BH63" s="8"/>
      <c r="BJ63" s="10"/>
      <c r="BK63" s="8" t="str">
        <f>IF(BL63="","",VLOOKUP(BL63,引用表合并!$A:$B,2,FALSE))</f>
        <v/>
      </c>
      <c r="BL63" s="8"/>
      <c r="BN63" s="10"/>
    </row>
    <row r="64" spans="1:66" x14ac:dyDescent="0.15">
      <c r="A64" s="10">
        <v>7007</v>
      </c>
      <c r="B64" s="8" t="str">
        <f>"地图:"&amp;VLOOKUP(A64,[1]地图配置辅助表!$A$3:$E$229,4,FALSE)</f>
        <v>地图:狂龙出海</v>
      </c>
      <c r="C64" s="8">
        <v>0</v>
      </c>
      <c r="D64" s="8">
        <f t="shared" ref="D64:D66" si="10">E64</f>
        <v>2</v>
      </c>
      <c r="E64" s="16">
        <f t="shared" si="0"/>
        <v>2</v>
      </c>
      <c r="F64" s="16">
        <v>1</v>
      </c>
      <c r="G64" s="8" t="str">
        <f>IF(H64="","",VLOOKUP(H64,引用表合并!$A:$B,2,FALSE))</f>
        <v>高级装备升级石</v>
      </c>
      <c r="H64" s="8">
        <v>85200</v>
      </c>
      <c r="I64" s="8">
        <v>1</v>
      </c>
      <c r="J64" s="10">
        <v>4000</v>
      </c>
      <c r="K64" s="8" t="str">
        <f>IF(L64="","",VLOOKUP(L64,引用表合并!$A:$B,2,FALSE))</f>
        <v>部位材料(鞋子)</v>
      </c>
      <c r="L64" s="8">
        <v>75010</v>
      </c>
      <c r="M64" s="8">
        <v>2</v>
      </c>
      <c r="N64" s="10">
        <v>6000</v>
      </c>
      <c r="O64" s="8" t="str">
        <f>IF(P64="","",VLOOKUP(P64,引用表合并!$A:$B,2,FALSE))</f>
        <v/>
      </c>
      <c r="P64" s="8"/>
      <c r="Q64" s="8"/>
      <c r="S64" s="8" t="str">
        <f>IF(T64="","",VLOOKUP(T64,引用表合并!$A:$B,2,FALSE))</f>
        <v/>
      </c>
      <c r="T64" s="8"/>
      <c r="U64" s="8"/>
      <c r="W64" s="8" t="str">
        <f>IF(X64="","",VLOOKUP(X64,引用表合并!$A:$B,2,FALSE))</f>
        <v/>
      </c>
      <c r="X64" s="8"/>
      <c r="Y64" s="8"/>
      <c r="AA64" s="8" t="str">
        <f>IF(AB64="","",VLOOKUP(AB64,引用表合并!$A:$B,2,FALSE))</f>
        <v/>
      </c>
      <c r="AB64" s="8"/>
      <c r="AC64" s="8"/>
      <c r="AE64" s="8" t="str">
        <f>IF(AF64="","",VLOOKUP(AF64,引用表合并!$A:$B,2,FALSE))</f>
        <v/>
      </c>
      <c r="AF64" s="8"/>
      <c r="AG64" s="8"/>
      <c r="AI64" s="8" t="str">
        <f>IF(AJ64="","",VLOOKUP(AJ64,引用表合并!$A:$B,2,FALSE))</f>
        <v/>
      </c>
      <c r="AJ64" s="8"/>
      <c r="AK64" s="8"/>
      <c r="AM64" s="8" t="str">
        <f>IF(AN64="","",VLOOKUP(AN64,引用表合并!$A:$B,2,FALSE))</f>
        <v/>
      </c>
      <c r="AN64" s="8"/>
      <c r="AO64" s="8"/>
      <c r="AQ64" s="8" t="str">
        <f>IF(AR64="","",VLOOKUP(AR64,引用表合并!$A:$B,2,FALSE))</f>
        <v/>
      </c>
      <c r="AR64" s="8"/>
      <c r="AS64" s="8"/>
      <c r="AU64" s="8" t="str">
        <f>IF(AV64="","",VLOOKUP(AV64,引用表合并!$A:$B,2,FALSE))</f>
        <v/>
      </c>
      <c r="AV64" s="8"/>
      <c r="AW64" s="8"/>
      <c r="AY64" s="8" t="str">
        <f>IF(AZ64="","",VLOOKUP(AZ64,引用表合并!$A:$B,2,FALSE))</f>
        <v/>
      </c>
      <c r="AZ64" s="8"/>
      <c r="BA64" s="8"/>
      <c r="BC64" s="8" t="str">
        <f>IF(BD64="","",VLOOKUP(BD64,引用表合并!$A:$B,2,FALSE))</f>
        <v/>
      </c>
      <c r="BD64" s="8"/>
      <c r="BF64" s="10"/>
      <c r="BG64" s="8" t="str">
        <f>IF(BH64="","",VLOOKUP(BH64,引用表合并!$A:$B,2,FALSE))</f>
        <v/>
      </c>
      <c r="BH64" s="8"/>
      <c r="BJ64" s="10"/>
      <c r="BK64" s="8" t="str">
        <f>IF(BL64="","",VLOOKUP(BL64,引用表合并!$A:$B,2,FALSE))</f>
        <v/>
      </c>
      <c r="BL64" s="8"/>
      <c r="BN64" s="10"/>
    </row>
    <row r="65" spans="1:66" x14ac:dyDescent="0.15">
      <c r="A65" s="10">
        <v>7008</v>
      </c>
      <c r="B65" s="8" t="str">
        <f>"地图:"&amp;VLOOKUP(A65,[1]地图配置辅助表!$A$3:$E$229,4,FALSE)</f>
        <v>地图:兵临城下</v>
      </c>
      <c r="C65" s="8">
        <v>0</v>
      </c>
      <c r="D65" s="8">
        <f t="shared" si="10"/>
        <v>2</v>
      </c>
      <c r="E65" s="16">
        <f t="shared" si="0"/>
        <v>2</v>
      </c>
      <c r="F65" s="16">
        <v>1</v>
      </c>
      <c r="G65" s="8" t="str">
        <f>IF(H65="","",VLOOKUP(H65,引用表合并!$A:$B,2,FALSE))</f>
        <v>高级装备升级石</v>
      </c>
      <c r="H65" s="8">
        <v>85200</v>
      </c>
      <c r="I65" s="8">
        <v>1</v>
      </c>
      <c r="J65" s="10">
        <v>4000</v>
      </c>
      <c r="K65" s="8" t="str">
        <f>IF(L65="","",VLOOKUP(L65,引用表合并!$A:$B,2,FALSE))</f>
        <v>部位材料(腰带)</v>
      </c>
      <c r="L65" s="8">
        <v>74010</v>
      </c>
      <c r="M65" s="8">
        <v>2</v>
      </c>
      <c r="N65" s="10">
        <v>6000</v>
      </c>
      <c r="O65" s="8" t="str">
        <f>IF(P65="","",VLOOKUP(P65,引用表合并!$A:$B,2,FALSE))</f>
        <v/>
      </c>
      <c r="P65" s="8"/>
      <c r="Q65" s="8"/>
      <c r="S65" s="8" t="str">
        <f>IF(T65="","",VLOOKUP(T65,引用表合并!$A:$B,2,FALSE))</f>
        <v/>
      </c>
      <c r="T65" s="8"/>
      <c r="U65" s="8"/>
      <c r="W65" s="8" t="str">
        <f>IF(X65="","",VLOOKUP(X65,引用表合并!$A:$B,2,FALSE))</f>
        <v/>
      </c>
      <c r="X65" s="8"/>
      <c r="Y65" s="8"/>
      <c r="AA65" s="8" t="str">
        <f>IF(AB65="","",VLOOKUP(AB65,引用表合并!$A:$B,2,FALSE))</f>
        <v/>
      </c>
      <c r="AB65" s="8"/>
      <c r="AC65" s="8"/>
      <c r="AE65" s="8" t="str">
        <f>IF(AF65="","",VLOOKUP(AF65,引用表合并!$A:$B,2,FALSE))</f>
        <v/>
      </c>
      <c r="AF65" s="8"/>
      <c r="AG65" s="8"/>
      <c r="AI65" s="8" t="str">
        <f>IF(AJ65="","",VLOOKUP(AJ65,引用表合并!$A:$B,2,FALSE))</f>
        <v/>
      </c>
      <c r="AJ65" s="8"/>
      <c r="AK65" s="8"/>
      <c r="AM65" s="8" t="str">
        <f>IF(AN65="","",VLOOKUP(AN65,引用表合并!$A:$B,2,FALSE))</f>
        <v/>
      </c>
      <c r="AN65" s="8"/>
      <c r="AO65" s="8"/>
      <c r="AQ65" s="8" t="str">
        <f>IF(AR65="","",VLOOKUP(AR65,引用表合并!$A:$B,2,FALSE))</f>
        <v/>
      </c>
      <c r="AR65" s="8"/>
      <c r="AS65" s="8"/>
      <c r="AU65" s="8" t="str">
        <f>IF(AV65="","",VLOOKUP(AV65,引用表合并!$A:$B,2,FALSE))</f>
        <v/>
      </c>
      <c r="AV65" s="8"/>
      <c r="AW65" s="8"/>
      <c r="AY65" s="8" t="str">
        <f>IF(AZ65="","",VLOOKUP(AZ65,引用表合并!$A:$B,2,FALSE))</f>
        <v/>
      </c>
      <c r="AZ65" s="8"/>
      <c r="BA65" s="8"/>
      <c r="BC65" s="8" t="str">
        <f>IF(BD65="","",VLOOKUP(BD65,引用表合并!$A:$B,2,FALSE))</f>
        <v/>
      </c>
      <c r="BD65" s="8"/>
      <c r="BF65" s="10"/>
      <c r="BG65" s="8" t="str">
        <f>IF(BH65="","",VLOOKUP(BH65,引用表合并!$A:$B,2,FALSE))</f>
        <v/>
      </c>
      <c r="BH65" s="8"/>
      <c r="BJ65" s="10"/>
      <c r="BK65" s="8" t="str">
        <f>IF(BL65="","",VLOOKUP(BL65,引用表合并!$A:$B,2,FALSE))</f>
        <v/>
      </c>
      <c r="BL65" s="8"/>
      <c r="BN65" s="10"/>
    </row>
    <row r="66" spans="1:66" x14ac:dyDescent="0.15">
      <c r="A66" s="10">
        <v>7009</v>
      </c>
      <c r="B66" s="8" t="str">
        <f>"地图:"&amp;VLOOKUP(A66,[1]地图配置辅助表!$A$3:$E$229,4,FALSE)</f>
        <v>地图:决战东京</v>
      </c>
      <c r="C66" s="8">
        <v>0</v>
      </c>
      <c r="D66" s="8">
        <f t="shared" si="10"/>
        <v>2</v>
      </c>
      <c r="E66" s="16">
        <f t="shared" ref="E66:E129" si="11">COUNTIF(G66:FJ66,"&gt;0")/3</f>
        <v>2</v>
      </c>
      <c r="F66" s="16">
        <v>1</v>
      </c>
      <c r="G66" s="8" t="str">
        <f>IF(H66="","",VLOOKUP(H66,引用表合并!$A:$B,2,FALSE))</f>
        <v>高级装备升级石</v>
      </c>
      <c r="H66" s="8">
        <v>85200</v>
      </c>
      <c r="I66" s="8">
        <v>1</v>
      </c>
      <c r="J66" s="10">
        <v>4000</v>
      </c>
      <c r="K66" s="8" t="str">
        <f>IF(L66="","",VLOOKUP(L66,引用表合并!$A:$B,2,FALSE))</f>
        <v>部位材料(衣服)</v>
      </c>
      <c r="L66" s="8">
        <v>71010</v>
      </c>
      <c r="M66" s="8">
        <v>2</v>
      </c>
      <c r="N66" s="10">
        <v>6000</v>
      </c>
      <c r="O66" s="8" t="str">
        <f>IF(P66="","",VLOOKUP(P66,引用表合并!$A:$B,2,FALSE))</f>
        <v/>
      </c>
      <c r="P66" s="8"/>
      <c r="Q66" s="8"/>
      <c r="S66" s="8" t="str">
        <f>IF(T66="","",VLOOKUP(T66,引用表合并!$A:$B,2,FALSE))</f>
        <v/>
      </c>
      <c r="T66" s="8"/>
      <c r="U66" s="8"/>
      <c r="W66" s="8" t="str">
        <f>IF(X66="","",VLOOKUP(X66,引用表合并!$A:$B,2,FALSE))</f>
        <v/>
      </c>
      <c r="X66" s="8"/>
      <c r="Y66" s="8"/>
      <c r="AA66" s="8" t="str">
        <f>IF(AB66="","",VLOOKUP(AB66,引用表合并!$A:$B,2,FALSE))</f>
        <v/>
      </c>
      <c r="AB66" s="8"/>
      <c r="AC66" s="8"/>
      <c r="AE66" s="8" t="str">
        <f>IF(AF66="","",VLOOKUP(AF66,引用表合并!$A:$B,2,FALSE))</f>
        <v/>
      </c>
      <c r="AF66" s="8"/>
      <c r="AG66" s="8"/>
      <c r="AI66" s="8" t="str">
        <f>IF(AJ66="","",VLOOKUP(AJ66,引用表合并!$A:$B,2,FALSE))</f>
        <v/>
      </c>
      <c r="AJ66" s="8"/>
      <c r="AK66" s="8"/>
      <c r="AM66" s="8" t="str">
        <f>IF(AN66="","",VLOOKUP(AN66,引用表合并!$A:$B,2,FALSE))</f>
        <v/>
      </c>
      <c r="AN66" s="8"/>
      <c r="AO66" s="8"/>
      <c r="AQ66" s="8" t="str">
        <f>IF(AR66="","",VLOOKUP(AR66,引用表合并!$A:$B,2,FALSE))</f>
        <v/>
      </c>
      <c r="AR66" s="8"/>
      <c r="AS66" s="8"/>
      <c r="AU66" s="8" t="str">
        <f>IF(AV66="","",VLOOKUP(AV66,引用表合并!$A:$B,2,FALSE))</f>
        <v/>
      </c>
      <c r="AV66" s="8"/>
      <c r="AW66" s="8"/>
      <c r="AY66" s="8" t="str">
        <f>IF(AZ66="","",VLOOKUP(AZ66,引用表合并!$A:$B,2,FALSE))</f>
        <v/>
      </c>
      <c r="AZ66" s="8"/>
      <c r="BA66" s="8"/>
      <c r="BC66" s="8" t="str">
        <f>IF(BD66="","",VLOOKUP(BD66,引用表合并!$A:$B,2,FALSE))</f>
        <v/>
      </c>
      <c r="BD66" s="8"/>
      <c r="BF66" s="10"/>
      <c r="BG66" s="8" t="str">
        <f>IF(BH66="","",VLOOKUP(BH66,引用表合并!$A:$B,2,FALSE))</f>
        <v/>
      </c>
      <c r="BH66" s="8"/>
      <c r="BJ66" s="10"/>
      <c r="BK66" s="8" t="str">
        <f>IF(BL66="","",VLOOKUP(BL66,引用表合并!$A:$B,2,FALSE))</f>
        <v/>
      </c>
      <c r="BL66" s="8"/>
      <c r="BN66" s="10"/>
    </row>
    <row r="67" spans="1:66" x14ac:dyDescent="0.15">
      <c r="A67" s="10">
        <v>8001</v>
      </c>
      <c r="B67" s="8" t="str">
        <f>"地图:"&amp;VLOOKUP(A67,[1]地图配置辅助表!$A$3:$E$229,4,FALSE)</f>
        <v>地图:再战靓坤</v>
      </c>
      <c r="C67" s="8">
        <v>0</v>
      </c>
      <c r="D67" s="8">
        <f t="shared" si="4"/>
        <v>2</v>
      </c>
      <c r="E67" s="16">
        <f t="shared" si="11"/>
        <v>2</v>
      </c>
      <c r="F67" s="16">
        <v>1</v>
      </c>
      <c r="G67" s="8" t="str">
        <f>IF(H67="","",VLOOKUP(H67,引用表合并!$A:$B,2,FALSE))</f>
        <v>高级装备升级石</v>
      </c>
      <c r="H67" s="8">
        <v>85200</v>
      </c>
      <c r="I67" s="8">
        <v>1</v>
      </c>
      <c r="J67" s="10">
        <v>4000</v>
      </c>
      <c r="K67" s="8" t="str">
        <f>IF(L67="","",VLOOKUP(L67,引用表合并!$A:$B,2,FALSE))</f>
        <v>部位材料(武器)</v>
      </c>
      <c r="L67" s="8">
        <v>70010</v>
      </c>
      <c r="M67" s="8">
        <v>3</v>
      </c>
      <c r="N67" s="10">
        <v>5000</v>
      </c>
      <c r="O67" s="8" t="str">
        <f>IF(P67="","",VLOOKUP(P67,引用表合并!$A:$B,2,FALSE))</f>
        <v/>
      </c>
      <c r="P67" s="8"/>
      <c r="Q67" s="8"/>
      <c r="S67" s="8" t="str">
        <f>IF(T67="","",VLOOKUP(T67,引用表合并!$A:$B,2,FALSE))</f>
        <v/>
      </c>
      <c r="T67" s="8"/>
      <c r="U67" s="8"/>
      <c r="W67" s="8" t="str">
        <f>IF(X67="","",VLOOKUP(X67,引用表合并!$A:$B,2,FALSE))</f>
        <v/>
      </c>
      <c r="X67" s="8"/>
      <c r="Y67" s="8"/>
      <c r="AA67" s="8" t="str">
        <f>IF(AB67="","",VLOOKUP(AB67,引用表合并!$A:$B,2,FALSE))</f>
        <v/>
      </c>
      <c r="AB67" s="8"/>
      <c r="AC67" s="8"/>
      <c r="AE67" s="8" t="str">
        <f>IF(AF67="","",VLOOKUP(AF67,引用表合并!$A:$B,2,FALSE))</f>
        <v/>
      </c>
      <c r="AF67" s="8"/>
      <c r="AG67" s="8"/>
      <c r="AI67" s="8" t="str">
        <f>IF(AJ67="","",VLOOKUP(AJ67,引用表合并!$A:$B,2,FALSE))</f>
        <v/>
      </c>
      <c r="AJ67" s="8"/>
      <c r="AK67" s="8"/>
      <c r="AM67" s="8" t="str">
        <f>IF(AN67="","",VLOOKUP(AN67,引用表合并!$A:$B,2,FALSE))</f>
        <v/>
      </c>
      <c r="AN67" s="8"/>
      <c r="AO67" s="8"/>
      <c r="AQ67" s="8" t="str">
        <f>IF(AR67="","",VLOOKUP(AR67,引用表合并!$A:$B,2,FALSE))</f>
        <v/>
      </c>
      <c r="AR67" s="8"/>
      <c r="AS67" s="8"/>
      <c r="AU67" s="8" t="str">
        <f>IF(AV67="","",VLOOKUP(AV67,引用表合并!$A:$B,2,FALSE))</f>
        <v/>
      </c>
      <c r="AV67" s="8"/>
      <c r="AW67" s="8"/>
      <c r="AY67" s="8" t="str">
        <f>IF(AZ67="","",VLOOKUP(AZ67,引用表合并!$A:$B,2,FALSE))</f>
        <v/>
      </c>
      <c r="AZ67" s="8"/>
      <c r="BA67" s="8"/>
      <c r="BC67" s="8" t="str">
        <f>IF(BD67="","",VLOOKUP(BD67,引用表合并!$A:$B,2,FALSE))</f>
        <v/>
      </c>
      <c r="BD67" s="8"/>
      <c r="BF67" s="10"/>
      <c r="BG67" s="8" t="str">
        <f>IF(BH67="","",VLOOKUP(BH67,引用表合并!$A:$B,2,FALSE))</f>
        <v/>
      </c>
      <c r="BH67" s="8"/>
      <c r="BJ67" s="10"/>
      <c r="BK67" s="8" t="str">
        <f>IF(BL67="","",VLOOKUP(BL67,引用表合并!$A:$B,2,FALSE))</f>
        <v/>
      </c>
      <c r="BL67" s="8"/>
      <c r="BN67" s="10"/>
    </row>
    <row r="68" spans="1:66" x14ac:dyDescent="0.15">
      <c r="A68" s="10">
        <v>8002</v>
      </c>
      <c r="B68" s="8" t="str">
        <f>"地图:"&amp;VLOOKUP(A68,[1]地图配置辅助表!$A$3:$E$229,4,FALSE)</f>
        <v>地图:噩梦再临</v>
      </c>
      <c r="C68" s="8">
        <v>0</v>
      </c>
      <c r="D68" s="8">
        <f t="shared" si="4"/>
        <v>2</v>
      </c>
      <c r="E68" s="16">
        <f t="shared" si="11"/>
        <v>2</v>
      </c>
      <c r="F68" s="16">
        <v>1</v>
      </c>
      <c r="G68" s="8" t="str">
        <f>IF(H68="","",VLOOKUP(H68,引用表合并!$A:$B,2,FALSE))</f>
        <v>高级装备升级石</v>
      </c>
      <c r="H68" s="8">
        <v>85200</v>
      </c>
      <c r="I68" s="8">
        <v>1</v>
      </c>
      <c r="J68" s="10">
        <v>4000</v>
      </c>
      <c r="K68" s="8" t="str">
        <f>IF(L68="","",VLOOKUP(L68,引用表合并!$A:$B,2,FALSE))</f>
        <v>部位材料(项链)</v>
      </c>
      <c r="L68" s="8">
        <v>73010</v>
      </c>
      <c r="M68" s="8">
        <v>3</v>
      </c>
      <c r="N68" s="10">
        <v>5000</v>
      </c>
      <c r="O68" s="8" t="str">
        <f>IF(P68="","",VLOOKUP(P68,引用表合并!$A:$B,2,FALSE))</f>
        <v/>
      </c>
      <c r="P68" s="8"/>
      <c r="Q68" s="8"/>
      <c r="S68" s="8" t="str">
        <f>IF(T68="","",VLOOKUP(T68,引用表合并!$A:$B,2,FALSE))</f>
        <v/>
      </c>
      <c r="T68" s="8"/>
      <c r="U68" s="8"/>
      <c r="W68" s="8" t="str">
        <f>IF(X68="","",VLOOKUP(X68,引用表合并!$A:$B,2,FALSE))</f>
        <v/>
      </c>
      <c r="X68" s="8"/>
      <c r="Y68" s="8"/>
      <c r="AA68" s="8" t="str">
        <f>IF(AB68="","",VLOOKUP(AB68,引用表合并!$A:$B,2,FALSE))</f>
        <v/>
      </c>
      <c r="AB68" s="8"/>
      <c r="AC68" s="8"/>
      <c r="AE68" s="8" t="str">
        <f>IF(AF68="","",VLOOKUP(AF68,引用表合并!$A:$B,2,FALSE))</f>
        <v/>
      </c>
      <c r="AF68" s="8"/>
      <c r="AG68" s="8"/>
      <c r="AI68" s="8" t="str">
        <f>IF(AJ68="","",VLOOKUP(AJ68,引用表合并!$A:$B,2,FALSE))</f>
        <v/>
      </c>
      <c r="AJ68" s="8"/>
      <c r="AK68" s="8"/>
      <c r="AM68" s="8" t="str">
        <f>IF(AN68="","",VLOOKUP(AN68,引用表合并!$A:$B,2,FALSE))</f>
        <v/>
      </c>
      <c r="AN68" s="8"/>
      <c r="AO68" s="8"/>
      <c r="AQ68" s="8" t="str">
        <f>IF(AR68="","",VLOOKUP(AR68,引用表合并!$A:$B,2,FALSE))</f>
        <v/>
      </c>
      <c r="AR68" s="8"/>
      <c r="AS68" s="8"/>
      <c r="AU68" s="8" t="str">
        <f>IF(AV68="","",VLOOKUP(AV68,引用表合并!$A:$B,2,FALSE))</f>
        <v/>
      </c>
      <c r="AV68" s="8"/>
      <c r="AW68" s="8"/>
      <c r="AY68" s="8" t="str">
        <f>IF(AZ68="","",VLOOKUP(AZ68,引用表合并!$A:$B,2,FALSE))</f>
        <v/>
      </c>
      <c r="AZ68" s="8"/>
      <c r="BA68" s="8"/>
      <c r="BC68" s="8" t="str">
        <f>IF(BD68="","",VLOOKUP(BD68,引用表合并!$A:$B,2,FALSE))</f>
        <v/>
      </c>
      <c r="BD68" s="8"/>
      <c r="BF68" s="10"/>
      <c r="BG68" s="8" t="str">
        <f>IF(BH68="","",VLOOKUP(BH68,引用表合并!$A:$B,2,FALSE))</f>
        <v/>
      </c>
      <c r="BH68" s="8"/>
      <c r="BJ68" s="10"/>
      <c r="BK68" s="8" t="str">
        <f>IF(BL68="","",VLOOKUP(BL68,引用表合并!$A:$B,2,FALSE))</f>
        <v/>
      </c>
      <c r="BL68" s="8"/>
      <c r="BN68" s="10"/>
    </row>
    <row r="69" spans="1:66" x14ac:dyDescent="0.15">
      <c r="A69" s="10">
        <v>8003</v>
      </c>
      <c r="B69" s="8" t="str">
        <f>"地图:"&amp;VLOOKUP(A69,[1]地图配置辅助表!$A$3:$E$229,4,FALSE)</f>
        <v>地图:死性不改</v>
      </c>
      <c r="C69" s="8">
        <v>0</v>
      </c>
      <c r="D69" s="8">
        <f t="shared" si="4"/>
        <v>2</v>
      </c>
      <c r="E69" s="16">
        <f t="shared" si="11"/>
        <v>2</v>
      </c>
      <c r="F69" s="16">
        <v>1</v>
      </c>
      <c r="G69" s="8" t="str">
        <f>IF(H69="","",VLOOKUP(H69,引用表合并!$A:$B,2,FALSE))</f>
        <v>高级装备升级石</v>
      </c>
      <c r="H69" s="8">
        <v>85200</v>
      </c>
      <c r="I69" s="8">
        <v>1</v>
      </c>
      <c r="J69" s="10">
        <v>4000</v>
      </c>
      <c r="K69" s="8" t="str">
        <f>IF(L69="","",VLOOKUP(L69,引用表合并!$A:$B,2,FALSE))</f>
        <v>部位材料(裤子)</v>
      </c>
      <c r="L69" s="8">
        <v>72010</v>
      </c>
      <c r="M69" s="8">
        <v>3</v>
      </c>
      <c r="N69" s="10">
        <v>5000</v>
      </c>
      <c r="O69" s="8" t="str">
        <f>IF(P69="","",VLOOKUP(P69,引用表合并!$A:$B,2,FALSE))</f>
        <v/>
      </c>
      <c r="P69" s="8"/>
      <c r="Q69" s="8"/>
      <c r="S69" s="8" t="str">
        <f>IF(T69="","",VLOOKUP(T69,引用表合并!$A:$B,2,FALSE))</f>
        <v/>
      </c>
      <c r="T69" s="8"/>
      <c r="U69" s="8"/>
      <c r="W69" s="8" t="str">
        <f>IF(X69="","",VLOOKUP(X69,引用表合并!$A:$B,2,FALSE))</f>
        <v/>
      </c>
      <c r="X69" s="8"/>
      <c r="Y69" s="8"/>
      <c r="AA69" s="8" t="str">
        <f>IF(AB69="","",VLOOKUP(AB69,引用表合并!$A:$B,2,FALSE))</f>
        <v/>
      </c>
      <c r="AB69" s="8"/>
      <c r="AC69" s="8"/>
      <c r="AE69" s="8" t="str">
        <f>IF(AF69="","",VLOOKUP(AF69,引用表合并!$A:$B,2,FALSE))</f>
        <v/>
      </c>
      <c r="AF69" s="8"/>
      <c r="AG69" s="8"/>
      <c r="AI69" s="8" t="str">
        <f>IF(AJ69="","",VLOOKUP(AJ69,引用表合并!$A:$B,2,FALSE))</f>
        <v/>
      </c>
      <c r="AJ69" s="8"/>
      <c r="AK69" s="8"/>
      <c r="AM69" s="8" t="str">
        <f>IF(AN69="","",VLOOKUP(AN69,引用表合并!$A:$B,2,FALSE))</f>
        <v/>
      </c>
      <c r="AN69" s="8"/>
      <c r="AO69" s="8"/>
      <c r="AQ69" s="8" t="str">
        <f>IF(AR69="","",VLOOKUP(AR69,引用表合并!$A:$B,2,FALSE))</f>
        <v/>
      </c>
      <c r="AR69" s="8"/>
      <c r="AS69" s="8"/>
      <c r="AU69" s="8" t="str">
        <f>IF(AV69="","",VLOOKUP(AV69,引用表合并!$A:$B,2,FALSE))</f>
        <v/>
      </c>
      <c r="AV69" s="8"/>
      <c r="AW69" s="8"/>
      <c r="AY69" s="8" t="str">
        <f>IF(AZ69="","",VLOOKUP(AZ69,引用表合并!$A:$B,2,FALSE))</f>
        <v/>
      </c>
      <c r="AZ69" s="8"/>
      <c r="BA69" s="8"/>
      <c r="BC69" s="8" t="str">
        <f>IF(BD69="","",VLOOKUP(BD69,引用表合并!$A:$B,2,FALSE))</f>
        <v/>
      </c>
      <c r="BD69" s="8"/>
      <c r="BF69" s="10"/>
      <c r="BG69" s="8" t="str">
        <f>IF(BH69="","",VLOOKUP(BH69,引用表合并!$A:$B,2,FALSE))</f>
        <v/>
      </c>
      <c r="BH69" s="8"/>
      <c r="BJ69" s="10"/>
      <c r="BK69" s="8" t="str">
        <f>IF(BL69="","",VLOOKUP(BL69,引用表合并!$A:$B,2,FALSE))</f>
        <v/>
      </c>
      <c r="BL69" s="8"/>
      <c r="BN69" s="10"/>
    </row>
    <row r="70" spans="1:66" x14ac:dyDescent="0.15">
      <c r="A70" s="10">
        <v>8004</v>
      </c>
      <c r="B70" s="8" t="str">
        <f>"地图:"&amp;VLOOKUP(A70,[1]地图配置辅助表!$A$3:$E$229,4,FALSE)</f>
        <v>地图:阴魂不散</v>
      </c>
      <c r="C70" s="8">
        <v>0</v>
      </c>
      <c r="D70" s="8">
        <f t="shared" ref="D70:D72" si="12">E70</f>
        <v>2</v>
      </c>
      <c r="E70" s="16">
        <f t="shared" si="11"/>
        <v>2</v>
      </c>
      <c r="F70" s="16">
        <v>1</v>
      </c>
      <c r="G70" s="8" t="str">
        <f>IF(H70="","",VLOOKUP(H70,引用表合并!$A:$B,2,FALSE))</f>
        <v>高级装备升级石</v>
      </c>
      <c r="H70" s="8">
        <v>85200</v>
      </c>
      <c r="I70" s="8">
        <v>1</v>
      </c>
      <c r="J70" s="10">
        <v>4000</v>
      </c>
      <c r="K70" s="8" t="str">
        <f>IF(L70="","",VLOOKUP(L70,引用表合并!$A:$B,2,FALSE))</f>
        <v>部位材料(鞋子)</v>
      </c>
      <c r="L70" s="8">
        <v>75010</v>
      </c>
      <c r="M70" s="8">
        <v>3</v>
      </c>
      <c r="N70" s="10">
        <v>5000</v>
      </c>
      <c r="O70" s="8" t="str">
        <f>IF(P70="","",VLOOKUP(P70,引用表合并!$A:$B,2,FALSE))</f>
        <v/>
      </c>
      <c r="P70" s="8"/>
      <c r="Q70" s="8"/>
      <c r="S70" s="8" t="str">
        <f>IF(T70="","",VLOOKUP(T70,引用表合并!$A:$B,2,FALSE))</f>
        <v/>
      </c>
      <c r="T70" s="8"/>
      <c r="U70" s="8"/>
      <c r="W70" s="8" t="str">
        <f>IF(X70="","",VLOOKUP(X70,引用表合并!$A:$B,2,FALSE))</f>
        <v/>
      </c>
      <c r="X70" s="8"/>
      <c r="Y70" s="8"/>
      <c r="AA70" s="8" t="str">
        <f>IF(AB70="","",VLOOKUP(AB70,引用表合并!$A:$B,2,FALSE))</f>
        <v/>
      </c>
      <c r="AB70" s="8"/>
      <c r="AC70" s="8"/>
      <c r="AE70" s="8" t="str">
        <f>IF(AF70="","",VLOOKUP(AF70,引用表合并!$A:$B,2,FALSE))</f>
        <v/>
      </c>
      <c r="AF70" s="8"/>
      <c r="AG70" s="8"/>
      <c r="AI70" s="8" t="str">
        <f>IF(AJ70="","",VLOOKUP(AJ70,引用表合并!$A:$B,2,FALSE))</f>
        <v/>
      </c>
      <c r="AJ70" s="8"/>
      <c r="AK70" s="8"/>
      <c r="AM70" s="8" t="str">
        <f>IF(AN70="","",VLOOKUP(AN70,引用表合并!$A:$B,2,FALSE))</f>
        <v/>
      </c>
      <c r="AN70" s="8"/>
      <c r="AO70" s="8"/>
      <c r="AQ70" s="8" t="str">
        <f>IF(AR70="","",VLOOKUP(AR70,引用表合并!$A:$B,2,FALSE))</f>
        <v/>
      </c>
      <c r="AR70" s="8"/>
      <c r="AS70" s="8"/>
      <c r="AU70" s="8" t="str">
        <f>IF(AV70="","",VLOOKUP(AV70,引用表合并!$A:$B,2,FALSE))</f>
        <v/>
      </c>
      <c r="AV70" s="8"/>
      <c r="AW70" s="8"/>
      <c r="AY70" s="8" t="str">
        <f>IF(AZ70="","",VLOOKUP(AZ70,引用表合并!$A:$B,2,FALSE))</f>
        <v/>
      </c>
      <c r="AZ70" s="8"/>
      <c r="BA70" s="8"/>
      <c r="BC70" s="8" t="str">
        <f>IF(BD70="","",VLOOKUP(BD70,引用表合并!$A:$B,2,FALSE))</f>
        <v/>
      </c>
      <c r="BD70" s="8"/>
      <c r="BF70" s="10"/>
      <c r="BG70" s="8" t="str">
        <f>IF(BH70="","",VLOOKUP(BH70,引用表合并!$A:$B,2,FALSE))</f>
        <v/>
      </c>
      <c r="BH70" s="8"/>
      <c r="BJ70" s="10"/>
      <c r="BK70" s="8" t="str">
        <f>IF(BL70="","",VLOOKUP(BL70,引用表合并!$A:$B,2,FALSE))</f>
        <v/>
      </c>
      <c r="BL70" s="8"/>
      <c r="BN70" s="10"/>
    </row>
    <row r="71" spans="1:66" x14ac:dyDescent="0.15">
      <c r="A71" s="10">
        <v>8005</v>
      </c>
      <c r="B71" s="8" t="str">
        <f>"地图:"&amp;VLOOKUP(A71,[1]地图配置辅助表!$A$3:$E$229,4,FALSE)</f>
        <v>地图:意外强敌</v>
      </c>
      <c r="C71" s="8">
        <v>0</v>
      </c>
      <c r="D71" s="8">
        <f t="shared" si="12"/>
        <v>2</v>
      </c>
      <c r="E71" s="16">
        <f t="shared" si="11"/>
        <v>2</v>
      </c>
      <c r="F71" s="16">
        <v>1</v>
      </c>
      <c r="G71" s="8" t="str">
        <f>IF(H71="","",VLOOKUP(H71,引用表合并!$A:$B,2,FALSE))</f>
        <v>高级装备升级石</v>
      </c>
      <c r="H71" s="8">
        <v>85200</v>
      </c>
      <c r="I71" s="8">
        <v>1</v>
      </c>
      <c r="J71" s="10">
        <v>4000</v>
      </c>
      <c r="K71" s="8" t="str">
        <f>IF(L71="","",VLOOKUP(L71,引用表合并!$A:$B,2,FALSE))</f>
        <v>部位材料(腰带)</v>
      </c>
      <c r="L71" s="8">
        <v>74010</v>
      </c>
      <c r="M71" s="8">
        <v>3</v>
      </c>
      <c r="N71" s="10">
        <v>5000</v>
      </c>
      <c r="O71" s="8" t="str">
        <f>IF(P71="","",VLOOKUP(P71,引用表合并!$A:$B,2,FALSE))</f>
        <v/>
      </c>
      <c r="P71" s="8"/>
      <c r="Q71" s="8"/>
      <c r="S71" s="8" t="str">
        <f>IF(T71="","",VLOOKUP(T71,引用表合并!$A:$B,2,FALSE))</f>
        <v/>
      </c>
      <c r="T71" s="8"/>
      <c r="U71" s="8"/>
      <c r="W71" s="8" t="str">
        <f>IF(X71="","",VLOOKUP(X71,引用表合并!$A:$B,2,FALSE))</f>
        <v/>
      </c>
      <c r="X71" s="8"/>
      <c r="Y71" s="8"/>
      <c r="AA71" s="8" t="str">
        <f>IF(AB71="","",VLOOKUP(AB71,引用表合并!$A:$B,2,FALSE))</f>
        <v/>
      </c>
      <c r="AB71" s="8"/>
      <c r="AC71" s="8"/>
      <c r="AE71" s="8" t="str">
        <f>IF(AF71="","",VLOOKUP(AF71,引用表合并!$A:$B,2,FALSE))</f>
        <v/>
      </c>
      <c r="AF71" s="8"/>
      <c r="AG71" s="8"/>
      <c r="AI71" s="8" t="str">
        <f>IF(AJ71="","",VLOOKUP(AJ71,引用表合并!$A:$B,2,FALSE))</f>
        <v/>
      </c>
      <c r="AJ71" s="8"/>
      <c r="AK71" s="8"/>
      <c r="AM71" s="8" t="str">
        <f>IF(AN71="","",VLOOKUP(AN71,引用表合并!$A:$B,2,FALSE))</f>
        <v/>
      </c>
      <c r="AN71" s="8"/>
      <c r="AO71" s="8"/>
      <c r="AQ71" s="8" t="str">
        <f>IF(AR71="","",VLOOKUP(AR71,引用表合并!$A:$B,2,FALSE))</f>
        <v/>
      </c>
      <c r="AR71" s="8"/>
      <c r="AS71" s="8"/>
      <c r="AU71" s="8" t="str">
        <f>IF(AV71="","",VLOOKUP(AV71,引用表合并!$A:$B,2,FALSE))</f>
        <v/>
      </c>
      <c r="AV71" s="8"/>
      <c r="AW71" s="8"/>
      <c r="AY71" s="8" t="str">
        <f>IF(AZ71="","",VLOOKUP(AZ71,引用表合并!$A:$B,2,FALSE))</f>
        <v/>
      </c>
      <c r="AZ71" s="8"/>
      <c r="BA71" s="8"/>
      <c r="BC71" s="8" t="str">
        <f>IF(BD71="","",VLOOKUP(BD71,引用表合并!$A:$B,2,FALSE))</f>
        <v/>
      </c>
      <c r="BD71" s="8"/>
      <c r="BF71" s="10"/>
      <c r="BG71" s="8" t="str">
        <f>IF(BH71="","",VLOOKUP(BH71,引用表合并!$A:$B,2,FALSE))</f>
        <v/>
      </c>
      <c r="BH71" s="8"/>
      <c r="BJ71" s="10"/>
      <c r="BK71" s="8" t="str">
        <f>IF(BL71="","",VLOOKUP(BL71,引用表合并!$A:$B,2,FALSE))</f>
        <v/>
      </c>
      <c r="BL71" s="8"/>
      <c r="BN71" s="10"/>
    </row>
    <row r="72" spans="1:66" x14ac:dyDescent="0.15">
      <c r="A72" s="10">
        <v>8006</v>
      </c>
      <c r="B72" s="8" t="str">
        <f>"地图:"&amp;VLOOKUP(A72,[1]地图配置辅助表!$A$3:$E$229,4,FALSE)</f>
        <v>地图:复仇之战</v>
      </c>
      <c r="C72" s="8">
        <v>0</v>
      </c>
      <c r="D72" s="8">
        <f t="shared" si="12"/>
        <v>2</v>
      </c>
      <c r="E72" s="16">
        <f t="shared" si="11"/>
        <v>2</v>
      </c>
      <c r="F72" s="16">
        <v>1</v>
      </c>
      <c r="G72" s="8" t="str">
        <f>IF(H72="","",VLOOKUP(H72,引用表合并!$A:$B,2,FALSE))</f>
        <v>高级装备升级石</v>
      </c>
      <c r="H72" s="8">
        <v>85200</v>
      </c>
      <c r="I72" s="8">
        <v>1</v>
      </c>
      <c r="J72" s="10">
        <v>4000</v>
      </c>
      <c r="K72" s="8" t="str">
        <f>IF(L72="","",VLOOKUP(L72,引用表合并!$A:$B,2,FALSE))</f>
        <v>部位材料(衣服)</v>
      </c>
      <c r="L72" s="8">
        <v>71010</v>
      </c>
      <c r="M72" s="8">
        <v>3</v>
      </c>
      <c r="N72" s="10">
        <v>5000</v>
      </c>
      <c r="O72" s="8" t="str">
        <f>IF(P72="","",VLOOKUP(P72,引用表合并!$A:$B,2,FALSE))</f>
        <v/>
      </c>
      <c r="P72" s="8"/>
      <c r="Q72" s="8"/>
      <c r="S72" s="8" t="str">
        <f>IF(T72="","",VLOOKUP(T72,引用表合并!$A:$B,2,FALSE))</f>
        <v/>
      </c>
      <c r="T72" s="8"/>
      <c r="U72" s="8"/>
      <c r="W72" s="8" t="str">
        <f>IF(X72="","",VLOOKUP(X72,引用表合并!$A:$B,2,FALSE))</f>
        <v/>
      </c>
      <c r="X72" s="8"/>
      <c r="Y72" s="8"/>
      <c r="AA72" s="8"/>
      <c r="AB72" s="8"/>
      <c r="AC72" s="8"/>
      <c r="AE72" s="8"/>
      <c r="AF72" s="8"/>
      <c r="AG72" s="8"/>
      <c r="AI72" s="8" t="str">
        <f>IF(AJ72="","",VLOOKUP(AJ72,引用表合并!$A:$B,2,FALSE))</f>
        <v/>
      </c>
      <c r="AJ72" s="8"/>
      <c r="AK72" s="8"/>
      <c r="AM72" s="8" t="str">
        <f>IF(AN72="","",VLOOKUP(AN72,引用表合并!$A:$B,2,FALSE))</f>
        <v/>
      </c>
      <c r="AN72" s="8"/>
      <c r="AO72" s="8"/>
      <c r="AQ72" s="8" t="str">
        <f>IF(AR72="","",VLOOKUP(AR72,引用表合并!$A:$B,2,FALSE))</f>
        <v/>
      </c>
      <c r="AR72" s="8"/>
      <c r="AS72" s="8"/>
      <c r="AU72" s="8" t="str">
        <f>IF(AV72="","",VLOOKUP(AV72,引用表合并!$A:$B,2,FALSE))</f>
        <v/>
      </c>
      <c r="AV72" s="8"/>
      <c r="AW72" s="8"/>
      <c r="AY72" s="8" t="str">
        <f>IF(AZ72="","",VLOOKUP(AZ72,引用表合并!$A:$B,2,FALSE))</f>
        <v/>
      </c>
      <c r="AZ72" s="8"/>
      <c r="BA72" s="8"/>
      <c r="BC72" s="8" t="str">
        <f>IF(BD72="","",VLOOKUP(BD72,引用表合并!$A:$B,2,FALSE))</f>
        <v/>
      </c>
      <c r="BD72" s="8"/>
      <c r="BF72" s="10"/>
      <c r="BG72" s="8" t="str">
        <f>IF(BH72="","",VLOOKUP(BH72,引用表合并!$A:$B,2,FALSE))</f>
        <v/>
      </c>
      <c r="BH72" s="8"/>
      <c r="BJ72" s="10"/>
      <c r="BK72" s="8" t="str">
        <f>IF(BL72="","",VLOOKUP(BL72,引用表合并!$A:$B,2,FALSE))</f>
        <v/>
      </c>
      <c r="BL72" s="8"/>
      <c r="BN72" s="10"/>
    </row>
    <row r="73" spans="1:66" x14ac:dyDescent="0.15">
      <c r="A73" s="10">
        <v>8007</v>
      </c>
      <c r="B73" s="8" t="str">
        <f>"地图:"&amp;VLOOKUP(A73,[1]地图配置辅助表!$A$3:$E$229,4,FALSE)</f>
        <v>地图:劲敌出现</v>
      </c>
      <c r="C73" s="8">
        <v>0</v>
      </c>
      <c r="D73" s="8">
        <f t="shared" si="4"/>
        <v>2</v>
      </c>
      <c r="E73" s="16">
        <f t="shared" si="11"/>
        <v>2</v>
      </c>
      <c r="F73" s="16">
        <v>1</v>
      </c>
      <c r="G73" s="8" t="str">
        <f>IF(H73="","",VLOOKUP(H73,引用表合并!$A:$B,2,FALSE))</f>
        <v>高级装备升级石</v>
      </c>
      <c r="H73" s="8">
        <v>85200</v>
      </c>
      <c r="I73" s="8">
        <v>1</v>
      </c>
      <c r="J73" s="10">
        <v>4000</v>
      </c>
      <c r="K73" s="8" t="str">
        <f>IF(L73="","",VLOOKUP(L73,引用表合并!$A:$B,2,FALSE))</f>
        <v>部位材料(武器)</v>
      </c>
      <c r="L73" s="8">
        <v>70010</v>
      </c>
      <c r="M73" s="8">
        <v>3</v>
      </c>
      <c r="N73" s="10">
        <v>5000</v>
      </c>
      <c r="O73" s="8" t="str">
        <f>IF(P73="","",VLOOKUP(P73,引用表合并!$A:$B,2,FALSE))</f>
        <v/>
      </c>
      <c r="P73" s="8"/>
      <c r="Q73" s="8"/>
      <c r="S73" s="8" t="str">
        <f>IF(T73="","",VLOOKUP(T73,引用表合并!$A:$B,2,FALSE))</f>
        <v/>
      </c>
      <c r="T73" s="8"/>
      <c r="U73" s="8"/>
      <c r="W73" s="8" t="str">
        <f>IF(X73="","",VLOOKUP(X73,引用表合并!$A:$B,2,FALSE))</f>
        <v/>
      </c>
      <c r="X73" s="8"/>
      <c r="Y73" s="8"/>
      <c r="AA73" s="8" t="str">
        <f>IF(AB73="","",VLOOKUP(AB73,引用表合并!$A:$B,2,FALSE))</f>
        <v/>
      </c>
      <c r="AB73" s="8"/>
      <c r="AC73" s="8"/>
      <c r="AE73" s="8" t="str">
        <f>IF(AF73="","",VLOOKUP(AF73,引用表合并!$A:$B,2,FALSE))</f>
        <v/>
      </c>
      <c r="AF73" s="8"/>
      <c r="AG73" s="8"/>
      <c r="AI73" s="8" t="str">
        <f>IF(AJ73="","",VLOOKUP(AJ73,引用表合并!$A:$B,2,FALSE))</f>
        <v/>
      </c>
      <c r="AJ73" s="8"/>
      <c r="AK73" s="8"/>
      <c r="AM73" s="8" t="str">
        <f>IF(AN73="","",VLOOKUP(AN73,引用表合并!$A:$B,2,FALSE))</f>
        <v/>
      </c>
      <c r="AN73" s="8"/>
      <c r="AO73" s="8"/>
      <c r="AQ73" s="8" t="str">
        <f>IF(AR73="","",VLOOKUP(AR73,引用表合并!$A:$B,2,FALSE))</f>
        <v/>
      </c>
      <c r="AR73" s="8"/>
      <c r="AS73" s="8"/>
      <c r="AU73" s="8" t="str">
        <f>IF(AV73="","",VLOOKUP(AV73,引用表合并!$A:$B,2,FALSE))</f>
        <v/>
      </c>
      <c r="AV73" s="8"/>
      <c r="AW73" s="8"/>
      <c r="AY73" s="8" t="str">
        <f>IF(AZ73="","",VLOOKUP(AZ73,引用表合并!$A:$B,2,FALSE))</f>
        <v/>
      </c>
      <c r="AZ73" s="8"/>
      <c r="BA73" s="8"/>
      <c r="BC73" s="8" t="str">
        <f>IF(BD73="","",VLOOKUP(BD73,引用表合并!$A:$B,2,FALSE))</f>
        <v/>
      </c>
      <c r="BD73" s="8"/>
      <c r="BF73" s="10"/>
      <c r="BG73" s="8" t="str">
        <f>IF(BH73="","",VLOOKUP(BH73,引用表合并!$A:$B,2,FALSE))</f>
        <v/>
      </c>
      <c r="BH73" s="8"/>
      <c r="BJ73" s="10"/>
      <c r="BK73" s="8" t="str">
        <f>IF(BL73="","",VLOOKUP(BL73,引用表合并!$A:$B,2,FALSE))</f>
        <v/>
      </c>
      <c r="BL73" s="8"/>
      <c r="BN73" s="10"/>
    </row>
    <row r="74" spans="1:66" x14ac:dyDescent="0.15">
      <c r="A74" s="10">
        <v>8008</v>
      </c>
      <c r="B74" s="8" t="str">
        <f>"地图:"&amp;VLOOKUP(A74,[1]地图配置辅助表!$A$3:$E$229,4,FALSE)</f>
        <v>地图:约战山鸡</v>
      </c>
      <c r="C74" s="8">
        <v>0</v>
      </c>
      <c r="D74" s="8">
        <f t="shared" si="4"/>
        <v>2</v>
      </c>
      <c r="E74" s="16">
        <f t="shared" si="11"/>
        <v>2</v>
      </c>
      <c r="F74" s="16">
        <v>1</v>
      </c>
      <c r="G74" s="8" t="str">
        <f>IF(H74="","",VLOOKUP(H74,引用表合并!$A:$B,2,FALSE))</f>
        <v>高级装备升级石</v>
      </c>
      <c r="H74" s="8">
        <v>85200</v>
      </c>
      <c r="I74" s="8">
        <v>1</v>
      </c>
      <c r="J74" s="10">
        <v>4000</v>
      </c>
      <c r="K74" s="8" t="str">
        <f>IF(L74="","",VLOOKUP(L74,引用表合并!$A:$B,2,FALSE))</f>
        <v>部位材料(项链)</v>
      </c>
      <c r="L74" s="8">
        <v>73010</v>
      </c>
      <c r="M74" s="8">
        <v>3</v>
      </c>
      <c r="N74" s="10">
        <v>5000</v>
      </c>
      <c r="O74" s="8" t="str">
        <f>IF(P74="","",VLOOKUP(P74,引用表合并!$A:$B,2,FALSE))</f>
        <v/>
      </c>
      <c r="P74" s="8"/>
      <c r="Q74" s="8"/>
      <c r="S74" s="8" t="str">
        <f>IF(T74="","",VLOOKUP(T74,引用表合并!$A:$B,2,FALSE))</f>
        <v/>
      </c>
      <c r="T74" s="8"/>
      <c r="U74" s="8"/>
      <c r="W74" s="8" t="str">
        <f>IF(X74="","",VLOOKUP(X74,引用表合并!$A:$B,2,FALSE))</f>
        <v/>
      </c>
      <c r="X74" s="8"/>
      <c r="Y74" s="8"/>
      <c r="AA74" s="8" t="str">
        <f>IF(AB74="","",VLOOKUP(AB74,引用表合并!$A:$B,2,FALSE))</f>
        <v/>
      </c>
      <c r="AB74" s="8"/>
      <c r="AC74" s="8"/>
      <c r="AE74" s="8" t="str">
        <f>IF(AF74="","",VLOOKUP(AF74,引用表合并!$A:$B,2,FALSE))</f>
        <v/>
      </c>
      <c r="AF74" s="8"/>
      <c r="AG74" s="8"/>
      <c r="AI74" s="8" t="str">
        <f>IF(AJ74="","",VLOOKUP(AJ74,引用表合并!$A:$B,2,FALSE))</f>
        <v/>
      </c>
      <c r="AJ74" s="8"/>
      <c r="AK74" s="8"/>
      <c r="AM74" s="8" t="str">
        <f>IF(AN74="","",VLOOKUP(AN74,引用表合并!$A:$B,2,FALSE))</f>
        <v/>
      </c>
      <c r="AN74" s="8"/>
      <c r="AO74" s="8"/>
      <c r="AQ74" s="8" t="str">
        <f>IF(AR74="","",VLOOKUP(AR74,引用表合并!$A:$B,2,FALSE))</f>
        <v/>
      </c>
      <c r="AR74" s="8"/>
      <c r="AS74" s="8"/>
      <c r="AU74" s="8" t="str">
        <f>IF(AV74="","",VLOOKUP(AV74,引用表合并!$A:$B,2,FALSE))</f>
        <v/>
      </c>
      <c r="AV74" s="8"/>
      <c r="AW74" s="8"/>
      <c r="AY74" s="8" t="str">
        <f>IF(AZ74="","",VLOOKUP(AZ74,引用表合并!$A:$B,2,FALSE))</f>
        <v/>
      </c>
      <c r="AZ74" s="8"/>
      <c r="BA74" s="8"/>
      <c r="BC74" s="8" t="str">
        <f>IF(BD74="","",VLOOKUP(BD74,引用表合并!$A:$B,2,FALSE))</f>
        <v/>
      </c>
      <c r="BD74" s="8"/>
      <c r="BF74" s="10"/>
      <c r="BG74" s="8" t="str">
        <f>IF(BH74="","",VLOOKUP(BH74,引用表合并!$A:$B,2,FALSE))</f>
        <v/>
      </c>
      <c r="BH74" s="8"/>
      <c r="BJ74" s="10"/>
      <c r="BK74" s="8" t="str">
        <f>IF(BL74="","",VLOOKUP(BL74,引用表合并!$A:$B,2,FALSE))</f>
        <v/>
      </c>
      <c r="BL74" s="8"/>
      <c r="BN74" s="10"/>
    </row>
    <row r="75" spans="1:66" x14ac:dyDescent="0.15">
      <c r="A75" s="10">
        <v>8009</v>
      </c>
      <c r="B75" s="8" t="str">
        <f>"地图:"&amp;VLOOKUP(A75,[1]地图配置辅助表!$A$3:$E$229,4,FALSE)</f>
        <v>地图:揭穿雷复轰</v>
      </c>
      <c r="C75" s="8">
        <v>0</v>
      </c>
      <c r="D75" s="8">
        <f t="shared" si="4"/>
        <v>2</v>
      </c>
      <c r="E75" s="16">
        <f t="shared" si="11"/>
        <v>2</v>
      </c>
      <c r="F75" s="16">
        <v>1</v>
      </c>
      <c r="G75" s="8" t="str">
        <f>IF(H75="","",VLOOKUP(H75,引用表合并!$A:$B,2,FALSE))</f>
        <v>高级装备升级石</v>
      </c>
      <c r="H75" s="8">
        <v>85200</v>
      </c>
      <c r="I75" s="8">
        <v>1</v>
      </c>
      <c r="J75" s="10">
        <v>4000</v>
      </c>
      <c r="K75" s="8" t="str">
        <f>IF(L75="","",VLOOKUP(L75,引用表合并!$A:$B,2,FALSE))</f>
        <v>部位材料(裤子)</v>
      </c>
      <c r="L75" s="8">
        <v>72010</v>
      </c>
      <c r="M75" s="8">
        <v>3</v>
      </c>
      <c r="N75" s="10">
        <v>5000</v>
      </c>
      <c r="O75" s="8" t="str">
        <f>IF(P75="","",VLOOKUP(P75,引用表合并!$A:$B,2,FALSE))</f>
        <v/>
      </c>
      <c r="P75" s="8"/>
      <c r="Q75" s="8"/>
      <c r="S75" s="8" t="str">
        <f>IF(T75="","",VLOOKUP(T75,引用表合并!$A:$B,2,FALSE))</f>
        <v/>
      </c>
      <c r="T75" s="8"/>
      <c r="U75" s="8"/>
      <c r="W75" s="8" t="str">
        <f>IF(X75="","",VLOOKUP(X75,引用表合并!$A:$B,2,FALSE))</f>
        <v/>
      </c>
      <c r="X75" s="8"/>
      <c r="Y75" s="8"/>
      <c r="AA75" s="8"/>
      <c r="AB75" s="8"/>
      <c r="AC75" s="8"/>
      <c r="AE75" s="8"/>
      <c r="AF75" s="8"/>
      <c r="AG75" s="8"/>
      <c r="AI75" s="8" t="str">
        <f>IF(AJ75="","",VLOOKUP(AJ75,引用表合并!$A:$B,2,FALSE))</f>
        <v/>
      </c>
      <c r="AJ75" s="8"/>
      <c r="AK75" s="8"/>
      <c r="AM75" s="8" t="str">
        <f>IF(AN75="","",VLOOKUP(AN75,引用表合并!$A:$B,2,FALSE))</f>
        <v/>
      </c>
      <c r="AN75" s="8"/>
      <c r="AO75" s="8"/>
      <c r="AQ75" s="8" t="str">
        <f>IF(AR75="","",VLOOKUP(AR75,引用表合并!$A:$B,2,FALSE))</f>
        <v/>
      </c>
      <c r="AR75" s="8"/>
      <c r="AS75" s="8"/>
      <c r="AU75" s="8" t="str">
        <f>IF(AV75="","",VLOOKUP(AV75,引用表合并!$A:$B,2,FALSE))</f>
        <v/>
      </c>
      <c r="AV75" s="8"/>
      <c r="AW75" s="8"/>
      <c r="AY75" s="8" t="str">
        <f>IF(AZ75="","",VLOOKUP(AZ75,引用表合并!$A:$B,2,FALSE))</f>
        <v/>
      </c>
      <c r="AZ75" s="8"/>
      <c r="BA75" s="8"/>
      <c r="BC75" s="8" t="str">
        <f>IF(BD75="","",VLOOKUP(BD75,引用表合并!$A:$B,2,FALSE))</f>
        <v/>
      </c>
      <c r="BD75" s="8"/>
      <c r="BF75" s="10"/>
      <c r="BG75" s="8" t="str">
        <f>IF(BH75="","",VLOOKUP(BH75,引用表合并!$A:$B,2,FALSE))</f>
        <v/>
      </c>
      <c r="BH75" s="8"/>
      <c r="BJ75" s="10"/>
      <c r="BK75" s="8" t="str">
        <f>IF(BL75="","",VLOOKUP(BL75,引用表合并!$A:$B,2,FALSE))</f>
        <v/>
      </c>
      <c r="BL75" s="8"/>
      <c r="BN75" s="10"/>
    </row>
    <row r="76" spans="1:66" x14ac:dyDescent="0.15">
      <c r="A76" s="10">
        <v>1201</v>
      </c>
      <c r="B76" s="8" t="str">
        <f>"地图:"&amp;VLOOKUP(A76,[1]地图配置辅助表!$A$3:$E$229,4,FALSE)</f>
        <v>地图:精英巴闭</v>
      </c>
      <c r="C76" s="8">
        <v>0</v>
      </c>
      <c r="D76" s="8">
        <f t="shared" si="4"/>
        <v>3</v>
      </c>
      <c r="E76" s="16">
        <f t="shared" si="11"/>
        <v>3</v>
      </c>
      <c r="F76" s="16">
        <v>2</v>
      </c>
      <c r="G76" s="12" t="str">
        <f>IF(H76="","",VLOOKUP(H76,引用表合并!$A:$B,2,FALSE))</f>
        <v>幸运戒指</v>
      </c>
      <c r="H76" s="37">
        <v>92131</v>
      </c>
      <c r="I76" s="38">
        <v>1</v>
      </c>
      <c r="J76" s="38">
        <v>4000</v>
      </c>
      <c r="K76" s="12" t="str">
        <f>IF(L76="","",VLOOKUP(L76,引用表合并!$A:$B,2,FALSE))</f>
        <v>亚诺</v>
      </c>
      <c r="L76" s="73">
        <v>92011</v>
      </c>
      <c r="M76" s="78">
        <v>1</v>
      </c>
      <c r="N76" s="78">
        <v>3000</v>
      </c>
      <c r="O76" s="12" t="str">
        <f>IF(P76="","",VLOOKUP(P76,引用表合并!$A:$B,2,FALSE))</f>
        <v>银色手环</v>
      </c>
      <c r="P76" s="73">
        <v>92228</v>
      </c>
      <c r="Q76" s="78">
        <v>1</v>
      </c>
      <c r="R76" s="78">
        <v>3000</v>
      </c>
      <c r="S76" s="8" t="str">
        <f>IF(T76="","",VLOOKUP(T76,引用表合并!$A:$B,2,FALSE))</f>
        <v/>
      </c>
      <c r="T76" s="17"/>
      <c r="U76" s="8"/>
      <c r="W76" s="8" t="str">
        <f>IF(X76="","",VLOOKUP(X76,引用表合并!$A:$B,2,FALSE))</f>
        <v/>
      </c>
      <c r="X76" s="17"/>
      <c r="Y76" s="8"/>
      <c r="AA76" s="8"/>
      <c r="AB76" s="17"/>
      <c r="AC76" s="8"/>
      <c r="AE76" s="8"/>
      <c r="AF76" s="17"/>
      <c r="AG76" s="8"/>
      <c r="AI76" s="8" t="str">
        <f>IF(AJ76="","",VLOOKUP(AJ76,引用表合并!$A:$B,2,FALSE))</f>
        <v/>
      </c>
      <c r="AJ76" s="17"/>
      <c r="AK76" s="8"/>
      <c r="AM76" s="8" t="str">
        <f>IF(AN76="","",VLOOKUP(AN76,引用表合并!$A:$B,2,FALSE))</f>
        <v/>
      </c>
      <c r="AN76" s="17"/>
      <c r="AO76" s="8"/>
      <c r="AQ76" s="8" t="str">
        <f>IF(AR76="","",VLOOKUP(AR76,引用表合并!$A:$B,2,FALSE))</f>
        <v/>
      </c>
      <c r="AR76" s="17"/>
      <c r="AS76" s="8"/>
      <c r="AU76" s="8" t="str">
        <f>IF(AV76="","",VLOOKUP(AV76,引用表合并!$A:$B,2,FALSE))</f>
        <v/>
      </c>
      <c r="AV76" s="17"/>
      <c r="AW76" s="8"/>
      <c r="AY76" s="8" t="str">
        <f>IF(AZ76="","",VLOOKUP(AZ76,引用表合并!$A:$B,2,FALSE))</f>
        <v/>
      </c>
      <c r="AZ76" s="17"/>
      <c r="BA76" s="8"/>
      <c r="BC76" s="8" t="str">
        <f>IF(BD76="","",VLOOKUP(BD76,引用表合并!$A:$B,2,FALSE))</f>
        <v/>
      </c>
      <c r="BD76" s="17"/>
      <c r="BF76" s="10"/>
      <c r="BG76" s="8" t="str">
        <f>IF(BH76="","",VLOOKUP(BH76,引用表合并!$A:$B,2,FALSE))</f>
        <v/>
      </c>
      <c r="BH76" s="17"/>
      <c r="BJ76" s="10"/>
      <c r="BK76" s="8" t="str">
        <f>IF(BL76="","",VLOOKUP(BL76,引用表合并!$A:$B,2,FALSE))</f>
        <v/>
      </c>
      <c r="BL76" s="17"/>
      <c r="BN76" s="10"/>
    </row>
    <row r="77" spans="1:66" x14ac:dyDescent="0.15">
      <c r="A77" s="8">
        <v>1202</v>
      </c>
      <c r="B77" s="8" t="str">
        <f>"地图:"&amp;VLOOKUP(A77,[1]地图配置辅助表!$A$3:$E$229,4,FALSE)</f>
        <v>地图:精英大傻保镖</v>
      </c>
      <c r="C77" s="8">
        <v>0</v>
      </c>
      <c r="D77" s="8">
        <f t="shared" si="4"/>
        <v>3</v>
      </c>
      <c r="E77" s="16">
        <f t="shared" si="11"/>
        <v>3</v>
      </c>
      <c r="F77" s="16">
        <v>2</v>
      </c>
      <c r="G77" s="12" t="str">
        <f>IF(H77="","",VLOOKUP(H77,引用表合并!$A:$B,2,FALSE))</f>
        <v>亚诺</v>
      </c>
      <c r="H77" s="38">
        <v>92011</v>
      </c>
      <c r="I77" s="38">
        <v>1</v>
      </c>
      <c r="J77" s="38">
        <v>4000</v>
      </c>
      <c r="K77" s="12" t="str">
        <f>IF(L77="","",VLOOKUP(L77,引用表合并!$A:$B,2,FALSE))</f>
        <v>银色手环</v>
      </c>
      <c r="L77" s="73">
        <v>92228</v>
      </c>
      <c r="M77" s="78">
        <v>1</v>
      </c>
      <c r="N77" s="78">
        <v>3000</v>
      </c>
      <c r="O77" s="12" t="str">
        <f>IF(P77="","",VLOOKUP(P77,引用表合并!$A:$B,2,FALSE))</f>
        <v>鎏金手环</v>
      </c>
      <c r="P77" s="73">
        <v>92232</v>
      </c>
      <c r="Q77" s="78">
        <v>1</v>
      </c>
      <c r="R77" s="78">
        <v>3000</v>
      </c>
      <c r="S77" s="8" t="str">
        <f>IF(T77="","",VLOOKUP(T77,引用表合并!$A:$B,2,FALSE))</f>
        <v/>
      </c>
      <c r="T77" s="8"/>
      <c r="U77" s="8"/>
      <c r="W77" s="8" t="str">
        <f>IF(X77="","",VLOOKUP(X77,引用表合并!$A:$B,2,FALSE))</f>
        <v/>
      </c>
      <c r="X77" s="8"/>
      <c r="Y77" s="8"/>
      <c r="AA77" s="8"/>
      <c r="AB77" s="8"/>
      <c r="AC77" s="8"/>
      <c r="AE77" s="8"/>
      <c r="AF77" s="8"/>
      <c r="AG77" s="8"/>
      <c r="AI77" s="8" t="str">
        <f>IF(AJ77="","",VLOOKUP(AJ77,引用表合并!$A:$B,2,FALSE))</f>
        <v/>
      </c>
      <c r="AJ77" s="8"/>
      <c r="AK77" s="8"/>
      <c r="AM77" s="8" t="str">
        <f>IF(AN77="","",VLOOKUP(AN77,引用表合并!$A:$B,2,FALSE))</f>
        <v/>
      </c>
      <c r="AN77" s="8"/>
      <c r="AO77" s="8"/>
      <c r="AQ77" s="8" t="str">
        <f>IF(AR77="","",VLOOKUP(AR77,引用表合并!$A:$B,2,FALSE))</f>
        <v/>
      </c>
      <c r="AR77" s="8"/>
      <c r="AS77" s="8"/>
      <c r="AU77" s="8" t="str">
        <f>IF(AV77="","",VLOOKUP(AV77,引用表合并!$A:$B,2,FALSE))</f>
        <v/>
      </c>
      <c r="AV77" s="8"/>
      <c r="AW77" s="8"/>
      <c r="AY77" s="8" t="str">
        <f>IF(AZ77="","",VLOOKUP(AZ77,引用表合并!$A:$B,2,FALSE))</f>
        <v/>
      </c>
      <c r="AZ77" s="8"/>
      <c r="BA77" s="8"/>
      <c r="BC77" s="8" t="str">
        <f>IF(BD77="","",VLOOKUP(BD77,引用表合并!$A:$B,2,FALSE))</f>
        <v/>
      </c>
      <c r="BD77" s="8"/>
      <c r="BF77" s="10"/>
      <c r="BG77" s="8" t="str">
        <f>IF(BH77="","",VLOOKUP(BH77,引用表合并!$A:$B,2,FALSE))</f>
        <v/>
      </c>
      <c r="BH77" s="8"/>
      <c r="BJ77" s="10"/>
      <c r="BK77" s="8" t="str">
        <f>IF(BL77="","",VLOOKUP(BL77,引用表合并!$A:$B,2,FALSE))</f>
        <v/>
      </c>
      <c r="BL77" s="8"/>
      <c r="BN77" s="10"/>
    </row>
    <row r="78" spans="1:66" x14ac:dyDescent="0.15">
      <c r="A78" s="8">
        <v>1203</v>
      </c>
      <c r="B78" s="8" t="str">
        <f>"地图:"&amp;VLOOKUP(A78,[1]地图配置辅助表!$A$3:$E$229,4,FALSE)</f>
        <v>地图:精英偷车贼</v>
      </c>
      <c r="C78" s="8">
        <v>0</v>
      </c>
      <c r="D78" s="8">
        <f t="shared" si="4"/>
        <v>3</v>
      </c>
      <c r="E78" s="16">
        <f t="shared" si="11"/>
        <v>3</v>
      </c>
      <c r="F78" s="16">
        <v>2</v>
      </c>
      <c r="G78" s="12" t="str">
        <f>IF(H78="","",VLOOKUP(H78,引用表合并!$A:$B,2,FALSE))</f>
        <v>银色手环</v>
      </c>
      <c r="H78" s="38">
        <v>92228</v>
      </c>
      <c r="I78" s="38">
        <v>1</v>
      </c>
      <c r="J78" s="38">
        <v>4000</v>
      </c>
      <c r="K78" s="12" t="str">
        <f>IF(L78="","",VLOOKUP(L78,引用表合并!$A:$B,2,FALSE))</f>
        <v>鎏金手环</v>
      </c>
      <c r="L78" s="73">
        <v>92232</v>
      </c>
      <c r="M78" s="78">
        <v>1</v>
      </c>
      <c r="N78" s="78">
        <v>3000</v>
      </c>
      <c r="O78" s="12" t="str">
        <f>IF(P78="","",VLOOKUP(P78,引用表合并!$A:$B,2,FALSE))</f>
        <v>镀金耳钉</v>
      </c>
      <c r="P78" s="73">
        <v>92121</v>
      </c>
      <c r="Q78" s="78">
        <v>1</v>
      </c>
      <c r="R78" s="78">
        <v>3000</v>
      </c>
      <c r="S78" s="8" t="str">
        <f>IF(T78="","",VLOOKUP(T78,引用表合并!$A:$B,2,FALSE))</f>
        <v/>
      </c>
      <c r="T78" s="8"/>
      <c r="U78" s="8"/>
      <c r="W78" s="8" t="str">
        <f>IF(X78="","",VLOOKUP(X78,引用表合并!$A:$B,2,FALSE))</f>
        <v/>
      </c>
      <c r="X78" s="8"/>
      <c r="Y78" s="8"/>
      <c r="AA78" s="8"/>
      <c r="AB78" s="8"/>
      <c r="AC78" s="8"/>
      <c r="AE78" s="8"/>
      <c r="AF78" s="8"/>
      <c r="AG78" s="8"/>
      <c r="AI78" s="8" t="str">
        <f>IF(AJ78="","",VLOOKUP(AJ78,引用表合并!$A:$B,2,FALSE))</f>
        <v/>
      </c>
      <c r="AJ78" s="8"/>
      <c r="AK78" s="8"/>
      <c r="AM78" s="8" t="str">
        <f>IF(AN78="","",VLOOKUP(AN78,引用表合并!$A:$B,2,FALSE))</f>
        <v/>
      </c>
      <c r="AN78" s="8"/>
      <c r="AO78" s="8"/>
      <c r="AQ78" s="8" t="str">
        <f>IF(AR78="","",VLOOKUP(AR78,引用表合并!$A:$B,2,FALSE))</f>
        <v/>
      </c>
      <c r="AR78" s="8"/>
      <c r="AS78" s="8"/>
      <c r="AU78" s="8" t="str">
        <f>IF(AV78="","",VLOOKUP(AV78,引用表合并!$A:$B,2,FALSE))</f>
        <v/>
      </c>
      <c r="AV78" s="8"/>
      <c r="AW78" s="8"/>
      <c r="AY78" s="8" t="str">
        <f>IF(AZ78="","",VLOOKUP(AZ78,引用表合并!$A:$B,2,FALSE))</f>
        <v/>
      </c>
      <c r="AZ78" s="8"/>
      <c r="BA78" s="8"/>
      <c r="BC78" s="8" t="str">
        <f>IF(BD78="","",VLOOKUP(BD78,引用表合并!$A:$B,2,FALSE))</f>
        <v/>
      </c>
      <c r="BD78" s="8"/>
      <c r="BF78" s="10"/>
      <c r="BG78" s="8" t="str">
        <f>IF(BH78="","",VLOOKUP(BH78,引用表合并!$A:$B,2,FALSE))</f>
        <v/>
      </c>
      <c r="BH78" s="8"/>
      <c r="BJ78" s="10"/>
      <c r="BK78" s="8" t="str">
        <f>IF(BL78="","",VLOOKUP(BL78,引用表合并!$A:$B,2,FALSE))</f>
        <v/>
      </c>
      <c r="BL78" s="8"/>
      <c r="BN78" s="10"/>
    </row>
    <row r="79" spans="1:66" x14ac:dyDescent="0.15">
      <c r="A79" s="8">
        <v>1204</v>
      </c>
      <c r="B79" s="8" t="str">
        <f>"地图:"&amp;VLOOKUP(A79,[1]地图配置辅助表!$A$3:$E$229,4,FALSE)</f>
        <v>地图:精英丧彪手下</v>
      </c>
      <c r="C79" s="8">
        <v>0</v>
      </c>
      <c r="D79" s="8">
        <f t="shared" si="4"/>
        <v>3</v>
      </c>
      <c r="E79" s="16">
        <f t="shared" si="11"/>
        <v>3</v>
      </c>
      <c r="F79" s="16">
        <v>2</v>
      </c>
      <c r="G79" s="12" t="str">
        <f>IF(H79="","",VLOOKUP(H79,引用表合并!$A:$B,2,FALSE))</f>
        <v>鎏金手环</v>
      </c>
      <c r="H79" s="38">
        <v>92232</v>
      </c>
      <c r="I79" s="38">
        <v>1</v>
      </c>
      <c r="J79" s="38">
        <v>4000</v>
      </c>
      <c r="K79" s="12" t="str">
        <f>IF(L79="","",VLOOKUP(L79,引用表合并!$A:$B,2,FALSE))</f>
        <v>镀金耳钉</v>
      </c>
      <c r="L79" s="73">
        <v>92121</v>
      </c>
      <c r="M79" s="78">
        <v>1</v>
      </c>
      <c r="N79" s="78">
        <v>3000</v>
      </c>
      <c r="O79" s="12" t="str">
        <f>IF(P79="","",VLOOKUP(P79,引用表合并!$A:$B,2,FALSE))</f>
        <v>诅咒项链</v>
      </c>
      <c r="P79" s="73">
        <v>92243</v>
      </c>
      <c r="Q79" s="78">
        <v>1</v>
      </c>
      <c r="R79" s="78">
        <v>3000</v>
      </c>
      <c r="S79" s="8" t="str">
        <f>IF(T79="","",VLOOKUP(T79,引用表合并!$A:$B,2,FALSE))</f>
        <v/>
      </c>
      <c r="T79" s="8"/>
      <c r="U79" s="8"/>
      <c r="W79" s="8" t="str">
        <f>IF(X79="","",VLOOKUP(X79,引用表合并!$A:$B,2,FALSE))</f>
        <v/>
      </c>
      <c r="X79" s="8"/>
      <c r="Y79" s="8"/>
      <c r="AA79" s="8"/>
      <c r="AB79" s="8"/>
      <c r="AC79" s="8"/>
      <c r="AE79" s="8"/>
      <c r="AF79" s="8"/>
      <c r="AG79" s="8"/>
      <c r="AI79" s="8" t="str">
        <f>IF(AJ79="","",VLOOKUP(AJ79,引用表合并!$A:$B,2,FALSE))</f>
        <v/>
      </c>
      <c r="AJ79" s="8"/>
      <c r="AK79" s="8"/>
      <c r="AM79" s="8" t="str">
        <f>IF(AN79="","",VLOOKUP(AN79,引用表合并!$A:$B,2,FALSE))</f>
        <v/>
      </c>
      <c r="AN79" s="8"/>
      <c r="AO79" s="8"/>
      <c r="AQ79" s="8" t="str">
        <f>IF(AR79="","",VLOOKUP(AR79,引用表合并!$A:$B,2,FALSE))</f>
        <v/>
      </c>
      <c r="AR79" s="8"/>
      <c r="AS79" s="8"/>
      <c r="AU79" s="8" t="str">
        <f>IF(AV79="","",VLOOKUP(AV79,引用表合并!$A:$B,2,FALSE))</f>
        <v/>
      </c>
      <c r="AV79" s="8"/>
      <c r="AW79" s="8"/>
      <c r="AY79" s="8" t="str">
        <f>IF(AZ79="","",VLOOKUP(AZ79,引用表合并!$A:$B,2,FALSE))</f>
        <v/>
      </c>
      <c r="AZ79" s="8"/>
      <c r="BA79" s="8"/>
      <c r="BC79" s="8" t="str">
        <f>IF(BD79="","",VLOOKUP(BD79,引用表合并!$A:$B,2,FALSE))</f>
        <v/>
      </c>
      <c r="BD79" s="8"/>
      <c r="BF79" s="10"/>
      <c r="BG79" s="8" t="str">
        <f>IF(BH79="","",VLOOKUP(BH79,引用表合并!$A:$B,2,FALSE))</f>
        <v/>
      </c>
      <c r="BH79" s="8"/>
      <c r="BJ79" s="10"/>
      <c r="BK79" s="8" t="str">
        <f>IF(BL79="","",VLOOKUP(BL79,引用表合并!$A:$B,2,FALSE))</f>
        <v/>
      </c>
      <c r="BL79" s="8"/>
      <c r="BN79" s="10"/>
    </row>
    <row r="80" spans="1:66" x14ac:dyDescent="0.15">
      <c r="A80" s="8">
        <v>1205</v>
      </c>
      <c r="B80" s="8" t="str">
        <f>"地图:"&amp;VLOOKUP(A80,[1]地图配置辅助表!$A$3:$E$229,4,FALSE)</f>
        <v>地图:精英丧彪</v>
      </c>
      <c r="C80" s="8">
        <v>0</v>
      </c>
      <c r="D80" s="8">
        <f t="shared" si="4"/>
        <v>3</v>
      </c>
      <c r="E80" s="16">
        <f t="shared" si="11"/>
        <v>3</v>
      </c>
      <c r="F80" s="16">
        <v>2</v>
      </c>
      <c r="G80" s="12" t="str">
        <f>IF(H80="","",VLOOKUP(H80,引用表合并!$A:$B,2,FALSE))</f>
        <v>镀金耳钉</v>
      </c>
      <c r="H80" s="38">
        <v>92121</v>
      </c>
      <c r="I80" s="38">
        <v>1</v>
      </c>
      <c r="J80" s="38">
        <v>4000</v>
      </c>
      <c r="K80" s="12" t="str">
        <f>IF(L80="","",VLOOKUP(L80,引用表合并!$A:$B,2,FALSE))</f>
        <v>诅咒项链</v>
      </c>
      <c r="L80" s="73">
        <v>92243</v>
      </c>
      <c r="M80" s="78">
        <v>1</v>
      </c>
      <c r="N80" s="78">
        <v>3000</v>
      </c>
      <c r="O80" s="12" t="str">
        <f>IF(P80="","",VLOOKUP(P80,引用表合并!$A:$B,2,FALSE))</f>
        <v>金饰项链</v>
      </c>
      <c r="P80" s="73">
        <v>92244</v>
      </c>
      <c r="Q80" s="78">
        <v>1</v>
      </c>
      <c r="R80" s="78">
        <v>3000</v>
      </c>
      <c r="S80" s="8" t="str">
        <f>IF(T80="","",VLOOKUP(T80,引用表合并!$A:$B,2,FALSE))</f>
        <v/>
      </c>
      <c r="T80" s="8"/>
      <c r="U80" s="8"/>
      <c r="W80" s="8" t="str">
        <f>IF(X80="","",VLOOKUP(X80,引用表合并!$A:$B,2,FALSE))</f>
        <v/>
      </c>
      <c r="X80" s="8"/>
      <c r="Y80" s="8"/>
      <c r="AA80" s="8"/>
      <c r="AB80" s="8"/>
      <c r="AC80" s="8"/>
      <c r="AE80" s="8"/>
      <c r="AF80" s="8"/>
      <c r="AG80" s="8"/>
      <c r="AI80" s="8" t="str">
        <f>IF(AJ80="","",VLOOKUP(AJ80,引用表合并!$A:$B,2,FALSE))</f>
        <v/>
      </c>
      <c r="AJ80" s="8"/>
      <c r="AK80" s="8"/>
      <c r="AM80" s="8" t="str">
        <f>IF(AN80="","",VLOOKUP(AN80,引用表合并!$A:$B,2,FALSE))</f>
        <v/>
      </c>
      <c r="AN80" s="8"/>
      <c r="AO80" s="8"/>
      <c r="AQ80" s="8" t="str">
        <f>IF(AR80="","",VLOOKUP(AR80,引用表合并!$A:$B,2,FALSE))</f>
        <v/>
      </c>
      <c r="AR80" s="8"/>
      <c r="AS80" s="8"/>
      <c r="AU80" s="8" t="str">
        <f>IF(AV80="","",VLOOKUP(AV80,引用表合并!$A:$B,2,FALSE))</f>
        <v/>
      </c>
      <c r="AV80" s="8"/>
      <c r="AW80" s="8"/>
      <c r="AY80" s="8" t="str">
        <f>IF(AZ80="","",VLOOKUP(AZ80,引用表合并!$A:$B,2,FALSE))</f>
        <v/>
      </c>
      <c r="AZ80" s="8"/>
      <c r="BA80" s="8"/>
      <c r="BC80" s="8" t="str">
        <f>IF(BD80="","",VLOOKUP(BD80,引用表合并!$A:$B,2,FALSE))</f>
        <v/>
      </c>
      <c r="BD80" s="8"/>
      <c r="BF80" s="10"/>
      <c r="BG80" s="8" t="str">
        <f>IF(BH80="","",VLOOKUP(BH80,引用表合并!$A:$B,2,FALSE))</f>
        <v/>
      </c>
      <c r="BH80" s="8"/>
      <c r="BJ80" s="10"/>
      <c r="BK80" s="8" t="str">
        <f>IF(BL80="","",VLOOKUP(BL80,引用表合并!$A:$B,2,FALSE))</f>
        <v/>
      </c>
      <c r="BL80" s="8"/>
      <c r="BN80" s="10"/>
    </row>
    <row r="81" spans="1:66" x14ac:dyDescent="0.15">
      <c r="A81" s="8">
        <v>1206</v>
      </c>
      <c r="B81" s="8" t="str">
        <f>"地图:"&amp;VLOOKUP(A81,[1]地图配置辅助表!$A$3:$E$229,4,FALSE)</f>
        <v>地图:精英拦截者</v>
      </c>
      <c r="C81" s="8">
        <v>0</v>
      </c>
      <c r="D81" s="8">
        <f t="shared" si="4"/>
        <v>3</v>
      </c>
      <c r="E81" s="16">
        <f t="shared" si="11"/>
        <v>3</v>
      </c>
      <c r="F81" s="16">
        <v>2</v>
      </c>
      <c r="G81" s="12" t="str">
        <f>IF(H81="","",VLOOKUP(H81,引用表合并!$A:$B,2,FALSE))</f>
        <v>诅咒项链</v>
      </c>
      <c r="H81" s="38">
        <v>92243</v>
      </c>
      <c r="I81" s="38">
        <v>1</v>
      </c>
      <c r="J81" s="38">
        <v>4000</v>
      </c>
      <c r="K81" s="12" t="str">
        <f>IF(L81="","",VLOOKUP(L81,引用表合并!$A:$B,2,FALSE))</f>
        <v>金饰项链</v>
      </c>
      <c r="L81" s="73">
        <v>92244</v>
      </c>
      <c r="M81" s="78">
        <v>1</v>
      </c>
      <c r="N81" s="78">
        <v>3000</v>
      </c>
      <c r="O81" s="12" t="str">
        <f>IF(P81="","",VLOOKUP(P81,引用表合并!$A:$B,2,FALSE))</f>
        <v>银针手表</v>
      </c>
      <c r="P81" s="73">
        <v>92263</v>
      </c>
      <c r="Q81" s="78">
        <v>1</v>
      </c>
      <c r="R81" s="78">
        <v>3000</v>
      </c>
      <c r="S81" s="8"/>
      <c r="T81" s="8"/>
      <c r="U81" s="8"/>
      <c r="W81" s="8" t="str">
        <f>IF(X81="","",VLOOKUP(X81,引用表合并!$A:$B,2,FALSE))</f>
        <v/>
      </c>
      <c r="X81" s="8"/>
      <c r="Y81" s="8"/>
      <c r="AA81" s="8" t="str">
        <f>IF(AB81="","",VLOOKUP(AB81,引用表合并!$A:$B,2,FALSE))</f>
        <v/>
      </c>
      <c r="AB81" s="8"/>
      <c r="AC81" s="8"/>
      <c r="AE81" s="8" t="str">
        <f>IF(AF81="","",VLOOKUP(AF81,引用表合并!$A:$B,2,FALSE))</f>
        <v/>
      </c>
      <c r="AF81" s="8"/>
      <c r="AG81" s="8"/>
      <c r="AI81" s="8" t="str">
        <f>IF(AJ81="","",VLOOKUP(AJ81,引用表合并!$A:$B,2,FALSE))</f>
        <v/>
      </c>
      <c r="AJ81" s="8"/>
      <c r="AK81" s="8"/>
      <c r="AM81" s="8" t="str">
        <f>IF(AN81="","",VLOOKUP(AN81,引用表合并!$A:$B,2,FALSE))</f>
        <v/>
      </c>
      <c r="AN81" s="8"/>
      <c r="AO81" s="8"/>
      <c r="AQ81" s="8" t="str">
        <f>IF(AR81="","",VLOOKUP(AR81,引用表合并!$A:$B,2,FALSE))</f>
        <v/>
      </c>
      <c r="AR81" s="8"/>
      <c r="AS81" s="8"/>
      <c r="AU81" s="8" t="str">
        <f>IF(AV81="","",VLOOKUP(AV81,引用表合并!$A:$B,2,FALSE))</f>
        <v/>
      </c>
      <c r="AV81" s="8"/>
      <c r="AW81" s="8"/>
      <c r="AY81" s="8" t="str">
        <f>IF(AZ81="","",VLOOKUP(AZ81,引用表合并!$A:$B,2,FALSE))</f>
        <v/>
      </c>
      <c r="AZ81" s="8"/>
      <c r="BA81" s="8"/>
      <c r="BC81" s="8" t="str">
        <f>IF(BD81="","",VLOOKUP(BD81,引用表合并!$A:$B,2,FALSE))</f>
        <v/>
      </c>
      <c r="BD81" s="8"/>
      <c r="BF81" s="10"/>
      <c r="BG81" s="8" t="str">
        <f>IF(BH81="","",VLOOKUP(BH81,引用表合并!$A:$B,2,FALSE))</f>
        <v/>
      </c>
      <c r="BH81" s="8"/>
      <c r="BJ81" s="10"/>
      <c r="BK81" s="8" t="str">
        <f>IF(BL81="","",VLOOKUP(BL81,引用表合并!$A:$B,2,FALSE))</f>
        <v/>
      </c>
      <c r="BL81" s="8"/>
      <c r="BN81" s="10"/>
    </row>
    <row r="82" spans="1:66" x14ac:dyDescent="0.15">
      <c r="A82" s="49">
        <v>1207</v>
      </c>
      <c r="B82" s="8" t="str">
        <f>"地图:"&amp;VLOOKUP(A82,[1]地图配置辅助表!$A$3:$E$229,4,FALSE)</f>
        <v>地图:精英靓坤手下</v>
      </c>
      <c r="C82" s="8">
        <v>0</v>
      </c>
      <c r="D82" s="8">
        <f t="shared" ref="D82:D84" si="13">E82</f>
        <v>3</v>
      </c>
      <c r="E82" s="16">
        <f t="shared" si="11"/>
        <v>3</v>
      </c>
      <c r="F82" s="16">
        <v>2</v>
      </c>
      <c r="G82" s="12" t="str">
        <f>IF(H82="","",VLOOKUP(H82,引用表合并!$A:$B,2,FALSE))</f>
        <v>金饰项链</v>
      </c>
      <c r="H82" s="38">
        <v>92244</v>
      </c>
      <c r="I82" s="38">
        <v>1</v>
      </c>
      <c r="J82" s="38">
        <v>4000</v>
      </c>
      <c r="K82" s="12" t="str">
        <f>IF(L82="","",VLOOKUP(L82,引用表合并!$A:$B,2,FALSE))</f>
        <v>银针手表</v>
      </c>
      <c r="L82" s="73">
        <v>92263</v>
      </c>
      <c r="M82" s="78">
        <v>1</v>
      </c>
      <c r="N82" s="78">
        <v>3000</v>
      </c>
      <c r="O82" s="12" t="str">
        <f>IF(P82="","",VLOOKUP(P82,引用表合并!$A:$B,2,FALSE))</f>
        <v>冬利</v>
      </c>
      <c r="P82" s="73">
        <v>92277</v>
      </c>
      <c r="Q82" s="78">
        <v>1</v>
      </c>
      <c r="R82" s="78">
        <v>3000</v>
      </c>
      <c r="S82" s="8" t="str">
        <f>IF(T82="","",VLOOKUP(T82,引用表合并!$A:$B,2,FALSE))</f>
        <v/>
      </c>
      <c r="T82" s="8"/>
      <c r="U82" s="8"/>
      <c r="W82" s="8" t="str">
        <f>IF(X82="","",VLOOKUP(X82,引用表合并!$A:$B,2,FALSE))</f>
        <v/>
      </c>
      <c r="X82" s="8"/>
      <c r="Y82" s="8"/>
      <c r="AA82" s="8"/>
      <c r="AB82" s="8"/>
      <c r="AC82" s="8"/>
      <c r="AE82" s="8"/>
      <c r="AF82" s="8"/>
      <c r="AG82" s="8"/>
      <c r="AI82" s="8" t="str">
        <f>IF(AJ82="","",VLOOKUP(AJ82,引用表合并!$A:$B,2,FALSE))</f>
        <v/>
      </c>
      <c r="AJ82" s="8"/>
      <c r="AK82" s="8"/>
      <c r="AM82" s="8" t="str">
        <f>IF(AN82="","",VLOOKUP(AN82,引用表合并!$A:$B,2,FALSE))</f>
        <v/>
      </c>
      <c r="AN82" s="8"/>
      <c r="AO82" s="8"/>
      <c r="AQ82" s="8" t="str">
        <f>IF(AR82="","",VLOOKUP(AR82,引用表合并!$A:$B,2,FALSE))</f>
        <v/>
      </c>
      <c r="AR82" s="8"/>
      <c r="AS82" s="8"/>
      <c r="AU82" s="8" t="str">
        <f>IF(AV82="","",VLOOKUP(AV82,引用表合并!$A:$B,2,FALSE))</f>
        <v/>
      </c>
      <c r="AV82" s="8"/>
      <c r="AW82" s="8"/>
      <c r="AY82" s="8" t="str">
        <f>IF(AZ82="","",VLOOKUP(AZ82,引用表合并!$A:$B,2,FALSE))</f>
        <v/>
      </c>
      <c r="AZ82" s="8"/>
      <c r="BA82" s="8"/>
      <c r="BC82" s="8" t="str">
        <f>IF(BD82="","",VLOOKUP(BD82,引用表合并!$A:$B,2,FALSE))</f>
        <v/>
      </c>
      <c r="BD82" s="8"/>
      <c r="BF82" s="10"/>
      <c r="BG82" s="8" t="str">
        <f>IF(BH82="","",VLOOKUP(BH82,引用表合并!$A:$B,2,FALSE))</f>
        <v/>
      </c>
      <c r="BH82" s="8"/>
      <c r="BJ82" s="10"/>
      <c r="BK82" s="8" t="str">
        <f>IF(BL82="","",VLOOKUP(BL82,引用表合并!$A:$B,2,FALSE))</f>
        <v/>
      </c>
      <c r="BL82" s="8"/>
      <c r="BN82" s="10"/>
    </row>
    <row r="83" spans="1:66" x14ac:dyDescent="0.15">
      <c r="A83" s="49">
        <v>1208</v>
      </c>
      <c r="B83" s="8" t="str">
        <f>"地图:"&amp;VLOOKUP(A83,[1]地图配置辅助表!$A$3:$E$229,4,FALSE)</f>
        <v>地图:精英阿强</v>
      </c>
      <c r="C83" s="8">
        <v>0</v>
      </c>
      <c r="D83" s="8">
        <f t="shared" si="13"/>
        <v>3</v>
      </c>
      <c r="E83" s="16">
        <f t="shared" si="11"/>
        <v>3</v>
      </c>
      <c r="F83" s="16">
        <v>2</v>
      </c>
      <c r="G83" s="12" t="str">
        <f>IF(H83="","",VLOOKUP(H83,引用表合并!$A:$B,2,FALSE))</f>
        <v>银针手表</v>
      </c>
      <c r="H83" s="38">
        <v>92263</v>
      </c>
      <c r="I83" s="38">
        <v>1</v>
      </c>
      <c r="J83" s="38">
        <v>4000</v>
      </c>
      <c r="K83" s="12" t="str">
        <f>IF(L83="","",VLOOKUP(L83,引用表合并!$A:$B,2,FALSE))</f>
        <v>冬利</v>
      </c>
      <c r="L83" s="73">
        <v>92277</v>
      </c>
      <c r="M83" s="78">
        <v>1</v>
      </c>
      <c r="N83" s="78">
        <v>3000</v>
      </c>
      <c r="O83" s="12" t="str">
        <f>IF(P83="","",VLOOKUP(P83,引用表合并!$A:$B,2,FALSE))</f>
        <v>幸运戒指</v>
      </c>
      <c r="P83" s="73">
        <v>92131</v>
      </c>
      <c r="Q83" s="78">
        <v>1</v>
      </c>
      <c r="R83" s="78">
        <v>3000</v>
      </c>
      <c r="S83" s="8" t="str">
        <f>IF(T83="","",VLOOKUP(T83,引用表合并!$A:$B,2,FALSE))</f>
        <v/>
      </c>
      <c r="T83" s="8"/>
      <c r="U83" s="8"/>
      <c r="W83" s="8" t="str">
        <f>IF(X83="","",VLOOKUP(X83,引用表合并!$A:$B,2,FALSE))</f>
        <v/>
      </c>
      <c r="X83" s="8"/>
      <c r="Y83" s="8"/>
      <c r="AA83" s="8"/>
      <c r="AB83" s="8"/>
      <c r="AC83" s="8"/>
      <c r="AE83" s="8"/>
      <c r="AF83" s="8"/>
      <c r="AG83" s="8"/>
      <c r="AI83" s="8" t="str">
        <f>IF(AJ83="","",VLOOKUP(AJ83,引用表合并!$A:$B,2,FALSE))</f>
        <v/>
      </c>
      <c r="AJ83" s="8"/>
      <c r="AK83" s="8"/>
      <c r="AM83" s="8" t="str">
        <f>IF(AN83="","",VLOOKUP(AN83,引用表合并!$A:$B,2,FALSE))</f>
        <v/>
      </c>
      <c r="AN83" s="8"/>
      <c r="AO83" s="8"/>
      <c r="AQ83" s="8" t="str">
        <f>IF(AR83="","",VLOOKUP(AR83,引用表合并!$A:$B,2,FALSE))</f>
        <v/>
      </c>
      <c r="AR83" s="8"/>
      <c r="AS83" s="8"/>
      <c r="AU83" s="8" t="str">
        <f>IF(AV83="","",VLOOKUP(AV83,引用表合并!$A:$B,2,FALSE))</f>
        <v/>
      </c>
      <c r="AV83" s="8"/>
      <c r="AW83" s="8"/>
      <c r="AY83" s="8" t="str">
        <f>IF(AZ83="","",VLOOKUP(AZ83,引用表合并!$A:$B,2,FALSE))</f>
        <v/>
      </c>
      <c r="AZ83" s="8"/>
      <c r="BA83" s="8"/>
      <c r="BC83" s="8" t="str">
        <f>IF(BD83="","",VLOOKUP(BD83,引用表合并!$A:$B,2,FALSE))</f>
        <v/>
      </c>
      <c r="BD83" s="8"/>
      <c r="BF83" s="10"/>
      <c r="BG83" s="8" t="str">
        <f>IF(BH83="","",VLOOKUP(BH83,引用表合并!$A:$B,2,FALSE))</f>
        <v/>
      </c>
      <c r="BH83" s="8"/>
      <c r="BJ83" s="10"/>
      <c r="BK83" s="8" t="str">
        <f>IF(BL83="","",VLOOKUP(BL83,引用表合并!$A:$B,2,FALSE))</f>
        <v/>
      </c>
      <c r="BL83" s="8"/>
      <c r="BN83" s="10"/>
    </row>
    <row r="84" spans="1:66" x14ac:dyDescent="0.15">
      <c r="A84" s="49">
        <v>1209</v>
      </c>
      <c r="B84" s="8" t="str">
        <f>"地图:"&amp;VLOOKUP(A84,[1]地图配置辅助表!$A$3:$E$229,4,FALSE)</f>
        <v>地图:精英靓坤</v>
      </c>
      <c r="C84" s="8">
        <v>0</v>
      </c>
      <c r="D84" s="8">
        <f t="shared" si="13"/>
        <v>3</v>
      </c>
      <c r="E84" s="16">
        <f t="shared" si="11"/>
        <v>3</v>
      </c>
      <c r="F84" s="16">
        <v>2</v>
      </c>
      <c r="G84" s="12" t="str">
        <f>IF(H84="","",VLOOKUP(H84,引用表合并!$A:$B,2,FALSE))</f>
        <v>冬利</v>
      </c>
      <c r="H84" s="38">
        <v>92277</v>
      </c>
      <c r="I84" s="38">
        <v>1</v>
      </c>
      <c r="J84" s="38">
        <v>4000</v>
      </c>
      <c r="K84" s="12" t="str">
        <f>IF(L84="","",VLOOKUP(L84,引用表合并!$A:$B,2,FALSE))</f>
        <v>幸运戒指</v>
      </c>
      <c r="L84" s="73">
        <v>92131</v>
      </c>
      <c r="M84" s="78">
        <v>1</v>
      </c>
      <c r="N84" s="78">
        <v>3000</v>
      </c>
      <c r="O84" s="12" t="str">
        <f>IF(P84="","",VLOOKUP(P84,引用表合并!$A:$B,2,FALSE))</f>
        <v>亚诺</v>
      </c>
      <c r="P84" s="73">
        <v>92011</v>
      </c>
      <c r="Q84" s="78">
        <v>1</v>
      </c>
      <c r="R84" s="78">
        <v>3000</v>
      </c>
      <c r="S84" s="8"/>
      <c r="T84" s="8"/>
      <c r="U84" s="8"/>
      <c r="W84" s="8" t="str">
        <f>IF(X84="","",VLOOKUP(X84,引用表合并!$A:$B,2,FALSE))</f>
        <v/>
      </c>
      <c r="X84" s="8"/>
      <c r="Y84" s="8"/>
      <c r="AA84" s="8" t="str">
        <f>IF(AB84="","",VLOOKUP(AB84,引用表合并!$A:$B,2,FALSE))</f>
        <v/>
      </c>
      <c r="AB84" s="8"/>
      <c r="AC84" s="8"/>
      <c r="AE84" s="8" t="str">
        <f>IF(AF84="","",VLOOKUP(AF84,引用表合并!$A:$B,2,FALSE))</f>
        <v/>
      </c>
      <c r="AF84" s="8"/>
      <c r="AG84" s="8"/>
      <c r="AI84" s="8" t="str">
        <f>IF(AJ84="","",VLOOKUP(AJ84,引用表合并!$A:$B,2,FALSE))</f>
        <v/>
      </c>
      <c r="AJ84" s="8"/>
      <c r="AK84" s="8"/>
      <c r="AM84" s="8" t="str">
        <f>IF(AN84="","",VLOOKUP(AN84,引用表合并!$A:$B,2,FALSE))</f>
        <v/>
      </c>
      <c r="AN84" s="8"/>
      <c r="AO84" s="8"/>
      <c r="AQ84" s="8" t="str">
        <f>IF(AR84="","",VLOOKUP(AR84,引用表合并!$A:$B,2,FALSE))</f>
        <v/>
      </c>
      <c r="AR84" s="8"/>
      <c r="AS84" s="8"/>
      <c r="AU84" s="8" t="str">
        <f>IF(AV84="","",VLOOKUP(AV84,引用表合并!$A:$B,2,FALSE))</f>
        <v/>
      </c>
      <c r="AV84" s="8"/>
      <c r="AW84" s="8"/>
      <c r="AY84" s="8" t="str">
        <f>IF(AZ84="","",VLOOKUP(AZ84,引用表合并!$A:$B,2,FALSE))</f>
        <v/>
      </c>
      <c r="AZ84" s="8"/>
      <c r="BA84" s="8"/>
      <c r="BC84" s="8" t="str">
        <f>IF(BD84="","",VLOOKUP(BD84,引用表合并!$A:$B,2,FALSE))</f>
        <v/>
      </c>
      <c r="BD84" s="8"/>
      <c r="BF84" s="10"/>
      <c r="BG84" s="8" t="str">
        <f>IF(BH84="","",VLOOKUP(BH84,引用表合并!$A:$B,2,FALSE))</f>
        <v/>
      </c>
      <c r="BH84" s="8"/>
      <c r="BJ84" s="10"/>
      <c r="BK84" s="8" t="str">
        <f>IF(BL84="","",VLOOKUP(BL84,引用表合并!$A:$B,2,FALSE))</f>
        <v/>
      </c>
      <c r="BL84" s="8"/>
      <c r="BN84" s="10"/>
    </row>
    <row r="85" spans="1:66" x14ac:dyDescent="0.15">
      <c r="A85" s="8">
        <v>2201</v>
      </c>
      <c r="B85" s="8" t="str">
        <f>"地图:"&amp;VLOOKUP(A85,[1]地图配置辅助表!$A$3:$E$229,4,FALSE)</f>
        <v>地图:精英议员保镖</v>
      </c>
      <c r="C85" s="8">
        <v>0</v>
      </c>
      <c r="D85" s="8">
        <f t="shared" si="4"/>
        <v>3</v>
      </c>
      <c r="E85" s="16">
        <f t="shared" si="11"/>
        <v>3</v>
      </c>
      <c r="F85" s="16">
        <v>2</v>
      </c>
      <c r="G85" s="9" t="str">
        <f>IF(H85="","",VLOOKUP(H85,引用表合并!$A:$B,2,FALSE))</f>
        <v>白金手环碎片</v>
      </c>
      <c r="H85" s="74">
        <v>93233</v>
      </c>
      <c r="I85" s="39">
        <v>1</v>
      </c>
      <c r="J85" s="39">
        <v>4000</v>
      </c>
      <c r="K85" s="9" t="str">
        <f>IF(L85="","",VLOOKUP(L85,引用表合并!$A:$B,2,FALSE))</f>
        <v>诅咒项链</v>
      </c>
      <c r="L85" s="50">
        <v>92243</v>
      </c>
      <c r="M85" s="50">
        <v>1</v>
      </c>
      <c r="N85" s="50">
        <v>3000</v>
      </c>
      <c r="O85" s="8" t="str">
        <f>IF(P85="","",VLOOKUP(P85,引用表合并!$A:$B,2,FALSE))</f>
        <v>幸运戒指</v>
      </c>
      <c r="P85" s="79">
        <v>92131</v>
      </c>
      <c r="Q85" s="51">
        <v>1</v>
      </c>
      <c r="R85" s="51">
        <v>3000</v>
      </c>
      <c r="S85" s="8" t="str">
        <f>IF(T85="","",VLOOKUP(T85,引用表合并!$A:$B,2,FALSE))</f>
        <v/>
      </c>
      <c r="T85" s="8"/>
      <c r="U85" s="8"/>
      <c r="W85" s="8" t="str">
        <f>IF(X85="","",VLOOKUP(X85,引用表合并!$A:$B,2,FALSE))</f>
        <v/>
      </c>
      <c r="X85" s="17"/>
      <c r="Y85" s="8"/>
      <c r="AA85" s="8"/>
      <c r="AB85" s="17"/>
      <c r="AC85" s="8"/>
      <c r="AE85" s="8"/>
      <c r="AF85" s="17"/>
      <c r="AG85" s="8"/>
      <c r="AI85" s="8" t="str">
        <f>IF(AJ85="","",VLOOKUP(AJ85,引用表合并!$A:$B,2,FALSE))</f>
        <v/>
      </c>
      <c r="AJ85" s="17"/>
      <c r="AK85" s="8"/>
      <c r="AM85" s="8" t="str">
        <f>IF(AN85="","",VLOOKUP(AN85,引用表合并!$A:$B,2,FALSE))</f>
        <v/>
      </c>
      <c r="AN85" s="17"/>
      <c r="AO85" s="8"/>
      <c r="AQ85" s="8" t="str">
        <f>IF(AR85="","",VLOOKUP(AR85,引用表合并!$A:$B,2,FALSE))</f>
        <v/>
      </c>
      <c r="AR85" s="17"/>
      <c r="AS85" s="8"/>
      <c r="AU85" s="8" t="str">
        <f>IF(AV85="","",VLOOKUP(AV85,引用表合并!$A:$B,2,FALSE))</f>
        <v/>
      </c>
      <c r="AV85" s="17"/>
      <c r="AW85" s="8"/>
      <c r="AY85" s="8" t="str">
        <f>IF(AZ85="","",VLOOKUP(AZ85,引用表合并!$A:$B,2,FALSE))</f>
        <v/>
      </c>
      <c r="AZ85" s="17"/>
      <c r="BA85" s="8"/>
      <c r="BC85" s="8" t="str">
        <f>IF(BD85="","",VLOOKUP(BD85,引用表合并!$A:$B,2,FALSE))</f>
        <v/>
      </c>
      <c r="BD85" s="17"/>
      <c r="BF85" s="10"/>
      <c r="BG85" s="8" t="str">
        <f>IF(BH85="","",VLOOKUP(BH85,引用表合并!$A:$B,2,FALSE))</f>
        <v/>
      </c>
      <c r="BH85" s="17"/>
      <c r="BJ85" s="10"/>
      <c r="BK85" s="8" t="str">
        <f>IF(BL85="","",VLOOKUP(BL85,引用表合并!$A:$B,2,FALSE))</f>
        <v/>
      </c>
      <c r="BL85" s="17"/>
      <c r="BN85" s="10"/>
    </row>
    <row r="86" spans="1:66" x14ac:dyDescent="0.15">
      <c r="A86" s="8">
        <v>2202</v>
      </c>
      <c r="B86" s="8" t="str">
        <f>"地图:"&amp;VLOOKUP(A86,[1]地图配置辅助表!$A$3:$E$229,4,FALSE)</f>
        <v>地图:精英张议员</v>
      </c>
      <c r="C86" s="8">
        <v>0</v>
      </c>
      <c r="D86" s="8">
        <f t="shared" si="4"/>
        <v>3</v>
      </c>
      <c r="E86" s="16">
        <f t="shared" si="11"/>
        <v>3</v>
      </c>
      <c r="F86" s="16">
        <v>2</v>
      </c>
      <c r="G86" s="9" t="str">
        <f>IF(H86="","",VLOOKUP(H86,引用表合并!$A:$B,2,FALSE))</f>
        <v>银饰耳钉碎片</v>
      </c>
      <c r="H86" s="74">
        <v>93122</v>
      </c>
      <c r="I86" s="39">
        <v>1</v>
      </c>
      <c r="J86" s="39">
        <v>4000</v>
      </c>
      <c r="K86" s="9" t="str">
        <f>IF(L86="","",VLOOKUP(L86,引用表合并!$A:$B,2,FALSE))</f>
        <v>金饰项链</v>
      </c>
      <c r="L86" s="50">
        <v>92244</v>
      </c>
      <c r="M86" s="50">
        <v>1</v>
      </c>
      <c r="N86" s="50">
        <v>3000</v>
      </c>
      <c r="O86" s="8" t="str">
        <f>IF(P86="","",VLOOKUP(P86,引用表合并!$A:$B,2,FALSE))</f>
        <v>亚诺</v>
      </c>
      <c r="P86" s="79">
        <v>92011</v>
      </c>
      <c r="Q86" s="51">
        <v>1</v>
      </c>
      <c r="R86" s="51">
        <v>3000</v>
      </c>
      <c r="S86" s="8" t="str">
        <f>IF(T86="","",VLOOKUP(T86,引用表合并!$A:$B,2,FALSE))</f>
        <v/>
      </c>
      <c r="T86" s="8"/>
      <c r="U86" s="8"/>
      <c r="W86" s="8" t="str">
        <f>IF(X86="","",VLOOKUP(X86,引用表合并!$A:$B,2,FALSE))</f>
        <v/>
      </c>
      <c r="X86" s="8"/>
      <c r="Y86" s="8"/>
      <c r="AA86" s="8"/>
      <c r="AB86" s="8"/>
      <c r="AC86" s="8"/>
      <c r="AE86" s="8"/>
      <c r="AF86" s="8"/>
      <c r="AG86" s="8"/>
      <c r="AI86" s="8" t="str">
        <f>IF(AJ86="","",VLOOKUP(AJ86,引用表合并!$A:$B,2,FALSE))</f>
        <v/>
      </c>
      <c r="AJ86" s="8"/>
      <c r="AK86" s="8"/>
      <c r="AM86" s="8" t="str">
        <f>IF(AN86="","",VLOOKUP(AN86,引用表合并!$A:$B,2,FALSE))</f>
        <v/>
      </c>
      <c r="AN86" s="8"/>
      <c r="AO86" s="8"/>
      <c r="AQ86" s="8" t="str">
        <f>IF(AR86="","",VLOOKUP(AR86,引用表合并!$A:$B,2,FALSE))</f>
        <v/>
      </c>
      <c r="AR86" s="8"/>
      <c r="AS86" s="8"/>
      <c r="AU86" s="8" t="str">
        <f>IF(AV86="","",VLOOKUP(AV86,引用表合并!$A:$B,2,FALSE))</f>
        <v/>
      </c>
      <c r="AV86" s="8"/>
      <c r="AW86" s="8"/>
      <c r="AY86" s="8" t="str">
        <f>IF(AZ86="","",VLOOKUP(AZ86,引用表合并!$A:$B,2,FALSE))</f>
        <v/>
      </c>
      <c r="AZ86" s="8"/>
      <c r="BA86" s="8"/>
      <c r="BC86" s="8" t="str">
        <f>IF(BD86="","",VLOOKUP(BD86,引用表合并!$A:$B,2,FALSE))</f>
        <v/>
      </c>
      <c r="BD86" s="8"/>
      <c r="BF86" s="10"/>
      <c r="BG86" s="8" t="str">
        <f>IF(BH86="","",VLOOKUP(BH86,引用表合并!$A:$B,2,FALSE))</f>
        <v/>
      </c>
      <c r="BH86" s="8"/>
      <c r="BJ86" s="10"/>
      <c r="BK86" s="8" t="str">
        <f>IF(BL86="","",VLOOKUP(BL86,引用表合并!$A:$B,2,FALSE))</f>
        <v/>
      </c>
      <c r="BL86" s="8"/>
      <c r="BN86" s="10"/>
    </row>
    <row r="87" spans="1:66" x14ac:dyDescent="0.15">
      <c r="A87" s="8">
        <v>2203</v>
      </c>
      <c r="B87" s="8" t="str">
        <f>"地图:"&amp;VLOOKUP(A87,[1]地图配置辅助表!$A$3:$E$229,4,FALSE)</f>
        <v>地图:精英枪手</v>
      </c>
      <c r="C87" s="8">
        <v>0</v>
      </c>
      <c r="D87" s="8">
        <f t="shared" si="4"/>
        <v>3</v>
      </c>
      <c r="E87" s="16">
        <f t="shared" si="11"/>
        <v>3</v>
      </c>
      <c r="F87" s="16">
        <v>2</v>
      </c>
      <c r="G87" s="9" t="str">
        <f>IF(H87="","",VLOOKUP(H87,引用表合并!$A:$B,2,FALSE))</f>
        <v>白银戒指碎片</v>
      </c>
      <c r="H87" s="74">
        <v>93141</v>
      </c>
      <c r="I87" s="39">
        <v>1</v>
      </c>
      <c r="J87" s="39">
        <v>4000</v>
      </c>
      <c r="K87" s="9" t="str">
        <f>IF(L87="","",VLOOKUP(L87,引用表合并!$A:$B,2,FALSE))</f>
        <v>银针手表</v>
      </c>
      <c r="L87" s="52">
        <v>92263</v>
      </c>
      <c r="M87" s="52">
        <v>1</v>
      </c>
      <c r="N87" s="52">
        <v>3000</v>
      </c>
      <c r="O87" s="8" t="str">
        <f>IF(P87="","",VLOOKUP(P87,引用表合并!$A:$B,2,FALSE))</f>
        <v>银色手环</v>
      </c>
      <c r="P87" s="79">
        <v>92228</v>
      </c>
      <c r="Q87" s="51">
        <v>1</v>
      </c>
      <c r="R87" s="51">
        <v>3000</v>
      </c>
      <c r="S87" s="8" t="str">
        <f>IF(T87="","",VLOOKUP(T87,引用表合并!$A:$B,2,FALSE))</f>
        <v/>
      </c>
      <c r="T87" s="8"/>
      <c r="U87" s="8"/>
      <c r="W87" s="8" t="str">
        <f>IF(X87="","",VLOOKUP(X87,引用表合并!$A:$B,2,FALSE))</f>
        <v/>
      </c>
      <c r="X87" s="8"/>
      <c r="Y87" s="8"/>
      <c r="AA87" s="8"/>
      <c r="AB87" s="8"/>
      <c r="AC87" s="8"/>
      <c r="AE87" s="8"/>
      <c r="AF87" s="8"/>
      <c r="AG87" s="8"/>
      <c r="AI87" s="8" t="str">
        <f>IF(AJ87="","",VLOOKUP(AJ87,引用表合并!$A:$B,2,FALSE))</f>
        <v/>
      </c>
      <c r="AJ87" s="8"/>
      <c r="AK87" s="8"/>
      <c r="AM87" s="8" t="str">
        <f>IF(AN87="","",VLOOKUP(AN87,引用表合并!$A:$B,2,FALSE))</f>
        <v/>
      </c>
      <c r="AN87" s="8"/>
      <c r="AO87" s="8"/>
      <c r="AQ87" s="8" t="str">
        <f>IF(AR87="","",VLOOKUP(AR87,引用表合并!$A:$B,2,FALSE))</f>
        <v/>
      </c>
      <c r="AR87" s="8"/>
      <c r="AS87" s="8"/>
      <c r="AU87" s="8" t="str">
        <f>IF(AV87="","",VLOOKUP(AV87,引用表合并!$A:$B,2,FALSE))</f>
        <v/>
      </c>
      <c r="AV87" s="8"/>
      <c r="AW87" s="8"/>
      <c r="AY87" s="8" t="str">
        <f>IF(AZ87="","",VLOOKUP(AZ87,引用表合并!$A:$B,2,FALSE))</f>
        <v/>
      </c>
      <c r="AZ87" s="8"/>
      <c r="BA87" s="8"/>
      <c r="BC87" s="8" t="str">
        <f>IF(BD87="","",VLOOKUP(BD87,引用表合并!$A:$B,2,FALSE))</f>
        <v/>
      </c>
      <c r="BD87" s="8"/>
      <c r="BF87" s="10"/>
      <c r="BG87" s="8" t="str">
        <f>IF(BH87="","",VLOOKUP(BH87,引用表合并!$A:$B,2,FALSE))</f>
        <v/>
      </c>
      <c r="BH87" s="8"/>
      <c r="BJ87" s="10"/>
      <c r="BK87" s="8" t="str">
        <f>IF(BL87="","",VLOOKUP(BL87,引用表合并!$A:$B,2,FALSE))</f>
        <v/>
      </c>
      <c r="BL87" s="8"/>
      <c r="BN87" s="10"/>
    </row>
    <row r="88" spans="1:66" x14ac:dyDescent="0.15">
      <c r="A88" s="8">
        <v>2204</v>
      </c>
      <c r="B88" s="8" t="str">
        <f>"地图:"&amp;VLOOKUP(A88,[1]地图配置辅助表!$A$3:$E$229,4,FALSE)</f>
        <v>地图:精英大飞手下</v>
      </c>
      <c r="C88" s="8">
        <v>0</v>
      </c>
      <c r="D88" s="8">
        <f t="shared" si="4"/>
        <v>3</v>
      </c>
      <c r="E88" s="16">
        <f t="shared" si="11"/>
        <v>3</v>
      </c>
      <c r="F88" s="16">
        <v>2</v>
      </c>
      <c r="G88" s="9" t="str">
        <f>IF(H88="","",VLOOKUP(H88,引用表合并!$A:$B,2,FALSE))</f>
        <v>水晶项链碎片</v>
      </c>
      <c r="H88" s="74">
        <v>93245</v>
      </c>
      <c r="I88" s="39">
        <v>1</v>
      </c>
      <c r="J88" s="39">
        <v>4000</v>
      </c>
      <c r="K88" s="9" t="str">
        <f>IF(L88="","",VLOOKUP(L88,引用表合并!$A:$B,2,FALSE))</f>
        <v>冬利</v>
      </c>
      <c r="L88" s="52">
        <v>92277</v>
      </c>
      <c r="M88" s="52">
        <v>1</v>
      </c>
      <c r="N88" s="52">
        <v>3000</v>
      </c>
      <c r="O88" s="8" t="str">
        <f>IF(P88="","",VLOOKUP(P88,引用表合并!$A:$B,2,FALSE))</f>
        <v>鎏金手环</v>
      </c>
      <c r="P88" s="79">
        <v>92232</v>
      </c>
      <c r="Q88" s="51">
        <v>1</v>
      </c>
      <c r="R88" s="51">
        <v>3000</v>
      </c>
      <c r="S88" s="8" t="str">
        <f>IF(T88="","",VLOOKUP(T88,引用表合并!$A:$B,2,FALSE))</f>
        <v/>
      </c>
      <c r="T88" s="8"/>
      <c r="U88" s="8"/>
      <c r="W88" s="8" t="str">
        <f>IF(X88="","",VLOOKUP(X88,引用表合并!$A:$B,2,FALSE))</f>
        <v/>
      </c>
      <c r="X88" s="8"/>
      <c r="Y88" s="8"/>
      <c r="AA88" s="8"/>
      <c r="AB88" s="8"/>
      <c r="AC88" s="8"/>
      <c r="AE88" s="8"/>
      <c r="AF88" s="8"/>
      <c r="AG88" s="8"/>
      <c r="AI88" s="8" t="str">
        <f>IF(AJ88="","",VLOOKUP(AJ88,引用表合并!$A:$B,2,FALSE))</f>
        <v/>
      </c>
      <c r="AJ88" s="8"/>
      <c r="AK88" s="8"/>
      <c r="AM88" s="8" t="str">
        <f>IF(AN88="","",VLOOKUP(AN88,引用表合并!$A:$B,2,FALSE))</f>
        <v/>
      </c>
      <c r="AN88" s="8"/>
      <c r="AO88" s="8"/>
      <c r="AQ88" s="8" t="str">
        <f>IF(AR88="","",VLOOKUP(AR88,引用表合并!$A:$B,2,FALSE))</f>
        <v/>
      </c>
      <c r="AR88" s="8"/>
      <c r="AS88" s="8"/>
      <c r="AU88" s="8" t="str">
        <f>IF(AV88="","",VLOOKUP(AV88,引用表合并!$A:$B,2,FALSE))</f>
        <v/>
      </c>
      <c r="AV88" s="8"/>
      <c r="AW88" s="8"/>
      <c r="AY88" s="8" t="str">
        <f>IF(AZ88="","",VLOOKUP(AZ88,引用表合并!$A:$B,2,FALSE))</f>
        <v/>
      </c>
      <c r="AZ88" s="8"/>
      <c r="BA88" s="8"/>
      <c r="BC88" s="8" t="str">
        <f>IF(BD88="","",VLOOKUP(BD88,引用表合并!$A:$B,2,FALSE))</f>
        <v/>
      </c>
      <c r="BD88" s="8"/>
      <c r="BF88" s="10"/>
      <c r="BG88" s="8" t="str">
        <f>IF(BH88="","",VLOOKUP(BH88,引用表合并!$A:$B,2,FALSE))</f>
        <v/>
      </c>
      <c r="BH88" s="8"/>
      <c r="BJ88" s="10"/>
      <c r="BK88" s="8" t="str">
        <f>IF(BL88="","",VLOOKUP(BL88,引用表合并!$A:$B,2,FALSE))</f>
        <v/>
      </c>
      <c r="BL88" s="8"/>
      <c r="BN88" s="10"/>
    </row>
    <row r="89" spans="1:66" x14ac:dyDescent="0.15">
      <c r="A89" s="8">
        <v>2205</v>
      </c>
      <c r="B89" s="8" t="str">
        <f>"地图:"&amp;VLOOKUP(A89,[1]地图配置辅助表!$A$3:$E$229,4,FALSE)</f>
        <v>地图:精英大飞弟子</v>
      </c>
      <c r="C89" s="8">
        <v>0</v>
      </c>
      <c r="D89" s="8">
        <f t="shared" si="4"/>
        <v>3</v>
      </c>
      <c r="E89" s="16">
        <f t="shared" si="11"/>
        <v>3</v>
      </c>
      <c r="F89" s="16">
        <v>2</v>
      </c>
      <c r="G89" s="9" t="str">
        <f>IF(H89="","",VLOOKUP(H89,引用表合并!$A:$B,2,FALSE))</f>
        <v>红石项链碎片</v>
      </c>
      <c r="H89" s="74">
        <v>93251</v>
      </c>
      <c r="I89" s="39">
        <v>1</v>
      </c>
      <c r="J89" s="39">
        <v>4000</v>
      </c>
      <c r="K89" s="9" t="str">
        <f>IF(L89="","",VLOOKUP(L89,引用表合并!$A:$B,2,FALSE))</f>
        <v>白金手环碎片</v>
      </c>
      <c r="L89" s="80">
        <v>93233</v>
      </c>
      <c r="M89" s="53">
        <v>1</v>
      </c>
      <c r="N89" s="53">
        <v>3000</v>
      </c>
      <c r="O89" s="8" t="str">
        <f>IF(P89="","",VLOOKUP(P89,引用表合并!$A:$B,2,FALSE))</f>
        <v>镀金耳钉</v>
      </c>
      <c r="P89" s="79">
        <v>92121</v>
      </c>
      <c r="Q89" s="51">
        <v>1</v>
      </c>
      <c r="R89" s="51">
        <v>3000</v>
      </c>
      <c r="S89" s="8" t="str">
        <f>IF(T89="","",VLOOKUP(T89,引用表合并!$A:$B,2,FALSE))</f>
        <v/>
      </c>
      <c r="T89" s="8"/>
      <c r="U89" s="8"/>
      <c r="W89" s="8" t="str">
        <f>IF(X89="","",VLOOKUP(X89,引用表合并!$A:$B,2,FALSE))</f>
        <v/>
      </c>
      <c r="X89" s="8"/>
      <c r="Y89" s="8"/>
      <c r="AA89" s="8"/>
      <c r="AB89" s="8"/>
      <c r="AC89" s="8"/>
      <c r="AE89" s="8"/>
      <c r="AF89" s="8"/>
      <c r="AG89" s="8"/>
      <c r="AI89" s="8" t="str">
        <f>IF(AJ89="","",VLOOKUP(AJ89,引用表合并!$A:$B,2,FALSE))</f>
        <v/>
      </c>
      <c r="AJ89" s="8"/>
      <c r="AK89" s="8"/>
      <c r="AM89" s="8" t="str">
        <f>IF(AN89="","",VLOOKUP(AN89,引用表合并!$A:$B,2,FALSE))</f>
        <v/>
      </c>
      <c r="AN89" s="8"/>
      <c r="AO89" s="8"/>
      <c r="AQ89" s="8" t="str">
        <f>IF(AR89="","",VLOOKUP(AR89,引用表合并!$A:$B,2,FALSE))</f>
        <v/>
      </c>
      <c r="AR89" s="8"/>
      <c r="AS89" s="8"/>
      <c r="AU89" s="8" t="str">
        <f>IF(AV89="","",VLOOKUP(AV89,引用表合并!$A:$B,2,FALSE))</f>
        <v/>
      </c>
      <c r="AV89" s="8"/>
      <c r="AW89" s="8"/>
      <c r="AY89" s="8" t="str">
        <f>IF(AZ89="","",VLOOKUP(AZ89,引用表合并!$A:$B,2,FALSE))</f>
        <v/>
      </c>
      <c r="AZ89" s="8"/>
      <c r="BA89" s="8"/>
      <c r="BC89" s="8" t="str">
        <f>IF(BD89="","",VLOOKUP(BD89,引用表合并!$A:$B,2,FALSE))</f>
        <v/>
      </c>
      <c r="BD89" s="8"/>
      <c r="BF89" s="10"/>
      <c r="BG89" s="8" t="str">
        <f>IF(BH89="","",VLOOKUP(BH89,引用表合并!$A:$B,2,FALSE))</f>
        <v/>
      </c>
      <c r="BH89" s="8"/>
      <c r="BJ89" s="10"/>
      <c r="BK89" s="8" t="str">
        <f>IF(BL89="","",VLOOKUP(BL89,引用表合并!$A:$B,2,FALSE))</f>
        <v/>
      </c>
      <c r="BL89" s="8"/>
      <c r="BN89" s="10"/>
    </row>
    <row r="90" spans="1:66" x14ac:dyDescent="0.15">
      <c r="A90" s="8">
        <v>2206</v>
      </c>
      <c r="B90" s="8" t="str">
        <f>"地图:"&amp;VLOOKUP(A90,[1]地图配置辅助表!$A$3:$E$229,4,FALSE)</f>
        <v>地图:精英追踪者</v>
      </c>
      <c r="C90" s="8">
        <v>0</v>
      </c>
      <c r="D90" s="8">
        <f t="shared" si="4"/>
        <v>3</v>
      </c>
      <c r="E90" s="16">
        <f t="shared" si="11"/>
        <v>3</v>
      </c>
      <c r="F90" s="16">
        <v>2</v>
      </c>
      <c r="G90" s="8" t="str">
        <f>IF(H90="","",VLOOKUP(H90,引用表合并!$A:$B,2,FALSE))</f>
        <v>越野手表碎片</v>
      </c>
      <c r="H90" s="74">
        <v>93264</v>
      </c>
      <c r="I90" s="39">
        <v>1</v>
      </c>
      <c r="J90" s="39">
        <v>4000</v>
      </c>
      <c r="K90" s="9" t="str">
        <f>IF(L90="","",VLOOKUP(L90,引用表合并!$A:$B,2,FALSE))</f>
        <v>银饰耳钉碎片</v>
      </c>
      <c r="L90" s="80">
        <v>93122</v>
      </c>
      <c r="M90" s="53">
        <v>1</v>
      </c>
      <c r="N90" s="53">
        <v>3000</v>
      </c>
      <c r="O90" s="8" t="str">
        <f>IF(P90="","",VLOOKUP(P90,引用表合并!$A:$B,2,FALSE))</f>
        <v>诅咒项链</v>
      </c>
      <c r="P90" s="79">
        <v>92243</v>
      </c>
      <c r="Q90" s="51">
        <v>1</v>
      </c>
      <c r="R90" s="51">
        <v>3000</v>
      </c>
      <c r="S90" s="8" t="str">
        <f>IF(T90="","",VLOOKUP(T90,引用表合并!$A:$B,2,FALSE))</f>
        <v/>
      </c>
      <c r="T90" s="8"/>
      <c r="U90" s="8"/>
      <c r="W90" s="8" t="str">
        <f>IF(X90="","",VLOOKUP(X90,引用表合并!$A:$B,2,FALSE))</f>
        <v/>
      </c>
      <c r="X90" s="17"/>
      <c r="Y90" s="8"/>
      <c r="AA90" s="8" t="str">
        <f>IF(AB90="","",VLOOKUP(AB90,引用表合并!$A:$B,2,FALSE))</f>
        <v/>
      </c>
      <c r="AB90" s="17"/>
      <c r="AC90" s="8"/>
      <c r="AE90" s="8"/>
      <c r="AF90" s="17"/>
      <c r="AG90" s="8"/>
      <c r="AI90" s="8" t="str">
        <f>IF(AJ90="","",VLOOKUP(AJ90,引用表合并!$A:$B,2,FALSE))</f>
        <v/>
      </c>
      <c r="AJ90" s="17"/>
      <c r="AK90" s="8"/>
      <c r="AM90" s="8" t="str">
        <f>IF(AN90="","",VLOOKUP(AN90,引用表合并!$A:$B,2,FALSE))</f>
        <v/>
      </c>
      <c r="AN90" s="17"/>
      <c r="AO90" s="8"/>
      <c r="AQ90" s="8" t="str">
        <f>IF(AR90="","",VLOOKUP(AR90,引用表合并!$A:$B,2,FALSE))</f>
        <v/>
      </c>
      <c r="AR90" s="17"/>
      <c r="AS90" s="8"/>
      <c r="AU90" s="8" t="str">
        <f>IF(AV90="","",VLOOKUP(AV90,引用表合并!$A:$B,2,FALSE))</f>
        <v/>
      </c>
      <c r="AV90" s="17"/>
      <c r="AW90" s="8"/>
      <c r="AY90" s="8" t="str">
        <f>IF(AZ90="","",VLOOKUP(AZ90,引用表合并!$A:$B,2,FALSE))</f>
        <v/>
      </c>
      <c r="AZ90" s="17"/>
      <c r="BA90" s="8"/>
      <c r="BC90" s="8" t="str">
        <f>IF(BD90="","",VLOOKUP(BD90,引用表合并!$A:$B,2,FALSE))</f>
        <v/>
      </c>
      <c r="BD90" s="17"/>
      <c r="BF90" s="10"/>
      <c r="BG90" s="8" t="str">
        <f>IF(BH90="","",VLOOKUP(BH90,引用表合并!$A:$B,2,FALSE))</f>
        <v/>
      </c>
      <c r="BH90" s="17"/>
      <c r="BJ90" s="10"/>
      <c r="BK90" s="8" t="str">
        <f>IF(BL90="","",VLOOKUP(BL90,引用表合并!$A:$B,2,FALSE))</f>
        <v/>
      </c>
      <c r="BL90" s="17"/>
      <c r="BN90" s="10"/>
    </row>
    <row r="91" spans="1:66" x14ac:dyDescent="0.15">
      <c r="A91" s="49">
        <v>2207</v>
      </c>
      <c r="B91" s="8" t="str">
        <f>"地图:"&amp;VLOOKUP(A91,[1]地图配置辅助表!$A$3:$E$229,4,FALSE)</f>
        <v>地图:精英雷公保镖</v>
      </c>
      <c r="C91" s="8">
        <v>0</v>
      </c>
      <c r="D91" s="8">
        <f t="shared" ref="D91:D93" si="14">E91</f>
        <v>3</v>
      </c>
      <c r="E91" s="16">
        <f t="shared" si="11"/>
        <v>3</v>
      </c>
      <c r="F91" s="16">
        <v>2</v>
      </c>
      <c r="G91" s="9" t="str">
        <f>IF(H91="","",VLOOKUP(H91,引用表合并!$A:$B,2,FALSE))</f>
        <v>精准手表碎片</v>
      </c>
      <c r="H91" s="74">
        <v>93271</v>
      </c>
      <c r="I91" s="39">
        <v>1</v>
      </c>
      <c r="J91" s="39">
        <v>4000</v>
      </c>
      <c r="K91" s="9" t="str">
        <f>IF(L91="","",VLOOKUP(L91,引用表合并!$A:$B,2,FALSE))</f>
        <v>白银戒指碎片</v>
      </c>
      <c r="L91" s="80">
        <v>93141</v>
      </c>
      <c r="M91" s="53">
        <v>1</v>
      </c>
      <c r="N91" s="53">
        <v>3000</v>
      </c>
      <c r="O91" s="8" t="str">
        <f>IF(P91="","",VLOOKUP(P91,引用表合并!$A:$B,2,FALSE))</f>
        <v>金饰项链</v>
      </c>
      <c r="P91" s="79">
        <v>92244</v>
      </c>
      <c r="Q91" s="51">
        <v>1</v>
      </c>
      <c r="R91" s="51">
        <v>3000</v>
      </c>
      <c r="S91" s="8" t="str">
        <f>IF(T91="","",VLOOKUP(T91,引用表合并!$A:$B,2,FALSE))</f>
        <v/>
      </c>
      <c r="T91" s="8"/>
      <c r="U91" s="8"/>
      <c r="W91" s="8" t="str">
        <f>IF(X91="","",VLOOKUP(X91,引用表合并!$A:$B,2,FALSE))</f>
        <v/>
      </c>
      <c r="X91" s="8"/>
      <c r="Y91" s="8"/>
      <c r="AA91" s="8"/>
      <c r="AB91" s="8"/>
      <c r="AC91" s="8"/>
      <c r="AE91" s="8"/>
      <c r="AF91" s="8"/>
      <c r="AG91" s="8"/>
      <c r="AI91" s="8" t="str">
        <f>IF(AJ91="","",VLOOKUP(AJ91,引用表合并!$A:$B,2,FALSE))</f>
        <v/>
      </c>
      <c r="AJ91" s="8"/>
      <c r="AK91" s="8"/>
      <c r="AM91" s="8" t="str">
        <f>IF(AN91="","",VLOOKUP(AN91,引用表合并!$A:$B,2,FALSE))</f>
        <v/>
      </c>
      <c r="AN91" s="8"/>
      <c r="AO91" s="8"/>
      <c r="AQ91" s="8" t="str">
        <f>IF(AR91="","",VLOOKUP(AR91,引用表合并!$A:$B,2,FALSE))</f>
        <v/>
      </c>
      <c r="AR91" s="8"/>
      <c r="AS91" s="8"/>
      <c r="AU91" s="8" t="str">
        <f>IF(AV91="","",VLOOKUP(AV91,引用表合并!$A:$B,2,FALSE))</f>
        <v/>
      </c>
      <c r="AV91" s="8"/>
      <c r="AW91" s="8"/>
      <c r="AY91" s="8" t="str">
        <f>IF(AZ91="","",VLOOKUP(AZ91,引用表合并!$A:$B,2,FALSE))</f>
        <v/>
      </c>
      <c r="AZ91" s="8"/>
      <c r="BA91" s="8"/>
      <c r="BC91" s="8" t="str">
        <f>IF(BD91="","",VLOOKUP(BD91,引用表合并!$A:$B,2,FALSE))</f>
        <v/>
      </c>
      <c r="BD91" s="8"/>
      <c r="BF91" s="10"/>
      <c r="BG91" s="8" t="str">
        <f>IF(BH91="","",VLOOKUP(BH91,引用表合并!$A:$B,2,FALSE))</f>
        <v/>
      </c>
      <c r="BH91" s="8"/>
      <c r="BJ91" s="10"/>
      <c r="BK91" s="8" t="str">
        <f>IF(BL91="","",VLOOKUP(BL91,引用表合并!$A:$B,2,FALSE))</f>
        <v/>
      </c>
      <c r="BL91" s="8"/>
      <c r="BN91" s="10"/>
    </row>
    <row r="92" spans="1:66" x14ac:dyDescent="0.15">
      <c r="A92" s="49">
        <v>2208</v>
      </c>
      <c r="B92" s="8" t="str">
        <f>"地图:"&amp;VLOOKUP(A92,[1]地图配置辅助表!$A$3:$E$229,4,FALSE)</f>
        <v>地图:精英赌场警卫</v>
      </c>
      <c r="C92" s="8">
        <v>0</v>
      </c>
      <c r="D92" s="8">
        <f t="shared" si="14"/>
        <v>3</v>
      </c>
      <c r="E92" s="16">
        <f t="shared" si="11"/>
        <v>3</v>
      </c>
      <c r="F92" s="16">
        <v>2</v>
      </c>
      <c r="G92" s="9" t="str">
        <f>IF(H92="","",VLOOKUP(H92,引用表合并!$A:$B,2,FALSE))</f>
        <v>宝驼碎片</v>
      </c>
      <c r="H92" s="74">
        <v>93278</v>
      </c>
      <c r="I92" s="39">
        <v>1</v>
      </c>
      <c r="J92" s="39">
        <v>4000</v>
      </c>
      <c r="K92" s="9" t="str">
        <f>IF(L92="","",VLOOKUP(L92,引用表合并!$A:$B,2,FALSE))</f>
        <v>水晶项链碎片</v>
      </c>
      <c r="L92" s="80">
        <v>93245</v>
      </c>
      <c r="M92" s="53">
        <v>1</v>
      </c>
      <c r="N92" s="53">
        <v>3000</v>
      </c>
      <c r="O92" s="8" t="str">
        <f>IF(P92="","",VLOOKUP(P92,引用表合并!$A:$B,2,FALSE))</f>
        <v>银针手表</v>
      </c>
      <c r="P92" s="79">
        <v>92263</v>
      </c>
      <c r="Q92" s="51">
        <v>1</v>
      </c>
      <c r="R92" s="51">
        <v>3000</v>
      </c>
      <c r="S92" s="8" t="str">
        <f>IF(T92="","",VLOOKUP(T92,引用表合并!$A:$B,2,FALSE))</f>
        <v/>
      </c>
      <c r="T92" s="8"/>
      <c r="U92" s="8"/>
      <c r="W92" s="8" t="str">
        <f>IF(X92="","",VLOOKUP(X92,引用表合并!$A:$B,2,FALSE))</f>
        <v/>
      </c>
      <c r="X92" s="8"/>
      <c r="Y92" s="8"/>
      <c r="AA92" s="8"/>
      <c r="AB92" s="8"/>
      <c r="AC92" s="8"/>
      <c r="AE92" s="8"/>
      <c r="AF92" s="8"/>
      <c r="AG92" s="8"/>
      <c r="AI92" s="8" t="str">
        <f>IF(AJ92="","",VLOOKUP(AJ92,引用表合并!$A:$B,2,FALSE))</f>
        <v/>
      </c>
      <c r="AJ92" s="8"/>
      <c r="AK92" s="8"/>
      <c r="AM92" s="8" t="str">
        <f>IF(AN92="","",VLOOKUP(AN92,引用表合并!$A:$B,2,FALSE))</f>
        <v/>
      </c>
      <c r="AN92" s="8"/>
      <c r="AO92" s="8"/>
      <c r="AQ92" s="8" t="str">
        <f>IF(AR92="","",VLOOKUP(AR92,引用表合并!$A:$B,2,FALSE))</f>
        <v/>
      </c>
      <c r="AR92" s="8"/>
      <c r="AS92" s="8"/>
      <c r="AU92" s="8" t="str">
        <f>IF(AV92="","",VLOOKUP(AV92,引用表合并!$A:$B,2,FALSE))</f>
        <v/>
      </c>
      <c r="AV92" s="8"/>
      <c r="AW92" s="8"/>
      <c r="AY92" s="8" t="str">
        <f>IF(AZ92="","",VLOOKUP(AZ92,引用表合并!$A:$B,2,FALSE))</f>
        <v/>
      </c>
      <c r="AZ92" s="8"/>
      <c r="BA92" s="8"/>
      <c r="BC92" s="8" t="str">
        <f>IF(BD92="","",VLOOKUP(BD92,引用表合并!$A:$B,2,FALSE))</f>
        <v/>
      </c>
      <c r="BD92" s="8"/>
      <c r="BF92" s="10"/>
      <c r="BG92" s="8" t="str">
        <f>IF(BH92="","",VLOOKUP(BH92,引用表合并!$A:$B,2,FALSE))</f>
        <v/>
      </c>
      <c r="BH92" s="8"/>
      <c r="BJ92" s="10"/>
      <c r="BK92" s="8" t="str">
        <f>IF(BL92="","",VLOOKUP(BL92,引用表合并!$A:$B,2,FALSE))</f>
        <v/>
      </c>
      <c r="BL92" s="8"/>
      <c r="BN92" s="10"/>
    </row>
    <row r="93" spans="1:66" x14ac:dyDescent="0.15">
      <c r="A93" s="49">
        <v>2209</v>
      </c>
      <c r="B93" s="8" t="str">
        <f>"地图:"&amp;VLOOKUP(A93,[1]地图配置辅助表!$A$3:$E$229,4,FALSE)</f>
        <v>地图:精英丁瑶护卫</v>
      </c>
      <c r="C93" s="8">
        <v>0</v>
      </c>
      <c r="D93" s="8">
        <f t="shared" si="14"/>
        <v>3</v>
      </c>
      <c r="E93" s="16">
        <f t="shared" si="11"/>
        <v>3</v>
      </c>
      <c r="F93" s="16">
        <v>2</v>
      </c>
      <c r="G93" s="8" t="str">
        <f>IF(H93="","",VLOOKUP(H93,引用表合并!$A:$B,2,FALSE))</f>
        <v>小迭钞票碎片</v>
      </c>
      <c r="H93" s="74">
        <v>93283</v>
      </c>
      <c r="I93" s="39">
        <v>1</v>
      </c>
      <c r="J93" s="39">
        <v>4000</v>
      </c>
      <c r="K93" s="9" t="str">
        <f>IF(L93="","",VLOOKUP(L93,引用表合并!$A:$B,2,FALSE))</f>
        <v>金块碎片</v>
      </c>
      <c r="L93" s="74">
        <v>93287</v>
      </c>
      <c r="M93" s="39">
        <v>1</v>
      </c>
      <c r="N93" s="39">
        <v>3000</v>
      </c>
      <c r="O93" s="8" t="str">
        <f>IF(P93="","",VLOOKUP(P93,引用表合并!$A:$B,2,FALSE))</f>
        <v>冬利</v>
      </c>
      <c r="P93" s="79">
        <v>92277</v>
      </c>
      <c r="Q93" s="51">
        <v>1</v>
      </c>
      <c r="R93" s="51">
        <v>3000</v>
      </c>
      <c r="S93" s="8" t="str">
        <f>IF(T93="","",VLOOKUP(T93,引用表合并!$A:$B,2,FALSE))</f>
        <v/>
      </c>
      <c r="T93" s="8"/>
      <c r="U93" s="8"/>
      <c r="W93" s="8" t="str">
        <f>IF(X93="","",VLOOKUP(X93,引用表合并!$A:$B,2,FALSE))</f>
        <v/>
      </c>
      <c r="X93" s="17"/>
      <c r="Y93" s="8"/>
      <c r="AA93" s="8" t="str">
        <f>IF(AB93="","",VLOOKUP(AB93,引用表合并!$A:$B,2,FALSE))</f>
        <v/>
      </c>
      <c r="AB93" s="17"/>
      <c r="AC93" s="8"/>
      <c r="AE93" s="8"/>
      <c r="AF93" s="17"/>
      <c r="AG93" s="8"/>
      <c r="AI93" s="8" t="str">
        <f>IF(AJ93="","",VLOOKUP(AJ93,引用表合并!$A:$B,2,FALSE))</f>
        <v/>
      </c>
      <c r="AJ93" s="17"/>
      <c r="AK93" s="8"/>
      <c r="AM93" s="8" t="str">
        <f>IF(AN93="","",VLOOKUP(AN93,引用表合并!$A:$B,2,FALSE))</f>
        <v/>
      </c>
      <c r="AN93" s="17"/>
      <c r="AO93" s="8"/>
      <c r="AQ93" s="8" t="str">
        <f>IF(AR93="","",VLOOKUP(AR93,引用表合并!$A:$B,2,FALSE))</f>
        <v/>
      </c>
      <c r="AR93" s="17"/>
      <c r="AS93" s="8"/>
      <c r="AU93" s="8" t="str">
        <f>IF(AV93="","",VLOOKUP(AV93,引用表合并!$A:$B,2,FALSE))</f>
        <v/>
      </c>
      <c r="AV93" s="17"/>
      <c r="AW93" s="8"/>
      <c r="AY93" s="8" t="str">
        <f>IF(AZ93="","",VLOOKUP(AZ93,引用表合并!$A:$B,2,FALSE))</f>
        <v/>
      </c>
      <c r="AZ93" s="17"/>
      <c r="BA93" s="8"/>
      <c r="BC93" s="8" t="str">
        <f>IF(BD93="","",VLOOKUP(BD93,引用表合并!$A:$B,2,FALSE))</f>
        <v/>
      </c>
      <c r="BD93" s="17"/>
      <c r="BF93" s="10"/>
      <c r="BG93" s="8" t="str">
        <f>IF(BH93="","",VLOOKUP(BH93,引用表合并!$A:$B,2,FALSE))</f>
        <v/>
      </c>
      <c r="BH93" s="17"/>
      <c r="BJ93" s="10"/>
      <c r="BK93" s="8" t="str">
        <f>IF(BL93="","",VLOOKUP(BL93,引用表合并!$A:$B,2,FALSE))</f>
        <v/>
      </c>
      <c r="BL93" s="17"/>
      <c r="BN93" s="10"/>
    </row>
    <row r="94" spans="1:66" x14ac:dyDescent="0.15">
      <c r="A94" s="8">
        <v>3201</v>
      </c>
      <c r="B94" s="8" t="str">
        <f>"地图:"&amp;VLOOKUP(A94,[1]地图配置辅助表!$A$3:$E$229,4,FALSE)</f>
        <v>地图:精英乌鸦手下</v>
      </c>
      <c r="C94" s="8">
        <v>0</v>
      </c>
      <c r="D94" s="8">
        <f t="shared" si="4"/>
        <v>3</v>
      </c>
      <c r="E94" s="16">
        <f t="shared" si="11"/>
        <v>3</v>
      </c>
      <c r="F94" s="16">
        <v>2</v>
      </c>
      <c r="G94" s="8" t="str">
        <f>IF(H94="","",VLOOKUP(H94,引用表合并!$A:$B,2,FALSE))</f>
        <v>白金手环碎片</v>
      </c>
      <c r="H94" s="83">
        <v>93233</v>
      </c>
      <c r="I94" s="84">
        <v>1</v>
      </c>
      <c r="J94" s="84">
        <v>4000</v>
      </c>
      <c r="K94" s="9" t="str">
        <f>IF(L94="","",VLOOKUP(L94,引用表合并!$A:$B,2,FALSE))</f>
        <v>红石项链碎片</v>
      </c>
      <c r="L94" s="80">
        <v>93251</v>
      </c>
      <c r="M94" s="53">
        <v>1</v>
      </c>
      <c r="N94" s="53">
        <v>3000</v>
      </c>
      <c r="O94" s="8" t="str">
        <f>IF(P94="","",VLOOKUP(P94,引用表合并!$A:$B,2,FALSE))</f>
        <v>小迭钞票碎片</v>
      </c>
      <c r="P94" s="82">
        <v>93283</v>
      </c>
      <c r="Q94" s="81">
        <v>1</v>
      </c>
      <c r="R94" s="81">
        <v>3000</v>
      </c>
      <c r="S94" s="8" t="str">
        <f>IF(T94="","",VLOOKUP(T94,引用表合并!$A:$B,2,FALSE))</f>
        <v/>
      </c>
      <c r="T94" s="17"/>
      <c r="U94" s="8"/>
      <c r="W94" s="8" t="str">
        <f>IF(X94="","",VLOOKUP(X94,引用表合并!$A:$B,2,FALSE))</f>
        <v/>
      </c>
      <c r="X94" s="17"/>
      <c r="Y94" s="8"/>
      <c r="AA94" s="8"/>
      <c r="AB94" s="32"/>
      <c r="AC94" s="8"/>
      <c r="AE94" s="8"/>
      <c r="AF94" s="32"/>
      <c r="AG94" s="8"/>
      <c r="AI94" s="8" t="str">
        <f>IF(AJ94="","",VLOOKUP(AJ94,引用表合并!$A:$B,2,FALSE))</f>
        <v/>
      </c>
      <c r="AJ94" s="32"/>
      <c r="AK94" s="8"/>
      <c r="AM94" s="8" t="str">
        <f>IF(AN94="","",VLOOKUP(AN94,引用表合并!$A:$B,2,FALSE))</f>
        <v/>
      </c>
      <c r="AN94" s="32"/>
      <c r="AO94" s="8"/>
      <c r="AQ94" s="8" t="str">
        <f>IF(AR94="","",VLOOKUP(AR94,引用表合并!$A:$B,2,FALSE))</f>
        <v/>
      </c>
      <c r="AR94" s="32"/>
      <c r="AS94" s="8"/>
      <c r="AU94" s="8" t="str">
        <f>IF(AV94="","",VLOOKUP(AV94,引用表合并!$A:$B,2,FALSE))</f>
        <v/>
      </c>
      <c r="AV94" s="32"/>
      <c r="AW94" s="8"/>
      <c r="AY94" s="8" t="str">
        <f>IF(AZ94="","",VLOOKUP(AZ94,引用表合并!$A:$B,2,FALSE))</f>
        <v/>
      </c>
      <c r="AZ94" s="32"/>
      <c r="BA94" s="8"/>
      <c r="BC94" s="8" t="str">
        <f>IF(BD94="","",VLOOKUP(BD94,引用表合并!$A:$B,2,FALSE))</f>
        <v/>
      </c>
      <c r="BD94" s="32"/>
      <c r="BF94" s="10"/>
      <c r="BG94" s="8" t="str">
        <f>IF(BH94="","",VLOOKUP(BH94,引用表合并!$A:$B,2,FALSE))</f>
        <v/>
      </c>
      <c r="BH94" s="32"/>
      <c r="BJ94" s="10"/>
      <c r="BK94" s="8" t="str">
        <f>IF(BL94="","",VLOOKUP(BL94,引用表合并!$A:$B,2,FALSE))</f>
        <v/>
      </c>
      <c r="BL94" s="32"/>
      <c r="BN94" s="10"/>
    </row>
    <row r="95" spans="1:66" x14ac:dyDescent="0.15">
      <c r="A95" s="8">
        <v>3202</v>
      </c>
      <c r="B95" s="8" t="str">
        <f>"地图:"&amp;VLOOKUP(A95,[1]地图配置辅助表!$A$3:$E$229,4,FALSE)</f>
        <v>地图:精英笑面虎</v>
      </c>
      <c r="C95" s="8">
        <v>0</v>
      </c>
      <c r="D95" s="8">
        <f t="shared" si="4"/>
        <v>3</v>
      </c>
      <c r="E95" s="16">
        <f t="shared" si="11"/>
        <v>3</v>
      </c>
      <c r="F95" s="16">
        <v>2</v>
      </c>
      <c r="G95" s="8" t="str">
        <f>IF(H95="","",VLOOKUP(H95,引用表合并!$A:$B,2,FALSE))</f>
        <v>银饰耳钉碎片</v>
      </c>
      <c r="H95" s="83">
        <v>93122</v>
      </c>
      <c r="I95" s="84">
        <v>1</v>
      </c>
      <c r="J95" s="84">
        <v>4000</v>
      </c>
      <c r="K95" s="9" t="str">
        <f>IF(L95="","",VLOOKUP(L95,引用表合并!$A:$B,2,FALSE))</f>
        <v>越野手表碎片</v>
      </c>
      <c r="L95" s="80">
        <v>93264</v>
      </c>
      <c r="M95" s="53">
        <v>1</v>
      </c>
      <c r="N95" s="53">
        <v>3000</v>
      </c>
      <c r="O95" s="8" t="str">
        <f>IF(P95="","",VLOOKUP(P95,引用表合并!$A:$B,2,FALSE))</f>
        <v>金块碎片</v>
      </c>
      <c r="P95" s="82">
        <v>93287</v>
      </c>
      <c r="Q95" s="81">
        <v>1</v>
      </c>
      <c r="R95" s="81">
        <v>3000</v>
      </c>
      <c r="S95" s="8" t="str">
        <f>IF(T95="","",VLOOKUP(T95,引用表合并!$A:$B,2,FALSE))</f>
        <v/>
      </c>
      <c r="T95" s="17"/>
      <c r="U95" s="8"/>
      <c r="W95" s="8" t="str">
        <f>IF(X95="","",VLOOKUP(X95,引用表合并!$A:$B,2,FALSE))</f>
        <v/>
      </c>
      <c r="X95" s="17"/>
      <c r="Y95" s="8"/>
      <c r="AA95" s="8"/>
      <c r="AB95" s="32"/>
      <c r="AC95" s="8"/>
      <c r="AE95" s="8"/>
      <c r="AF95" s="32"/>
      <c r="AG95" s="8"/>
      <c r="AI95" s="8" t="str">
        <f>IF(AJ95="","",VLOOKUP(AJ95,引用表合并!$A:$B,2,FALSE))</f>
        <v/>
      </c>
      <c r="AJ95" s="32"/>
      <c r="AK95" s="8"/>
      <c r="AM95" s="8" t="str">
        <f>IF(AN95="","",VLOOKUP(AN95,引用表合并!$A:$B,2,FALSE))</f>
        <v/>
      </c>
      <c r="AN95" s="32"/>
      <c r="AO95" s="8"/>
      <c r="AQ95" s="8" t="str">
        <f>IF(AR95="","",VLOOKUP(AR95,引用表合并!$A:$B,2,FALSE))</f>
        <v/>
      </c>
      <c r="AR95" s="32"/>
      <c r="AS95" s="8"/>
      <c r="AU95" s="8" t="str">
        <f>IF(AV95="","",VLOOKUP(AV95,引用表合并!$A:$B,2,FALSE))</f>
        <v/>
      </c>
      <c r="AV95" s="32"/>
      <c r="AW95" s="8"/>
      <c r="AY95" s="8" t="str">
        <f>IF(AZ95="","",VLOOKUP(AZ95,引用表合并!$A:$B,2,FALSE))</f>
        <v/>
      </c>
      <c r="AZ95" s="32"/>
      <c r="BA95" s="8"/>
      <c r="BC95" s="8" t="str">
        <f>IF(BD95="","",VLOOKUP(BD95,引用表合并!$A:$B,2,FALSE))</f>
        <v/>
      </c>
      <c r="BD95" s="32"/>
      <c r="BF95" s="10"/>
      <c r="BG95" s="8" t="str">
        <f>IF(BH95="","",VLOOKUP(BH95,引用表合并!$A:$B,2,FALSE))</f>
        <v/>
      </c>
      <c r="BH95" s="32"/>
      <c r="BJ95" s="10"/>
      <c r="BK95" s="8" t="str">
        <f>IF(BL95="","",VLOOKUP(BL95,引用表合并!$A:$B,2,FALSE))</f>
        <v/>
      </c>
      <c r="BL95" s="32"/>
      <c r="BN95" s="10"/>
    </row>
    <row r="96" spans="1:66" x14ac:dyDescent="0.15">
      <c r="A96" s="8">
        <v>3203</v>
      </c>
      <c r="B96" s="8" t="str">
        <f>"地图:"&amp;VLOOKUP(A96,[1]地图配置辅助表!$A$3:$E$229,4,FALSE)</f>
        <v>地图:精英东星杀手</v>
      </c>
      <c r="C96" s="8">
        <v>0</v>
      </c>
      <c r="D96" s="8">
        <f t="shared" si="4"/>
        <v>3</v>
      </c>
      <c r="E96" s="16">
        <f t="shared" si="11"/>
        <v>3</v>
      </c>
      <c r="F96" s="16">
        <v>2</v>
      </c>
      <c r="G96" s="8" t="str">
        <f>IF(H96="","",VLOOKUP(H96,引用表合并!$A:$B,2,FALSE))</f>
        <v>白银戒指碎片</v>
      </c>
      <c r="H96" s="83">
        <v>93141</v>
      </c>
      <c r="I96" s="84">
        <v>1</v>
      </c>
      <c r="J96" s="84">
        <v>4000</v>
      </c>
      <c r="K96" s="9" t="str">
        <f>IF(L96="","",VLOOKUP(L96,引用表合并!$A:$B,2,FALSE))</f>
        <v>精准手表碎片</v>
      </c>
      <c r="L96" s="80">
        <v>93271</v>
      </c>
      <c r="M96" s="53">
        <v>1</v>
      </c>
      <c r="N96" s="53">
        <v>3000</v>
      </c>
      <c r="O96" s="8" t="str">
        <f>IF(P96="","",VLOOKUP(P96,引用表合并!$A:$B,2,FALSE))</f>
        <v>白金手环碎片</v>
      </c>
      <c r="P96" s="82">
        <v>93233</v>
      </c>
      <c r="Q96" s="81">
        <v>1</v>
      </c>
      <c r="R96" s="81">
        <v>3000</v>
      </c>
      <c r="S96" s="8" t="str">
        <f>IF(T96="","",VLOOKUP(T96,引用表合并!$A:$B,2,FALSE))</f>
        <v/>
      </c>
      <c r="T96" s="17"/>
      <c r="U96" s="8"/>
      <c r="W96" s="8" t="str">
        <f>IF(X96="","",VLOOKUP(X96,引用表合并!$A:$B,2,FALSE))</f>
        <v/>
      </c>
      <c r="X96" s="17"/>
      <c r="Y96" s="8"/>
      <c r="AA96" s="8"/>
      <c r="AB96" s="32"/>
      <c r="AC96" s="8"/>
      <c r="AE96" s="8"/>
      <c r="AF96" s="32"/>
      <c r="AG96" s="8"/>
      <c r="AI96" s="8" t="str">
        <f>IF(AJ96="","",VLOOKUP(AJ96,引用表合并!$A:$B,2,FALSE))</f>
        <v/>
      </c>
      <c r="AJ96" s="32"/>
      <c r="AK96" s="8"/>
      <c r="AM96" s="8" t="str">
        <f>IF(AN96="","",VLOOKUP(AN96,引用表合并!$A:$B,2,FALSE))</f>
        <v/>
      </c>
      <c r="AN96" s="32"/>
      <c r="AO96" s="8"/>
      <c r="AQ96" s="8" t="str">
        <f>IF(AR96="","",VLOOKUP(AR96,引用表合并!$A:$B,2,FALSE))</f>
        <v/>
      </c>
      <c r="AR96" s="32"/>
      <c r="AS96" s="8"/>
      <c r="AU96" s="8" t="str">
        <f>IF(AV96="","",VLOOKUP(AV96,引用表合并!$A:$B,2,FALSE))</f>
        <v/>
      </c>
      <c r="AV96" s="32"/>
      <c r="AW96" s="8"/>
      <c r="AY96" s="8" t="str">
        <f>IF(AZ96="","",VLOOKUP(AZ96,引用表合并!$A:$B,2,FALSE))</f>
        <v/>
      </c>
      <c r="AZ96" s="32"/>
      <c r="BA96" s="8"/>
      <c r="BC96" s="8" t="str">
        <f>IF(BD96="","",VLOOKUP(BD96,引用表合并!$A:$B,2,FALSE))</f>
        <v/>
      </c>
      <c r="BD96" s="32"/>
      <c r="BF96" s="10"/>
      <c r="BG96" s="8" t="str">
        <f>IF(BH96="","",VLOOKUP(BH96,引用表合并!$A:$B,2,FALSE))</f>
        <v/>
      </c>
      <c r="BH96" s="32"/>
      <c r="BJ96" s="10"/>
      <c r="BK96" s="8" t="str">
        <f>IF(BL96="","",VLOOKUP(BL96,引用表合并!$A:$B,2,FALSE))</f>
        <v/>
      </c>
      <c r="BL96" s="32"/>
      <c r="BN96" s="10"/>
    </row>
    <row r="97" spans="1:66" x14ac:dyDescent="0.15">
      <c r="A97" s="8">
        <v>3204</v>
      </c>
      <c r="B97" s="8" t="str">
        <f>"地图:"&amp;VLOOKUP(A97,[1]地图配置辅助表!$A$3:$E$229,4,FALSE)</f>
        <v>地图:精英赏金猎手</v>
      </c>
      <c r="C97" s="8">
        <v>0</v>
      </c>
      <c r="D97" s="8">
        <f t="shared" si="4"/>
        <v>3</v>
      </c>
      <c r="E97" s="16">
        <f t="shared" si="11"/>
        <v>3</v>
      </c>
      <c r="F97" s="16">
        <v>2</v>
      </c>
      <c r="G97" s="8" t="str">
        <f>IF(H97="","",VLOOKUP(H97,引用表合并!$A:$B,2,FALSE))</f>
        <v>水晶项链碎片</v>
      </c>
      <c r="H97" s="83">
        <v>93245</v>
      </c>
      <c r="I97" s="84">
        <v>1</v>
      </c>
      <c r="J97" s="84">
        <v>4000</v>
      </c>
      <c r="K97" s="9" t="str">
        <f>IF(L97="","",VLOOKUP(L97,引用表合并!$A:$B,2,FALSE))</f>
        <v>宝驼碎片</v>
      </c>
      <c r="L97" s="80">
        <v>93278</v>
      </c>
      <c r="M97" s="53">
        <v>1</v>
      </c>
      <c r="N97" s="53">
        <v>3000</v>
      </c>
      <c r="O97" s="8" t="str">
        <f>IF(P97="","",VLOOKUP(P97,引用表合并!$A:$B,2,FALSE))</f>
        <v>银饰耳钉碎片</v>
      </c>
      <c r="P97" s="82">
        <v>93122</v>
      </c>
      <c r="Q97" s="81">
        <v>1</v>
      </c>
      <c r="R97" s="81">
        <v>3000</v>
      </c>
      <c r="S97" s="8" t="str">
        <f>IF(T97="","",VLOOKUP(T97,引用表合并!$A:$B,2,FALSE))</f>
        <v/>
      </c>
      <c r="T97" s="17"/>
      <c r="U97" s="8"/>
      <c r="W97" s="8" t="str">
        <f>IF(X97="","",VLOOKUP(X97,引用表合并!$A:$B,2,FALSE))</f>
        <v/>
      </c>
      <c r="X97" s="17"/>
      <c r="Y97" s="8"/>
      <c r="AA97" s="8"/>
      <c r="AB97" s="32"/>
      <c r="AC97" s="8"/>
      <c r="AE97" s="8"/>
      <c r="AF97" s="32"/>
      <c r="AG97" s="8"/>
      <c r="AI97" s="8" t="str">
        <f>IF(AJ97="","",VLOOKUP(AJ97,引用表合并!$A:$B,2,FALSE))</f>
        <v/>
      </c>
      <c r="AJ97" s="32"/>
      <c r="AK97" s="8"/>
      <c r="AM97" s="8" t="str">
        <f>IF(AN97="","",VLOOKUP(AN97,引用表合并!$A:$B,2,FALSE))</f>
        <v/>
      </c>
      <c r="AN97" s="32"/>
      <c r="AO97" s="8"/>
      <c r="AQ97" s="8" t="str">
        <f>IF(AR97="","",VLOOKUP(AR97,引用表合并!$A:$B,2,FALSE))</f>
        <v/>
      </c>
      <c r="AR97" s="32"/>
      <c r="AS97" s="8"/>
      <c r="AU97" s="8" t="str">
        <f>IF(AV97="","",VLOOKUP(AV97,引用表合并!$A:$B,2,FALSE))</f>
        <v/>
      </c>
      <c r="AV97" s="32"/>
      <c r="AW97" s="8"/>
      <c r="AY97" s="8" t="str">
        <f>IF(AZ97="","",VLOOKUP(AZ97,引用表合并!$A:$B,2,FALSE))</f>
        <v/>
      </c>
      <c r="AZ97" s="32"/>
      <c r="BA97" s="8"/>
      <c r="BC97" s="8" t="str">
        <f>IF(BD97="","",VLOOKUP(BD97,引用表合并!$A:$B,2,FALSE))</f>
        <v/>
      </c>
      <c r="BD97" s="32"/>
      <c r="BF97" s="10"/>
      <c r="BG97" s="8" t="str">
        <f>IF(BH97="","",VLOOKUP(BH97,引用表合并!$A:$B,2,FALSE))</f>
        <v/>
      </c>
      <c r="BH97" s="32"/>
      <c r="BJ97" s="10"/>
      <c r="BK97" s="8" t="str">
        <f>IF(BL97="","",VLOOKUP(BL97,引用表合并!$A:$B,2,FALSE))</f>
        <v/>
      </c>
      <c r="BL97" s="32"/>
      <c r="BN97" s="10"/>
    </row>
    <row r="98" spans="1:66" x14ac:dyDescent="0.15">
      <c r="A98" s="8">
        <v>3205</v>
      </c>
      <c r="B98" s="8" t="str">
        <f>"地图:"&amp;VLOOKUP(A98,[1]地图配置辅助表!$A$3:$E$229,4,FALSE)</f>
        <v>地图:精英追杀者</v>
      </c>
      <c r="C98" s="8">
        <v>0</v>
      </c>
      <c r="D98" s="8">
        <f t="shared" si="4"/>
        <v>3</v>
      </c>
      <c r="E98" s="16">
        <f t="shared" si="11"/>
        <v>3</v>
      </c>
      <c r="F98" s="16">
        <v>2</v>
      </c>
      <c r="G98" s="8" t="str">
        <f>IF(H98="","",VLOOKUP(H98,引用表合并!$A:$B,2,FALSE))</f>
        <v>红石项链碎片</v>
      </c>
      <c r="H98" s="83">
        <v>93251</v>
      </c>
      <c r="I98" s="84">
        <v>1</v>
      </c>
      <c r="J98" s="84">
        <v>4000</v>
      </c>
      <c r="K98" s="9" t="str">
        <f>IF(L98="","",VLOOKUP(L98,引用表合并!$A:$B,2,FALSE))</f>
        <v>小迭钞票碎片</v>
      </c>
      <c r="L98" s="80">
        <v>93283</v>
      </c>
      <c r="M98" s="53">
        <v>1</v>
      </c>
      <c r="N98" s="53">
        <v>3000</v>
      </c>
      <c r="O98" s="8" t="str">
        <f>IF(P98="","",VLOOKUP(P98,引用表合并!$A:$B,2,FALSE))</f>
        <v>白银戒指碎片</v>
      </c>
      <c r="P98" s="82">
        <v>93141</v>
      </c>
      <c r="Q98" s="81">
        <v>1</v>
      </c>
      <c r="R98" s="81">
        <v>3000</v>
      </c>
      <c r="S98" s="8" t="str">
        <f>IF(T98="","",VLOOKUP(T98,引用表合并!$A:$B,2,FALSE))</f>
        <v/>
      </c>
      <c r="T98" s="17"/>
      <c r="U98" s="8"/>
      <c r="W98" s="8" t="str">
        <f>IF(X98="","",VLOOKUP(X98,引用表合并!$A:$B,2,FALSE))</f>
        <v/>
      </c>
      <c r="X98" s="17"/>
      <c r="Y98" s="8"/>
      <c r="AA98" s="8"/>
      <c r="AB98" s="32"/>
      <c r="AC98" s="8"/>
      <c r="AE98" s="8"/>
      <c r="AF98" s="32"/>
      <c r="AG98" s="8"/>
      <c r="AI98" s="8" t="str">
        <f>IF(AJ98="","",VLOOKUP(AJ98,引用表合并!$A:$B,2,FALSE))</f>
        <v/>
      </c>
      <c r="AJ98" s="32"/>
      <c r="AK98" s="8"/>
      <c r="AM98" s="8" t="str">
        <f>IF(AN98="","",VLOOKUP(AN98,引用表合并!$A:$B,2,FALSE))</f>
        <v/>
      </c>
      <c r="AN98" s="32"/>
      <c r="AO98" s="8"/>
      <c r="AQ98" s="8" t="str">
        <f>IF(AR98="","",VLOOKUP(AR98,引用表合并!$A:$B,2,FALSE))</f>
        <v/>
      </c>
      <c r="AR98" s="32"/>
      <c r="AS98" s="8"/>
      <c r="AU98" s="8" t="str">
        <f>IF(AV98="","",VLOOKUP(AV98,引用表合并!$A:$B,2,FALSE))</f>
        <v/>
      </c>
      <c r="AV98" s="32"/>
      <c r="AW98" s="8"/>
      <c r="AY98" s="8" t="str">
        <f>IF(AZ98="","",VLOOKUP(AZ98,引用表合并!$A:$B,2,FALSE))</f>
        <v/>
      </c>
      <c r="AZ98" s="32"/>
      <c r="BA98" s="8"/>
      <c r="BC98" s="8" t="str">
        <f>IF(BD98="","",VLOOKUP(BD98,引用表合并!$A:$B,2,FALSE))</f>
        <v/>
      </c>
      <c r="BD98" s="32"/>
      <c r="BF98" s="10"/>
      <c r="BG98" s="8" t="str">
        <f>IF(BH98="","",VLOOKUP(BH98,引用表合并!$A:$B,2,FALSE))</f>
        <v/>
      </c>
      <c r="BH98" s="32"/>
      <c r="BJ98" s="10"/>
      <c r="BK98" s="8" t="str">
        <f>IF(BL98="","",VLOOKUP(BL98,引用表合并!$A:$B,2,FALSE))</f>
        <v/>
      </c>
      <c r="BL98" s="32"/>
      <c r="BN98" s="10"/>
    </row>
    <row r="99" spans="1:66" x14ac:dyDescent="0.15">
      <c r="A99" s="8">
        <v>3206</v>
      </c>
      <c r="B99" s="8" t="str">
        <f>"地图:"&amp;VLOOKUP(A99,[1]地图配置辅助表!$A$3:$E$229,4,FALSE)</f>
        <v>地图:精英弹药守卫</v>
      </c>
      <c r="C99" s="8">
        <v>0</v>
      </c>
      <c r="D99" s="8">
        <f t="shared" si="4"/>
        <v>3</v>
      </c>
      <c r="E99" s="16">
        <f t="shared" si="11"/>
        <v>3</v>
      </c>
      <c r="F99" s="16">
        <v>2</v>
      </c>
      <c r="G99" s="8" t="str">
        <f>IF(H99="","",VLOOKUP(H99,引用表合并!$A:$B,2,FALSE))</f>
        <v>越野手表碎片</v>
      </c>
      <c r="H99" s="83">
        <v>93264</v>
      </c>
      <c r="I99" s="84">
        <v>1</v>
      </c>
      <c r="J99" s="84">
        <v>4000</v>
      </c>
      <c r="K99" s="9" t="str">
        <f>IF(L99="","",VLOOKUP(L99,引用表合并!$A:$B,2,FALSE))</f>
        <v>金块碎片</v>
      </c>
      <c r="L99" s="80">
        <v>93287</v>
      </c>
      <c r="M99" s="53">
        <v>1</v>
      </c>
      <c r="N99" s="53">
        <v>3000</v>
      </c>
      <c r="O99" s="8" t="str">
        <f>IF(P99="","",VLOOKUP(P99,引用表合并!$A:$B,2,FALSE))</f>
        <v>水晶项链碎片</v>
      </c>
      <c r="P99" s="82">
        <v>93245</v>
      </c>
      <c r="Q99" s="81">
        <v>1</v>
      </c>
      <c r="R99" s="81">
        <v>3000</v>
      </c>
      <c r="S99" s="8" t="str">
        <f>IF(T99="","",VLOOKUP(T99,引用表合并!$A:$B,2,FALSE))</f>
        <v/>
      </c>
      <c r="T99" s="17"/>
      <c r="U99" s="8"/>
      <c r="W99" s="8" t="str">
        <f>IF(X99="","",VLOOKUP(X99,引用表合并!$A:$B,2,FALSE))</f>
        <v/>
      </c>
      <c r="X99" s="17"/>
      <c r="Y99" s="8"/>
      <c r="AA99" s="8" t="str">
        <f>IF(AB99="","",VLOOKUP(AB99,引用表合并!$A:$B,2,FALSE))</f>
        <v/>
      </c>
      <c r="AB99" s="8"/>
      <c r="AC99" s="8"/>
      <c r="AE99" s="8"/>
      <c r="AF99" s="8"/>
      <c r="AG99" s="8"/>
      <c r="AI99" s="8" t="str">
        <f>IF(AJ99="","",VLOOKUP(AJ99,引用表合并!$A:$B,2,FALSE))</f>
        <v/>
      </c>
      <c r="AJ99" s="8"/>
      <c r="AK99" s="8"/>
      <c r="AM99" s="8" t="str">
        <f>IF(AN99="","",VLOOKUP(AN99,引用表合并!$A:$B,2,FALSE))</f>
        <v/>
      </c>
      <c r="AN99" s="8"/>
      <c r="AO99" s="8"/>
      <c r="AQ99" s="8" t="str">
        <f>IF(AR99="","",VLOOKUP(AR99,引用表合并!$A:$B,2,FALSE))</f>
        <v/>
      </c>
      <c r="AR99" s="8"/>
      <c r="AS99" s="8"/>
      <c r="AU99" s="8" t="str">
        <f>IF(AV99="","",VLOOKUP(AV99,引用表合并!$A:$B,2,FALSE))</f>
        <v/>
      </c>
      <c r="AV99" s="8"/>
      <c r="AW99" s="8"/>
      <c r="AY99" s="8" t="str">
        <f>IF(AZ99="","",VLOOKUP(AZ99,引用表合并!$A:$B,2,FALSE))</f>
        <v/>
      </c>
      <c r="AZ99" s="8"/>
      <c r="BA99" s="8"/>
      <c r="BC99" s="8" t="str">
        <f>IF(BD99="","",VLOOKUP(BD99,引用表合并!$A:$B,2,FALSE))</f>
        <v/>
      </c>
      <c r="BD99" s="8"/>
      <c r="BF99" s="10"/>
      <c r="BG99" s="8" t="str">
        <f>IF(BH99="","",VLOOKUP(BH99,引用表合并!$A:$B,2,FALSE))</f>
        <v/>
      </c>
      <c r="BH99" s="8"/>
      <c r="BJ99" s="10"/>
      <c r="BK99" s="8" t="str">
        <f>IF(BL99="","",VLOOKUP(BL99,引用表合并!$A:$B,2,FALSE))</f>
        <v/>
      </c>
      <c r="BL99" s="8"/>
      <c r="BN99" s="10"/>
    </row>
    <row r="100" spans="1:66" x14ac:dyDescent="0.15">
      <c r="A100" s="49">
        <v>3207</v>
      </c>
      <c r="B100" s="8" t="str">
        <f>"地图:"&amp;VLOOKUP(A100,[1]地图配置辅助表!$A$3:$E$229,4,FALSE)</f>
        <v>地图:精英人质看守</v>
      </c>
      <c r="C100" s="8">
        <v>0</v>
      </c>
      <c r="D100" s="8">
        <f t="shared" ref="D100:D102" si="15">E100</f>
        <v>3</v>
      </c>
      <c r="E100" s="16">
        <f t="shared" si="11"/>
        <v>3</v>
      </c>
      <c r="F100" s="16">
        <v>2</v>
      </c>
      <c r="G100" s="8" t="str">
        <f>IF(H100="","",VLOOKUP(H100,引用表合并!$A:$B,2,FALSE))</f>
        <v>精准手表碎片</v>
      </c>
      <c r="H100" s="83">
        <v>93271</v>
      </c>
      <c r="I100" s="84">
        <v>1</v>
      </c>
      <c r="J100" s="84">
        <v>4000</v>
      </c>
      <c r="K100" s="9" t="str">
        <f>IF(L100="","",VLOOKUP(L100,引用表合并!$A:$B,2,FALSE))</f>
        <v>白金手环碎片</v>
      </c>
      <c r="L100" s="87">
        <v>93233</v>
      </c>
      <c r="M100" s="88">
        <v>1</v>
      </c>
      <c r="N100" s="88">
        <v>3000</v>
      </c>
      <c r="O100" s="8" t="str">
        <f>IF(P100="","",VLOOKUP(P100,引用表合并!$A:$B,2,FALSE))</f>
        <v>红石项链碎片</v>
      </c>
      <c r="P100" s="82">
        <v>93251</v>
      </c>
      <c r="Q100" s="81">
        <v>1</v>
      </c>
      <c r="R100" s="81">
        <v>3000</v>
      </c>
      <c r="S100" s="8" t="str">
        <f>IF(T100="","",VLOOKUP(T100,引用表合并!$A:$B,2,FALSE))</f>
        <v/>
      </c>
      <c r="T100" s="17"/>
      <c r="U100" s="8"/>
      <c r="W100" s="8" t="str">
        <f>IF(X100="","",VLOOKUP(X100,引用表合并!$A:$B,2,FALSE))</f>
        <v/>
      </c>
      <c r="X100" s="17"/>
      <c r="Y100" s="8"/>
      <c r="AA100" s="8"/>
      <c r="AB100" s="32"/>
      <c r="AC100" s="8"/>
      <c r="AE100" s="8"/>
      <c r="AF100" s="32"/>
      <c r="AG100" s="8"/>
      <c r="AI100" s="8" t="str">
        <f>IF(AJ100="","",VLOOKUP(AJ100,引用表合并!$A:$B,2,FALSE))</f>
        <v/>
      </c>
      <c r="AJ100" s="32"/>
      <c r="AK100" s="8"/>
      <c r="AM100" s="8" t="str">
        <f>IF(AN100="","",VLOOKUP(AN100,引用表合并!$A:$B,2,FALSE))</f>
        <v/>
      </c>
      <c r="AN100" s="32"/>
      <c r="AO100" s="8"/>
      <c r="AQ100" s="8" t="str">
        <f>IF(AR100="","",VLOOKUP(AR100,引用表合并!$A:$B,2,FALSE))</f>
        <v/>
      </c>
      <c r="AR100" s="32"/>
      <c r="AS100" s="8"/>
      <c r="AU100" s="8" t="str">
        <f>IF(AV100="","",VLOOKUP(AV100,引用表合并!$A:$B,2,FALSE))</f>
        <v/>
      </c>
      <c r="AV100" s="32"/>
      <c r="AW100" s="8"/>
      <c r="AY100" s="8" t="str">
        <f>IF(AZ100="","",VLOOKUP(AZ100,引用表合并!$A:$B,2,FALSE))</f>
        <v/>
      </c>
      <c r="AZ100" s="32"/>
      <c r="BA100" s="8"/>
      <c r="BC100" s="8" t="str">
        <f>IF(BD100="","",VLOOKUP(BD100,引用表合并!$A:$B,2,FALSE))</f>
        <v/>
      </c>
      <c r="BD100" s="32"/>
      <c r="BF100" s="10"/>
      <c r="BG100" s="8" t="str">
        <f>IF(BH100="","",VLOOKUP(BH100,引用表合并!$A:$B,2,FALSE))</f>
        <v/>
      </c>
      <c r="BH100" s="32"/>
      <c r="BJ100" s="10"/>
      <c r="BK100" s="8" t="str">
        <f>IF(BL100="","",VLOOKUP(BL100,引用表合并!$A:$B,2,FALSE))</f>
        <v/>
      </c>
      <c r="BL100" s="32"/>
      <c r="BN100" s="10"/>
    </row>
    <row r="101" spans="1:66" x14ac:dyDescent="0.15">
      <c r="A101" s="49">
        <v>3208</v>
      </c>
      <c r="B101" s="8" t="str">
        <f>"地图:"&amp;VLOOKUP(A101,[1]地图配置辅助表!$A$3:$E$229,4,FALSE)</f>
        <v>地图:精英乌鸦心腹</v>
      </c>
      <c r="C101" s="8">
        <v>0</v>
      </c>
      <c r="D101" s="8">
        <f t="shared" si="15"/>
        <v>3</v>
      </c>
      <c r="E101" s="16">
        <f t="shared" si="11"/>
        <v>3</v>
      </c>
      <c r="F101" s="16">
        <v>2</v>
      </c>
      <c r="G101" s="8" t="str">
        <f>IF(H101="","",VLOOKUP(H101,引用表合并!$A:$B,2,FALSE))</f>
        <v>宝驼碎片</v>
      </c>
      <c r="H101" s="83">
        <v>93278</v>
      </c>
      <c r="I101" s="84">
        <v>1</v>
      </c>
      <c r="J101" s="84">
        <v>4000</v>
      </c>
      <c r="K101" s="9" t="str">
        <f>IF(L101="","",VLOOKUP(L101,引用表合并!$A:$B,2,FALSE))</f>
        <v>银饰耳钉碎片</v>
      </c>
      <c r="L101" s="87">
        <v>93122</v>
      </c>
      <c r="M101" s="88">
        <v>1</v>
      </c>
      <c r="N101" s="88">
        <v>3000</v>
      </c>
      <c r="O101" s="8" t="str">
        <f>IF(P101="","",VLOOKUP(P101,引用表合并!$A:$B,2,FALSE))</f>
        <v>越野手表碎片</v>
      </c>
      <c r="P101" s="82">
        <v>93264</v>
      </c>
      <c r="Q101" s="81">
        <v>1</v>
      </c>
      <c r="R101" s="81">
        <v>3000</v>
      </c>
      <c r="S101" s="8" t="str">
        <f>IF(T101="","",VLOOKUP(T101,引用表合并!$A:$B,2,FALSE))</f>
        <v/>
      </c>
      <c r="T101" s="17"/>
      <c r="U101" s="8"/>
      <c r="W101" s="8" t="str">
        <f>IF(X101="","",VLOOKUP(X101,引用表合并!$A:$B,2,FALSE))</f>
        <v/>
      </c>
      <c r="X101" s="17"/>
      <c r="Y101" s="8"/>
      <c r="AA101" s="8"/>
      <c r="AB101" s="32"/>
      <c r="AC101" s="8"/>
      <c r="AE101" s="8"/>
      <c r="AF101" s="32"/>
      <c r="AG101" s="8"/>
      <c r="AI101" s="8" t="str">
        <f>IF(AJ101="","",VLOOKUP(AJ101,引用表合并!$A:$B,2,FALSE))</f>
        <v/>
      </c>
      <c r="AJ101" s="32"/>
      <c r="AK101" s="8"/>
      <c r="AM101" s="8" t="str">
        <f>IF(AN101="","",VLOOKUP(AN101,引用表合并!$A:$B,2,FALSE))</f>
        <v/>
      </c>
      <c r="AN101" s="32"/>
      <c r="AO101" s="8"/>
      <c r="AQ101" s="8" t="str">
        <f>IF(AR101="","",VLOOKUP(AR101,引用表合并!$A:$B,2,FALSE))</f>
        <v/>
      </c>
      <c r="AR101" s="32"/>
      <c r="AS101" s="8"/>
      <c r="AU101" s="8" t="str">
        <f>IF(AV101="","",VLOOKUP(AV101,引用表合并!$A:$B,2,FALSE))</f>
        <v/>
      </c>
      <c r="AV101" s="32"/>
      <c r="AW101" s="8"/>
      <c r="AY101" s="8" t="str">
        <f>IF(AZ101="","",VLOOKUP(AZ101,引用表合并!$A:$B,2,FALSE))</f>
        <v/>
      </c>
      <c r="AZ101" s="32"/>
      <c r="BA101" s="8"/>
      <c r="BC101" s="8" t="str">
        <f>IF(BD101="","",VLOOKUP(BD101,引用表合并!$A:$B,2,FALSE))</f>
        <v/>
      </c>
      <c r="BD101" s="32"/>
      <c r="BF101" s="10"/>
      <c r="BG101" s="8" t="str">
        <f>IF(BH101="","",VLOOKUP(BH101,引用表合并!$A:$B,2,FALSE))</f>
        <v/>
      </c>
      <c r="BH101" s="32"/>
      <c r="BJ101" s="10"/>
      <c r="BK101" s="8" t="str">
        <f>IF(BL101="","",VLOOKUP(BL101,引用表合并!$A:$B,2,FALSE))</f>
        <v/>
      </c>
      <c r="BL101" s="32"/>
      <c r="BN101" s="10"/>
    </row>
    <row r="102" spans="1:66" x14ac:dyDescent="0.15">
      <c r="A102" s="49">
        <v>3209</v>
      </c>
      <c r="B102" s="8" t="str">
        <f>"地图:"&amp;VLOOKUP(A102,[1]地图配置辅助表!$A$3:$E$229,4,FALSE)</f>
        <v>地图:精英乌鸦</v>
      </c>
      <c r="C102" s="8">
        <v>0</v>
      </c>
      <c r="D102" s="8">
        <f t="shared" si="15"/>
        <v>3</v>
      </c>
      <c r="E102" s="16">
        <f t="shared" si="11"/>
        <v>3</v>
      </c>
      <c r="F102" s="16">
        <v>2</v>
      </c>
      <c r="G102" s="8" t="str">
        <f>IF(H102="","",VLOOKUP(H102,引用表合并!$A:$B,2,FALSE))</f>
        <v>小迭钞票碎片</v>
      </c>
      <c r="H102" s="83">
        <v>93283</v>
      </c>
      <c r="I102" s="84">
        <v>1</v>
      </c>
      <c r="J102" s="84">
        <v>4000</v>
      </c>
      <c r="K102" s="9" t="str">
        <f>IF(L102="","",VLOOKUP(L102,引用表合并!$A:$B,2,FALSE))</f>
        <v>金块碎片</v>
      </c>
      <c r="L102" s="83">
        <v>93287</v>
      </c>
      <c r="M102" s="84">
        <v>1</v>
      </c>
      <c r="N102" s="84">
        <v>3000</v>
      </c>
      <c r="O102" s="8" t="str">
        <f>IF(P102="","",VLOOKUP(P102,引用表合并!$A:$B,2,FALSE))</f>
        <v>精准手表碎片</v>
      </c>
      <c r="P102" s="82">
        <v>93271</v>
      </c>
      <c r="Q102" s="81">
        <v>1</v>
      </c>
      <c r="R102" s="81">
        <v>3000</v>
      </c>
      <c r="S102" s="8" t="str">
        <f>IF(T102="","",VLOOKUP(T102,引用表合并!$A:$B,2,FALSE))</f>
        <v/>
      </c>
      <c r="T102" s="17"/>
      <c r="U102" s="8"/>
      <c r="W102" s="8" t="str">
        <f>IF(X102="","",VLOOKUP(X102,引用表合并!$A:$B,2,FALSE))</f>
        <v/>
      </c>
      <c r="X102" s="17"/>
      <c r="Y102" s="8"/>
      <c r="AA102" s="8" t="str">
        <f>IF(AB102="","",VLOOKUP(AB102,引用表合并!$A:$B,2,FALSE))</f>
        <v/>
      </c>
      <c r="AB102" s="8"/>
      <c r="AC102" s="8"/>
      <c r="AE102" s="8"/>
      <c r="AF102" s="8"/>
      <c r="AG102" s="8"/>
      <c r="AI102" s="8" t="str">
        <f>IF(AJ102="","",VLOOKUP(AJ102,引用表合并!$A:$B,2,FALSE))</f>
        <v/>
      </c>
      <c r="AJ102" s="8"/>
      <c r="AK102" s="8"/>
      <c r="AM102" s="8" t="str">
        <f>IF(AN102="","",VLOOKUP(AN102,引用表合并!$A:$B,2,FALSE))</f>
        <v/>
      </c>
      <c r="AN102" s="8"/>
      <c r="AO102" s="8"/>
      <c r="AQ102" s="8" t="str">
        <f>IF(AR102="","",VLOOKUP(AR102,引用表合并!$A:$B,2,FALSE))</f>
        <v/>
      </c>
      <c r="AR102" s="8"/>
      <c r="AS102" s="8"/>
      <c r="AU102" s="8" t="str">
        <f>IF(AV102="","",VLOOKUP(AV102,引用表合并!$A:$B,2,FALSE))</f>
        <v/>
      </c>
      <c r="AV102" s="8"/>
      <c r="AW102" s="8"/>
      <c r="AY102" s="8" t="str">
        <f>IF(AZ102="","",VLOOKUP(AZ102,引用表合并!$A:$B,2,FALSE))</f>
        <v/>
      </c>
      <c r="AZ102" s="8"/>
      <c r="BA102" s="8"/>
      <c r="BC102" s="8" t="str">
        <f>IF(BD102="","",VLOOKUP(BD102,引用表合并!$A:$B,2,FALSE))</f>
        <v/>
      </c>
      <c r="BD102" s="8"/>
      <c r="BF102" s="10"/>
      <c r="BG102" s="8" t="str">
        <f>IF(BH102="","",VLOOKUP(BH102,引用表合并!$A:$B,2,FALSE))</f>
        <v/>
      </c>
      <c r="BH102" s="8"/>
      <c r="BJ102" s="10"/>
      <c r="BK102" s="8" t="str">
        <f>IF(BL102="","",VLOOKUP(BL102,引用表合并!$A:$B,2,FALSE))</f>
        <v/>
      </c>
      <c r="BL102" s="8"/>
      <c r="BN102" s="10"/>
    </row>
    <row r="103" spans="1:66" x14ac:dyDescent="0.15">
      <c r="A103" s="8">
        <v>4201</v>
      </c>
      <c r="B103" s="8" t="str">
        <f>"地图:"&amp;VLOOKUP(A103,[1]地图配置辅助表!$A$3:$E$229,4,FALSE)</f>
        <v>地图:精英袭击者</v>
      </c>
      <c r="C103" s="8">
        <v>0</v>
      </c>
      <c r="D103" s="8">
        <f t="shared" si="4"/>
        <v>3</v>
      </c>
      <c r="E103" s="16">
        <f t="shared" si="11"/>
        <v>3</v>
      </c>
      <c r="F103" s="16">
        <v>2</v>
      </c>
      <c r="G103" s="8" t="str">
        <f>IF(H103="","",VLOOKUP(H103,引用表合并!$A:$B,2,FALSE))</f>
        <v>黄金戒指碎片</v>
      </c>
      <c r="H103" s="75">
        <v>93142</v>
      </c>
      <c r="I103" s="89">
        <v>1</v>
      </c>
      <c r="J103" s="89">
        <v>4000</v>
      </c>
      <c r="K103" s="8" t="str">
        <f>IF(L103="","",VLOOKUP(L103,引用表合并!$A:$B,2,FALSE))</f>
        <v>白银戒指碎片</v>
      </c>
      <c r="L103" s="87">
        <v>93141</v>
      </c>
      <c r="M103" s="88">
        <v>1</v>
      </c>
      <c r="N103" s="88">
        <v>3000</v>
      </c>
      <c r="O103" s="8" t="str">
        <f>IF(P103="","",VLOOKUP(P103,引用表合并!$A:$B,2,FALSE))</f>
        <v>宝驼碎片</v>
      </c>
      <c r="P103" s="82">
        <v>93278</v>
      </c>
      <c r="Q103" s="81">
        <v>1</v>
      </c>
      <c r="R103" s="81">
        <v>3000</v>
      </c>
      <c r="S103" s="8" t="str">
        <f>IF(T103="","",VLOOKUP(T103,引用表合并!$A:$B,2,FALSE))</f>
        <v/>
      </c>
      <c r="T103" s="17"/>
      <c r="U103" s="8"/>
      <c r="W103" s="8" t="str">
        <f>IF(X103="","",VLOOKUP(X103,引用表合并!$A:$B,2,FALSE))</f>
        <v/>
      </c>
      <c r="X103" s="17"/>
      <c r="Y103" s="8"/>
      <c r="AA103" s="8"/>
      <c r="AB103"/>
      <c r="AC103" s="8"/>
      <c r="AE103" s="8"/>
      <c r="AF103"/>
      <c r="AG103" s="8"/>
      <c r="AI103" s="8" t="str">
        <f>IF(AJ103="","",VLOOKUP(AJ103,引用表合并!$A:$B,2,FALSE))</f>
        <v/>
      </c>
      <c r="AJ103"/>
      <c r="AK103" s="8"/>
      <c r="AM103" s="8" t="str">
        <f>IF(AN103="","",VLOOKUP(AN103,引用表合并!$A:$B,2,FALSE))</f>
        <v/>
      </c>
      <c r="AN103"/>
      <c r="AO103" s="8"/>
      <c r="AQ103" s="8" t="str">
        <f>IF(AR103="","",VLOOKUP(AR103,引用表合并!$A:$B,2,FALSE))</f>
        <v/>
      </c>
      <c r="AR103"/>
      <c r="AS103" s="8"/>
      <c r="AU103" s="8" t="str">
        <f>IF(AV103="","",VLOOKUP(AV103,引用表合并!$A:$B,2,FALSE))</f>
        <v/>
      </c>
      <c r="AV103"/>
      <c r="AW103" s="8"/>
      <c r="AY103" s="8" t="str">
        <f>IF(AZ103="","",VLOOKUP(AZ103,引用表合并!$A:$B,2,FALSE))</f>
        <v/>
      </c>
      <c r="AZ103"/>
      <c r="BA103" s="8"/>
      <c r="BC103" s="8" t="str">
        <f>IF(BD103="","",VLOOKUP(BD103,引用表合并!$A:$B,2,FALSE))</f>
        <v/>
      </c>
      <c r="BD103"/>
      <c r="BF103" s="10"/>
      <c r="BG103" s="8" t="str">
        <f>IF(BH103="","",VLOOKUP(BH103,引用表合并!$A:$B,2,FALSE))</f>
        <v/>
      </c>
      <c r="BH103"/>
      <c r="BJ103" s="10"/>
      <c r="BK103" s="8" t="str">
        <f>IF(BL103="","",VLOOKUP(BL103,引用表合并!$A:$B,2,FALSE))</f>
        <v/>
      </c>
      <c r="BL103"/>
      <c r="BN103" s="10"/>
    </row>
    <row r="104" spans="1:66" x14ac:dyDescent="0.15">
      <c r="A104" s="8">
        <v>4202</v>
      </c>
      <c r="B104" s="8" t="str">
        <f>"地图:"&amp;VLOOKUP(A104,[1]地图配置辅助表!$A$3:$E$229,4,FALSE)</f>
        <v>地图:精英生番手下</v>
      </c>
      <c r="C104" s="8">
        <v>0</v>
      </c>
      <c r="D104" s="8">
        <f t="shared" si="4"/>
        <v>3</v>
      </c>
      <c r="E104" s="16">
        <f t="shared" si="11"/>
        <v>3</v>
      </c>
      <c r="F104" s="16">
        <v>2</v>
      </c>
      <c r="G104" s="8" t="str">
        <f>IF(H104="","",VLOOKUP(H104,引用表合并!$A:$B,2,FALSE))</f>
        <v>宝石手环碎片</v>
      </c>
      <c r="H104" s="75">
        <v>93235</v>
      </c>
      <c r="I104" s="89">
        <v>1</v>
      </c>
      <c r="J104" s="89">
        <v>4000</v>
      </c>
      <c r="K104" s="8" t="str">
        <f>IF(L104="","",VLOOKUP(L104,引用表合并!$A:$B,2,FALSE))</f>
        <v>水晶项链碎片</v>
      </c>
      <c r="L104" s="87">
        <v>93245</v>
      </c>
      <c r="M104" s="88">
        <v>1</v>
      </c>
      <c r="N104" s="88">
        <v>3000</v>
      </c>
      <c r="O104" s="8" t="str">
        <f>IF(P104="","",VLOOKUP(P104,引用表合并!$A:$B,2,FALSE))</f>
        <v>白金手环碎片</v>
      </c>
      <c r="P104" s="85">
        <v>93233</v>
      </c>
      <c r="Q104" s="86">
        <v>1</v>
      </c>
      <c r="R104" s="86">
        <v>3000</v>
      </c>
      <c r="S104" s="8" t="str">
        <f>IF(T104="","",VLOOKUP(T104,引用表合并!$A:$B,2,FALSE))</f>
        <v/>
      </c>
      <c r="T104" s="17"/>
      <c r="U104" s="8"/>
      <c r="W104" s="8" t="str">
        <f>IF(X104="","",VLOOKUP(X104,引用表合并!$A:$B,2,FALSE))</f>
        <v/>
      </c>
      <c r="X104" s="17"/>
      <c r="Y104" s="8"/>
      <c r="AA104" s="8" t="str">
        <f>IF(AB104="","",VLOOKUP(AB104,引用表合并!$A:$B,2,FALSE))</f>
        <v/>
      </c>
      <c r="AB104" s="8"/>
      <c r="AC104" s="8"/>
      <c r="AE104" s="8" t="str">
        <f>IF(AF104="","",VLOOKUP(AF104,引用表合并!$A:$B,2,FALSE))</f>
        <v/>
      </c>
      <c r="AF104" s="8"/>
      <c r="AG104" s="8"/>
      <c r="AI104" s="8" t="str">
        <f>IF(AJ104="","",VLOOKUP(AJ104,引用表合并!$A:$B,2,FALSE))</f>
        <v/>
      </c>
      <c r="AJ104" s="8"/>
      <c r="AK104" s="8"/>
      <c r="AM104" s="8" t="str">
        <f>IF(AN104="","",VLOOKUP(AN104,引用表合并!$A:$B,2,FALSE))</f>
        <v/>
      </c>
      <c r="AN104" s="8"/>
      <c r="AO104" s="8"/>
      <c r="AQ104" s="8" t="str">
        <f>IF(AR104="","",VLOOKUP(AR104,引用表合并!$A:$B,2,FALSE))</f>
        <v/>
      </c>
      <c r="AR104" s="8"/>
      <c r="AS104" s="8"/>
      <c r="AU104" s="8" t="str">
        <f>IF(AV104="","",VLOOKUP(AV104,引用表合并!$A:$B,2,FALSE))</f>
        <v/>
      </c>
      <c r="AV104" s="8"/>
      <c r="AW104" s="8"/>
      <c r="AY104" s="8" t="str">
        <f>IF(AZ104="","",VLOOKUP(AZ104,引用表合并!$A:$B,2,FALSE))</f>
        <v/>
      </c>
      <c r="AZ104" s="8"/>
      <c r="BA104" s="8"/>
      <c r="BC104" s="8" t="str">
        <f>IF(BD104="","",VLOOKUP(BD104,引用表合并!$A:$B,2,FALSE))</f>
        <v/>
      </c>
      <c r="BD104" s="8"/>
      <c r="BF104" s="10"/>
      <c r="BG104" s="8" t="str">
        <f>IF(BH104="","",VLOOKUP(BH104,引用表合并!$A:$B,2,FALSE))</f>
        <v/>
      </c>
      <c r="BH104" s="8"/>
      <c r="BJ104" s="10"/>
      <c r="BK104" s="8" t="str">
        <f>IF(BL104="","",VLOOKUP(BL104,引用表合并!$A:$B,2,FALSE))</f>
        <v/>
      </c>
      <c r="BL104" s="8"/>
      <c r="BN104" s="10"/>
    </row>
    <row r="105" spans="1:66" x14ac:dyDescent="0.15">
      <c r="A105" s="8">
        <v>4203</v>
      </c>
      <c r="B105" s="8" t="str">
        <f>"地图:"&amp;VLOOKUP(A105,[1]地图配置辅助表!$A$3:$E$229,4,FALSE)</f>
        <v>地图:精英混混头目</v>
      </c>
      <c r="C105" s="8">
        <v>0</v>
      </c>
      <c r="D105" s="8">
        <f t="shared" si="4"/>
        <v>3</v>
      </c>
      <c r="E105" s="16">
        <f t="shared" si="11"/>
        <v>3</v>
      </c>
      <c r="F105" s="16">
        <v>2</v>
      </c>
      <c r="G105" s="8" t="str">
        <f>IF(H105="","",VLOOKUP(H105,引用表合并!$A:$B,2,FALSE))</f>
        <v>摩拉碎片</v>
      </c>
      <c r="H105" s="75">
        <v>93012</v>
      </c>
      <c r="I105" s="89">
        <v>1</v>
      </c>
      <c r="J105" s="89">
        <v>4000</v>
      </c>
      <c r="K105" s="8" t="str">
        <f>IF(L105="","",VLOOKUP(L105,引用表合并!$A:$B,2,FALSE))</f>
        <v>红石项链碎片</v>
      </c>
      <c r="L105" s="87">
        <v>93251</v>
      </c>
      <c r="M105" s="88">
        <v>1</v>
      </c>
      <c r="N105" s="88">
        <v>3000</v>
      </c>
      <c r="O105" s="8" t="str">
        <f>IF(P105="","",VLOOKUP(P105,引用表合并!$A:$B,2,FALSE))</f>
        <v>银饰耳钉碎片</v>
      </c>
      <c r="P105" s="85">
        <v>93122</v>
      </c>
      <c r="Q105" s="86">
        <v>1</v>
      </c>
      <c r="R105" s="86">
        <v>3000</v>
      </c>
      <c r="S105" s="8" t="str">
        <f>IF(T105="","",VLOOKUP(T105,引用表合并!$A:$B,2,FALSE))</f>
        <v/>
      </c>
      <c r="T105" s="17"/>
      <c r="U105" s="8"/>
      <c r="W105" s="8" t="str">
        <f>IF(X105="","",VLOOKUP(X105,引用表合并!$A:$B,2,FALSE))</f>
        <v/>
      </c>
      <c r="X105" s="17"/>
      <c r="Y105" s="8"/>
      <c r="AA105" s="8" t="str">
        <f>IF(AB105="","",VLOOKUP(AB105,引用表合并!$A:$B,2,FALSE))</f>
        <v/>
      </c>
      <c r="AB105" s="8"/>
      <c r="AC105" s="8"/>
      <c r="AE105" s="8" t="str">
        <f>IF(AF105="","",VLOOKUP(AF105,引用表合并!$A:$B,2,FALSE))</f>
        <v/>
      </c>
      <c r="AF105" s="8"/>
      <c r="AG105" s="8"/>
      <c r="AI105" s="8" t="str">
        <f>IF(AJ105="","",VLOOKUP(AJ105,引用表合并!$A:$B,2,FALSE))</f>
        <v/>
      </c>
      <c r="AJ105" s="8"/>
      <c r="AK105" s="8"/>
      <c r="AM105" s="8" t="str">
        <f>IF(AN105="","",VLOOKUP(AN105,引用表合并!$A:$B,2,FALSE))</f>
        <v/>
      </c>
      <c r="AN105" s="8"/>
      <c r="AO105" s="8"/>
      <c r="AQ105" s="8" t="str">
        <f>IF(AR105="","",VLOOKUP(AR105,引用表合并!$A:$B,2,FALSE))</f>
        <v/>
      </c>
      <c r="AR105" s="8"/>
      <c r="AS105" s="8"/>
      <c r="AU105" s="8" t="str">
        <f>IF(AV105="","",VLOOKUP(AV105,引用表合并!$A:$B,2,FALSE))</f>
        <v/>
      </c>
      <c r="AV105" s="8"/>
      <c r="AW105" s="8"/>
      <c r="AY105" s="8" t="str">
        <f>IF(AZ105="","",VLOOKUP(AZ105,引用表合并!$A:$B,2,FALSE))</f>
        <v/>
      </c>
      <c r="AZ105" s="8"/>
      <c r="BA105" s="8"/>
      <c r="BC105" s="8" t="str">
        <f>IF(BD105="","",VLOOKUP(BD105,引用表合并!$A:$B,2,FALSE))</f>
        <v/>
      </c>
      <c r="BD105" s="8"/>
      <c r="BF105" s="10"/>
      <c r="BG105" s="8" t="str">
        <f>IF(BH105="","",VLOOKUP(BH105,引用表合并!$A:$B,2,FALSE))</f>
        <v/>
      </c>
      <c r="BH105" s="8"/>
      <c r="BJ105" s="10"/>
      <c r="BK105" s="8" t="str">
        <f>IF(BL105="","",VLOOKUP(BL105,引用表合并!$A:$B,2,FALSE))</f>
        <v/>
      </c>
      <c r="BL105" s="8"/>
      <c r="BN105" s="10"/>
    </row>
    <row r="106" spans="1:66" x14ac:dyDescent="0.15">
      <c r="A106" s="8">
        <v>4204</v>
      </c>
      <c r="B106" s="8" t="str">
        <f>"地图:"&amp;VLOOKUP(A106,[1]地图配置辅助表!$A$3:$E$229,4,FALSE)</f>
        <v>地图:精英黑星</v>
      </c>
      <c r="C106" s="8">
        <v>0</v>
      </c>
      <c r="D106" s="8">
        <f t="shared" si="4"/>
        <v>3</v>
      </c>
      <c r="E106" s="16">
        <f t="shared" si="11"/>
        <v>3</v>
      </c>
      <c r="F106" s="16">
        <v>2</v>
      </c>
      <c r="G106" s="8" t="str">
        <f>IF(H106="","",VLOOKUP(H106,引用表合并!$A:$B,2,FALSE))</f>
        <v>青玉项链碎片</v>
      </c>
      <c r="H106" s="75">
        <v>93252</v>
      </c>
      <c r="I106" s="89">
        <v>1</v>
      </c>
      <c r="J106" s="89">
        <v>4000</v>
      </c>
      <c r="K106" s="8" t="str">
        <f>IF(L106="","",VLOOKUP(L106,引用表合并!$A:$B,2,FALSE))</f>
        <v>越野手表碎片</v>
      </c>
      <c r="L106" s="87">
        <v>93264</v>
      </c>
      <c r="M106" s="88">
        <v>1</v>
      </c>
      <c r="N106" s="88">
        <v>3000</v>
      </c>
      <c r="O106" s="8" t="str">
        <f>IF(P106="","",VLOOKUP(P106,引用表合并!$A:$B,2,FALSE))</f>
        <v>白银戒指碎片</v>
      </c>
      <c r="P106" s="85">
        <v>93141</v>
      </c>
      <c r="Q106" s="86">
        <v>1</v>
      </c>
      <c r="R106" s="86">
        <v>3000</v>
      </c>
      <c r="S106" s="8" t="str">
        <f>IF(T106="","",VLOOKUP(T106,引用表合并!$A:$B,2,FALSE))</f>
        <v/>
      </c>
      <c r="T106" s="17"/>
      <c r="U106" s="8"/>
      <c r="W106" s="8" t="str">
        <f>IF(X106="","",VLOOKUP(X106,引用表合并!$A:$B,2,FALSE))</f>
        <v/>
      </c>
      <c r="X106" s="17"/>
      <c r="Y106" s="8"/>
      <c r="AA106" s="8"/>
      <c r="AB106" s="8"/>
      <c r="AC106" s="8"/>
      <c r="AE106" s="8" t="str">
        <f>IF(AF106="","",VLOOKUP(AF106,引用表合并!$A:$B,2,FALSE))</f>
        <v/>
      </c>
      <c r="AF106" s="8"/>
      <c r="AG106" s="8"/>
      <c r="AI106" s="8" t="str">
        <f>IF(AJ106="","",VLOOKUP(AJ106,引用表合并!$A:$B,2,FALSE))</f>
        <v/>
      </c>
      <c r="AJ106" s="8"/>
      <c r="AK106" s="8"/>
      <c r="AM106" s="8" t="str">
        <f>IF(AN106="","",VLOOKUP(AN106,引用表合并!$A:$B,2,FALSE))</f>
        <v/>
      </c>
      <c r="AN106" s="8"/>
      <c r="AO106" s="8"/>
      <c r="AQ106" s="8" t="str">
        <f>IF(AR106="","",VLOOKUP(AR106,引用表合并!$A:$B,2,FALSE))</f>
        <v/>
      </c>
      <c r="AR106" s="8"/>
      <c r="AS106" s="8"/>
      <c r="AU106" s="8" t="str">
        <f>IF(AV106="","",VLOOKUP(AV106,引用表合并!$A:$B,2,FALSE))</f>
        <v/>
      </c>
      <c r="AV106" s="8"/>
      <c r="AW106" s="8"/>
      <c r="AY106" s="8" t="str">
        <f>IF(AZ106="","",VLOOKUP(AZ106,引用表合并!$A:$B,2,FALSE))</f>
        <v/>
      </c>
      <c r="AZ106" s="8"/>
      <c r="BA106" s="8"/>
      <c r="BC106" s="8" t="str">
        <f>IF(BD106="","",VLOOKUP(BD106,引用表合并!$A:$B,2,FALSE))</f>
        <v/>
      </c>
      <c r="BD106" s="8"/>
      <c r="BF106" s="10"/>
      <c r="BG106" s="8" t="str">
        <f>IF(BH106="","",VLOOKUP(BH106,引用表合并!$A:$B,2,FALSE))</f>
        <v/>
      </c>
      <c r="BH106" s="8"/>
      <c r="BJ106" s="10"/>
      <c r="BK106" s="8" t="str">
        <f>IF(BL106="","",VLOOKUP(BL106,引用表合并!$A:$B,2,FALSE))</f>
        <v/>
      </c>
      <c r="BL106" s="8"/>
      <c r="BN106" s="10"/>
    </row>
    <row r="107" spans="1:66" x14ac:dyDescent="0.15">
      <c r="A107" s="8">
        <v>4205</v>
      </c>
      <c r="B107" s="8" t="str">
        <f>"地图:"&amp;VLOOKUP(A107,[1]地图配置辅助表!$A$3:$E$229,4,FALSE)</f>
        <v>地图:精英生番</v>
      </c>
      <c r="C107" s="8">
        <v>0</v>
      </c>
      <c r="D107" s="8">
        <f t="shared" si="4"/>
        <v>3</v>
      </c>
      <c r="E107" s="16">
        <f t="shared" si="11"/>
        <v>3</v>
      </c>
      <c r="F107" s="16">
        <v>2</v>
      </c>
      <c r="G107" s="8" t="str">
        <f>IF(H107="","",VLOOKUP(H107,引用表合并!$A:$B,2,FALSE))</f>
        <v>水晶耳钉碎片</v>
      </c>
      <c r="H107" s="75">
        <v>93124</v>
      </c>
      <c r="I107" s="89">
        <v>1</v>
      </c>
      <c r="J107" s="89">
        <v>4000</v>
      </c>
      <c r="K107" s="8" t="str">
        <f>IF(L107="","",VLOOKUP(L107,引用表合并!$A:$B,2,FALSE))</f>
        <v>精准手表碎片</v>
      </c>
      <c r="L107" s="87">
        <v>93271</v>
      </c>
      <c r="M107" s="88">
        <v>1</v>
      </c>
      <c r="N107" s="88">
        <v>3000</v>
      </c>
      <c r="O107" s="8" t="str">
        <f>IF(P107="","",VLOOKUP(P107,引用表合并!$A:$B,2,FALSE))</f>
        <v>水晶项链碎片</v>
      </c>
      <c r="P107" s="85">
        <v>93245</v>
      </c>
      <c r="Q107" s="86">
        <v>1</v>
      </c>
      <c r="R107" s="86">
        <v>3000</v>
      </c>
      <c r="S107" s="8" t="str">
        <f>IF(T107="","",VLOOKUP(T107,引用表合并!$A:$B,2,FALSE))</f>
        <v/>
      </c>
      <c r="T107" s="17"/>
      <c r="U107" s="8"/>
      <c r="W107" s="8" t="str">
        <f>IF(X107="","",VLOOKUP(X107,引用表合并!$A:$B,2,FALSE))</f>
        <v/>
      </c>
      <c r="X107" s="17"/>
      <c r="Y107" s="8"/>
      <c r="AA107" s="8" t="str">
        <f>IF(AB107="","",VLOOKUP(AB107,引用表合并!$A:$B,2,FALSE))</f>
        <v/>
      </c>
      <c r="AB107" s="8"/>
      <c r="AC107" s="8"/>
      <c r="AE107" s="8" t="str">
        <f>IF(AF107="","",VLOOKUP(AF107,引用表合并!$A:$B,2,FALSE))</f>
        <v/>
      </c>
      <c r="AF107" s="8"/>
      <c r="AG107" s="8"/>
      <c r="AI107" s="8" t="str">
        <f>IF(AJ107="","",VLOOKUP(AJ107,引用表合并!$A:$B,2,FALSE))</f>
        <v/>
      </c>
      <c r="AJ107" s="8"/>
      <c r="AK107" s="8"/>
      <c r="AM107" s="8" t="str">
        <f>IF(AN107="","",VLOOKUP(AN107,引用表合并!$A:$B,2,FALSE))</f>
        <v/>
      </c>
      <c r="AN107" s="8"/>
      <c r="AO107" s="8"/>
      <c r="AQ107" s="8" t="str">
        <f>IF(AR107="","",VLOOKUP(AR107,引用表合并!$A:$B,2,FALSE))</f>
        <v/>
      </c>
      <c r="AR107" s="8"/>
      <c r="AS107" s="8"/>
      <c r="AU107" s="8" t="str">
        <f>IF(AV107="","",VLOOKUP(AV107,引用表合并!$A:$B,2,FALSE))</f>
        <v/>
      </c>
      <c r="AV107" s="8"/>
      <c r="AW107" s="8"/>
      <c r="AY107" s="8" t="str">
        <f>IF(AZ107="","",VLOOKUP(AZ107,引用表合并!$A:$B,2,FALSE))</f>
        <v/>
      </c>
      <c r="AZ107" s="8"/>
      <c r="BA107" s="8"/>
      <c r="BC107" s="8" t="str">
        <f>IF(BD107="","",VLOOKUP(BD107,引用表合并!$A:$B,2,FALSE))</f>
        <v/>
      </c>
      <c r="BD107" s="8"/>
      <c r="BF107" s="10"/>
      <c r="BG107" s="8" t="str">
        <f>IF(BH107="","",VLOOKUP(BH107,引用表合并!$A:$B,2,FALSE))</f>
        <v/>
      </c>
      <c r="BH107" s="8"/>
      <c r="BJ107" s="10"/>
      <c r="BK107" s="8" t="str">
        <f>IF(BL107="","",VLOOKUP(BL107,引用表合并!$A:$B,2,FALSE))</f>
        <v/>
      </c>
      <c r="BL107" s="8"/>
      <c r="BN107" s="10"/>
    </row>
    <row r="108" spans="1:66" x14ac:dyDescent="0.15">
      <c r="A108" s="8">
        <v>4206</v>
      </c>
      <c r="B108" s="8" t="str">
        <f>"地图:"&amp;VLOOKUP(A108,[1]地图配置辅助表!$A$3:$E$229,4,FALSE)</f>
        <v>地图:精英毒贩头目</v>
      </c>
      <c r="C108" s="8">
        <v>0</v>
      </c>
      <c r="D108" s="8">
        <f t="shared" ref="D108:D171" si="16">E108</f>
        <v>3</v>
      </c>
      <c r="E108" s="16">
        <f t="shared" si="11"/>
        <v>3</v>
      </c>
      <c r="F108" s="16">
        <v>2</v>
      </c>
      <c r="G108" s="8" t="str">
        <f>IF(H108="","",VLOOKUP(H108,引用表合并!$A:$B,2,FALSE))</f>
        <v>金针手表碎片</v>
      </c>
      <c r="H108" s="75">
        <v>93272</v>
      </c>
      <c r="I108" s="89">
        <v>1</v>
      </c>
      <c r="J108" s="89">
        <v>4000</v>
      </c>
      <c r="K108" s="8" t="str">
        <f>IF(L108="","",VLOOKUP(L108,引用表合并!$A:$B,2,FALSE))</f>
        <v>宝驼碎片</v>
      </c>
      <c r="L108" s="87">
        <v>93278</v>
      </c>
      <c r="M108" s="88">
        <v>1</v>
      </c>
      <c r="N108" s="88">
        <v>3000</v>
      </c>
      <c r="O108" s="8" t="str">
        <f>IF(P108="","",VLOOKUP(P108,引用表合并!$A:$B,2,FALSE))</f>
        <v>红石项链碎片</v>
      </c>
      <c r="P108" s="85">
        <v>93251</v>
      </c>
      <c r="Q108" s="86">
        <v>1</v>
      </c>
      <c r="R108" s="86">
        <v>3000</v>
      </c>
      <c r="S108" s="8" t="str">
        <f>IF(T108="","",VLOOKUP(T108,引用表合并!$A:$B,2,FALSE))</f>
        <v/>
      </c>
      <c r="T108" s="17"/>
      <c r="U108" s="8"/>
      <c r="W108" s="8" t="str">
        <f>IF(X108="","",VLOOKUP(X108,引用表合并!$A:$B,2,FALSE))</f>
        <v/>
      </c>
      <c r="X108" s="17"/>
      <c r="Y108" s="8"/>
      <c r="AA108" s="8" t="str">
        <f>IF(AB108="","",VLOOKUP(AB108,引用表合并!$A:$B,2,FALSE))</f>
        <v/>
      </c>
      <c r="AB108" s="8"/>
      <c r="AC108" s="8"/>
      <c r="AE108" s="8" t="str">
        <f>IF(AF108="","",VLOOKUP(AF108,引用表合并!$A:$B,2,FALSE))</f>
        <v/>
      </c>
      <c r="AF108" s="8"/>
      <c r="AG108" s="8"/>
      <c r="AI108" s="8" t="str">
        <f>IF(AJ108="","",VLOOKUP(AJ108,引用表合并!$A:$B,2,FALSE))</f>
        <v/>
      </c>
      <c r="AJ108" s="8"/>
      <c r="AK108" s="8"/>
      <c r="AM108" s="8" t="str">
        <f>IF(AN108="","",VLOOKUP(AN108,引用表合并!$A:$B,2,FALSE))</f>
        <v/>
      </c>
      <c r="AN108" s="8"/>
      <c r="AO108" s="8"/>
      <c r="AQ108" s="8" t="str">
        <f>IF(AR108="","",VLOOKUP(AR108,引用表合并!$A:$B,2,FALSE))</f>
        <v/>
      </c>
      <c r="AR108" s="8"/>
      <c r="AS108" s="8"/>
      <c r="AU108" s="8" t="str">
        <f>IF(AV108="","",VLOOKUP(AV108,引用表合并!$A:$B,2,FALSE))</f>
        <v/>
      </c>
      <c r="AV108" s="8"/>
      <c r="AW108" s="8"/>
      <c r="AY108" s="8" t="str">
        <f>IF(AZ108="","",VLOOKUP(AZ108,引用表合并!$A:$B,2,FALSE))</f>
        <v/>
      </c>
      <c r="AZ108" s="8"/>
      <c r="BA108" s="8"/>
      <c r="BC108" s="8" t="str">
        <f>IF(BD108="","",VLOOKUP(BD108,引用表合并!$A:$B,2,FALSE))</f>
        <v/>
      </c>
      <c r="BD108" s="8"/>
      <c r="BF108" s="10"/>
      <c r="BG108" s="8" t="str">
        <f>IF(BH108="","",VLOOKUP(BH108,引用表合并!$A:$B,2,FALSE))</f>
        <v/>
      </c>
      <c r="BH108" s="8"/>
      <c r="BJ108" s="10"/>
      <c r="BK108" s="8" t="str">
        <f>IF(BL108="","",VLOOKUP(BL108,引用表合并!$A:$B,2,FALSE))</f>
        <v/>
      </c>
      <c r="BL108" s="8"/>
      <c r="BN108" s="10"/>
    </row>
    <row r="109" spans="1:66" x14ac:dyDescent="0.15">
      <c r="A109" s="49">
        <v>4207</v>
      </c>
      <c r="B109" s="8" t="str">
        <f>"地图:"&amp;VLOOKUP(A109,[1]地图配置辅助表!$A$3:$E$229,4,FALSE)</f>
        <v>地图:精英耀阳手下</v>
      </c>
      <c r="C109" s="8">
        <v>0</v>
      </c>
      <c r="D109" s="8">
        <f t="shared" si="16"/>
        <v>3</v>
      </c>
      <c r="E109" s="16">
        <f t="shared" si="11"/>
        <v>3</v>
      </c>
      <c r="F109" s="16">
        <v>2</v>
      </c>
      <c r="G109" s="8" t="str">
        <f>IF(H109="","",VLOOKUP(H109,引用表合并!$A:$B,2,FALSE))</f>
        <v>智能手表碎片</v>
      </c>
      <c r="H109" s="75">
        <v>93273</v>
      </c>
      <c r="I109" s="89">
        <v>1</v>
      </c>
      <c r="J109" s="89">
        <v>4000</v>
      </c>
      <c r="K109" s="8" t="str">
        <f>IF(L109="","",VLOOKUP(L109,引用表合并!$A:$B,2,FALSE))</f>
        <v>小迭钞票碎片</v>
      </c>
      <c r="L109" s="87">
        <v>93283</v>
      </c>
      <c r="M109" s="88">
        <v>1</v>
      </c>
      <c r="N109" s="88">
        <v>3000</v>
      </c>
      <c r="O109" s="8" t="str">
        <f>IF(P109="","",VLOOKUP(P109,引用表合并!$A:$B,2,FALSE))</f>
        <v>越野手表碎片</v>
      </c>
      <c r="P109" s="85">
        <v>93264</v>
      </c>
      <c r="Q109" s="86">
        <v>1</v>
      </c>
      <c r="R109" s="86">
        <v>3000</v>
      </c>
      <c r="S109" s="8" t="str">
        <f>IF(T109="","",VLOOKUP(T109,引用表合并!$A:$B,2,FALSE))</f>
        <v/>
      </c>
      <c r="T109" s="17"/>
      <c r="U109" s="8"/>
      <c r="W109" s="8" t="str">
        <f>IF(X109="","",VLOOKUP(X109,引用表合并!$A:$B,2,FALSE))</f>
        <v/>
      </c>
      <c r="X109" s="17"/>
      <c r="Y109" s="8"/>
      <c r="AA109" s="8"/>
      <c r="AB109" s="8"/>
      <c r="AC109" s="8"/>
      <c r="AE109" s="8" t="str">
        <f>IF(AF109="","",VLOOKUP(AF109,引用表合并!$A:$B,2,FALSE))</f>
        <v/>
      </c>
      <c r="AF109" s="8"/>
      <c r="AG109" s="8"/>
      <c r="AI109" s="8" t="str">
        <f>IF(AJ109="","",VLOOKUP(AJ109,引用表合并!$A:$B,2,FALSE))</f>
        <v/>
      </c>
      <c r="AJ109" s="8"/>
      <c r="AK109" s="8"/>
      <c r="AM109" s="8" t="str">
        <f>IF(AN109="","",VLOOKUP(AN109,引用表合并!$A:$B,2,FALSE))</f>
        <v/>
      </c>
      <c r="AN109" s="8"/>
      <c r="AO109" s="8"/>
      <c r="AQ109" s="8" t="str">
        <f>IF(AR109="","",VLOOKUP(AR109,引用表合并!$A:$B,2,FALSE))</f>
        <v/>
      </c>
      <c r="AR109" s="8"/>
      <c r="AS109" s="8"/>
      <c r="AU109" s="8" t="str">
        <f>IF(AV109="","",VLOOKUP(AV109,引用表合并!$A:$B,2,FALSE))</f>
        <v/>
      </c>
      <c r="AV109" s="8"/>
      <c r="AW109" s="8"/>
      <c r="AY109" s="8" t="str">
        <f>IF(AZ109="","",VLOOKUP(AZ109,引用表合并!$A:$B,2,FALSE))</f>
        <v/>
      </c>
      <c r="AZ109" s="8"/>
      <c r="BA109" s="8"/>
      <c r="BC109" s="8" t="str">
        <f>IF(BD109="","",VLOOKUP(BD109,引用表合并!$A:$B,2,FALSE))</f>
        <v/>
      </c>
      <c r="BD109" s="8"/>
      <c r="BF109" s="10"/>
      <c r="BG109" s="8" t="str">
        <f>IF(BH109="","",VLOOKUP(BH109,引用表合并!$A:$B,2,FALSE))</f>
        <v/>
      </c>
      <c r="BH109" s="8"/>
      <c r="BJ109" s="10"/>
      <c r="BK109" s="8" t="str">
        <f>IF(BL109="","",VLOOKUP(BL109,引用表合并!$A:$B,2,FALSE))</f>
        <v/>
      </c>
      <c r="BL109" s="8"/>
      <c r="BN109" s="10"/>
    </row>
    <row r="110" spans="1:66" x14ac:dyDescent="0.15">
      <c r="A110" s="49">
        <v>4208</v>
      </c>
      <c r="B110" s="8" t="str">
        <f>"地图:"&amp;VLOOKUP(A110,[1]地图配置辅助表!$A$3:$E$229,4,FALSE)</f>
        <v>地图:精英东星拳师</v>
      </c>
      <c r="C110" s="8">
        <v>0</v>
      </c>
      <c r="D110" s="8">
        <f t="shared" si="16"/>
        <v>3</v>
      </c>
      <c r="E110" s="16">
        <f t="shared" si="11"/>
        <v>3</v>
      </c>
      <c r="F110" s="16">
        <v>2</v>
      </c>
      <c r="G110" s="8" t="str">
        <f>IF(H110="","",VLOOKUP(H110,引用表合并!$A:$B,2,FALSE))</f>
        <v>宾倪碎片</v>
      </c>
      <c r="H110" s="75">
        <v>93279</v>
      </c>
      <c r="I110" s="89">
        <v>1</v>
      </c>
      <c r="J110" s="89">
        <v>4000</v>
      </c>
      <c r="K110" s="8" t="str">
        <f>IF(L110="","",VLOOKUP(L110,引用表合并!$A:$B,2,FALSE))</f>
        <v>金块碎片</v>
      </c>
      <c r="L110" s="87">
        <v>93287</v>
      </c>
      <c r="M110" s="88">
        <v>1</v>
      </c>
      <c r="N110" s="88">
        <v>3000</v>
      </c>
      <c r="O110" s="8" t="str">
        <f>IF(P110="","",VLOOKUP(P110,引用表合并!$A:$B,2,FALSE))</f>
        <v>精准手表碎片</v>
      </c>
      <c r="P110" s="85">
        <v>93271</v>
      </c>
      <c r="Q110" s="86">
        <v>1</v>
      </c>
      <c r="R110" s="86">
        <v>3000</v>
      </c>
      <c r="S110" s="8" t="str">
        <f>IF(T110="","",VLOOKUP(T110,引用表合并!$A:$B,2,FALSE))</f>
        <v/>
      </c>
      <c r="T110" s="17"/>
      <c r="U110" s="8"/>
      <c r="W110" s="8" t="str">
        <f>IF(X110="","",VLOOKUP(X110,引用表合并!$A:$B,2,FALSE))</f>
        <v/>
      </c>
      <c r="X110" s="17"/>
      <c r="Y110" s="8"/>
      <c r="AA110" s="8" t="str">
        <f>IF(AB110="","",VLOOKUP(AB110,引用表合并!$A:$B,2,FALSE))</f>
        <v/>
      </c>
      <c r="AB110" s="8"/>
      <c r="AC110" s="8"/>
      <c r="AE110" s="8" t="str">
        <f>IF(AF110="","",VLOOKUP(AF110,引用表合并!$A:$B,2,FALSE))</f>
        <v/>
      </c>
      <c r="AF110" s="8"/>
      <c r="AG110" s="8"/>
      <c r="AI110" s="8" t="str">
        <f>IF(AJ110="","",VLOOKUP(AJ110,引用表合并!$A:$B,2,FALSE))</f>
        <v/>
      </c>
      <c r="AJ110" s="8"/>
      <c r="AK110" s="8"/>
      <c r="AM110" s="8" t="str">
        <f>IF(AN110="","",VLOOKUP(AN110,引用表合并!$A:$B,2,FALSE))</f>
        <v/>
      </c>
      <c r="AN110" s="8"/>
      <c r="AO110" s="8"/>
      <c r="AQ110" s="8" t="str">
        <f>IF(AR110="","",VLOOKUP(AR110,引用表合并!$A:$B,2,FALSE))</f>
        <v/>
      </c>
      <c r="AR110" s="8"/>
      <c r="AS110" s="8"/>
      <c r="AU110" s="8" t="str">
        <f>IF(AV110="","",VLOOKUP(AV110,引用表合并!$A:$B,2,FALSE))</f>
        <v/>
      </c>
      <c r="AV110" s="8"/>
      <c r="AW110" s="8"/>
      <c r="AY110" s="8" t="str">
        <f>IF(AZ110="","",VLOOKUP(AZ110,引用表合并!$A:$B,2,FALSE))</f>
        <v/>
      </c>
      <c r="AZ110" s="8"/>
      <c r="BA110" s="8"/>
      <c r="BC110" s="8" t="str">
        <f>IF(BD110="","",VLOOKUP(BD110,引用表合并!$A:$B,2,FALSE))</f>
        <v/>
      </c>
      <c r="BD110" s="8"/>
      <c r="BF110" s="10"/>
      <c r="BG110" s="8" t="str">
        <f>IF(BH110="","",VLOOKUP(BH110,引用表合并!$A:$B,2,FALSE))</f>
        <v/>
      </c>
      <c r="BH110" s="8"/>
      <c r="BJ110" s="10"/>
      <c r="BK110" s="8" t="str">
        <f>IF(BL110="","",VLOOKUP(BL110,引用表合并!$A:$B,2,FALSE))</f>
        <v/>
      </c>
      <c r="BL110" s="8"/>
      <c r="BN110" s="10"/>
    </row>
    <row r="111" spans="1:66" x14ac:dyDescent="0.15">
      <c r="A111" s="49">
        <v>4209</v>
      </c>
      <c r="B111" s="8" t="str">
        <f>"地图:"&amp;VLOOKUP(A111,[1]地图配置辅助表!$A$3:$E$229,4,FALSE)</f>
        <v>地图:精英耀阳</v>
      </c>
      <c r="C111" s="8">
        <v>0</v>
      </c>
      <c r="D111" s="8">
        <f t="shared" ref="D111" si="17">E111</f>
        <v>3</v>
      </c>
      <c r="E111" s="16">
        <f t="shared" si="11"/>
        <v>3</v>
      </c>
      <c r="F111" s="16">
        <v>2</v>
      </c>
      <c r="G111" s="8" t="str">
        <f>IF(H111="","",VLOOKUP(H111,引用表合并!$A:$B,2,FALSE))</f>
        <v>大迭钞票碎片</v>
      </c>
      <c r="H111" s="75">
        <v>93284</v>
      </c>
      <c r="I111" s="89">
        <v>1</v>
      </c>
      <c r="J111" s="89">
        <v>4000</v>
      </c>
      <c r="K111" s="8" t="str">
        <f>IF(L111="","",VLOOKUP(L111,引用表合并!$A:$B,2,FALSE))</f>
        <v>大金块碎片</v>
      </c>
      <c r="L111" s="75">
        <v>93288</v>
      </c>
      <c r="M111" s="89">
        <v>1</v>
      </c>
      <c r="N111" s="89">
        <v>3000</v>
      </c>
      <c r="O111" s="8" t="str">
        <f>IF(P111="","",VLOOKUP(P111,引用表合并!$A:$B,2,FALSE))</f>
        <v>宝驼碎片</v>
      </c>
      <c r="P111" s="85">
        <v>93278</v>
      </c>
      <c r="Q111" s="86">
        <v>1</v>
      </c>
      <c r="R111" s="86">
        <v>3000</v>
      </c>
      <c r="S111" s="8" t="str">
        <f>IF(T111="","",VLOOKUP(T111,引用表合并!$A:$B,2,FALSE))</f>
        <v/>
      </c>
      <c r="T111" s="17"/>
      <c r="U111" s="8"/>
      <c r="W111" s="8" t="str">
        <f>IF(X111="","",VLOOKUP(X111,引用表合并!$A:$B,2,FALSE))</f>
        <v/>
      </c>
      <c r="X111" s="17"/>
      <c r="Y111" s="8"/>
      <c r="AA111" s="8" t="str">
        <f>IF(AB111="","",VLOOKUP(AB111,引用表合并!$A:$B,2,FALSE))</f>
        <v/>
      </c>
      <c r="AB111" s="8"/>
      <c r="AC111" s="8"/>
      <c r="AE111" s="8" t="str">
        <f>IF(AF111="","",VLOOKUP(AF111,引用表合并!$A:$B,2,FALSE))</f>
        <v/>
      </c>
      <c r="AF111" s="8"/>
      <c r="AG111" s="8"/>
      <c r="AI111" s="8" t="str">
        <f>IF(AJ111="","",VLOOKUP(AJ111,引用表合并!$A:$B,2,FALSE))</f>
        <v/>
      </c>
      <c r="AJ111" s="8"/>
      <c r="AK111" s="8"/>
      <c r="AM111" s="8" t="str">
        <f>IF(AN111="","",VLOOKUP(AN111,引用表合并!$A:$B,2,FALSE))</f>
        <v/>
      </c>
      <c r="AN111" s="8"/>
      <c r="AO111" s="8"/>
      <c r="AQ111" s="8" t="str">
        <f>IF(AR111="","",VLOOKUP(AR111,引用表合并!$A:$B,2,FALSE))</f>
        <v/>
      </c>
      <c r="AR111" s="8"/>
      <c r="AS111" s="8"/>
      <c r="AU111" s="8" t="str">
        <f>IF(AV111="","",VLOOKUP(AV111,引用表合并!$A:$B,2,FALSE))</f>
        <v/>
      </c>
      <c r="AV111" s="8"/>
      <c r="AW111" s="8"/>
      <c r="AY111" s="8" t="str">
        <f>IF(AZ111="","",VLOOKUP(AZ111,引用表合并!$A:$B,2,FALSE))</f>
        <v/>
      </c>
      <c r="AZ111" s="8"/>
      <c r="BA111" s="8"/>
      <c r="BC111" s="8" t="str">
        <f>IF(BD111="","",VLOOKUP(BD111,引用表合并!$A:$B,2,FALSE))</f>
        <v/>
      </c>
      <c r="BD111" s="8"/>
      <c r="BF111" s="10"/>
      <c r="BG111" s="8" t="str">
        <f>IF(BH111="","",VLOOKUP(BH111,引用表合并!$A:$B,2,FALSE))</f>
        <v/>
      </c>
      <c r="BH111" s="8"/>
      <c r="BJ111" s="10"/>
      <c r="BK111" s="8" t="str">
        <f>IF(BL111="","",VLOOKUP(BL111,引用表合并!$A:$B,2,FALSE))</f>
        <v/>
      </c>
      <c r="BL111" s="8"/>
      <c r="BN111" s="10"/>
    </row>
    <row r="112" spans="1:66" x14ac:dyDescent="0.15">
      <c r="A112" s="8">
        <v>5201</v>
      </c>
      <c r="B112" s="8" t="str">
        <f>"地图:"&amp;VLOOKUP(A112,[1]地图配置辅助表!$A$3:$E$229,4,FALSE)</f>
        <v>地图:精英司徒手下</v>
      </c>
      <c r="C112" s="8">
        <v>0</v>
      </c>
      <c r="D112" s="8">
        <f t="shared" si="16"/>
        <v>3</v>
      </c>
      <c r="E112" s="16">
        <f t="shared" si="11"/>
        <v>3</v>
      </c>
      <c r="F112" s="16">
        <v>2</v>
      </c>
      <c r="G112" s="8" t="str">
        <f>IF(H112="","",VLOOKUP(H112,引用表合并!$A:$B,2,FALSE))</f>
        <v>黄金戒指碎片</v>
      </c>
      <c r="H112" s="90">
        <v>93142</v>
      </c>
      <c r="I112" s="54">
        <v>1</v>
      </c>
      <c r="J112" s="54">
        <v>4000</v>
      </c>
      <c r="K112" s="8" t="str">
        <f>IF(L112="","",VLOOKUP(L112,引用表合并!$A:$B,2,FALSE))</f>
        <v>宝石手环碎片</v>
      </c>
      <c r="L112" s="95">
        <v>93235</v>
      </c>
      <c r="M112" s="96">
        <v>1</v>
      </c>
      <c r="N112" s="96">
        <v>3000</v>
      </c>
      <c r="O112" s="8" t="str">
        <f>IF(P112="","",VLOOKUP(P112,引用表合并!$A:$B,2,FALSE))</f>
        <v>摩拉碎片</v>
      </c>
      <c r="P112" s="91">
        <v>93012</v>
      </c>
      <c r="Q112" s="92">
        <v>1</v>
      </c>
      <c r="R112" s="92">
        <v>3000</v>
      </c>
      <c r="S112" s="8" t="str">
        <f>IF(T112="","",VLOOKUP(T112,引用表合并!$A:$B,2,FALSE))</f>
        <v/>
      </c>
      <c r="T112" s="17"/>
      <c r="U112" s="8"/>
      <c r="W112" s="8" t="str">
        <f>IF(X112="","",VLOOKUP(X112,引用表合并!$A:$B,2,FALSE))</f>
        <v/>
      </c>
      <c r="X112" s="17"/>
      <c r="Y112" s="8"/>
      <c r="AA112" s="8" t="str">
        <f>IF(AB112="","",VLOOKUP(AB112,引用表合并!$A:$B,2,FALSE))</f>
        <v/>
      </c>
      <c r="AB112" s="8"/>
      <c r="AC112" s="8"/>
      <c r="AE112" s="8" t="str">
        <f>IF(AF112="","",VLOOKUP(AF112,引用表合并!$A:$B,2,FALSE))</f>
        <v/>
      </c>
      <c r="AF112" s="8"/>
      <c r="AG112" s="8"/>
      <c r="AI112" s="8" t="str">
        <f>IF(AJ112="","",VLOOKUP(AJ112,引用表合并!$A:$B,2,FALSE))</f>
        <v/>
      </c>
      <c r="AJ112" s="8"/>
      <c r="AK112" s="8"/>
      <c r="AM112" s="8" t="str">
        <f>IF(AN112="","",VLOOKUP(AN112,引用表合并!$A:$B,2,FALSE))</f>
        <v/>
      </c>
      <c r="AN112" s="8"/>
      <c r="AO112" s="8"/>
      <c r="AQ112" s="8" t="str">
        <f>IF(AR112="","",VLOOKUP(AR112,引用表合并!$A:$B,2,FALSE))</f>
        <v/>
      </c>
      <c r="AR112" s="8"/>
      <c r="AS112" s="8"/>
      <c r="AU112" s="8" t="str">
        <f>IF(AV112="","",VLOOKUP(AV112,引用表合并!$A:$B,2,FALSE))</f>
        <v/>
      </c>
      <c r="AV112" s="8"/>
      <c r="AW112" s="8"/>
      <c r="AY112" s="8" t="str">
        <f>IF(AZ112="","",VLOOKUP(AZ112,引用表合并!$A:$B,2,FALSE))</f>
        <v/>
      </c>
      <c r="AZ112" s="8"/>
      <c r="BA112" s="8"/>
      <c r="BC112" s="8" t="str">
        <f>IF(BD112="","",VLOOKUP(BD112,引用表合并!$A:$B,2,FALSE))</f>
        <v/>
      </c>
      <c r="BD112" s="8"/>
      <c r="BF112" s="10"/>
      <c r="BG112" s="8" t="str">
        <f>IF(BH112="","",VLOOKUP(BH112,引用表合并!$A:$B,2,FALSE))</f>
        <v/>
      </c>
      <c r="BH112" s="8"/>
      <c r="BJ112" s="10"/>
      <c r="BK112" s="8" t="str">
        <f>IF(BL112="","",VLOOKUP(BL112,引用表合并!$A:$B,2,FALSE))</f>
        <v/>
      </c>
      <c r="BL112" s="8"/>
      <c r="BN112" s="10"/>
    </row>
    <row r="113" spans="1:66" x14ac:dyDescent="0.15">
      <c r="A113" s="8">
        <v>5202</v>
      </c>
      <c r="B113" s="8" t="str">
        <f>"地图:"&amp;VLOOKUP(A113,[1]地图配置辅助表!$A$3:$E$229,4,FALSE)</f>
        <v>地图:精英破坏分子</v>
      </c>
      <c r="C113" s="8">
        <v>0</v>
      </c>
      <c r="D113" s="8">
        <f t="shared" si="16"/>
        <v>3</v>
      </c>
      <c r="E113" s="16">
        <f t="shared" si="11"/>
        <v>3</v>
      </c>
      <c r="F113" s="16">
        <v>2</v>
      </c>
      <c r="G113" s="8" t="str">
        <f>IF(H113="","",VLOOKUP(H113,引用表合并!$A:$B,2,FALSE))</f>
        <v>宝石手环碎片</v>
      </c>
      <c r="H113" s="90">
        <v>93235</v>
      </c>
      <c r="I113" s="54">
        <v>1</v>
      </c>
      <c r="J113" s="54">
        <v>4000</v>
      </c>
      <c r="K113" s="8" t="str">
        <f>IF(L113="","",VLOOKUP(L113,引用表合并!$A:$B,2,FALSE))</f>
        <v>摩拉碎片</v>
      </c>
      <c r="L113" s="95">
        <v>93012</v>
      </c>
      <c r="M113" s="96">
        <v>1</v>
      </c>
      <c r="N113" s="96">
        <v>3000</v>
      </c>
      <c r="O113" s="8" t="str">
        <f>IF(P113="","",VLOOKUP(P113,引用表合并!$A:$B,2,FALSE))</f>
        <v>青玉项链碎片</v>
      </c>
      <c r="P113" s="91">
        <v>93252</v>
      </c>
      <c r="Q113" s="92">
        <v>1</v>
      </c>
      <c r="R113" s="92">
        <v>3000</v>
      </c>
      <c r="S113" s="8" t="str">
        <f>IF(T113="","",VLOOKUP(T113,引用表合并!$A:$B,2,FALSE))</f>
        <v/>
      </c>
      <c r="T113" s="17"/>
      <c r="U113" s="8"/>
      <c r="W113" s="8" t="str">
        <f>IF(X113="","",VLOOKUP(X113,引用表合并!$A:$B,2,FALSE))</f>
        <v/>
      </c>
      <c r="X113" s="17"/>
      <c r="Y113" s="8"/>
      <c r="AA113" s="8" t="str">
        <f>IF(AB113="","",VLOOKUP(AB113,引用表合并!$A:$B,2,FALSE))</f>
        <v/>
      </c>
      <c r="AB113" s="8"/>
      <c r="AC113" s="8"/>
      <c r="AE113" s="8" t="str">
        <f>IF(AF113="","",VLOOKUP(AF113,引用表合并!$A:$B,2,FALSE))</f>
        <v/>
      </c>
      <c r="AF113" s="8"/>
      <c r="AG113" s="8"/>
      <c r="AI113" s="8" t="str">
        <f>IF(AJ113="","",VLOOKUP(AJ113,引用表合并!$A:$B,2,FALSE))</f>
        <v/>
      </c>
      <c r="AJ113" s="8"/>
      <c r="AK113" s="8"/>
      <c r="AM113" s="8" t="str">
        <f>IF(AN113="","",VLOOKUP(AN113,引用表合并!$A:$B,2,FALSE))</f>
        <v/>
      </c>
      <c r="AN113" s="8"/>
      <c r="AO113" s="8"/>
      <c r="AQ113" s="8" t="str">
        <f>IF(AR113="","",VLOOKUP(AR113,引用表合并!$A:$B,2,FALSE))</f>
        <v/>
      </c>
      <c r="AR113" s="8"/>
      <c r="AS113" s="8"/>
      <c r="AU113" s="8" t="str">
        <f>IF(AV113="","",VLOOKUP(AV113,引用表合并!$A:$B,2,FALSE))</f>
        <v/>
      </c>
      <c r="AV113" s="8"/>
      <c r="AW113" s="8"/>
      <c r="AY113" s="8" t="str">
        <f>IF(AZ113="","",VLOOKUP(AZ113,引用表合并!$A:$B,2,FALSE))</f>
        <v/>
      </c>
      <c r="AZ113" s="8"/>
      <c r="BA113" s="8"/>
      <c r="BC113" s="8" t="str">
        <f>IF(BD113="","",VLOOKUP(BD113,引用表合并!$A:$B,2,FALSE))</f>
        <v/>
      </c>
      <c r="BD113" s="8"/>
      <c r="BF113" s="10"/>
      <c r="BG113" s="8" t="str">
        <f>IF(BH113="","",VLOOKUP(BH113,引用表合并!$A:$B,2,FALSE))</f>
        <v/>
      </c>
      <c r="BH113" s="8"/>
      <c r="BJ113" s="10"/>
      <c r="BK113" s="8" t="str">
        <f>IF(BL113="","",VLOOKUP(BL113,引用表合并!$A:$B,2,FALSE))</f>
        <v/>
      </c>
      <c r="BL113" s="8"/>
      <c r="BN113" s="10"/>
    </row>
    <row r="114" spans="1:66" x14ac:dyDescent="0.15">
      <c r="A114" s="8">
        <v>5203</v>
      </c>
      <c r="B114" s="8" t="str">
        <f>"地图:"&amp;VLOOKUP(A114,[1]地图配置辅助表!$A$3:$E$229,4,FALSE)</f>
        <v>地图:精英地痞头目</v>
      </c>
      <c r="C114" s="8">
        <v>0</v>
      </c>
      <c r="D114" s="8">
        <f t="shared" si="16"/>
        <v>3</v>
      </c>
      <c r="E114" s="16">
        <f t="shared" si="11"/>
        <v>3</v>
      </c>
      <c r="F114" s="16">
        <v>2</v>
      </c>
      <c r="G114" s="8" t="str">
        <f>IF(H114="","",VLOOKUP(H114,引用表合并!$A:$B,2,FALSE))</f>
        <v>摩拉碎片</v>
      </c>
      <c r="H114" s="90">
        <v>93012</v>
      </c>
      <c r="I114" s="54">
        <v>1</v>
      </c>
      <c r="J114" s="54">
        <v>4000</v>
      </c>
      <c r="K114" s="8" t="str">
        <f>IF(L114="","",VLOOKUP(L114,引用表合并!$A:$B,2,FALSE))</f>
        <v>青玉项链碎片</v>
      </c>
      <c r="L114" s="95">
        <v>93252</v>
      </c>
      <c r="M114" s="96">
        <v>1</v>
      </c>
      <c r="N114" s="96">
        <v>3000</v>
      </c>
      <c r="O114" s="8" t="str">
        <f>IF(P114="","",VLOOKUP(P114,引用表合并!$A:$B,2,FALSE))</f>
        <v>水晶耳钉碎片</v>
      </c>
      <c r="P114" s="91">
        <v>93124</v>
      </c>
      <c r="Q114" s="92">
        <v>1</v>
      </c>
      <c r="R114" s="92">
        <v>3000</v>
      </c>
      <c r="S114" s="8" t="str">
        <f>IF(T114="","",VLOOKUP(T114,引用表合并!$A:$B,2,FALSE))</f>
        <v/>
      </c>
      <c r="T114" s="17"/>
      <c r="U114" s="8"/>
      <c r="W114" s="8" t="str">
        <f>IF(X114="","",VLOOKUP(X114,引用表合并!$A:$B,2,FALSE))</f>
        <v/>
      </c>
      <c r="X114" s="17"/>
      <c r="Y114" s="8"/>
      <c r="AA114" s="8" t="str">
        <f>IF(AB114="","",VLOOKUP(AB114,引用表合并!$A:$B,2,FALSE))</f>
        <v/>
      </c>
      <c r="AB114" s="8"/>
      <c r="AC114" s="8"/>
      <c r="AE114" s="8" t="str">
        <f>IF(AF114="","",VLOOKUP(AF114,引用表合并!$A:$B,2,FALSE))</f>
        <v/>
      </c>
      <c r="AF114" s="8"/>
      <c r="AG114" s="8"/>
      <c r="AI114" s="8" t="str">
        <f>IF(AJ114="","",VLOOKUP(AJ114,引用表合并!$A:$B,2,FALSE))</f>
        <v/>
      </c>
      <c r="AJ114" s="8"/>
      <c r="AK114" s="8"/>
      <c r="AM114" s="8" t="str">
        <f>IF(AN114="","",VLOOKUP(AN114,引用表合并!$A:$B,2,FALSE))</f>
        <v/>
      </c>
      <c r="AN114" s="8"/>
      <c r="AO114" s="8"/>
      <c r="AQ114" s="8" t="str">
        <f>IF(AR114="","",VLOOKUP(AR114,引用表合并!$A:$B,2,FALSE))</f>
        <v/>
      </c>
      <c r="AR114" s="8"/>
      <c r="AS114" s="8"/>
      <c r="AU114" s="8" t="str">
        <f>IF(AV114="","",VLOOKUP(AV114,引用表合并!$A:$B,2,FALSE))</f>
        <v/>
      </c>
      <c r="AV114" s="8"/>
      <c r="AW114" s="8"/>
      <c r="AY114" s="8" t="str">
        <f>IF(AZ114="","",VLOOKUP(AZ114,引用表合并!$A:$B,2,FALSE))</f>
        <v/>
      </c>
      <c r="AZ114" s="8"/>
      <c r="BA114" s="8"/>
      <c r="BC114" s="8" t="str">
        <f>IF(BD114="","",VLOOKUP(BD114,引用表合并!$A:$B,2,FALSE))</f>
        <v/>
      </c>
      <c r="BD114" s="8"/>
      <c r="BF114" s="10"/>
      <c r="BG114" s="8" t="str">
        <f>IF(BH114="","",VLOOKUP(BH114,引用表合并!$A:$B,2,FALSE))</f>
        <v/>
      </c>
      <c r="BH114" s="8"/>
      <c r="BJ114" s="10"/>
      <c r="BK114" s="8" t="str">
        <f>IF(BL114="","",VLOOKUP(BL114,引用表合并!$A:$B,2,FALSE))</f>
        <v/>
      </c>
      <c r="BL114" s="8"/>
      <c r="BN114" s="10"/>
    </row>
    <row r="115" spans="1:66" x14ac:dyDescent="0.15">
      <c r="A115" s="8">
        <v>5204</v>
      </c>
      <c r="B115" s="8" t="str">
        <f>"地图:"&amp;VLOOKUP(A115,[1]地图配置辅助表!$A$3:$E$229,4,FALSE)</f>
        <v>地图:精英外籍打手</v>
      </c>
      <c r="C115" s="8">
        <v>0</v>
      </c>
      <c r="D115" s="8">
        <f t="shared" si="16"/>
        <v>3</v>
      </c>
      <c r="E115" s="16">
        <f t="shared" si="11"/>
        <v>3</v>
      </c>
      <c r="F115" s="16">
        <v>2</v>
      </c>
      <c r="G115" s="8" t="str">
        <f>IF(H115="","",VLOOKUP(H115,引用表合并!$A:$B,2,FALSE))</f>
        <v>青玉项链碎片</v>
      </c>
      <c r="H115" s="90">
        <v>93252</v>
      </c>
      <c r="I115" s="54">
        <v>1</v>
      </c>
      <c r="J115" s="54">
        <v>4000</v>
      </c>
      <c r="K115" s="8" t="str">
        <f>IF(L115="","",VLOOKUP(L115,引用表合并!$A:$B,2,FALSE))</f>
        <v>水晶耳钉碎片</v>
      </c>
      <c r="L115" s="95">
        <v>93124</v>
      </c>
      <c r="M115" s="96">
        <v>1</v>
      </c>
      <c r="N115" s="96">
        <v>3000</v>
      </c>
      <c r="O115" s="8" t="str">
        <f>IF(P115="","",VLOOKUP(P115,引用表合并!$A:$B,2,FALSE))</f>
        <v>金针手表碎片</v>
      </c>
      <c r="P115" s="91">
        <v>93272</v>
      </c>
      <c r="Q115" s="92">
        <v>1</v>
      </c>
      <c r="R115" s="92">
        <v>3000</v>
      </c>
      <c r="S115" s="8" t="str">
        <f>IF(T115="","",VLOOKUP(T115,引用表合并!$A:$B,2,FALSE))</f>
        <v/>
      </c>
      <c r="T115" s="17"/>
      <c r="U115" s="8"/>
      <c r="W115" s="8" t="str">
        <f>IF(X115="","",VLOOKUP(X115,引用表合并!$A:$B,2,FALSE))</f>
        <v/>
      </c>
      <c r="X115" s="17"/>
      <c r="Y115" s="8"/>
      <c r="AA115" s="8"/>
      <c r="AB115" s="8"/>
      <c r="AC115" s="8"/>
      <c r="AE115" s="8" t="str">
        <f>IF(AF115="","",VLOOKUP(AF115,引用表合并!$A:$B,2,FALSE))</f>
        <v/>
      </c>
      <c r="AF115" s="8"/>
      <c r="AG115" s="8"/>
      <c r="AI115" s="8" t="str">
        <f>IF(AJ115="","",VLOOKUP(AJ115,引用表合并!$A:$B,2,FALSE))</f>
        <v/>
      </c>
      <c r="AJ115" s="8"/>
      <c r="AK115" s="8"/>
      <c r="AM115" s="8" t="str">
        <f>IF(AN115="","",VLOOKUP(AN115,引用表合并!$A:$B,2,FALSE))</f>
        <v/>
      </c>
      <c r="AN115" s="8"/>
      <c r="AO115" s="8"/>
      <c r="AQ115" s="8" t="str">
        <f>IF(AR115="","",VLOOKUP(AR115,引用表合并!$A:$B,2,FALSE))</f>
        <v/>
      </c>
      <c r="AR115" s="8"/>
      <c r="AS115" s="8"/>
      <c r="AU115" s="8" t="str">
        <f>IF(AV115="","",VLOOKUP(AV115,引用表合并!$A:$B,2,FALSE))</f>
        <v/>
      </c>
      <c r="AV115" s="8"/>
      <c r="AW115" s="8"/>
      <c r="AY115" s="8" t="str">
        <f>IF(AZ115="","",VLOOKUP(AZ115,引用表合并!$A:$B,2,FALSE))</f>
        <v/>
      </c>
      <c r="AZ115" s="8"/>
      <c r="BA115" s="8"/>
      <c r="BC115" s="8" t="str">
        <f>IF(BD115="","",VLOOKUP(BD115,引用表合并!$A:$B,2,FALSE))</f>
        <v/>
      </c>
      <c r="BD115" s="8"/>
      <c r="BF115" s="10"/>
      <c r="BG115" s="8" t="str">
        <f>IF(BH115="","",VLOOKUP(BH115,引用表合并!$A:$B,2,FALSE))</f>
        <v/>
      </c>
      <c r="BH115" s="8"/>
      <c r="BJ115" s="10"/>
      <c r="BK115" s="8" t="str">
        <f>IF(BL115="","",VLOOKUP(BL115,引用表合并!$A:$B,2,FALSE))</f>
        <v/>
      </c>
      <c r="BL115" s="8"/>
      <c r="BN115" s="10"/>
    </row>
    <row r="116" spans="1:66" x14ac:dyDescent="0.15">
      <c r="A116" s="8">
        <v>5205</v>
      </c>
      <c r="B116" s="8" t="str">
        <f>"地图:"&amp;VLOOKUP(A116,[1]地图配置辅助表!$A$3:$E$229,4,FALSE)</f>
        <v>地图:精英长毛</v>
      </c>
      <c r="C116" s="8">
        <v>0</v>
      </c>
      <c r="D116" s="8">
        <f t="shared" si="16"/>
        <v>3</v>
      </c>
      <c r="E116" s="16">
        <f t="shared" si="11"/>
        <v>3</v>
      </c>
      <c r="F116" s="16">
        <v>2</v>
      </c>
      <c r="G116" s="8" t="str">
        <f>IF(H116="","",VLOOKUP(H116,引用表合并!$A:$B,2,FALSE))</f>
        <v>水晶耳钉碎片</v>
      </c>
      <c r="H116" s="90">
        <v>93124</v>
      </c>
      <c r="I116" s="54">
        <v>1</v>
      </c>
      <c r="J116" s="54">
        <v>4000</v>
      </c>
      <c r="K116" s="8" t="str">
        <f>IF(L116="","",VLOOKUP(L116,引用表合并!$A:$B,2,FALSE))</f>
        <v>金针手表碎片</v>
      </c>
      <c r="L116" s="95">
        <v>93272</v>
      </c>
      <c r="M116" s="96">
        <v>1</v>
      </c>
      <c r="N116" s="96">
        <v>3000</v>
      </c>
      <c r="O116" s="8" t="str">
        <f>IF(P116="","",VLOOKUP(P116,引用表合并!$A:$B,2,FALSE))</f>
        <v>智能手表碎片</v>
      </c>
      <c r="P116" s="91">
        <v>93273</v>
      </c>
      <c r="Q116" s="92">
        <v>1</v>
      </c>
      <c r="R116" s="92">
        <v>3000</v>
      </c>
      <c r="S116" s="8" t="str">
        <f>IF(T116="","",VLOOKUP(T116,引用表合并!$A:$B,2,FALSE))</f>
        <v/>
      </c>
      <c r="T116" s="17"/>
      <c r="U116" s="8"/>
      <c r="W116" s="8" t="str">
        <f>IF(X116="","",VLOOKUP(X116,引用表合并!$A:$B,2,FALSE))</f>
        <v/>
      </c>
      <c r="X116" s="17"/>
      <c r="Y116" s="8"/>
      <c r="AA116" s="8" t="str">
        <f>IF(AB116="","",VLOOKUP(AB116,引用表合并!$A:$B,2,FALSE))</f>
        <v/>
      </c>
      <c r="AB116" s="8"/>
      <c r="AC116" s="8"/>
      <c r="AE116" s="8" t="str">
        <f>IF(AF116="","",VLOOKUP(AF116,引用表合并!$A:$B,2,FALSE))</f>
        <v/>
      </c>
      <c r="AF116" s="8"/>
      <c r="AG116" s="8"/>
      <c r="AI116" s="8" t="str">
        <f>IF(AJ116="","",VLOOKUP(AJ116,引用表合并!$A:$B,2,FALSE))</f>
        <v/>
      </c>
      <c r="AJ116" s="8"/>
      <c r="AK116" s="8"/>
      <c r="AM116" s="8" t="str">
        <f>IF(AN116="","",VLOOKUP(AN116,引用表合并!$A:$B,2,FALSE))</f>
        <v/>
      </c>
      <c r="AN116" s="8"/>
      <c r="AO116" s="8"/>
      <c r="AQ116" s="8" t="str">
        <f>IF(AR116="","",VLOOKUP(AR116,引用表合并!$A:$B,2,FALSE))</f>
        <v/>
      </c>
      <c r="AR116" s="8"/>
      <c r="AS116" s="8"/>
      <c r="AU116" s="8" t="str">
        <f>IF(AV116="","",VLOOKUP(AV116,引用表合并!$A:$B,2,FALSE))</f>
        <v/>
      </c>
      <c r="AV116" s="8"/>
      <c r="AW116" s="8"/>
      <c r="AY116" s="8" t="str">
        <f>IF(AZ116="","",VLOOKUP(AZ116,引用表合并!$A:$B,2,FALSE))</f>
        <v/>
      </c>
      <c r="AZ116" s="8"/>
      <c r="BA116" s="8"/>
      <c r="BC116" s="8" t="str">
        <f>IF(BD116="","",VLOOKUP(BD116,引用表合并!$A:$B,2,FALSE))</f>
        <v/>
      </c>
      <c r="BD116" s="8"/>
      <c r="BF116" s="10"/>
      <c r="BG116" s="8" t="str">
        <f>IF(BH116="","",VLOOKUP(BH116,引用表合并!$A:$B,2,FALSE))</f>
        <v/>
      </c>
      <c r="BH116" s="8"/>
      <c r="BJ116" s="10"/>
      <c r="BK116" s="8" t="str">
        <f>IF(BL116="","",VLOOKUP(BL116,引用表合并!$A:$B,2,FALSE))</f>
        <v/>
      </c>
      <c r="BL116" s="8"/>
      <c r="BN116" s="10"/>
    </row>
    <row r="117" spans="1:66" x14ac:dyDescent="0.15">
      <c r="A117" s="8">
        <v>5206</v>
      </c>
      <c r="B117" s="8" t="str">
        <f>"地图:"&amp;VLOOKUP(A117,[1]地图配置辅助表!$A$3:$E$229,4,FALSE)</f>
        <v>地图:精英大头仔</v>
      </c>
      <c r="C117" s="8">
        <v>0</v>
      </c>
      <c r="D117" s="8">
        <f t="shared" si="16"/>
        <v>3</v>
      </c>
      <c r="E117" s="16">
        <f t="shared" si="11"/>
        <v>3</v>
      </c>
      <c r="F117" s="16">
        <v>2</v>
      </c>
      <c r="G117" s="8" t="str">
        <f>IF(H117="","",VLOOKUP(H117,引用表合并!$A:$B,2,FALSE))</f>
        <v>金针手表碎片</v>
      </c>
      <c r="H117" s="90">
        <v>93272</v>
      </c>
      <c r="I117" s="54">
        <v>1</v>
      </c>
      <c r="J117" s="54">
        <v>4000</v>
      </c>
      <c r="K117" s="8" t="str">
        <f>IF(L117="","",VLOOKUP(L117,引用表合并!$A:$B,2,FALSE))</f>
        <v>智能手表碎片</v>
      </c>
      <c r="L117" s="95">
        <v>93273</v>
      </c>
      <c r="M117" s="96">
        <v>1</v>
      </c>
      <c r="N117" s="96">
        <v>3000</v>
      </c>
      <c r="O117" s="8" t="str">
        <f>IF(P117="","",VLOOKUP(P117,引用表合并!$A:$B,2,FALSE))</f>
        <v>宾倪碎片</v>
      </c>
      <c r="P117" s="91">
        <v>93279</v>
      </c>
      <c r="Q117" s="92">
        <v>1</v>
      </c>
      <c r="R117" s="92">
        <v>3000</v>
      </c>
      <c r="S117" s="8" t="str">
        <f>IF(T117="","",VLOOKUP(T117,引用表合并!$A:$B,2,FALSE))</f>
        <v/>
      </c>
      <c r="T117" s="17"/>
      <c r="U117" s="8"/>
      <c r="W117" s="8" t="str">
        <f>IF(X117="","",VLOOKUP(X117,引用表合并!$A:$B,2,FALSE))</f>
        <v/>
      </c>
      <c r="X117" s="17"/>
      <c r="Y117" s="8"/>
      <c r="AA117" s="8" t="str">
        <f>IF(AB117="","",VLOOKUP(AB117,引用表合并!$A:$B,2,FALSE))</f>
        <v/>
      </c>
      <c r="AB117" s="8"/>
      <c r="AC117" s="8"/>
      <c r="AE117" s="8" t="str">
        <f>IF(AF117="","",VLOOKUP(AF117,引用表合并!$A:$B,2,FALSE))</f>
        <v/>
      </c>
      <c r="AF117" s="8"/>
      <c r="AG117" s="8"/>
      <c r="AI117" s="8" t="str">
        <f>IF(AJ117="","",VLOOKUP(AJ117,引用表合并!$A:$B,2,FALSE))</f>
        <v/>
      </c>
      <c r="AJ117" s="8"/>
      <c r="AK117" s="8"/>
      <c r="AM117" s="8" t="str">
        <f>IF(AN117="","",VLOOKUP(AN117,引用表合并!$A:$B,2,FALSE))</f>
        <v/>
      </c>
      <c r="AN117" s="8"/>
      <c r="AO117" s="8"/>
      <c r="AQ117" s="8" t="str">
        <f>IF(AR117="","",VLOOKUP(AR117,引用表合并!$A:$B,2,FALSE))</f>
        <v/>
      </c>
      <c r="AR117" s="8"/>
      <c r="AS117" s="8"/>
      <c r="AU117" s="8" t="str">
        <f>IF(AV117="","",VLOOKUP(AV117,引用表合并!$A:$B,2,FALSE))</f>
        <v/>
      </c>
      <c r="AV117" s="8"/>
      <c r="AW117" s="8"/>
      <c r="AY117" s="8" t="str">
        <f>IF(AZ117="","",VLOOKUP(AZ117,引用表合并!$A:$B,2,FALSE))</f>
        <v/>
      </c>
      <c r="AZ117" s="8"/>
      <c r="BA117" s="8"/>
      <c r="BC117" s="8" t="str">
        <f>IF(BD117="","",VLOOKUP(BD117,引用表合并!$A:$B,2,FALSE))</f>
        <v/>
      </c>
      <c r="BD117" s="8"/>
      <c r="BF117" s="10"/>
      <c r="BG117" s="8" t="str">
        <f>IF(BH117="","",VLOOKUP(BH117,引用表合并!$A:$B,2,FALSE))</f>
        <v/>
      </c>
      <c r="BH117" s="8"/>
      <c r="BJ117" s="10"/>
      <c r="BK117" s="8" t="str">
        <f>IF(BL117="","",VLOOKUP(BL117,引用表合并!$A:$B,2,FALSE))</f>
        <v/>
      </c>
      <c r="BL117" s="8"/>
      <c r="BN117" s="10"/>
    </row>
    <row r="118" spans="1:66" x14ac:dyDescent="0.15">
      <c r="A118" s="49">
        <v>5207</v>
      </c>
      <c r="B118" s="8" t="str">
        <f>"地图:"&amp;VLOOKUP(A118,[1]地图配置辅助表!$A$3:$E$229,4,FALSE)</f>
        <v>地图:精英阿勇</v>
      </c>
      <c r="C118" s="8">
        <v>0</v>
      </c>
      <c r="D118" s="8">
        <f t="shared" ref="D118:D120" si="18">E118</f>
        <v>3</v>
      </c>
      <c r="E118" s="16">
        <f t="shared" si="11"/>
        <v>3</v>
      </c>
      <c r="F118" s="16">
        <v>2</v>
      </c>
      <c r="G118" s="8" t="str">
        <f>IF(H118="","",VLOOKUP(H118,引用表合并!$A:$B,2,FALSE))</f>
        <v>智能手表碎片</v>
      </c>
      <c r="H118" s="90">
        <v>93273</v>
      </c>
      <c r="I118" s="54">
        <v>1</v>
      </c>
      <c r="J118" s="54">
        <v>4000</v>
      </c>
      <c r="K118" s="8" t="str">
        <f>IF(L118="","",VLOOKUP(L118,引用表合并!$A:$B,2,FALSE))</f>
        <v>宾倪碎片</v>
      </c>
      <c r="L118" s="95">
        <v>93279</v>
      </c>
      <c r="M118" s="96">
        <v>1</v>
      </c>
      <c r="N118" s="96">
        <v>3000</v>
      </c>
      <c r="O118" s="8" t="str">
        <f>IF(P118="","",VLOOKUP(P118,引用表合并!$A:$B,2,FALSE))</f>
        <v>大迭钞票碎片</v>
      </c>
      <c r="P118" s="91">
        <v>93284</v>
      </c>
      <c r="Q118" s="92">
        <v>1</v>
      </c>
      <c r="R118" s="92">
        <v>3000</v>
      </c>
      <c r="S118" s="8" t="str">
        <f>IF(T118="","",VLOOKUP(T118,引用表合并!$A:$B,2,FALSE))</f>
        <v/>
      </c>
      <c r="T118" s="17"/>
      <c r="U118" s="8"/>
      <c r="W118" s="8" t="str">
        <f>IF(X118="","",VLOOKUP(X118,引用表合并!$A:$B,2,FALSE))</f>
        <v/>
      </c>
      <c r="X118" s="17"/>
      <c r="Y118" s="8"/>
      <c r="AA118" s="8"/>
      <c r="AB118" s="8"/>
      <c r="AC118" s="8"/>
      <c r="AE118" s="8" t="str">
        <f>IF(AF118="","",VLOOKUP(AF118,引用表合并!$A:$B,2,FALSE))</f>
        <v/>
      </c>
      <c r="AF118" s="8"/>
      <c r="AG118" s="8"/>
      <c r="AI118" s="8" t="str">
        <f>IF(AJ118="","",VLOOKUP(AJ118,引用表合并!$A:$B,2,FALSE))</f>
        <v/>
      </c>
      <c r="AJ118" s="8"/>
      <c r="AK118" s="8"/>
      <c r="AM118" s="8" t="str">
        <f>IF(AN118="","",VLOOKUP(AN118,引用表合并!$A:$B,2,FALSE))</f>
        <v/>
      </c>
      <c r="AN118" s="8"/>
      <c r="AO118" s="8"/>
      <c r="AQ118" s="8" t="str">
        <f>IF(AR118="","",VLOOKUP(AR118,引用表合并!$A:$B,2,FALSE))</f>
        <v/>
      </c>
      <c r="AR118" s="8"/>
      <c r="AS118" s="8"/>
      <c r="AU118" s="8" t="str">
        <f>IF(AV118="","",VLOOKUP(AV118,引用表合并!$A:$B,2,FALSE))</f>
        <v/>
      </c>
      <c r="AV118" s="8"/>
      <c r="AW118" s="8"/>
      <c r="AY118" s="8" t="str">
        <f>IF(AZ118="","",VLOOKUP(AZ118,引用表合并!$A:$B,2,FALSE))</f>
        <v/>
      </c>
      <c r="AZ118" s="8"/>
      <c r="BA118" s="8"/>
      <c r="BC118" s="8" t="str">
        <f>IF(BD118="","",VLOOKUP(BD118,引用表合并!$A:$B,2,FALSE))</f>
        <v/>
      </c>
      <c r="BD118" s="8"/>
      <c r="BF118" s="10"/>
      <c r="BG118" s="8" t="str">
        <f>IF(BH118="","",VLOOKUP(BH118,引用表合并!$A:$B,2,FALSE))</f>
        <v/>
      </c>
      <c r="BH118" s="8"/>
      <c r="BJ118" s="10"/>
      <c r="BK118" s="8" t="str">
        <f>IF(BL118="","",VLOOKUP(BL118,引用表合并!$A:$B,2,FALSE))</f>
        <v/>
      </c>
      <c r="BL118" s="8"/>
      <c r="BN118" s="10"/>
    </row>
    <row r="119" spans="1:66" x14ac:dyDescent="0.15">
      <c r="A119" s="49">
        <v>5208</v>
      </c>
      <c r="B119" s="8" t="str">
        <f>"地图:"&amp;VLOOKUP(A119,[1]地图配置辅助表!$A$3:$E$229,4,FALSE)</f>
        <v>地图:精英非法裁判</v>
      </c>
      <c r="C119" s="8">
        <v>0</v>
      </c>
      <c r="D119" s="8">
        <f t="shared" si="18"/>
        <v>3</v>
      </c>
      <c r="E119" s="16">
        <f t="shared" si="11"/>
        <v>3</v>
      </c>
      <c r="F119" s="16">
        <v>2</v>
      </c>
      <c r="G119" s="8" t="str">
        <f>IF(H119="","",VLOOKUP(H119,引用表合并!$A:$B,2,FALSE))</f>
        <v>宾倪碎片</v>
      </c>
      <c r="H119" s="90">
        <v>93279</v>
      </c>
      <c r="I119" s="54">
        <v>1</v>
      </c>
      <c r="J119" s="54">
        <v>4000</v>
      </c>
      <c r="K119" s="8" t="str">
        <f>IF(L119="","",VLOOKUP(L119,引用表合并!$A:$B,2,FALSE))</f>
        <v>黄金戒指碎片</v>
      </c>
      <c r="L119" s="95">
        <v>93142</v>
      </c>
      <c r="M119" s="96">
        <v>1</v>
      </c>
      <c r="N119" s="96">
        <v>3000</v>
      </c>
      <c r="O119" s="8" t="str">
        <f>IF(P119="","",VLOOKUP(P119,引用表合并!$A:$B,2,FALSE))</f>
        <v>大金块碎片</v>
      </c>
      <c r="P119" s="91">
        <v>93288</v>
      </c>
      <c r="Q119" s="92">
        <v>1</v>
      </c>
      <c r="R119" s="92">
        <v>3000</v>
      </c>
      <c r="S119" s="8" t="str">
        <f>IF(T119="","",VLOOKUP(T119,引用表合并!$A:$B,2,FALSE))</f>
        <v/>
      </c>
      <c r="T119" s="17"/>
      <c r="U119" s="8"/>
      <c r="W119" s="8" t="str">
        <f>IF(X119="","",VLOOKUP(X119,引用表合并!$A:$B,2,FALSE))</f>
        <v/>
      </c>
      <c r="X119" s="17"/>
      <c r="Y119" s="8"/>
      <c r="AA119" s="8" t="str">
        <f>IF(AB119="","",VLOOKUP(AB119,引用表合并!$A:$B,2,FALSE))</f>
        <v/>
      </c>
      <c r="AB119" s="8"/>
      <c r="AC119" s="8"/>
      <c r="AE119" s="8" t="str">
        <f>IF(AF119="","",VLOOKUP(AF119,引用表合并!$A:$B,2,FALSE))</f>
        <v/>
      </c>
      <c r="AF119" s="8"/>
      <c r="AG119" s="8"/>
      <c r="AI119" s="8" t="str">
        <f>IF(AJ119="","",VLOOKUP(AJ119,引用表合并!$A:$B,2,FALSE))</f>
        <v/>
      </c>
      <c r="AJ119" s="8"/>
      <c r="AK119" s="8"/>
      <c r="AM119" s="8" t="str">
        <f>IF(AN119="","",VLOOKUP(AN119,引用表合并!$A:$B,2,FALSE))</f>
        <v/>
      </c>
      <c r="AN119" s="8"/>
      <c r="AO119" s="8"/>
      <c r="AQ119" s="8" t="str">
        <f>IF(AR119="","",VLOOKUP(AR119,引用表合并!$A:$B,2,FALSE))</f>
        <v/>
      </c>
      <c r="AR119" s="8"/>
      <c r="AS119" s="8"/>
      <c r="AU119" s="8" t="str">
        <f>IF(AV119="","",VLOOKUP(AV119,引用表合并!$A:$B,2,FALSE))</f>
        <v/>
      </c>
      <c r="AV119" s="8"/>
      <c r="AW119" s="8"/>
      <c r="AY119" s="8" t="str">
        <f>IF(AZ119="","",VLOOKUP(AZ119,引用表合并!$A:$B,2,FALSE))</f>
        <v/>
      </c>
      <c r="AZ119" s="8"/>
      <c r="BA119" s="8"/>
      <c r="BC119" s="8" t="str">
        <f>IF(BD119="","",VLOOKUP(BD119,引用表合并!$A:$B,2,FALSE))</f>
        <v/>
      </c>
      <c r="BD119" s="8"/>
      <c r="BF119" s="10"/>
      <c r="BG119" s="8" t="str">
        <f>IF(BH119="","",VLOOKUP(BH119,引用表合并!$A:$B,2,FALSE))</f>
        <v/>
      </c>
      <c r="BH119" s="8"/>
      <c r="BJ119" s="10"/>
      <c r="BK119" s="8" t="str">
        <f>IF(BL119="","",VLOOKUP(BL119,引用表合并!$A:$B,2,FALSE))</f>
        <v/>
      </c>
      <c r="BL119" s="8"/>
      <c r="BN119" s="10"/>
    </row>
    <row r="120" spans="1:66" x14ac:dyDescent="0.15">
      <c r="A120" s="49">
        <v>5209</v>
      </c>
      <c r="B120" s="8" t="str">
        <f>"地图:"&amp;VLOOKUP(A120,[1]地图配置辅助表!$A$3:$E$229,4,FALSE)</f>
        <v>地图:精英司徒浩南</v>
      </c>
      <c r="C120" s="8">
        <v>0</v>
      </c>
      <c r="D120" s="8">
        <f t="shared" si="18"/>
        <v>3</v>
      </c>
      <c r="E120" s="16">
        <f t="shared" si="11"/>
        <v>3</v>
      </c>
      <c r="F120" s="16">
        <v>2</v>
      </c>
      <c r="G120" s="8" t="str">
        <f>IF(H120="","",VLOOKUP(H120,引用表合并!$A:$B,2,FALSE))</f>
        <v>大迭钞票碎片</v>
      </c>
      <c r="H120" s="90">
        <v>93284</v>
      </c>
      <c r="I120" s="54">
        <v>1</v>
      </c>
      <c r="J120" s="54">
        <v>4000</v>
      </c>
      <c r="K120" s="8" t="str">
        <f>IF(L120="","",VLOOKUP(L120,引用表合并!$A:$B,2,FALSE))</f>
        <v>大金块碎片</v>
      </c>
      <c r="L120" s="94">
        <v>93288</v>
      </c>
      <c r="M120" s="57">
        <v>1</v>
      </c>
      <c r="N120" s="57">
        <v>3000</v>
      </c>
      <c r="O120" s="8" t="str">
        <f>IF(P120="","",VLOOKUP(P120,引用表合并!$A:$B,2,FALSE))</f>
        <v>黄金戒指碎片</v>
      </c>
      <c r="P120" s="91">
        <v>93142</v>
      </c>
      <c r="Q120" s="92">
        <v>1</v>
      </c>
      <c r="R120" s="92">
        <v>3000</v>
      </c>
      <c r="S120" s="8" t="str">
        <f>IF(T120="","",VLOOKUP(T120,引用表合并!$A:$B,2,FALSE))</f>
        <v/>
      </c>
      <c r="T120" s="17"/>
      <c r="U120" s="8"/>
      <c r="W120" s="8" t="str">
        <f>IF(X120="","",VLOOKUP(X120,引用表合并!$A:$B,2,FALSE))</f>
        <v/>
      </c>
      <c r="X120" s="17"/>
      <c r="Y120" s="8"/>
      <c r="AA120" s="8" t="str">
        <f>IF(AB120="","",VLOOKUP(AB120,引用表合并!$A:$B,2,FALSE))</f>
        <v/>
      </c>
      <c r="AB120" s="8"/>
      <c r="AC120" s="8"/>
      <c r="AE120" s="8" t="str">
        <f>IF(AF120="","",VLOOKUP(AF120,引用表合并!$A:$B,2,FALSE))</f>
        <v/>
      </c>
      <c r="AF120" s="8"/>
      <c r="AG120" s="8"/>
      <c r="AI120" s="8" t="str">
        <f>IF(AJ120="","",VLOOKUP(AJ120,引用表合并!$A:$B,2,FALSE))</f>
        <v/>
      </c>
      <c r="AJ120" s="8"/>
      <c r="AK120" s="8"/>
      <c r="AM120" s="8" t="str">
        <f>IF(AN120="","",VLOOKUP(AN120,引用表合并!$A:$B,2,FALSE))</f>
        <v/>
      </c>
      <c r="AN120" s="8"/>
      <c r="AO120" s="8"/>
      <c r="AQ120" s="8" t="str">
        <f>IF(AR120="","",VLOOKUP(AR120,引用表合并!$A:$B,2,FALSE))</f>
        <v/>
      </c>
      <c r="AR120" s="8"/>
      <c r="AS120" s="8"/>
      <c r="AU120" s="8" t="str">
        <f>IF(AV120="","",VLOOKUP(AV120,引用表合并!$A:$B,2,FALSE))</f>
        <v/>
      </c>
      <c r="AV120" s="8"/>
      <c r="AW120" s="8"/>
      <c r="AY120" s="8" t="str">
        <f>IF(AZ120="","",VLOOKUP(AZ120,引用表合并!$A:$B,2,FALSE))</f>
        <v/>
      </c>
      <c r="AZ120" s="8"/>
      <c r="BA120" s="8"/>
      <c r="BC120" s="8" t="str">
        <f>IF(BD120="","",VLOOKUP(BD120,引用表合并!$A:$B,2,FALSE))</f>
        <v/>
      </c>
      <c r="BD120" s="8"/>
      <c r="BF120" s="10"/>
      <c r="BG120" s="8" t="str">
        <f>IF(BH120="","",VLOOKUP(BH120,引用表合并!$A:$B,2,FALSE))</f>
        <v/>
      </c>
      <c r="BH120" s="8"/>
      <c r="BJ120" s="10"/>
      <c r="BK120" s="8" t="str">
        <f>IF(BL120="","",VLOOKUP(BL120,引用表合并!$A:$B,2,FALSE))</f>
        <v/>
      </c>
      <c r="BL120" s="8"/>
      <c r="BN120" s="10"/>
    </row>
    <row r="121" spans="1:66" x14ac:dyDescent="0.15">
      <c r="A121" s="8">
        <v>6201</v>
      </c>
      <c r="B121" s="8" t="str">
        <f>"地图:"&amp;VLOOKUP(A121,[1]地图配置辅助表!$A$3:$E$229,4,FALSE)</f>
        <v>地图:精英鬼冢</v>
      </c>
      <c r="C121" s="8">
        <v>0</v>
      </c>
      <c r="D121" s="8">
        <f t="shared" si="16"/>
        <v>3</v>
      </c>
      <c r="E121" s="16">
        <f t="shared" si="11"/>
        <v>3</v>
      </c>
      <c r="F121" s="16">
        <v>2</v>
      </c>
      <c r="G121" s="8" t="str">
        <f>IF(H121="","",VLOOKUP(H121,引用表合并!$A:$B,2,FALSE))</f>
        <v>红石耳钉碎片</v>
      </c>
      <c r="H121" s="58">
        <v>93125</v>
      </c>
      <c r="I121" s="59">
        <v>1</v>
      </c>
      <c r="J121" s="59">
        <v>4000</v>
      </c>
      <c r="K121" s="8" t="str">
        <f>IF(L121="","",VLOOKUP(L121,引用表合并!$A:$B,2,FALSE))</f>
        <v>大迭钞票碎片</v>
      </c>
      <c r="L121" s="90">
        <v>93284</v>
      </c>
      <c r="M121" s="54">
        <v>1</v>
      </c>
      <c r="N121" s="97">
        <v>3000</v>
      </c>
      <c r="O121" s="8" t="str">
        <f>IF(P121="","",VLOOKUP(P121,引用表合并!$A:$B,2,FALSE))</f>
        <v>宝石手环碎片</v>
      </c>
      <c r="P121" s="91">
        <v>93235</v>
      </c>
      <c r="Q121" s="92">
        <v>1</v>
      </c>
      <c r="R121" s="92">
        <v>3000</v>
      </c>
      <c r="S121" s="8" t="str">
        <f>IF(T121="","",VLOOKUP(T121,引用表合并!$A:$B,2,FALSE))</f>
        <v/>
      </c>
      <c r="T121" s="17"/>
      <c r="U121" s="8"/>
      <c r="W121" s="8" t="str">
        <f>IF(X121="","",VLOOKUP(X121,引用表合并!$A:$B,2,FALSE))</f>
        <v/>
      </c>
      <c r="X121" s="17"/>
      <c r="Y121" s="8"/>
      <c r="AA121" s="8" t="str">
        <f>IF(AB121="","",VLOOKUP(AB121,引用表合并!$A:$B,2,FALSE))</f>
        <v/>
      </c>
      <c r="AB121" s="8"/>
      <c r="AC121" s="8"/>
      <c r="AE121" s="8" t="str">
        <f>IF(AF121="","",VLOOKUP(AF121,引用表合并!$A:$B,2,FALSE))</f>
        <v/>
      </c>
      <c r="AF121" s="8"/>
      <c r="AG121" s="8"/>
      <c r="AI121" s="8" t="str">
        <f>IF(AJ121="","",VLOOKUP(AJ121,引用表合并!$A:$B,2,FALSE))</f>
        <v/>
      </c>
      <c r="AJ121" s="8"/>
      <c r="AK121" s="8"/>
      <c r="AM121" s="8" t="str">
        <f>IF(AN121="","",VLOOKUP(AN121,引用表合并!$A:$B,2,FALSE))</f>
        <v/>
      </c>
      <c r="AN121" s="8"/>
      <c r="AO121" s="8"/>
      <c r="AQ121" s="8" t="str">
        <f>IF(AR121="","",VLOOKUP(AR121,引用表合并!$A:$B,2,FALSE))</f>
        <v/>
      </c>
      <c r="AR121" s="8"/>
      <c r="AS121" s="8"/>
      <c r="AU121" s="8" t="str">
        <f>IF(AV121="","",VLOOKUP(AV121,引用表合并!$A:$B,2,FALSE))</f>
        <v/>
      </c>
      <c r="AV121" s="8"/>
      <c r="AW121" s="8"/>
      <c r="AY121" s="8" t="str">
        <f>IF(AZ121="","",VLOOKUP(AZ121,引用表合并!$A:$B,2,FALSE))</f>
        <v/>
      </c>
      <c r="AZ121" s="8"/>
      <c r="BA121" s="8"/>
      <c r="BC121" s="8" t="str">
        <f>IF(BD121="","",VLOOKUP(BD121,引用表合并!$A:$B,2,FALSE))</f>
        <v/>
      </c>
      <c r="BD121" s="8"/>
      <c r="BF121" s="10"/>
      <c r="BG121" s="8" t="str">
        <f>IF(BH121="","",VLOOKUP(BH121,引用表合并!$A:$B,2,FALSE))</f>
        <v/>
      </c>
      <c r="BH121" s="8"/>
      <c r="BJ121" s="10"/>
      <c r="BK121" s="8" t="str">
        <f>IF(BL121="","",VLOOKUP(BL121,引用表合并!$A:$B,2,FALSE))</f>
        <v/>
      </c>
      <c r="BL121" s="8"/>
      <c r="BN121" s="10"/>
    </row>
    <row r="122" spans="1:66" x14ac:dyDescent="0.15">
      <c r="A122" s="8">
        <v>6202</v>
      </c>
      <c r="B122" s="8" t="str">
        <f>"地图:"&amp;VLOOKUP(A122,[1]地图配置辅助表!$A$3:$E$229,4,FALSE)</f>
        <v>地图:精英暗魔</v>
      </c>
      <c r="C122" s="8">
        <v>0</v>
      </c>
      <c r="D122" s="8">
        <f t="shared" si="16"/>
        <v>3</v>
      </c>
      <c r="E122" s="16">
        <f t="shared" si="11"/>
        <v>3</v>
      </c>
      <c r="F122" s="16">
        <v>2</v>
      </c>
      <c r="G122" s="8" t="str">
        <f>IF(H122="","",VLOOKUP(H122,引用表合并!$A:$B,2,FALSE))</f>
        <v>毒蝎耳钉碎片</v>
      </c>
      <c r="H122" s="58">
        <v>93134</v>
      </c>
      <c r="I122" s="59">
        <v>1</v>
      </c>
      <c r="J122" s="59">
        <v>4000</v>
      </c>
      <c r="K122" s="8" t="str">
        <f>IF(L122="","",VLOOKUP(L122,引用表合并!$A:$B,2,FALSE))</f>
        <v>大迭钞票碎片</v>
      </c>
      <c r="L122" s="75">
        <v>93284</v>
      </c>
      <c r="M122" s="97">
        <v>1</v>
      </c>
      <c r="N122" s="97">
        <v>3000</v>
      </c>
      <c r="O122" s="8" t="str">
        <f>IF(P122="","",VLOOKUP(P122,引用表合并!$A:$B,2,FALSE))</f>
        <v>黄金戒指碎片</v>
      </c>
      <c r="P122" s="75">
        <v>93142</v>
      </c>
      <c r="Q122" s="89">
        <v>1</v>
      </c>
      <c r="R122" s="89">
        <v>3000</v>
      </c>
      <c r="S122" s="8" t="str">
        <f>IF(T122="","",VLOOKUP(T122,引用表合并!$A:$B,2,FALSE))</f>
        <v/>
      </c>
      <c r="T122" s="17"/>
      <c r="U122" s="8"/>
      <c r="W122" s="8" t="str">
        <f>IF(X122="","",VLOOKUP(X122,引用表合并!$A:$B,2,FALSE))</f>
        <v/>
      </c>
      <c r="X122" s="17"/>
      <c r="Y122" s="8"/>
      <c r="AA122" s="8" t="str">
        <f>IF(AB122="","",VLOOKUP(AB122,引用表合并!$A:$B,2,FALSE))</f>
        <v/>
      </c>
      <c r="AB122" s="8"/>
      <c r="AC122" s="8"/>
      <c r="AE122" s="8" t="str">
        <f>IF(AF122="","",VLOOKUP(AF122,引用表合并!$A:$B,2,FALSE))</f>
        <v/>
      </c>
      <c r="AF122" s="8"/>
      <c r="AG122" s="8"/>
      <c r="AI122" s="8" t="str">
        <f>IF(AJ122="","",VLOOKUP(AJ122,引用表合并!$A:$B,2,FALSE))</f>
        <v/>
      </c>
      <c r="AJ122" s="8"/>
      <c r="AK122" s="8"/>
      <c r="AM122" s="8" t="str">
        <f>IF(AN122="","",VLOOKUP(AN122,引用表合并!$A:$B,2,FALSE))</f>
        <v/>
      </c>
      <c r="AN122" s="8"/>
      <c r="AO122" s="8"/>
      <c r="AQ122" s="8" t="str">
        <f>IF(AR122="","",VLOOKUP(AR122,引用表合并!$A:$B,2,FALSE))</f>
        <v/>
      </c>
      <c r="AR122" s="8"/>
      <c r="AS122" s="8"/>
      <c r="AU122" s="8" t="str">
        <f>IF(AV122="","",VLOOKUP(AV122,引用表合并!$A:$B,2,FALSE))</f>
        <v/>
      </c>
      <c r="AV122" s="8"/>
      <c r="AW122" s="8"/>
      <c r="AY122" s="8" t="str">
        <f>IF(AZ122="","",VLOOKUP(AZ122,引用表合并!$A:$B,2,FALSE))</f>
        <v/>
      </c>
      <c r="AZ122" s="8"/>
      <c r="BA122" s="8"/>
      <c r="BC122" s="8" t="str">
        <f>IF(BD122="","",VLOOKUP(BD122,引用表合并!$A:$B,2,FALSE))</f>
        <v/>
      </c>
      <c r="BD122" s="8"/>
      <c r="BF122" s="10"/>
      <c r="BG122" s="8" t="str">
        <f>IF(BH122="","",VLOOKUP(BH122,引用表合并!$A:$B,2,FALSE))</f>
        <v/>
      </c>
      <c r="BH122" s="8"/>
      <c r="BJ122" s="10"/>
      <c r="BK122" s="8" t="str">
        <f>IF(BL122="","",VLOOKUP(BL122,引用表合并!$A:$B,2,FALSE))</f>
        <v/>
      </c>
      <c r="BL122" s="8"/>
      <c r="BN122" s="10"/>
    </row>
    <row r="123" spans="1:66" x14ac:dyDescent="0.15">
      <c r="A123" s="8">
        <v>6203</v>
      </c>
      <c r="B123" s="8" t="str">
        <f>"地图:"&amp;VLOOKUP(A123,[1]地图配置辅助表!$A$3:$E$229,4,FALSE)</f>
        <v>地图:精英血狂</v>
      </c>
      <c r="C123" s="8">
        <v>0</v>
      </c>
      <c r="D123" s="8">
        <f t="shared" si="16"/>
        <v>3</v>
      </c>
      <c r="E123" s="16">
        <f t="shared" si="11"/>
        <v>3</v>
      </c>
      <c r="F123" s="16">
        <v>2</v>
      </c>
      <c r="G123" s="8" t="str">
        <f>IF(H123="","",VLOOKUP(H123,引用表合并!$A:$B,2,FALSE))</f>
        <v>赤金戒指碎片</v>
      </c>
      <c r="H123" s="58">
        <v>93223</v>
      </c>
      <c r="I123" s="59">
        <v>1</v>
      </c>
      <c r="J123" s="59">
        <v>4000</v>
      </c>
      <c r="K123" s="8" t="str">
        <f>IF(L123="","",VLOOKUP(L123,引用表合并!$A:$B,2,FALSE))</f>
        <v>大金块碎片</v>
      </c>
      <c r="L123" s="75">
        <v>93288</v>
      </c>
      <c r="M123" s="97">
        <v>1</v>
      </c>
      <c r="N123" s="97">
        <v>3000</v>
      </c>
      <c r="O123" s="8" t="str">
        <f>IF(P123="","",VLOOKUP(P123,引用表合并!$A:$B,2,FALSE))</f>
        <v>宝石手环碎片</v>
      </c>
      <c r="P123" s="75">
        <v>93235</v>
      </c>
      <c r="Q123" s="89">
        <v>1</v>
      </c>
      <c r="R123" s="89">
        <v>3000</v>
      </c>
      <c r="S123" s="8" t="str">
        <f>IF(T123="","",VLOOKUP(T123,引用表合并!$A:$B,2,FALSE))</f>
        <v/>
      </c>
      <c r="T123" s="17"/>
      <c r="U123" s="8"/>
      <c r="W123" s="8" t="str">
        <f>IF(X123="","",VLOOKUP(X123,引用表合并!$A:$B,2,FALSE))</f>
        <v/>
      </c>
      <c r="X123" s="17"/>
      <c r="Y123" s="8"/>
      <c r="AA123" s="8" t="str">
        <f>IF(AB123="","",VLOOKUP(AB123,引用表合并!$A:$B,2,FALSE))</f>
        <v/>
      </c>
      <c r="AB123" s="8"/>
      <c r="AC123" s="8"/>
      <c r="AE123" s="8" t="str">
        <f>IF(AF123="","",VLOOKUP(AF123,引用表合并!$A:$B,2,FALSE))</f>
        <v/>
      </c>
      <c r="AF123" s="8"/>
      <c r="AG123" s="8"/>
      <c r="AI123" s="8" t="str">
        <f>IF(AJ123="","",VLOOKUP(AJ123,引用表合并!$A:$B,2,FALSE))</f>
        <v/>
      </c>
      <c r="AJ123" s="8"/>
      <c r="AK123" s="8"/>
      <c r="AM123" s="8" t="str">
        <f>IF(AN123="","",VLOOKUP(AN123,引用表合并!$A:$B,2,FALSE))</f>
        <v/>
      </c>
      <c r="AN123" s="8"/>
      <c r="AO123" s="8"/>
      <c r="AQ123" s="8" t="str">
        <f>IF(AR123="","",VLOOKUP(AR123,引用表合并!$A:$B,2,FALSE))</f>
        <v/>
      </c>
      <c r="AR123" s="8"/>
      <c r="AS123" s="8"/>
      <c r="AU123" s="8" t="str">
        <f>IF(AV123="","",VLOOKUP(AV123,引用表合并!$A:$B,2,FALSE))</f>
        <v/>
      </c>
      <c r="AV123" s="8"/>
      <c r="AW123" s="8"/>
      <c r="AY123" s="8" t="str">
        <f>IF(AZ123="","",VLOOKUP(AZ123,引用表合并!$A:$B,2,FALSE))</f>
        <v/>
      </c>
      <c r="AZ123" s="8"/>
      <c r="BA123" s="8"/>
      <c r="BC123" s="8" t="str">
        <f>IF(BD123="","",VLOOKUP(BD123,引用表合并!$A:$B,2,FALSE))</f>
        <v/>
      </c>
      <c r="BD123" s="8"/>
      <c r="BF123" s="10"/>
      <c r="BG123" s="8" t="str">
        <f>IF(BH123="","",VLOOKUP(BH123,引用表合并!$A:$B,2,FALSE))</f>
        <v/>
      </c>
      <c r="BH123" s="8"/>
      <c r="BJ123" s="10"/>
      <c r="BK123" s="8" t="str">
        <f>IF(BL123="","",VLOOKUP(BL123,引用表合并!$A:$B,2,FALSE))</f>
        <v/>
      </c>
      <c r="BL123" s="8"/>
      <c r="BN123" s="10"/>
    </row>
    <row r="124" spans="1:66" x14ac:dyDescent="0.15">
      <c r="A124" s="8">
        <v>6204</v>
      </c>
      <c r="B124" s="8" t="str">
        <f>"地图:"&amp;VLOOKUP(A124,[1]地图配置辅助表!$A$3:$E$229,4,FALSE)</f>
        <v>地图:精英獠牙</v>
      </c>
      <c r="C124" s="8">
        <v>0</v>
      </c>
      <c r="D124" s="8">
        <f t="shared" si="16"/>
        <v>3</v>
      </c>
      <c r="E124" s="16">
        <f t="shared" si="11"/>
        <v>3</v>
      </c>
      <c r="F124" s="16">
        <v>2</v>
      </c>
      <c r="G124" s="8" t="str">
        <f>IF(H124="","",VLOOKUP(H124,引用表合并!$A:$B,2,FALSE))</f>
        <v>王者手环碎片</v>
      </c>
      <c r="H124" s="60">
        <v>93227</v>
      </c>
      <c r="I124" s="59">
        <v>1</v>
      </c>
      <c r="J124" s="59">
        <v>4000</v>
      </c>
      <c r="K124" s="8" t="str">
        <f>IF(L124="","",VLOOKUP(L124,引用表合并!$A:$B,2,FALSE))</f>
        <v>大金块碎片</v>
      </c>
      <c r="L124" s="91">
        <v>93288</v>
      </c>
      <c r="M124" s="92">
        <v>1</v>
      </c>
      <c r="N124" s="92">
        <v>3000</v>
      </c>
      <c r="O124" s="8" t="str">
        <f>IF(P124="","",VLOOKUP(P124,引用表合并!$A:$B,2,FALSE))</f>
        <v>摩拉碎片</v>
      </c>
      <c r="P124" s="75">
        <v>93012</v>
      </c>
      <c r="Q124" s="89">
        <v>1</v>
      </c>
      <c r="R124" s="89">
        <v>3000</v>
      </c>
      <c r="S124" s="8" t="str">
        <f>IF(T124="","",VLOOKUP(T124,引用表合并!$A:$B,2,FALSE))</f>
        <v/>
      </c>
      <c r="T124" s="17"/>
      <c r="U124" s="8"/>
      <c r="W124" s="8" t="str">
        <f>IF(X124="","",VLOOKUP(X124,引用表合并!$A:$B,2,FALSE))</f>
        <v/>
      </c>
      <c r="X124" s="17"/>
      <c r="Y124" s="8"/>
      <c r="AA124" s="8"/>
      <c r="AB124" s="8"/>
      <c r="AC124" s="8"/>
      <c r="AE124" s="8" t="str">
        <f>IF(AF124="","",VLOOKUP(AF124,引用表合并!$A:$B,2,FALSE))</f>
        <v/>
      </c>
      <c r="AF124" s="8"/>
      <c r="AG124" s="8"/>
      <c r="AI124" s="8" t="str">
        <f>IF(AJ124="","",VLOOKUP(AJ124,引用表合并!$A:$B,2,FALSE))</f>
        <v/>
      </c>
      <c r="AJ124" s="8"/>
      <c r="AK124" s="8"/>
      <c r="AM124" s="8" t="str">
        <f>IF(AN124="","",VLOOKUP(AN124,引用表合并!$A:$B,2,FALSE))</f>
        <v/>
      </c>
      <c r="AN124" s="8"/>
      <c r="AO124" s="8"/>
      <c r="AQ124" s="8" t="str">
        <f>IF(AR124="","",VLOOKUP(AR124,引用表合并!$A:$B,2,FALSE))</f>
        <v/>
      </c>
      <c r="AR124" s="8"/>
      <c r="AS124" s="8"/>
      <c r="AU124" s="8" t="str">
        <f>IF(AV124="","",VLOOKUP(AV124,引用表合并!$A:$B,2,FALSE))</f>
        <v/>
      </c>
      <c r="AV124" s="8"/>
      <c r="AW124" s="8"/>
      <c r="AY124" s="8" t="str">
        <f>IF(AZ124="","",VLOOKUP(AZ124,引用表合并!$A:$B,2,FALSE))</f>
        <v/>
      </c>
      <c r="AZ124" s="8"/>
      <c r="BA124" s="8"/>
      <c r="BC124" s="8" t="str">
        <f>IF(BD124="","",VLOOKUP(BD124,引用表合并!$A:$B,2,FALSE))</f>
        <v/>
      </c>
      <c r="BD124" s="8"/>
      <c r="BF124" s="10"/>
      <c r="BG124" s="8" t="str">
        <f>IF(BH124="","",VLOOKUP(BH124,引用表合并!$A:$B,2,FALSE))</f>
        <v/>
      </c>
      <c r="BH124" s="8"/>
      <c r="BJ124" s="10"/>
      <c r="BK124" s="8" t="str">
        <f>IF(BL124="","",VLOOKUP(BL124,引用表合并!$A:$B,2,FALSE))</f>
        <v/>
      </c>
      <c r="BL124" s="8"/>
      <c r="BN124" s="10"/>
    </row>
    <row r="125" spans="1:66" x14ac:dyDescent="0.15">
      <c r="A125" s="8">
        <v>6205</v>
      </c>
      <c r="B125" s="8" t="str">
        <f>"地图:"&amp;VLOOKUP(A125,[1]地图配置辅助表!$A$3:$E$229,4,FALSE)</f>
        <v>地图:精英陈浩南</v>
      </c>
      <c r="C125" s="8">
        <v>0</v>
      </c>
      <c r="D125" s="8">
        <f t="shared" si="16"/>
        <v>3</v>
      </c>
      <c r="E125" s="16">
        <f t="shared" si="11"/>
        <v>3</v>
      </c>
      <c r="F125" s="16">
        <v>2</v>
      </c>
      <c r="G125" s="8" t="str">
        <f>IF(H125="","",VLOOKUP(H125,引用表合并!$A:$B,2,FALSE))</f>
        <v>符文手环碎片</v>
      </c>
      <c r="H125" s="59">
        <v>93236</v>
      </c>
      <c r="I125" s="59">
        <v>1</v>
      </c>
      <c r="J125" s="59">
        <v>4000</v>
      </c>
      <c r="K125" s="8" t="str">
        <f>IF(L125="","",VLOOKUP(L125,引用表合并!$A:$B,2,FALSE))</f>
        <v>红石耳钉碎片</v>
      </c>
      <c r="L125" s="76">
        <v>93125</v>
      </c>
      <c r="M125" s="93">
        <v>1</v>
      </c>
      <c r="N125" s="93">
        <v>3000</v>
      </c>
      <c r="O125" s="8" t="str">
        <f>IF(P125="","",VLOOKUP(P125,引用表合并!$A:$B,2,FALSE))</f>
        <v>青玉项链碎片</v>
      </c>
      <c r="P125" s="75">
        <v>93252</v>
      </c>
      <c r="Q125" s="89">
        <v>1</v>
      </c>
      <c r="R125" s="89">
        <v>3000</v>
      </c>
      <c r="S125" s="8" t="str">
        <f>IF(T125="","",VLOOKUP(T125,引用表合并!$A:$B,2,FALSE))</f>
        <v/>
      </c>
      <c r="T125" s="17"/>
      <c r="U125" s="8"/>
      <c r="W125" s="8" t="str">
        <f>IF(X125="","",VLOOKUP(X125,引用表合并!$A:$B,2,FALSE))</f>
        <v/>
      </c>
      <c r="X125" s="17"/>
      <c r="Y125" s="8"/>
      <c r="AA125" s="8" t="str">
        <f>IF(AB125="","",VLOOKUP(AB125,引用表合并!$A:$B,2,FALSE))</f>
        <v/>
      </c>
      <c r="AB125" s="8"/>
      <c r="AC125" s="8"/>
      <c r="AE125" s="8" t="str">
        <f>IF(AF125="","",VLOOKUP(AF125,引用表合并!$A:$B,2,FALSE))</f>
        <v/>
      </c>
      <c r="AF125" s="8"/>
      <c r="AG125" s="8"/>
      <c r="AI125" s="8" t="str">
        <f>IF(AJ125="","",VLOOKUP(AJ125,引用表合并!$A:$B,2,FALSE))</f>
        <v/>
      </c>
      <c r="AJ125" s="8"/>
      <c r="AK125" s="8"/>
      <c r="AM125" s="8" t="str">
        <f>IF(AN125="","",VLOOKUP(AN125,引用表合并!$A:$B,2,FALSE))</f>
        <v/>
      </c>
      <c r="AN125" s="8"/>
      <c r="AO125" s="8"/>
      <c r="AQ125" s="8" t="str">
        <f>IF(AR125="","",VLOOKUP(AR125,引用表合并!$A:$B,2,FALSE))</f>
        <v/>
      </c>
      <c r="AR125" s="8"/>
      <c r="AS125" s="8"/>
      <c r="AU125" s="8" t="str">
        <f>IF(AV125="","",VLOOKUP(AV125,引用表合并!$A:$B,2,FALSE))</f>
        <v/>
      </c>
      <c r="AV125" s="8"/>
      <c r="AW125" s="8"/>
      <c r="AY125" s="8" t="str">
        <f>IF(AZ125="","",VLOOKUP(AZ125,引用表合并!$A:$B,2,FALSE))</f>
        <v/>
      </c>
      <c r="AZ125" s="8"/>
      <c r="BA125" s="8"/>
      <c r="BC125" s="8" t="str">
        <f>IF(BD125="","",VLOOKUP(BD125,引用表合并!$A:$B,2,FALSE))</f>
        <v/>
      </c>
      <c r="BD125" s="8"/>
      <c r="BF125" s="10"/>
      <c r="BG125" s="8" t="str">
        <f>IF(BH125="","",VLOOKUP(BH125,引用表合并!$A:$B,2,FALSE))</f>
        <v/>
      </c>
      <c r="BH125" s="8"/>
      <c r="BJ125" s="10"/>
      <c r="BK125" s="8" t="str">
        <f>IF(BL125="","",VLOOKUP(BL125,引用表合并!$A:$B,2,FALSE))</f>
        <v/>
      </c>
      <c r="BL125" s="8"/>
      <c r="BN125" s="10"/>
    </row>
    <row r="126" spans="1:66" x14ac:dyDescent="0.15">
      <c r="A126" s="10">
        <v>6206</v>
      </c>
      <c r="B126" s="8" t="str">
        <f>"地图:"&amp;VLOOKUP(A126,[1]地图配置辅助表!$A$3:$E$229,4,FALSE)</f>
        <v>地图:精英毒牙</v>
      </c>
      <c r="C126" s="8">
        <v>0</v>
      </c>
      <c r="D126" s="8">
        <f t="shared" si="16"/>
        <v>3</v>
      </c>
      <c r="E126" s="16">
        <f t="shared" si="11"/>
        <v>3</v>
      </c>
      <c r="F126" s="16">
        <v>2</v>
      </c>
      <c r="G126" s="8" t="str">
        <f>IF(H126="","",VLOOKUP(H126,引用表合并!$A:$B,2,FALSE))</f>
        <v>月立碎片</v>
      </c>
      <c r="H126" s="60">
        <v>93013</v>
      </c>
      <c r="I126" s="59">
        <v>1</v>
      </c>
      <c r="J126" s="59">
        <v>4000</v>
      </c>
      <c r="K126" s="8" t="str">
        <f>IF(L126="","",VLOOKUP(L126,引用表合并!$A:$B,2,FALSE))</f>
        <v>毒蝎耳钉碎片</v>
      </c>
      <c r="L126" s="76">
        <v>93134</v>
      </c>
      <c r="M126" s="93">
        <v>1</v>
      </c>
      <c r="N126" s="93">
        <v>3000</v>
      </c>
      <c r="O126" s="8" t="str">
        <f>IF(P126="","",VLOOKUP(P126,引用表合并!$A:$B,2,FALSE))</f>
        <v>水晶耳钉碎片</v>
      </c>
      <c r="P126" s="75">
        <v>93124</v>
      </c>
      <c r="Q126" s="89">
        <v>1</v>
      </c>
      <c r="R126" s="89">
        <v>3000</v>
      </c>
      <c r="S126" s="8" t="str">
        <f>IF(T126="","",VLOOKUP(T126,引用表合并!$A:$B,2,FALSE))</f>
        <v/>
      </c>
      <c r="T126" s="17"/>
      <c r="U126" s="8"/>
      <c r="W126" s="8" t="str">
        <f>IF(X126="","",VLOOKUP(X126,引用表合并!$A:$B,2,FALSE))</f>
        <v/>
      </c>
      <c r="X126" s="17"/>
      <c r="Y126" s="8"/>
      <c r="AA126" s="8" t="str">
        <f>IF(AB126="","",VLOOKUP(AB126,引用表合并!$A:$B,2,FALSE))</f>
        <v/>
      </c>
      <c r="AB126" s="8"/>
      <c r="AC126" s="8"/>
      <c r="AE126" s="8" t="str">
        <f>IF(AF126="","",VLOOKUP(AF126,引用表合并!$A:$B,2,FALSE))</f>
        <v/>
      </c>
      <c r="AF126" s="8"/>
      <c r="AG126" s="8"/>
      <c r="AI126" s="8" t="str">
        <f>IF(AJ126="","",VLOOKUP(AJ126,引用表合并!$A:$B,2,FALSE))</f>
        <v/>
      </c>
      <c r="AJ126" s="8"/>
      <c r="AK126" s="8"/>
      <c r="AM126" s="8" t="str">
        <f>IF(AN126="","",VLOOKUP(AN126,引用表合并!$A:$B,2,FALSE))</f>
        <v/>
      </c>
      <c r="AN126" s="8"/>
      <c r="AO126" s="8"/>
      <c r="AQ126" s="8" t="str">
        <f>IF(AR126="","",VLOOKUP(AR126,引用表合并!$A:$B,2,FALSE))</f>
        <v/>
      </c>
      <c r="AR126" s="8"/>
      <c r="AS126" s="8"/>
      <c r="AU126" s="8" t="str">
        <f>IF(AV126="","",VLOOKUP(AV126,引用表合并!$A:$B,2,FALSE))</f>
        <v/>
      </c>
      <c r="AV126" s="8"/>
      <c r="AW126" s="8"/>
      <c r="AY126" s="8" t="str">
        <f>IF(AZ126="","",VLOOKUP(AZ126,引用表合并!$A:$B,2,FALSE))</f>
        <v/>
      </c>
      <c r="AZ126" s="8"/>
      <c r="BA126" s="8"/>
      <c r="BC126" s="8" t="str">
        <f>IF(BD126="","",VLOOKUP(BD126,引用表合并!$A:$B,2,FALSE))</f>
        <v/>
      </c>
      <c r="BD126" s="8"/>
      <c r="BF126" s="10"/>
      <c r="BG126" s="8" t="str">
        <f>IF(BH126="","",VLOOKUP(BH126,引用表合并!$A:$B,2,FALSE))</f>
        <v/>
      </c>
      <c r="BH126" s="8"/>
      <c r="BJ126" s="10"/>
      <c r="BK126" s="8" t="str">
        <f>IF(BL126="","",VLOOKUP(BL126,引用表合并!$A:$B,2,FALSE))</f>
        <v/>
      </c>
      <c r="BL126" s="8"/>
      <c r="BN126" s="10"/>
    </row>
    <row r="127" spans="1:66" x14ac:dyDescent="0.15">
      <c r="A127" s="10">
        <v>6207</v>
      </c>
      <c r="B127" s="8" t="str">
        <f>"地图:"&amp;VLOOKUP(A127,[1]地图配置辅助表!$A$3:$E$229,4,FALSE)</f>
        <v>地图:精英织田</v>
      </c>
      <c r="C127" s="8">
        <v>0</v>
      </c>
      <c r="D127" s="8">
        <f t="shared" ref="D127:D129" si="19">E127</f>
        <v>3</v>
      </c>
      <c r="E127" s="16">
        <f t="shared" si="11"/>
        <v>3</v>
      </c>
      <c r="F127" s="16">
        <v>2</v>
      </c>
      <c r="G127" s="8" t="str">
        <f>IF(H127="","",VLOOKUP(H127,引用表合并!$A:$B,2,FALSE))</f>
        <v>猫妖项链碎片</v>
      </c>
      <c r="H127" s="60">
        <v>93253</v>
      </c>
      <c r="I127" s="59">
        <v>1</v>
      </c>
      <c r="J127" s="59">
        <v>4000</v>
      </c>
      <c r="K127" s="8" t="str">
        <f>IF(L127="","",VLOOKUP(L127,引用表合并!$A:$B,2,FALSE))</f>
        <v>法拉捷碎片</v>
      </c>
      <c r="L127" s="98">
        <v>93280</v>
      </c>
      <c r="M127" s="99">
        <v>1</v>
      </c>
      <c r="N127" s="99">
        <v>3000</v>
      </c>
      <c r="O127" s="8" t="str">
        <f>IF(P127="","",VLOOKUP(P127,引用表合并!$A:$B,2,FALSE))</f>
        <v>金针手表碎片</v>
      </c>
      <c r="P127" s="75">
        <v>93272</v>
      </c>
      <c r="Q127" s="89">
        <v>1</v>
      </c>
      <c r="R127" s="89">
        <v>3000</v>
      </c>
      <c r="S127" s="8" t="str">
        <f>IF(T127="","",VLOOKUP(T127,引用表合并!$A:$B,2,FALSE))</f>
        <v/>
      </c>
      <c r="T127" s="17"/>
      <c r="U127" s="8"/>
      <c r="W127" s="8" t="str">
        <f>IF(X127="","",VLOOKUP(X127,引用表合并!$A:$B,2,FALSE))</f>
        <v/>
      </c>
      <c r="X127" s="17"/>
      <c r="Y127" s="8"/>
      <c r="AA127" s="8"/>
      <c r="AB127" s="8"/>
      <c r="AC127" s="8"/>
      <c r="AE127" s="8" t="str">
        <f>IF(AF127="","",VLOOKUP(AF127,引用表合并!$A:$B,2,FALSE))</f>
        <v/>
      </c>
      <c r="AF127" s="8"/>
      <c r="AG127" s="8"/>
      <c r="AI127" s="8" t="str">
        <f>IF(AJ127="","",VLOOKUP(AJ127,引用表合并!$A:$B,2,FALSE))</f>
        <v/>
      </c>
      <c r="AJ127" s="8"/>
      <c r="AK127" s="8"/>
      <c r="AM127" s="8" t="str">
        <f>IF(AN127="","",VLOOKUP(AN127,引用表合并!$A:$B,2,FALSE))</f>
        <v/>
      </c>
      <c r="AN127" s="8"/>
      <c r="AO127" s="8"/>
      <c r="AQ127" s="8" t="str">
        <f>IF(AR127="","",VLOOKUP(AR127,引用表合并!$A:$B,2,FALSE))</f>
        <v/>
      </c>
      <c r="AR127" s="8"/>
      <c r="AS127" s="8"/>
      <c r="AU127" s="8" t="str">
        <f>IF(AV127="","",VLOOKUP(AV127,引用表合并!$A:$B,2,FALSE))</f>
        <v/>
      </c>
      <c r="AV127" s="8"/>
      <c r="AW127" s="8"/>
      <c r="AY127" s="8" t="str">
        <f>IF(AZ127="","",VLOOKUP(AZ127,引用表合并!$A:$B,2,FALSE))</f>
        <v/>
      </c>
      <c r="AZ127" s="8"/>
      <c r="BA127" s="8"/>
      <c r="BC127" s="8" t="str">
        <f>IF(BD127="","",VLOOKUP(BD127,引用表合并!$A:$B,2,FALSE))</f>
        <v/>
      </c>
      <c r="BD127" s="8"/>
      <c r="BF127" s="10"/>
      <c r="BG127" s="8" t="str">
        <f>IF(BH127="","",VLOOKUP(BH127,引用表合并!$A:$B,2,FALSE))</f>
        <v/>
      </c>
      <c r="BH127" s="8"/>
      <c r="BJ127" s="10"/>
      <c r="BK127" s="8" t="str">
        <f>IF(BL127="","",VLOOKUP(BL127,引用表合并!$A:$B,2,FALSE))</f>
        <v/>
      </c>
      <c r="BL127" s="8"/>
      <c r="BN127" s="10"/>
    </row>
    <row r="128" spans="1:66" x14ac:dyDescent="0.15">
      <c r="A128" s="10">
        <v>6208</v>
      </c>
      <c r="B128" s="8" t="str">
        <f>"地图:"&amp;VLOOKUP(A128,[1]地图配置辅助表!$A$3:$E$229,4,FALSE)</f>
        <v>地图:精英太乙部下</v>
      </c>
      <c r="C128" s="8">
        <v>0</v>
      </c>
      <c r="D128" s="8">
        <f t="shared" si="19"/>
        <v>3</v>
      </c>
      <c r="E128" s="16">
        <f t="shared" si="11"/>
        <v>3</v>
      </c>
      <c r="F128" s="16">
        <v>2</v>
      </c>
      <c r="G128" s="8" t="str">
        <f>IF(H128="","",VLOOKUP(H128,引用表合并!$A:$B,2,FALSE))</f>
        <v>苍蓝项链碎片</v>
      </c>
      <c r="H128" s="58">
        <v>93254</v>
      </c>
      <c r="I128" s="59">
        <v>1</v>
      </c>
      <c r="J128" s="59">
        <v>4000</v>
      </c>
      <c r="K128" s="8" t="str">
        <f>IF(L128="","",VLOOKUP(L128,引用表合并!$A:$B,2,FALSE))</f>
        <v>大堆钞票碎片</v>
      </c>
      <c r="L128" s="98">
        <v>93285</v>
      </c>
      <c r="M128" s="99">
        <v>1</v>
      </c>
      <c r="N128" s="99">
        <v>3000</v>
      </c>
      <c r="O128" s="35" t="str">
        <f>IF(P128="","",VLOOKUP(P128,引用表合并!$A:$B,2,FALSE))</f>
        <v>智能手表碎片</v>
      </c>
      <c r="P128" s="75">
        <v>93273</v>
      </c>
      <c r="Q128" s="89">
        <v>1</v>
      </c>
      <c r="R128" s="89">
        <v>3000</v>
      </c>
      <c r="S128" s="8" t="str">
        <f>IF(T128="","",VLOOKUP(T128,引用表合并!$A:$B,2,FALSE))</f>
        <v/>
      </c>
      <c r="T128" s="17"/>
      <c r="U128" s="8"/>
      <c r="W128" s="8" t="str">
        <f>IF(X128="","",VLOOKUP(X128,引用表合并!$A:$B,2,FALSE))</f>
        <v/>
      </c>
      <c r="X128" s="17"/>
      <c r="Y128" s="8"/>
      <c r="AA128" s="8" t="str">
        <f>IF(AB128="","",VLOOKUP(AB128,引用表合并!$A:$B,2,FALSE))</f>
        <v/>
      </c>
      <c r="AB128" s="8"/>
      <c r="AC128" s="8"/>
      <c r="AE128" s="8" t="str">
        <f>IF(AF128="","",VLOOKUP(AF128,引用表合并!$A:$B,2,FALSE))</f>
        <v/>
      </c>
      <c r="AF128" s="8"/>
      <c r="AG128" s="8"/>
      <c r="AI128" s="8" t="str">
        <f>IF(AJ128="","",VLOOKUP(AJ128,引用表合并!$A:$B,2,FALSE))</f>
        <v/>
      </c>
      <c r="AJ128" s="8"/>
      <c r="AK128" s="8"/>
      <c r="AM128" s="8" t="str">
        <f>IF(AN128="","",VLOOKUP(AN128,引用表合并!$A:$B,2,FALSE))</f>
        <v/>
      </c>
      <c r="AN128" s="8"/>
      <c r="AO128" s="8"/>
      <c r="AQ128" s="8" t="str">
        <f>IF(AR128="","",VLOOKUP(AR128,引用表合并!$A:$B,2,FALSE))</f>
        <v/>
      </c>
      <c r="AR128" s="8"/>
      <c r="AS128" s="8"/>
      <c r="AU128" s="8" t="str">
        <f>IF(AV128="","",VLOOKUP(AV128,引用表合并!$A:$B,2,FALSE))</f>
        <v/>
      </c>
      <c r="AV128" s="8"/>
      <c r="AW128" s="8"/>
      <c r="AY128" s="8" t="str">
        <f>IF(AZ128="","",VLOOKUP(AZ128,引用表合并!$A:$B,2,FALSE))</f>
        <v/>
      </c>
      <c r="AZ128" s="8"/>
      <c r="BA128" s="8"/>
      <c r="BC128" s="8" t="str">
        <f>IF(BD128="","",VLOOKUP(BD128,引用表合并!$A:$B,2,FALSE))</f>
        <v/>
      </c>
      <c r="BD128" s="8"/>
      <c r="BF128" s="10"/>
      <c r="BG128" s="8" t="str">
        <f>IF(BH128="","",VLOOKUP(BH128,引用表合并!$A:$B,2,FALSE))</f>
        <v/>
      </c>
      <c r="BH128" s="8"/>
      <c r="BJ128" s="10"/>
      <c r="BK128" s="8" t="str">
        <f>IF(BL128="","",VLOOKUP(BL128,引用表合并!$A:$B,2,FALSE))</f>
        <v/>
      </c>
      <c r="BL128" s="8"/>
      <c r="BN128" s="10"/>
    </row>
    <row r="129" spans="1:66" x14ac:dyDescent="0.15">
      <c r="A129" s="10">
        <v>6209</v>
      </c>
      <c r="B129" s="8" t="str">
        <f>"地图:"&amp;VLOOKUP(A129,[1]地图配置辅助表!$A$3:$E$229,4,FALSE)</f>
        <v>地图:精英太乙</v>
      </c>
      <c r="C129" s="8">
        <v>0</v>
      </c>
      <c r="D129" s="8">
        <f t="shared" si="19"/>
        <v>3</v>
      </c>
      <c r="E129" s="16">
        <f t="shared" si="11"/>
        <v>3</v>
      </c>
      <c r="F129" s="16">
        <v>2</v>
      </c>
      <c r="G129" s="8" t="str">
        <f>IF(H129="","",VLOOKUP(H129,引用表合并!$A:$B,2,FALSE))</f>
        <v>汉密手表碎片</v>
      </c>
      <c r="H129" s="59">
        <v>93274</v>
      </c>
      <c r="I129" s="59">
        <v>1</v>
      </c>
      <c r="J129" s="59">
        <v>4000</v>
      </c>
      <c r="K129" s="8" t="str">
        <f>IF(L129="","",VLOOKUP(L129,引用表合并!$A:$B,2,FALSE))</f>
        <v>小堆金块碎片</v>
      </c>
      <c r="L129" s="98">
        <v>93289</v>
      </c>
      <c r="M129" s="99">
        <v>1</v>
      </c>
      <c r="N129" s="99">
        <v>3000</v>
      </c>
      <c r="O129" s="35" t="str">
        <f>IF(P129="","",VLOOKUP(P129,引用表合并!$A:$B,2,FALSE))</f>
        <v>宾倪碎片</v>
      </c>
      <c r="P129" s="75">
        <v>93279</v>
      </c>
      <c r="Q129" s="89">
        <v>1</v>
      </c>
      <c r="R129" s="89">
        <v>3000</v>
      </c>
      <c r="S129" s="8" t="str">
        <f>IF(T129="","",VLOOKUP(T129,引用表合并!$A:$B,2,FALSE))</f>
        <v/>
      </c>
      <c r="T129" s="17"/>
      <c r="U129" s="8"/>
      <c r="W129" s="8" t="str">
        <f>IF(X129="","",VLOOKUP(X129,引用表合并!$A:$B,2,FALSE))</f>
        <v/>
      </c>
      <c r="X129" s="17"/>
      <c r="Y129" s="8"/>
      <c r="AA129" s="8" t="str">
        <f>IF(AB129="","",VLOOKUP(AB129,引用表合并!$A:$B,2,FALSE))</f>
        <v/>
      </c>
      <c r="AB129" s="8"/>
      <c r="AC129" s="8"/>
      <c r="AE129" s="8" t="str">
        <f>IF(AF129="","",VLOOKUP(AF129,引用表合并!$A:$B,2,FALSE))</f>
        <v/>
      </c>
      <c r="AF129" s="8"/>
      <c r="AG129" s="8"/>
      <c r="AI129" s="8" t="str">
        <f>IF(AJ129="","",VLOOKUP(AJ129,引用表合并!$A:$B,2,FALSE))</f>
        <v/>
      </c>
      <c r="AJ129" s="8"/>
      <c r="AK129" s="8"/>
      <c r="AM129" s="8" t="str">
        <f>IF(AN129="","",VLOOKUP(AN129,引用表合并!$A:$B,2,FALSE))</f>
        <v/>
      </c>
      <c r="AN129" s="8"/>
      <c r="AO129" s="8"/>
      <c r="AQ129" s="8" t="str">
        <f>IF(AR129="","",VLOOKUP(AR129,引用表合并!$A:$B,2,FALSE))</f>
        <v/>
      </c>
      <c r="AR129" s="8"/>
      <c r="AS129" s="8"/>
      <c r="AU129" s="8" t="str">
        <f>IF(AV129="","",VLOOKUP(AV129,引用表合并!$A:$B,2,FALSE))</f>
        <v/>
      </c>
      <c r="AV129" s="8"/>
      <c r="AW129" s="8"/>
      <c r="AY129" s="8" t="str">
        <f>IF(AZ129="","",VLOOKUP(AZ129,引用表合并!$A:$B,2,FALSE))</f>
        <v/>
      </c>
      <c r="AZ129" s="8"/>
      <c r="BA129" s="8"/>
      <c r="BC129" s="8" t="str">
        <f>IF(BD129="","",VLOOKUP(BD129,引用表合并!$A:$B,2,FALSE))</f>
        <v/>
      </c>
      <c r="BD129" s="8"/>
      <c r="BF129" s="10"/>
      <c r="BG129" s="8" t="str">
        <f>IF(BH129="","",VLOOKUP(BH129,引用表合并!$A:$B,2,FALSE))</f>
        <v/>
      </c>
      <c r="BH129" s="8"/>
      <c r="BJ129" s="10"/>
      <c r="BK129" s="8" t="str">
        <f>IF(BL129="","",VLOOKUP(BL129,引用表合并!$A:$B,2,FALSE))</f>
        <v/>
      </c>
      <c r="BL129" s="8"/>
      <c r="BN129" s="10"/>
    </row>
    <row r="130" spans="1:66" x14ac:dyDescent="0.15">
      <c r="A130" s="10">
        <v>7201</v>
      </c>
      <c r="B130" s="8" t="str">
        <f>"地图:"&amp;VLOOKUP(A130,[1]地图配置辅助表!$A$3:$E$229,4,FALSE)</f>
        <v>地图:精英白虎堂</v>
      </c>
      <c r="C130" s="8">
        <v>0</v>
      </c>
      <c r="D130" s="8">
        <f t="shared" si="16"/>
        <v>3</v>
      </c>
      <c r="E130" s="16">
        <f t="shared" ref="E130:E131" si="20">COUNTIF(G130:FJ130,"&gt;0")/3</f>
        <v>3</v>
      </c>
      <c r="F130" s="16">
        <v>2</v>
      </c>
      <c r="G130" s="8" t="str">
        <f>IF(H130="","",VLOOKUP(H130,引用表合并!$A:$B,2,FALSE))</f>
        <v>红石耳钉碎片</v>
      </c>
      <c r="H130" s="48">
        <v>93125</v>
      </c>
      <c r="I130" s="44">
        <v>1</v>
      </c>
      <c r="J130" s="44">
        <v>4000</v>
      </c>
      <c r="K130" s="8" t="str">
        <f>IF(L130="","",VLOOKUP(L130,引用表合并!$A:$B,2,FALSE))</f>
        <v>赤金戒指碎片</v>
      </c>
      <c r="L130" s="76">
        <v>93223</v>
      </c>
      <c r="M130" s="93">
        <v>1</v>
      </c>
      <c r="N130" s="93">
        <v>3000</v>
      </c>
      <c r="O130" s="35" t="str">
        <f>IF(P130="","",VLOOKUP(P130,引用表合并!$A:$B,2,FALSE))</f>
        <v>猫妖项链碎片</v>
      </c>
      <c r="P130" s="76">
        <v>93253</v>
      </c>
      <c r="Q130" s="93">
        <v>1</v>
      </c>
      <c r="R130" s="93">
        <v>3000</v>
      </c>
      <c r="S130" s="8" t="str">
        <f>IF(T130="","",VLOOKUP(T130,引用表合并!$A:$B,2,FALSE))</f>
        <v/>
      </c>
      <c r="T130" s="17"/>
      <c r="U130" s="8"/>
      <c r="W130" s="8" t="str">
        <f>IF(X130="","",VLOOKUP(X130,引用表合并!$A:$B,2,FALSE))</f>
        <v/>
      </c>
      <c r="X130" s="17"/>
      <c r="Y130" s="8"/>
      <c r="AA130" s="8" t="str">
        <f>IF(AB130="","",VLOOKUP(AB130,引用表合并!$A:$B,2,FALSE))</f>
        <v/>
      </c>
      <c r="AB130" s="8"/>
      <c r="AC130" s="8"/>
      <c r="AE130" s="8" t="str">
        <f>IF(AF130="","",VLOOKUP(AF130,引用表合并!$A:$B,2,FALSE))</f>
        <v/>
      </c>
      <c r="AF130" s="8"/>
      <c r="AG130" s="8"/>
      <c r="AI130" s="8" t="str">
        <f>IF(AJ130="","",VLOOKUP(AJ130,引用表合并!$A:$B,2,FALSE))</f>
        <v/>
      </c>
      <c r="AJ130" s="8"/>
      <c r="AK130" s="8"/>
      <c r="AM130" s="8" t="str">
        <f>IF(AN130="","",VLOOKUP(AN130,引用表合并!$A:$B,2,FALSE))</f>
        <v/>
      </c>
      <c r="AN130" s="8"/>
      <c r="AO130" s="8"/>
      <c r="AQ130" s="8" t="str">
        <f>IF(AR130="","",VLOOKUP(AR130,引用表合并!$A:$B,2,FALSE))</f>
        <v/>
      </c>
      <c r="AR130" s="8"/>
      <c r="AS130" s="8"/>
      <c r="AU130" s="8" t="str">
        <f>IF(AV130="","",VLOOKUP(AV130,引用表合并!$A:$B,2,FALSE))</f>
        <v/>
      </c>
      <c r="AV130" s="8"/>
      <c r="AW130" s="8"/>
      <c r="AY130" s="8" t="str">
        <f>IF(AZ130="","",VLOOKUP(AZ130,引用表合并!$A:$B,2,FALSE))</f>
        <v/>
      </c>
      <c r="AZ130" s="8"/>
      <c r="BA130" s="8"/>
      <c r="BC130" s="8" t="str">
        <f>IF(BD130="","",VLOOKUP(BD130,引用表合并!$A:$B,2,FALSE))</f>
        <v/>
      </c>
      <c r="BD130" s="8"/>
      <c r="BF130" s="10"/>
      <c r="BG130" s="8" t="str">
        <f>IF(BH130="","",VLOOKUP(BH130,引用表合并!$A:$B,2,FALSE))</f>
        <v/>
      </c>
      <c r="BH130" s="8"/>
      <c r="BJ130" s="10"/>
      <c r="BK130" s="8" t="str">
        <f>IF(BL130="","",VLOOKUP(BL130,引用表合并!$A:$B,2,FALSE))</f>
        <v/>
      </c>
      <c r="BL130" s="8"/>
      <c r="BN130" s="10"/>
    </row>
    <row r="131" spans="1:66" x14ac:dyDescent="0.15">
      <c r="A131" s="10">
        <v>7202</v>
      </c>
      <c r="B131" s="8" t="str">
        <f>"地图:"&amp;VLOOKUP(A131,[1]地图配置辅助表!$A$3:$E$229,4,FALSE)</f>
        <v>地图:精英玄武堂</v>
      </c>
      <c r="C131" s="8">
        <v>0</v>
      </c>
      <c r="D131" s="8">
        <f t="shared" si="16"/>
        <v>3</v>
      </c>
      <c r="E131" s="16">
        <f t="shared" si="20"/>
        <v>3</v>
      </c>
      <c r="F131" s="16">
        <v>2</v>
      </c>
      <c r="G131" s="8" t="str">
        <f>IF(H131="","",VLOOKUP(H131,引用表合并!$A:$B,2,FALSE))</f>
        <v>毒蝎耳钉碎片</v>
      </c>
      <c r="H131" s="48">
        <v>93134</v>
      </c>
      <c r="I131" s="44">
        <v>1</v>
      </c>
      <c r="J131" s="44">
        <v>4000</v>
      </c>
      <c r="K131" s="8" t="str">
        <f>IF(L131="","",VLOOKUP(L131,引用表合并!$A:$B,2,FALSE))</f>
        <v>王者手环碎片</v>
      </c>
      <c r="L131" s="76">
        <v>93227</v>
      </c>
      <c r="M131" s="93">
        <v>1</v>
      </c>
      <c r="N131" s="93">
        <v>3000</v>
      </c>
      <c r="O131" s="35" t="str">
        <f>IF(P131="","",VLOOKUP(P131,引用表合并!$A:$B,2,FALSE))</f>
        <v>苍蓝项链碎片</v>
      </c>
      <c r="P131" s="76">
        <v>93254</v>
      </c>
      <c r="Q131" s="93">
        <v>1</v>
      </c>
      <c r="R131" s="93">
        <v>3000</v>
      </c>
      <c r="S131" s="8" t="str">
        <f>IF(T131="","",VLOOKUP(T131,引用表合并!$A:$B,2,FALSE))</f>
        <v/>
      </c>
      <c r="T131" s="17"/>
      <c r="U131" s="8"/>
      <c r="W131" s="8" t="str">
        <f>IF(X131="","",VLOOKUP(X131,引用表合并!$A:$B,2,FALSE))</f>
        <v/>
      </c>
      <c r="X131" s="17"/>
      <c r="Y131" s="8"/>
      <c r="AA131" s="8" t="str">
        <f>IF(AB131="","",VLOOKUP(AB131,引用表合并!$A:$B,2,FALSE))</f>
        <v/>
      </c>
      <c r="AB131" s="8"/>
      <c r="AC131" s="8"/>
      <c r="AE131" s="8" t="str">
        <f>IF(AF131="","",VLOOKUP(AF131,引用表合并!$A:$B,2,FALSE))</f>
        <v/>
      </c>
      <c r="AF131" s="8"/>
      <c r="AG131" s="8"/>
      <c r="AI131" s="8" t="str">
        <f>IF(AJ131="","",VLOOKUP(AJ131,引用表合并!$A:$B,2,FALSE))</f>
        <v/>
      </c>
      <c r="AJ131" s="8"/>
      <c r="AK131" s="8"/>
      <c r="AM131" s="8" t="str">
        <f>IF(AN131="","",VLOOKUP(AN131,引用表合并!$A:$B,2,FALSE))</f>
        <v/>
      </c>
      <c r="AN131" s="8"/>
      <c r="AO131" s="8"/>
      <c r="AQ131" s="8" t="str">
        <f>IF(AR131="","",VLOOKUP(AR131,引用表合并!$A:$B,2,FALSE))</f>
        <v/>
      </c>
      <c r="AR131" s="8"/>
      <c r="AS131" s="8"/>
      <c r="AU131" s="8" t="str">
        <f>IF(AV131="","",VLOOKUP(AV131,引用表合并!$A:$B,2,FALSE))</f>
        <v/>
      </c>
      <c r="AV131" s="8"/>
      <c r="AW131" s="8"/>
      <c r="AY131" s="8" t="str">
        <f>IF(AZ131="","",VLOOKUP(AZ131,引用表合并!$A:$B,2,FALSE))</f>
        <v/>
      </c>
      <c r="AZ131" s="8"/>
      <c r="BA131" s="8"/>
      <c r="BC131" s="8" t="str">
        <f>IF(BD131="","",VLOOKUP(BD131,引用表合并!$A:$B,2,FALSE))</f>
        <v/>
      </c>
      <c r="BD131" s="8"/>
      <c r="BF131" s="10"/>
      <c r="BG131" s="8" t="str">
        <f>IF(BH131="","",VLOOKUP(BH131,引用表合并!$A:$B,2,FALSE))</f>
        <v/>
      </c>
      <c r="BH131" s="8"/>
      <c r="BJ131" s="10"/>
      <c r="BK131" s="8" t="str">
        <f>IF(BL131="","",VLOOKUP(BL131,引用表合并!$A:$B,2,FALSE))</f>
        <v/>
      </c>
      <c r="BL131" s="8"/>
      <c r="BN131" s="10"/>
    </row>
    <row r="132" spans="1:66" x14ac:dyDescent="0.15">
      <c r="A132" s="10">
        <v>7203</v>
      </c>
      <c r="B132" s="8" t="str">
        <f>"地图:"&amp;VLOOKUP(A132,[1]地图配置辅助表!$A$3:$E$229,4,FALSE)</f>
        <v>地图:精英朱雀堂</v>
      </c>
      <c r="C132" s="8">
        <v>0</v>
      </c>
      <c r="D132" s="8">
        <f t="shared" si="16"/>
        <v>3</v>
      </c>
      <c r="E132" s="16">
        <f t="shared" ref="E132:E195" si="21">COUNTIF(G132:FJ132,"&gt;0")/3</f>
        <v>3</v>
      </c>
      <c r="F132" s="16">
        <v>2</v>
      </c>
      <c r="G132" s="8" t="str">
        <f>IF(H132="","",VLOOKUP(H132,引用表合并!$A:$B,2,FALSE))</f>
        <v>赤金戒指碎片</v>
      </c>
      <c r="H132" s="48">
        <v>93223</v>
      </c>
      <c r="I132" s="44">
        <v>1</v>
      </c>
      <c r="J132" s="44">
        <v>4000</v>
      </c>
      <c r="K132" s="8" t="str">
        <f>IF(L132="","",VLOOKUP(L132,引用表合并!$A:$B,2,FALSE))</f>
        <v>符文手环碎片</v>
      </c>
      <c r="L132" s="76">
        <v>93236</v>
      </c>
      <c r="M132" s="93">
        <v>1</v>
      </c>
      <c r="N132" s="93">
        <v>3000</v>
      </c>
      <c r="O132" s="35" t="str">
        <f>IF(P132="","",VLOOKUP(P132,引用表合并!$A:$B,2,FALSE))</f>
        <v>汉密手表碎片</v>
      </c>
      <c r="P132" s="76">
        <v>93274</v>
      </c>
      <c r="Q132" s="93">
        <v>1</v>
      </c>
      <c r="R132" s="93">
        <v>3000</v>
      </c>
      <c r="S132" s="8" t="str">
        <f>IF(T132="","",VLOOKUP(T132,引用表合并!$A:$B,2,FALSE))</f>
        <v/>
      </c>
      <c r="T132" s="17"/>
      <c r="U132" s="8"/>
      <c r="W132" s="8" t="str">
        <f>IF(X132="","",VLOOKUP(X132,引用表合并!$A:$B,2,FALSE))</f>
        <v/>
      </c>
      <c r="X132" s="17"/>
      <c r="Y132" s="8"/>
      <c r="AA132" s="8" t="str">
        <f>IF(AB132="","",VLOOKUP(AB132,引用表合并!$A:$B,2,FALSE))</f>
        <v/>
      </c>
      <c r="AB132" s="8"/>
      <c r="AC132" s="8"/>
      <c r="AE132" s="8" t="str">
        <f>IF(AF132="","",VLOOKUP(AF132,引用表合并!$A:$B,2,FALSE))</f>
        <v/>
      </c>
      <c r="AF132" s="8"/>
      <c r="AG132" s="8"/>
      <c r="AI132" s="8" t="str">
        <f>IF(AJ132="","",VLOOKUP(AJ132,引用表合并!$A:$B,2,FALSE))</f>
        <v/>
      </c>
      <c r="AJ132" s="8"/>
      <c r="AK132" s="8"/>
      <c r="AM132" s="8" t="str">
        <f>IF(AN132="","",VLOOKUP(AN132,引用表合并!$A:$B,2,FALSE))</f>
        <v/>
      </c>
      <c r="AN132" s="8"/>
      <c r="AO132" s="8"/>
      <c r="AQ132" s="8" t="str">
        <f>IF(AR132="","",VLOOKUP(AR132,引用表合并!$A:$B,2,FALSE))</f>
        <v/>
      </c>
      <c r="AR132" s="8"/>
      <c r="AS132" s="8"/>
      <c r="AU132" s="8" t="str">
        <f>IF(AV132="","",VLOOKUP(AV132,引用表合并!$A:$B,2,FALSE))</f>
        <v/>
      </c>
      <c r="AV132" s="8"/>
      <c r="AW132" s="8"/>
      <c r="AY132" s="8" t="str">
        <f>IF(AZ132="","",VLOOKUP(AZ132,引用表合并!$A:$B,2,FALSE))</f>
        <v/>
      </c>
      <c r="AZ132" s="8"/>
      <c r="BA132" s="8"/>
      <c r="BC132" s="8" t="str">
        <f>IF(BD132="","",VLOOKUP(BD132,引用表合并!$A:$B,2,FALSE))</f>
        <v/>
      </c>
      <c r="BD132" s="8"/>
      <c r="BF132" s="10"/>
      <c r="BG132" s="8" t="str">
        <f>IF(BH132="","",VLOOKUP(BH132,引用表合并!$A:$B,2,FALSE))</f>
        <v/>
      </c>
      <c r="BH132" s="8"/>
      <c r="BJ132" s="10"/>
      <c r="BK132" s="8" t="str">
        <f>IF(BL132="","",VLOOKUP(BL132,引用表合并!$A:$B,2,FALSE))</f>
        <v/>
      </c>
      <c r="BL132" s="8"/>
      <c r="BN132" s="10"/>
    </row>
    <row r="133" spans="1:66" x14ac:dyDescent="0.15">
      <c r="A133" s="10">
        <v>7204</v>
      </c>
      <c r="B133" s="8" t="str">
        <f>"地图:"&amp;VLOOKUP(A133,[1]地图配置辅助表!$A$3:$E$229,4,FALSE)</f>
        <v>地图:精英青龙堂</v>
      </c>
      <c r="C133" s="8">
        <v>0</v>
      </c>
      <c r="D133" s="8">
        <f t="shared" si="16"/>
        <v>3</v>
      </c>
      <c r="E133" s="16">
        <f t="shared" si="21"/>
        <v>3</v>
      </c>
      <c r="F133" s="16">
        <v>2</v>
      </c>
      <c r="G133" s="8" t="str">
        <f>IF(H133="","",VLOOKUP(H133,引用表合并!$A:$B,2,FALSE))</f>
        <v>王者手环碎片</v>
      </c>
      <c r="H133" s="48">
        <v>93227</v>
      </c>
      <c r="I133" s="44">
        <v>1</v>
      </c>
      <c r="J133" s="44">
        <v>4000</v>
      </c>
      <c r="K133" s="8" t="str">
        <f>IF(L133="","",VLOOKUP(L133,引用表合并!$A:$B,2,FALSE))</f>
        <v>月立碎片</v>
      </c>
      <c r="L133" s="76">
        <v>93013</v>
      </c>
      <c r="M133" s="93">
        <v>1</v>
      </c>
      <c r="N133" s="93">
        <v>3000</v>
      </c>
      <c r="O133" s="35" t="str">
        <f>IF(P133="","",VLOOKUP(P133,引用表合并!$A:$B,2,FALSE))</f>
        <v>法拉捷碎片</v>
      </c>
      <c r="P133" s="76">
        <v>93280</v>
      </c>
      <c r="Q133" s="93">
        <v>1</v>
      </c>
      <c r="R133" s="93">
        <v>3000</v>
      </c>
      <c r="S133" s="8" t="str">
        <f>IF(T133="","",VLOOKUP(T133,引用表合并!$A:$B,2,FALSE))</f>
        <v/>
      </c>
      <c r="T133" s="17"/>
      <c r="U133" s="8"/>
      <c r="W133" s="8" t="str">
        <f>IF(X133="","",VLOOKUP(X133,引用表合并!$A:$B,2,FALSE))</f>
        <v/>
      </c>
      <c r="X133" s="17"/>
      <c r="Y133" s="8"/>
      <c r="AA133" s="8"/>
      <c r="AB133" s="8"/>
      <c r="AC133" s="8"/>
      <c r="AE133" s="8" t="str">
        <f>IF(AF133="","",VLOOKUP(AF133,引用表合并!$A:$B,2,FALSE))</f>
        <v/>
      </c>
      <c r="AF133" s="8"/>
      <c r="AG133" s="8"/>
      <c r="AI133" s="8" t="str">
        <f>IF(AJ133="","",VLOOKUP(AJ133,引用表合并!$A:$B,2,FALSE))</f>
        <v/>
      </c>
      <c r="AJ133" s="8"/>
      <c r="AK133" s="8"/>
      <c r="AM133" s="8" t="str">
        <f>IF(AN133="","",VLOOKUP(AN133,引用表合并!$A:$B,2,FALSE))</f>
        <v/>
      </c>
      <c r="AN133" s="8"/>
      <c r="AO133" s="8"/>
      <c r="AQ133" s="8" t="str">
        <f>IF(AR133="","",VLOOKUP(AR133,引用表合并!$A:$B,2,FALSE))</f>
        <v/>
      </c>
      <c r="AR133" s="8"/>
      <c r="AS133" s="8"/>
      <c r="AU133" s="8" t="str">
        <f>IF(AV133="","",VLOOKUP(AV133,引用表合并!$A:$B,2,FALSE))</f>
        <v/>
      </c>
      <c r="AV133" s="8"/>
      <c r="AW133" s="8"/>
      <c r="AY133" s="8" t="str">
        <f>IF(AZ133="","",VLOOKUP(AZ133,引用表合并!$A:$B,2,FALSE))</f>
        <v/>
      </c>
      <c r="AZ133" s="8"/>
      <c r="BA133" s="8"/>
      <c r="BC133" s="8" t="str">
        <f>IF(BD133="","",VLOOKUP(BD133,引用表合并!$A:$B,2,FALSE))</f>
        <v/>
      </c>
      <c r="BD133" s="8"/>
      <c r="BF133" s="10"/>
      <c r="BG133" s="8" t="str">
        <f>IF(BH133="","",VLOOKUP(BH133,引用表合并!$A:$B,2,FALSE))</f>
        <v/>
      </c>
      <c r="BH133" s="8"/>
      <c r="BJ133" s="10"/>
      <c r="BK133" s="8" t="str">
        <f>IF(BL133="","",VLOOKUP(BL133,引用表合并!$A:$B,2,FALSE))</f>
        <v/>
      </c>
      <c r="BL133" s="8"/>
      <c r="BN133" s="10"/>
    </row>
    <row r="134" spans="1:66" x14ac:dyDescent="0.15">
      <c r="A134" s="10">
        <v>7205</v>
      </c>
      <c r="B134" s="8" t="str">
        <f>"地图:"&amp;VLOOKUP(A134,[1]地图配置辅助表!$A$3:$E$229,4,FALSE)</f>
        <v>地图:精英佐维</v>
      </c>
      <c r="C134" s="8">
        <v>0</v>
      </c>
      <c r="D134" s="8">
        <f t="shared" si="16"/>
        <v>3</v>
      </c>
      <c r="E134" s="16">
        <f t="shared" si="21"/>
        <v>3</v>
      </c>
      <c r="F134" s="16">
        <v>2</v>
      </c>
      <c r="G134" s="8" t="str">
        <f>IF(H134="","",VLOOKUP(H134,引用表合并!$A:$B,2,FALSE))</f>
        <v>符文手环碎片</v>
      </c>
      <c r="H134" s="48">
        <v>93236</v>
      </c>
      <c r="I134" s="44">
        <v>1</v>
      </c>
      <c r="J134" s="44">
        <v>4000</v>
      </c>
      <c r="K134" s="8" t="str">
        <f>IF(L134="","",VLOOKUP(L134,引用表合并!$A:$B,2,FALSE))</f>
        <v>法拉捷碎片</v>
      </c>
      <c r="L134" s="76">
        <v>93280</v>
      </c>
      <c r="M134" s="44">
        <v>1</v>
      </c>
      <c r="N134" s="44">
        <v>3000</v>
      </c>
      <c r="O134" s="8" t="str">
        <f>IF(P134="","",VLOOKUP(P134,引用表合并!$A:$B,2,FALSE))</f>
        <v>大堆钞票碎片</v>
      </c>
      <c r="P134" s="76">
        <v>93285</v>
      </c>
      <c r="Q134" s="93">
        <v>1</v>
      </c>
      <c r="R134" s="93">
        <v>3000</v>
      </c>
      <c r="S134" s="8" t="str">
        <f>IF(T134="","",VLOOKUP(T134,引用表合并!$A:$B,2,FALSE))</f>
        <v/>
      </c>
      <c r="T134" s="17"/>
      <c r="U134" s="8"/>
      <c r="W134" s="8" t="str">
        <f>IF(X134="","",VLOOKUP(X134,引用表合并!$A:$B,2,FALSE))</f>
        <v/>
      </c>
      <c r="X134" s="17"/>
      <c r="Y134" s="8"/>
      <c r="AA134" s="8" t="str">
        <f>IF(AB134="","",VLOOKUP(AB134,引用表合并!$A:$B,2,FALSE))</f>
        <v/>
      </c>
      <c r="AB134" s="8"/>
      <c r="AC134" s="8"/>
      <c r="AE134" s="8" t="str">
        <f>IF(AF134="","",VLOOKUP(AF134,引用表合并!$A:$B,2,FALSE))</f>
        <v/>
      </c>
      <c r="AF134" s="8"/>
      <c r="AG134" s="8"/>
      <c r="AI134" s="8" t="str">
        <f>IF(AJ134="","",VLOOKUP(AJ134,引用表合并!$A:$B,2,FALSE))</f>
        <v/>
      </c>
      <c r="AJ134" s="8"/>
      <c r="AK134" s="8"/>
      <c r="AM134" s="8" t="str">
        <f>IF(AN134="","",VLOOKUP(AN134,引用表合并!$A:$B,2,FALSE))</f>
        <v/>
      </c>
      <c r="AN134" s="8"/>
      <c r="AO134" s="8"/>
      <c r="AQ134" s="8" t="str">
        <f>IF(AR134="","",VLOOKUP(AR134,引用表合并!$A:$B,2,FALSE))</f>
        <v/>
      </c>
      <c r="AR134" s="8"/>
      <c r="AS134" s="8"/>
      <c r="AU134" s="8" t="str">
        <f>IF(AV134="","",VLOOKUP(AV134,引用表合并!$A:$B,2,FALSE))</f>
        <v/>
      </c>
      <c r="AV134" s="8"/>
      <c r="AW134" s="8"/>
      <c r="AY134" s="8" t="str">
        <f>IF(AZ134="","",VLOOKUP(AZ134,引用表合并!$A:$B,2,FALSE))</f>
        <v/>
      </c>
      <c r="AZ134" s="8"/>
      <c r="BA134" s="8"/>
      <c r="BC134" s="8" t="str">
        <f>IF(BD134="","",VLOOKUP(BD134,引用表合并!$A:$B,2,FALSE))</f>
        <v/>
      </c>
      <c r="BD134" s="8"/>
      <c r="BF134" s="10"/>
      <c r="BG134" s="8" t="str">
        <f>IF(BH134="","",VLOOKUP(BH134,引用表合并!$A:$B,2,FALSE))</f>
        <v/>
      </c>
      <c r="BH134" s="8"/>
      <c r="BJ134" s="10"/>
      <c r="BK134" s="8" t="str">
        <f>IF(BL134="","",VLOOKUP(BL134,引用表合并!$A:$B,2,FALSE))</f>
        <v/>
      </c>
      <c r="BL134" s="8"/>
      <c r="BN134" s="10"/>
    </row>
    <row r="135" spans="1:66" x14ac:dyDescent="0.15">
      <c r="A135" s="10">
        <v>7206</v>
      </c>
      <c r="B135" s="8" t="str">
        <f>"地图:"&amp;VLOOKUP(A135,[1]地图配置辅助表!$A$3:$E$229,4,FALSE)</f>
        <v>地图:精英傲虎</v>
      </c>
      <c r="C135" s="8">
        <v>0</v>
      </c>
      <c r="D135" s="8">
        <f t="shared" si="16"/>
        <v>3</v>
      </c>
      <c r="E135" s="16">
        <f t="shared" si="21"/>
        <v>3</v>
      </c>
      <c r="F135" s="16">
        <v>2</v>
      </c>
      <c r="G135" s="8" t="str">
        <f>IF(H135="","",VLOOKUP(H135,引用表合并!$A:$B,2,FALSE))</f>
        <v>月立碎片</v>
      </c>
      <c r="H135" s="48">
        <v>93013</v>
      </c>
      <c r="I135" s="44">
        <v>1</v>
      </c>
      <c r="J135" s="44">
        <v>4000</v>
      </c>
      <c r="K135" s="8" t="str">
        <f>IF(L135="","",VLOOKUP(L135,引用表合并!$A:$B,2,FALSE))</f>
        <v>大堆钞票碎片</v>
      </c>
      <c r="L135" s="76">
        <v>93285</v>
      </c>
      <c r="M135" s="44">
        <v>1</v>
      </c>
      <c r="N135" s="44">
        <v>3000</v>
      </c>
      <c r="O135" s="8" t="str">
        <f>IF(P135="","",VLOOKUP(P135,引用表合并!$A:$B,2,FALSE))</f>
        <v>小堆金块碎片</v>
      </c>
      <c r="P135" s="76">
        <v>93289</v>
      </c>
      <c r="Q135" s="93">
        <v>1</v>
      </c>
      <c r="R135" s="93">
        <v>3000</v>
      </c>
      <c r="S135" s="8" t="str">
        <f>IF(T135="","",VLOOKUP(T135,引用表合并!$A:$B,2,FALSE))</f>
        <v/>
      </c>
      <c r="T135" s="17"/>
      <c r="U135" s="8"/>
      <c r="W135" s="8" t="str">
        <f>IF(X135="","",VLOOKUP(X135,引用表合并!$A:$B,2,FALSE))</f>
        <v/>
      </c>
      <c r="X135" s="17"/>
      <c r="Y135" s="8"/>
      <c r="AA135" s="8" t="str">
        <f>IF(AB135="","",VLOOKUP(AB135,引用表合并!$A:$B,2,FALSE))</f>
        <v/>
      </c>
      <c r="AB135" s="8"/>
      <c r="AC135" s="8"/>
      <c r="AE135" s="8" t="str">
        <f>IF(AF135="","",VLOOKUP(AF135,引用表合并!$A:$B,2,FALSE))</f>
        <v/>
      </c>
      <c r="AF135" s="8"/>
      <c r="AG135" s="8"/>
      <c r="AI135" s="8" t="str">
        <f>IF(AJ135="","",VLOOKUP(AJ135,引用表合并!$A:$B,2,FALSE))</f>
        <v/>
      </c>
      <c r="AJ135" s="8"/>
      <c r="AK135" s="8"/>
      <c r="AM135" s="8" t="str">
        <f>IF(AN135="","",VLOOKUP(AN135,引用表合并!$A:$B,2,FALSE))</f>
        <v/>
      </c>
      <c r="AN135" s="8"/>
      <c r="AO135" s="8"/>
      <c r="AQ135" s="8" t="str">
        <f>IF(AR135="","",VLOOKUP(AR135,引用表合并!$A:$B,2,FALSE))</f>
        <v/>
      </c>
      <c r="AR135" s="8"/>
      <c r="AS135" s="8"/>
      <c r="AU135" s="8" t="str">
        <f>IF(AV135="","",VLOOKUP(AV135,引用表合并!$A:$B,2,FALSE))</f>
        <v/>
      </c>
      <c r="AV135" s="8"/>
      <c r="AW135" s="8"/>
      <c r="AY135" s="8" t="str">
        <f>IF(AZ135="","",VLOOKUP(AZ135,引用表合并!$A:$B,2,FALSE))</f>
        <v/>
      </c>
      <c r="AZ135" s="8"/>
      <c r="BA135" s="8"/>
      <c r="BC135" s="8" t="str">
        <f>IF(BD135="","",VLOOKUP(BD135,引用表合并!$A:$B,2,FALSE))</f>
        <v/>
      </c>
      <c r="BD135" s="8"/>
      <c r="BF135" s="10"/>
      <c r="BG135" s="8" t="str">
        <f>IF(BH135="","",VLOOKUP(BH135,引用表合并!$A:$B,2,FALSE))</f>
        <v/>
      </c>
      <c r="BH135" s="8"/>
      <c r="BJ135" s="10"/>
      <c r="BK135" s="8" t="str">
        <f>IF(BL135="","",VLOOKUP(BL135,引用表合并!$A:$B,2,FALSE))</f>
        <v/>
      </c>
      <c r="BL135" s="8"/>
      <c r="BN135" s="10"/>
    </row>
    <row r="136" spans="1:66" x14ac:dyDescent="0.15">
      <c r="A136" s="10">
        <v>7207</v>
      </c>
      <c r="B136" s="8" t="str">
        <f>"地图:"&amp;VLOOKUP(A136,[1]地图配置辅助表!$A$3:$E$229,4,FALSE)</f>
        <v>地图:精英狂龙</v>
      </c>
      <c r="C136" s="8">
        <v>0</v>
      </c>
      <c r="D136" s="8">
        <f t="shared" ref="D136:D138" si="22">E136</f>
        <v>3</v>
      </c>
      <c r="E136" s="16">
        <f t="shared" si="21"/>
        <v>3</v>
      </c>
      <c r="F136" s="16">
        <v>2</v>
      </c>
      <c r="G136" s="8" t="str">
        <f>IF(H136="","",VLOOKUP(H136,引用表合并!$A:$B,2,FALSE))</f>
        <v>猫妖项链碎片</v>
      </c>
      <c r="H136" s="48">
        <v>93253</v>
      </c>
      <c r="I136" s="44">
        <v>1</v>
      </c>
      <c r="J136" s="44">
        <v>4000</v>
      </c>
      <c r="K136" s="8" t="str">
        <f>IF(L136="","",VLOOKUP(L136,引用表合并!$A:$B,2,FALSE))</f>
        <v>小堆金块碎片</v>
      </c>
      <c r="L136" s="76">
        <v>93289</v>
      </c>
      <c r="M136" s="44">
        <v>1</v>
      </c>
      <c r="N136" s="44">
        <v>3000</v>
      </c>
      <c r="O136" s="8" t="str">
        <f>IF(P136="","",VLOOKUP(P136,引用表合并!$A:$B,2,FALSE))</f>
        <v>红石耳钉碎片</v>
      </c>
      <c r="P136" s="61">
        <v>93125</v>
      </c>
      <c r="Q136" s="44">
        <v>1</v>
      </c>
      <c r="R136" s="44">
        <v>3000</v>
      </c>
      <c r="S136" s="8" t="str">
        <f>IF(T136="","",VLOOKUP(T136,引用表合并!$A:$B,2,FALSE))</f>
        <v/>
      </c>
      <c r="T136" s="17"/>
      <c r="U136" s="8"/>
      <c r="W136" s="8" t="str">
        <f>IF(X136="","",VLOOKUP(X136,引用表合并!$A:$B,2,FALSE))</f>
        <v/>
      </c>
      <c r="X136" s="17"/>
      <c r="Y136" s="8"/>
      <c r="AA136" s="8"/>
      <c r="AB136" s="8"/>
      <c r="AC136" s="8"/>
      <c r="AE136" s="8" t="str">
        <f>IF(AF136="","",VLOOKUP(AF136,引用表合并!$A:$B,2,FALSE))</f>
        <v/>
      </c>
      <c r="AF136" s="8"/>
      <c r="AG136" s="8"/>
      <c r="AI136" s="8" t="str">
        <f>IF(AJ136="","",VLOOKUP(AJ136,引用表合并!$A:$B,2,FALSE))</f>
        <v/>
      </c>
      <c r="AJ136" s="8"/>
      <c r="AK136" s="8"/>
      <c r="AM136" s="8" t="str">
        <f>IF(AN136="","",VLOOKUP(AN136,引用表合并!$A:$B,2,FALSE))</f>
        <v/>
      </c>
      <c r="AN136" s="8"/>
      <c r="AO136" s="8"/>
      <c r="AQ136" s="8" t="str">
        <f>IF(AR136="","",VLOOKUP(AR136,引用表合并!$A:$B,2,FALSE))</f>
        <v/>
      </c>
      <c r="AR136" s="8"/>
      <c r="AS136" s="8"/>
      <c r="AU136" s="8" t="str">
        <f>IF(AV136="","",VLOOKUP(AV136,引用表合并!$A:$B,2,FALSE))</f>
        <v/>
      </c>
      <c r="AV136" s="8"/>
      <c r="AW136" s="8"/>
      <c r="AY136" s="8" t="str">
        <f>IF(AZ136="","",VLOOKUP(AZ136,引用表合并!$A:$B,2,FALSE))</f>
        <v/>
      </c>
      <c r="AZ136" s="8"/>
      <c r="BA136" s="8"/>
      <c r="BC136" s="8" t="str">
        <f>IF(BD136="","",VLOOKUP(BD136,引用表合并!$A:$B,2,FALSE))</f>
        <v/>
      </c>
      <c r="BD136" s="8"/>
      <c r="BF136" s="10"/>
      <c r="BG136" s="8" t="str">
        <f>IF(BH136="","",VLOOKUP(BH136,引用表合并!$A:$B,2,FALSE))</f>
        <v/>
      </c>
      <c r="BH136" s="8"/>
      <c r="BJ136" s="10"/>
      <c r="BK136" s="8" t="str">
        <f>IF(BL136="","",VLOOKUP(BL136,引用表合并!$A:$B,2,FALSE))</f>
        <v/>
      </c>
      <c r="BL136" s="8"/>
      <c r="BN136" s="10"/>
    </row>
    <row r="137" spans="1:66" x14ac:dyDescent="0.15">
      <c r="A137" s="10">
        <v>7208</v>
      </c>
      <c r="B137" s="8" t="str">
        <f>"地图:"&amp;VLOOKUP(A137,[1]地图配置辅助表!$A$3:$E$229,4,FALSE)</f>
        <v>地图:精英山崎</v>
      </c>
      <c r="C137" s="8">
        <v>0</v>
      </c>
      <c r="D137" s="8">
        <f t="shared" si="22"/>
        <v>3</v>
      </c>
      <c r="E137" s="16">
        <f t="shared" si="21"/>
        <v>3</v>
      </c>
      <c r="F137" s="16">
        <v>2</v>
      </c>
      <c r="G137" s="8" t="str">
        <f>IF(H137="","",VLOOKUP(H137,引用表合并!$A:$B,2,FALSE))</f>
        <v>苍蓝项链碎片</v>
      </c>
      <c r="H137" s="48">
        <v>93254</v>
      </c>
      <c r="I137" s="44">
        <v>1</v>
      </c>
      <c r="J137" s="44">
        <v>4000</v>
      </c>
      <c r="K137" s="8" t="str">
        <f>IF(L137="","",VLOOKUP(L137,引用表合并!$A:$B,2,FALSE))</f>
        <v>红石耳钉碎片</v>
      </c>
      <c r="L137" s="56">
        <v>93125</v>
      </c>
      <c r="M137" s="44">
        <v>1</v>
      </c>
      <c r="N137" s="44">
        <v>3000</v>
      </c>
      <c r="O137" s="8" t="str">
        <f>IF(P137="","",VLOOKUP(P137,引用表合并!$A:$B,2,FALSE))</f>
        <v>毒蝎耳钉碎片</v>
      </c>
      <c r="P137" s="61">
        <v>93134</v>
      </c>
      <c r="Q137" s="44">
        <v>1</v>
      </c>
      <c r="R137" s="44">
        <v>3000</v>
      </c>
      <c r="S137" s="8" t="str">
        <f>IF(T137="","",VLOOKUP(T137,引用表合并!$A:$B,2,FALSE))</f>
        <v/>
      </c>
      <c r="T137" s="17"/>
      <c r="U137" s="8"/>
      <c r="W137" s="8" t="str">
        <f>IF(X137="","",VLOOKUP(X137,引用表合并!$A:$B,2,FALSE))</f>
        <v/>
      </c>
      <c r="X137" s="17"/>
      <c r="Y137" s="8"/>
      <c r="AA137" s="8" t="str">
        <f>IF(AB137="","",VLOOKUP(AB137,引用表合并!$A:$B,2,FALSE))</f>
        <v/>
      </c>
      <c r="AB137" s="8"/>
      <c r="AC137" s="8"/>
      <c r="AE137" s="8" t="str">
        <f>IF(AF137="","",VLOOKUP(AF137,引用表合并!$A:$B,2,FALSE))</f>
        <v/>
      </c>
      <c r="AF137" s="8"/>
      <c r="AG137" s="8"/>
      <c r="AI137" s="8" t="str">
        <f>IF(AJ137="","",VLOOKUP(AJ137,引用表合并!$A:$B,2,FALSE))</f>
        <v/>
      </c>
      <c r="AJ137" s="8"/>
      <c r="AK137" s="8"/>
      <c r="AM137" s="8" t="str">
        <f>IF(AN137="","",VLOOKUP(AN137,引用表合并!$A:$B,2,FALSE))</f>
        <v/>
      </c>
      <c r="AN137" s="8"/>
      <c r="AO137" s="8"/>
      <c r="AQ137" s="8" t="str">
        <f>IF(AR137="","",VLOOKUP(AR137,引用表合并!$A:$B,2,FALSE))</f>
        <v/>
      </c>
      <c r="AR137" s="8"/>
      <c r="AS137" s="8"/>
      <c r="AU137" s="8" t="str">
        <f>IF(AV137="","",VLOOKUP(AV137,引用表合并!$A:$B,2,FALSE))</f>
        <v/>
      </c>
      <c r="AV137" s="8"/>
      <c r="AW137" s="8"/>
      <c r="AY137" s="8" t="str">
        <f>IF(AZ137="","",VLOOKUP(AZ137,引用表合并!$A:$B,2,FALSE))</f>
        <v/>
      </c>
      <c r="AZ137" s="8"/>
      <c r="BA137" s="8"/>
      <c r="BC137" s="8" t="str">
        <f>IF(BD137="","",VLOOKUP(BD137,引用表合并!$A:$B,2,FALSE))</f>
        <v/>
      </c>
      <c r="BD137" s="8"/>
      <c r="BF137" s="10"/>
      <c r="BG137" s="8" t="str">
        <f>IF(BH137="","",VLOOKUP(BH137,引用表合并!$A:$B,2,FALSE))</f>
        <v/>
      </c>
      <c r="BH137" s="8"/>
      <c r="BJ137" s="10"/>
      <c r="BK137" s="8" t="str">
        <f>IF(BL137="","",VLOOKUP(BL137,引用表合并!$A:$B,2,FALSE))</f>
        <v/>
      </c>
      <c r="BL137" s="8"/>
      <c r="BN137" s="10"/>
    </row>
    <row r="138" spans="1:66" x14ac:dyDescent="0.15">
      <c r="A138" s="10">
        <v>7209</v>
      </c>
      <c r="B138" s="8" t="str">
        <f>"地图:"&amp;VLOOKUP(A138,[1]地图配置辅助表!$A$3:$E$229,4,FALSE)</f>
        <v>地图:精英杀手首领</v>
      </c>
      <c r="C138" s="8">
        <v>0</v>
      </c>
      <c r="D138" s="8">
        <f t="shared" si="22"/>
        <v>3</v>
      </c>
      <c r="E138" s="16">
        <f t="shared" si="21"/>
        <v>3</v>
      </c>
      <c r="F138" s="16">
        <v>2</v>
      </c>
      <c r="G138" s="8" t="str">
        <f>IF(H138="","",VLOOKUP(H138,引用表合并!$A:$B,2,FALSE))</f>
        <v>汉密手表碎片</v>
      </c>
      <c r="H138" s="48">
        <v>93274</v>
      </c>
      <c r="I138" s="44">
        <v>1</v>
      </c>
      <c r="J138" s="44">
        <v>4000</v>
      </c>
      <c r="K138" s="8" t="str">
        <f>IF(L138="","",VLOOKUP(L138,引用表合并!$A:$B,2,FALSE))</f>
        <v>毒蝎耳钉碎片</v>
      </c>
      <c r="L138" s="55">
        <v>93134</v>
      </c>
      <c r="M138" s="44">
        <v>1</v>
      </c>
      <c r="N138" s="44">
        <v>3000</v>
      </c>
      <c r="O138" s="8" t="str">
        <f>IF(P138="","",VLOOKUP(P138,引用表合并!$A:$B,2,FALSE))</f>
        <v>赤金戒指碎片</v>
      </c>
      <c r="P138" s="61">
        <v>93223</v>
      </c>
      <c r="Q138" s="44">
        <v>1</v>
      </c>
      <c r="R138" s="44">
        <v>3000</v>
      </c>
      <c r="S138" s="8" t="str">
        <f>IF(T138="","",VLOOKUP(T138,引用表合并!$A:$B,2,FALSE))</f>
        <v/>
      </c>
      <c r="T138" s="17"/>
      <c r="U138" s="8"/>
      <c r="W138" s="8" t="str">
        <f>IF(X138="","",VLOOKUP(X138,引用表合并!$A:$B,2,FALSE))</f>
        <v/>
      </c>
      <c r="X138" s="17"/>
      <c r="Y138" s="8"/>
      <c r="AA138" s="8" t="str">
        <f>IF(AB138="","",VLOOKUP(AB138,引用表合并!$A:$B,2,FALSE))</f>
        <v/>
      </c>
      <c r="AB138" s="8"/>
      <c r="AC138" s="8"/>
      <c r="AE138" s="8" t="str">
        <f>IF(AF138="","",VLOOKUP(AF138,引用表合并!$A:$B,2,FALSE))</f>
        <v/>
      </c>
      <c r="AF138" s="8"/>
      <c r="AG138" s="8"/>
      <c r="AI138" s="8" t="str">
        <f>IF(AJ138="","",VLOOKUP(AJ138,引用表合并!$A:$B,2,FALSE))</f>
        <v/>
      </c>
      <c r="AJ138" s="8"/>
      <c r="AK138" s="8"/>
      <c r="AM138" s="8" t="str">
        <f>IF(AN138="","",VLOOKUP(AN138,引用表合并!$A:$B,2,FALSE))</f>
        <v/>
      </c>
      <c r="AN138" s="8"/>
      <c r="AO138" s="8"/>
      <c r="AQ138" s="8" t="str">
        <f>IF(AR138="","",VLOOKUP(AR138,引用表合并!$A:$B,2,FALSE))</f>
        <v/>
      </c>
      <c r="AR138" s="8"/>
      <c r="AS138" s="8"/>
      <c r="AU138" s="8" t="str">
        <f>IF(AV138="","",VLOOKUP(AV138,引用表合并!$A:$B,2,FALSE))</f>
        <v/>
      </c>
      <c r="AV138" s="8"/>
      <c r="AW138" s="8"/>
      <c r="AY138" s="8" t="str">
        <f>IF(AZ138="","",VLOOKUP(AZ138,引用表合并!$A:$B,2,FALSE))</f>
        <v/>
      </c>
      <c r="AZ138" s="8"/>
      <c r="BA138" s="8"/>
      <c r="BC138" s="8" t="str">
        <f>IF(BD138="","",VLOOKUP(BD138,引用表合并!$A:$B,2,FALSE))</f>
        <v/>
      </c>
      <c r="BD138" s="8"/>
      <c r="BF138" s="10"/>
      <c r="BG138" s="8" t="str">
        <f>IF(BH138="","",VLOOKUP(BH138,引用表合并!$A:$B,2,FALSE))</f>
        <v/>
      </c>
      <c r="BH138" s="8"/>
      <c r="BJ138" s="10"/>
      <c r="BK138" s="8" t="str">
        <f>IF(BL138="","",VLOOKUP(BL138,引用表合并!$A:$B,2,FALSE))</f>
        <v/>
      </c>
      <c r="BL138" s="8"/>
      <c r="BN138" s="10"/>
    </row>
    <row r="139" spans="1:66" x14ac:dyDescent="0.15">
      <c r="A139" s="10">
        <v>8201</v>
      </c>
      <c r="B139" s="8" t="str">
        <f>"地图:"&amp;VLOOKUP(A139,[1]地图配置辅助表!$A$3:$E$229,4,FALSE)</f>
        <v>地图:精英复仇靓坤</v>
      </c>
      <c r="C139" s="8">
        <v>0</v>
      </c>
      <c r="D139" s="8">
        <f t="shared" si="16"/>
        <v>3</v>
      </c>
      <c r="E139" s="16">
        <f t="shared" si="21"/>
        <v>3</v>
      </c>
      <c r="F139" s="16">
        <v>2</v>
      </c>
      <c r="G139" s="8" t="str">
        <f>IF(H139="","",VLOOKUP(H139,引用表合并!$A:$B,2,FALSE))</f>
        <v>红石耳钉碎片</v>
      </c>
      <c r="H139" s="58">
        <v>93125</v>
      </c>
      <c r="I139" s="43">
        <v>1</v>
      </c>
      <c r="J139" s="43">
        <v>4000</v>
      </c>
      <c r="K139" s="8" t="str">
        <f>IF(L139="","",VLOOKUP(L139,引用表合并!$A:$B,2,FALSE))</f>
        <v>赤金戒指碎片</v>
      </c>
      <c r="L139" s="56">
        <v>93223</v>
      </c>
      <c r="M139" s="44">
        <v>1</v>
      </c>
      <c r="N139" s="44">
        <v>3000</v>
      </c>
      <c r="O139" s="8" t="str">
        <f>IF(P139="","",VLOOKUP(P139,引用表合并!$A:$B,2,FALSE))</f>
        <v>王者手环碎片</v>
      </c>
      <c r="P139" s="61">
        <v>93227</v>
      </c>
      <c r="Q139" s="44">
        <v>1</v>
      </c>
      <c r="R139" s="44">
        <v>3000</v>
      </c>
      <c r="S139" s="8" t="str">
        <f>IF(T139="","",VLOOKUP(T139,引用表合并!$A:$B,2,FALSE))</f>
        <v/>
      </c>
      <c r="T139" s="17"/>
      <c r="U139" s="8"/>
      <c r="W139" s="8" t="str">
        <f>IF(X139="","",VLOOKUP(X139,引用表合并!$A:$B,2,FALSE))</f>
        <v/>
      </c>
      <c r="X139" s="17"/>
      <c r="Y139" s="8"/>
      <c r="AA139" s="8" t="str">
        <f>IF(AB139="","",VLOOKUP(AB139,引用表合并!$A:$B,2,FALSE))</f>
        <v/>
      </c>
      <c r="AB139" s="8"/>
      <c r="AC139" s="8"/>
      <c r="AE139" s="8" t="str">
        <f>IF(AF139="","",VLOOKUP(AF139,引用表合并!$A:$B,2,FALSE))</f>
        <v/>
      </c>
      <c r="AF139" s="8"/>
      <c r="AG139" s="8"/>
      <c r="AI139" s="8" t="str">
        <f>IF(AJ139="","",VLOOKUP(AJ139,引用表合并!$A:$B,2,FALSE))</f>
        <v/>
      </c>
      <c r="AJ139" s="8"/>
      <c r="AK139" s="8"/>
      <c r="AM139" s="8" t="str">
        <f>IF(AN139="","",VLOOKUP(AN139,引用表合并!$A:$B,2,FALSE))</f>
        <v/>
      </c>
      <c r="AN139" s="8"/>
      <c r="AO139" s="8"/>
      <c r="AQ139" s="8" t="str">
        <f>IF(AR139="","",VLOOKUP(AR139,引用表合并!$A:$B,2,FALSE))</f>
        <v/>
      </c>
      <c r="AR139" s="8"/>
      <c r="AS139" s="8"/>
      <c r="AU139" s="8" t="str">
        <f>IF(AV139="","",VLOOKUP(AV139,引用表合并!$A:$B,2,FALSE))</f>
        <v/>
      </c>
      <c r="AV139" s="8"/>
      <c r="AW139" s="8"/>
      <c r="AY139" s="8" t="str">
        <f>IF(AZ139="","",VLOOKUP(AZ139,引用表合并!$A:$B,2,FALSE))</f>
        <v/>
      </c>
      <c r="AZ139" s="8"/>
      <c r="BA139" s="8"/>
      <c r="BC139" s="8" t="str">
        <f>IF(BD139="","",VLOOKUP(BD139,引用表合并!$A:$B,2,FALSE))</f>
        <v/>
      </c>
      <c r="BD139" s="8"/>
      <c r="BF139" s="10"/>
      <c r="BG139" s="8" t="str">
        <f>IF(BH139="","",VLOOKUP(BH139,引用表合并!$A:$B,2,FALSE))</f>
        <v/>
      </c>
      <c r="BH139" s="8"/>
      <c r="BJ139" s="10"/>
      <c r="BK139" s="8" t="str">
        <f>IF(BL139="","",VLOOKUP(BL139,引用表合并!$A:$B,2,FALSE))</f>
        <v/>
      </c>
      <c r="BL139" s="8"/>
      <c r="BN139" s="10"/>
    </row>
    <row r="140" spans="1:66" x14ac:dyDescent="0.15">
      <c r="A140" s="10">
        <v>8202</v>
      </c>
      <c r="B140" s="8" t="str">
        <f>"地图:"&amp;VLOOKUP(A140,[1]地图配置辅助表!$A$3:$E$229,4,FALSE)</f>
        <v>地图:精英复仇乌鸦</v>
      </c>
      <c r="C140" s="8">
        <v>0</v>
      </c>
      <c r="D140" s="8">
        <f t="shared" si="16"/>
        <v>3</v>
      </c>
      <c r="E140" s="16">
        <f t="shared" si="21"/>
        <v>3</v>
      </c>
      <c r="F140" s="16">
        <v>2</v>
      </c>
      <c r="G140" s="8" t="str">
        <f>IF(H140="","",VLOOKUP(H140,引用表合并!$A:$B,2,FALSE))</f>
        <v>毒蝎耳钉碎片</v>
      </c>
      <c r="H140" s="58">
        <v>93134</v>
      </c>
      <c r="I140" s="43">
        <v>1</v>
      </c>
      <c r="J140" s="43">
        <v>4000</v>
      </c>
      <c r="K140" s="8" t="str">
        <f>IF(L140="","",VLOOKUP(L140,引用表合并!$A:$B,2,FALSE))</f>
        <v>王者手环碎片</v>
      </c>
      <c r="L140" s="56">
        <v>93227</v>
      </c>
      <c r="M140" s="44">
        <v>1</v>
      </c>
      <c r="N140" s="44">
        <v>3000</v>
      </c>
      <c r="O140" s="8" t="str">
        <f>IF(P140="","",VLOOKUP(P140,引用表合并!$A:$B,2,FALSE))</f>
        <v>符文手环碎片</v>
      </c>
      <c r="P140" s="61">
        <v>93236</v>
      </c>
      <c r="Q140" s="44">
        <v>1</v>
      </c>
      <c r="R140" s="44">
        <v>3000</v>
      </c>
      <c r="S140" s="8" t="str">
        <f>IF(T140="","",VLOOKUP(T140,引用表合并!$A:$B,2,FALSE))</f>
        <v/>
      </c>
      <c r="T140" s="17"/>
      <c r="U140" s="8"/>
      <c r="W140" s="8" t="str">
        <f>IF(X140="","",VLOOKUP(X140,引用表合并!$A:$B,2,FALSE))</f>
        <v/>
      </c>
      <c r="X140" s="17"/>
      <c r="Y140" s="8"/>
      <c r="AA140" s="8" t="str">
        <f>IF(AB140="","",VLOOKUP(AB140,引用表合并!$A:$B,2,FALSE))</f>
        <v/>
      </c>
      <c r="AB140" s="8"/>
      <c r="AC140" s="8"/>
      <c r="AE140" s="8" t="str">
        <f>IF(AF140="","",VLOOKUP(AF140,引用表合并!$A:$B,2,FALSE))</f>
        <v/>
      </c>
      <c r="AF140" s="8"/>
      <c r="AG140" s="8"/>
      <c r="AI140" s="8" t="str">
        <f>IF(AJ140="","",VLOOKUP(AJ140,引用表合并!$A:$B,2,FALSE))</f>
        <v/>
      </c>
      <c r="AJ140" s="8"/>
      <c r="AK140" s="8"/>
      <c r="AM140" s="8" t="str">
        <f>IF(AN140="","",VLOOKUP(AN140,引用表合并!$A:$B,2,FALSE))</f>
        <v/>
      </c>
      <c r="AN140" s="8"/>
      <c r="AO140" s="8"/>
      <c r="AQ140" s="8" t="str">
        <f>IF(AR140="","",VLOOKUP(AR140,引用表合并!$A:$B,2,FALSE))</f>
        <v/>
      </c>
      <c r="AR140" s="8"/>
      <c r="AS140" s="8"/>
      <c r="AU140" s="8" t="str">
        <f>IF(AV140="","",VLOOKUP(AV140,引用表合并!$A:$B,2,FALSE))</f>
        <v/>
      </c>
      <c r="AV140" s="8"/>
      <c r="AW140" s="8"/>
      <c r="AY140" s="8" t="str">
        <f>IF(AZ140="","",VLOOKUP(AZ140,引用表合并!$A:$B,2,FALSE))</f>
        <v/>
      </c>
      <c r="AZ140" s="8"/>
      <c r="BA140" s="8"/>
      <c r="BC140" s="8" t="str">
        <f>IF(BD140="","",VLOOKUP(BD140,引用表合并!$A:$B,2,FALSE))</f>
        <v/>
      </c>
      <c r="BD140" s="8"/>
      <c r="BF140" s="10"/>
      <c r="BG140" s="8" t="str">
        <f>IF(BH140="","",VLOOKUP(BH140,引用表合并!$A:$B,2,FALSE))</f>
        <v/>
      </c>
      <c r="BH140" s="8"/>
      <c r="BJ140" s="10"/>
      <c r="BK140" s="8" t="str">
        <f>IF(BL140="","",VLOOKUP(BL140,引用表合并!$A:$B,2,FALSE))</f>
        <v/>
      </c>
      <c r="BL140" s="8"/>
      <c r="BN140" s="10"/>
    </row>
    <row r="141" spans="1:66" x14ac:dyDescent="0.15">
      <c r="A141" s="10">
        <v>8203</v>
      </c>
      <c r="B141" s="8" t="str">
        <f>"地图:"&amp;VLOOKUP(A141,[1]地图配置辅助表!$A$3:$E$229,4,FALSE)</f>
        <v>地图:精英复仇司徒</v>
      </c>
      <c r="C141" s="8">
        <v>0</v>
      </c>
      <c r="D141" s="8">
        <f t="shared" si="16"/>
        <v>3</v>
      </c>
      <c r="E141" s="16">
        <f t="shared" si="21"/>
        <v>3</v>
      </c>
      <c r="F141" s="16">
        <v>2</v>
      </c>
      <c r="G141" s="8" t="str">
        <f>IF(H141="","",VLOOKUP(H141,引用表合并!$A:$B,2,FALSE))</f>
        <v>赤金戒指碎片</v>
      </c>
      <c r="H141" s="58">
        <v>93223</v>
      </c>
      <c r="I141" s="43">
        <v>1</v>
      </c>
      <c r="J141" s="43">
        <v>4000</v>
      </c>
      <c r="K141" s="8" t="str">
        <f>IF(L141="","",VLOOKUP(L141,引用表合并!$A:$B,2,FALSE))</f>
        <v>符文手环碎片</v>
      </c>
      <c r="L141" s="56">
        <v>93236</v>
      </c>
      <c r="M141" s="43">
        <v>1</v>
      </c>
      <c r="N141" s="43">
        <v>3000</v>
      </c>
      <c r="O141" s="8" t="str">
        <f>IF(P141="","",VLOOKUP(P141,引用表合并!$A:$B,2,FALSE))</f>
        <v>月立碎片</v>
      </c>
      <c r="P141" s="61">
        <v>93013</v>
      </c>
      <c r="Q141" s="44">
        <v>1</v>
      </c>
      <c r="R141" s="44">
        <v>3000</v>
      </c>
      <c r="S141" s="8" t="str">
        <f>IF(T141="","",VLOOKUP(T141,引用表合并!$A:$B,2,FALSE))</f>
        <v/>
      </c>
      <c r="T141" s="17"/>
      <c r="U141" s="8"/>
      <c r="W141" s="8" t="str">
        <f>IF(X141="","",VLOOKUP(X141,引用表合并!$A:$B,2,FALSE))</f>
        <v/>
      </c>
      <c r="X141" s="17"/>
      <c r="Y141" s="8"/>
      <c r="AA141" s="8" t="str">
        <f>IF(AB141="","",VLOOKUP(AB141,引用表合并!$A:$B,2,FALSE))</f>
        <v/>
      </c>
      <c r="AB141" s="8"/>
      <c r="AC141" s="8"/>
      <c r="AE141" s="8" t="str">
        <f>IF(AF141="","",VLOOKUP(AF141,引用表合并!$A:$B,2,FALSE))</f>
        <v/>
      </c>
      <c r="AF141" s="8"/>
      <c r="AG141" s="8"/>
      <c r="AI141" s="8" t="str">
        <f>IF(AJ141="","",VLOOKUP(AJ141,引用表合并!$A:$B,2,FALSE))</f>
        <v/>
      </c>
      <c r="AJ141" s="8"/>
      <c r="AK141" s="8"/>
      <c r="AM141" s="8" t="str">
        <f>IF(AN141="","",VLOOKUP(AN141,引用表合并!$A:$B,2,FALSE))</f>
        <v/>
      </c>
      <c r="AN141" s="8"/>
      <c r="AO141" s="8"/>
      <c r="AQ141" s="8" t="str">
        <f>IF(AR141="","",VLOOKUP(AR141,引用表合并!$A:$B,2,FALSE))</f>
        <v/>
      </c>
      <c r="AR141" s="8"/>
      <c r="AS141" s="8"/>
      <c r="AU141" s="8" t="str">
        <f>IF(AV141="","",VLOOKUP(AV141,引用表合并!$A:$B,2,FALSE))</f>
        <v/>
      </c>
      <c r="AV141" s="8"/>
      <c r="AW141" s="8"/>
      <c r="AY141" s="8" t="str">
        <f>IF(AZ141="","",VLOOKUP(AZ141,引用表合并!$A:$B,2,FALSE))</f>
        <v/>
      </c>
      <c r="AZ141" s="8"/>
      <c r="BA141" s="8"/>
      <c r="BC141" s="8" t="str">
        <f>IF(BD141="","",VLOOKUP(BD141,引用表合并!$A:$B,2,FALSE))</f>
        <v/>
      </c>
      <c r="BD141" s="8"/>
      <c r="BF141" s="10"/>
      <c r="BG141" s="8" t="str">
        <f>IF(BH141="","",VLOOKUP(BH141,引用表合并!$A:$B,2,FALSE))</f>
        <v/>
      </c>
      <c r="BH141" s="8"/>
      <c r="BJ141" s="10"/>
      <c r="BK141" s="8" t="str">
        <f>IF(BL141="","",VLOOKUP(BL141,引用表合并!$A:$B,2,FALSE))</f>
        <v/>
      </c>
      <c r="BL141" s="8"/>
      <c r="BN141" s="10"/>
    </row>
    <row r="142" spans="1:66" x14ac:dyDescent="0.15">
      <c r="A142" s="10">
        <v>8204</v>
      </c>
      <c r="B142" s="8" t="str">
        <f>"地图:"&amp;VLOOKUP(A142,[1]地图配置辅助表!$A$3:$E$229,4,FALSE)</f>
        <v>地图:精英生番</v>
      </c>
      <c r="C142" s="8">
        <v>0</v>
      </c>
      <c r="D142" s="8">
        <f t="shared" ref="D142:D144" si="23">E142</f>
        <v>3</v>
      </c>
      <c r="E142" s="16">
        <f t="shared" si="21"/>
        <v>3</v>
      </c>
      <c r="F142" s="16">
        <v>2</v>
      </c>
      <c r="G142" s="8" t="str">
        <f>IF(H142="","",VLOOKUP(H142,引用表合并!$A:$B,2,FALSE))</f>
        <v>王者手环碎片</v>
      </c>
      <c r="H142" s="60">
        <v>93227</v>
      </c>
      <c r="I142" s="43">
        <v>1</v>
      </c>
      <c r="J142" s="43">
        <v>4000</v>
      </c>
      <c r="K142" s="8" t="str">
        <f>IF(L142="","",VLOOKUP(L142,引用表合并!$A:$B,2,FALSE))</f>
        <v>月立碎片</v>
      </c>
      <c r="L142" s="56">
        <v>93013</v>
      </c>
      <c r="M142" s="43">
        <v>1</v>
      </c>
      <c r="N142" s="43">
        <v>3000</v>
      </c>
      <c r="O142" s="8" t="str">
        <f>IF(P142="","",VLOOKUP(P142,引用表合并!$A:$B,2,FALSE))</f>
        <v>猫妖项链碎片</v>
      </c>
      <c r="P142" s="62">
        <v>93253</v>
      </c>
      <c r="Q142" s="43">
        <v>1</v>
      </c>
      <c r="R142" s="43">
        <v>3000</v>
      </c>
      <c r="S142" s="8" t="str">
        <f>IF(T142="","",VLOOKUP(T142,引用表合并!$A:$B,2,FALSE))</f>
        <v/>
      </c>
      <c r="T142" s="17"/>
      <c r="U142" s="8"/>
      <c r="W142" s="8" t="str">
        <f>IF(X142="","",VLOOKUP(X142,引用表合并!$A:$B,2,FALSE))</f>
        <v/>
      </c>
      <c r="X142" s="17"/>
      <c r="Y142" s="8"/>
      <c r="AA142" s="8"/>
      <c r="AB142" s="8"/>
      <c r="AC142" s="8"/>
      <c r="AE142" s="8" t="str">
        <f>IF(AF142="","",VLOOKUP(AF142,引用表合并!$A:$B,2,FALSE))</f>
        <v/>
      </c>
      <c r="AF142" s="8"/>
      <c r="AG142" s="8"/>
      <c r="AI142" s="8" t="str">
        <f>IF(AJ142="","",VLOOKUP(AJ142,引用表合并!$A:$B,2,FALSE))</f>
        <v/>
      </c>
      <c r="AJ142" s="8"/>
      <c r="AK142" s="8"/>
      <c r="AM142" s="8" t="str">
        <f>IF(AN142="","",VLOOKUP(AN142,引用表合并!$A:$B,2,FALSE))</f>
        <v/>
      </c>
      <c r="AN142" s="8"/>
      <c r="AO142" s="8"/>
      <c r="AQ142" s="8" t="str">
        <f>IF(AR142="","",VLOOKUP(AR142,引用表合并!$A:$B,2,FALSE))</f>
        <v/>
      </c>
      <c r="AR142" s="8"/>
      <c r="AS142" s="8"/>
      <c r="AU142" s="8" t="str">
        <f>IF(AV142="","",VLOOKUP(AV142,引用表合并!$A:$B,2,FALSE))</f>
        <v/>
      </c>
      <c r="AV142" s="8"/>
      <c r="AW142" s="8"/>
      <c r="AY142" s="8" t="str">
        <f>IF(AZ142="","",VLOOKUP(AZ142,引用表合并!$A:$B,2,FALSE))</f>
        <v/>
      </c>
      <c r="AZ142" s="8"/>
      <c r="BA142" s="8"/>
      <c r="BC142" s="8" t="str">
        <f>IF(BD142="","",VLOOKUP(BD142,引用表合并!$A:$B,2,FALSE))</f>
        <v/>
      </c>
      <c r="BD142" s="8"/>
      <c r="BF142" s="10"/>
      <c r="BG142" s="8" t="str">
        <f>IF(BH142="","",VLOOKUP(BH142,引用表合并!$A:$B,2,FALSE))</f>
        <v/>
      </c>
      <c r="BH142" s="8"/>
      <c r="BJ142" s="10"/>
      <c r="BK142" s="8" t="str">
        <f>IF(BL142="","",VLOOKUP(BL142,引用表合并!$A:$B,2,FALSE))</f>
        <v/>
      </c>
      <c r="BL142" s="8"/>
      <c r="BN142" s="10"/>
    </row>
    <row r="143" spans="1:66" x14ac:dyDescent="0.15">
      <c r="A143" s="10">
        <v>8205</v>
      </c>
      <c r="B143" s="8" t="str">
        <f>"地图:"&amp;VLOOKUP(A143,[1]地图配置辅助表!$A$3:$E$229,4,FALSE)</f>
        <v>地图:精英耀阳</v>
      </c>
      <c r="C143" s="8">
        <v>0</v>
      </c>
      <c r="D143" s="8">
        <f t="shared" si="23"/>
        <v>3</v>
      </c>
      <c r="E143" s="16">
        <f t="shared" si="21"/>
        <v>3</v>
      </c>
      <c r="F143" s="16">
        <v>2</v>
      </c>
      <c r="G143" s="8" t="str">
        <f>IF(H143="","",VLOOKUP(H143,引用表合并!$A:$B,2,FALSE))</f>
        <v>符文手环碎片</v>
      </c>
      <c r="H143" s="59">
        <v>93236</v>
      </c>
      <c r="I143" s="43">
        <v>1</v>
      </c>
      <c r="J143" s="43">
        <v>4000</v>
      </c>
      <c r="K143" s="8" t="str">
        <f>IF(L143="","",VLOOKUP(L143,引用表合并!$A:$B,2,FALSE))</f>
        <v>猫妖项链碎片</v>
      </c>
      <c r="L143" s="56">
        <v>93253</v>
      </c>
      <c r="M143" s="43">
        <v>1</v>
      </c>
      <c r="N143" s="43">
        <v>3000</v>
      </c>
      <c r="O143" s="8" t="str">
        <f>IF(P143="","",VLOOKUP(P143,引用表合并!$A:$B,2,FALSE))</f>
        <v>苍蓝项链碎片</v>
      </c>
      <c r="P143" s="62">
        <v>93254</v>
      </c>
      <c r="Q143" s="43">
        <v>1</v>
      </c>
      <c r="R143" s="43">
        <v>3000</v>
      </c>
      <c r="S143" s="8" t="str">
        <f>IF(T143="","",VLOOKUP(T143,引用表合并!$A:$B,2,FALSE))</f>
        <v/>
      </c>
      <c r="T143" s="17"/>
      <c r="U143" s="8"/>
      <c r="W143" s="8" t="str">
        <f>IF(X143="","",VLOOKUP(X143,引用表合并!$A:$B,2,FALSE))</f>
        <v/>
      </c>
      <c r="X143" s="17"/>
      <c r="Y143" s="8"/>
      <c r="AA143" s="8"/>
      <c r="AB143" s="8"/>
      <c r="AC143" s="8"/>
      <c r="AE143" s="8" t="str">
        <f>IF(AF143="","",VLOOKUP(AF143,引用表合并!$A:$B,2,FALSE))</f>
        <v/>
      </c>
      <c r="AF143" s="8"/>
      <c r="AG143" s="8"/>
      <c r="AI143" s="8" t="str">
        <f>IF(AJ143="","",VLOOKUP(AJ143,引用表合并!$A:$B,2,FALSE))</f>
        <v/>
      </c>
      <c r="AJ143" s="8"/>
      <c r="AK143" s="8"/>
      <c r="AM143" s="8" t="str">
        <f>IF(AN143="","",VLOOKUP(AN143,引用表合并!$A:$B,2,FALSE))</f>
        <v/>
      </c>
      <c r="AN143" s="8"/>
      <c r="AO143" s="8"/>
      <c r="AQ143" s="8" t="str">
        <f>IF(AR143="","",VLOOKUP(AR143,引用表合并!$A:$B,2,FALSE))</f>
        <v/>
      </c>
      <c r="AR143" s="8"/>
      <c r="AS143" s="8"/>
      <c r="AU143" s="8" t="str">
        <f>IF(AV143="","",VLOOKUP(AV143,引用表合并!$A:$B,2,FALSE))</f>
        <v/>
      </c>
      <c r="AV143" s="8"/>
      <c r="AW143" s="8"/>
      <c r="AY143" s="8" t="str">
        <f>IF(AZ143="","",VLOOKUP(AZ143,引用表合并!$A:$B,2,FALSE))</f>
        <v/>
      </c>
      <c r="AZ143" s="8"/>
      <c r="BA143" s="8"/>
      <c r="BC143" s="8" t="str">
        <f>IF(BD143="","",VLOOKUP(BD143,引用表合并!$A:$B,2,FALSE))</f>
        <v/>
      </c>
      <c r="BD143" s="8"/>
      <c r="BF143" s="10"/>
      <c r="BG143" s="8" t="str">
        <f>IF(BH143="","",VLOOKUP(BH143,引用表合并!$A:$B,2,FALSE))</f>
        <v/>
      </c>
      <c r="BH143" s="8"/>
      <c r="BJ143" s="10"/>
      <c r="BK143" s="8" t="str">
        <f>IF(BL143="","",VLOOKUP(BL143,引用表合并!$A:$B,2,FALSE))</f>
        <v/>
      </c>
      <c r="BL143" s="8"/>
      <c r="BN143" s="10"/>
    </row>
    <row r="144" spans="1:66" x14ac:dyDescent="0.15">
      <c r="A144" s="10">
        <v>8206</v>
      </c>
      <c r="B144" s="8" t="str">
        <f>"地图:"&amp;VLOOKUP(A144,[1]地图配置辅助表!$A$3:$E$229,4,FALSE)</f>
        <v>地图:精英赌王</v>
      </c>
      <c r="C144" s="8">
        <v>0</v>
      </c>
      <c r="D144" s="8">
        <f t="shared" si="23"/>
        <v>3</v>
      </c>
      <c r="E144" s="16">
        <f t="shared" si="21"/>
        <v>3</v>
      </c>
      <c r="F144" s="16">
        <v>2</v>
      </c>
      <c r="G144" s="8" t="str">
        <f>IF(H144="","",VLOOKUP(H144,引用表合并!$A:$B,2,FALSE))</f>
        <v>月立碎片</v>
      </c>
      <c r="H144" s="60">
        <v>93013</v>
      </c>
      <c r="I144" s="43">
        <v>1</v>
      </c>
      <c r="J144" s="43">
        <v>4000</v>
      </c>
      <c r="K144" s="8" t="str">
        <f>IF(L144="","",VLOOKUP(L144,引用表合并!$A:$B,2,FALSE))</f>
        <v>法拉捷碎片</v>
      </c>
      <c r="L144" s="58">
        <v>93280</v>
      </c>
      <c r="M144" s="43">
        <v>1</v>
      </c>
      <c r="N144" s="43">
        <v>3000</v>
      </c>
      <c r="O144" s="8" t="str">
        <f>IF(P144="","",VLOOKUP(P144,引用表合并!$A:$B,2,FALSE))</f>
        <v>汉密手表碎片</v>
      </c>
      <c r="P144" s="62">
        <v>93274</v>
      </c>
      <c r="Q144" s="43">
        <v>1</v>
      </c>
      <c r="R144" s="43">
        <v>3000</v>
      </c>
      <c r="S144" s="8" t="str">
        <f>IF(T144="","",VLOOKUP(T144,引用表合并!$A:$B,2,FALSE))</f>
        <v/>
      </c>
      <c r="T144" s="17"/>
      <c r="U144" s="8"/>
      <c r="W144" s="8" t="str">
        <f>IF(X144="","",VLOOKUP(X144,引用表合并!$A:$B,2,FALSE))</f>
        <v/>
      </c>
      <c r="X144" s="17"/>
      <c r="Y144" s="8"/>
      <c r="AA144" s="8" t="str">
        <f>IF(AB144="","",VLOOKUP(AB144,引用表合并!$A:$B,2,FALSE))</f>
        <v/>
      </c>
      <c r="AB144" s="8"/>
      <c r="AC144" s="8"/>
      <c r="AE144" s="8" t="str">
        <f>IF(AF144="","",VLOOKUP(AF144,引用表合并!$A:$B,2,FALSE))</f>
        <v/>
      </c>
      <c r="AF144" s="8"/>
      <c r="AG144" s="8"/>
      <c r="AI144" s="8" t="str">
        <f>IF(AJ144="","",VLOOKUP(AJ144,引用表合并!$A:$B,2,FALSE))</f>
        <v/>
      </c>
      <c r="AJ144" s="8"/>
      <c r="AK144" s="8"/>
      <c r="AM144" s="8" t="str">
        <f>IF(AN144="","",VLOOKUP(AN144,引用表合并!$A:$B,2,FALSE))</f>
        <v/>
      </c>
      <c r="AN144" s="8"/>
      <c r="AO144" s="8"/>
      <c r="AQ144" s="8" t="str">
        <f>IF(AR144="","",VLOOKUP(AR144,引用表合并!$A:$B,2,FALSE))</f>
        <v/>
      </c>
      <c r="AR144" s="8"/>
      <c r="AS144" s="8"/>
      <c r="AU144" s="8" t="str">
        <f>IF(AV144="","",VLOOKUP(AV144,引用表合并!$A:$B,2,FALSE))</f>
        <v/>
      </c>
      <c r="AV144" s="8"/>
      <c r="AW144" s="8"/>
      <c r="AY144" s="8" t="str">
        <f>IF(AZ144="","",VLOOKUP(AZ144,引用表合并!$A:$B,2,FALSE))</f>
        <v/>
      </c>
      <c r="AZ144" s="8"/>
      <c r="BA144" s="8"/>
      <c r="BC144" s="8" t="str">
        <f>IF(BD144="","",VLOOKUP(BD144,引用表合并!$A:$B,2,FALSE))</f>
        <v/>
      </c>
      <c r="BD144" s="8"/>
      <c r="BF144" s="10"/>
      <c r="BG144" s="8" t="str">
        <f>IF(BH144="","",VLOOKUP(BH144,引用表合并!$A:$B,2,FALSE))</f>
        <v/>
      </c>
      <c r="BH144" s="8"/>
      <c r="BJ144" s="10"/>
      <c r="BK144" s="8" t="str">
        <f>IF(BL144="","",VLOOKUP(BL144,引用表合并!$A:$B,2,FALSE))</f>
        <v/>
      </c>
      <c r="BL144" s="8"/>
      <c r="BN144" s="10"/>
    </row>
    <row r="145" spans="1:66" x14ac:dyDescent="0.15">
      <c r="A145" s="10">
        <v>8207</v>
      </c>
      <c r="B145" s="8" t="str">
        <f>"地图:"&amp;VLOOKUP(A145,[1]地图配置辅助表!$A$3:$E$229,4,FALSE)</f>
        <v>地图:精英地中海</v>
      </c>
      <c r="C145" s="8">
        <v>0</v>
      </c>
      <c r="D145" s="8">
        <f t="shared" si="16"/>
        <v>3</v>
      </c>
      <c r="E145" s="16">
        <f t="shared" si="21"/>
        <v>3</v>
      </c>
      <c r="F145" s="16">
        <v>2</v>
      </c>
      <c r="G145" s="8" t="str">
        <f>IF(H145="","",VLOOKUP(H145,引用表合并!$A:$B,2,FALSE))</f>
        <v>猫妖项链碎片</v>
      </c>
      <c r="H145" s="60">
        <v>93253</v>
      </c>
      <c r="I145" s="43">
        <v>1</v>
      </c>
      <c r="J145" s="43">
        <v>4000</v>
      </c>
      <c r="K145" s="8" t="str">
        <f>IF(L145="","",VLOOKUP(L145,引用表合并!$A:$B,2,FALSE))</f>
        <v>大堆钞票碎片</v>
      </c>
      <c r="L145" s="58">
        <v>93285</v>
      </c>
      <c r="M145" s="43">
        <v>1</v>
      </c>
      <c r="N145" s="43">
        <v>3000</v>
      </c>
      <c r="O145" s="8" t="str">
        <f>IF(P145="","",VLOOKUP(P145,引用表合并!$A:$B,2,FALSE))</f>
        <v>法拉捷碎片</v>
      </c>
      <c r="P145" s="62">
        <v>93280</v>
      </c>
      <c r="Q145" s="43">
        <v>1</v>
      </c>
      <c r="R145" s="43">
        <v>3000</v>
      </c>
      <c r="S145" s="8" t="str">
        <f>IF(T145="","",VLOOKUP(T145,引用表合并!$A:$B,2,FALSE))</f>
        <v/>
      </c>
      <c r="T145" s="17"/>
      <c r="U145" s="8"/>
      <c r="W145" s="8" t="str">
        <f>IF(X145="","",VLOOKUP(X145,引用表合并!$A:$B,2,FALSE))</f>
        <v/>
      </c>
      <c r="X145" s="17"/>
      <c r="Y145" s="8"/>
      <c r="AA145" s="8"/>
      <c r="AB145" s="8"/>
      <c r="AC145" s="8"/>
      <c r="AE145" s="8" t="str">
        <f>IF(AF145="","",VLOOKUP(AF145,引用表合并!$A:$B,2,FALSE))</f>
        <v/>
      </c>
      <c r="AF145" s="8"/>
      <c r="AG145" s="8"/>
      <c r="AI145" s="8" t="str">
        <f>IF(AJ145="","",VLOOKUP(AJ145,引用表合并!$A:$B,2,FALSE))</f>
        <v/>
      </c>
      <c r="AJ145" s="8"/>
      <c r="AK145" s="8"/>
      <c r="AM145" s="8" t="str">
        <f>IF(AN145="","",VLOOKUP(AN145,引用表合并!$A:$B,2,FALSE))</f>
        <v/>
      </c>
      <c r="AN145" s="8"/>
      <c r="AO145" s="8"/>
      <c r="AQ145" s="8" t="str">
        <f>IF(AR145="","",VLOOKUP(AR145,引用表合并!$A:$B,2,FALSE))</f>
        <v/>
      </c>
      <c r="AR145" s="8"/>
      <c r="AS145" s="8"/>
      <c r="AU145" s="8" t="str">
        <f>IF(AV145="","",VLOOKUP(AV145,引用表合并!$A:$B,2,FALSE))</f>
        <v/>
      </c>
      <c r="AV145" s="8"/>
      <c r="AW145" s="8"/>
      <c r="AY145" s="8" t="str">
        <f>IF(AZ145="","",VLOOKUP(AZ145,引用表合并!$A:$B,2,FALSE))</f>
        <v/>
      </c>
      <c r="AZ145" s="8"/>
      <c r="BA145" s="8"/>
      <c r="BC145" s="8" t="str">
        <f>IF(BD145="","",VLOOKUP(BD145,引用表合并!$A:$B,2,FALSE))</f>
        <v/>
      </c>
      <c r="BD145" s="8"/>
      <c r="BF145" s="10"/>
      <c r="BG145" s="8" t="str">
        <f>IF(BH145="","",VLOOKUP(BH145,引用表合并!$A:$B,2,FALSE))</f>
        <v/>
      </c>
      <c r="BH145" s="8"/>
      <c r="BJ145" s="10"/>
      <c r="BK145" s="8" t="str">
        <f>IF(BL145="","",VLOOKUP(BL145,引用表合并!$A:$B,2,FALSE))</f>
        <v/>
      </c>
      <c r="BL145" s="8"/>
      <c r="BN145" s="10"/>
    </row>
    <row r="146" spans="1:66" x14ac:dyDescent="0.15">
      <c r="A146" s="10">
        <v>8208</v>
      </c>
      <c r="B146" s="8" t="str">
        <f>"地图:"&amp;VLOOKUP(A146,[1]地图配置辅助表!$A$3:$E$229,4,FALSE)</f>
        <v>地图:精英山鸡</v>
      </c>
      <c r="C146" s="8">
        <v>0</v>
      </c>
      <c r="D146" s="8">
        <f t="shared" si="16"/>
        <v>3</v>
      </c>
      <c r="E146" s="16">
        <f t="shared" si="21"/>
        <v>3</v>
      </c>
      <c r="F146" s="16">
        <v>2</v>
      </c>
      <c r="G146" s="8" t="str">
        <f>IF(H146="","",VLOOKUP(H146,引用表合并!$A:$B,2,FALSE))</f>
        <v>苍蓝项链碎片</v>
      </c>
      <c r="H146" s="58">
        <v>93254</v>
      </c>
      <c r="I146" s="43">
        <v>1</v>
      </c>
      <c r="J146" s="43">
        <v>4000</v>
      </c>
      <c r="K146" s="8" t="str">
        <f>IF(L146="","",VLOOKUP(L146,引用表合并!$A:$B,2,FALSE))</f>
        <v>小堆金块碎片</v>
      </c>
      <c r="L146" s="58">
        <v>93289</v>
      </c>
      <c r="M146" s="43">
        <v>1</v>
      </c>
      <c r="N146" s="43">
        <v>3000</v>
      </c>
      <c r="O146" s="8" t="str">
        <f>IF(P146="","",VLOOKUP(P146,引用表合并!$A:$B,2,FALSE))</f>
        <v>大堆钞票碎片</v>
      </c>
      <c r="P146" s="62">
        <v>93285</v>
      </c>
      <c r="Q146" s="43">
        <v>1</v>
      </c>
      <c r="R146" s="43">
        <v>3000</v>
      </c>
      <c r="S146" s="8" t="str">
        <f>IF(T146="","",VLOOKUP(T146,引用表合并!$A:$B,2,FALSE))</f>
        <v/>
      </c>
      <c r="T146" s="17"/>
      <c r="U146" s="8"/>
      <c r="W146" s="8" t="str">
        <f>IF(X146="","",VLOOKUP(X146,引用表合并!$A:$B,2,FALSE))</f>
        <v/>
      </c>
      <c r="X146" s="17"/>
      <c r="Y146" s="8"/>
      <c r="AA146" s="8"/>
      <c r="AB146" s="8"/>
      <c r="AC146" s="8"/>
      <c r="AE146" s="8" t="str">
        <f>IF(AF146="","",VLOOKUP(AF146,引用表合并!$A:$B,2,FALSE))</f>
        <v/>
      </c>
      <c r="AF146" s="8"/>
      <c r="AG146" s="8"/>
      <c r="AI146" s="8" t="str">
        <f>IF(AJ146="","",VLOOKUP(AJ146,引用表合并!$A:$B,2,FALSE))</f>
        <v/>
      </c>
      <c r="AJ146" s="8"/>
      <c r="AK146" s="8"/>
      <c r="AM146" s="8" t="str">
        <f>IF(AN146="","",VLOOKUP(AN146,引用表合并!$A:$B,2,FALSE))</f>
        <v/>
      </c>
      <c r="AN146" s="8"/>
      <c r="AO146" s="8"/>
      <c r="AQ146" s="8" t="str">
        <f>IF(AR146="","",VLOOKUP(AR146,引用表合并!$A:$B,2,FALSE))</f>
        <v/>
      </c>
      <c r="AR146" s="8"/>
      <c r="AS146" s="8"/>
      <c r="AU146" s="8" t="str">
        <f>IF(AV146="","",VLOOKUP(AV146,引用表合并!$A:$B,2,FALSE))</f>
        <v/>
      </c>
      <c r="AV146" s="8"/>
      <c r="AW146" s="8"/>
      <c r="AY146" s="8" t="str">
        <f>IF(AZ146="","",VLOOKUP(AZ146,引用表合并!$A:$B,2,FALSE))</f>
        <v/>
      </c>
      <c r="AZ146" s="8"/>
      <c r="BA146" s="8"/>
      <c r="BC146" s="8" t="str">
        <f>IF(BD146="","",VLOOKUP(BD146,引用表合并!$A:$B,2,FALSE))</f>
        <v/>
      </c>
      <c r="BD146" s="8"/>
      <c r="BF146" s="10"/>
      <c r="BG146" s="8" t="str">
        <f>IF(BH146="","",VLOOKUP(BH146,引用表合并!$A:$B,2,FALSE))</f>
        <v/>
      </c>
      <c r="BH146" s="8"/>
      <c r="BJ146" s="10"/>
      <c r="BK146" s="8" t="str">
        <f>IF(BL146="","",VLOOKUP(BL146,引用表合并!$A:$B,2,FALSE))</f>
        <v/>
      </c>
      <c r="BL146" s="8"/>
      <c r="BN146" s="10"/>
    </row>
    <row r="147" spans="1:66" x14ac:dyDescent="0.15">
      <c r="A147" s="10">
        <v>8209</v>
      </c>
      <c r="B147" s="8" t="str">
        <f>"地图:"&amp;VLOOKUP(A147,[1]地图配置辅助表!$A$3:$E$229,4,FALSE)</f>
        <v>地图:精英雷复轰</v>
      </c>
      <c r="C147" s="8">
        <v>0</v>
      </c>
      <c r="D147" s="8">
        <f t="shared" si="16"/>
        <v>3</v>
      </c>
      <c r="E147" s="16">
        <f t="shared" si="21"/>
        <v>3</v>
      </c>
      <c r="F147" s="16">
        <v>2</v>
      </c>
      <c r="G147" s="8" t="str">
        <f>IF(H147="","",VLOOKUP(H147,引用表合并!$A:$B,2,FALSE))</f>
        <v>汉密手表碎片</v>
      </c>
      <c r="H147" s="59">
        <v>93274</v>
      </c>
      <c r="I147" s="43">
        <v>1</v>
      </c>
      <c r="J147" s="43">
        <v>4000</v>
      </c>
      <c r="K147" s="8" t="str">
        <f>IF(L147="","",VLOOKUP(L147,引用表合并!$A:$B,2,FALSE))</f>
        <v>苍蓝项链碎片</v>
      </c>
      <c r="L147" s="63">
        <v>93254</v>
      </c>
      <c r="M147" s="43">
        <v>1</v>
      </c>
      <c r="N147" s="43">
        <v>3000</v>
      </c>
      <c r="O147" s="8" t="str">
        <f>IF(P147="","",VLOOKUP(P147,引用表合并!$A:$B,2,FALSE))</f>
        <v>小堆金块碎片</v>
      </c>
      <c r="P147" s="62">
        <v>93289</v>
      </c>
      <c r="Q147" s="43">
        <v>1</v>
      </c>
      <c r="R147" s="43">
        <v>3000</v>
      </c>
      <c r="S147" s="8" t="str">
        <f>IF(T147="","",VLOOKUP(T147,引用表合并!$A:$B,2,FALSE))</f>
        <v/>
      </c>
      <c r="T147" s="17"/>
      <c r="U147" s="8"/>
      <c r="W147" s="8" t="str">
        <f>IF(X147="","",VLOOKUP(X147,引用表合并!$A:$B,2,FALSE))</f>
        <v/>
      </c>
      <c r="X147" s="17"/>
      <c r="Y147" s="8"/>
      <c r="AA147" s="8" t="str">
        <f>IF(AB147="","",VLOOKUP(AB147,引用表合并!$A:$B,2,FALSE))</f>
        <v/>
      </c>
      <c r="AB147" s="8"/>
      <c r="AC147" s="8"/>
      <c r="AE147" s="8" t="str">
        <f>IF(AF147="","",VLOOKUP(AF147,引用表合并!$A:$B,2,FALSE))</f>
        <v/>
      </c>
      <c r="AF147" s="8"/>
      <c r="AG147" s="8"/>
      <c r="AI147" s="8" t="str">
        <f>IF(AJ147="","",VLOOKUP(AJ147,引用表合并!$A:$B,2,FALSE))</f>
        <v/>
      </c>
      <c r="AJ147" s="8"/>
      <c r="AK147" s="8"/>
      <c r="AM147" s="8" t="str">
        <f>IF(AN147="","",VLOOKUP(AN147,引用表合并!$A:$B,2,FALSE))</f>
        <v/>
      </c>
      <c r="AN147" s="8"/>
      <c r="AO147" s="8"/>
      <c r="AQ147" s="8" t="str">
        <f>IF(AR147="","",VLOOKUP(AR147,引用表合并!$A:$B,2,FALSE))</f>
        <v/>
      </c>
      <c r="AR147" s="8"/>
      <c r="AS147" s="8"/>
      <c r="AU147" s="8" t="str">
        <f>IF(AV147="","",VLOOKUP(AV147,引用表合并!$A:$B,2,FALSE))</f>
        <v/>
      </c>
      <c r="AV147" s="8"/>
      <c r="AW147" s="8"/>
      <c r="AY147" s="8" t="str">
        <f>IF(AZ147="","",VLOOKUP(AZ147,引用表合并!$A:$B,2,FALSE))</f>
        <v/>
      </c>
      <c r="AZ147" s="8"/>
      <c r="BA147" s="8"/>
      <c r="BC147" s="8" t="str">
        <f>IF(BD147="","",VLOOKUP(BD147,引用表合并!$A:$B,2,FALSE))</f>
        <v/>
      </c>
      <c r="BD147" s="8"/>
      <c r="BF147" s="10"/>
      <c r="BG147" s="8" t="str">
        <f>IF(BH147="","",VLOOKUP(BH147,引用表合并!$A:$B,2,FALSE))</f>
        <v/>
      </c>
      <c r="BH147" s="8"/>
      <c r="BJ147" s="10"/>
      <c r="BK147" s="8" t="str">
        <f>IF(BL147="","",VLOOKUP(BL147,引用表合并!$A:$B,2,FALSE))</f>
        <v/>
      </c>
      <c r="BL147" s="8"/>
      <c r="BN147" s="10"/>
    </row>
    <row r="148" spans="1:66" x14ac:dyDescent="0.15">
      <c r="A148" s="8">
        <v>1501</v>
      </c>
      <c r="B148" s="8" t="str">
        <f>"地图:"&amp;VLOOKUP(A148,[1]地图配置辅助表!$A$3:$E$229,4,FALSE)</f>
        <v>地图:挑战Boss-制服太妹</v>
      </c>
      <c r="C148" s="8">
        <v>0</v>
      </c>
      <c r="D148" s="8">
        <f t="shared" ref="D148:D165" si="24">E148</f>
        <v>0</v>
      </c>
      <c r="E148" s="16">
        <f t="shared" si="21"/>
        <v>0</v>
      </c>
      <c r="F148" s="16">
        <f t="shared" ref="F148:F194" si="25">E148</f>
        <v>0</v>
      </c>
      <c r="G148" s="8" t="str">
        <f>IF(H148="","",VLOOKUP(H148,引用表合并!$A:$B,2,FALSE))</f>
        <v/>
      </c>
      <c r="K148" s="8" t="str">
        <f>IF(L148="","",VLOOKUP(L148,引用表合并!$A:$B,2,FALSE))</f>
        <v/>
      </c>
      <c r="L148" s="8"/>
      <c r="M148" s="8"/>
      <c r="O148" s="8" t="str">
        <f>IF(P148="","",VLOOKUP(P148,引用表合并!$A:$B,2,FALSE))</f>
        <v/>
      </c>
      <c r="P148" s="8"/>
      <c r="Q148" s="8"/>
      <c r="S148" s="8" t="str">
        <f>IF(T148="","",VLOOKUP(T148,引用表合并!$A:$B,2,FALSE))</f>
        <v/>
      </c>
      <c r="T148" s="8"/>
      <c r="U148" s="8"/>
      <c r="W148" s="8" t="str">
        <f>IF(X148="","",VLOOKUP(X148,引用表合并!$A:$B,2,FALSE))</f>
        <v/>
      </c>
      <c r="X148" s="8"/>
      <c r="Y148" s="8"/>
      <c r="AA148" s="8" t="str">
        <f>IF(AB148="","",VLOOKUP(AB148,引用表合并!$A:$B,2,FALSE))</f>
        <v/>
      </c>
      <c r="AB148" s="8"/>
      <c r="AC148" s="8"/>
      <c r="AE148" s="8" t="str">
        <f>IF(AF148="","",VLOOKUP(AF148,引用表合并!$A:$B,2,FALSE))</f>
        <v/>
      </c>
      <c r="AF148" s="8"/>
      <c r="AG148" s="8"/>
      <c r="AI148" s="8" t="str">
        <f>IF(AJ148="","",VLOOKUP(AJ148,引用表合并!$A:$B,2,FALSE))</f>
        <v/>
      </c>
      <c r="AJ148" s="8"/>
      <c r="AK148" s="8"/>
      <c r="AM148" s="8" t="str">
        <f>IF(AN148="","",VLOOKUP(AN148,引用表合并!$A:$B,2,FALSE))</f>
        <v/>
      </c>
      <c r="AN148" s="8"/>
      <c r="AO148" s="8"/>
      <c r="AQ148" s="8" t="str">
        <f>IF(AR148="","",VLOOKUP(AR148,引用表合并!$A:$B,2,FALSE))</f>
        <v/>
      </c>
      <c r="AR148" s="8"/>
      <c r="AS148" s="8"/>
      <c r="AU148" s="8" t="str">
        <f>IF(AV148="","",VLOOKUP(AV148,引用表合并!$A:$B,2,FALSE))</f>
        <v/>
      </c>
      <c r="AV148" s="8"/>
      <c r="AW148" s="8"/>
      <c r="AY148" s="8" t="str">
        <f>IF(AZ148="","",VLOOKUP(AZ148,引用表合并!$A:$B,2,FALSE))</f>
        <v/>
      </c>
      <c r="AZ148" s="8"/>
      <c r="BA148" s="8"/>
      <c r="BC148" s="8" t="str">
        <f>IF(BD148="","",VLOOKUP(BD148,引用表合并!$A:$B,2,FALSE))</f>
        <v/>
      </c>
      <c r="BD148" s="8"/>
      <c r="BF148" s="10"/>
      <c r="BG148" s="8" t="str">
        <f>IF(BH148="","",VLOOKUP(BH148,引用表合并!$A:$B,2,FALSE))</f>
        <v/>
      </c>
      <c r="BH148" s="8"/>
      <c r="BJ148" s="10"/>
      <c r="BK148" s="8" t="str">
        <f>IF(BL148="","",VLOOKUP(BL148,引用表合并!$A:$B,2,FALSE))</f>
        <v/>
      </c>
      <c r="BL148" s="8"/>
      <c r="BN148" s="10"/>
    </row>
    <row r="149" spans="1:66" x14ac:dyDescent="0.15">
      <c r="A149" s="8">
        <v>1502</v>
      </c>
      <c r="B149" s="8" t="str">
        <f>"地图:"&amp;VLOOKUP(A149,[1]地图配置辅助表!$A$3:$E$229,4,FALSE)</f>
        <v>地图:挑战Boss-比利</v>
      </c>
      <c r="C149" s="8">
        <v>0</v>
      </c>
      <c r="D149" s="8">
        <f t="shared" si="24"/>
        <v>0</v>
      </c>
      <c r="E149" s="16">
        <f t="shared" si="21"/>
        <v>0</v>
      </c>
      <c r="F149" s="16">
        <f t="shared" si="25"/>
        <v>0</v>
      </c>
      <c r="G149" s="8" t="str">
        <f>IF(H149="","",VLOOKUP(H149,引用表合并!$A:$B,2,FALSE))</f>
        <v/>
      </c>
      <c r="K149" s="8" t="str">
        <f>IF(L149="","",VLOOKUP(L149,引用表合并!$A:$B,2,FALSE))</f>
        <v/>
      </c>
      <c r="L149" s="8"/>
      <c r="M149" s="8"/>
      <c r="O149" s="8" t="str">
        <f>IF(P149="","",VLOOKUP(P149,引用表合并!$A:$B,2,FALSE))</f>
        <v/>
      </c>
      <c r="P149" s="8"/>
      <c r="Q149" s="8"/>
      <c r="S149" s="8" t="str">
        <f>IF(T149="","",VLOOKUP(T149,引用表合并!$A:$B,2,FALSE))</f>
        <v/>
      </c>
      <c r="T149" s="8"/>
      <c r="U149" s="8"/>
      <c r="W149" s="8" t="str">
        <f>IF(X149="","",VLOOKUP(X149,引用表合并!$A:$B,2,FALSE))</f>
        <v/>
      </c>
      <c r="X149" s="8"/>
      <c r="Y149" s="8"/>
      <c r="AA149" s="8" t="str">
        <f>IF(AB149="","",VLOOKUP(AB149,引用表合并!$A:$B,2,FALSE))</f>
        <v/>
      </c>
      <c r="AB149" s="8"/>
      <c r="AC149" s="8"/>
      <c r="AE149" s="8" t="str">
        <f>IF(AF149="","",VLOOKUP(AF149,引用表合并!$A:$B,2,FALSE))</f>
        <v/>
      </c>
      <c r="AF149" s="8"/>
      <c r="AG149" s="8"/>
      <c r="AI149" s="8" t="str">
        <f>IF(AJ149="","",VLOOKUP(AJ149,引用表合并!$A:$B,2,FALSE))</f>
        <v/>
      </c>
      <c r="AJ149" s="8"/>
      <c r="AK149" s="8"/>
      <c r="AM149" s="8" t="str">
        <f>IF(AN149="","",VLOOKUP(AN149,引用表合并!$A:$B,2,FALSE))</f>
        <v/>
      </c>
      <c r="AN149" s="8"/>
      <c r="AO149" s="8"/>
      <c r="AQ149" s="8" t="str">
        <f>IF(AR149="","",VLOOKUP(AR149,引用表合并!$A:$B,2,FALSE))</f>
        <v/>
      </c>
      <c r="AR149" s="8"/>
      <c r="AS149" s="8"/>
      <c r="AU149" s="8" t="str">
        <f>IF(AV149="","",VLOOKUP(AV149,引用表合并!$A:$B,2,FALSE))</f>
        <v/>
      </c>
      <c r="AV149" s="8"/>
      <c r="AW149" s="8"/>
      <c r="AY149" s="8" t="str">
        <f>IF(AZ149="","",VLOOKUP(AZ149,引用表合并!$A:$B,2,FALSE))</f>
        <v/>
      </c>
      <c r="AZ149" s="8"/>
      <c r="BA149" s="8"/>
      <c r="BC149" s="8" t="str">
        <f>IF(BD149="","",VLOOKUP(BD149,引用表合并!$A:$B,2,FALSE))</f>
        <v/>
      </c>
      <c r="BD149" s="8"/>
      <c r="BF149" s="10"/>
      <c r="BG149" s="8" t="str">
        <f>IF(BH149="","",VLOOKUP(BH149,引用表合并!$A:$B,2,FALSE))</f>
        <v/>
      </c>
      <c r="BH149" s="8"/>
      <c r="BJ149" s="10"/>
      <c r="BK149" s="8" t="str">
        <f>IF(BL149="","",VLOOKUP(BL149,引用表合并!$A:$B,2,FALSE))</f>
        <v/>
      </c>
      <c r="BL149" s="8"/>
      <c r="BN149" s="10"/>
    </row>
    <row r="150" spans="1:66" x14ac:dyDescent="0.15">
      <c r="A150" s="8">
        <v>1503</v>
      </c>
      <c r="B150" s="8" t="str">
        <f>"地图:"&amp;VLOOKUP(A150,[1]地图配置辅助表!$A$3:$E$229,4,FALSE)</f>
        <v>地图:挑战Boss-靓坤</v>
      </c>
      <c r="C150" s="8">
        <v>0</v>
      </c>
      <c r="D150" s="8">
        <f t="shared" si="24"/>
        <v>0</v>
      </c>
      <c r="E150" s="16">
        <f t="shared" si="21"/>
        <v>0</v>
      </c>
      <c r="F150" s="16">
        <f t="shared" si="25"/>
        <v>0</v>
      </c>
      <c r="G150" s="8" t="str">
        <f>IF(H150="","",VLOOKUP(H150,引用表合并!$A:$B,2,FALSE))</f>
        <v/>
      </c>
      <c r="K150" s="8" t="str">
        <f>IF(L150="","",VLOOKUP(L150,引用表合并!$A:$B,2,FALSE))</f>
        <v/>
      </c>
      <c r="L150" s="8"/>
      <c r="M150" s="8"/>
      <c r="O150" s="8" t="str">
        <f>IF(P150="","",VLOOKUP(P150,引用表合并!$A:$B,2,FALSE))</f>
        <v/>
      </c>
      <c r="P150" s="8"/>
      <c r="Q150" s="8"/>
      <c r="S150" s="8" t="str">
        <f>IF(T150="","",VLOOKUP(T150,引用表合并!$A:$B,2,FALSE))</f>
        <v/>
      </c>
      <c r="T150" s="8"/>
      <c r="U150" s="8"/>
      <c r="W150" s="8" t="str">
        <f>IF(X150="","",VLOOKUP(X150,引用表合并!$A:$B,2,FALSE))</f>
        <v/>
      </c>
      <c r="X150" s="8"/>
      <c r="Y150" s="8"/>
      <c r="AA150" s="8" t="str">
        <f>IF(AB150="","",VLOOKUP(AB150,引用表合并!$A:$B,2,FALSE))</f>
        <v/>
      </c>
      <c r="AB150" s="8"/>
      <c r="AC150" s="8"/>
      <c r="AE150" s="8" t="str">
        <f>IF(AF150="","",VLOOKUP(AF150,引用表合并!$A:$B,2,FALSE))</f>
        <v/>
      </c>
      <c r="AF150" s="8"/>
      <c r="AG150" s="8"/>
      <c r="AI150" s="8" t="str">
        <f>IF(AJ150="","",VLOOKUP(AJ150,引用表合并!$A:$B,2,FALSE))</f>
        <v/>
      </c>
      <c r="AJ150" s="8"/>
      <c r="AK150" s="8"/>
      <c r="AM150" s="8" t="str">
        <f>IF(AN150="","",VLOOKUP(AN150,引用表合并!$A:$B,2,FALSE))</f>
        <v/>
      </c>
      <c r="AN150" s="8"/>
      <c r="AO150" s="8"/>
      <c r="AQ150" s="8" t="str">
        <f>IF(AR150="","",VLOOKUP(AR150,引用表合并!$A:$B,2,FALSE))</f>
        <v/>
      </c>
      <c r="AR150" s="8"/>
      <c r="AS150" s="8"/>
      <c r="AU150" s="8" t="str">
        <f>IF(AV150="","",VLOOKUP(AV150,引用表合并!$A:$B,2,FALSE))</f>
        <v/>
      </c>
      <c r="AV150" s="8"/>
      <c r="AW150" s="8"/>
      <c r="AY150" s="8" t="str">
        <f>IF(AZ150="","",VLOOKUP(AZ150,引用表合并!$A:$B,2,FALSE))</f>
        <v/>
      </c>
      <c r="AZ150" s="8"/>
      <c r="BA150" s="8"/>
      <c r="BC150" s="8" t="str">
        <f>IF(BD150="","",VLOOKUP(BD150,引用表合并!$A:$B,2,FALSE))</f>
        <v/>
      </c>
      <c r="BD150" s="8"/>
      <c r="BF150" s="10"/>
      <c r="BG150" s="8" t="str">
        <f>IF(BH150="","",VLOOKUP(BH150,引用表合并!$A:$B,2,FALSE))</f>
        <v/>
      </c>
      <c r="BH150" s="8"/>
      <c r="BJ150" s="10"/>
      <c r="BK150" s="8" t="str">
        <f>IF(BL150="","",VLOOKUP(BL150,引用表合并!$A:$B,2,FALSE))</f>
        <v/>
      </c>
      <c r="BL150" s="8"/>
      <c r="BN150" s="10"/>
    </row>
    <row r="151" spans="1:66" x14ac:dyDescent="0.15">
      <c r="A151" s="8">
        <v>1504</v>
      </c>
      <c r="B151" s="8" t="str">
        <f>"地图:"&amp;VLOOKUP(A151,[1]地图配置辅助表!$A$3:$E$229,4,FALSE)</f>
        <v>地图:挑战Boss-雷复轰</v>
      </c>
      <c r="C151" s="8">
        <v>0</v>
      </c>
      <c r="D151" s="8">
        <f t="shared" si="24"/>
        <v>0</v>
      </c>
      <c r="E151" s="16">
        <f t="shared" si="21"/>
        <v>0</v>
      </c>
      <c r="F151" s="16">
        <f t="shared" si="25"/>
        <v>0</v>
      </c>
      <c r="G151" s="8" t="str">
        <f>IF(H151="","",VLOOKUP(H151,引用表合并!$A:$B,2,FALSE))</f>
        <v/>
      </c>
      <c r="K151" s="8" t="str">
        <f>IF(L151="","",VLOOKUP(L151,引用表合并!$A:$B,2,FALSE))</f>
        <v/>
      </c>
      <c r="L151" s="8"/>
      <c r="M151" s="8"/>
      <c r="O151" s="8" t="str">
        <f>IF(P151="","",VLOOKUP(P151,引用表合并!$A:$B,2,FALSE))</f>
        <v/>
      </c>
      <c r="P151" s="8"/>
      <c r="Q151" s="8"/>
      <c r="S151" s="8" t="str">
        <f>IF(T151="","",VLOOKUP(T151,引用表合并!$A:$B,2,FALSE))</f>
        <v/>
      </c>
      <c r="T151" s="8"/>
      <c r="U151" s="8"/>
      <c r="W151" s="8" t="str">
        <f>IF(X151="","",VLOOKUP(X151,引用表合并!$A:$B,2,FALSE))</f>
        <v/>
      </c>
      <c r="X151" s="8"/>
      <c r="Y151" s="8"/>
      <c r="AA151" s="8" t="str">
        <f>IF(AB151="","",VLOOKUP(AB151,引用表合并!$A:$B,2,FALSE))</f>
        <v/>
      </c>
      <c r="AB151" s="8"/>
      <c r="AC151" s="8"/>
      <c r="AE151" s="8" t="str">
        <f>IF(AF151="","",VLOOKUP(AF151,引用表合并!$A:$B,2,FALSE))</f>
        <v/>
      </c>
      <c r="AF151" s="8"/>
      <c r="AG151" s="8"/>
      <c r="AI151" s="8" t="str">
        <f>IF(AJ151="","",VLOOKUP(AJ151,引用表合并!$A:$B,2,FALSE))</f>
        <v/>
      </c>
      <c r="AJ151" s="8"/>
      <c r="AK151" s="8"/>
      <c r="AM151" s="8" t="str">
        <f>IF(AN151="","",VLOOKUP(AN151,引用表合并!$A:$B,2,FALSE))</f>
        <v/>
      </c>
      <c r="AN151" s="8"/>
      <c r="AO151" s="8"/>
      <c r="AQ151" s="8" t="str">
        <f>IF(AR151="","",VLOOKUP(AR151,引用表合并!$A:$B,2,FALSE))</f>
        <v/>
      </c>
      <c r="AR151" s="8"/>
      <c r="AS151" s="8"/>
      <c r="AU151" s="8" t="str">
        <f>IF(AV151="","",VLOOKUP(AV151,引用表合并!$A:$B,2,FALSE))</f>
        <v/>
      </c>
      <c r="AV151" s="8"/>
      <c r="AW151" s="8"/>
      <c r="AY151" s="8" t="str">
        <f>IF(AZ151="","",VLOOKUP(AZ151,引用表合并!$A:$B,2,FALSE))</f>
        <v/>
      </c>
      <c r="AZ151" s="8"/>
      <c r="BA151" s="8"/>
      <c r="BC151" s="8" t="str">
        <f>IF(BD151="","",VLOOKUP(BD151,引用表合并!$A:$B,2,FALSE))</f>
        <v/>
      </c>
      <c r="BD151" s="8"/>
      <c r="BF151" s="10"/>
      <c r="BG151" s="8" t="str">
        <f>IF(BH151="","",VLOOKUP(BH151,引用表合并!$A:$B,2,FALSE))</f>
        <v/>
      </c>
      <c r="BH151" s="8"/>
      <c r="BJ151" s="10"/>
      <c r="BK151" s="8" t="str">
        <f>IF(BL151="","",VLOOKUP(BL151,引用表合并!$A:$B,2,FALSE))</f>
        <v/>
      </c>
      <c r="BL151" s="8"/>
      <c r="BN151" s="10"/>
    </row>
    <row r="152" spans="1:66" x14ac:dyDescent="0.15">
      <c r="A152" s="8">
        <v>1505</v>
      </c>
      <c r="B152" s="8" t="str">
        <f>"地图:"&amp;VLOOKUP(A152,[1]地图配置辅助表!$A$3:$E$229,4,FALSE)</f>
        <v>地图:挑战Boss-肥仔</v>
      </c>
      <c r="C152" s="8">
        <v>0</v>
      </c>
      <c r="D152" s="8">
        <f t="shared" si="24"/>
        <v>0</v>
      </c>
      <c r="E152" s="16">
        <f t="shared" si="21"/>
        <v>0</v>
      </c>
      <c r="F152" s="16">
        <f t="shared" si="25"/>
        <v>0</v>
      </c>
      <c r="G152" s="8" t="str">
        <f>IF(H152="","",VLOOKUP(H152,引用表合并!$A:$B,2,FALSE))</f>
        <v/>
      </c>
      <c r="K152" s="8" t="str">
        <f>IF(L152="","",VLOOKUP(L152,引用表合并!$A:$B,2,FALSE))</f>
        <v/>
      </c>
      <c r="L152" s="8"/>
      <c r="M152" s="8"/>
      <c r="O152" s="8" t="str">
        <f>IF(P152="","",VLOOKUP(P152,引用表合并!$A:$B,2,FALSE))</f>
        <v/>
      </c>
      <c r="P152" s="8"/>
      <c r="Q152" s="8"/>
      <c r="S152" s="8" t="str">
        <f>IF(T152="","",VLOOKUP(T152,引用表合并!$A:$B,2,FALSE))</f>
        <v/>
      </c>
      <c r="T152" s="8"/>
      <c r="U152" s="8"/>
      <c r="W152" s="8" t="str">
        <f>IF(X152="","",VLOOKUP(X152,引用表合并!$A:$B,2,FALSE))</f>
        <v/>
      </c>
      <c r="X152" s="8"/>
      <c r="Y152" s="8"/>
      <c r="AA152" s="8" t="str">
        <f>IF(AB152="","",VLOOKUP(AB152,引用表合并!$A:$B,2,FALSE))</f>
        <v/>
      </c>
      <c r="AB152" s="8"/>
      <c r="AC152" s="8"/>
      <c r="AE152" s="8" t="str">
        <f>IF(AF152="","",VLOOKUP(AF152,引用表合并!$A:$B,2,FALSE))</f>
        <v/>
      </c>
      <c r="AF152" s="8"/>
      <c r="AG152" s="8"/>
      <c r="AI152" s="8" t="str">
        <f>IF(AJ152="","",VLOOKUP(AJ152,引用表合并!$A:$B,2,FALSE))</f>
        <v/>
      </c>
      <c r="AJ152" s="8"/>
      <c r="AK152" s="8"/>
      <c r="AM152" s="8" t="str">
        <f>IF(AN152="","",VLOOKUP(AN152,引用表合并!$A:$B,2,FALSE))</f>
        <v/>
      </c>
      <c r="AN152" s="8"/>
      <c r="AO152" s="8"/>
      <c r="AQ152" s="8" t="str">
        <f>IF(AR152="","",VLOOKUP(AR152,引用表合并!$A:$B,2,FALSE))</f>
        <v/>
      </c>
      <c r="AR152" s="8"/>
      <c r="AS152" s="8"/>
      <c r="AU152" s="8" t="str">
        <f>IF(AV152="","",VLOOKUP(AV152,引用表合并!$A:$B,2,FALSE))</f>
        <v/>
      </c>
      <c r="AV152" s="8"/>
      <c r="AW152" s="8"/>
      <c r="AY152" s="8" t="str">
        <f>IF(AZ152="","",VLOOKUP(AZ152,引用表合并!$A:$B,2,FALSE))</f>
        <v/>
      </c>
      <c r="AZ152" s="8"/>
      <c r="BA152" s="8"/>
      <c r="BC152" s="8" t="str">
        <f>IF(BD152="","",VLOOKUP(BD152,引用表合并!$A:$B,2,FALSE))</f>
        <v/>
      </c>
      <c r="BD152" s="8"/>
      <c r="BF152" s="10"/>
      <c r="BG152" s="8" t="str">
        <f>IF(BH152="","",VLOOKUP(BH152,引用表合并!$A:$B,2,FALSE))</f>
        <v/>
      </c>
      <c r="BH152" s="8"/>
      <c r="BJ152" s="10"/>
      <c r="BK152" s="8" t="str">
        <f>IF(BL152="","",VLOOKUP(BL152,引用表合并!$A:$B,2,FALSE))</f>
        <v/>
      </c>
      <c r="BL152" s="8"/>
      <c r="BN152" s="10"/>
    </row>
    <row r="153" spans="1:66" x14ac:dyDescent="0.15">
      <c r="A153" s="8">
        <v>1506</v>
      </c>
      <c r="B153" s="8" t="str">
        <f>"地图:"&amp;VLOOKUP(A153,[1]地图配置辅助表!$A$3:$E$229,4,FALSE)</f>
        <v>地图:挑战Boss-巴闭</v>
      </c>
      <c r="C153" s="8">
        <v>0</v>
      </c>
      <c r="D153" s="8">
        <f t="shared" si="24"/>
        <v>0</v>
      </c>
      <c r="E153" s="16">
        <f t="shared" si="21"/>
        <v>0</v>
      </c>
      <c r="F153" s="16">
        <f t="shared" si="25"/>
        <v>0</v>
      </c>
      <c r="G153" s="8" t="str">
        <f>IF(H153="","",VLOOKUP(H153,引用表合并!$A:$B,2,FALSE))</f>
        <v/>
      </c>
      <c r="K153" s="8" t="str">
        <f>IF(L153="","",VLOOKUP(L153,引用表合并!$A:$B,2,FALSE))</f>
        <v/>
      </c>
      <c r="L153" s="8"/>
      <c r="M153" s="8"/>
      <c r="O153" s="8" t="str">
        <f>IF(P153="","",VLOOKUP(P153,引用表合并!$A:$B,2,FALSE))</f>
        <v/>
      </c>
      <c r="P153" s="8"/>
      <c r="Q153" s="8"/>
      <c r="S153" s="8" t="str">
        <f>IF(T153="","",VLOOKUP(T153,引用表合并!$A:$B,2,FALSE))</f>
        <v/>
      </c>
      <c r="T153" s="8"/>
      <c r="U153" s="8"/>
      <c r="W153" s="8" t="str">
        <f>IF(X153="","",VLOOKUP(X153,引用表合并!$A:$B,2,FALSE))</f>
        <v/>
      </c>
      <c r="X153" s="8"/>
      <c r="Y153" s="8"/>
      <c r="AA153" s="8" t="str">
        <f>IF(AB153="","",VLOOKUP(AB153,引用表合并!$A:$B,2,FALSE))</f>
        <v/>
      </c>
      <c r="AB153" s="8"/>
      <c r="AC153" s="8"/>
      <c r="AE153" s="8" t="str">
        <f>IF(AF153="","",VLOOKUP(AF153,引用表合并!$A:$B,2,FALSE))</f>
        <v/>
      </c>
      <c r="AF153" s="8"/>
      <c r="AG153" s="8"/>
      <c r="AI153" s="8" t="str">
        <f>IF(AJ153="","",VLOOKUP(AJ153,引用表合并!$A:$B,2,FALSE))</f>
        <v/>
      </c>
      <c r="AJ153" s="8"/>
      <c r="AK153" s="8"/>
      <c r="AM153" s="8" t="str">
        <f>IF(AN153="","",VLOOKUP(AN153,引用表合并!$A:$B,2,FALSE))</f>
        <v/>
      </c>
      <c r="AN153" s="8"/>
      <c r="AO153" s="8"/>
      <c r="AQ153" s="8" t="str">
        <f>IF(AR153="","",VLOOKUP(AR153,引用表合并!$A:$B,2,FALSE))</f>
        <v/>
      </c>
      <c r="AR153" s="8"/>
      <c r="AS153" s="8"/>
      <c r="AU153" s="8" t="str">
        <f>IF(AV153="","",VLOOKUP(AV153,引用表合并!$A:$B,2,FALSE))</f>
        <v/>
      </c>
      <c r="AV153" s="8"/>
      <c r="AW153" s="8"/>
      <c r="AY153" s="8" t="str">
        <f>IF(AZ153="","",VLOOKUP(AZ153,引用表合并!$A:$B,2,FALSE))</f>
        <v/>
      </c>
      <c r="AZ153" s="8"/>
      <c r="BA153" s="8"/>
      <c r="BC153" s="8" t="str">
        <f>IF(BD153="","",VLOOKUP(BD153,引用表合并!$A:$B,2,FALSE))</f>
        <v/>
      </c>
      <c r="BD153" s="8"/>
      <c r="BF153" s="10"/>
      <c r="BG153" s="8" t="str">
        <f>IF(BH153="","",VLOOKUP(BH153,引用表合并!$A:$B,2,FALSE))</f>
        <v/>
      </c>
      <c r="BH153" s="8"/>
      <c r="BJ153" s="10"/>
      <c r="BK153" s="8" t="str">
        <f>IF(BL153="","",VLOOKUP(BL153,引用表合并!$A:$B,2,FALSE))</f>
        <v/>
      </c>
      <c r="BL153" s="8"/>
      <c r="BN153" s="10"/>
    </row>
    <row r="154" spans="1:66" x14ac:dyDescent="0.15">
      <c r="A154" s="8">
        <v>1507</v>
      </c>
      <c r="B154" s="8" t="str">
        <f>"地图:"&amp;VLOOKUP(A154,[1]地图配置辅助表!$A$3:$E$229,4,FALSE)</f>
        <v>地图:挑战Boss-赌王</v>
      </c>
      <c r="C154" s="8">
        <v>0</v>
      </c>
      <c r="D154" s="8">
        <f t="shared" si="24"/>
        <v>0</v>
      </c>
      <c r="E154" s="16">
        <f t="shared" si="21"/>
        <v>0</v>
      </c>
      <c r="F154" s="16">
        <f t="shared" si="25"/>
        <v>0</v>
      </c>
      <c r="G154" s="8" t="str">
        <f>IF(H154="","",VLOOKUP(H154,引用表合并!$A:$B,2,FALSE))</f>
        <v/>
      </c>
      <c r="K154" s="8" t="str">
        <f>IF(L154="","",VLOOKUP(L154,引用表合并!$A:$B,2,FALSE))</f>
        <v/>
      </c>
      <c r="L154" s="8"/>
      <c r="M154" s="8"/>
      <c r="O154" s="8" t="str">
        <f>IF(P154="","",VLOOKUP(P154,引用表合并!$A:$B,2,FALSE))</f>
        <v/>
      </c>
      <c r="P154" s="8"/>
      <c r="Q154" s="8"/>
      <c r="S154" s="8" t="str">
        <f>IF(T154="","",VLOOKUP(T154,引用表合并!$A:$B,2,FALSE))</f>
        <v/>
      </c>
      <c r="T154" s="8"/>
      <c r="U154" s="8"/>
      <c r="W154" s="8" t="str">
        <f>IF(X154="","",VLOOKUP(X154,引用表合并!$A:$B,2,FALSE))</f>
        <v/>
      </c>
      <c r="X154" s="8"/>
      <c r="Y154" s="8"/>
      <c r="AA154" s="8" t="str">
        <f>IF(AB154="","",VLOOKUP(AB154,引用表合并!$A:$B,2,FALSE))</f>
        <v/>
      </c>
      <c r="AB154" s="8"/>
      <c r="AC154" s="8"/>
      <c r="AE154" s="8" t="str">
        <f>IF(AF154="","",VLOOKUP(AF154,引用表合并!$A:$B,2,FALSE))</f>
        <v/>
      </c>
      <c r="AF154" s="8"/>
      <c r="AG154" s="8"/>
      <c r="AI154" s="8" t="str">
        <f>IF(AJ154="","",VLOOKUP(AJ154,引用表合并!$A:$B,2,FALSE))</f>
        <v/>
      </c>
      <c r="AJ154" s="8"/>
      <c r="AK154" s="8"/>
      <c r="AM154" s="8" t="str">
        <f>IF(AN154="","",VLOOKUP(AN154,引用表合并!$A:$B,2,FALSE))</f>
        <v/>
      </c>
      <c r="AN154" s="8"/>
      <c r="AO154" s="8"/>
      <c r="AQ154" s="8" t="str">
        <f>IF(AR154="","",VLOOKUP(AR154,引用表合并!$A:$B,2,FALSE))</f>
        <v/>
      </c>
      <c r="AR154" s="8"/>
      <c r="AS154" s="8"/>
      <c r="AU154" s="8" t="str">
        <f>IF(AV154="","",VLOOKUP(AV154,引用表合并!$A:$B,2,FALSE))</f>
        <v/>
      </c>
      <c r="AV154" s="8"/>
      <c r="AW154" s="8"/>
      <c r="AY154" s="8" t="str">
        <f>IF(AZ154="","",VLOOKUP(AZ154,引用表合并!$A:$B,2,FALSE))</f>
        <v/>
      </c>
      <c r="AZ154" s="8"/>
      <c r="BA154" s="8"/>
      <c r="BC154" s="8" t="str">
        <f>IF(BD154="","",VLOOKUP(BD154,引用表合并!$A:$B,2,FALSE))</f>
        <v/>
      </c>
      <c r="BD154" s="8"/>
      <c r="BF154" s="10"/>
      <c r="BG154" s="8" t="str">
        <f>IF(BH154="","",VLOOKUP(BH154,引用表合并!$A:$B,2,FALSE))</f>
        <v/>
      </c>
      <c r="BH154" s="8"/>
      <c r="BJ154" s="10"/>
      <c r="BK154" s="8" t="str">
        <f>IF(BL154="","",VLOOKUP(BL154,引用表合并!$A:$B,2,FALSE))</f>
        <v/>
      </c>
      <c r="BL154" s="8"/>
      <c r="BN154" s="10"/>
    </row>
    <row r="155" spans="1:66" x14ac:dyDescent="0.15">
      <c r="A155" s="8">
        <v>1508</v>
      </c>
      <c r="B155" s="8" t="str">
        <f>"地图:"&amp;VLOOKUP(A155,[1]地图配置辅助表!$A$3:$E$229,4,FALSE)</f>
        <v>地图:挑战Boss-乌鸦</v>
      </c>
      <c r="C155" s="8">
        <v>0</v>
      </c>
      <c r="D155" s="8">
        <f t="shared" si="24"/>
        <v>0</v>
      </c>
      <c r="E155" s="16">
        <f t="shared" si="21"/>
        <v>0</v>
      </c>
      <c r="F155" s="16">
        <f t="shared" si="25"/>
        <v>0</v>
      </c>
      <c r="G155" s="8" t="str">
        <f>IF(H155="","",VLOOKUP(H155,引用表合并!$A:$B,2,FALSE))</f>
        <v/>
      </c>
      <c r="K155" s="8" t="str">
        <f>IF(L155="","",VLOOKUP(L155,引用表合并!$A:$B,2,FALSE))</f>
        <v/>
      </c>
      <c r="L155" s="8"/>
      <c r="M155" s="8"/>
      <c r="O155" s="8" t="str">
        <f>IF(P155="","",VLOOKUP(P155,引用表合并!$A:$B,2,FALSE))</f>
        <v/>
      </c>
      <c r="P155" s="8"/>
      <c r="Q155" s="8"/>
      <c r="S155" s="8" t="str">
        <f>IF(T155="","",VLOOKUP(T155,引用表合并!$A:$B,2,FALSE))</f>
        <v/>
      </c>
      <c r="T155" s="8"/>
      <c r="U155" s="8"/>
      <c r="W155" s="8" t="str">
        <f>IF(X155="","",VLOOKUP(X155,引用表合并!$A:$B,2,FALSE))</f>
        <v/>
      </c>
      <c r="X155" s="8"/>
      <c r="Y155" s="8"/>
      <c r="AA155" s="8" t="str">
        <f>IF(AB155="","",VLOOKUP(AB155,引用表合并!$A:$B,2,FALSE))</f>
        <v/>
      </c>
      <c r="AB155" s="8"/>
      <c r="AC155" s="8"/>
      <c r="AE155" s="8" t="str">
        <f>IF(AF155="","",VLOOKUP(AF155,引用表合并!$A:$B,2,FALSE))</f>
        <v/>
      </c>
      <c r="AF155" s="8"/>
      <c r="AG155" s="8"/>
      <c r="AI155" s="8" t="str">
        <f>IF(AJ155="","",VLOOKUP(AJ155,引用表合并!$A:$B,2,FALSE))</f>
        <v/>
      </c>
      <c r="AJ155" s="8"/>
      <c r="AK155" s="8"/>
      <c r="AM155" s="8" t="str">
        <f>IF(AN155="","",VLOOKUP(AN155,引用表合并!$A:$B,2,FALSE))</f>
        <v/>
      </c>
      <c r="AN155" s="8"/>
      <c r="AO155" s="8"/>
      <c r="AQ155" s="8" t="str">
        <f>IF(AR155="","",VLOOKUP(AR155,引用表合并!$A:$B,2,FALSE))</f>
        <v/>
      </c>
      <c r="AR155" s="8"/>
      <c r="AS155" s="8"/>
      <c r="AU155" s="8" t="str">
        <f>IF(AV155="","",VLOOKUP(AV155,引用表合并!$A:$B,2,FALSE))</f>
        <v/>
      </c>
      <c r="AV155" s="8"/>
      <c r="AW155" s="8"/>
      <c r="AY155" s="8" t="str">
        <f>IF(AZ155="","",VLOOKUP(AZ155,引用表合并!$A:$B,2,FALSE))</f>
        <v/>
      </c>
      <c r="AZ155" s="8"/>
      <c r="BA155" s="8"/>
      <c r="BC155" s="8" t="str">
        <f>IF(BD155="","",VLOOKUP(BD155,引用表合并!$A:$B,2,FALSE))</f>
        <v/>
      </c>
      <c r="BD155" s="8"/>
      <c r="BF155" s="10"/>
      <c r="BG155" s="8" t="str">
        <f>IF(BH155="","",VLOOKUP(BH155,引用表合并!$A:$B,2,FALSE))</f>
        <v/>
      </c>
      <c r="BH155" s="8"/>
      <c r="BJ155" s="10"/>
      <c r="BK155" s="8" t="str">
        <f>IF(BL155="","",VLOOKUP(BL155,引用表合并!$A:$B,2,FALSE))</f>
        <v/>
      </c>
      <c r="BL155" s="8"/>
      <c r="BN155" s="10"/>
    </row>
    <row r="156" spans="1:66" x14ac:dyDescent="0.15">
      <c r="A156" s="8">
        <v>1509</v>
      </c>
      <c r="B156" s="8" t="str">
        <f>"地图:"&amp;VLOOKUP(A156,[1]地图配置辅助表!$A$3:$E$229,4,FALSE)</f>
        <v>地图:挑战Boss-山下忠秀</v>
      </c>
      <c r="C156" s="8">
        <v>0</v>
      </c>
      <c r="D156" s="8">
        <f t="shared" si="24"/>
        <v>0</v>
      </c>
      <c r="E156" s="16">
        <f t="shared" si="21"/>
        <v>0</v>
      </c>
      <c r="F156" s="16">
        <f t="shared" si="25"/>
        <v>0</v>
      </c>
      <c r="G156" s="8" t="str">
        <f>IF(H156="","",VLOOKUP(H156,引用表合并!$A:$B,2,FALSE))</f>
        <v/>
      </c>
      <c r="K156" s="8" t="str">
        <f>IF(L156="","",VLOOKUP(L156,引用表合并!$A:$B,2,FALSE))</f>
        <v/>
      </c>
      <c r="L156" s="8"/>
      <c r="M156" s="8"/>
      <c r="O156" s="8" t="str">
        <f>IF(P156="","",VLOOKUP(P156,引用表合并!$A:$B,2,FALSE))</f>
        <v/>
      </c>
      <c r="P156" s="8"/>
      <c r="Q156" s="8"/>
      <c r="S156" s="8" t="str">
        <f>IF(T156="","",VLOOKUP(T156,引用表合并!$A:$B,2,FALSE))</f>
        <v/>
      </c>
      <c r="T156" s="8"/>
      <c r="U156" s="8"/>
      <c r="W156" s="8" t="str">
        <f>IF(X156="","",VLOOKUP(X156,引用表合并!$A:$B,2,FALSE))</f>
        <v/>
      </c>
      <c r="X156" s="8"/>
      <c r="Y156" s="8"/>
      <c r="AA156" s="8" t="str">
        <f>IF(AB156="","",VLOOKUP(AB156,引用表合并!$A:$B,2,FALSE))</f>
        <v/>
      </c>
      <c r="AB156" s="8"/>
      <c r="AC156" s="8"/>
      <c r="AE156" s="8" t="str">
        <f>IF(AF156="","",VLOOKUP(AF156,引用表合并!$A:$B,2,FALSE))</f>
        <v/>
      </c>
      <c r="AF156" s="8"/>
      <c r="AG156" s="8"/>
      <c r="AI156" s="8" t="str">
        <f>IF(AJ156="","",VLOOKUP(AJ156,引用表合并!$A:$B,2,FALSE))</f>
        <v/>
      </c>
      <c r="AJ156" s="8"/>
      <c r="AK156" s="8"/>
      <c r="AM156" s="8" t="str">
        <f>IF(AN156="","",VLOOKUP(AN156,引用表合并!$A:$B,2,FALSE))</f>
        <v/>
      </c>
      <c r="AN156" s="8"/>
      <c r="AO156" s="8"/>
      <c r="AQ156" s="8" t="str">
        <f>IF(AR156="","",VLOOKUP(AR156,引用表合并!$A:$B,2,FALSE))</f>
        <v/>
      </c>
      <c r="AR156" s="8"/>
      <c r="AS156" s="8"/>
      <c r="AU156" s="8" t="str">
        <f>IF(AV156="","",VLOOKUP(AV156,引用表合并!$A:$B,2,FALSE))</f>
        <v/>
      </c>
      <c r="AV156" s="8"/>
      <c r="AW156" s="8"/>
      <c r="AY156" s="8" t="str">
        <f>IF(AZ156="","",VLOOKUP(AZ156,引用表合并!$A:$B,2,FALSE))</f>
        <v/>
      </c>
      <c r="AZ156" s="8"/>
      <c r="BA156" s="8"/>
      <c r="BC156" s="8" t="str">
        <f>IF(BD156="","",VLOOKUP(BD156,引用表合并!$A:$B,2,FALSE))</f>
        <v/>
      </c>
      <c r="BD156" s="8"/>
      <c r="BF156" s="10"/>
      <c r="BG156" s="8" t="str">
        <f>IF(BH156="","",VLOOKUP(BH156,引用表合并!$A:$B,2,FALSE))</f>
        <v/>
      </c>
      <c r="BH156" s="8"/>
      <c r="BJ156" s="10"/>
      <c r="BK156" s="8" t="str">
        <f>IF(BL156="","",VLOOKUP(BL156,引用表合并!$A:$B,2,FALSE))</f>
        <v/>
      </c>
      <c r="BL156" s="8"/>
      <c r="BN156" s="10"/>
    </row>
    <row r="157" spans="1:66" x14ac:dyDescent="0.15">
      <c r="A157" s="8">
        <v>1510</v>
      </c>
      <c r="B157" s="8" t="str">
        <f>"地图:"&amp;VLOOKUP(A157,[1]地图配置辅助表!$A$3:$E$229,4,FALSE)</f>
        <v>地图:挑战Boss-宫本一</v>
      </c>
      <c r="C157" s="8">
        <v>0</v>
      </c>
      <c r="D157" s="8">
        <f t="shared" si="24"/>
        <v>0</v>
      </c>
      <c r="E157" s="16">
        <f t="shared" si="21"/>
        <v>0</v>
      </c>
      <c r="F157" s="16">
        <f t="shared" si="25"/>
        <v>0</v>
      </c>
      <c r="G157" s="8" t="str">
        <f>IF(H157="","",VLOOKUP(H157,引用表合并!$A:$B,2,FALSE))</f>
        <v/>
      </c>
      <c r="K157" s="8" t="str">
        <f>IF(L157="","",VLOOKUP(L157,引用表合并!$A:$B,2,FALSE))</f>
        <v/>
      </c>
      <c r="L157" s="8"/>
      <c r="M157" s="8"/>
      <c r="O157" s="8" t="str">
        <f>IF(P157="","",VLOOKUP(P157,引用表合并!$A:$B,2,FALSE))</f>
        <v/>
      </c>
      <c r="P157" s="8"/>
      <c r="Q157" s="8"/>
      <c r="S157" s="8" t="str">
        <f>IF(T157="","",VLOOKUP(T157,引用表合并!$A:$B,2,FALSE))</f>
        <v/>
      </c>
      <c r="T157" s="8"/>
      <c r="U157" s="8"/>
      <c r="W157" s="8" t="str">
        <f>IF(X157="","",VLOOKUP(X157,引用表合并!$A:$B,2,FALSE))</f>
        <v/>
      </c>
      <c r="X157" s="8"/>
      <c r="Y157" s="8"/>
      <c r="AA157" s="8" t="str">
        <f>IF(AB157="","",VLOOKUP(AB157,引用表合并!$A:$B,2,FALSE))</f>
        <v/>
      </c>
      <c r="AB157" s="8"/>
      <c r="AC157" s="8"/>
      <c r="AE157" s="8" t="str">
        <f>IF(AF157="","",VLOOKUP(AF157,引用表合并!$A:$B,2,FALSE))</f>
        <v/>
      </c>
      <c r="AF157" s="8"/>
      <c r="AG157" s="8"/>
      <c r="AI157" s="8" t="str">
        <f>IF(AJ157="","",VLOOKUP(AJ157,引用表合并!$A:$B,2,FALSE))</f>
        <v/>
      </c>
      <c r="AJ157" s="8"/>
      <c r="AK157" s="8"/>
      <c r="AM157" s="8" t="str">
        <f>IF(AN157="","",VLOOKUP(AN157,引用表合并!$A:$B,2,FALSE))</f>
        <v/>
      </c>
      <c r="AN157" s="8"/>
      <c r="AO157" s="8"/>
      <c r="AQ157" s="8" t="str">
        <f>IF(AR157="","",VLOOKUP(AR157,引用表合并!$A:$B,2,FALSE))</f>
        <v/>
      </c>
      <c r="AR157" s="8"/>
      <c r="AS157" s="8"/>
      <c r="AU157" s="8" t="str">
        <f>IF(AV157="","",VLOOKUP(AV157,引用表合并!$A:$B,2,FALSE))</f>
        <v/>
      </c>
      <c r="AV157" s="8"/>
      <c r="AW157" s="8"/>
      <c r="AY157" s="8" t="str">
        <f>IF(AZ157="","",VLOOKUP(AZ157,引用表合并!$A:$B,2,FALSE))</f>
        <v/>
      </c>
      <c r="AZ157" s="8"/>
      <c r="BA157" s="8"/>
      <c r="BC157" s="8" t="str">
        <f>IF(BD157="","",VLOOKUP(BD157,引用表合并!$A:$B,2,FALSE))</f>
        <v/>
      </c>
      <c r="BD157" s="8"/>
      <c r="BF157" s="10"/>
      <c r="BG157" s="8" t="str">
        <f>IF(BH157="","",VLOOKUP(BH157,引用表合并!$A:$B,2,FALSE))</f>
        <v/>
      </c>
      <c r="BH157" s="8"/>
      <c r="BJ157" s="10"/>
      <c r="BK157" s="8" t="str">
        <f>IF(BL157="","",VLOOKUP(BL157,引用表合并!$A:$B,2,FALSE))</f>
        <v/>
      </c>
      <c r="BL157" s="8"/>
      <c r="BN157" s="10"/>
    </row>
    <row r="158" spans="1:66" x14ac:dyDescent="0.15">
      <c r="A158" s="8">
        <v>1511</v>
      </c>
      <c r="B158" s="8" t="str">
        <f>"地图:"&amp;VLOOKUP(A158,[1]地图配置辅助表!$A$3:$E$229,4,FALSE)</f>
        <v>地图:挑战Boss-笑面虎</v>
      </c>
      <c r="C158" s="8">
        <v>0</v>
      </c>
      <c r="D158" s="8">
        <f t="shared" si="24"/>
        <v>0</v>
      </c>
      <c r="E158" s="16">
        <f t="shared" si="21"/>
        <v>0</v>
      </c>
      <c r="F158" s="16">
        <f t="shared" si="25"/>
        <v>0</v>
      </c>
      <c r="G158" s="8" t="str">
        <f>IF(H158="","",VLOOKUP(H158,引用表合并!$A:$B,2,FALSE))</f>
        <v/>
      </c>
      <c r="K158" s="8" t="str">
        <f>IF(L158="","",VLOOKUP(L158,引用表合并!$A:$B,2,FALSE))</f>
        <v/>
      </c>
      <c r="L158" s="8"/>
      <c r="M158" s="8"/>
      <c r="O158" s="8" t="str">
        <f>IF(P158="","",VLOOKUP(P158,引用表合并!$A:$B,2,FALSE))</f>
        <v/>
      </c>
      <c r="P158" s="8"/>
      <c r="Q158" s="8"/>
      <c r="S158" s="8" t="str">
        <f>IF(T158="","",VLOOKUP(T158,引用表合并!$A:$B,2,FALSE))</f>
        <v/>
      </c>
      <c r="T158" s="8"/>
      <c r="U158" s="8"/>
      <c r="W158" s="8" t="str">
        <f>IF(X158="","",VLOOKUP(X158,引用表合并!$A:$B,2,FALSE))</f>
        <v/>
      </c>
      <c r="X158" s="8"/>
      <c r="Y158" s="8"/>
      <c r="AA158" s="8" t="str">
        <f>IF(AB158="","",VLOOKUP(AB158,引用表合并!$A:$B,2,FALSE))</f>
        <v/>
      </c>
      <c r="AB158" s="8"/>
      <c r="AC158" s="8"/>
      <c r="AE158" s="8" t="str">
        <f>IF(AF158="","",VLOOKUP(AF158,引用表合并!$A:$B,2,FALSE))</f>
        <v/>
      </c>
      <c r="AF158" s="8"/>
      <c r="AG158" s="8"/>
      <c r="AI158" s="8" t="str">
        <f>IF(AJ158="","",VLOOKUP(AJ158,引用表合并!$A:$B,2,FALSE))</f>
        <v/>
      </c>
      <c r="AJ158" s="8"/>
      <c r="AK158" s="8"/>
      <c r="AM158" s="8" t="str">
        <f>IF(AN158="","",VLOOKUP(AN158,引用表合并!$A:$B,2,FALSE))</f>
        <v/>
      </c>
      <c r="AN158" s="8"/>
      <c r="AO158" s="8"/>
      <c r="AQ158" s="8" t="str">
        <f>IF(AR158="","",VLOOKUP(AR158,引用表合并!$A:$B,2,FALSE))</f>
        <v/>
      </c>
      <c r="AR158" s="8"/>
      <c r="AS158" s="8"/>
      <c r="AU158" s="8" t="str">
        <f>IF(AV158="","",VLOOKUP(AV158,引用表合并!$A:$B,2,FALSE))</f>
        <v/>
      </c>
      <c r="AV158" s="8"/>
      <c r="AW158" s="8"/>
      <c r="AY158" s="8" t="str">
        <f>IF(AZ158="","",VLOOKUP(AZ158,引用表合并!$A:$B,2,FALSE))</f>
        <v/>
      </c>
      <c r="AZ158" s="8"/>
      <c r="BA158" s="8"/>
      <c r="BC158" s="8" t="str">
        <f>IF(BD158="","",VLOOKUP(BD158,引用表合并!$A:$B,2,FALSE))</f>
        <v/>
      </c>
      <c r="BD158" s="8"/>
      <c r="BF158" s="10"/>
      <c r="BG158" s="8" t="str">
        <f>IF(BH158="","",VLOOKUP(BH158,引用表合并!$A:$B,2,FALSE))</f>
        <v/>
      </c>
      <c r="BH158" s="8"/>
      <c r="BJ158" s="10"/>
      <c r="BK158" s="8" t="str">
        <f>IF(BL158="","",VLOOKUP(BL158,引用表合并!$A:$B,2,FALSE))</f>
        <v/>
      </c>
      <c r="BL158" s="8"/>
      <c r="BN158" s="10"/>
    </row>
    <row r="159" spans="1:66" x14ac:dyDescent="0.15">
      <c r="A159" s="8">
        <v>1512</v>
      </c>
      <c r="B159" s="8" t="str">
        <f>"地图:"&amp;VLOOKUP(A159,[1]地图配置辅助表!$A$3:$E$229,4,FALSE)</f>
        <v>地图:挑战Boss-陈浩南</v>
      </c>
      <c r="C159" s="8">
        <v>0</v>
      </c>
      <c r="D159" s="8">
        <f t="shared" si="24"/>
        <v>0</v>
      </c>
      <c r="E159" s="16">
        <f t="shared" si="21"/>
        <v>0</v>
      </c>
      <c r="F159" s="16">
        <f t="shared" si="25"/>
        <v>0</v>
      </c>
      <c r="G159" s="8" t="str">
        <f>IF(H159="","",VLOOKUP(H159,引用表合并!$A:$B,2,FALSE))</f>
        <v/>
      </c>
      <c r="K159" s="8" t="str">
        <f>IF(L159="","",VLOOKUP(L159,引用表合并!$A:$B,2,FALSE))</f>
        <v/>
      </c>
      <c r="L159" s="8"/>
      <c r="M159" s="8"/>
      <c r="O159" s="8" t="str">
        <f>IF(P159="","",VLOOKUP(P159,引用表合并!$A:$B,2,FALSE))</f>
        <v/>
      </c>
      <c r="P159" s="8"/>
      <c r="Q159" s="8"/>
      <c r="S159" s="8" t="str">
        <f>IF(T159="","",VLOOKUP(T159,引用表合并!$A:$B,2,FALSE))</f>
        <v/>
      </c>
      <c r="T159" s="8"/>
      <c r="U159" s="8"/>
      <c r="W159" s="8" t="str">
        <f>IF(X159="","",VLOOKUP(X159,引用表合并!$A:$B,2,FALSE))</f>
        <v/>
      </c>
      <c r="X159" s="8"/>
      <c r="Y159" s="8"/>
      <c r="AA159" s="8" t="str">
        <f>IF(AB159="","",VLOOKUP(AB159,引用表合并!$A:$B,2,FALSE))</f>
        <v/>
      </c>
      <c r="AB159" s="8"/>
      <c r="AC159" s="8"/>
      <c r="AE159" s="8" t="str">
        <f>IF(AF159="","",VLOOKUP(AF159,引用表合并!$A:$B,2,FALSE))</f>
        <v/>
      </c>
      <c r="AF159" s="8"/>
      <c r="AG159" s="8"/>
      <c r="AI159" s="8" t="str">
        <f>IF(AJ159="","",VLOOKUP(AJ159,引用表合并!$A:$B,2,FALSE))</f>
        <v/>
      </c>
      <c r="AJ159" s="8"/>
      <c r="AK159" s="8"/>
      <c r="AM159" s="8" t="str">
        <f>IF(AN159="","",VLOOKUP(AN159,引用表合并!$A:$B,2,FALSE))</f>
        <v/>
      </c>
      <c r="AN159" s="8"/>
      <c r="AO159" s="8"/>
      <c r="AQ159" s="8" t="str">
        <f>IF(AR159="","",VLOOKUP(AR159,引用表合并!$A:$B,2,FALSE))</f>
        <v/>
      </c>
      <c r="AR159" s="8"/>
      <c r="AS159" s="8"/>
      <c r="AU159" s="8" t="str">
        <f>IF(AV159="","",VLOOKUP(AV159,引用表合并!$A:$B,2,FALSE))</f>
        <v/>
      </c>
      <c r="AV159" s="8"/>
      <c r="AW159" s="8"/>
      <c r="AY159" s="8" t="str">
        <f>IF(AZ159="","",VLOOKUP(AZ159,引用表合并!$A:$B,2,FALSE))</f>
        <v/>
      </c>
      <c r="AZ159" s="8"/>
      <c r="BA159" s="8"/>
      <c r="BC159" s="8" t="str">
        <f>IF(BD159="","",VLOOKUP(BD159,引用表合并!$A:$B,2,FALSE))</f>
        <v/>
      </c>
      <c r="BD159" s="8"/>
      <c r="BF159" s="10"/>
      <c r="BG159" s="8" t="str">
        <f>IF(BH159="","",VLOOKUP(BH159,引用表合并!$A:$B,2,FALSE))</f>
        <v/>
      </c>
      <c r="BH159" s="8"/>
      <c r="BJ159" s="10"/>
      <c r="BK159" s="8" t="str">
        <f>IF(BL159="","",VLOOKUP(BL159,引用表合并!$A:$B,2,FALSE))</f>
        <v/>
      </c>
      <c r="BL159" s="8"/>
      <c r="BN159" s="10"/>
    </row>
    <row r="160" spans="1:66" x14ac:dyDescent="0.15">
      <c r="A160" s="8">
        <v>1513</v>
      </c>
      <c r="B160" s="8" t="str">
        <f>"地图:"&amp;VLOOKUP(A160,[1]地图配置辅助表!$A$3:$E$229,4,FALSE)</f>
        <v>地图:挑战Boss-山鸡</v>
      </c>
      <c r="C160" s="8">
        <v>0</v>
      </c>
      <c r="D160" s="8">
        <f t="shared" si="24"/>
        <v>0</v>
      </c>
      <c r="E160" s="16">
        <f t="shared" si="21"/>
        <v>0</v>
      </c>
      <c r="F160" s="16">
        <f t="shared" si="25"/>
        <v>0</v>
      </c>
      <c r="G160" s="8" t="str">
        <f>IF(H160="","",VLOOKUP(H160,引用表合并!$A:$B,2,FALSE))</f>
        <v/>
      </c>
      <c r="K160" s="8" t="str">
        <f>IF(L160="","",VLOOKUP(L160,引用表合并!$A:$B,2,FALSE))</f>
        <v/>
      </c>
      <c r="L160" s="8"/>
      <c r="M160" s="8"/>
      <c r="O160" s="8" t="str">
        <f>IF(P160="","",VLOOKUP(P160,引用表合并!$A:$B,2,FALSE))</f>
        <v/>
      </c>
      <c r="P160" s="8"/>
      <c r="Q160" s="8"/>
      <c r="S160" s="8" t="str">
        <f>IF(T160="","",VLOOKUP(T160,引用表合并!$A:$B,2,FALSE))</f>
        <v/>
      </c>
      <c r="T160" s="8"/>
      <c r="U160" s="8"/>
      <c r="W160" s="8" t="str">
        <f>IF(X160="","",VLOOKUP(X160,引用表合并!$A:$B,2,FALSE))</f>
        <v/>
      </c>
      <c r="X160" s="8"/>
      <c r="Y160" s="8"/>
      <c r="AA160" s="8" t="str">
        <f>IF(AB160="","",VLOOKUP(AB160,引用表合并!$A:$B,2,FALSE))</f>
        <v/>
      </c>
      <c r="AB160" s="8"/>
      <c r="AC160" s="8"/>
      <c r="AE160" s="8" t="str">
        <f>IF(AF160="","",VLOOKUP(AF160,引用表合并!$A:$B,2,FALSE))</f>
        <v/>
      </c>
      <c r="AF160" s="8"/>
      <c r="AG160" s="8"/>
      <c r="AI160" s="8" t="str">
        <f>IF(AJ160="","",VLOOKUP(AJ160,引用表合并!$A:$B,2,FALSE))</f>
        <v/>
      </c>
      <c r="AJ160" s="8"/>
      <c r="AK160" s="8"/>
      <c r="AM160" s="8" t="str">
        <f>IF(AN160="","",VLOOKUP(AN160,引用表合并!$A:$B,2,FALSE))</f>
        <v/>
      </c>
      <c r="AN160" s="8"/>
      <c r="AO160" s="8"/>
      <c r="AQ160" s="8" t="str">
        <f>IF(AR160="","",VLOOKUP(AR160,引用表合并!$A:$B,2,FALSE))</f>
        <v/>
      </c>
      <c r="AR160" s="8"/>
      <c r="AS160" s="8"/>
      <c r="AU160" s="8" t="str">
        <f>IF(AV160="","",VLOOKUP(AV160,引用表合并!$A:$B,2,FALSE))</f>
        <v/>
      </c>
      <c r="AV160" s="8"/>
      <c r="AW160" s="8"/>
      <c r="AY160" s="8" t="str">
        <f>IF(AZ160="","",VLOOKUP(AZ160,引用表合并!$A:$B,2,FALSE))</f>
        <v/>
      </c>
      <c r="AZ160" s="8"/>
      <c r="BA160" s="8"/>
      <c r="BC160" s="8" t="str">
        <f>IF(BD160="","",VLOOKUP(BD160,引用表合并!$A:$B,2,FALSE))</f>
        <v/>
      </c>
      <c r="BD160" s="8"/>
      <c r="BF160" s="10"/>
      <c r="BG160" s="8" t="str">
        <f>IF(BH160="","",VLOOKUP(BH160,引用表合并!$A:$B,2,FALSE))</f>
        <v/>
      </c>
      <c r="BH160" s="8"/>
      <c r="BJ160" s="10"/>
      <c r="BK160" s="8" t="str">
        <f>IF(BL160="","",VLOOKUP(BL160,引用表合并!$A:$B,2,FALSE))</f>
        <v/>
      </c>
      <c r="BL160" s="8"/>
      <c r="BN160" s="10"/>
    </row>
    <row r="161" spans="1:66" x14ac:dyDescent="0.15">
      <c r="A161" s="8">
        <v>1514</v>
      </c>
      <c r="B161" s="8" t="str">
        <f>"地图:"&amp;VLOOKUP(A161,[1]地图配置辅助表!$A$3:$E$229,4,FALSE)</f>
        <v>地图:挑战Boss-大天二</v>
      </c>
      <c r="C161" s="8">
        <v>0</v>
      </c>
      <c r="D161" s="8">
        <f t="shared" si="24"/>
        <v>0</v>
      </c>
      <c r="E161" s="16">
        <f t="shared" si="21"/>
        <v>0</v>
      </c>
      <c r="F161" s="16">
        <f t="shared" si="25"/>
        <v>0</v>
      </c>
      <c r="G161" s="8" t="str">
        <f>IF(H161="","",VLOOKUP(H161,引用表合并!$A:$B,2,FALSE))</f>
        <v/>
      </c>
      <c r="K161" s="8" t="str">
        <f>IF(L161="","",VLOOKUP(L161,引用表合并!$A:$B,2,FALSE))</f>
        <v/>
      </c>
      <c r="L161" s="8"/>
      <c r="M161" s="8"/>
      <c r="O161" s="8" t="str">
        <f>IF(P161="","",VLOOKUP(P161,引用表合并!$A:$B,2,FALSE))</f>
        <v/>
      </c>
      <c r="P161" s="8"/>
      <c r="Q161" s="8"/>
      <c r="S161" s="8" t="str">
        <f>IF(T161="","",VLOOKUP(T161,引用表合并!$A:$B,2,FALSE))</f>
        <v/>
      </c>
      <c r="T161" s="8"/>
      <c r="U161" s="8"/>
      <c r="W161" s="8" t="str">
        <f>IF(X161="","",VLOOKUP(X161,引用表合并!$A:$B,2,FALSE))</f>
        <v/>
      </c>
      <c r="X161" s="8"/>
      <c r="Y161" s="8"/>
      <c r="AA161" s="8" t="str">
        <f>IF(AB161="","",VLOOKUP(AB161,引用表合并!$A:$B,2,FALSE))</f>
        <v/>
      </c>
      <c r="AB161" s="8"/>
      <c r="AC161" s="8"/>
      <c r="AE161" s="8" t="str">
        <f>IF(AF161="","",VLOOKUP(AF161,引用表合并!$A:$B,2,FALSE))</f>
        <v/>
      </c>
      <c r="AF161" s="8"/>
      <c r="AG161" s="8"/>
      <c r="AI161" s="8" t="str">
        <f>IF(AJ161="","",VLOOKUP(AJ161,引用表合并!$A:$B,2,FALSE))</f>
        <v/>
      </c>
      <c r="AJ161" s="8"/>
      <c r="AK161" s="8"/>
      <c r="AM161" s="8" t="str">
        <f>IF(AN161="","",VLOOKUP(AN161,引用表合并!$A:$B,2,FALSE))</f>
        <v/>
      </c>
      <c r="AN161" s="8"/>
      <c r="AO161" s="8"/>
      <c r="AQ161" s="8" t="str">
        <f>IF(AR161="","",VLOOKUP(AR161,引用表合并!$A:$B,2,FALSE))</f>
        <v/>
      </c>
      <c r="AR161" s="8"/>
      <c r="AS161" s="8"/>
      <c r="AU161" s="8" t="str">
        <f>IF(AV161="","",VLOOKUP(AV161,引用表合并!$A:$B,2,FALSE))</f>
        <v/>
      </c>
      <c r="AV161" s="8"/>
      <c r="AW161" s="8"/>
      <c r="AY161" s="8" t="str">
        <f>IF(AZ161="","",VLOOKUP(AZ161,引用表合并!$A:$B,2,FALSE))</f>
        <v/>
      </c>
      <c r="AZ161" s="8"/>
      <c r="BA161" s="8"/>
      <c r="BC161" s="8" t="str">
        <f>IF(BD161="","",VLOOKUP(BD161,引用表合并!$A:$B,2,FALSE))</f>
        <v/>
      </c>
      <c r="BD161" s="8"/>
      <c r="BF161" s="10"/>
      <c r="BG161" s="8" t="str">
        <f>IF(BH161="","",VLOOKUP(BH161,引用表合并!$A:$B,2,FALSE))</f>
        <v/>
      </c>
      <c r="BH161" s="8"/>
      <c r="BJ161" s="10"/>
      <c r="BK161" s="8" t="str">
        <f>IF(BL161="","",VLOOKUP(BL161,引用表合并!$A:$B,2,FALSE))</f>
        <v/>
      </c>
      <c r="BL161" s="8"/>
      <c r="BN161" s="10"/>
    </row>
    <row r="162" spans="1:66" x14ac:dyDescent="0.15">
      <c r="A162" s="8">
        <v>1515</v>
      </c>
      <c r="B162" s="8" t="s">
        <v>977</v>
      </c>
      <c r="C162" s="8">
        <v>0</v>
      </c>
      <c r="D162" s="8">
        <f t="shared" si="24"/>
        <v>0</v>
      </c>
      <c r="E162" s="16">
        <f t="shared" si="21"/>
        <v>0</v>
      </c>
      <c r="F162" s="16">
        <f t="shared" si="25"/>
        <v>0</v>
      </c>
      <c r="G162" s="8" t="str">
        <f>IF(H162="","",VLOOKUP(H162,引用表合并!$A:$B,2,FALSE))</f>
        <v/>
      </c>
      <c r="K162" s="8" t="str">
        <f>IF(L162="","",VLOOKUP(L162,引用表合并!$A:$B,2,FALSE))</f>
        <v/>
      </c>
      <c r="L162" s="8"/>
      <c r="M162" s="8"/>
      <c r="O162" s="8" t="str">
        <f>IF(P162="","",VLOOKUP(P162,引用表合并!$A:$B,2,FALSE))</f>
        <v/>
      </c>
      <c r="P162" s="8"/>
      <c r="Q162" s="8"/>
      <c r="S162" s="8" t="str">
        <f>IF(T162="","",VLOOKUP(T162,引用表合并!$A:$B,2,FALSE))</f>
        <v/>
      </c>
      <c r="T162" s="8"/>
      <c r="U162" s="8"/>
      <c r="W162" s="8" t="str">
        <f>IF(X162="","",VLOOKUP(X162,引用表合并!$A:$B,2,FALSE))</f>
        <v/>
      </c>
      <c r="X162" s="8"/>
      <c r="Y162" s="8"/>
      <c r="AA162" s="8" t="str">
        <f>IF(AB162="","",VLOOKUP(AB162,引用表合并!$A:$B,2,FALSE))</f>
        <v/>
      </c>
      <c r="AB162" s="8"/>
      <c r="AC162" s="8"/>
      <c r="AE162" s="8" t="str">
        <f>IF(AF162="","",VLOOKUP(AF162,引用表合并!$A:$B,2,FALSE))</f>
        <v/>
      </c>
      <c r="AF162" s="8"/>
      <c r="AG162" s="8"/>
      <c r="AI162" s="8" t="str">
        <f>IF(AJ162="","",VLOOKUP(AJ162,引用表合并!$A:$B,2,FALSE))</f>
        <v/>
      </c>
      <c r="AJ162" s="8"/>
      <c r="AK162" s="8"/>
      <c r="AM162" s="8" t="str">
        <f>IF(AN162="","",VLOOKUP(AN162,引用表合并!$A:$B,2,FALSE))</f>
        <v/>
      </c>
      <c r="AN162" s="8"/>
      <c r="AO162" s="8"/>
      <c r="AQ162" s="8" t="str">
        <f>IF(AR162="","",VLOOKUP(AR162,引用表合并!$A:$B,2,FALSE))</f>
        <v/>
      </c>
      <c r="AR162" s="8"/>
      <c r="AS162" s="8"/>
      <c r="AU162" s="8" t="str">
        <f>IF(AV162="","",VLOOKUP(AV162,引用表合并!$A:$B,2,FALSE))</f>
        <v/>
      </c>
      <c r="AV162" s="8"/>
      <c r="AW162" s="8"/>
      <c r="AY162" s="8" t="str">
        <f>IF(AZ162="","",VLOOKUP(AZ162,引用表合并!$A:$B,2,FALSE))</f>
        <v/>
      </c>
      <c r="AZ162" s="8"/>
      <c r="BA162" s="8"/>
      <c r="BC162" s="8" t="str">
        <f>IF(BD162="","",VLOOKUP(BD162,引用表合并!$A:$B,2,FALSE))</f>
        <v/>
      </c>
      <c r="BD162" s="8"/>
      <c r="BF162" s="10"/>
      <c r="BG162" s="8" t="str">
        <f>IF(BH162="","",VLOOKUP(BH162,引用表合并!$A:$B,2,FALSE))</f>
        <v/>
      </c>
      <c r="BH162" s="8"/>
      <c r="BJ162" s="10"/>
      <c r="BK162" s="8" t="str">
        <f>IF(BL162="","",VLOOKUP(BL162,引用表合并!$A:$B,2,FALSE))</f>
        <v/>
      </c>
      <c r="BL162" s="8"/>
      <c r="BN162" s="10"/>
    </row>
    <row r="163" spans="1:66" x14ac:dyDescent="0.15">
      <c r="A163" s="8">
        <v>1516</v>
      </c>
      <c r="B163" s="8" t="s">
        <v>977</v>
      </c>
      <c r="C163" s="8">
        <v>0</v>
      </c>
      <c r="D163" s="8">
        <f t="shared" si="24"/>
        <v>0</v>
      </c>
      <c r="E163" s="16">
        <f t="shared" si="21"/>
        <v>0</v>
      </c>
      <c r="F163" s="16">
        <f t="shared" si="25"/>
        <v>0</v>
      </c>
      <c r="G163" s="8" t="str">
        <f>IF(H163="","",VLOOKUP(H163,引用表合并!$A:$B,2,FALSE))</f>
        <v/>
      </c>
      <c r="K163" s="8" t="str">
        <f>IF(L163="","",VLOOKUP(L163,引用表合并!$A:$B,2,FALSE))</f>
        <v/>
      </c>
      <c r="L163" s="8"/>
      <c r="M163" s="8"/>
      <c r="O163" s="8" t="str">
        <f>IF(P163="","",VLOOKUP(P163,引用表合并!$A:$B,2,FALSE))</f>
        <v/>
      </c>
      <c r="P163" s="8"/>
      <c r="Q163" s="8"/>
      <c r="S163" s="8" t="str">
        <f>IF(T163="","",VLOOKUP(T163,引用表合并!$A:$B,2,FALSE))</f>
        <v/>
      </c>
      <c r="T163" s="8"/>
      <c r="U163" s="8"/>
      <c r="W163" s="8" t="str">
        <f>IF(X163="","",VLOOKUP(X163,引用表合并!$A:$B,2,FALSE))</f>
        <v/>
      </c>
      <c r="X163" s="8"/>
      <c r="Y163" s="8"/>
      <c r="AA163" s="8" t="str">
        <f>IF(AB163="","",VLOOKUP(AB163,引用表合并!$A:$B,2,FALSE))</f>
        <v/>
      </c>
      <c r="AB163" s="8"/>
      <c r="AC163" s="8"/>
      <c r="AE163" s="8" t="str">
        <f>IF(AF163="","",VLOOKUP(AF163,引用表合并!$A:$B,2,FALSE))</f>
        <v/>
      </c>
      <c r="AF163" s="8"/>
      <c r="AG163" s="8"/>
      <c r="AI163" s="8" t="str">
        <f>IF(AJ163="","",VLOOKUP(AJ163,引用表合并!$A:$B,2,FALSE))</f>
        <v/>
      </c>
      <c r="AJ163" s="8"/>
      <c r="AK163" s="8"/>
      <c r="AM163" s="8" t="str">
        <f>IF(AN163="","",VLOOKUP(AN163,引用表合并!$A:$B,2,FALSE))</f>
        <v/>
      </c>
      <c r="AN163" s="8"/>
      <c r="AO163" s="8"/>
      <c r="AQ163" s="8" t="str">
        <f>IF(AR163="","",VLOOKUP(AR163,引用表合并!$A:$B,2,FALSE))</f>
        <v/>
      </c>
      <c r="AR163" s="8"/>
      <c r="AS163" s="8"/>
      <c r="AU163" s="8" t="str">
        <f>IF(AV163="","",VLOOKUP(AV163,引用表合并!$A:$B,2,FALSE))</f>
        <v/>
      </c>
      <c r="AV163" s="8"/>
      <c r="AW163" s="8"/>
      <c r="AY163" s="8" t="str">
        <f>IF(AZ163="","",VLOOKUP(AZ163,引用表合并!$A:$B,2,FALSE))</f>
        <v/>
      </c>
      <c r="AZ163" s="8"/>
      <c r="BA163" s="8"/>
      <c r="BC163" s="8" t="str">
        <f>IF(BD163="","",VLOOKUP(BD163,引用表合并!$A:$B,2,FALSE))</f>
        <v/>
      </c>
      <c r="BD163" s="8"/>
      <c r="BF163" s="10"/>
      <c r="BG163" s="8" t="str">
        <f>IF(BH163="","",VLOOKUP(BH163,引用表合并!$A:$B,2,FALSE))</f>
        <v/>
      </c>
      <c r="BH163" s="8"/>
      <c r="BJ163" s="10"/>
      <c r="BK163" s="8" t="str">
        <f>IF(BL163="","",VLOOKUP(BL163,引用表合并!$A:$B,2,FALSE))</f>
        <v/>
      </c>
      <c r="BL163" s="8"/>
      <c r="BN163" s="10"/>
    </row>
    <row r="164" spans="1:66" x14ac:dyDescent="0.15">
      <c r="A164" s="8">
        <v>1517</v>
      </c>
      <c r="B164" s="8" t="s">
        <v>977</v>
      </c>
      <c r="C164" s="8">
        <v>0</v>
      </c>
      <c r="D164" s="8">
        <f t="shared" si="24"/>
        <v>0</v>
      </c>
      <c r="E164" s="16">
        <f t="shared" si="21"/>
        <v>0</v>
      </c>
      <c r="F164" s="16">
        <f t="shared" si="25"/>
        <v>0</v>
      </c>
      <c r="G164" s="8" t="str">
        <f>IF(H164="","",VLOOKUP(H164,引用表合并!$A:$B,2,FALSE))</f>
        <v/>
      </c>
      <c r="K164" s="8" t="str">
        <f>IF(L164="","",VLOOKUP(L164,引用表合并!$A:$B,2,FALSE))</f>
        <v/>
      </c>
      <c r="L164" s="8"/>
      <c r="M164" s="8"/>
      <c r="O164" s="8" t="str">
        <f>IF(P164="","",VLOOKUP(P164,引用表合并!$A:$B,2,FALSE))</f>
        <v/>
      </c>
      <c r="P164" s="8"/>
      <c r="Q164" s="8"/>
      <c r="S164" s="8" t="str">
        <f>IF(T164="","",VLOOKUP(T164,引用表合并!$A:$B,2,FALSE))</f>
        <v/>
      </c>
      <c r="T164" s="8"/>
      <c r="U164" s="8"/>
      <c r="W164" s="8" t="str">
        <f>IF(X164="","",VLOOKUP(X164,引用表合并!$A:$B,2,FALSE))</f>
        <v/>
      </c>
      <c r="X164" s="8"/>
      <c r="Y164" s="8"/>
      <c r="AA164" s="8" t="str">
        <f>IF(AB164="","",VLOOKUP(AB164,引用表合并!$A:$B,2,FALSE))</f>
        <v/>
      </c>
      <c r="AB164" s="8"/>
      <c r="AC164" s="8"/>
      <c r="AE164" s="8" t="str">
        <f>IF(AF164="","",VLOOKUP(AF164,引用表合并!$A:$B,2,FALSE))</f>
        <v/>
      </c>
      <c r="AF164" s="8"/>
      <c r="AG164" s="8"/>
      <c r="AI164" s="8" t="str">
        <f>IF(AJ164="","",VLOOKUP(AJ164,引用表合并!$A:$B,2,FALSE))</f>
        <v/>
      </c>
      <c r="AJ164" s="8"/>
      <c r="AK164" s="8"/>
      <c r="AM164" s="8" t="str">
        <f>IF(AN164="","",VLOOKUP(AN164,引用表合并!$A:$B,2,FALSE))</f>
        <v/>
      </c>
      <c r="AN164" s="8"/>
      <c r="AO164" s="8"/>
      <c r="AQ164" s="8" t="str">
        <f>IF(AR164="","",VLOOKUP(AR164,引用表合并!$A:$B,2,FALSE))</f>
        <v/>
      </c>
      <c r="AR164" s="8"/>
      <c r="AS164" s="8"/>
      <c r="AU164" s="8" t="str">
        <f>IF(AV164="","",VLOOKUP(AV164,引用表合并!$A:$B,2,FALSE))</f>
        <v/>
      </c>
      <c r="AV164" s="8"/>
      <c r="AW164" s="8"/>
      <c r="AY164" s="8" t="str">
        <f>IF(AZ164="","",VLOOKUP(AZ164,引用表合并!$A:$B,2,FALSE))</f>
        <v/>
      </c>
      <c r="AZ164" s="8"/>
      <c r="BA164" s="8"/>
      <c r="BC164" s="8" t="str">
        <f>IF(BD164="","",VLOOKUP(BD164,引用表合并!$A:$B,2,FALSE))</f>
        <v/>
      </c>
      <c r="BD164" s="8"/>
      <c r="BF164" s="10"/>
      <c r="BG164" s="8" t="str">
        <f>IF(BH164="","",VLOOKUP(BH164,引用表合并!$A:$B,2,FALSE))</f>
        <v/>
      </c>
      <c r="BH164" s="8"/>
      <c r="BJ164" s="10"/>
      <c r="BK164" s="8" t="str">
        <f>IF(BL164="","",VLOOKUP(BL164,引用表合并!$A:$B,2,FALSE))</f>
        <v/>
      </c>
      <c r="BL164" s="8"/>
      <c r="BN164" s="10"/>
    </row>
    <row r="165" spans="1:66" x14ac:dyDescent="0.15">
      <c r="A165" s="8">
        <v>1518</v>
      </c>
      <c r="B165" s="8" t="s">
        <v>977</v>
      </c>
      <c r="C165" s="8">
        <v>0</v>
      </c>
      <c r="D165" s="8">
        <f t="shared" si="24"/>
        <v>0</v>
      </c>
      <c r="E165" s="16">
        <f t="shared" si="21"/>
        <v>0</v>
      </c>
      <c r="F165" s="16">
        <f t="shared" si="25"/>
        <v>0</v>
      </c>
      <c r="G165" s="8" t="str">
        <f>IF(H165="","",VLOOKUP(H165,引用表合并!$A:$B,2,FALSE))</f>
        <v/>
      </c>
      <c r="K165" s="8" t="str">
        <f>IF(L165="","",VLOOKUP(L165,引用表合并!$A:$B,2,FALSE))</f>
        <v/>
      </c>
      <c r="L165" s="8"/>
      <c r="M165" s="8"/>
      <c r="O165" s="8" t="str">
        <f>IF(P165="","",VLOOKUP(P165,引用表合并!$A:$B,2,FALSE))</f>
        <v/>
      </c>
      <c r="P165" s="8"/>
      <c r="Q165" s="8"/>
      <c r="S165" s="8" t="str">
        <f>IF(T165="","",VLOOKUP(T165,引用表合并!$A:$B,2,FALSE))</f>
        <v/>
      </c>
      <c r="T165" s="8"/>
      <c r="U165" s="8"/>
      <c r="W165" s="8" t="str">
        <f>IF(X165="","",VLOOKUP(X165,引用表合并!$A:$B,2,FALSE))</f>
        <v/>
      </c>
      <c r="X165" s="8"/>
      <c r="Y165" s="8"/>
      <c r="AA165" s="8" t="str">
        <f>IF(AB165="","",VLOOKUP(AB165,引用表合并!$A:$B,2,FALSE))</f>
        <v/>
      </c>
      <c r="AB165" s="8"/>
      <c r="AC165" s="8"/>
      <c r="AE165" s="8" t="str">
        <f>IF(AF165="","",VLOOKUP(AF165,引用表合并!$A:$B,2,FALSE))</f>
        <v/>
      </c>
      <c r="AF165" s="8"/>
      <c r="AG165" s="8"/>
      <c r="AI165" s="8" t="str">
        <f>IF(AJ165="","",VLOOKUP(AJ165,引用表合并!$A:$B,2,FALSE))</f>
        <v/>
      </c>
      <c r="AJ165" s="8"/>
      <c r="AK165" s="8"/>
      <c r="AM165" s="8" t="str">
        <f>IF(AN165="","",VLOOKUP(AN165,引用表合并!$A:$B,2,FALSE))</f>
        <v/>
      </c>
      <c r="AN165" s="8"/>
      <c r="AO165" s="8"/>
      <c r="AQ165" s="8" t="str">
        <f>IF(AR165="","",VLOOKUP(AR165,引用表合并!$A:$B,2,FALSE))</f>
        <v/>
      </c>
      <c r="AR165" s="8"/>
      <c r="AS165" s="8"/>
      <c r="AU165" s="8" t="str">
        <f>IF(AV165="","",VLOOKUP(AV165,引用表合并!$A:$B,2,FALSE))</f>
        <v/>
      </c>
      <c r="AV165" s="8"/>
      <c r="AW165" s="8"/>
      <c r="AY165" s="8" t="str">
        <f>IF(AZ165="","",VLOOKUP(AZ165,引用表合并!$A:$B,2,FALSE))</f>
        <v/>
      </c>
      <c r="AZ165" s="8"/>
      <c r="BA165" s="8"/>
      <c r="BC165" s="8" t="str">
        <f>IF(BD165="","",VLOOKUP(BD165,引用表合并!$A:$B,2,FALSE))</f>
        <v/>
      </c>
      <c r="BD165" s="8"/>
      <c r="BF165" s="10"/>
      <c r="BG165" s="8" t="str">
        <f>IF(BH165="","",VLOOKUP(BH165,引用表合并!$A:$B,2,FALSE))</f>
        <v/>
      </c>
      <c r="BH165" s="8"/>
      <c r="BJ165" s="10"/>
      <c r="BK165" s="8" t="str">
        <f>IF(BL165="","",VLOOKUP(BL165,引用表合并!$A:$B,2,FALSE))</f>
        <v/>
      </c>
      <c r="BL165" s="8"/>
      <c r="BN165" s="10"/>
    </row>
    <row r="166" spans="1:66" x14ac:dyDescent="0.15">
      <c r="A166" s="8">
        <v>1301</v>
      </c>
      <c r="B166" s="8" t="str">
        <f>"地图:"&amp;VLOOKUP(A166,[1]地图配置辅助表!$A$3:$E$229,4,FALSE)</f>
        <v>地图:难度1（金币）</v>
      </c>
      <c r="C166" s="8">
        <v>0</v>
      </c>
      <c r="D166" s="8">
        <f t="shared" si="16"/>
        <v>0</v>
      </c>
      <c r="E166" s="16">
        <f t="shared" si="21"/>
        <v>0</v>
      </c>
      <c r="F166" s="16">
        <f t="shared" si="25"/>
        <v>0</v>
      </c>
      <c r="G166" s="8" t="str">
        <f>IF(H166="","",VLOOKUP(H166,引用表合并!$A:$B,2,FALSE))</f>
        <v/>
      </c>
      <c r="K166" s="8" t="str">
        <f>IF(L166="","",VLOOKUP(L166,引用表合并!$A:$B,2,FALSE))</f>
        <v/>
      </c>
      <c r="L166" s="8"/>
      <c r="M166" s="8"/>
      <c r="O166" s="8" t="str">
        <f>IF(P166="","",VLOOKUP(P166,引用表合并!$A:$B,2,FALSE))</f>
        <v/>
      </c>
      <c r="P166" s="8"/>
      <c r="Q166" s="8"/>
      <c r="S166" s="8" t="str">
        <f>IF(T166="","",VLOOKUP(T166,引用表合并!$A:$B,2,FALSE))</f>
        <v/>
      </c>
      <c r="T166" s="8"/>
      <c r="U166" s="8"/>
      <c r="W166" s="8" t="str">
        <f>IF(X166="","",VLOOKUP(X166,引用表合并!$A:$B,2,FALSE))</f>
        <v/>
      </c>
      <c r="X166" s="8"/>
      <c r="Y166" s="8"/>
      <c r="AA166" s="8" t="str">
        <f>IF(AB166="","",VLOOKUP(AB166,引用表合并!$A:$B,2,FALSE))</f>
        <v/>
      </c>
      <c r="AB166" s="8"/>
      <c r="AC166" s="8"/>
      <c r="AE166" s="8" t="str">
        <f>IF(AF166="","",VLOOKUP(AF166,引用表合并!$A:$B,2,FALSE))</f>
        <v/>
      </c>
      <c r="AF166" s="8"/>
      <c r="AG166" s="8"/>
      <c r="AI166" s="8" t="str">
        <f>IF(AJ166="","",VLOOKUP(AJ166,引用表合并!$A:$B,2,FALSE))</f>
        <v/>
      </c>
      <c r="AJ166" s="8"/>
      <c r="AK166" s="8"/>
      <c r="AM166" s="8" t="str">
        <f>IF(AN166="","",VLOOKUP(AN166,引用表合并!$A:$B,2,FALSE))</f>
        <v/>
      </c>
      <c r="AN166" s="8"/>
      <c r="AO166" s="8"/>
      <c r="AQ166" s="8" t="str">
        <f>IF(AR166="","",VLOOKUP(AR166,引用表合并!$A:$B,2,FALSE))</f>
        <v/>
      </c>
      <c r="AR166" s="8"/>
      <c r="AS166" s="8"/>
      <c r="AU166" s="8" t="str">
        <f>IF(AV166="","",VLOOKUP(AV166,引用表合并!$A:$B,2,FALSE))</f>
        <v/>
      </c>
      <c r="AV166" s="8"/>
      <c r="AW166" s="8"/>
      <c r="AY166" s="8" t="str">
        <f>IF(AZ166="","",VLOOKUP(AZ166,引用表合并!$A:$B,2,FALSE))</f>
        <v/>
      </c>
      <c r="AZ166" s="8"/>
      <c r="BA166" s="8"/>
      <c r="BC166" s="8" t="str">
        <f>IF(BD166="","",VLOOKUP(BD166,引用表合并!$A:$B,2,FALSE))</f>
        <v/>
      </c>
      <c r="BD166" s="8"/>
      <c r="BF166" s="10"/>
      <c r="BG166" s="8" t="str">
        <f>IF(BH166="","",VLOOKUP(BH166,引用表合并!$A:$B,2,FALSE))</f>
        <v/>
      </c>
      <c r="BH166" s="8"/>
      <c r="BJ166" s="10"/>
      <c r="BK166" s="8" t="str">
        <f>IF(BL166="","",VLOOKUP(BL166,引用表合并!$A:$B,2,FALSE))</f>
        <v/>
      </c>
      <c r="BL166" s="8"/>
      <c r="BN166" s="10"/>
    </row>
    <row r="167" spans="1:66" x14ac:dyDescent="0.15">
      <c r="A167" s="8">
        <v>1302</v>
      </c>
      <c r="B167" s="8" t="str">
        <f>"地图:"&amp;VLOOKUP(A167,[1]地图配置辅助表!$A$3:$E$229,4,FALSE)</f>
        <v>地图:难度2（金币）</v>
      </c>
      <c r="C167" s="8">
        <v>0</v>
      </c>
      <c r="D167" s="8">
        <f t="shared" si="16"/>
        <v>0</v>
      </c>
      <c r="E167" s="16">
        <f t="shared" si="21"/>
        <v>0</v>
      </c>
      <c r="F167" s="16">
        <f t="shared" si="25"/>
        <v>0</v>
      </c>
      <c r="G167" s="8" t="str">
        <f>IF(H167="","",VLOOKUP(H167,引用表合并!$A:$B,2,FALSE))</f>
        <v/>
      </c>
      <c r="K167" s="8" t="str">
        <f>IF(L167="","",VLOOKUP(L167,引用表合并!$A:$B,2,FALSE))</f>
        <v/>
      </c>
      <c r="L167" s="8"/>
      <c r="M167" s="8"/>
      <c r="O167" s="8" t="str">
        <f>IF(P167="","",VLOOKUP(P167,引用表合并!$A:$B,2,FALSE))</f>
        <v/>
      </c>
      <c r="P167" s="8"/>
      <c r="Q167" s="8"/>
      <c r="S167" s="8" t="str">
        <f>IF(T167="","",VLOOKUP(T167,引用表合并!$A:$B,2,FALSE))</f>
        <v/>
      </c>
      <c r="T167" s="8"/>
      <c r="U167" s="8"/>
      <c r="W167" s="8" t="str">
        <f>IF(X167="","",VLOOKUP(X167,引用表合并!$A:$B,2,FALSE))</f>
        <v/>
      </c>
      <c r="X167" s="8"/>
      <c r="Y167" s="8"/>
      <c r="AA167" s="8" t="str">
        <f>IF(AB167="","",VLOOKUP(AB167,引用表合并!$A:$B,2,FALSE))</f>
        <v/>
      </c>
      <c r="AB167" s="8"/>
      <c r="AC167" s="8"/>
      <c r="AE167" s="8" t="str">
        <f>IF(AF167="","",VLOOKUP(AF167,引用表合并!$A:$B,2,FALSE))</f>
        <v/>
      </c>
      <c r="AF167" s="8"/>
      <c r="AG167" s="8"/>
      <c r="AI167" s="8" t="str">
        <f>IF(AJ167="","",VLOOKUP(AJ167,引用表合并!$A:$B,2,FALSE))</f>
        <v/>
      </c>
      <c r="AJ167" s="8"/>
      <c r="AK167" s="8"/>
      <c r="AM167" s="8" t="str">
        <f>IF(AN167="","",VLOOKUP(AN167,引用表合并!$A:$B,2,FALSE))</f>
        <v/>
      </c>
      <c r="AN167" s="8"/>
      <c r="AO167" s="8"/>
      <c r="AQ167" s="8" t="str">
        <f>IF(AR167="","",VLOOKUP(AR167,引用表合并!$A:$B,2,FALSE))</f>
        <v/>
      </c>
      <c r="AR167" s="8"/>
      <c r="AS167" s="8"/>
      <c r="AU167" s="8" t="str">
        <f>IF(AV167="","",VLOOKUP(AV167,引用表合并!$A:$B,2,FALSE))</f>
        <v/>
      </c>
      <c r="AV167" s="8"/>
      <c r="AW167" s="8"/>
      <c r="AY167" s="8" t="str">
        <f>IF(AZ167="","",VLOOKUP(AZ167,引用表合并!$A:$B,2,FALSE))</f>
        <v/>
      </c>
      <c r="AZ167" s="8"/>
      <c r="BA167" s="8"/>
      <c r="BC167" s="8" t="str">
        <f>IF(BD167="","",VLOOKUP(BD167,引用表合并!$A:$B,2,FALSE))</f>
        <v/>
      </c>
      <c r="BD167" s="8"/>
      <c r="BF167" s="10"/>
      <c r="BG167" s="8" t="str">
        <f>IF(BH167="","",VLOOKUP(BH167,引用表合并!$A:$B,2,FALSE))</f>
        <v/>
      </c>
      <c r="BH167" s="8"/>
      <c r="BJ167" s="10"/>
      <c r="BK167" s="8" t="str">
        <f>IF(BL167="","",VLOOKUP(BL167,引用表合并!$A:$B,2,FALSE))</f>
        <v/>
      </c>
      <c r="BL167" s="8"/>
      <c r="BN167" s="10"/>
    </row>
    <row r="168" spans="1:66" x14ac:dyDescent="0.15">
      <c r="A168" s="8">
        <v>1303</v>
      </c>
      <c r="B168" s="8" t="str">
        <f>"地图:"&amp;VLOOKUP(A168,[1]地图配置辅助表!$A$3:$E$229,4,FALSE)</f>
        <v>地图:难度3（金币）</v>
      </c>
      <c r="C168" s="8">
        <v>0</v>
      </c>
      <c r="D168" s="8">
        <f t="shared" si="16"/>
        <v>0</v>
      </c>
      <c r="E168" s="16">
        <f t="shared" si="21"/>
        <v>0</v>
      </c>
      <c r="F168" s="16">
        <f t="shared" si="25"/>
        <v>0</v>
      </c>
      <c r="G168" s="8" t="str">
        <f>IF(H168="","",VLOOKUP(H168,引用表合并!$A:$B,2,FALSE))</f>
        <v/>
      </c>
      <c r="K168" s="8" t="str">
        <f>IF(L168="","",VLOOKUP(L168,引用表合并!$A:$B,2,FALSE))</f>
        <v/>
      </c>
      <c r="L168" s="8"/>
      <c r="M168" s="8"/>
      <c r="O168" s="8" t="str">
        <f>IF(P168="","",VLOOKUP(P168,引用表合并!$A:$B,2,FALSE))</f>
        <v/>
      </c>
      <c r="P168" s="8"/>
      <c r="Q168" s="8"/>
      <c r="S168" s="8" t="str">
        <f>IF(T168="","",VLOOKUP(T168,引用表合并!$A:$B,2,FALSE))</f>
        <v/>
      </c>
      <c r="T168" s="8"/>
      <c r="U168" s="8"/>
      <c r="W168" s="8" t="str">
        <f>IF(X168="","",VLOOKUP(X168,引用表合并!$A:$B,2,FALSE))</f>
        <v/>
      </c>
      <c r="X168" s="8"/>
      <c r="Y168" s="8"/>
      <c r="AA168" s="8" t="str">
        <f>IF(AB168="","",VLOOKUP(AB168,引用表合并!$A:$B,2,FALSE))</f>
        <v/>
      </c>
      <c r="AB168" s="8"/>
      <c r="AC168" s="8"/>
      <c r="AE168" s="8" t="str">
        <f>IF(AF168="","",VLOOKUP(AF168,引用表合并!$A:$B,2,FALSE))</f>
        <v/>
      </c>
      <c r="AF168" s="8"/>
      <c r="AG168" s="8"/>
      <c r="AI168" s="8" t="str">
        <f>IF(AJ168="","",VLOOKUP(AJ168,引用表合并!$A:$B,2,FALSE))</f>
        <v/>
      </c>
      <c r="AJ168" s="8"/>
      <c r="AK168" s="8"/>
      <c r="AM168" s="8" t="str">
        <f>IF(AN168="","",VLOOKUP(AN168,引用表合并!$A:$B,2,FALSE))</f>
        <v/>
      </c>
      <c r="AN168" s="8"/>
      <c r="AO168" s="8"/>
      <c r="AQ168" s="8" t="str">
        <f>IF(AR168="","",VLOOKUP(AR168,引用表合并!$A:$B,2,FALSE))</f>
        <v/>
      </c>
      <c r="AR168" s="8"/>
      <c r="AS168" s="8"/>
      <c r="AU168" s="8" t="str">
        <f>IF(AV168="","",VLOOKUP(AV168,引用表合并!$A:$B,2,FALSE))</f>
        <v/>
      </c>
      <c r="AV168" s="8"/>
      <c r="AW168" s="8"/>
      <c r="AY168" s="8" t="str">
        <f>IF(AZ168="","",VLOOKUP(AZ168,引用表合并!$A:$B,2,FALSE))</f>
        <v/>
      </c>
      <c r="AZ168" s="8"/>
      <c r="BA168" s="8"/>
      <c r="BC168" s="8" t="str">
        <f>IF(BD168="","",VLOOKUP(BD168,引用表合并!$A:$B,2,FALSE))</f>
        <v/>
      </c>
      <c r="BD168" s="8"/>
      <c r="BF168" s="10"/>
      <c r="BG168" s="8" t="str">
        <f>IF(BH168="","",VLOOKUP(BH168,引用表合并!$A:$B,2,FALSE))</f>
        <v/>
      </c>
      <c r="BH168" s="8"/>
      <c r="BJ168" s="10"/>
      <c r="BK168" s="8" t="str">
        <f>IF(BL168="","",VLOOKUP(BL168,引用表合并!$A:$B,2,FALSE))</f>
        <v/>
      </c>
      <c r="BL168" s="8"/>
      <c r="BN168" s="10"/>
    </row>
    <row r="169" spans="1:66" x14ac:dyDescent="0.15">
      <c r="A169" s="8">
        <v>1304</v>
      </c>
      <c r="B169" s="8" t="str">
        <f>"地图:"&amp;VLOOKUP(A169,[1]地图配置辅助表!$A$3:$E$229,4,FALSE)</f>
        <v>地图:难度4（金币）</v>
      </c>
      <c r="C169" s="8">
        <v>0</v>
      </c>
      <c r="D169" s="8">
        <f t="shared" si="16"/>
        <v>0</v>
      </c>
      <c r="E169" s="16">
        <f t="shared" si="21"/>
        <v>0</v>
      </c>
      <c r="F169" s="16">
        <f t="shared" si="25"/>
        <v>0</v>
      </c>
      <c r="G169" s="8" t="str">
        <f>IF(H169="","",VLOOKUP(H169,引用表合并!$A:$B,2,FALSE))</f>
        <v/>
      </c>
      <c r="K169" s="8" t="str">
        <f>IF(L169="","",VLOOKUP(L169,引用表合并!$A:$B,2,FALSE))</f>
        <v/>
      </c>
      <c r="L169" s="8"/>
      <c r="M169" s="8"/>
      <c r="O169" s="8" t="str">
        <f>IF(P169="","",VLOOKUP(P169,引用表合并!$A:$B,2,FALSE))</f>
        <v/>
      </c>
      <c r="P169" s="8"/>
      <c r="Q169" s="8"/>
      <c r="S169" s="8" t="str">
        <f>IF(T169="","",VLOOKUP(T169,引用表合并!$A:$B,2,FALSE))</f>
        <v/>
      </c>
      <c r="T169" s="8"/>
      <c r="U169" s="8"/>
      <c r="W169" s="8" t="str">
        <f>IF(X169="","",VLOOKUP(X169,引用表合并!$A:$B,2,FALSE))</f>
        <v/>
      </c>
      <c r="X169" s="8"/>
      <c r="Y169" s="8"/>
      <c r="AA169" s="8" t="str">
        <f>IF(AB169="","",VLOOKUP(AB169,引用表合并!$A:$B,2,FALSE))</f>
        <v/>
      </c>
      <c r="AB169" s="8"/>
      <c r="AC169" s="8"/>
      <c r="AE169" s="8" t="str">
        <f>IF(AF169="","",VLOOKUP(AF169,引用表合并!$A:$B,2,FALSE))</f>
        <v/>
      </c>
      <c r="AF169" s="8"/>
      <c r="AG169" s="8"/>
      <c r="AI169" s="8" t="str">
        <f>IF(AJ169="","",VLOOKUP(AJ169,引用表合并!$A:$B,2,FALSE))</f>
        <v/>
      </c>
      <c r="AJ169" s="8"/>
      <c r="AK169" s="8"/>
      <c r="AM169" s="8" t="str">
        <f>IF(AN169="","",VLOOKUP(AN169,引用表合并!$A:$B,2,FALSE))</f>
        <v/>
      </c>
      <c r="AN169" s="8"/>
      <c r="AO169" s="8"/>
      <c r="AQ169" s="8" t="str">
        <f>IF(AR169="","",VLOOKUP(AR169,引用表合并!$A:$B,2,FALSE))</f>
        <v/>
      </c>
      <c r="AR169" s="8"/>
      <c r="AS169" s="8"/>
      <c r="AU169" s="8" t="str">
        <f>IF(AV169="","",VLOOKUP(AV169,引用表合并!$A:$B,2,FALSE))</f>
        <v/>
      </c>
      <c r="AV169" s="8"/>
      <c r="AW169" s="8"/>
      <c r="AY169" s="8" t="str">
        <f>IF(AZ169="","",VLOOKUP(AZ169,引用表合并!$A:$B,2,FALSE))</f>
        <v/>
      </c>
      <c r="AZ169" s="8"/>
      <c r="BA169" s="8"/>
      <c r="BC169" s="8" t="str">
        <f>IF(BD169="","",VLOOKUP(BD169,引用表合并!$A:$B,2,FALSE))</f>
        <v/>
      </c>
      <c r="BD169" s="8"/>
      <c r="BF169" s="10"/>
      <c r="BG169" s="8" t="str">
        <f>IF(BH169="","",VLOOKUP(BH169,引用表合并!$A:$B,2,FALSE))</f>
        <v/>
      </c>
      <c r="BH169" s="8"/>
      <c r="BJ169" s="10"/>
      <c r="BK169" s="8" t="str">
        <f>IF(BL169="","",VLOOKUP(BL169,引用表合并!$A:$B,2,FALSE))</f>
        <v/>
      </c>
      <c r="BL169" s="8"/>
      <c r="BN169" s="10"/>
    </row>
    <row r="170" spans="1:66" x14ac:dyDescent="0.15">
      <c r="A170" s="8">
        <v>1305</v>
      </c>
      <c r="B170" s="8" t="str">
        <f>"地图:"&amp;VLOOKUP(A170,[1]地图配置辅助表!$A$3:$E$229,4,FALSE)</f>
        <v>地图:难度5（金币）</v>
      </c>
      <c r="C170" s="8">
        <v>0</v>
      </c>
      <c r="D170" s="8">
        <f t="shared" si="16"/>
        <v>0</v>
      </c>
      <c r="E170" s="16">
        <f t="shared" si="21"/>
        <v>0</v>
      </c>
      <c r="F170" s="16">
        <f t="shared" si="25"/>
        <v>0</v>
      </c>
      <c r="G170" s="8" t="str">
        <f>IF(H170="","",VLOOKUP(H170,引用表合并!$A:$B,2,FALSE))</f>
        <v/>
      </c>
      <c r="K170" s="8" t="str">
        <f>IF(L170="","",VLOOKUP(L170,引用表合并!$A:$B,2,FALSE))</f>
        <v/>
      </c>
      <c r="L170" s="8"/>
      <c r="M170" s="8"/>
      <c r="O170" s="8" t="str">
        <f>IF(P170="","",VLOOKUP(P170,引用表合并!$A:$B,2,FALSE))</f>
        <v/>
      </c>
      <c r="P170" s="8"/>
      <c r="Q170" s="8"/>
      <c r="S170" s="8" t="str">
        <f>IF(T170="","",VLOOKUP(T170,引用表合并!$A:$B,2,FALSE))</f>
        <v/>
      </c>
      <c r="T170" s="8"/>
      <c r="U170" s="8"/>
      <c r="W170" s="8" t="str">
        <f>IF(X170="","",VLOOKUP(X170,引用表合并!$A:$B,2,FALSE))</f>
        <v/>
      </c>
      <c r="X170" s="8"/>
      <c r="Y170" s="8"/>
      <c r="AA170" s="8" t="str">
        <f>IF(AB170="","",VLOOKUP(AB170,引用表合并!$A:$B,2,FALSE))</f>
        <v/>
      </c>
      <c r="AB170" s="8"/>
      <c r="AC170" s="8"/>
      <c r="AE170" s="8" t="str">
        <f>IF(AF170="","",VLOOKUP(AF170,引用表合并!$A:$B,2,FALSE))</f>
        <v/>
      </c>
      <c r="AF170" s="8"/>
      <c r="AG170" s="8"/>
      <c r="AI170" s="8" t="str">
        <f>IF(AJ170="","",VLOOKUP(AJ170,引用表合并!$A:$B,2,FALSE))</f>
        <v/>
      </c>
      <c r="AJ170" s="8"/>
      <c r="AK170" s="8"/>
      <c r="AM170" s="8" t="str">
        <f>IF(AN170="","",VLOOKUP(AN170,引用表合并!$A:$B,2,FALSE))</f>
        <v/>
      </c>
      <c r="AN170" s="8"/>
      <c r="AO170" s="8"/>
      <c r="AQ170" s="8" t="str">
        <f>IF(AR170="","",VLOOKUP(AR170,引用表合并!$A:$B,2,FALSE))</f>
        <v/>
      </c>
      <c r="AR170" s="8"/>
      <c r="AS170" s="8"/>
      <c r="AU170" s="8" t="str">
        <f>IF(AV170="","",VLOOKUP(AV170,引用表合并!$A:$B,2,FALSE))</f>
        <v/>
      </c>
      <c r="AV170" s="8"/>
      <c r="AW170" s="8"/>
      <c r="AY170" s="8" t="str">
        <f>IF(AZ170="","",VLOOKUP(AZ170,引用表合并!$A:$B,2,FALSE))</f>
        <v/>
      </c>
      <c r="AZ170" s="8"/>
      <c r="BA170" s="8"/>
      <c r="BC170" s="8" t="str">
        <f>IF(BD170="","",VLOOKUP(BD170,引用表合并!$A:$B,2,FALSE))</f>
        <v/>
      </c>
      <c r="BD170" s="8"/>
      <c r="BF170" s="10"/>
      <c r="BG170" s="8" t="str">
        <f>IF(BH170="","",VLOOKUP(BH170,引用表合并!$A:$B,2,FALSE))</f>
        <v/>
      </c>
      <c r="BH170" s="8"/>
      <c r="BJ170" s="10"/>
      <c r="BK170" s="8" t="str">
        <f>IF(BL170="","",VLOOKUP(BL170,引用表合并!$A:$B,2,FALSE))</f>
        <v/>
      </c>
      <c r="BL170" s="8"/>
      <c r="BN170" s="10"/>
    </row>
    <row r="171" spans="1:66" x14ac:dyDescent="0.15">
      <c r="A171" s="8">
        <v>1306</v>
      </c>
      <c r="B171" s="8" t="str">
        <f>"地图:"&amp;VLOOKUP(A171,[1]地图配置辅助表!$A$3:$E$229,4,FALSE)</f>
        <v>地图:难度6（金币）</v>
      </c>
      <c r="C171" s="8">
        <v>0</v>
      </c>
      <c r="D171" s="8">
        <f t="shared" si="16"/>
        <v>0</v>
      </c>
      <c r="E171" s="16">
        <f t="shared" si="21"/>
        <v>0</v>
      </c>
      <c r="F171" s="16">
        <f t="shared" si="25"/>
        <v>0</v>
      </c>
      <c r="G171" s="8" t="str">
        <f>IF(H171="","",VLOOKUP(H171,引用表合并!$A:$B,2,FALSE))</f>
        <v/>
      </c>
      <c r="K171" s="8" t="str">
        <f>IF(L171="","",VLOOKUP(L171,引用表合并!$A:$B,2,FALSE))</f>
        <v/>
      </c>
      <c r="L171" s="8"/>
      <c r="M171" s="8"/>
      <c r="O171" s="8" t="str">
        <f>IF(P171="","",VLOOKUP(P171,引用表合并!$A:$B,2,FALSE))</f>
        <v/>
      </c>
      <c r="P171" s="8"/>
      <c r="Q171" s="8"/>
      <c r="S171" s="8" t="str">
        <f>IF(T171="","",VLOOKUP(T171,引用表合并!$A:$B,2,FALSE))</f>
        <v/>
      </c>
      <c r="T171" s="8"/>
      <c r="U171" s="8"/>
      <c r="W171" s="8" t="str">
        <f>IF(X171="","",VLOOKUP(X171,引用表合并!$A:$B,2,FALSE))</f>
        <v/>
      </c>
      <c r="X171" s="8"/>
      <c r="Y171" s="8"/>
      <c r="AA171" s="8" t="str">
        <f>IF(AB171="","",VLOOKUP(AB171,引用表合并!$A:$B,2,FALSE))</f>
        <v/>
      </c>
      <c r="AB171" s="8"/>
      <c r="AC171" s="8"/>
      <c r="AE171" s="8" t="str">
        <f>IF(AF171="","",VLOOKUP(AF171,引用表合并!$A:$B,2,FALSE))</f>
        <v/>
      </c>
      <c r="AF171" s="8"/>
      <c r="AG171" s="8"/>
      <c r="AI171" s="8" t="str">
        <f>IF(AJ171="","",VLOOKUP(AJ171,引用表合并!$A:$B,2,FALSE))</f>
        <v/>
      </c>
      <c r="AJ171" s="8"/>
      <c r="AK171" s="8"/>
      <c r="AM171" s="8" t="str">
        <f>IF(AN171="","",VLOOKUP(AN171,引用表合并!$A:$B,2,FALSE))</f>
        <v/>
      </c>
      <c r="AN171" s="8"/>
      <c r="AO171" s="8"/>
      <c r="AQ171" s="8" t="str">
        <f>IF(AR171="","",VLOOKUP(AR171,引用表合并!$A:$B,2,FALSE))</f>
        <v/>
      </c>
      <c r="AR171" s="8"/>
      <c r="AS171" s="8"/>
      <c r="AU171" s="8" t="str">
        <f>IF(AV171="","",VLOOKUP(AV171,引用表合并!$A:$B,2,FALSE))</f>
        <v/>
      </c>
      <c r="AV171" s="8"/>
      <c r="AW171" s="8"/>
      <c r="AY171" s="8" t="str">
        <f>IF(AZ171="","",VLOOKUP(AZ171,引用表合并!$A:$B,2,FALSE))</f>
        <v/>
      </c>
      <c r="AZ171" s="8"/>
      <c r="BA171" s="8"/>
      <c r="BC171" s="8" t="str">
        <f>IF(BD171="","",VLOOKUP(BD171,引用表合并!$A:$B,2,FALSE))</f>
        <v/>
      </c>
      <c r="BD171" s="8"/>
      <c r="BF171" s="10"/>
      <c r="BG171" s="8" t="str">
        <f>IF(BH171="","",VLOOKUP(BH171,引用表合并!$A:$B,2,FALSE))</f>
        <v/>
      </c>
      <c r="BH171" s="8"/>
      <c r="BJ171" s="10"/>
      <c r="BK171" s="8" t="str">
        <f>IF(BL171="","",VLOOKUP(BL171,引用表合并!$A:$B,2,FALSE))</f>
        <v/>
      </c>
      <c r="BL171" s="8"/>
      <c r="BN171" s="10"/>
    </row>
    <row r="172" spans="1:66" s="16" customFormat="1" x14ac:dyDescent="0.15">
      <c r="A172" s="16">
        <v>1401</v>
      </c>
      <c r="B172" s="8" t="str">
        <f>"地图:"&amp;VLOOKUP(A172,[1]地图配置辅助表!$A$3:$E$229,4,FALSE)</f>
        <v>地图:难度1(材料）</v>
      </c>
      <c r="C172" s="8">
        <v>0</v>
      </c>
      <c r="D172" s="16">
        <v>5</v>
      </c>
      <c r="E172" s="16">
        <f t="shared" si="21"/>
        <v>9</v>
      </c>
      <c r="F172" s="16">
        <v>4</v>
      </c>
      <c r="G172" s="8" t="str">
        <f>IF(H172="","",VLOOKUP(H172,引用表合并!$A:$B,2,FALSE))</f>
        <v>初级升星石</v>
      </c>
      <c r="H172" s="16">
        <v>70101</v>
      </c>
      <c r="I172" s="16">
        <v>1</v>
      </c>
      <c r="J172" s="16">
        <v>1</v>
      </c>
      <c r="K172" s="8" t="str">
        <f>IF(L172="","",VLOOKUP(L172,引用表合并!$A:$B,2,FALSE))</f>
        <v>部位材料(武器)</v>
      </c>
      <c r="L172" s="16">
        <v>70010</v>
      </c>
      <c r="M172" s="16">
        <v>4</v>
      </c>
      <c r="N172" s="16">
        <v>7000</v>
      </c>
      <c r="O172" s="8" t="str">
        <f>IF(P172="","",VLOOKUP(P172,引用表合并!$A:$B,2,FALSE))</f>
        <v>部位材料(衣服)</v>
      </c>
      <c r="P172" s="16">
        <v>71010</v>
      </c>
      <c r="Q172" s="16">
        <v>3</v>
      </c>
      <c r="R172" s="16">
        <v>7000</v>
      </c>
      <c r="S172" s="8" t="str">
        <f>IF(T172="","",VLOOKUP(T172,引用表合并!$A:$B,2,FALSE))</f>
        <v>部位材料(裤子)</v>
      </c>
      <c r="T172" s="16">
        <v>72010</v>
      </c>
      <c r="U172" s="16">
        <v>2</v>
      </c>
      <c r="V172" s="16">
        <v>7000</v>
      </c>
      <c r="W172" s="8" t="str">
        <f>IF(X172="","",VLOOKUP(X172,引用表合并!$A:$B,2,FALSE))</f>
        <v>部位材料(项链)</v>
      </c>
      <c r="X172" s="16">
        <v>73010</v>
      </c>
      <c r="Y172" s="16">
        <v>3</v>
      </c>
      <c r="Z172" s="16">
        <v>7000</v>
      </c>
      <c r="AA172" s="8" t="str">
        <f>IF(AB172="","",VLOOKUP(AB172,引用表合并!$A:$B,2,FALSE))</f>
        <v>部位材料(腰带)</v>
      </c>
      <c r="AB172" s="16">
        <v>74010</v>
      </c>
      <c r="AC172" s="16">
        <v>2</v>
      </c>
      <c r="AD172" s="16">
        <v>7000</v>
      </c>
      <c r="AE172" s="8" t="str">
        <f>IF(AF172="","",VLOOKUP(AF172,引用表合并!$A:$B,2,FALSE))</f>
        <v>部位材料(鞋子)</v>
      </c>
      <c r="AF172" s="16">
        <v>75010</v>
      </c>
      <c r="AG172" s="16">
        <v>2</v>
      </c>
      <c r="AH172" s="16">
        <v>7000</v>
      </c>
      <c r="AI172" s="8" t="str">
        <f>IF(AJ172="","",VLOOKUP(AJ172,引用表合并!$A:$B,2,FALSE))</f>
        <v>初级升星石</v>
      </c>
      <c r="AJ172" s="16">
        <v>70101</v>
      </c>
      <c r="AK172" s="16">
        <v>2</v>
      </c>
      <c r="AL172" s="16">
        <v>5000</v>
      </c>
      <c r="AM172" s="8" t="str">
        <f>IF(AN172="","",VLOOKUP(AN172,引用表合并!$A:$B,2,FALSE))</f>
        <v>初级升星石</v>
      </c>
      <c r="AN172" s="16">
        <v>70101</v>
      </c>
      <c r="AO172" s="16">
        <v>1</v>
      </c>
      <c r="AP172" s="16">
        <v>5000</v>
      </c>
      <c r="AQ172" s="8" t="str">
        <f>IF(AR172="","",VLOOKUP(AR172,引用表合并!$A:$B,2,FALSE))</f>
        <v/>
      </c>
      <c r="AR172" s="8"/>
      <c r="AU172" s="8" t="str">
        <f>IF(AV172="","",VLOOKUP(AV172,引用表合并!$A:$B,2,FALSE))</f>
        <v/>
      </c>
      <c r="AV172" s="8"/>
      <c r="AY172" s="8" t="str">
        <f>IF(AZ172="","",VLOOKUP(AZ172,引用表合并!$A:$B,2,FALSE))</f>
        <v/>
      </c>
      <c r="AZ172" s="8"/>
      <c r="BC172" s="8" t="str">
        <f>IF(BD172="","",VLOOKUP(BD172,引用表合并!$A:$B,2,FALSE))</f>
        <v/>
      </c>
      <c r="BD172" s="8"/>
      <c r="BG172" s="8"/>
      <c r="BH172" s="8"/>
      <c r="BK172" s="8"/>
      <c r="BL172" s="8"/>
    </row>
    <row r="173" spans="1:66" s="16" customFormat="1" x14ac:dyDescent="0.15">
      <c r="A173" s="16">
        <v>1402</v>
      </c>
      <c r="B173" s="8" t="str">
        <f>"地图:"&amp;VLOOKUP(A173,[1]地图配置辅助表!$A$3:$E$229,4,FALSE)</f>
        <v>地图:难度2(材料）</v>
      </c>
      <c r="C173" s="8">
        <v>0</v>
      </c>
      <c r="D173" s="16">
        <v>5</v>
      </c>
      <c r="E173" s="16">
        <f t="shared" si="21"/>
        <v>10</v>
      </c>
      <c r="F173" s="16">
        <v>4</v>
      </c>
      <c r="G173" s="8" t="str">
        <f>IF(H173="","",VLOOKUP(H173,引用表合并!$A:$B,2,FALSE))</f>
        <v>初级升星石</v>
      </c>
      <c r="H173" s="16">
        <v>70101</v>
      </c>
      <c r="I173" s="16">
        <v>1</v>
      </c>
      <c r="J173" s="16">
        <v>1</v>
      </c>
      <c r="K173" s="8" t="str">
        <f>IF(L173="","",VLOOKUP(L173,引用表合并!$A:$B,2,FALSE))</f>
        <v>部位材料(武器)</v>
      </c>
      <c r="L173" s="16">
        <v>70010</v>
      </c>
      <c r="M173" s="16">
        <v>5</v>
      </c>
      <c r="N173" s="16">
        <v>7000</v>
      </c>
      <c r="O173" s="8" t="str">
        <f>IF(P173="","",VLOOKUP(P173,引用表合并!$A:$B,2,FALSE))</f>
        <v>部位材料(衣服)</v>
      </c>
      <c r="P173" s="16">
        <v>71010</v>
      </c>
      <c r="Q173" s="16">
        <v>4</v>
      </c>
      <c r="R173" s="16">
        <v>7000</v>
      </c>
      <c r="S173" s="8" t="str">
        <f>IF(T173="","",VLOOKUP(T173,引用表合并!$A:$B,2,FALSE))</f>
        <v>部位材料(裤子)</v>
      </c>
      <c r="T173" s="16">
        <v>72010</v>
      </c>
      <c r="U173" s="16">
        <v>3</v>
      </c>
      <c r="V173" s="16">
        <v>7000</v>
      </c>
      <c r="W173" s="8" t="str">
        <f>IF(X173="","",VLOOKUP(X173,引用表合并!$A:$B,2,FALSE))</f>
        <v>部位材料(项链)</v>
      </c>
      <c r="X173" s="16">
        <v>73010</v>
      </c>
      <c r="Y173" s="16">
        <v>4</v>
      </c>
      <c r="Z173" s="16">
        <v>7000</v>
      </c>
      <c r="AA173" s="8" t="str">
        <f>IF(AB173="","",VLOOKUP(AB173,引用表合并!$A:$B,2,FALSE))</f>
        <v>部位材料(腰带)</v>
      </c>
      <c r="AB173" s="16">
        <v>74010</v>
      </c>
      <c r="AC173" s="16">
        <v>3</v>
      </c>
      <c r="AD173" s="16">
        <v>7000</v>
      </c>
      <c r="AE173" s="8" t="str">
        <f>IF(AF173="","",VLOOKUP(AF173,引用表合并!$A:$B,2,FALSE))</f>
        <v>部位材料(鞋子)</v>
      </c>
      <c r="AF173" s="16">
        <v>75010</v>
      </c>
      <c r="AG173" s="16">
        <v>3</v>
      </c>
      <c r="AH173" s="16">
        <v>7000</v>
      </c>
      <c r="AI173" s="8" t="str">
        <f>IF(AJ173="","",VLOOKUP(AJ173,引用表合并!$A:$B,2,FALSE))</f>
        <v>初级升星石</v>
      </c>
      <c r="AJ173" s="16">
        <v>70101</v>
      </c>
      <c r="AK173" s="16">
        <v>3</v>
      </c>
      <c r="AL173" s="16">
        <v>5000</v>
      </c>
      <c r="AM173" s="8" t="str">
        <f>IF(AN173="","",VLOOKUP(AN173,引用表合并!$A:$B,2,FALSE))</f>
        <v>初级升星石</v>
      </c>
      <c r="AN173" s="16">
        <v>70101</v>
      </c>
      <c r="AO173" s="16">
        <v>2</v>
      </c>
      <c r="AP173" s="16">
        <v>5000</v>
      </c>
      <c r="AQ173" s="8" t="str">
        <f>IF(AR173="","",VLOOKUP(AR173,引用表合并!$A:$B,2,FALSE))</f>
        <v>初级升星石</v>
      </c>
      <c r="AR173" s="16">
        <v>70101</v>
      </c>
      <c r="AS173" s="16">
        <v>1</v>
      </c>
      <c r="AT173" s="16">
        <v>5000</v>
      </c>
      <c r="AU173" s="8" t="str">
        <f>IF(AV173="","",VLOOKUP(AV173,引用表合并!$A:$B,2,FALSE))</f>
        <v/>
      </c>
      <c r="AY173" s="8" t="str">
        <f>IF(AZ173="","",VLOOKUP(AZ173,引用表合并!$A:$B,2,FALSE))</f>
        <v/>
      </c>
      <c r="BC173" s="8" t="str">
        <f>IF(BD173="","",VLOOKUP(BD173,引用表合并!$A:$B,2,FALSE))</f>
        <v/>
      </c>
      <c r="BG173" s="8" t="str">
        <f>IF(BH173="","",VLOOKUP(BH173,引用表合并!$A:$B,2,FALSE))</f>
        <v/>
      </c>
      <c r="BK173" s="8"/>
    </row>
    <row r="174" spans="1:66" s="16" customFormat="1" x14ac:dyDescent="0.15">
      <c r="A174" s="16">
        <v>1403</v>
      </c>
      <c r="B174" s="8" t="str">
        <f>"地图:"&amp;VLOOKUP(A174,[1]地图配置辅助表!$A$3:$E$229,4,FALSE)</f>
        <v>地图:难度3(材料）</v>
      </c>
      <c r="C174" s="8">
        <v>0</v>
      </c>
      <c r="D174" s="16">
        <v>5</v>
      </c>
      <c r="E174" s="16">
        <f t="shared" si="21"/>
        <v>11</v>
      </c>
      <c r="F174" s="16">
        <v>5</v>
      </c>
      <c r="G174" s="8" t="str">
        <f>IF(H174="","",VLOOKUP(H174,引用表合并!$A:$B,2,FALSE))</f>
        <v>中级升星石</v>
      </c>
      <c r="H174" s="16">
        <v>70201</v>
      </c>
      <c r="I174" s="16">
        <v>1</v>
      </c>
      <c r="J174" s="16">
        <v>1</v>
      </c>
      <c r="K174" s="8" t="str">
        <f>IF(L174="","",VLOOKUP(L174,引用表合并!$A:$B,2,FALSE))</f>
        <v>部位材料(武器)</v>
      </c>
      <c r="L174" s="16">
        <v>70010</v>
      </c>
      <c r="M174" s="16">
        <v>6</v>
      </c>
      <c r="N174" s="16">
        <v>7000</v>
      </c>
      <c r="O174" s="8" t="str">
        <f>IF(P174="","",VLOOKUP(P174,引用表合并!$A:$B,2,FALSE))</f>
        <v>部位材料(衣服)</v>
      </c>
      <c r="P174" s="16">
        <v>71010</v>
      </c>
      <c r="Q174" s="16">
        <v>5</v>
      </c>
      <c r="R174" s="16">
        <v>7000</v>
      </c>
      <c r="S174" s="8" t="str">
        <f>IF(T174="","",VLOOKUP(T174,引用表合并!$A:$B,2,FALSE))</f>
        <v>部位材料(裤子)</v>
      </c>
      <c r="T174" s="16">
        <v>72010</v>
      </c>
      <c r="U174" s="16">
        <v>4</v>
      </c>
      <c r="V174" s="16">
        <v>7000</v>
      </c>
      <c r="W174" s="8" t="str">
        <f>IF(X174="","",VLOOKUP(X174,引用表合并!$A:$B,2,FALSE))</f>
        <v>部位材料(项链)</v>
      </c>
      <c r="X174" s="16">
        <v>73010</v>
      </c>
      <c r="Y174" s="16">
        <v>5</v>
      </c>
      <c r="Z174" s="16">
        <v>7000</v>
      </c>
      <c r="AA174" s="8" t="str">
        <f>IF(AB174="","",VLOOKUP(AB174,引用表合并!$A:$B,2,FALSE))</f>
        <v>部位材料(腰带)</v>
      </c>
      <c r="AB174" s="16">
        <v>74010</v>
      </c>
      <c r="AC174" s="16">
        <v>4</v>
      </c>
      <c r="AD174" s="16">
        <v>7000</v>
      </c>
      <c r="AE174" s="8" t="str">
        <f>IF(AF174="","",VLOOKUP(AF174,引用表合并!$A:$B,2,FALSE))</f>
        <v>部位材料(鞋子)</v>
      </c>
      <c r="AF174" s="16">
        <v>75010</v>
      </c>
      <c r="AG174" s="16">
        <v>4</v>
      </c>
      <c r="AH174" s="16">
        <v>7000</v>
      </c>
      <c r="AI174" s="8" t="str">
        <f>IF(AJ174="","",VLOOKUP(AJ174,引用表合并!$A:$B,2,FALSE))</f>
        <v>初级升星石</v>
      </c>
      <c r="AJ174" s="16">
        <v>70101</v>
      </c>
      <c r="AK174" s="16">
        <v>5</v>
      </c>
      <c r="AL174" s="16">
        <v>5000</v>
      </c>
      <c r="AM174" s="8" t="str">
        <f>IF(AN174="","",VLOOKUP(AN174,引用表合并!$A:$B,2,FALSE))</f>
        <v>初级升星石</v>
      </c>
      <c r="AN174" s="16">
        <v>70101</v>
      </c>
      <c r="AO174" s="16">
        <v>3</v>
      </c>
      <c r="AP174" s="16">
        <v>5000</v>
      </c>
      <c r="AQ174" s="8" t="str">
        <f>IF(AR174="","",VLOOKUP(AR174,引用表合并!$A:$B,2,FALSE))</f>
        <v>初级升星石</v>
      </c>
      <c r="AR174" s="16">
        <v>70101</v>
      </c>
      <c r="AS174" s="16">
        <v>2</v>
      </c>
      <c r="AT174" s="16">
        <v>5000</v>
      </c>
      <c r="AU174" s="8" t="str">
        <f>IF(AV174="","",VLOOKUP(AV174,引用表合并!$A:$B,2,FALSE))</f>
        <v>初级升星石</v>
      </c>
      <c r="AV174" s="16">
        <v>70101</v>
      </c>
      <c r="AW174" s="16">
        <v>1</v>
      </c>
      <c r="AX174" s="16">
        <v>5000</v>
      </c>
      <c r="AY174" s="8" t="str">
        <f>IF(AZ174="","",VLOOKUP(AZ174,引用表合并!$A:$B,2,FALSE))</f>
        <v/>
      </c>
      <c r="BC174" s="8" t="str">
        <f>IF(BD174="","",VLOOKUP(BD174,引用表合并!$A:$B,2,FALSE))</f>
        <v/>
      </c>
      <c r="BG174" s="8" t="str">
        <f>IF(BH174="","",VLOOKUP(BH174,引用表合并!$A:$B,2,FALSE))</f>
        <v/>
      </c>
      <c r="BK174" s="8"/>
    </row>
    <row r="175" spans="1:66" s="16" customFormat="1" x14ac:dyDescent="0.15">
      <c r="A175" s="16">
        <v>1404</v>
      </c>
      <c r="B175" s="8" t="str">
        <f>"地图:"&amp;VLOOKUP(A175,[1]地图配置辅助表!$A$3:$E$229,4,FALSE)</f>
        <v>地图:难度4(材料）</v>
      </c>
      <c r="C175" s="8">
        <v>0</v>
      </c>
      <c r="D175" s="16">
        <v>5</v>
      </c>
      <c r="E175" s="16">
        <f t="shared" si="21"/>
        <v>11</v>
      </c>
      <c r="F175" s="16">
        <v>5</v>
      </c>
      <c r="G175" s="8" t="str">
        <f>IF(H175="","",VLOOKUP(H175,引用表合并!$A:$B,2,FALSE))</f>
        <v>中级升星石</v>
      </c>
      <c r="H175" s="16">
        <v>70201</v>
      </c>
      <c r="I175" s="16">
        <v>1</v>
      </c>
      <c r="J175" s="16">
        <v>1</v>
      </c>
      <c r="K175" s="8" t="str">
        <f>IF(L175="","",VLOOKUP(L175,引用表合并!$A:$B,2,FALSE))</f>
        <v>部位材料(武器)</v>
      </c>
      <c r="L175" s="16">
        <v>70010</v>
      </c>
      <c r="M175" s="16">
        <v>7</v>
      </c>
      <c r="N175" s="16">
        <v>7000</v>
      </c>
      <c r="O175" s="8" t="str">
        <f>IF(P175="","",VLOOKUP(P175,引用表合并!$A:$B,2,FALSE))</f>
        <v>部位材料(衣服)</v>
      </c>
      <c r="P175" s="16">
        <v>71010</v>
      </c>
      <c r="Q175" s="16">
        <v>6</v>
      </c>
      <c r="R175" s="16">
        <v>7000</v>
      </c>
      <c r="S175" s="8" t="str">
        <f>IF(T175="","",VLOOKUP(T175,引用表合并!$A:$B,2,FALSE))</f>
        <v>部位材料(裤子)</v>
      </c>
      <c r="T175" s="16">
        <v>72010</v>
      </c>
      <c r="U175" s="16">
        <v>5</v>
      </c>
      <c r="V175" s="16">
        <v>7000</v>
      </c>
      <c r="W175" s="8" t="str">
        <f>IF(X175="","",VLOOKUP(X175,引用表合并!$A:$B,2,FALSE))</f>
        <v>部位材料(项链)</v>
      </c>
      <c r="X175" s="16">
        <v>73010</v>
      </c>
      <c r="Y175" s="16">
        <v>6</v>
      </c>
      <c r="Z175" s="16">
        <v>7000</v>
      </c>
      <c r="AA175" s="8" t="str">
        <f>IF(AB175="","",VLOOKUP(AB175,引用表合并!$A:$B,2,FALSE))</f>
        <v>部位材料(腰带)</v>
      </c>
      <c r="AB175" s="16">
        <v>74010</v>
      </c>
      <c r="AC175" s="16">
        <v>5</v>
      </c>
      <c r="AD175" s="16">
        <v>7000</v>
      </c>
      <c r="AE175" s="8" t="str">
        <f>IF(AF175="","",VLOOKUP(AF175,引用表合并!$A:$B,2,FALSE))</f>
        <v>部位材料(鞋子)</v>
      </c>
      <c r="AF175" s="16">
        <v>75010</v>
      </c>
      <c r="AG175" s="16">
        <v>5</v>
      </c>
      <c r="AH175" s="16">
        <v>7000</v>
      </c>
      <c r="AI175" s="8" t="str">
        <f>IF(AJ175="","",VLOOKUP(AJ175,引用表合并!$A:$B,2,FALSE))</f>
        <v>初级升星石</v>
      </c>
      <c r="AJ175" s="16">
        <v>70101</v>
      </c>
      <c r="AK175" s="16">
        <v>5</v>
      </c>
      <c r="AL175" s="16">
        <v>5000</v>
      </c>
      <c r="AM175" s="8" t="str">
        <f>IF(AN175="","",VLOOKUP(AN175,引用表合并!$A:$B,2,FALSE))</f>
        <v>初级升星石</v>
      </c>
      <c r="AN175" s="16">
        <v>70101</v>
      </c>
      <c r="AO175" s="16">
        <v>3</v>
      </c>
      <c r="AP175" s="16">
        <v>5000</v>
      </c>
      <c r="AQ175" s="8" t="str">
        <f>IF(AR175="","",VLOOKUP(AR175,引用表合并!$A:$B,2,FALSE))</f>
        <v>初级升星石</v>
      </c>
      <c r="AR175" s="16">
        <v>70101</v>
      </c>
      <c r="AS175" s="16">
        <v>2</v>
      </c>
      <c r="AT175" s="16">
        <v>5000</v>
      </c>
      <c r="AU175" s="8" t="str">
        <f>IF(AV175="","",VLOOKUP(AV175,引用表合并!$A:$B,2,FALSE))</f>
        <v>初级升星石</v>
      </c>
      <c r="AV175" s="16">
        <v>70101</v>
      </c>
      <c r="AW175" s="16">
        <v>1</v>
      </c>
      <c r="AX175" s="16">
        <v>5000</v>
      </c>
      <c r="AY175" s="8" t="str">
        <f>IF(AZ175="","",VLOOKUP(AZ175,引用表合并!$A:$B,2,FALSE))</f>
        <v/>
      </c>
      <c r="BC175" s="8" t="str">
        <f>IF(BD175="","",VLOOKUP(BD175,引用表合并!$A:$B,2,FALSE))</f>
        <v/>
      </c>
      <c r="BG175" s="8" t="str">
        <f>IF(BH175="","",VLOOKUP(BH175,引用表合并!$A:$B,2,FALSE))</f>
        <v/>
      </c>
      <c r="BK175" s="8"/>
    </row>
    <row r="176" spans="1:66" s="16" customFormat="1" x14ac:dyDescent="0.15">
      <c r="A176" s="16">
        <v>1405</v>
      </c>
      <c r="B176" s="8" t="str">
        <f>"地图:"&amp;VLOOKUP(A176,[1]地图配置辅助表!$A$3:$E$229,4,FALSE)</f>
        <v>地图:难度5(材料）</v>
      </c>
      <c r="C176" s="8">
        <v>0</v>
      </c>
      <c r="D176" s="16">
        <v>5</v>
      </c>
      <c r="E176" s="16">
        <f t="shared" si="21"/>
        <v>11</v>
      </c>
      <c r="F176" s="16">
        <v>5</v>
      </c>
      <c r="G176" s="8" t="str">
        <f>IF(H176="","",VLOOKUP(H176,引用表合并!$A:$B,2,FALSE))</f>
        <v>中级升星石</v>
      </c>
      <c r="H176" s="16">
        <v>70201</v>
      </c>
      <c r="I176" s="16">
        <v>1</v>
      </c>
      <c r="J176" s="16">
        <v>1</v>
      </c>
      <c r="K176" s="8" t="str">
        <f>IF(L176="","",VLOOKUP(L176,引用表合并!$A:$B,2,FALSE))</f>
        <v>部位材料(武器)</v>
      </c>
      <c r="L176" s="16">
        <v>70010</v>
      </c>
      <c r="M176" s="16">
        <v>8</v>
      </c>
      <c r="N176" s="16">
        <v>7000</v>
      </c>
      <c r="O176" s="8" t="str">
        <f>IF(P176="","",VLOOKUP(P176,引用表合并!$A:$B,2,FALSE))</f>
        <v>部位材料(衣服)</v>
      </c>
      <c r="P176" s="16">
        <v>71010</v>
      </c>
      <c r="Q176" s="16">
        <v>7</v>
      </c>
      <c r="R176" s="16">
        <v>7000</v>
      </c>
      <c r="S176" s="8" t="str">
        <f>IF(T176="","",VLOOKUP(T176,引用表合并!$A:$B,2,FALSE))</f>
        <v>部位材料(裤子)</v>
      </c>
      <c r="T176" s="16">
        <v>72010</v>
      </c>
      <c r="U176" s="16">
        <v>6</v>
      </c>
      <c r="V176" s="16">
        <v>7000</v>
      </c>
      <c r="W176" s="8" t="str">
        <f>IF(X176="","",VLOOKUP(X176,引用表合并!$A:$B,2,FALSE))</f>
        <v>部位材料(项链)</v>
      </c>
      <c r="X176" s="16">
        <v>73010</v>
      </c>
      <c r="Y176" s="16">
        <v>7</v>
      </c>
      <c r="Z176" s="16">
        <v>7000</v>
      </c>
      <c r="AA176" s="8" t="str">
        <f>IF(AB176="","",VLOOKUP(AB176,引用表合并!$A:$B,2,FALSE))</f>
        <v>部位材料(腰带)</v>
      </c>
      <c r="AB176" s="16">
        <v>74010</v>
      </c>
      <c r="AC176" s="16">
        <v>6</v>
      </c>
      <c r="AD176" s="16">
        <v>7000</v>
      </c>
      <c r="AE176" s="8" t="str">
        <f>IF(AF176="","",VLOOKUP(AF176,引用表合并!$A:$B,2,FALSE))</f>
        <v>部位材料(鞋子)</v>
      </c>
      <c r="AF176" s="16">
        <v>75010</v>
      </c>
      <c r="AG176" s="16">
        <v>6</v>
      </c>
      <c r="AH176" s="16">
        <v>7000</v>
      </c>
      <c r="AI176" s="8" t="str">
        <f>IF(AJ176="","",VLOOKUP(AJ176,引用表合并!$A:$B,2,FALSE))</f>
        <v>初级升星石</v>
      </c>
      <c r="AJ176" s="16">
        <v>70101</v>
      </c>
      <c r="AK176" s="16">
        <v>5</v>
      </c>
      <c r="AL176" s="16">
        <v>5000</v>
      </c>
      <c r="AM176" s="8" t="str">
        <f>IF(AN176="","",VLOOKUP(AN176,引用表合并!$A:$B,2,FALSE))</f>
        <v>初级升星石</v>
      </c>
      <c r="AN176" s="16">
        <v>70101</v>
      </c>
      <c r="AO176" s="16">
        <v>3</v>
      </c>
      <c r="AP176" s="16">
        <v>5000</v>
      </c>
      <c r="AQ176" s="8" t="str">
        <f>IF(AR176="","",VLOOKUP(AR176,引用表合并!$A:$B,2,FALSE))</f>
        <v>初级升星石</v>
      </c>
      <c r="AR176" s="16">
        <v>70101</v>
      </c>
      <c r="AS176" s="16">
        <v>2</v>
      </c>
      <c r="AT176" s="16">
        <v>5000</v>
      </c>
      <c r="AU176" s="8" t="str">
        <f>IF(AV176="","",VLOOKUP(AV176,引用表合并!$A:$B,2,FALSE))</f>
        <v>初级升星石</v>
      </c>
      <c r="AV176" s="16">
        <v>70101</v>
      </c>
      <c r="AW176" s="16">
        <v>1</v>
      </c>
      <c r="AX176" s="16">
        <v>5000</v>
      </c>
      <c r="AY176" s="8" t="str">
        <f>IF(AZ176="","",VLOOKUP(AZ176,引用表合并!$A:$B,2,FALSE))</f>
        <v/>
      </c>
      <c r="BC176" s="8" t="str">
        <f>IF(BD176="","",VLOOKUP(BD176,引用表合并!$A:$B,2,FALSE))</f>
        <v/>
      </c>
      <c r="BG176" s="8"/>
      <c r="BK176" s="8"/>
    </row>
    <row r="177" spans="1:66" s="16" customFormat="1" x14ac:dyDescent="0.15">
      <c r="A177" s="16">
        <v>1406</v>
      </c>
      <c r="B177" s="8" t="str">
        <f>"地图:"&amp;VLOOKUP(A177,[1]地图配置辅助表!$A$3:$E$229,4,FALSE)</f>
        <v>地图:难度6(材料）</v>
      </c>
      <c r="C177" s="8">
        <v>0</v>
      </c>
      <c r="D177" s="16">
        <v>5</v>
      </c>
      <c r="E177" s="16">
        <f t="shared" si="21"/>
        <v>11</v>
      </c>
      <c r="F177" s="16">
        <v>5</v>
      </c>
      <c r="G177" s="8" t="str">
        <f>IF(H177="","",VLOOKUP(H177,引用表合并!$A:$B,2,FALSE))</f>
        <v>高级升星石</v>
      </c>
      <c r="H177" s="16">
        <v>70301</v>
      </c>
      <c r="I177" s="16">
        <v>1</v>
      </c>
      <c r="J177" s="16">
        <v>1</v>
      </c>
      <c r="K177" s="8" t="str">
        <f>IF(L177="","",VLOOKUP(L177,引用表合并!$A:$B,2,FALSE))</f>
        <v>部位材料(武器)</v>
      </c>
      <c r="L177" s="16">
        <v>70010</v>
      </c>
      <c r="M177" s="16">
        <v>9</v>
      </c>
      <c r="N177" s="16">
        <v>7000</v>
      </c>
      <c r="O177" s="8" t="str">
        <f>IF(P177="","",VLOOKUP(P177,引用表合并!$A:$B,2,FALSE))</f>
        <v>部位材料(衣服)</v>
      </c>
      <c r="P177" s="16">
        <v>71010</v>
      </c>
      <c r="Q177" s="16">
        <v>8</v>
      </c>
      <c r="R177" s="16">
        <v>7000</v>
      </c>
      <c r="S177" s="8" t="str">
        <f>IF(T177="","",VLOOKUP(T177,引用表合并!$A:$B,2,FALSE))</f>
        <v>部位材料(裤子)</v>
      </c>
      <c r="T177" s="16">
        <v>72010</v>
      </c>
      <c r="U177" s="16">
        <v>7</v>
      </c>
      <c r="V177" s="16">
        <v>7000</v>
      </c>
      <c r="W177" s="8" t="str">
        <f>IF(X177="","",VLOOKUP(X177,引用表合并!$A:$B,2,FALSE))</f>
        <v>部位材料(项链)</v>
      </c>
      <c r="X177" s="16">
        <v>73010</v>
      </c>
      <c r="Y177" s="16">
        <v>8</v>
      </c>
      <c r="Z177" s="16">
        <v>7000</v>
      </c>
      <c r="AA177" s="8" t="str">
        <f>IF(AB177="","",VLOOKUP(AB177,引用表合并!$A:$B,2,FALSE))</f>
        <v>部位材料(腰带)</v>
      </c>
      <c r="AB177" s="16">
        <v>74010</v>
      </c>
      <c r="AC177" s="16">
        <v>7</v>
      </c>
      <c r="AD177" s="16">
        <v>7000</v>
      </c>
      <c r="AE177" s="8" t="str">
        <f>IF(AF177="","",VLOOKUP(AF177,引用表合并!$A:$B,2,FALSE))</f>
        <v>部位材料(鞋子)</v>
      </c>
      <c r="AF177" s="16">
        <v>75010</v>
      </c>
      <c r="AG177" s="16">
        <v>7</v>
      </c>
      <c r="AH177" s="16">
        <v>7000</v>
      </c>
      <c r="AI177" s="8" t="str">
        <f>IF(AJ177="","",VLOOKUP(AJ177,引用表合并!$A:$B,2,FALSE))</f>
        <v>中级升星石</v>
      </c>
      <c r="AJ177" s="16">
        <v>70201</v>
      </c>
      <c r="AK177" s="16">
        <v>2</v>
      </c>
      <c r="AL177" s="16">
        <v>5000</v>
      </c>
      <c r="AM177" s="8" t="str">
        <f>IF(AN177="","",VLOOKUP(AN177,引用表合并!$A:$B,2,FALSE))</f>
        <v>中级升星石</v>
      </c>
      <c r="AN177" s="16">
        <v>70201</v>
      </c>
      <c r="AO177" s="16">
        <v>2</v>
      </c>
      <c r="AP177" s="16">
        <v>5000</v>
      </c>
      <c r="AQ177" s="8" t="str">
        <f>IF(AR177="","",VLOOKUP(AR177,引用表合并!$A:$B,2,FALSE))</f>
        <v>中级升星石</v>
      </c>
      <c r="AR177" s="16">
        <v>70201</v>
      </c>
      <c r="AS177" s="16">
        <v>1</v>
      </c>
      <c r="AT177" s="16">
        <v>5000</v>
      </c>
      <c r="AU177" s="8" t="str">
        <f>IF(AV177="","",VLOOKUP(AV177,引用表合并!$A:$B,2,FALSE))</f>
        <v>中级升星石</v>
      </c>
      <c r="AV177" s="16">
        <v>70201</v>
      </c>
      <c r="AW177" s="16">
        <v>1</v>
      </c>
      <c r="AX177" s="16">
        <v>5000</v>
      </c>
      <c r="AY177" s="8" t="str">
        <f>IF(AZ177="","",VLOOKUP(AZ177,引用表合并!$A:$B,2,FALSE))</f>
        <v/>
      </c>
      <c r="BC177" s="8" t="str">
        <f>IF(BD177="","",VLOOKUP(BD177,引用表合并!$A:$B,2,FALSE))</f>
        <v/>
      </c>
      <c r="BG177" s="8"/>
      <c r="BK177" s="8"/>
    </row>
    <row r="178" spans="1:66" x14ac:dyDescent="0.15">
      <c r="A178" s="8">
        <v>1601</v>
      </c>
      <c r="B178" s="8" t="str">
        <f>"地图:"&amp;VLOOKUP(A178,[1]地图配置辅助表!$A$3:$E$229,4,FALSE)</f>
        <v>地图:组队1</v>
      </c>
      <c r="C178" s="8">
        <v>0</v>
      </c>
      <c r="D178" s="8">
        <f t="shared" ref="D178:D327" si="26">E178</f>
        <v>0</v>
      </c>
      <c r="E178" s="16">
        <f t="shared" si="21"/>
        <v>0</v>
      </c>
      <c r="F178" s="16">
        <f t="shared" si="25"/>
        <v>0</v>
      </c>
      <c r="G178" s="8" t="str">
        <f>IF(H178="","",VLOOKUP(H178,引用表合并!$A:$B,2,FALSE))</f>
        <v/>
      </c>
      <c r="K178" s="8" t="str">
        <f>IF(L178="","",VLOOKUP(L178,引用表合并!$A:$B,2,FALSE))</f>
        <v/>
      </c>
      <c r="L178" s="8"/>
      <c r="M178" s="8"/>
      <c r="O178" s="8" t="str">
        <f>IF(P178="","",VLOOKUP(P178,引用表合并!$A:$B,2,FALSE))</f>
        <v/>
      </c>
      <c r="P178" s="8"/>
      <c r="Q178" s="8"/>
      <c r="S178" s="8" t="str">
        <f>IF(T178="","",VLOOKUP(T178,引用表合并!$A:$B,2,FALSE))</f>
        <v/>
      </c>
      <c r="T178" s="8"/>
      <c r="U178" s="8"/>
      <c r="W178" s="8" t="str">
        <f>IF(X178="","",VLOOKUP(X178,引用表合并!$A:$B,2,FALSE))</f>
        <v/>
      </c>
      <c r="X178" s="8"/>
      <c r="Y178" s="8"/>
      <c r="AA178" s="8" t="str">
        <f>IF(AB178="","",VLOOKUP(AB178,引用表合并!$A:$B,2,FALSE))</f>
        <v/>
      </c>
      <c r="AB178" s="8"/>
      <c r="AC178" s="8"/>
      <c r="AE178" s="8" t="str">
        <f>IF(AF178="","",VLOOKUP(AF178,引用表合并!$A:$B,2,FALSE))</f>
        <v/>
      </c>
      <c r="AF178" s="8"/>
      <c r="AG178" s="8"/>
      <c r="AI178" s="8" t="str">
        <f>IF(AJ178="","",VLOOKUP(AJ178,引用表合并!$A:$B,2,FALSE))</f>
        <v/>
      </c>
      <c r="AJ178" s="8"/>
      <c r="AK178" s="8"/>
      <c r="AM178" s="8" t="str">
        <f>IF(AN178="","",VLOOKUP(AN178,引用表合并!$A:$B,2,FALSE))</f>
        <v/>
      </c>
      <c r="AN178" s="8"/>
      <c r="AO178" s="8"/>
      <c r="AQ178" s="8" t="str">
        <f>IF(AR178="","",VLOOKUP(AR178,引用表合并!$A:$B,2,FALSE))</f>
        <v/>
      </c>
      <c r="AR178" s="8"/>
      <c r="AS178" s="8"/>
      <c r="AU178" s="8" t="str">
        <f>IF(AV178="","",VLOOKUP(AV178,引用表合并!$A:$B,2,FALSE))</f>
        <v/>
      </c>
      <c r="AV178" s="8"/>
      <c r="AW178" s="8"/>
      <c r="AY178" s="8" t="str">
        <f>IF(AZ178="","",VLOOKUP(AZ178,引用表合并!$A:$B,2,FALSE))</f>
        <v/>
      </c>
      <c r="AZ178" s="8"/>
      <c r="BA178" s="8"/>
      <c r="BC178" s="8" t="str">
        <f>IF(BD178="","",VLOOKUP(BD178,引用表合并!$A:$B,2,FALSE))</f>
        <v/>
      </c>
      <c r="BD178" s="8"/>
      <c r="BF178" s="10"/>
      <c r="BG178" s="8" t="str">
        <f>IF(BH178="","",VLOOKUP(BH178,引用表合并!$A:$B,2,FALSE))</f>
        <v/>
      </c>
      <c r="BH178" s="8"/>
      <c r="BJ178" s="10"/>
      <c r="BK178" s="8" t="str">
        <f>IF(BL178="","",VLOOKUP(BL178,引用表合并!$A:$B,2,FALSE))</f>
        <v/>
      </c>
      <c r="BL178" s="8"/>
      <c r="BN178" s="10"/>
    </row>
    <row r="179" spans="1:66" x14ac:dyDescent="0.15">
      <c r="A179" s="8">
        <v>1602</v>
      </c>
      <c r="B179" s="8" t="str">
        <f>"地图:"&amp;VLOOKUP(A179,[1]地图配置辅助表!$A$3:$E$229,4,FALSE)</f>
        <v>地图:组队2</v>
      </c>
      <c r="C179" s="8">
        <v>0</v>
      </c>
      <c r="D179" s="8">
        <f t="shared" si="26"/>
        <v>0</v>
      </c>
      <c r="E179" s="16">
        <f t="shared" si="21"/>
        <v>0</v>
      </c>
      <c r="F179" s="16">
        <f t="shared" si="25"/>
        <v>0</v>
      </c>
      <c r="G179" s="8" t="str">
        <f>IF(H179="","",VLOOKUP(H179,引用表合并!$A:$B,2,FALSE))</f>
        <v/>
      </c>
      <c r="K179" s="8" t="str">
        <f>IF(L179="","",VLOOKUP(L179,引用表合并!$A:$B,2,FALSE))</f>
        <v/>
      </c>
      <c r="L179" s="8"/>
      <c r="M179" s="8"/>
      <c r="O179" s="8" t="str">
        <f>IF(P179="","",VLOOKUP(P179,引用表合并!$A:$B,2,FALSE))</f>
        <v/>
      </c>
      <c r="P179" s="8"/>
      <c r="Q179" s="8"/>
      <c r="S179" s="8" t="str">
        <f>IF(T179="","",VLOOKUP(T179,引用表合并!$A:$B,2,FALSE))</f>
        <v/>
      </c>
      <c r="T179" s="8"/>
      <c r="U179" s="8"/>
      <c r="W179" s="8" t="str">
        <f>IF(X179="","",VLOOKUP(X179,引用表合并!$A:$B,2,FALSE))</f>
        <v/>
      </c>
      <c r="X179" s="8"/>
      <c r="Y179" s="8"/>
      <c r="AA179" s="8" t="str">
        <f>IF(AB179="","",VLOOKUP(AB179,引用表合并!$A:$B,2,FALSE))</f>
        <v/>
      </c>
      <c r="AB179" s="8"/>
      <c r="AC179" s="8"/>
      <c r="AE179" s="8" t="str">
        <f>IF(AF179="","",VLOOKUP(AF179,引用表合并!$A:$B,2,FALSE))</f>
        <v/>
      </c>
      <c r="AF179" s="8"/>
      <c r="AG179" s="8"/>
      <c r="AI179" s="8" t="str">
        <f>IF(AJ179="","",VLOOKUP(AJ179,引用表合并!$A:$B,2,FALSE))</f>
        <v/>
      </c>
      <c r="AJ179" s="8"/>
      <c r="AK179" s="8"/>
      <c r="AM179" s="8" t="str">
        <f>IF(AN179="","",VLOOKUP(AN179,引用表合并!$A:$B,2,FALSE))</f>
        <v/>
      </c>
      <c r="AN179" s="8"/>
      <c r="AO179" s="8"/>
      <c r="AQ179" s="8" t="str">
        <f>IF(AR179="","",VLOOKUP(AR179,引用表合并!$A:$B,2,FALSE))</f>
        <v/>
      </c>
      <c r="AR179" s="8"/>
      <c r="AS179" s="8"/>
      <c r="AU179" s="8" t="str">
        <f>IF(AV179="","",VLOOKUP(AV179,引用表合并!$A:$B,2,FALSE))</f>
        <v/>
      </c>
      <c r="AV179" s="8"/>
      <c r="AW179" s="8"/>
      <c r="AY179" s="8" t="str">
        <f>IF(AZ179="","",VLOOKUP(AZ179,引用表合并!$A:$B,2,FALSE))</f>
        <v/>
      </c>
      <c r="AZ179" s="8"/>
      <c r="BA179" s="8"/>
      <c r="BC179" s="8" t="str">
        <f>IF(BD179="","",VLOOKUP(BD179,引用表合并!$A:$B,2,FALSE))</f>
        <v/>
      </c>
      <c r="BD179" s="8"/>
      <c r="BF179" s="10"/>
      <c r="BG179" s="8" t="str">
        <f>IF(BH179="","",VLOOKUP(BH179,引用表合并!$A:$B,2,FALSE))</f>
        <v/>
      </c>
      <c r="BH179" s="8"/>
      <c r="BJ179" s="10"/>
      <c r="BK179" s="8" t="str">
        <f>IF(BL179="","",VLOOKUP(BL179,引用表合并!$A:$B,2,FALSE))</f>
        <v/>
      </c>
      <c r="BL179" s="8"/>
      <c r="BN179" s="10"/>
    </row>
    <row r="180" spans="1:66" x14ac:dyDescent="0.15">
      <c r="A180" s="8">
        <v>1603</v>
      </c>
      <c r="B180" s="8" t="str">
        <f>"地图:"&amp;VLOOKUP(A180,[1]地图配置辅助表!$A$3:$E$229,4,FALSE)</f>
        <v>地图:组队3</v>
      </c>
      <c r="C180" s="8">
        <v>0</v>
      </c>
      <c r="D180" s="8">
        <f t="shared" si="26"/>
        <v>0</v>
      </c>
      <c r="E180" s="16">
        <f t="shared" si="21"/>
        <v>0</v>
      </c>
      <c r="F180" s="16">
        <f t="shared" si="25"/>
        <v>0</v>
      </c>
      <c r="G180" s="8" t="str">
        <f>IF(H180="","",VLOOKUP(H180,引用表合并!$A:$B,2,FALSE))</f>
        <v/>
      </c>
      <c r="K180" s="8" t="str">
        <f>IF(L180="","",VLOOKUP(L180,引用表合并!$A:$B,2,FALSE))</f>
        <v/>
      </c>
      <c r="L180" s="8"/>
      <c r="M180" s="8"/>
      <c r="O180" s="8" t="str">
        <f>IF(P180="","",VLOOKUP(P180,引用表合并!$A:$B,2,FALSE))</f>
        <v/>
      </c>
      <c r="P180" s="8"/>
      <c r="Q180" s="8"/>
      <c r="S180" s="8" t="str">
        <f>IF(T180="","",VLOOKUP(T180,引用表合并!$A:$B,2,FALSE))</f>
        <v/>
      </c>
      <c r="T180" s="8"/>
      <c r="U180" s="8"/>
      <c r="W180" s="8" t="str">
        <f>IF(X180="","",VLOOKUP(X180,引用表合并!$A:$B,2,FALSE))</f>
        <v/>
      </c>
      <c r="X180" s="8"/>
      <c r="Y180" s="8"/>
      <c r="AA180" s="8" t="str">
        <f>IF(AB180="","",VLOOKUP(AB180,引用表合并!$A:$B,2,FALSE))</f>
        <v/>
      </c>
      <c r="AB180" s="8"/>
      <c r="AC180" s="8"/>
      <c r="AE180" s="8" t="str">
        <f>IF(AF180="","",VLOOKUP(AF180,引用表合并!$A:$B,2,FALSE))</f>
        <v/>
      </c>
      <c r="AF180" s="8"/>
      <c r="AG180" s="8"/>
      <c r="AI180" s="8" t="str">
        <f>IF(AJ180="","",VLOOKUP(AJ180,引用表合并!$A:$B,2,FALSE))</f>
        <v/>
      </c>
      <c r="AJ180" s="8"/>
      <c r="AK180" s="8"/>
      <c r="AM180" s="8" t="str">
        <f>IF(AN180="","",VLOOKUP(AN180,引用表合并!$A:$B,2,FALSE))</f>
        <v/>
      </c>
      <c r="AN180" s="8"/>
      <c r="AO180" s="8"/>
      <c r="AQ180" s="8" t="str">
        <f>IF(AR180="","",VLOOKUP(AR180,引用表合并!$A:$B,2,FALSE))</f>
        <v/>
      </c>
      <c r="AR180" s="8"/>
      <c r="AS180" s="8"/>
      <c r="AU180" s="8" t="str">
        <f>IF(AV180="","",VLOOKUP(AV180,引用表合并!$A:$B,2,FALSE))</f>
        <v/>
      </c>
      <c r="AV180" s="8"/>
      <c r="AW180" s="8"/>
      <c r="AY180" s="8" t="str">
        <f>IF(AZ180="","",VLOOKUP(AZ180,引用表合并!$A:$B,2,FALSE))</f>
        <v/>
      </c>
      <c r="AZ180" s="8"/>
      <c r="BA180" s="8"/>
      <c r="BC180" s="8" t="str">
        <f>IF(BD180="","",VLOOKUP(BD180,引用表合并!$A:$B,2,FALSE))</f>
        <v/>
      </c>
      <c r="BD180" s="8"/>
      <c r="BF180" s="10"/>
      <c r="BG180" s="8" t="str">
        <f>IF(BH180="","",VLOOKUP(BH180,引用表合并!$A:$B,2,FALSE))</f>
        <v/>
      </c>
      <c r="BH180" s="8"/>
      <c r="BJ180" s="10"/>
      <c r="BK180" s="8" t="str">
        <f>IF(BL180="","",VLOOKUP(BL180,引用表合并!$A:$B,2,FALSE))</f>
        <v/>
      </c>
      <c r="BL180" s="8"/>
      <c r="BN180" s="10"/>
    </row>
    <row r="181" spans="1:66" x14ac:dyDescent="0.15">
      <c r="A181" s="8">
        <v>2401</v>
      </c>
      <c r="B181" s="8" t="str">
        <f>"地图:"&amp;VLOOKUP(A181,[1]地图配置辅助表!$A$3:$E$229,4,FALSE)</f>
        <v>地图:竞技场1</v>
      </c>
      <c r="C181" s="8">
        <v>0</v>
      </c>
      <c r="D181" s="8">
        <f t="shared" si="26"/>
        <v>0</v>
      </c>
      <c r="E181" s="16">
        <f t="shared" si="21"/>
        <v>0</v>
      </c>
      <c r="F181" s="16">
        <f t="shared" si="25"/>
        <v>0</v>
      </c>
      <c r="G181" s="8" t="str">
        <f>IF(H181="","",VLOOKUP(H181,引用表合并!$A:$B,2,FALSE))</f>
        <v/>
      </c>
      <c r="K181" s="8" t="str">
        <f>IF(L181="","",VLOOKUP(L181,引用表合并!$A:$B,2,FALSE))</f>
        <v/>
      </c>
      <c r="L181" s="8"/>
      <c r="M181" s="8"/>
      <c r="O181" s="8" t="str">
        <f>IF(P181="","",VLOOKUP(P181,引用表合并!$A:$B,2,FALSE))</f>
        <v/>
      </c>
      <c r="P181" s="8"/>
      <c r="Q181" s="8"/>
      <c r="S181" s="8" t="str">
        <f>IF(T181="","",VLOOKUP(T181,引用表合并!$A:$B,2,FALSE))</f>
        <v/>
      </c>
      <c r="T181" s="8"/>
      <c r="U181" s="8"/>
      <c r="W181" s="8" t="str">
        <f>IF(X181="","",VLOOKUP(X181,引用表合并!$A:$B,2,FALSE))</f>
        <v/>
      </c>
      <c r="X181" s="8"/>
      <c r="Y181" s="8"/>
      <c r="AA181" s="8" t="str">
        <f>IF(AB181="","",VLOOKUP(AB181,引用表合并!$A:$B,2,FALSE))</f>
        <v/>
      </c>
      <c r="AB181" s="8"/>
      <c r="AC181" s="8"/>
      <c r="AE181" s="8" t="str">
        <f>IF(AF181="","",VLOOKUP(AF181,引用表合并!$A:$B,2,FALSE))</f>
        <v/>
      </c>
      <c r="AF181" s="8"/>
      <c r="AG181" s="8"/>
      <c r="AI181" s="8" t="str">
        <f>IF(AJ181="","",VLOOKUP(AJ181,引用表合并!$A:$B,2,FALSE))</f>
        <v/>
      </c>
      <c r="AJ181" s="8"/>
      <c r="AK181" s="8"/>
      <c r="AM181" s="8" t="str">
        <f>IF(AN181="","",VLOOKUP(AN181,引用表合并!$A:$B,2,FALSE))</f>
        <v/>
      </c>
      <c r="AN181" s="8"/>
      <c r="AO181" s="8"/>
      <c r="AQ181" s="8" t="str">
        <f>IF(AR181="","",VLOOKUP(AR181,引用表合并!$A:$B,2,FALSE))</f>
        <v/>
      </c>
      <c r="AR181" s="8"/>
      <c r="AS181" s="8"/>
      <c r="AU181" s="8" t="str">
        <f>IF(AV181="","",VLOOKUP(AV181,引用表合并!$A:$B,2,FALSE))</f>
        <v/>
      </c>
      <c r="AV181" s="8"/>
      <c r="AW181" s="8"/>
      <c r="AY181" s="8" t="str">
        <f>IF(AZ181="","",VLOOKUP(AZ181,引用表合并!$A:$B,2,FALSE))</f>
        <v/>
      </c>
      <c r="AZ181" s="8"/>
      <c r="BA181" s="8"/>
      <c r="BC181" s="8" t="str">
        <f>IF(BD181="","",VLOOKUP(BD181,引用表合并!$A:$B,2,FALSE))</f>
        <v/>
      </c>
      <c r="BD181" s="8"/>
      <c r="BF181" s="10"/>
      <c r="BG181" s="8" t="str">
        <f>IF(BH181="","",VLOOKUP(BH181,引用表合并!$A:$B,2,FALSE))</f>
        <v/>
      </c>
      <c r="BH181" s="8"/>
      <c r="BJ181" s="10"/>
      <c r="BK181" s="8" t="str">
        <f>IF(BL181="","",VLOOKUP(BL181,引用表合并!$A:$B,2,FALSE))</f>
        <v/>
      </c>
      <c r="BL181" s="8"/>
      <c r="BN181" s="10"/>
    </row>
    <row r="182" spans="1:66" x14ac:dyDescent="0.15">
      <c r="A182" s="8">
        <v>2402</v>
      </c>
      <c r="B182" s="8" t="str">
        <f>"地图:"&amp;VLOOKUP(A182,[1]地图配置辅助表!$A$3:$E$229,4,FALSE)</f>
        <v>地图:竞技场2</v>
      </c>
      <c r="C182" s="8">
        <v>0</v>
      </c>
      <c r="D182" s="8">
        <f t="shared" si="26"/>
        <v>0</v>
      </c>
      <c r="E182" s="16">
        <f t="shared" si="21"/>
        <v>0</v>
      </c>
      <c r="F182" s="16">
        <f t="shared" si="25"/>
        <v>0</v>
      </c>
      <c r="G182" s="8" t="str">
        <f>IF(H182="","",VLOOKUP(H182,引用表合并!$A:$B,2,FALSE))</f>
        <v/>
      </c>
      <c r="K182" s="8" t="str">
        <f>IF(L182="","",VLOOKUP(L182,引用表合并!$A:$B,2,FALSE))</f>
        <v/>
      </c>
      <c r="L182" s="8"/>
      <c r="M182" s="8"/>
      <c r="O182" s="8" t="str">
        <f>IF(P182="","",VLOOKUP(P182,引用表合并!$A:$B,2,FALSE))</f>
        <v/>
      </c>
      <c r="P182" s="8"/>
      <c r="Q182" s="8"/>
      <c r="S182" s="8" t="str">
        <f>IF(T182="","",VLOOKUP(T182,引用表合并!$A:$B,2,FALSE))</f>
        <v/>
      </c>
      <c r="T182" s="8"/>
      <c r="U182" s="8"/>
      <c r="W182" s="8" t="str">
        <f>IF(X182="","",VLOOKUP(X182,引用表合并!$A:$B,2,FALSE))</f>
        <v/>
      </c>
      <c r="X182" s="8"/>
      <c r="Y182" s="8"/>
      <c r="AA182" s="8" t="str">
        <f>IF(AB182="","",VLOOKUP(AB182,引用表合并!$A:$B,2,FALSE))</f>
        <v/>
      </c>
      <c r="AB182" s="8"/>
      <c r="AC182" s="8"/>
      <c r="AE182" s="8" t="str">
        <f>IF(AF182="","",VLOOKUP(AF182,引用表合并!$A:$B,2,FALSE))</f>
        <v/>
      </c>
      <c r="AF182" s="8"/>
      <c r="AG182" s="8"/>
      <c r="AI182" s="8" t="str">
        <f>IF(AJ182="","",VLOOKUP(AJ182,引用表合并!$A:$B,2,FALSE))</f>
        <v/>
      </c>
      <c r="AJ182" s="8"/>
      <c r="AK182" s="8"/>
      <c r="AM182" s="8" t="str">
        <f>IF(AN182="","",VLOOKUP(AN182,引用表合并!$A:$B,2,FALSE))</f>
        <v/>
      </c>
      <c r="AN182" s="8"/>
      <c r="AO182" s="8"/>
      <c r="AQ182" s="8" t="str">
        <f>IF(AR182="","",VLOOKUP(AR182,引用表合并!$A:$B,2,FALSE))</f>
        <v/>
      </c>
      <c r="AR182" s="8"/>
      <c r="AS182" s="8"/>
      <c r="AU182" s="8" t="str">
        <f>IF(AV182="","",VLOOKUP(AV182,引用表合并!$A:$B,2,FALSE))</f>
        <v/>
      </c>
      <c r="AV182" s="8"/>
      <c r="AW182" s="8"/>
      <c r="AY182" s="8" t="str">
        <f>IF(AZ182="","",VLOOKUP(AZ182,引用表合并!$A:$B,2,FALSE))</f>
        <v/>
      </c>
      <c r="AZ182" s="8"/>
      <c r="BA182" s="8"/>
      <c r="BC182" s="8" t="str">
        <f>IF(BD182="","",VLOOKUP(BD182,引用表合并!$A:$B,2,FALSE))</f>
        <v/>
      </c>
      <c r="BD182" s="8"/>
      <c r="BF182" s="10"/>
      <c r="BG182" s="8" t="str">
        <f>IF(BH182="","",VLOOKUP(BH182,引用表合并!$A:$B,2,FALSE))</f>
        <v/>
      </c>
      <c r="BH182" s="8"/>
      <c r="BJ182" s="10"/>
      <c r="BK182" s="8" t="str">
        <f>IF(BL182="","",VLOOKUP(BL182,引用表合并!$A:$B,2,FALSE))</f>
        <v/>
      </c>
      <c r="BL182" s="8"/>
      <c r="BN182" s="10"/>
    </row>
    <row r="183" spans="1:66" x14ac:dyDescent="0.15">
      <c r="A183" s="8">
        <v>2403</v>
      </c>
      <c r="B183" s="8" t="str">
        <f>"地图:"&amp;VLOOKUP(A183,[1]地图配置辅助表!$A$3:$E$229,4,FALSE)</f>
        <v>地图:竞技场3</v>
      </c>
      <c r="C183" s="8">
        <v>0</v>
      </c>
      <c r="D183" s="8">
        <f t="shared" si="26"/>
        <v>0</v>
      </c>
      <c r="E183" s="16">
        <f t="shared" si="21"/>
        <v>0</v>
      </c>
      <c r="F183" s="16">
        <f t="shared" si="25"/>
        <v>0</v>
      </c>
      <c r="G183" s="8" t="str">
        <f>IF(H183="","",VLOOKUP(H183,引用表合并!$A:$B,2,FALSE))</f>
        <v/>
      </c>
      <c r="K183" s="8" t="str">
        <f>IF(L183="","",VLOOKUP(L183,引用表合并!$A:$B,2,FALSE))</f>
        <v/>
      </c>
      <c r="L183" s="8"/>
      <c r="M183" s="8"/>
      <c r="O183" s="8" t="str">
        <f>IF(P183="","",VLOOKUP(P183,引用表合并!$A:$B,2,FALSE))</f>
        <v/>
      </c>
      <c r="P183" s="8"/>
      <c r="Q183" s="8"/>
      <c r="S183" s="8" t="str">
        <f>IF(T183="","",VLOOKUP(T183,引用表合并!$A:$B,2,FALSE))</f>
        <v/>
      </c>
      <c r="T183" s="8"/>
      <c r="U183" s="8"/>
      <c r="W183" s="8" t="str">
        <f>IF(X183="","",VLOOKUP(X183,引用表合并!$A:$B,2,FALSE))</f>
        <v/>
      </c>
      <c r="X183" s="8"/>
      <c r="Y183" s="8"/>
      <c r="AA183" s="8" t="str">
        <f>IF(AB183="","",VLOOKUP(AB183,引用表合并!$A:$B,2,FALSE))</f>
        <v/>
      </c>
      <c r="AB183" s="8"/>
      <c r="AC183" s="8"/>
      <c r="AE183" s="8" t="str">
        <f>IF(AF183="","",VLOOKUP(AF183,引用表合并!$A:$B,2,FALSE))</f>
        <v/>
      </c>
      <c r="AF183" s="8"/>
      <c r="AG183" s="8"/>
      <c r="AI183" s="8" t="str">
        <f>IF(AJ183="","",VLOOKUP(AJ183,引用表合并!$A:$B,2,FALSE))</f>
        <v/>
      </c>
      <c r="AJ183" s="8"/>
      <c r="AK183" s="8"/>
      <c r="AM183" s="8" t="str">
        <f>IF(AN183="","",VLOOKUP(AN183,引用表合并!$A:$B,2,FALSE))</f>
        <v/>
      </c>
      <c r="AN183" s="8"/>
      <c r="AO183" s="8"/>
      <c r="AQ183" s="8" t="str">
        <f>IF(AR183="","",VLOOKUP(AR183,引用表合并!$A:$B,2,FALSE))</f>
        <v/>
      </c>
      <c r="AR183" s="8"/>
      <c r="AS183" s="8"/>
      <c r="AU183" s="8" t="str">
        <f>IF(AV183="","",VLOOKUP(AV183,引用表合并!$A:$B,2,FALSE))</f>
        <v/>
      </c>
      <c r="AV183" s="8"/>
      <c r="AW183" s="8"/>
      <c r="AY183" s="8" t="str">
        <f>IF(AZ183="","",VLOOKUP(AZ183,引用表合并!$A:$B,2,FALSE))</f>
        <v/>
      </c>
      <c r="AZ183" s="8"/>
      <c r="BA183" s="8"/>
      <c r="BC183" s="8" t="str">
        <f>IF(BD183="","",VLOOKUP(BD183,引用表合并!$A:$B,2,FALSE))</f>
        <v/>
      </c>
      <c r="BD183" s="8"/>
      <c r="BF183" s="10"/>
      <c r="BG183" s="8" t="str">
        <f>IF(BH183="","",VLOOKUP(BH183,引用表合并!$A:$B,2,FALSE))</f>
        <v/>
      </c>
      <c r="BH183" s="8"/>
      <c r="BJ183" s="10"/>
      <c r="BK183" s="8" t="str">
        <f>IF(BL183="","",VLOOKUP(BL183,引用表合并!$A:$B,2,FALSE))</f>
        <v/>
      </c>
      <c r="BL183" s="8"/>
      <c r="BN183" s="10"/>
    </row>
    <row r="184" spans="1:66" x14ac:dyDescent="0.15">
      <c r="A184" s="8">
        <v>999</v>
      </c>
      <c r="B184" s="8" t="str">
        <f>"地图:"&amp;VLOOKUP(A184,[1]地图配置辅助表!$A$3:$E$229,4,FALSE)</f>
        <v>地图:打豆豆</v>
      </c>
      <c r="C184" s="8">
        <v>0</v>
      </c>
      <c r="D184" s="8">
        <f t="shared" si="26"/>
        <v>0</v>
      </c>
      <c r="E184" s="16">
        <f t="shared" si="21"/>
        <v>0</v>
      </c>
      <c r="F184" s="16">
        <f t="shared" si="25"/>
        <v>0</v>
      </c>
      <c r="G184" s="8" t="str">
        <f>IF(H184="","",VLOOKUP(H184,引用表合并!$A:$B,2,FALSE))</f>
        <v/>
      </c>
      <c r="K184" s="8" t="str">
        <f>IF(L184="","",VLOOKUP(L184,引用表合并!$A:$B,2,FALSE))</f>
        <v/>
      </c>
      <c r="L184" s="8"/>
      <c r="M184" s="8"/>
      <c r="O184" s="8" t="str">
        <f>IF(P184="","",VLOOKUP(P184,引用表合并!$A:$B,2,FALSE))</f>
        <v/>
      </c>
      <c r="P184" s="8"/>
      <c r="Q184" s="8"/>
      <c r="S184" s="8" t="str">
        <f>IF(T184="","",VLOOKUP(T184,引用表合并!$A:$B,2,FALSE))</f>
        <v/>
      </c>
      <c r="T184" s="8"/>
      <c r="U184" s="8"/>
      <c r="W184" s="8" t="str">
        <f>IF(X184="","",VLOOKUP(X184,引用表合并!$A:$B,2,FALSE))</f>
        <v/>
      </c>
      <c r="X184" s="8"/>
      <c r="Y184" s="8"/>
      <c r="AA184" s="8" t="str">
        <f>IF(AB184="","",VLOOKUP(AB184,引用表合并!$A:$B,2,FALSE))</f>
        <v/>
      </c>
      <c r="AB184" s="8"/>
      <c r="AC184" s="8"/>
      <c r="AE184" s="8" t="str">
        <f>IF(AF184="","",VLOOKUP(AF184,引用表合并!$A:$B,2,FALSE))</f>
        <v/>
      </c>
      <c r="AF184" s="8"/>
      <c r="AG184" s="8"/>
      <c r="AI184" s="8" t="str">
        <f>IF(AJ184="","",VLOOKUP(AJ184,引用表合并!$A:$B,2,FALSE))</f>
        <v/>
      </c>
      <c r="AJ184" s="8"/>
      <c r="AK184" s="8"/>
      <c r="AM184" s="8" t="str">
        <f>IF(AN184="","",VLOOKUP(AN184,引用表合并!$A:$B,2,FALSE))</f>
        <v/>
      </c>
      <c r="AN184" s="8"/>
      <c r="AO184" s="8"/>
      <c r="AQ184" s="8" t="str">
        <f>IF(AR184="","",VLOOKUP(AR184,引用表合并!$A:$B,2,FALSE))</f>
        <v/>
      </c>
      <c r="AR184" s="8"/>
      <c r="AS184" s="8"/>
      <c r="AU184" s="8" t="str">
        <f>IF(AV184="","",VLOOKUP(AV184,引用表合并!$A:$B,2,FALSE))</f>
        <v/>
      </c>
      <c r="AV184" s="8"/>
      <c r="AW184" s="8"/>
      <c r="AY184" s="8" t="str">
        <f>IF(AZ184="","",VLOOKUP(AZ184,引用表合并!$A:$B,2,FALSE))</f>
        <v/>
      </c>
      <c r="AZ184" s="8"/>
      <c r="BA184" s="8"/>
      <c r="BC184" s="8" t="str">
        <f>IF(BD184="","",VLOOKUP(BD184,引用表合并!$A:$B,2,FALSE))</f>
        <v/>
      </c>
      <c r="BD184" s="8"/>
      <c r="BF184" s="10"/>
      <c r="BG184" s="8" t="str">
        <f>IF(BH184="","",VLOOKUP(BH184,引用表合并!$A:$B,2,FALSE))</f>
        <v/>
      </c>
      <c r="BH184" s="8"/>
      <c r="BJ184" s="10"/>
      <c r="BK184" s="8" t="str">
        <f>IF(BL184="","",VLOOKUP(BL184,引用表合并!$A:$B,2,FALSE))</f>
        <v/>
      </c>
      <c r="BL184" s="8"/>
      <c r="BN184" s="10"/>
    </row>
    <row r="185" spans="1:66" x14ac:dyDescent="0.15">
      <c r="A185" s="8">
        <v>1701</v>
      </c>
      <c r="B185" s="8" t="str">
        <f>VLOOKUP(A185,[1]地图配置辅助表!$A$3:$E$229,4,FALSE)</f>
        <v>难度1（命运石）</v>
      </c>
      <c r="C185" s="8">
        <v>0</v>
      </c>
      <c r="D185" s="8">
        <f t="shared" si="26"/>
        <v>0</v>
      </c>
      <c r="E185" s="16">
        <f t="shared" si="21"/>
        <v>0</v>
      </c>
      <c r="F185" s="16">
        <f t="shared" si="25"/>
        <v>0</v>
      </c>
      <c r="G185" s="8" t="str">
        <f>IF(H185="","",VLOOKUP(H185,引用表合并!$A:$B,2,FALSE))</f>
        <v/>
      </c>
      <c r="K185" s="8" t="str">
        <f>IF(L185="","",VLOOKUP(L185,引用表合并!$A:$B,2,FALSE))</f>
        <v/>
      </c>
      <c r="L185" s="8"/>
      <c r="M185" s="8"/>
      <c r="O185" s="8" t="str">
        <f>IF(P185="","",VLOOKUP(P185,引用表合并!$A:$B,2,FALSE))</f>
        <v/>
      </c>
      <c r="P185" s="8"/>
      <c r="Q185" s="8"/>
      <c r="S185" s="8" t="str">
        <f>IF(T185="","",VLOOKUP(T185,引用表合并!$A:$B,2,FALSE))</f>
        <v/>
      </c>
      <c r="T185" s="8"/>
      <c r="U185" s="8"/>
      <c r="W185" s="8" t="str">
        <f>IF(X185="","",VLOOKUP(X185,引用表合并!$A:$B,2,FALSE))</f>
        <v/>
      </c>
      <c r="X185" s="8"/>
      <c r="Y185" s="8"/>
      <c r="AA185" s="8" t="str">
        <f>IF(AB185="","",VLOOKUP(AB185,引用表合并!$A:$B,2,FALSE))</f>
        <v/>
      </c>
      <c r="AB185" s="8"/>
      <c r="AC185" s="8"/>
      <c r="AE185" s="8" t="str">
        <f>IF(AF185="","",VLOOKUP(AF185,引用表合并!$A:$B,2,FALSE))</f>
        <v/>
      </c>
      <c r="AF185" s="8"/>
      <c r="AG185" s="8"/>
      <c r="AI185" s="8" t="str">
        <f>IF(AJ185="","",VLOOKUP(AJ185,引用表合并!$A:$B,2,FALSE))</f>
        <v/>
      </c>
      <c r="AJ185" s="8"/>
      <c r="AK185" s="8"/>
      <c r="AM185" s="8" t="str">
        <f>IF(AN185="","",VLOOKUP(AN185,引用表合并!$A:$B,2,FALSE))</f>
        <v/>
      </c>
      <c r="AN185" s="8"/>
      <c r="AO185" s="8"/>
      <c r="AQ185" s="8" t="str">
        <f>IF(AR185="","",VLOOKUP(AR185,引用表合并!$A:$B,2,FALSE))</f>
        <v/>
      </c>
      <c r="AR185" s="8"/>
      <c r="AS185" s="8"/>
      <c r="AU185" s="8" t="str">
        <f>IF(AV185="","",VLOOKUP(AV185,引用表合并!$A:$B,2,FALSE))</f>
        <v/>
      </c>
      <c r="AV185" s="8"/>
      <c r="AW185" s="8"/>
      <c r="AY185" s="8" t="str">
        <f>IF(AZ185="","",VLOOKUP(AZ185,引用表合并!$A:$B,2,FALSE))</f>
        <v/>
      </c>
      <c r="AZ185" s="8"/>
      <c r="BA185" s="8"/>
      <c r="BC185" s="8" t="str">
        <f>IF(BD185="","",VLOOKUP(BD185,引用表合并!$A:$B,2,FALSE))</f>
        <v/>
      </c>
      <c r="BD185" s="8"/>
      <c r="BF185" s="10"/>
      <c r="BG185" s="8" t="str">
        <f>IF(BH185="","",VLOOKUP(BH185,引用表合并!$A:$B,2,FALSE))</f>
        <v/>
      </c>
      <c r="BH185" s="8"/>
      <c r="BJ185" s="10"/>
      <c r="BK185" s="8" t="str">
        <f>IF(BL185="","",VLOOKUP(BL185,引用表合并!$A:$B,2,FALSE))</f>
        <v/>
      </c>
      <c r="BL185" s="8"/>
      <c r="BN185" s="10"/>
    </row>
    <row r="186" spans="1:66" x14ac:dyDescent="0.15">
      <c r="A186" s="8">
        <v>1702</v>
      </c>
      <c r="B186" s="8" t="str">
        <f>VLOOKUP(A186,[1]地图配置辅助表!$A$3:$E$229,4,FALSE)</f>
        <v>难度2（命运石）</v>
      </c>
      <c r="C186" s="8">
        <v>0</v>
      </c>
      <c r="D186" s="8">
        <f t="shared" si="26"/>
        <v>0</v>
      </c>
      <c r="E186" s="16">
        <f t="shared" si="21"/>
        <v>0</v>
      </c>
      <c r="F186" s="16">
        <f t="shared" si="25"/>
        <v>0</v>
      </c>
      <c r="G186" s="8" t="str">
        <f>IF(H186="","",VLOOKUP(H186,引用表合并!$A:$B,2,FALSE))</f>
        <v/>
      </c>
      <c r="K186" s="8" t="str">
        <f>IF(L186="","",VLOOKUP(L186,引用表合并!$A:$B,2,FALSE))</f>
        <v/>
      </c>
      <c r="L186" s="8"/>
      <c r="M186" s="8"/>
      <c r="O186" s="8" t="str">
        <f>IF(P186="","",VLOOKUP(P186,引用表合并!$A:$B,2,FALSE))</f>
        <v/>
      </c>
      <c r="P186" s="8"/>
      <c r="Q186" s="8"/>
      <c r="S186" s="8" t="str">
        <f>IF(T186="","",VLOOKUP(T186,引用表合并!$A:$B,2,FALSE))</f>
        <v/>
      </c>
      <c r="T186" s="8"/>
      <c r="U186" s="8"/>
      <c r="W186" s="8" t="str">
        <f>IF(X186="","",VLOOKUP(X186,引用表合并!$A:$B,2,FALSE))</f>
        <v/>
      </c>
      <c r="X186" s="8"/>
      <c r="Y186" s="8"/>
      <c r="AA186" s="8" t="str">
        <f>IF(AB186="","",VLOOKUP(AB186,引用表合并!$A:$B,2,FALSE))</f>
        <v/>
      </c>
      <c r="AB186" s="8"/>
      <c r="AC186" s="8"/>
      <c r="AE186" s="8" t="str">
        <f>IF(AF186="","",VLOOKUP(AF186,引用表合并!$A:$B,2,FALSE))</f>
        <v/>
      </c>
      <c r="AF186" s="8"/>
      <c r="AG186" s="8"/>
      <c r="AI186" s="8" t="str">
        <f>IF(AJ186="","",VLOOKUP(AJ186,引用表合并!$A:$B,2,FALSE))</f>
        <v/>
      </c>
      <c r="AJ186" s="8"/>
      <c r="AK186" s="8"/>
      <c r="AM186" s="8" t="str">
        <f>IF(AN186="","",VLOOKUP(AN186,引用表合并!$A:$B,2,FALSE))</f>
        <v/>
      </c>
      <c r="AN186" s="8"/>
      <c r="AO186" s="8"/>
      <c r="AQ186" s="8" t="str">
        <f>IF(AR186="","",VLOOKUP(AR186,引用表合并!$A:$B,2,FALSE))</f>
        <v/>
      </c>
      <c r="AR186" s="8"/>
      <c r="AS186" s="8"/>
      <c r="AU186" s="8" t="str">
        <f>IF(AV186="","",VLOOKUP(AV186,引用表合并!$A:$B,2,FALSE))</f>
        <v/>
      </c>
      <c r="AV186" s="8"/>
      <c r="AW186" s="8"/>
      <c r="AY186" s="8" t="str">
        <f>IF(AZ186="","",VLOOKUP(AZ186,引用表合并!$A:$B,2,FALSE))</f>
        <v/>
      </c>
      <c r="AZ186" s="8"/>
      <c r="BA186" s="8"/>
      <c r="BC186" s="8" t="str">
        <f>IF(BD186="","",VLOOKUP(BD186,引用表合并!$A:$B,2,FALSE))</f>
        <v/>
      </c>
      <c r="BD186" s="8"/>
      <c r="BF186" s="10"/>
      <c r="BG186" s="8" t="str">
        <f>IF(BH186="","",VLOOKUP(BH186,引用表合并!$A:$B,2,FALSE))</f>
        <v/>
      </c>
      <c r="BH186" s="8"/>
      <c r="BJ186" s="10"/>
      <c r="BK186" s="8" t="str">
        <f>IF(BL186="","",VLOOKUP(BL186,引用表合并!$A:$B,2,FALSE))</f>
        <v/>
      </c>
      <c r="BL186" s="8"/>
      <c r="BN186" s="10"/>
    </row>
    <row r="187" spans="1:66" x14ac:dyDescent="0.15">
      <c r="A187" s="8">
        <v>1703</v>
      </c>
      <c r="B187" s="8" t="str">
        <f>VLOOKUP(A187,[1]地图配置辅助表!$A$3:$E$229,4,FALSE)</f>
        <v>难度3（命运石）</v>
      </c>
      <c r="C187" s="8">
        <v>0</v>
      </c>
      <c r="D187" s="8">
        <f t="shared" si="26"/>
        <v>0</v>
      </c>
      <c r="E187" s="16">
        <f t="shared" si="21"/>
        <v>0</v>
      </c>
      <c r="F187" s="16">
        <f t="shared" si="25"/>
        <v>0</v>
      </c>
      <c r="G187" s="8" t="str">
        <f>IF(H187="","",VLOOKUP(H187,引用表合并!$A:$B,2,FALSE))</f>
        <v/>
      </c>
      <c r="K187" s="8" t="str">
        <f>IF(L187="","",VLOOKUP(L187,引用表合并!$A:$B,2,FALSE))</f>
        <v/>
      </c>
      <c r="L187" s="8"/>
      <c r="M187" s="8"/>
      <c r="O187" s="8" t="str">
        <f>IF(P187="","",VLOOKUP(P187,引用表合并!$A:$B,2,FALSE))</f>
        <v/>
      </c>
      <c r="P187" s="8"/>
      <c r="Q187" s="8"/>
      <c r="S187" s="8" t="str">
        <f>IF(T187="","",VLOOKUP(T187,引用表合并!$A:$B,2,FALSE))</f>
        <v/>
      </c>
      <c r="T187" s="8"/>
      <c r="U187" s="8"/>
      <c r="W187" s="8" t="str">
        <f>IF(X187="","",VLOOKUP(X187,引用表合并!$A:$B,2,FALSE))</f>
        <v/>
      </c>
      <c r="X187" s="8"/>
      <c r="Y187" s="8"/>
      <c r="AA187" s="8" t="str">
        <f>IF(AB187="","",VLOOKUP(AB187,引用表合并!$A:$B,2,FALSE))</f>
        <v/>
      </c>
      <c r="AB187" s="8"/>
      <c r="AC187" s="8"/>
      <c r="AE187" s="8" t="str">
        <f>IF(AF187="","",VLOOKUP(AF187,引用表合并!$A:$B,2,FALSE))</f>
        <v/>
      </c>
      <c r="AF187" s="8"/>
      <c r="AG187" s="8"/>
      <c r="AI187" s="8" t="str">
        <f>IF(AJ187="","",VLOOKUP(AJ187,引用表合并!$A:$B,2,FALSE))</f>
        <v/>
      </c>
      <c r="AJ187" s="8"/>
      <c r="AK187" s="8"/>
      <c r="AM187" s="8" t="str">
        <f>IF(AN187="","",VLOOKUP(AN187,引用表合并!$A:$B,2,FALSE))</f>
        <v/>
      </c>
      <c r="AN187" s="8"/>
      <c r="AO187" s="8"/>
      <c r="AQ187" s="8" t="str">
        <f>IF(AR187="","",VLOOKUP(AR187,引用表合并!$A:$B,2,FALSE))</f>
        <v/>
      </c>
      <c r="AR187" s="8"/>
      <c r="AS187" s="8"/>
      <c r="AU187" s="8" t="str">
        <f>IF(AV187="","",VLOOKUP(AV187,引用表合并!$A:$B,2,FALSE))</f>
        <v/>
      </c>
      <c r="AV187" s="8"/>
      <c r="AW187" s="8"/>
      <c r="AY187" s="8" t="str">
        <f>IF(AZ187="","",VLOOKUP(AZ187,引用表合并!$A:$B,2,FALSE))</f>
        <v/>
      </c>
      <c r="AZ187" s="8"/>
      <c r="BA187" s="8"/>
      <c r="BC187" s="8" t="str">
        <f>IF(BD187="","",VLOOKUP(BD187,引用表合并!$A:$B,2,FALSE))</f>
        <v/>
      </c>
      <c r="BD187" s="8"/>
      <c r="BF187" s="10"/>
      <c r="BG187" s="8" t="str">
        <f>IF(BH187="","",VLOOKUP(BH187,引用表合并!$A:$B,2,FALSE))</f>
        <v/>
      </c>
      <c r="BH187" s="8"/>
      <c r="BJ187" s="10"/>
      <c r="BK187" s="8" t="str">
        <f>IF(BL187="","",VLOOKUP(BL187,引用表合并!$A:$B,2,FALSE))</f>
        <v/>
      </c>
      <c r="BL187" s="8"/>
      <c r="BN187" s="10"/>
    </row>
    <row r="188" spans="1:66" x14ac:dyDescent="0.15">
      <c r="A188" s="8">
        <v>1704</v>
      </c>
      <c r="B188" s="8" t="str">
        <f>VLOOKUP(A188,[1]地图配置辅助表!$A$3:$E$229,4,FALSE)</f>
        <v>难度4（命运石）</v>
      </c>
      <c r="C188" s="8">
        <v>0</v>
      </c>
      <c r="D188" s="8">
        <f t="shared" si="26"/>
        <v>0</v>
      </c>
      <c r="E188" s="16">
        <f t="shared" si="21"/>
        <v>0</v>
      </c>
      <c r="F188" s="16">
        <f t="shared" si="25"/>
        <v>0</v>
      </c>
      <c r="G188" s="8" t="str">
        <f>IF(H188="","",VLOOKUP(H188,引用表合并!$A:$B,2,FALSE))</f>
        <v/>
      </c>
      <c r="K188" s="8" t="str">
        <f>IF(L188="","",VLOOKUP(L188,引用表合并!$A:$B,2,FALSE))</f>
        <v/>
      </c>
      <c r="L188" s="8"/>
      <c r="M188" s="8"/>
      <c r="O188" s="8" t="str">
        <f>IF(P188="","",VLOOKUP(P188,引用表合并!$A:$B,2,FALSE))</f>
        <v/>
      </c>
      <c r="P188" s="8"/>
      <c r="Q188" s="8"/>
      <c r="S188" s="8" t="str">
        <f>IF(T188="","",VLOOKUP(T188,引用表合并!$A:$B,2,FALSE))</f>
        <v/>
      </c>
      <c r="T188" s="8"/>
      <c r="U188" s="8"/>
      <c r="W188" s="8" t="str">
        <f>IF(X188="","",VLOOKUP(X188,引用表合并!$A:$B,2,FALSE))</f>
        <v/>
      </c>
      <c r="X188" s="8"/>
      <c r="Y188" s="8"/>
      <c r="AA188" s="8" t="str">
        <f>IF(AB188="","",VLOOKUP(AB188,引用表合并!$A:$B,2,FALSE))</f>
        <v/>
      </c>
      <c r="AB188" s="8"/>
      <c r="AC188" s="8"/>
      <c r="AE188" s="8" t="str">
        <f>IF(AF188="","",VLOOKUP(AF188,引用表合并!$A:$B,2,FALSE))</f>
        <v/>
      </c>
      <c r="AF188" s="8"/>
      <c r="AG188" s="8"/>
      <c r="AI188" s="8" t="str">
        <f>IF(AJ188="","",VLOOKUP(AJ188,引用表合并!$A:$B,2,FALSE))</f>
        <v/>
      </c>
      <c r="AJ188" s="8"/>
      <c r="AK188" s="8"/>
      <c r="AM188" s="8" t="str">
        <f>IF(AN188="","",VLOOKUP(AN188,引用表合并!$A:$B,2,FALSE))</f>
        <v/>
      </c>
      <c r="AN188" s="8"/>
      <c r="AO188" s="8"/>
      <c r="AQ188" s="8" t="str">
        <f>IF(AR188="","",VLOOKUP(AR188,引用表合并!$A:$B,2,FALSE))</f>
        <v/>
      </c>
      <c r="AR188" s="8"/>
      <c r="AS188" s="8"/>
      <c r="AU188" s="8" t="str">
        <f>IF(AV188="","",VLOOKUP(AV188,引用表合并!$A:$B,2,FALSE))</f>
        <v/>
      </c>
      <c r="AV188" s="8"/>
      <c r="AW188" s="8"/>
      <c r="AY188" s="8" t="str">
        <f>IF(AZ188="","",VLOOKUP(AZ188,引用表合并!$A:$B,2,FALSE))</f>
        <v/>
      </c>
      <c r="AZ188" s="8"/>
      <c r="BA188" s="8"/>
      <c r="BC188" s="8" t="str">
        <f>IF(BD188="","",VLOOKUP(BD188,引用表合并!$A:$B,2,FALSE))</f>
        <v/>
      </c>
      <c r="BD188" s="8"/>
      <c r="BF188" s="10"/>
      <c r="BG188" s="8" t="str">
        <f>IF(BH188="","",VLOOKUP(BH188,引用表合并!$A:$B,2,FALSE))</f>
        <v/>
      </c>
      <c r="BH188" s="8"/>
      <c r="BJ188" s="10"/>
      <c r="BK188" s="8" t="str">
        <f>IF(BL188="","",VLOOKUP(BL188,引用表合并!$A:$B,2,FALSE))</f>
        <v/>
      </c>
      <c r="BL188" s="8"/>
      <c r="BN188" s="10"/>
    </row>
    <row r="189" spans="1:66" x14ac:dyDescent="0.15">
      <c r="A189" s="8">
        <v>1705</v>
      </c>
      <c r="B189" s="8" t="str">
        <f>VLOOKUP(A189,[1]地图配置辅助表!$A$3:$E$229,4,FALSE)</f>
        <v>难度5（命运石）</v>
      </c>
      <c r="C189" s="8">
        <v>0</v>
      </c>
      <c r="D189" s="8">
        <f t="shared" si="26"/>
        <v>0</v>
      </c>
      <c r="E189" s="16">
        <f t="shared" si="21"/>
        <v>0</v>
      </c>
      <c r="F189" s="16">
        <f t="shared" si="25"/>
        <v>0</v>
      </c>
      <c r="G189" s="8" t="str">
        <f>IF(H189="","",VLOOKUP(H189,引用表合并!$A:$B,2,FALSE))</f>
        <v/>
      </c>
      <c r="K189" s="8" t="str">
        <f>IF(L189="","",VLOOKUP(L189,引用表合并!$A:$B,2,FALSE))</f>
        <v/>
      </c>
      <c r="L189" s="8"/>
      <c r="M189" s="8"/>
      <c r="O189" s="8" t="str">
        <f>IF(P189="","",VLOOKUP(P189,引用表合并!$A:$B,2,FALSE))</f>
        <v/>
      </c>
      <c r="P189" s="8"/>
      <c r="Q189" s="8"/>
      <c r="S189" s="8" t="str">
        <f>IF(T189="","",VLOOKUP(T189,引用表合并!$A:$B,2,FALSE))</f>
        <v/>
      </c>
      <c r="T189" s="8"/>
      <c r="U189" s="8"/>
      <c r="W189" s="8" t="str">
        <f>IF(X189="","",VLOOKUP(X189,引用表合并!$A:$B,2,FALSE))</f>
        <v/>
      </c>
      <c r="X189" s="8"/>
      <c r="Y189" s="8"/>
      <c r="AA189" s="8" t="str">
        <f>IF(AB189="","",VLOOKUP(AB189,引用表合并!$A:$B,2,FALSE))</f>
        <v/>
      </c>
      <c r="AB189" s="8"/>
      <c r="AC189" s="8"/>
      <c r="AE189" s="8" t="str">
        <f>IF(AF189="","",VLOOKUP(AF189,引用表合并!$A:$B,2,FALSE))</f>
        <v/>
      </c>
      <c r="AF189" s="8"/>
      <c r="AG189" s="8"/>
      <c r="AI189" s="8" t="str">
        <f>IF(AJ189="","",VLOOKUP(AJ189,引用表合并!$A:$B,2,FALSE))</f>
        <v/>
      </c>
      <c r="AJ189" s="8"/>
      <c r="AK189" s="8"/>
      <c r="AM189" s="8" t="str">
        <f>IF(AN189="","",VLOOKUP(AN189,引用表合并!$A:$B,2,FALSE))</f>
        <v/>
      </c>
      <c r="AN189" s="8"/>
      <c r="AO189" s="8"/>
      <c r="AQ189" s="8" t="str">
        <f>IF(AR189="","",VLOOKUP(AR189,引用表合并!$A:$B,2,FALSE))</f>
        <v/>
      </c>
      <c r="AR189" s="8"/>
      <c r="AS189" s="8"/>
      <c r="AU189" s="8" t="str">
        <f>IF(AV189="","",VLOOKUP(AV189,引用表合并!$A:$B,2,FALSE))</f>
        <v/>
      </c>
      <c r="AV189" s="8"/>
      <c r="AW189" s="8"/>
      <c r="AY189" s="8" t="str">
        <f>IF(AZ189="","",VLOOKUP(AZ189,引用表合并!$A:$B,2,FALSE))</f>
        <v/>
      </c>
      <c r="AZ189" s="8"/>
      <c r="BA189" s="8"/>
      <c r="BC189" s="8" t="str">
        <f>IF(BD189="","",VLOOKUP(BD189,引用表合并!$A:$B,2,FALSE))</f>
        <v/>
      </c>
      <c r="BD189" s="8"/>
      <c r="BF189" s="10"/>
      <c r="BG189" s="8" t="str">
        <f>IF(BH189="","",VLOOKUP(BH189,引用表合并!$A:$B,2,FALSE))</f>
        <v/>
      </c>
      <c r="BH189" s="8"/>
      <c r="BJ189" s="10"/>
      <c r="BK189" s="8" t="str">
        <f>IF(BL189="","",VLOOKUP(BL189,引用表合并!$A:$B,2,FALSE))</f>
        <v/>
      </c>
      <c r="BL189" s="8"/>
      <c r="BN189" s="10"/>
    </row>
    <row r="190" spans="1:66" x14ac:dyDescent="0.15">
      <c r="A190" s="8">
        <v>1706</v>
      </c>
      <c r="B190" s="8" t="str">
        <f>VLOOKUP(A190,[1]地图配置辅助表!$A$3:$E$229,4,FALSE)</f>
        <v>难度6（命运石）</v>
      </c>
      <c r="C190" s="8">
        <v>0</v>
      </c>
      <c r="D190" s="8">
        <f t="shared" si="26"/>
        <v>0</v>
      </c>
      <c r="E190" s="16">
        <f t="shared" si="21"/>
        <v>0</v>
      </c>
      <c r="F190" s="16">
        <f t="shared" si="25"/>
        <v>0</v>
      </c>
      <c r="G190" s="8" t="str">
        <f>IF(H190="","",VLOOKUP(H190,引用表合并!$A:$B,2,FALSE))</f>
        <v/>
      </c>
      <c r="K190" s="8" t="str">
        <f>IF(L190="","",VLOOKUP(L190,引用表合并!$A:$B,2,FALSE))</f>
        <v/>
      </c>
      <c r="L190" s="8"/>
      <c r="M190" s="8"/>
      <c r="O190" s="8" t="str">
        <f>IF(P190="","",VLOOKUP(P190,引用表合并!$A:$B,2,FALSE))</f>
        <v/>
      </c>
      <c r="P190" s="8"/>
      <c r="Q190" s="8"/>
      <c r="S190" s="8" t="str">
        <f>IF(T190="","",VLOOKUP(T190,引用表合并!$A:$B,2,FALSE))</f>
        <v/>
      </c>
      <c r="T190" s="8"/>
      <c r="U190" s="8"/>
      <c r="W190" s="8" t="str">
        <f>IF(X190="","",VLOOKUP(X190,引用表合并!$A:$B,2,FALSE))</f>
        <v/>
      </c>
      <c r="X190" s="8"/>
      <c r="Y190" s="8"/>
      <c r="AA190" s="8" t="str">
        <f>IF(AB190="","",VLOOKUP(AB190,引用表合并!$A:$B,2,FALSE))</f>
        <v/>
      </c>
      <c r="AB190" s="8"/>
      <c r="AC190" s="8"/>
      <c r="AE190" s="8" t="str">
        <f>IF(AF190="","",VLOOKUP(AF190,引用表合并!$A:$B,2,FALSE))</f>
        <v/>
      </c>
      <c r="AF190" s="8"/>
      <c r="AG190" s="8"/>
      <c r="AI190" s="8" t="str">
        <f>IF(AJ190="","",VLOOKUP(AJ190,引用表合并!$A:$B,2,FALSE))</f>
        <v/>
      </c>
      <c r="AJ190" s="8"/>
      <c r="AK190" s="8"/>
      <c r="AM190" s="8" t="str">
        <f>IF(AN190="","",VLOOKUP(AN190,引用表合并!$A:$B,2,FALSE))</f>
        <v/>
      </c>
      <c r="AN190" s="8"/>
      <c r="AO190" s="8"/>
      <c r="AQ190" s="8" t="str">
        <f>IF(AR190="","",VLOOKUP(AR190,引用表合并!$A:$B,2,FALSE))</f>
        <v/>
      </c>
      <c r="AR190" s="8"/>
      <c r="AS190" s="8"/>
      <c r="AU190" s="8" t="str">
        <f>IF(AV190="","",VLOOKUP(AV190,引用表合并!$A:$B,2,FALSE))</f>
        <v/>
      </c>
      <c r="AV190" s="8"/>
      <c r="AW190" s="8"/>
      <c r="AY190" s="8" t="str">
        <f>IF(AZ190="","",VLOOKUP(AZ190,引用表合并!$A:$B,2,FALSE))</f>
        <v/>
      </c>
      <c r="AZ190" s="8"/>
      <c r="BA190" s="8"/>
      <c r="BC190" s="8" t="str">
        <f>IF(BD190="","",VLOOKUP(BD190,引用表合并!$A:$B,2,FALSE))</f>
        <v/>
      </c>
      <c r="BD190" s="8"/>
      <c r="BF190" s="10"/>
      <c r="BG190" s="8" t="str">
        <f>IF(BH190="","",VLOOKUP(BH190,引用表合并!$A:$B,2,FALSE))</f>
        <v/>
      </c>
      <c r="BH190" s="8"/>
      <c r="BJ190" s="10"/>
      <c r="BK190" s="8" t="str">
        <f>IF(BL190="","",VLOOKUP(BL190,引用表合并!$A:$B,2,FALSE))</f>
        <v/>
      </c>
      <c r="BL190" s="8"/>
      <c r="BN190" s="10"/>
    </row>
    <row r="191" spans="1:66" x14ac:dyDescent="0.15">
      <c r="A191" s="8">
        <v>1801</v>
      </c>
      <c r="B191" s="8" t="str">
        <f>VLOOKUP(A191,[1]地图配置辅助表!$A$3:$E$229,4,FALSE)</f>
        <v>难度1（马仔经验）</v>
      </c>
      <c r="C191" s="8">
        <v>0</v>
      </c>
      <c r="D191" s="8">
        <f t="shared" si="26"/>
        <v>1</v>
      </c>
      <c r="E191" s="16">
        <f t="shared" si="21"/>
        <v>1</v>
      </c>
      <c r="F191" s="16">
        <f t="shared" si="25"/>
        <v>1</v>
      </c>
      <c r="G191" s="8" t="str">
        <f>IF(H191="","",VLOOKUP(H191,引用表合并!$A:$B,2,FALSE))</f>
        <v>马仔经验药水</v>
      </c>
      <c r="H191" s="8">
        <v>91100</v>
      </c>
      <c r="I191" s="8">
        <v>20</v>
      </c>
      <c r="J191" s="10">
        <v>10000</v>
      </c>
      <c r="K191" s="8" t="str">
        <f>IF(L191="","",VLOOKUP(L191,引用表合并!$A:$B,2,FALSE))</f>
        <v/>
      </c>
      <c r="L191" s="8"/>
      <c r="M191" s="8"/>
      <c r="O191" s="8" t="str">
        <f>IF(P191="","",VLOOKUP(P191,引用表合并!$A:$B,2,FALSE))</f>
        <v/>
      </c>
      <c r="P191" s="8"/>
      <c r="Q191" s="8"/>
      <c r="S191" s="8" t="str">
        <f>IF(T191="","",VLOOKUP(T191,引用表合并!$A:$B,2,FALSE))</f>
        <v/>
      </c>
      <c r="T191" s="8"/>
      <c r="U191" s="8"/>
      <c r="W191" s="8" t="str">
        <f>IF(X191="","",VLOOKUP(X191,引用表合并!$A:$B,2,FALSE))</f>
        <v/>
      </c>
      <c r="X191" s="8"/>
      <c r="Y191" s="8"/>
      <c r="AA191" s="8" t="str">
        <f>IF(AB191="","",VLOOKUP(AB191,引用表合并!$A:$B,2,FALSE))</f>
        <v/>
      </c>
      <c r="AB191" s="8"/>
      <c r="AC191" s="8"/>
      <c r="AE191" s="8" t="str">
        <f>IF(AF191="","",VLOOKUP(AF191,引用表合并!$A:$B,2,FALSE))</f>
        <v/>
      </c>
      <c r="AF191" s="8"/>
      <c r="AG191" s="8"/>
      <c r="AI191" s="8" t="str">
        <f>IF(AJ191="","",VLOOKUP(AJ191,引用表合并!$A:$B,2,FALSE))</f>
        <v/>
      </c>
      <c r="AJ191" s="8"/>
      <c r="AK191" s="8"/>
      <c r="AM191" s="8" t="str">
        <f>IF(AN191="","",VLOOKUP(AN191,引用表合并!$A:$B,2,FALSE))</f>
        <v/>
      </c>
      <c r="AN191" s="8"/>
      <c r="AO191" s="8"/>
      <c r="AQ191" s="8" t="str">
        <f>IF(AR191="","",VLOOKUP(AR191,引用表合并!$A:$B,2,FALSE))</f>
        <v/>
      </c>
      <c r="AR191" s="8"/>
      <c r="AS191" s="8"/>
      <c r="AU191" s="8" t="str">
        <f>IF(AV191="","",VLOOKUP(AV191,引用表合并!$A:$B,2,FALSE))</f>
        <v/>
      </c>
      <c r="AV191" s="8"/>
      <c r="AW191" s="8"/>
      <c r="AY191" s="8" t="str">
        <f>IF(AZ191="","",VLOOKUP(AZ191,引用表合并!$A:$B,2,FALSE))</f>
        <v/>
      </c>
      <c r="AZ191" s="8"/>
      <c r="BA191" s="8"/>
      <c r="BC191" s="8" t="str">
        <f>IF(BD191="","",VLOOKUP(BD191,引用表合并!$A:$B,2,FALSE))</f>
        <v/>
      </c>
      <c r="BD191" s="8"/>
      <c r="BF191" s="10"/>
      <c r="BG191" s="8" t="str">
        <f>IF(BH191="","",VLOOKUP(BH191,引用表合并!$A:$B,2,FALSE))</f>
        <v/>
      </c>
      <c r="BH191" s="8"/>
      <c r="BJ191" s="10"/>
      <c r="BK191" s="8" t="str">
        <f>IF(BL191="","",VLOOKUP(BL191,引用表合并!$A:$B,2,FALSE))</f>
        <v/>
      </c>
      <c r="BL191" s="8"/>
      <c r="BN191" s="10"/>
    </row>
    <row r="192" spans="1:66" x14ac:dyDescent="0.15">
      <c r="A192" s="8">
        <v>1802</v>
      </c>
      <c r="B192" s="8" t="str">
        <f>VLOOKUP(A192,[1]地图配置辅助表!$A$3:$E$229,4,FALSE)</f>
        <v>难度2（马仔经验）</v>
      </c>
      <c r="C192" s="8">
        <v>0</v>
      </c>
      <c r="D192" s="8">
        <f>E192</f>
        <v>2</v>
      </c>
      <c r="E192" s="16">
        <f t="shared" si="21"/>
        <v>2</v>
      </c>
      <c r="F192" s="16">
        <f t="shared" si="25"/>
        <v>2</v>
      </c>
      <c r="G192" s="8" t="str">
        <f>IF(H192="","",VLOOKUP(H192,引用表合并!$A:$B,2,FALSE))</f>
        <v>马仔经验合剂</v>
      </c>
      <c r="H192" s="8">
        <v>91200</v>
      </c>
      <c r="I192" s="8">
        <v>2</v>
      </c>
      <c r="J192" s="10">
        <v>10000</v>
      </c>
      <c r="K192" s="8" t="str">
        <f>IF(L192="","",VLOOKUP(L192,引用表合并!$A:$B,2,FALSE))</f>
        <v>马仔经验药水</v>
      </c>
      <c r="L192" s="8">
        <v>91100</v>
      </c>
      <c r="M192" s="8">
        <v>20</v>
      </c>
      <c r="N192" s="10">
        <v>10000</v>
      </c>
      <c r="O192" s="8" t="str">
        <f>IF(P192="","",VLOOKUP(P192,引用表合并!$A:$B,2,FALSE))</f>
        <v/>
      </c>
      <c r="P192" s="8"/>
      <c r="Q192" s="8"/>
      <c r="S192" s="8" t="str">
        <f>IF(T192="","",VLOOKUP(T192,引用表合并!$A:$B,2,FALSE))</f>
        <v/>
      </c>
      <c r="T192" s="8"/>
      <c r="U192" s="8"/>
      <c r="W192" s="8" t="str">
        <f>IF(X192="","",VLOOKUP(X192,引用表合并!$A:$B,2,FALSE))</f>
        <v/>
      </c>
      <c r="X192" s="8"/>
      <c r="Y192" s="8"/>
      <c r="AA192" s="8" t="str">
        <f>IF(AB192="","",VLOOKUP(AB192,引用表合并!$A:$B,2,FALSE))</f>
        <v/>
      </c>
      <c r="AB192" s="8"/>
      <c r="AC192" s="8"/>
      <c r="AE192" s="8" t="str">
        <f>IF(AF192="","",VLOOKUP(AF192,引用表合并!$A:$B,2,FALSE))</f>
        <v/>
      </c>
      <c r="AF192" s="8"/>
      <c r="AG192" s="8"/>
      <c r="AI192" s="8" t="str">
        <f>IF(AJ192="","",VLOOKUP(AJ192,引用表合并!$A:$B,2,FALSE))</f>
        <v/>
      </c>
      <c r="AJ192" s="8"/>
      <c r="AK192" s="8"/>
      <c r="AM192" s="8" t="str">
        <f>IF(AN192="","",VLOOKUP(AN192,引用表合并!$A:$B,2,FALSE))</f>
        <v/>
      </c>
      <c r="AN192" s="8"/>
      <c r="AO192" s="8"/>
      <c r="AQ192" s="8" t="str">
        <f>IF(AR192="","",VLOOKUP(AR192,引用表合并!$A:$B,2,FALSE))</f>
        <v/>
      </c>
      <c r="AR192" s="8"/>
      <c r="AS192" s="8"/>
      <c r="AU192" s="8" t="str">
        <f>IF(AV192="","",VLOOKUP(AV192,引用表合并!$A:$B,2,FALSE))</f>
        <v/>
      </c>
      <c r="AV192" s="8"/>
      <c r="AW192" s="8"/>
      <c r="AY192" s="8" t="str">
        <f>IF(AZ192="","",VLOOKUP(AZ192,引用表合并!$A:$B,2,FALSE))</f>
        <v/>
      </c>
      <c r="AZ192" s="8"/>
      <c r="BA192" s="8"/>
      <c r="BC192" s="8" t="str">
        <f>IF(BD192="","",VLOOKUP(BD192,引用表合并!$A:$B,2,FALSE))</f>
        <v/>
      </c>
      <c r="BD192" s="8"/>
      <c r="BF192" s="10"/>
      <c r="BG192" s="8" t="str">
        <f>IF(BH192="","",VLOOKUP(BH192,引用表合并!$A:$B,2,FALSE))</f>
        <v/>
      </c>
      <c r="BH192" s="8"/>
      <c r="BJ192" s="10"/>
      <c r="BK192" s="8" t="str">
        <f>IF(BL192="","",VLOOKUP(BL192,引用表合并!$A:$B,2,FALSE))</f>
        <v/>
      </c>
      <c r="BL192" s="8"/>
      <c r="BN192" s="10"/>
    </row>
    <row r="193" spans="1:66" x14ac:dyDescent="0.15">
      <c r="A193" s="8">
        <v>1803</v>
      </c>
      <c r="B193" s="8" t="str">
        <f>VLOOKUP(A193,[1]地图配置辅助表!$A$3:$E$229,4,FALSE)</f>
        <v>难度3（马仔经验）</v>
      </c>
      <c r="C193" s="8">
        <v>0</v>
      </c>
      <c r="D193" s="8">
        <f t="shared" si="26"/>
        <v>2</v>
      </c>
      <c r="E193" s="16">
        <f t="shared" si="21"/>
        <v>2</v>
      </c>
      <c r="F193" s="16">
        <f t="shared" si="25"/>
        <v>2</v>
      </c>
      <c r="G193" s="8" t="str">
        <f>IF(H193="","",VLOOKUP(H193,引用表合并!$A:$B,2,FALSE))</f>
        <v>马仔经验合剂</v>
      </c>
      <c r="H193" s="8">
        <v>91200</v>
      </c>
      <c r="I193" s="8">
        <v>4</v>
      </c>
      <c r="J193" s="10">
        <v>10000</v>
      </c>
      <c r="K193" s="8" t="str">
        <f>IF(L193="","",VLOOKUP(L193,引用表合并!$A:$B,2,FALSE))</f>
        <v>马仔经验药水</v>
      </c>
      <c r="L193" s="8">
        <v>91100</v>
      </c>
      <c r="M193" s="8">
        <v>20</v>
      </c>
      <c r="N193" s="10">
        <v>10000</v>
      </c>
      <c r="O193" s="8" t="str">
        <f>IF(P193="","",VLOOKUP(P193,引用表合并!$A:$B,2,FALSE))</f>
        <v/>
      </c>
      <c r="P193" s="8"/>
      <c r="Q193" s="8"/>
      <c r="S193" s="8" t="str">
        <f>IF(T193="","",VLOOKUP(T193,引用表合并!$A:$B,2,FALSE))</f>
        <v/>
      </c>
      <c r="T193" s="8"/>
      <c r="U193" s="8"/>
      <c r="W193" s="8" t="str">
        <f>IF(X193="","",VLOOKUP(X193,引用表合并!$A:$B,2,FALSE))</f>
        <v/>
      </c>
      <c r="X193" s="8"/>
      <c r="Y193" s="8"/>
      <c r="AA193" s="8" t="str">
        <f>IF(AB193="","",VLOOKUP(AB193,引用表合并!$A:$B,2,FALSE))</f>
        <v/>
      </c>
      <c r="AB193" s="8"/>
      <c r="AC193" s="8"/>
      <c r="AE193" s="8" t="str">
        <f>IF(AF193="","",VLOOKUP(AF193,引用表合并!$A:$B,2,FALSE))</f>
        <v/>
      </c>
      <c r="AF193" s="8"/>
      <c r="AG193" s="8"/>
      <c r="AI193" s="8" t="str">
        <f>IF(AJ193="","",VLOOKUP(AJ193,引用表合并!$A:$B,2,FALSE))</f>
        <v/>
      </c>
      <c r="AJ193" s="8"/>
      <c r="AK193" s="8"/>
      <c r="AM193" s="8" t="str">
        <f>IF(AN193="","",VLOOKUP(AN193,引用表合并!$A:$B,2,FALSE))</f>
        <v/>
      </c>
      <c r="AN193" s="8"/>
      <c r="AO193" s="8"/>
      <c r="AQ193" s="8" t="str">
        <f>IF(AR193="","",VLOOKUP(AR193,引用表合并!$A:$B,2,FALSE))</f>
        <v/>
      </c>
      <c r="AR193" s="8"/>
      <c r="AS193" s="8"/>
      <c r="AU193" s="8" t="str">
        <f>IF(AV193="","",VLOOKUP(AV193,引用表合并!$A:$B,2,FALSE))</f>
        <v/>
      </c>
      <c r="AV193" s="8"/>
      <c r="AW193" s="8"/>
      <c r="AY193" s="8" t="str">
        <f>IF(AZ193="","",VLOOKUP(AZ193,引用表合并!$A:$B,2,FALSE))</f>
        <v/>
      </c>
      <c r="AZ193" s="8"/>
      <c r="BA193" s="8"/>
      <c r="BC193" s="8" t="str">
        <f>IF(BD193="","",VLOOKUP(BD193,引用表合并!$A:$B,2,FALSE))</f>
        <v/>
      </c>
      <c r="BD193" s="8"/>
      <c r="BF193" s="10"/>
      <c r="BG193" s="8" t="str">
        <f>IF(BH193="","",VLOOKUP(BH193,引用表合并!$A:$B,2,FALSE))</f>
        <v/>
      </c>
      <c r="BH193" s="8"/>
      <c r="BJ193" s="10"/>
      <c r="BK193" s="8" t="str">
        <f>IF(BL193="","",VLOOKUP(BL193,引用表合并!$A:$B,2,FALSE))</f>
        <v/>
      </c>
      <c r="BL193" s="8"/>
      <c r="BN193" s="10"/>
    </row>
    <row r="194" spans="1:66" x14ac:dyDescent="0.15">
      <c r="A194" s="8">
        <v>1804</v>
      </c>
      <c r="B194" s="8" t="str">
        <f>VLOOKUP(A194,[1]地图配置辅助表!$A$3:$E$229,4,FALSE)</f>
        <v>难度4（马仔经验）</v>
      </c>
      <c r="C194" s="8">
        <v>0</v>
      </c>
      <c r="D194" s="8">
        <f t="shared" si="26"/>
        <v>2</v>
      </c>
      <c r="E194" s="16">
        <f t="shared" si="21"/>
        <v>2</v>
      </c>
      <c r="F194" s="16">
        <f t="shared" si="25"/>
        <v>2</v>
      </c>
      <c r="G194" s="8" t="str">
        <f>IF(H194="","",VLOOKUP(H194,引用表合并!$A:$B,2,FALSE))</f>
        <v>马仔经验合剂</v>
      </c>
      <c r="H194" s="8">
        <v>91200</v>
      </c>
      <c r="I194" s="8">
        <v>6</v>
      </c>
      <c r="J194" s="10">
        <v>10000</v>
      </c>
      <c r="K194" s="8" t="str">
        <f>IF(L194="","",VLOOKUP(L194,引用表合并!$A:$B,2,FALSE))</f>
        <v>马仔经验药水</v>
      </c>
      <c r="L194" s="8">
        <v>91100</v>
      </c>
      <c r="M194" s="8">
        <v>20</v>
      </c>
      <c r="N194" s="10">
        <v>10000</v>
      </c>
      <c r="O194" s="8" t="str">
        <f>IF(P194="","",VLOOKUP(P194,引用表合并!$A:$B,2,FALSE))</f>
        <v/>
      </c>
      <c r="P194" s="8"/>
      <c r="Q194" s="8"/>
      <c r="S194" s="8" t="str">
        <f>IF(T194="","",VLOOKUP(T194,引用表合并!$A:$B,2,FALSE))</f>
        <v/>
      </c>
      <c r="T194" s="8"/>
      <c r="U194" s="8"/>
      <c r="W194" s="8" t="str">
        <f>IF(X194="","",VLOOKUP(X194,引用表合并!$A:$B,2,FALSE))</f>
        <v/>
      </c>
      <c r="X194" s="8"/>
      <c r="Y194" s="8"/>
      <c r="AA194" s="8" t="str">
        <f>IF(AB194="","",VLOOKUP(AB194,引用表合并!$A:$B,2,FALSE))</f>
        <v/>
      </c>
      <c r="AB194" s="8"/>
      <c r="AC194" s="8"/>
      <c r="AE194" s="8" t="str">
        <f>IF(AF194="","",VLOOKUP(AF194,引用表合并!$A:$B,2,FALSE))</f>
        <v/>
      </c>
      <c r="AF194" s="8"/>
      <c r="AG194" s="8"/>
      <c r="AI194" s="8" t="str">
        <f>IF(AJ194="","",VLOOKUP(AJ194,引用表合并!$A:$B,2,FALSE))</f>
        <v/>
      </c>
      <c r="AJ194" s="8"/>
      <c r="AK194" s="8"/>
      <c r="AM194" s="8" t="str">
        <f>IF(AN194="","",VLOOKUP(AN194,引用表合并!$A:$B,2,FALSE))</f>
        <v/>
      </c>
      <c r="AN194" s="8"/>
      <c r="AO194" s="8"/>
      <c r="AQ194" s="8" t="str">
        <f>IF(AR194="","",VLOOKUP(AR194,引用表合并!$A:$B,2,FALSE))</f>
        <v/>
      </c>
      <c r="AR194" s="8"/>
      <c r="AS194" s="8"/>
      <c r="AU194" s="8" t="str">
        <f>IF(AV194="","",VLOOKUP(AV194,引用表合并!$A:$B,2,FALSE))</f>
        <v/>
      </c>
      <c r="AV194" s="8"/>
      <c r="AW194" s="8"/>
      <c r="AY194" s="8" t="str">
        <f>IF(AZ194="","",VLOOKUP(AZ194,引用表合并!$A:$B,2,FALSE))</f>
        <v/>
      </c>
      <c r="AZ194" s="8"/>
      <c r="BA194" s="8"/>
      <c r="BC194" s="8" t="str">
        <f>IF(BD194="","",VLOOKUP(BD194,引用表合并!$A:$B,2,FALSE))</f>
        <v/>
      </c>
      <c r="BD194" s="8"/>
      <c r="BF194" s="10"/>
      <c r="BG194" s="8" t="str">
        <f>IF(BH194="","",VLOOKUP(BH194,引用表合并!$A:$B,2,FALSE))</f>
        <v/>
      </c>
      <c r="BH194" s="8"/>
      <c r="BJ194" s="10"/>
      <c r="BK194" s="8" t="str">
        <f>IF(BL194="","",VLOOKUP(BL194,引用表合并!$A:$B,2,FALSE))</f>
        <v/>
      </c>
      <c r="BL194" s="8"/>
      <c r="BN194" s="10"/>
    </row>
    <row r="195" spans="1:66" x14ac:dyDescent="0.15">
      <c r="A195" s="8">
        <v>1805</v>
      </c>
      <c r="B195" s="8" t="str">
        <f>VLOOKUP(A195,[1]地图配置辅助表!$A$3:$E$229,4,FALSE)</f>
        <v>难度5（马仔经验）</v>
      </c>
      <c r="C195" s="8">
        <v>0</v>
      </c>
      <c r="D195" s="8">
        <f t="shared" si="26"/>
        <v>2</v>
      </c>
      <c r="E195" s="16">
        <f t="shared" si="21"/>
        <v>2</v>
      </c>
      <c r="F195" s="16">
        <f t="shared" ref="F195:F258" si="27">E195</f>
        <v>2</v>
      </c>
      <c r="G195" s="8" t="str">
        <f>IF(H195="","",VLOOKUP(H195,引用表合并!$A:$B,2,FALSE))</f>
        <v>马仔经验甘露</v>
      </c>
      <c r="H195" s="8">
        <v>91300</v>
      </c>
      <c r="I195" s="8">
        <v>2</v>
      </c>
      <c r="J195" s="10">
        <v>10000</v>
      </c>
      <c r="K195" s="8" t="str">
        <f>IF(L195="","",VLOOKUP(L195,引用表合并!$A:$B,2,FALSE))</f>
        <v>马仔经验合剂</v>
      </c>
      <c r="L195" s="8">
        <v>91200</v>
      </c>
      <c r="M195" s="8">
        <v>8</v>
      </c>
      <c r="N195" s="10">
        <v>10000</v>
      </c>
      <c r="O195" s="8" t="str">
        <f>IF(P195="","",VLOOKUP(P195,引用表合并!$A:$B,2,FALSE))</f>
        <v/>
      </c>
      <c r="P195" s="8"/>
      <c r="Q195" s="8"/>
      <c r="S195" s="8" t="str">
        <f>IF(T195="","",VLOOKUP(T195,引用表合并!$A:$B,2,FALSE))</f>
        <v/>
      </c>
      <c r="T195" s="8"/>
      <c r="U195" s="8"/>
      <c r="W195" s="8" t="str">
        <f>IF(X195="","",VLOOKUP(X195,引用表合并!$A:$B,2,FALSE))</f>
        <v/>
      </c>
      <c r="X195" s="8"/>
      <c r="Y195" s="8"/>
      <c r="AA195" s="8" t="str">
        <f>IF(AB195="","",VLOOKUP(AB195,引用表合并!$A:$B,2,FALSE))</f>
        <v/>
      </c>
      <c r="AB195" s="8"/>
      <c r="AC195" s="8"/>
      <c r="AE195" s="8" t="str">
        <f>IF(AF195="","",VLOOKUP(AF195,引用表合并!$A:$B,2,FALSE))</f>
        <v/>
      </c>
      <c r="AF195" s="8"/>
      <c r="AG195" s="8"/>
      <c r="AI195" s="8" t="str">
        <f>IF(AJ195="","",VLOOKUP(AJ195,引用表合并!$A:$B,2,FALSE))</f>
        <v/>
      </c>
      <c r="AJ195" s="8"/>
      <c r="AK195" s="8"/>
      <c r="AM195" s="8" t="str">
        <f>IF(AN195="","",VLOOKUP(AN195,引用表合并!$A:$B,2,FALSE))</f>
        <v/>
      </c>
      <c r="AN195" s="8"/>
      <c r="AO195" s="8"/>
      <c r="AQ195" s="8" t="str">
        <f>IF(AR195="","",VLOOKUP(AR195,引用表合并!$A:$B,2,FALSE))</f>
        <v/>
      </c>
      <c r="AR195" s="8"/>
      <c r="AS195" s="8"/>
      <c r="AU195" s="8" t="str">
        <f>IF(AV195="","",VLOOKUP(AV195,引用表合并!$A:$B,2,FALSE))</f>
        <v/>
      </c>
      <c r="AV195" s="8"/>
      <c r="AW195" s="8"/>
      <c r="AY195" s="8" t="str">
        <f>IF(AZ195="","",VLOOKUP(AZ195,引用表合并!$A:$B,2,FALSE))</f>
        <v/>
      </c>
      <c r="AZ195" s="8"/>
      <c r="BA195" s="8"/>
      <c r="BC195" s="8" t="str">
        <f>IF(BD195="","",VLOOKUP(BD195,引用表合并!$A:$B,2,FALSE))</f>
        <v/>
      </c>
      <c r="BD195" s="8"/>
      <c r="BF195" s="10"/>
      <c r="BG195" s="8" t="str">
        <f>IF(BH195="","",VLOOKUP(BH195,引用表合并!$A:$B,2,FALSE))</f>
        <v/>
      </c>
      <c r="BH195" s="8"/>
      <c r="BJ195" s="10"/>
      <c r="BK195" s="8" t="str">
        <f>IF(BL195="","",VLOOKUP(BL195,引用表合并!$A:$B,2,FALSE))</f>
        <v/>
      </c>
      <c r="BL195" s="8"/>
      <c r="BN195" s="10"/>
    </row>
    <row r="196" spans="1:66" x14ac:dyDescent="0.15">
      <c r="A196" s="8">
        <v>1806</v>
      </c>
      <c r="B196" s="8" t="str">
        <f>VLOOKUP(A196,[1]地图配置辅助表!$A$3:$E$229,4,FALSE)</f>
        <v>难度6（马仔经验）</v>
      </c>
      <c r="C196" s="8">
        <v>0</v>
      </c>
      <c r="D196" s="8">
        <f t="shared" si="26"/>
        <v>2</v>
      </c>
      <c r="E196" s="16">
        <f t="shared" ref="E196:E259" si="28">COUNTIF(G196:FJ196,"&gt;0")/3</f>
        <v>2</v>
      </c>
      <c r="F196" s="16">
        <f t="shared" si="27"/>
        <v>2</v>
      </c>
      <c r="G196" s="8" t="str">
        <f>IF(H196="","",VLOOKUP(H196,引用表合并!$A:$B,2,FALSE))</f>
        <v>马仔经验甘露</v>
      </c>
      <c r="H196" s="8">
        <v>91300</v>
      </c>
      <c r="I196" s="8">
        <v>2</v>
      </c>
      <c r="J196" s="10">
        <v>10000</v>
      </c>
      <c r="K196" s="8" t="str">
        <f>IF(L196="","",VLOOKUP(L196,引用表合并!$A:$B,2,FALSE))</f>
        <v>马仔经验合剂</v>
      </c>
      <c r="L196" s="10">
        <v>91200</v>
      </c>
      <c r="M196" s="8">
        <v>10</v>
      </c>
      <c r="N196" s="10">
        <v>10000</v>
      </c>
      <c r="O196" s="8" t="str">
        <f>IF(P196="","",VLOOKUP(P196,引用表合并!$A:$B,2,FALSE))</f>
        <v/>
      </c>
      <c r="P196" s="8"/>
      <c r="Q196" s="8"/>
      <c r="S196" s="8" t="str">
        <f>IF(T196="","",VLOOKUP(T196,引用表合并!$A:$B,2,FALSE))</f>
        <v/>
      </c>
      <c r="T196" s="8"/>
      <c r="U196" s="8"/>
      <c r="W196" s="8" t="str">
        <f>IF(X196="","",VLOOKUP(X196,引用表合并!$A:$B,2,FALSE))</f>
        <v/>
      </c>
      <c r="X196" s="8"/>
      <c r="Y196" s="8"/>
      <c r="AA196" s="8" t="str">
        <f>IF(AB196="","",VLOOKUP(AB196,引用表合并!$A:$B,2,FALSE))</f>
        <v/>
      </c>
      <c r="AB196" s="8"/>
      <c r="AC196" s="8"/>
      <c r="AE196" s="8" t="str">
        <f>IF(AF196="","",VLOOKUP(AF196,引用表合并!$A:$B,2,FALSE))</f>
        <v/>
      </c>
      <c r="AF196" s="8"/>
      <c r="AG196" s="8"/>
      <c r="AI196" s="8" t="str">
        <f>IF(AJ196="","",VLOOKUP(AJ196,引用表合并!$A:$B,2,FALSE))</f>
        <v/>
      </c>
      <c r="AJ196" s="8"/>
      <c r="AK196" s="8"/>
      <c r="AM196" s="8" t="str">
        <f>IF(AN196="","",VLOOKUP(AN196,引用表合并!$A:$B,2,FALSE))</f>
        <v/>
      </c>
      <c r="AN196" s="8"/>
      <c r="AO196" s="8"/>
      <c r="AQ196" s="8" t="str">
        <f>IF(AR196="","",VLOOKUP(AR196,引用表合并!$A:$B,2,FALSE))</f>
        <v/>
      </c>
      <c r="AR196" s="8"/>
      <c r="AS196" s="8"/>
      <c r="AU196" s="8" t="str">
        <f>IF(AV196="","",VLOOKUP(AV196,引用表合并!$A:$B,2,FALSE))</f>
        <v/>
      </c>
      <c r="AV196" s="8"/>
      <c r="AW196" s="8"/>
      <c r="AY196" s="8" t="str">
        <f>IF(AZ196="","",VLOOKUP(AZ196,引用表合并!$A:$B,2,FALSE))</f>
        <v/>
      </c>
      <c r="AZ196" s="8"/>
      <c r="BA196" s="8"/>
      <c r="BC196" s="8" t="str">
        <f>IF(BD196="","",VLOOKUP(BD196,引用表合并!$A:$B,2,FALSE))</f>
        <v/>
      </c>
      <c r="BD196" s="8"/>
      <c r="BF196" s="10"/>
      <c r="BG196" s="8" t="str">
        <f>IF(BH196="","",VLOOKUP(BH196,引用表合并!$A:$B,2,FALSE))</f>
        <v/>
      </c>
      <c r="BH196" s="8"/>
      <c r="BJ196" s="10"/>
      <c r="BK196" s="8" t="str">
        <f>IF(BL196="","",VLOOKUP(BL196,引用表合并!$A:$B,2,FALSE))</f>
        <v/>
      </c>
      <c r="BL196" s="8"/>
      <c r="BN196" s="10"/>
    </row>
    <row r="197" spans="1:66" x14ac:dyDescent="0.15">
      <c r="A197" s="8">
        <v>110001</v>
      </c>
      <c r="B197" s="8" t="s">
        <v>429</v>
      </c>
      <c r="C197" s="8">
        <v>0</v>
      </c>
      <c r="D197" s="8">
        <f t="shared" ref="D197:D210" si="29">E197</f>
        <v>0</v>
      </c>
      <c r="E197" s="16">
        <f t="shared" si="28"/>
        <v>0</v>
      </c>
      <c r="F197" s="16">
        <f t="shared" si="27"/>
        <v>0</v>
      </c>
      <c r="G197" s="8" t="str">
        <f>IF(H197="","",VLOOKUP(H197,引用表合并!$A:$B,2,FALSE))</f>
        <v/>
      </c>
      <c r="H197" s="10"/>
      <c r="K197" s="8" t="str">
        <f>IF(L197="","",VLOOKUP(L197,引用表合并!$A:$B,2,FALSE))</f>
        <v/>
      </c>
      <c r="M197" s="8"/>
      <c r="O197" s="8" t="str">
        <f>IF(P197="","",VLOOKUP(P197,引用表合并!$A:$B,2,FALSE))</f>
        <v/>
      </c>
      <c r="Q197" s="8"/>
      <c r="S197" s="8" t="str">
        <f>IF(T197="","",VLOOKUP(T197,引用表合并!$A:$B,2,FALSE))</f>
        <v/>
      </c>
      <c r="T197" s="8"/>
      <c r="U197" s="8"/>
      <c r="W197" s="8" t="str">
        <f>IF(X197="","",VLOOKUP(X197,引用表合并!$A:$B,2,FALSE))</f>
        <v/>
      </c>
      <c r="X197" s="8"/>
      <c r="Y197" s="8"/>
      <c r="AA197" s="8" t="str">
        <f>IF(AB197="","",VLOOKUP(AB197,引用表合并!$A:$B,2,FALSE))</f>
        <v/>
      </c>
      <c r="AB197" s="8"/>
      <c r="AC197" s="8"/>
      <c r="AE197" s="8" t="str">
        <f>IF(AF197="","",VLOOKUP(AF197,引用表合并!$A:$B,2,FALSE))</f>
        <v/>
      </c>
      <c r="AF197" s="8"/>
      <c r="AG197" s="8"/>
      <c r="AI197" s="8" t="str">
        <f>IF(AJ197="","",VLOOKUP(AJ197,引用表合并!$A:$B,2,FALSE))</f>
        <v/>
      </c>
      <c r="AJ197" s="8"/>
      <c r="AK197" s="8"/>
      <c r="AM197" s="8" t="str">
        <f>IF(AN197="","",VLOOKUP(AN197,引用表合并!$A:$B,2,FALSE))</f>
        <v/>
      </c>
      <c r="AN197" s="8"/>
      <c r="AO197" s="8"/>
      <c r="AQ197" s="8" t="str">
        <f>IF(AR197="","",VLOOKUP(AR197,引用表合并!$A:$B,2,FALSE))</f>
        <v/>
      </c>
      <c r="AR197" s="8"/>
      <c r="AS197" s="8"/>
      <c r="AU197" s="8" t="str">
        <f>IF(AV197="","",VLOOKUP(AV197,引用表合并!$A:$B,2,FALSE))</f>
        <v/>
      </c>
      <c r="AV197" s="8"/>
      <c r="AW197" s="8"/>
      <c r="AY197" s="8" t="str">
        <f>IF(AZ197="","",VLOOKUP(AZ197,引用表合并!$A:$B,2,FALSE))</f>
        <v/>
      </c>
      <c r="AZ197" s="8"/>
      <c r="BA197" s="8"/>
      <c r="BC197" s="8" t="str">
        <f>IF(BD197="","",VLOOKUP(BD197,引用表合并!$A:$B,2,FALSE))</f>
        <v/>
      </c>
      <c r="BD197" s="8"/>
      <c r="BF197" s="10"/>
      <c r="BG197" s="8" t="str">
        <f>IF(BH197="","",VLOOKUP(BH197,引用表合并!$A:$B,2,FALSE))</f>
        <v/>
      </c>
      <c r="BH197" s="8"/>
      <c r="BJ197" s="10"/>
      <c r="BK197" s="8" t="str">
        <f>IF(BL197="","",VLOOKUP(BL197,引用表合并!$A:$B,2,FALSE))</f>
        <v/>
      </c>
      <c r="BL197" s="8"/>
      <c r="BN197" s="10"/>
    </row>
    <row r="198" spans="1:66" x14ac:dyDescent="0.15">
      <c r="A198" s="8">
        <v>110002</v>
      </c>
      <c r="B198" s="8" t="s">
        <v>429</v>
      </c>
      <c r="C198" s="8">
        <v>0</v>
      </c>
      <c r="D198" s="8">
        <f t="shared" si="29"/>
        <v>0</v>
      </c>
      <c r="E198" s="16">
        <f t="shared" si="28"/>
        <v>0</v>
      </c>
      <c r="F198" s="16">
        <f t="shared" si="27"/>
        <v>0</v>
      </c>
      <c r="G198" s="8" t="str">
        <f>IF(H198="","",VLOOKUP(H198,引用表合并!$A:$B,2,FALSE))</f>
        <v/>
      </c>
      <c r="H198" s="10"/>
      <c r="K198" s="8" t="str">
        <f>IF(L198="","",VLOOKUP(L198,引用表合并!$A:$B,2,FALSE))</f>
        <v/>
      </c>
      <c r="M198" s="8"/>
      <c r="O198" s="8" t="str">
        <f>IF(P198="","",VLOOKUP(P198,引用表合并!$A:$B,2,FALSE))</f>
        <v/>
      </c>
      <c r="Q198" s="8"/>
      <c r="S198" s="8" t="str">
        <f>IF(T198="","",VLOOKUP(T198,引用表合并!$A:$B,2,FALSE))</f>
        <v/>
      </c>
      <c r="T198" s="8"/>
      <c r="U198" s="8"/>
      <c r="W198" s="8" t="str">
        <f>IF(X198="","",VLOOKUP(X198,引用表合并!$A:$B,2,FALSE))</f>
        <v/>
      </c>
      <c r="X198" s="8"/>
      <c r="Y198" s="8"/>
      <c r="AA198" s="8" t="str">
        <f>IF(AB198="","",VLOOKUP(AB198,引用表合并!$A:$B,2,FALSE))</f>
        <v/>
      </c>
      <c r="AB198" s="8"/>
      <c r="AC198" s="8"/>
      <c r="AE198" s="8" t="str">
        <f>IF(AF198="","",VLOOKUP(AF198,引用表合并!$A:$B,2,FALSE))</f>
        <v/>
      </c>
      <c r="AF198" s="8"/>
      <c r="AG198" s="8"/>
      <c r="AI198" s="8" t="str">
        <f>IF(AJ198="","",VLOOKUP(AJ198,引用表合并!$A:$B,2,FALSE))</f>
        <v/>
      </c>
      <c r="AJ198" s="8"/>
      <c r="AK198" s="8"/>
      <c r="AM198" s="8" t="str">
        <f>IF(AN198="","",VLOOKUP(AN198,引用表合并!$A:$B,2,FALSE))</f>
        <v/>
      </c>
      <c r="AN198" s="8"/>
      <c r="AO198" s="8"/>
      <c r="AQ198" s="8" t="str">
        <f>IF(AR198="","",VLOOKUP(AR198,引用表合并!$A:$B,2,FALSE))</f>
        <v/>
      </c>
      <c r="AR198" s="8"/>
      <c r="AS198" s="8"/>
      <c r="AU198" s="8" t="str">
        <f>IF(AV198="","",VLOOKUP(AV198,引用表合并!$A:$B,2,FALSE))</f>
        <v/>
      </c>
      <c r="AV198" s="8"/>
      <c r="AW198" s="8"/>
      <c r="AY198" s="8" t="str">
        <f>IF(AZ198="","",VLOOKUP(AZ198,引用表合并!$A:$B,2,FALSE))</f>
        <v/>
      </c>
      <c r="AZ198" s="8"/>
      <c r="BA198" s="8"/>
      <c r="BC198" s="8" t="str">
        <f>IF(BD198="","",VLOOKUP(BD198,引用表合并!$A:$B,2,FALSE))</f>
        <v/>
      </c>
      <c r="BD198" s="8"/>
      <c r="BF198" s="10"/>
      <c r="BG198" s="8" t="str">
        <f>IF(BH198="","",VLOOKUP(BH198,引用表合并!$A:$B,2,FALSE))</f>
        <v/>
      </c>
      <c r="BH198" s="8"/>
      <c r="BJ198" s="10"/>
      <c r="BK198" s="8" t="str">
        <f>IF(BL198="","",VLOOKUP(BL198,引用表合并!$A:$B,2,FALSE))</f>
        <v/>
      </c>
      <c r="BL198" s="8"/>
      <c r="BN198" s="10"/>
    </row>
    <row r="199" spans="1:66" x14ac:dyDescent="0.15">
      <c r="A199" s="8">
        <v>110003</v>
      </c>
      <c r="B199" s="8" t="s">
        <v>429</v>
      </c>
      <c r="C199" s="8">
        <v>0</v>
      </c>
      <c r="D199" s="8">
        <f t="shared" ref="D199:D200" si="30">E199</f>
        <v>0</v>
      </c>
      <c r="E199" s="16">
        <f t="shared" si="28"/>
        <v>0</v>
      </c>
      <c r="F199" s="16">
        <f t="shared" si="27"/>
        <v>0</v>
      </c>
      <c r="G199" s="8" t="str">
        <f>IF(H199="","",VLOOKUP(H199,引用表合并!$A:$B,2,FALSE))</f>
        <v/>
      </c>
      <c r="H199" s="10"/>
      <c r="K199" s="8" t="str">
        <f>IF(L199="","",VLOOKUP(L199,引用表合并!$A:$B,2,FALSE))</f>
        <v/>
      </c>
      <c r="M199" s="8"/>
      <c r="O199" s="8" t="str">
        <f>IF(P199="","",VLOOKUP(P199,引用表合并!$A:$B,2,FALSE))</f>
        <v/>
      </c>
      <c r="Q199" s="8"/>
      <c r="S199" s="8" t="str">
        <f>IF(T199="","",VLOOKUP(T199,引用表合并!$A:$B,2,FALSE))</f>
        <v/>
      </c>
      <c r="T199" s="8"/>
      <c r="U199" s="8"/>
      <c r="W199" s="8" t="str">
        <f>IF(X199="","",VLOOKUP(X199,引用表合并!$A:$B,2,FALSE))</f>
        <v/>
      </c>
      <c r="X199" s="8"/>
      <c r="Y199" s="8"/>
      <c r="AA199" s="8" t="str">
        <f>IF(AB199="","",VLOOKUP(AB199,引用表合并!$A:$B,2,FALSE))</f>
        <v/>
      </c>
      <c r="AB199" s="8"/>
      <c r="AC199" s="8"/>
      <c r="AE199" s="8" t="str">
        <f>IF(AF199="","",VLOOKUP(AF199,引用表合并!$A:$B,2,FALSE))</f>
        <v/>
      </c>
      <c r="AF199" s="8"/>
      <c r="AG199" s="8"/>
      <c r="AI199" s="8" t="str">
        <f>IF(AJ199="","",VLOOKUP(AJ199,引用表合并!$A:$B,2,FALSE))</f>
        <v/>
      </c>
      <c r="AJ199" s="8"/>
      <c r="AK199" s="8"/>
      <c r="AM199" s="8" t="str">
        <f>IF(AN199="","",VLOOKUP(AN199,引用表合并!$A:$B,2,FALSE))</f>
        <v/>
      </c>
      <c r="AN199" s="8"/>
      <c r="AO199" s="8"/>
      <c r="AQ199" s="8" t="str">
        <f>IF(AR199="","",VLOOKUP(AR199,引用表合并!$A:$B,2,FALSE))</f>
        <v/>
      </c>
      <c r="AR199" s="8"/>
      <c r="AS199" s="8"/>
      <c r="AU199" s="8" t="str">
        <f>IF(AV199="","",VLOOKUP(AV199,引用表合并!$A:$B,2,FALSE))</f>
        <v/>
      </c>
      <c r="AV199" s="8"/>
      <c r="AW199" s="8"/>
      <c r="AY199" s="8" t="str">
        <f>IF(AZ199="","",VLOOKUP(AZ199,引用表合并!$A:$B,2,FALSE))</f>
        <v/>
      </c>
      <c r="AZ199" s="8"/>
      <c r="BA199" s="8"/>
      <c r="BC199" s="8" t="str">
        <f>IF(BD199="","",VLOOKUP(BD199,引用表合并!$A:$B,2,FALSE))</f>
        <v/>
      </c>
      <c r="BD199" s="8"/>
      <c r="BF199" s="10"/>
      <c r="BG199" s="8" t="str">
        <f>IF(BH199="","",VLOOKUP(BH199,引用表合并!$A:$B,2,FALSE))</f>
        <v/>
      </c>
      <c r="BH199" s="8"/>
      <c r="BJ199" s="10"/>
      <c r="BK199" s="8" t="str">
        <f>IF(BL199="","",VLOOKUP(BL199,引用表合并!$A:$B,2,FALSE))</f>
        <v/>
      </c>
      <c r="BL199" s="8"/>
      <c r="BN199" s="10"/>
    </row>
    <row r="200" spans="1:66" x14ac:dyDescent="0.15">
      <c r="A200" s="8">
        <v>110004</v>
      </c>
      <c r="B200" s="8" t="s">
        <v>429</v>
      </c>
      <c r="C200" s="8">
        <v>0</v>
      </c>
      <c r="D200" s="8">
        <f t="shared" si="30"/>
        <v>0</v>
      </c>
      <c r="E200" s="16">
        <f t="shared" si="28"/>
        <v>0</v>
      </c>
      <c r="F200" s="16">
        <f t="shared" si="27"/>
        <v>0</v>
      </c>
      <c r="G200" s="8" t="str">
        <f>IF(H200="","",VLOOKUP(H200,引用表合并!$A:$B,2,FALSE))</f>
        <v/>
      </c>
      <c r="H200" s="10"/>
      <c r="K200" s="8" t="str">
        <f>IF(L200="","",VLOOKUP(L200,引用表合并!$A:$B,2,FALSE))</f>
        <v/>
      </c>
      <c r="M200" s="8"/>
      <c r="O200" s="8" t="str">
        <f>IF(P200="","",VLOOKUP(P200,引用表合并!$A:$B,2,FALSE))</f>
        <v/>
      </c>
      <c r="Q200" s="8"/>
      <c r="S200" s="8" t="str">
        <f>IF(T200="","",VLOOKUP(T200,引用表合并!$A:$B,2,FALSE))</f>
        <v/>
      </c>
      <c r="T200" s="8"/>
      <c r="U200" s="8"/>
      <c r="W200" s="8" t="str">
        <f>IF(X200="","",VLOOKUP(X200,引用表合并!$A:$B,2,FALSE))</f>
        <v/>
      </c>
      <c r="X200" s="8"/>
      <c r="Y200" s="8"/>
      <c r="AA200" s="8" t="str">
        <f>IF(AB200="","",VLOOKUP(AB200,引用表合并!$A:$B,2,FALSE))</f>
        <v/>
      </c>
      <c r="AB200" s="8"/>
      <c r="AC200" s="8"/>
      <c r="AE200" s="8" t="str">
        <f>IF(AF200="","",VLOOKUP(AF200,引用表合并!$A:$B,2,FALSE))</f>
        <v/>
      </c>
      <c r="AF200" s="8"/>
      <c r="AG200" s="8"/>
      <c r="AI200" s="8" t="str">
        <f>IF(AJ200="","",VLOOKUP(AJ200,引用表合并!$A:$B,2,FALSE))</f>
        <v/>
      </c>
      <c r="AJ200" s="8"/>
      <c r="AK200" s="8"/>
      <c r="AM200" s="8" t="str">
        <f>IF(AN200="","",VLOOKUP(AN200,引用表合并!$A:$B,2,FALSE))</f>
        <v/>
      </c>
      <c r="AN200" s="8"/>
      <c r="AO200" s="8"/>
      <c r="AQ200" s="8" t="str">
        <f>IF(AR200="","",VLOOKUP(AR200,引用表合并!$A:$B,2,FALSE))</f>
        <v/>
      </c>
      <c r="AR200" s="8"/>
      <c r="AS200" s="8"/>
      <c r="AU200" s="8" t="str">
        <f>IF(AV200="","",VLOOKUP(AV200,引用表合并!$A:$B,2,FALSE))</f>
        <v/>
      </c>
      <c r="AV200" s="8"/>
      <c r="AW200" s="8"/>
      <c r="AY200" s="8" t="str">
        <f>IF(AZ200="","",VLOOKUP(AZ200,引用表合并!$A:$B,2,FALSE))</f>
        <v/>
      </c>
      <c r="AZ200" s="8"/>
      <c r="BA200" s="8"/>
      <c r="BC200" s="8" t="str">
        <f>IF(BD200="","",VLOOKUP(BD200,引用表合并!$A:$B,2,FALSE))</f>
        <v/>
      </c>
      <c r="BD200" s="8"/>
      <c r="BF200" s="10"/>
      <c r="BG200" s="8" t="str">
        <f>IF(BH200="","",VLOOKUP(BH200,引用表合并!$A:$B,2,FALSE))</f>
        <v/>
      </c>
      <c r="BH200" s="8"/>
      <c r="BJ200" s="10"/>
      <c r="BK200" s="8" t="str">
        <f>IF(BL200="","",VLOOKUP(BL200,引用表合并!$A:$B,2,FALSE))</f>
        <v/>
      </c>
      <c r="BL200" s="8"/>
      <c r="BN200" s="10"/>
    </row>
    <row r="201" spans="1:66" x14ac:dyDescent="0.15">
      <c r="A201" s="8">
        <v>110005</v>
      </c>
      <c r="B201" s="8" t="s">
        <v>429</v>
      </c>
      <c r="C201" s="8">
        <v>0</v>
      </c>
      <c r="D201" s="8">
        <f t="shared" ref="D201:D202" si="31">E201</f>
        <v>0</v>
      </c>
      <c r="E201" s="16">
        <f t="shared" si="28"/>
        <v>0</v>
      </c>
      <c r="F201" s="16">
        <f t="shared" si="27"/>
        <v>0</v>
      </c>
      <c r="G201" s="8" t="str">
        <f>IF(H201="","",VLOOKUP(H201,引用表合并!$A:$B,2,FALSE))</f>
        <v/>
      </c>
      <c r="H201" s="10"/>
      <c r="K201" s="8" t="str">
        <f>IF(L201="","",VLOOKUP(L201,引用表合并!$A:$B,2,FALSE))</f>
        <v/>
      </c>
      <c r="M201" s="8"/>
      <c r="O201" s="8" t="str">
        <f>IF(P201="","",VLOOKUP(P201,引用表合并!$A:$B,2,FALSE))</f>
        <v/>
      </c>
      <c r="Q201" s="8"/>
      <c r="S201" s="8" t="str">
        <f>IF(T201="","",VLOOKUP(T201,引用表合并!$A:$B,2,FALSE))</f>
        <v/>
      </c>
      <c r="T201" s="8"/>
      <c r="U201" s="8"/>
      <c r="W201" s="8" t="str">
        <f>IF(X201="","",VLOOKUP(X201,引用表合并!$A:$B,2,FALSE))</f>
        <v/>
      </c>
      <c r="X201" s="8"/>
      <c r="Y201" s="8"/>
      <c r="AA201" s="8" t="str">
        <f>IF(AB201="","",VLOOKUP(AB201,引用表合并!$A:$B,2,FALSE))</f>
        <v/>
      </c>
      <c r="AB201" s="8"/>
      <c r="AC201" s="8"/>
      <c r="AE201" s="8" t="str">
        <f>IF(AF201="","",VLOOKUP(AF201,引用表合并!$A:$B,2,FALSE))</f>
        <v/>
      </c>
      <c r="AF201" s="8"/>
      <c r="AG201" s="8"/>
      <c r="AI201" s="8" t="str">
        <f>IF(AJ201="","",VLOOKUP(AJ201,引用表合并!$A:$B,2,FALSE))</f>
        <v/>
      </c>
      <c r="AJ201" s="8"/>
      <c r="AK201" s="8"/>
      <c r="AM201" s="8" t="str">
        <f>IF(AN201="","",VLOOKUP(AN201,引用表合并!$A:$B,2,FALSE))</f>
        <v/>
      </c>
      <c r="AN201" s="8"/>
      <c r="AO201" s="8"/>
      <c r="AQ201" s="8" t="str">
        <f>IF(AR201="","",VLOOKUP(AR201,引用表合并!$A:$B,2,FALSE))</f>
        <v/>
      </c>
      <c r="AR201" s="8"/>
      <c r="AS201" s="8"/>
      <c r="AU201" s="8" t="str">
        <f>IF(AV201="","",VLOOKUP(AV201,引用表合并!$A:$B,2,FALSE))</f>
        <v/>
      </c>
      <c r="AV201" s="8"/>
      <c r="AW201" s="8"/>
      <c r="AY201" s="8" t="str">
        <f>IF(AZ201="","",VLOOKUP(AZ201,引用表合并!$A:$B,2,FALSE))</f>
        <v/>
      </c>
      <c r="AZ201" s="8"/>
      <c r="BA201" s="8"/>
      <c r="BC201" s="8" t="str">
        <f>IF(BD201="","",VLOOKUP(BD201,引用表合并!$A:$B,2,FALSE))</f>
        <v/>
      </c>
      <c r="BD201" s="8"/>
      <c r="BF201" s="10"/>
      <c r="BG201" s="8" t="str">
        <f>IF(BH201="","",VLOOKUP(BH201,引用表合并!$A:$B,2,FALSE))</f>
        <v/>
      </c>
      <c r="BH201" s="8"/>
      <c r="BJ201" s="10"/>
      <c r="BK201" s="8" t="str">
        <f>IF(BL201="","",VLOOKUP(BL201,引用表合并!$A:$B,2,FALSE))</f>
        <v/>
      </c>
      <c r="BL201" s="8"/>
      <c r="BN201" s="10"/>
    </row>
    <row r="202" spans="1:66" x14ac:dyDescent="0.15">
      <c r="A202" s="8">
        <v>110006</v>
      </c>
      <c r="B202" s="8" t="s">
        <v>429</v>
      </c>
      <c r="C202" s="8">
        <v>0</v>
      </c>
      <c r="D202" s="8">
        <f t="shared" si="31"/>
        <v>0</v>
      </c>
      <c r="E202" s="16">
        <f t="shared" si="28"/>
        <v>0</v>
      </c>
      <c r="F202" s="16">
        <f t="shared" si="27"/>
        <v>0</v>
      </c>
      <c r="G202" s="8" t="str">
        <f>IF(H202="","",VLOOKUP(H202,引用表合并!$A:$B,2,FALSE))</f>
        <v/>
      </c>
      <c r="H202" s="10"/>
      <c r="K202" s="8" t="str">
        <f>IF(L202="","",VLOOKUP(L202,引用表合并!$A:$B,2,FALSE))</f>
        <v/>
      </c>
      <c r="M202" s="8"/>
      <c r="O202" s="8" t="str">
        <f>IF(P202="","",VLOOKUP(P202,引用表合并!$A:$B,2,FALSE))</f>
        <v/>
      </c>
      <c r="Q202" s="8"/>
      <c r="S202" s="8" t="str">
        <f>IF(T202="","",VLOOKUP(T202,引用表合并!$A:$B,2,FALSE))</f>
        <v/>
      </c>
      <c r="T202" s="8"/>
      <c r="U202" s="8"/>
      <c r="W202" s="8" t="str">
        <f>IF(X202="","",VLOOKUP(X202,引用表合并!$A:$B,2,FALSE))</f>
        <v/>
      </c>
      <c r="X202" s="8"/>
      <c r="Y202" s="8"/>
      <c r="AA202" s="8" t="str">
        <f>IF(AB202="","",VLOOKUP(AB202,引用表合并!$A:$B,2,FALSE))</f>
        <v/>
      </c>
      <c r="AB202" s="8"/>
      <c r="AC202" s="8"/>
      <c r="AE202" s="8" t="str">
        <f>IF(AF202="","",VLOOKUP(AF202,引用表合并!$A:$B,2,FALSE))</f>
        <v/>
      </c>
      <c r="AF202" s="8"/>
      <c r="AG202" s="8"/>
      <c r="AI202" s="8" t="str">
        <f>IF(AJ202="","",VLOOKUP(AJ202,引用表合并!$A:$B,2,FALSE))</f>
        <v/>
      </c>
      <c r="AJ202" s="8"/>
      <c r="AK202" s="8"/>
      <c r="AM202" s="8" t="str">
        <f>IF(AN202="","",VLOOKUP(AN202,引用表合并!$A:$B,2,FALSE))</f>
        <v/>
      </c>
      <c r="AN202" s="8"/>
      <c r="AO202" s="8"/>
      <c r="AQ202" s="8" t="str">
        <f>IF(AR202="","",VLOOKUP(AR202,引用表合并!$A:$B,2,FALSE))</f>
        <v/>
      </c>
      <c r="AR202" s="8"/>
      <c r="AS202" s="8"/>
      <c r="AU202" s="8" t="str">
        <f>IF(AV202="","",VLOOKUP(AV202,引用表合并!$A:$B,2,FALSE))</f>
        <v/>
      </c>
      <c r="AV202" s="8"/>
      <c r="AW202" s="8"/>
      <c r="AY202" s="8" t="str">
        <f>IF(AZ202="","",VLOOKUP(AZ202,引用表合并!$A:$B,2,FALSE))</f>
        <v/>
      </c>
      <c r="AZ202" s="8"/>
      <c r="BA202" s="8"/>
      <c r="BC202" s="8" t="str">
        <f>IF(BD202="","",VLOOKUP(BD202,引用表合并!$A:$B,2,FALSE))</f>
        <v/>
      </c>
      <c r="BD202" s="8"/>
      <c r="BF202" s="10"/>
      <c r="BG202" s="8" t="str">
        <f>IF(BH202="","",VLOOKUP(BH202,引用表合并!$A:$B,2,FALSE))</f>
        <v/>
      </c>
      <c r="BH202" s="8"/>
      <c r="BJ202" s="10"/>
      <c r="BK202" s="8" t="str">
        <f>IF(BL202="","",VLOOKUP(BL202,引用表合并!$A:$B,2,FALSE))</f>
        <v/>
      </c>
      <c r="BL202" s="8"/>
      <c r="BN202" s="10"/>
    </row>
    <row r="203" spans="1:66" x14ac:dyDescent="0.15">
      <c r="A203" s="8">
        <v>110011</v>
      </c>
      <c r="B203" s="8" t="s">
        <v>430</v>
      </c>
      <c r="C203" s="8">
        <v>0</v>
      </c>
      <c r="D203" s="8">
        <f t="shared" si="29"/>
        <v>0</v>
      </c>
      <c r="E203" s="16">
        <f t="shared" si="28"/>
        <v>0</v>
      </c>
      <c r="F203" s="16">
        <f t="shared" si="27"/>
        <v>0</v>
      </c>
      <c r="G203" s="8" t="str">
        <f>IF(H203="","",VLOOKUP(H203,引用表合并!$A:$B,2,FALSE))</f>
        <v/>
      </c>
      <c r="H203" s="10"/>
      <c r="K203" s="8" t="str">
        <f>IF(L203="","",VLOOKUP(L203,引用表合并!$A:$B,2,FALSE))</f>
        <v/>
      </c>
      <c r="M203" s="8"/>
      <c r="O203" s="8" t="str">
        <f>IF(P203="","",VLOOKUP(P203,引用表合并!$A:$B,2,FALSE))</f>
        <v/>
      </c>
      <c r="Q203" s="8"/>
      <c r="S203" s="8" t="str">
        <f>IF(T203="","",VLOOKUP(T203,引用表合并!$A:$B,2,FALSE))</f>
        <v/>
      </c>
      <c r="T203" s="8"/>
      <c r="U203" s="8"/>
      <c r="W203" s="8" t="str">
        <f>IF(X203="","",VLOOKUP(X203,引用表合并!$A:$B,2,FALSE))</f>
        <v/>
      </c>
      <c r="X203" s="8"/>
      <c r="Y203" s="8"/>
      <c r="AA203" s="8" t="str">
        <f>IF(AB203="","",VLOOKUP(AB203,引用表合并!$A:$B,2,FALSE))</f>
        <v/>
      </c>
      <c r="AB203" s="8"/>
      <c r="AC203" s="8"/>
      <c r="AE203" s="8" t="str">
        <f>IF(AF203="","",VLOOKUP(AF203,引用表合并!$A:$B,2,FALSE))</f>
        <v/>
      </c>
      <c r="AF203" s="8"/>
      <c r="AG203" s="8"/>
      <c r="AI203" s="8" t="str">
        <f>IF(AJ203="","",VLOOKUP(AJ203,引用表合并!$A:$B,2,FALSE))</f>
        <v/>
      </c>
      <c r="AJ203" s="8"/>
      <c r="AK203" s="8"/>
      <c r="AM203" s="8" t="str">
        <f>IF(AN203="","",VLOOKUP(AN203,引用表合并!$A:$B,2,FALSE))</f>
        <v/>
      </c>
      <c r="AN203" s="8"/>
      <c r="AO203" s="8"/>
      <c r="AQ203" s="8" t="str">
        <f>IF(AR203="","",VLOOKUP(AR203,引用表合并!$A:$B,2,FALSE))</f>
        <v/>
      </c>
      <c r="AR203" s="8"/>
      <c r="AS203" s="8"/>
      <c r="AU203" s="8" t="str">
        <f>IF(AV203="","",VLOOKUP(AV203,引用表合并!$A:$B,2,FALSE))</f>
        <v/>
      </c>
      <c r="AV203" s="8"/>
      <c r="AW203" s="8"/>
      <c r="AY203" s="8" t="str">
        <f>IF(AZ203="","",VLOOKUP(AZ203,引用表合并!$A:$B,2,FALSE))</f>
        <v/>
      </c>
      <c r="AZ203" s="8"/>
      <c r="BA203" s="8"/>
      <c r="BC203" s="8" t="str">
        <f>IF(BD203="","",VLOOKUP(BD203,引用表合并!$A:$B,2,FALSE))</f>
        <v/>
      </c>
      <c r="BD203" s="8"/>
      <c r="BF203" s="10"/>
      <c r="BG203" s="8" t="str">
        <f>IF(BH203="","",VLOOKUP(BH203,引用表合并!$A:$B,2,FALSE))</f>
        <v/>
      </c>
      <c r="BH203" s="8"/>
      <c r="BJ203" s="10"/>
      <c r="BK203" s="8" t="str">
        <f>IF(BL203="","",VLOOKUP(BL203,引用表合并!$A:$B,2,FALSE))</f>
        <v/>
      </c>
      <c r="BL203" s="8"/>
      <c r="BN203" s="10"/>
    </row>
    <row r="204" spans="1:66" x14ac:dyDescent="0.15">
      <c r="A204" s="8">
        <v>110012</v>
      </c>
      <c r="B204" s="8" t="s">
        <v>430</v>
      </c>
      <c r="C204" s="8">
        <v>0</v>
      </c>
      <c r="D204" s="8">
        <f t="shared" si="29"/>
        <v>0</v>
      </c>
      <c r="E204" s="16">
        <f t="shared" si="28"/>
        <v>0</v>
      </c>
      <c r="F204" s="16">
        <f t="shared" si="27"/>
        <v>0</v>
      </c>
      <c r="G204" s="8" t="str">
        <f>IF(H204="","",VLOOKUP(H204,引用表合并!$A:$B,2,FALSE))</f>
        <v/>
      </c>
      <c r="H204" s="10"/>
      <c r="K204" s="8" t="str">
        <f>IF(L204="","",VLOOKUP(L204,引用表合并!$A:$B,2,FALSE))</f>
        <v/>
      </c>
      <c r="M204" s="8"/>
      <c r="O204" s="8" t="str">
        <f>IF(P204="","",VLOOKUP(P204,引用表合并!$A:$B,2,FALSE))</f>
        <v/>
      </c>
      <c r="Q204" s="8"/>
      <c r="S204" s="8" t="str">
        <f>IF(T204="","",VLOOKUP(T204,引用表合并!$A:$B,2,FALSE))</f>
        <v/>
      </c>
      <c r="T204" s="8"/>
      <c r="U204" s="8"/>
      <c r="W204" s="8" t="str">
        <f>IF(X204="","",VLOOKUP(X204,引用表合并!$A:$B,2,FALSE))</f>
        <v/>
      </c>
      <c r="X204" s="8"/>
      <c r="Y204" s="8"/>
      <c r="AA204" s="8" t="str">
        <f>IF(AB204="","",VLOOKUP(AB204,引用表合并!$A:$B,2,FALSE))</f>
        <v/>
      </c>
      <c r="AB204" s="8"/>
      <c r="AC204" s="8"/>
      <c r="AE204" s="8" t="str">
        <f>IF(AF204="","",VLOOKUP(AF204,引用表合并!$A:$B,2,FALSE))</f>
        <v/>
      </c>
      <c r="AF204" s="8"/>
      <c r="AG204" s="8"/>
      <c r="AI204" s="8" t="str">
        <f>IF(AJ204="","",VLOOKUP(AJ204,引用表合并!$A:$B,2,FALSE))</f>
        <v/>
      </c>
      <c r="AJ204" s="8"/>
      <c r="AK204" s="8"/>
      <c r="AM204" s="8" t="str">
        <f>IF(AN204="","",VLOOKUP(AN204,引用表合并!$A:$B,2,FALSE))</f>
        <v/>
      </c>
      <c r="AN204" s="8"/>
      <c r="AO204" s="8"/>
      <c r="AQ204" s="8" t="str">
        <f>IF(AR204="","",VLOOKUP(AR204,引用表合并!$A:$B,2,FALSE))</f>
        <v/>
      </c>
      <c r="AR204" s="8"/>
      <c r="AS204" s="8"/>
      <c r="AU204" s="8" t="str">
        <f>IF(AV204="","",VLOOKUP(AV204,引用表合并!$A:$B,2,FALSE))</f>
        <v/>
      </c>
      <c r="AV204" s="8"/>
      <c r="AW204" s="8"/>
      <c r="AY204" s="8" t="str">
        <f>IF(AZ204="","",VLOOKUP(AZ204,引用表合并!$A:$B,2,FALSE))</f>
        <v/>
      </c>
      <c r="AZ204" s="8"/>
      <c r="BA204" s="8"/>
      <c r="BC204" s="8" t="str">
        <f>IF(BD204="","",VLOOKUP(BD204,引用表合并!$A:$B,2,FALSE))</f>
        <v/>
      </c>
      <c r="BD204" s="8"/>
      <c r="BF204" s="10"/>
      <c r="BG204" s="8" t="str">
        <f>IF(BH204="","",VLOOKUP(BH204,引用表合并!$A:$B,2,FALSE))</f>
        <v/>
      </c>
      <c r="BH204" s="8"/>
      <c r="BJ204" s="10"/>
      <c r="BK204" s="8" t="str">
        <f>IF(BL204="","",VLOOKUP(BL204,引用表合并!$A:$B,2,FALSE))</f>
        <v/>
      </c>
      <c r="BL204" s="8"/>
      <c r="BN204" s="10"/>
    </row>
    <row r="205" spans="1:66" x14ac:dyDescent="0.15">
      <c r="A205" s="8">
        <v>110013</v>
      </c>
      <c r="B205" s="8" t="s">
        <v>430</v>
      </c>
      <c r="C205" s="8">
        <v>0</v>
      </c>
      <c r="D205" s="8">
        <f t="shared" ref="D205:D206" si="32">E205</f>
        <v>0</v>
      </c>
      <c r="E205" s="16">
        <f t="shared" si="28"/>
        <v>0</v>
      </c>
      <c r="F205" s="16">
        <f t="shared" si="27"/>
        <v>0</v>
      </c>
      <c r="G205" s="8" t="str">
        <f>IF(H205="","",VLOOKUP(H205,引用表合并!$A:$B,2,FALSE))</f>
        <v/>
      </c>
      <c r="H205" s="10"/>
      <c r="K205" s="8" t="str">
        <f>IF(L205="","",VLOOKUP(L205,引用表合并!$A:$B,2,FALSE))</f>
        <v/>
      </c>
      <c r="M205" s="8"/>
      <c r="O205" s="8" t="str">
        <f>IF(P205="","",VLOOKUP(P205,引用表合并!$A:$B,2,FALSE))</f>
        <v/>
      </c>
      <c r="Q205" s="8"/>
      <c r="S205" s="8" t="str">
        <f>IF(T205="","",VLOOKUP(T205,引用表合并!$A:$B,2,FALSE))</f>
        <v/>
      </c>
      <c r="T205" s="8"/>
      <c r="U205" s="8"/>
      <c r="W205" s="8" t="str">
        <f>IF(X205="","",VLOOKUP(X205,引用表合并!$A:$B,2,FALSE))</f>
        <v/>
      </c>
      <c r="X205" s="8"/>
      <c r="Y205" s="8"/>
      <c r="AA205" s="8" t="str">
        <f>IF(AB205="","",VLOOKUP(AB205,引用表合并!$A:$B,2,FALSE))</f>
        <v/>
      </c>
      <c r="AB205" s="8"/>
      <c r="AC205" s="8"/>
      <c r="AE205" s="8" t="str">
        <f>IF(AF205="","",VLOOKUP(AF205,引用表合并!$A:$B,2,FALSE))</f>
        <v/>
      </c>
      <c r="AF205" s="8"/>
      <c r="AG205" s="8"/>
      <c r="AI205" s="8" t="str">
        <f>IF(AJ205="","",VLOOKUP(AJ205,引用表合并!$A:$B,2,FALSE))</f>
        <v/>
      </c>
      <c r="AJ205" s="8"/>
      <c r="AK205" s="8"/>
      <c r="AM205" s="8" t="str">
        <f>IF(AN205="","",VLOOKUP(AN205,引用表合并!$A:$B,2,FALSE))</f>
        <v/>
      </c>
      <c r="AN205" s="8"/>
      <c r="AO205" s="8"/>
      <c r="AQ205" s="8" t="str">
        <f>IF(AR205="","",VLOOKUP(AR205,引用表合并!$A:$B,2,FALSE))</f>
        <v/>
      </c>
      <c r="AR205" s="8"/>
      <c r="AS205" s="8"/>
      <c r="AU205" s="8" t="str">
        <f>IF(AV205="","",VLOOKUP(AV205,引用表合并!$A:$B,2,FALSE))</f>
        <v/>
      </c>
      <c r="AV205" s="8"/>
      <c r="AW205" s="8"/>
      <c r="AY205" s="8" t="str">
        <f>IF(AZ205="","",VLOOKUP(AZ205,引用表合并!$A:$B,2,FALSE))</f>
        <v/>
      </c>
      <c r="AZ205" s="8"/>
      <c r="BA205" s="8"/>
      <c r="BC205" s="8" t="str">
        <f>IF(BD205="","",VLOOKUP(BD205,引用表合并!$A:$B,2,FALSE))</f>
        <v/>
      </c>
      <c r="BD205" s="8"/>
      <c r="BF205" s="10"/>
      <c r="BG205" s="8" t="str">
        <f>IF(BH205="","",VLOOKUP(BH205,引用表合并!$A:$B,2,FALSE))</f>
        <v/>
      </c>
      <c r="BH205" s="8"/>
      <c r="BJ205" s="10"/>
      <c r="BK205" s="8" t="str">
        <f>IF(BL205="","",VLOOKUP(BL205,引用表合并!$A:$B,2,FALSE))</f>
        <v/>
      </c>
      <c r="BL205" s="8"/>
      <c r="BN205" s="10"/>
    </row>
    <row r="206" spans="1:66" x14ac:dyDescent="0.15">
      <c r="A206" s="8">
        <v>110014</v>
      </c>
      <c r="B206" s="8" t="s">
        <v>430</v>
      </c>
      <c r="C206" s="8">
        <v>0</v>
      </c>
      <c r="D206" s="8">
        <f t="shared" si="32"/>
        <v>0</v>
      </c>
      <c r="E206" s="16">
        <f t="shared" si="28"/>
        <v>0</v>
      </c>
      <c r="F206" s="16">
        <f t="shared" si="27"/>
        <v>0</v>
      </c>
      <c r="G206" s="8" t="str">
        <f>IF(H206="","",VLOOKUP(H206,引用表合并!$A:$B,2,FALSE))</f>
        <v/>
      </c>
      <c r="H206" s="10"/>
      <c r="K206" s="8" t="str">
        <f>IF(L206="","",VLOOKUP(L206,引用表合并!$A:$B,2,FALSE))</f>
        <v/>
      </c>
      <c r="M206" s="8"/>
      <c r="O206" s="8" t="str">
        <f>IF(P206="","",VLOOKUP(P206,引用表合并!$A:$B,2,FALSE))</f>
        <v/>
      </c>
      <c r="Q206" s="8"/>
      <c r="S206" s="8" t="str">
        <f>IF(T206="","",VLOOKUP(T206,引用表合并!$A:$B,2,FALSE))</f>
        <v/>
      </c>
      <c r="T206" s="8"/>
      <c r="U206" s="8"/>
      <c r="W206" s="8" t="str">
        <f>IF(X206="","",VLOOKUP(X206,引用表合并!$A:$B,2,FALSE))</f>
        <v/>
      </c>
      <c r="X206" s="8"/>
      <c r="Y206" s="8"/>
      <c r="AA206" s="8" t="str">
        <f>IF(AB206="","",VLOOKUP(AB206,引用表合并!$A:$B,2,FALSE))</f>
        <v/>
      </c>
      <c r="AB206" s="8"/>
      <c r="AC206" s="8"/>
      <c r="AE206" s="8" t="str">
        <f>IF(AF206="","",VLOOKUP(AF206,引用表合并!$A:$B,2,FALSE))</f>
        <v/>
      </c>
      <c r="AF206" s="8"/>
      <c r="AG206" s="8"/>
      <c r="AI206" s="8" t="str">
        <f>IF(AJ206="","",VLOOKUP(AJ206,引用表合并!$A:$B,2,FALSE))</f>
        <v/>
      </c>
      <c r="AJ206" s="8"/>
      <c r="AK206" s="8"/>
      <c r="AM206" s="8" t="str">
        <f>IF(AN206="","",VLOOKUP(AN206,引用表合并!$A:$B,2,FALSE))</f>
        <v/>
      </c>
      <c r="AN206" s="8"/>
      <c r="AO206" s="8"/>
      <c r="AQ206" s="8" t="str">
        <f>IF(AR206="","",VLOOKUP(AR206,引用表合并!$A:$B,2,FALSE))</f>
        <v/>
      </c>
      <c r="AR206" s="8"/>
      <c r="AS206" s="8"/>
      <c r="AU206" s="8" t="str">
        <f>IF(AV206="","",VLOOKUP(AV206,引用表合并!$A:$B,2,FALSE))</f>
        <v/>
      </c>
      <c r="AV206" s="8"/>
      <c r="AW206" s="8"/>
      <c r="AY206" s="8" t="str">
        <f>IF(AZ206="","",VLOOKUP(AZ206,引用表合并!$A:$B,2,FALSE))</f>
        <v/>
      </c>
      <c r="AZ206" s="8"/>
      <c r="BA206" s="8"/>
      <c r="BC206" s="8" t="str">
        <f>IF(BD206="","",VLOOKUP(BD206,引用表合并!$A:$B,2,FALSE))</f>
        <v/>
      </c>
      <c r="BD206" s="8"/>
      <c r="BF206" s="10"/>
      <c r="BG206" s="8" t="str">
        <f>IF(BH206="","",VLOOKUP(BH206,引用表合并!$A:$B,2,FALSE))</f>
        <v/>
      </c>
      <c r="BH206" s="8"/>
      <c r="BJ206" s="10"/>
      <c r="BK206" s="8" t="str">
        <f>IF(BL206="","",VLOOKUP(BL206,引用表合并!$A:$B,2,FALSE))</f>
        <v/>
      </c>
      <c r="BL206" s="8"/>
      <c r="BN206" s="10"/>
    </row>
    <row r="207" spans="1:66" x14ac:dyDescent="0.15">
      <c r="A207" s="8">
        <v>110015</v>
      </c>
      <c r="B207" s="8" t="s">
        <v>430</v>
      </c>
      <c r="C207" s="8">
        <v>0</v>
      </c>
      <c r="D207" s="8">
        <f t="shared" ref="D207:D208" si="33">E207</f>
        <v>0</v>
      </c>
      <c r="E207" s="16">
        <f t="shared" si="28"/>
        <v>0</v>
      </c>
      <c r="F207" s="16">
        <f t="shared" si="27"/>
        <v>0</v>
      </c>
      <c r="G207" s="8" t="str">
        <f>IF(H207="","",VLOOKUP(H207,引用表合并!$A:$B,2,FALSE))</f>
        <v/>
      </c>
      <c r="H207" s="10"/>
      <c r="K207" s="8" t="str">
        <f>IF(L207="","",VLOOKUP(L207,引用表合并!$A:$B,2,FALSE))</f>
        <v/>
      </c>
      <c r="M207" s="8"/>
      <c r="O207" s="8" t="str">
        <f>IF(P207="","",VLOOKUP(P207,引用表合并!$A:$B,2,FALSE))</f>
        <v/>
      </c>
      <c r="Q207" s="8"/>
      <c r="S207" s="8" t="str">
        <f>IF(T207="","",VLOOKUP(T207,引用表合并!$A:$B,2,FALSE))</f>
        <v/>
      </c>
      <c r="T207" s="8"/>
      <c r="U207" s="8"/>
      <c r="W207" s="8" t="str">
        <f>IF(X207="","",VLOOKUP(X207,引用表合并!$A:$B,2,FALSE))</f>
        <v/>
      </c>
      <c r="X207" s="8"/>
      <c r="Y207" s="8"/>
      <c r="AA207" s="8" t="str">
        <f>IF(AB207="","",VLOOKUP(AB207,引用表合并!$A:$B,2,FALSE))</f>
        <v/>
      </c>
      <c r="AB207" s="8"/>
      <c r="AC207" s="8"/>
      <c r="AE207" s="8" t="str">
        <f>IF(AF207="","",VLOOKUP(AF207,引用表合并!$A:$B,2,FALSE))</f>
        <v/>
      </c>
      <c r="AF207" s="8"/>
      <c r="AG207" s="8"/>
      <c r="AI207" s="8" t="str">
        <f>IF(AJ207="","",VLOOKUP(AJ207,引用表合并!$A:$B,2,FALSE))</f>
        <v/>
      </c>
      <c r="AJ207" s="8"/>
      <c r="AK207" s="8"/>
      <c r="AM207" s="8" t="str">
        <f>IF(AN207="","",VLOOKUP(AN207,引用表合并!$A:$B,2,FALSE))</f>
        <v/>
      </c>
      <c r="AN207" s="8"/>
      <c r="AO207" s="8"/>
      <c r="AQ207" s="8" t="str">
        <f>IF(AR207="","",VLOOKUP(AR207,引用表合并!$A:$B,2,FALSE))</f>
        <v/>
      </c>
      <c r="AR207" s="8"/>
      <c r="AS207" s="8"/>
      <c r="AU207" s="8" t="str">
        <f>IF(AV207="","",VLOOKUP(AV207,引用表合并!$A:$B,2,FALSE))</f>
        <v/>
      </c>
      <c r="AV207" s="8"/>
      <c r="AW207" s="8"/>
      <c r="AY207" s="8" t="str">
        <f>IF(AZ207="","",VLOOKUP(AZ207,引用表合并!$A:$B,2,FALSE))</f>
        <v/>
      </c>
      <c r="AZ207" s="8"/>
      <c r="BA207" s="8"/>
      <c r="BC207" s="8" t="str">
        <f>IF(BD207="","",VLOOKUP(BD207,引用表合并!$A:$B,2,FALSE))</f>
        <v/>
      </c>
      <c r="BD207" s="8"/>
      <c r="BF207" s="10"/>
      <c r="BG207" s="8" t="str">
        <f>IF(BH207="","",VLOOKUP(BH207,引用表合并!$A:$B,2,FALSE))</f>
        <v/>
      </c>
      <c r="BH207" s="8"/>
      <c r="BJ207" s="10"/>
      <c r="BK207" s="8" t="str">
        <f>IF(BL207="","",VLOOKUP(BL207,引用表合并!$A:$B,2,FALSE))</f>
        <v/>
      </c>
      <c r="BL207" s="8"/>
      <c r="BN207" s="10"/>
    </row>
    <row r="208" spans="1:66" x14ac:dyDescent="0.15">
      <c r="A208" s="8">
        <v>110016</v>
      </c>
      <c r="B208" s="8" t="s">
        <v>430</v>
      </c>
      <c r="C208" s="8">
        <v>0</v>
      </c>
      <c r="D208" s="8">
        <f t="shared" si="33"/>
        <v>0</v>
      </c>
      <c r="E208" s="16">
        <f t="shared" si="28"/>
        <v>0</v>
      </c>
      <c r="F208" s="16">
        <f t="shared" si="27"/>
        <v>0</v>
      </c>
      <c r="G208" s="8" t="str">
        <f>IF(H208="","",VLOOKUP(H208,引用表合并!$A:$B,2,FALSE))</f>
        <v/>
      </c>
      <c r="H208" s="10"/>
      <c r="K208" s="8" t="str">
        <f>IF(L208="","",VLOOKUP(L208,引用表合并!$A:$B,2,FALSE))</f>
        <v/>
      </c>
      <c r="M208" s="8"/>
      <c r="O208" s="8" t="str">
        <f>IF(P208="","",VLOOKUP(P208,引用表合并!$A:$B,2,FALSE))</f>
        <v/>
      </c>
      <c r="Q208" s="8"/>
      <c r="S208" s="8" t="str">
        <f>IF(T208="","",VLOOKUP(T208,引用表合并!$A:$B,2,FALSE))</f>
        <v/>
      </c>
      <c r="T208" s="8"/>
      <c r="U208" s="8"/>
      <c r="W208" s="8" t="str">
        <f>IF(X208="","",VLOOKUP(X208,引用表合并!$A:$B,2,FALSE))</f>
        <v/>
      </c>
      <c r="X208" s="8"/>
      <c r="Y208" s="8"/>
      <c r="AA208" s="8" t="str">
        <f>IF(AB208="","",VLOOKUP(AB208,引用表合并!$A:$B,2,FALSE))</f>
        <v/>
      </c>
      <c r="AB208" s="8"/>
      <c r="AC208" s="8"/>
      <c r="AE208" s="8" t="str">
        <f>IF(AF208="","",VLOOKUP(AF208,引用表合并!$A:$B,2,FALSE))</f>
        <v/>
      </c>
      <c r="AF208" s="8"/>
      <c r="AG208" s="8"/>
      <c r="AI208" s="8" t="str">
        <f>IF(AJ208="","",VLOOKUP(AJ208,引用表合并!$A:$B,2,FALSE))</f>
        <v/>
      </c>
      <c r="AJ208" s="8"/>
      <c r="AK208" s="8"/>
      <c r="AM208" s="8" t="str">
        <f>IF(AN208="","",VLOOKUP(AN208,引用表合并!$A:$B,2,FALSE))</f>
        <v/>
      </c>
      <c r="AN208" s="8"/>
      <c r="AO208" s="8"/>
      <c r="AQ208" s="8" t="str">
        <f>IF(AR208="","",VLOOKUP(AR208,引用表合并!$A:$B,2,FALSE))</f>
        <v/>
      </c>
      <c r="AR208" s="8"/>
      <c r="AS208" s="8"/>
      <c r="AU208" s="8" t="str">
        <f>IF(AV208="","",VLOOKUP(AV208,引用表合并!$A:$B,2,FALSE))</f>
        <v/>
      </c>
      <c r="AV208" s="8"/>
      <c r="AW208" s="8"/>
      <c r="AY208" s="8" t="str">
        <f>IF(AZ208="","",VLOOKUP(AZ208,引用表合并!$A:$B,2,FALSE))</f>
        <v/>
      </c>
      <c r="AZ208" s="8"/>
      <c r="BA208" s="8"/>
      <c r="BC208" s="8" t="str">
        <f>IF(BD208="","",VLOOKUP(BD208,引用表合并!$A:$B,2,FALSE))</f>
        <v/>
      </c>
      <c r="BD208" s="8"/>
      <c r="BF208" s="10"/>
      <c r="BG208" s="8" t="str">
        <f>IF(BH208="","",VLOOKUP(BH208,引用表合并!$A:$B,2,FALSE))</f>
        <v/>
      </c>
      <c r="BH208" s="8"/>
      <c r="BJ208" s="10"/>
      <c r="BK208" s="8" t="str">
        <f>IF(BL208="","",VLOOKUP(BL208,引用表合并!$A:$B,2,FALSE))</f>
        <v/>
      </c>
      <c r="BL208" s="8"/>
      <c r="BN208" s="10"/>
    </row>
    <row r="209" spans="1:66" x14ac:dyDescent="0.15">
      <c r="A209" s="8">
        <v>110021</v>
      </c>
      <c r="B209" s="8" t="s">
        <v>431</v>
      </c>
      <c r="C209" s="8">
        <v>0</v>
      </c>
      <c r="D209" s="8">
        <f t="shared" si="29"/>
        <v>0</v>
      </c>
      <c r="E209" s="16">
        <f t="shared" si="28"/>
        <v>0</v>
      </c>
      <c r="F209" s="16">
        <f t="shared" si="27"/>
        <v>0</v>
      </c>
      <c r="G209" s="8" t="str">
        <f>IF(H209="","",VLOOKUP(H209,引用表合并!$A:$B,2,FALSE))</f>
        <v/>
      </c>
      <c r="H209" s="10"/>
      <c r="K209" s="8" t="str">
        <f>IF(L209="","",VLOOKUP(L209,引用表合并!$A:$B,2,FALSE))</f>
        <v/>
      </c>
      <c r="M209" s="8"/>
      <c r="O209" s="8" t="str">
        <f>IF(P209="","",VLOOKUP(P209,引用表合并!$A:$B,2,FALSE))</f>
        <v/>
      </c>
      <c r="Q209" s="8"/>
      <c r="S209" s="8" t="str">
        <f>IF(T209="","",VLOOKUP(T209,引用表合并!$A:$B,2,FALSE))</f>
        <v/>
      </c>
      <c r="T209" s="8"/>
      <c r="U209" s="8"/>
      <c r="W209" s="8" t="str">
        <f>IF(X209="","",VLOOKUP(X209,引用表合并!$A:$B,2,FALSE))</f>
        <v/>
      </c>
      <c r="X209" s="8"/>
      <c r="Y209" s="8"/>
      <c r="AA209" s="8" t="str">
        <f>IF(AB209="","",VLOOKUP(AB209,引用表合并!$A:$B,2,FALSE))</f>
        <v/>
      </c>
      <c r="AB209" s="8"/>
      <c r="AC209" s="8"/>
      <c r="AE209" s="8" t="str">
        <f>IF(AF209="","",VLOOKUP(AF209,引用表合并!$A:$B,2,FALSE))</f>
        <v/>
      </c>
      <c r="AF209" s="8"/>
      <c r="AG209" s="8"/>
      <c r="AI209" s="8" t="str">
        <f>IF(AJ209="","",VLOOKUP(AJ209,引用表合并!$A:$B,2,FALSE))</f>
        <v/>
      </c>
      <c r="AJ209" s="8"/>
      <c r="AK209" s="8"/>
      <c r="AM209" s="8" t="str">
        <f>IF(AN209="","",VLOOKUP(AN209,引用表合并!$A:$B,2,FALSE))</f>
        <v/>
      </c>
      <c r="AN209" s="8"/>
      <c r="AO209" s="8"/>
      <c r="AQ209" s="8" t="str">
        <f>IF(AR209="","",VLOOKUP(AR209,引用表合并!$A:$B,2,FALSE))</f>
        <v/>
      </c>
      <c r="AR209" s="8"/>
      <c r="AS209" s="8"/>
      <c r="AU209" s="8" t="str">
        <f>IF(AV209="","",VLOOKUP(AV209,引用表合并!$A:$B,2,FALSE))</f>
        <v/>
      </c>
      <c r="AV209" s="8"/>
      <c r="AW209" s="8"/>
      <c r="AY209" s="8" t="str">
        <f>IF(AZ209="","",VLOOKUP(AZ209,引用表合并!$A:$B,2,FALSE))</f>
        <v/>
      </c>
      <c r="AZ209" s="8"/>
      <c r="BA209" s="8"/>
      <c r="BC209" s="8" t="str">
        <f>IF(BD209="","",VLOOKUP(BD209,引用表合并!$A:$B,2,FALSE))</f>
        <v/>
      </c>
      <c r="BD209" s="8"/>
      <c r="BF209" s="10"/>
      <c r="BG209" s="8" t="str">
        <f>IF(BH209="","",VLOOKUP(BH209,引用表合并!$A:$B,2,FALSE))</f>
        <v/>
      </c>
      <c r="BH209" s="8"/>
      <c r="BJ209" s="10"/>
      <c r="BK209" s="8" t="str">
        <f>IF(BL209="","",VLOOKUP(BL209,引用表合并!$A:$B,2,FALSE))</f>
        <v/>
      </c>
      <c r="BL209" s="8"/>
      <c r="BN209" s="10"/>
    </row>
    <row r="210" spans="1:66" x14ac:dyDescent="0.15">
      <c r="A210" s="8">
        <v>110022</v>
      </c>
      <c r="B210" s="8" t="s">
        <v>431</v>
      </c>
      <c r="C210" s="8">
        <v>0</v>
      </c>
      <c r="D210" s="8">
        <f t="shared" si="29"/>
        <v>0</v>
      </c>
      <c r="E210" s="16">
        <f t="shared" si="28"/>
        <v>0</v>
      </c>
      <c r="F210" s="16">
        <f t="shared" si="27"/>
        <v>0</v>
      </c>
      <c r="G210" s="8" t="str">
        <f>IF(H210="","",VLOOKUP(H210,引用表合并!$A:$B,2,FALSE))</f>
        <v/>
      </c>
      <c r="H210" s="10"/>
      <c r="K210" s="8" t="str">
        <f>IF(L210="","",VLOOKUP(L210,引用表合并!$A:$B,2,FALSE))</f>
        <v/>
      </c>
      <c r="M210" s="8"/>
      <c r="O210" s="8" t="str">
        <f>IF(P210="","",VLOOKUP(P210,引用表合并!$A:$B,2,FALSE))</f>
        <v/>
      </c>
      <c r="Q210" s="8"/>
      <c r="S210" s="8" t="str">
        <f>IF(T210="","",VLOOKUP(T210,引用表合并!$A:$B,2,FALSE))</f>
        <v/>
      </c>
      <c r="T210" s="8"/>
      <c r="U210" s="8"/>
      <c r="W210" s="8" t="str">
        <f>IF(X210="","",VLOOKUP(X210,引用表合并!$A:$B,2,FALSE))</f>
        <v/>
      </c>
      <c r="X210" s="8"/>
      <c r="Y210" s="8"/>
      <c r="AA210" s="8" t="str">
        <f>IF(AB210="","",VLOOKUP(AB210,引用表合并!$A:$B,2,FALSE))</f>
        <v/>
      </c>
      <c r="AB210" s="8"/>
      <c r="AC210" s="8"/>
      <c r="AE210" s="8" t="str">
        <f>IF(AF210="","",VLOOKUP(AF210,引用表合并!$A:$B,2,FALSE))</f>
        <v/>
      </c>
      <c r="AF210" s="8"/>
      <c r="AG210" s="8"/>
      <c r="AI210" s="8" t="str">
        <f>IF(AJ210="","",VLOOKUP(AJ210,引用表合并!$A:$B,2,FALSE))</f>
        <v/>
      </c>
      <c r="AJ210" s="8"/>
      <c r="AK210" s="8"/>
      <c r="AM210" s="8" t="str">
        <f>IF(AN210="","",VLOOKUP(AN210,引用表合并!$A:$B,2,FALSE))</f>
        <v/>
      </c>
      <c r="AN210" s="8"/>
      <c r="AO210" s="8"/>
      <c r="AQ210" s="8" t="str">
        <f>IF(AR210="","",VLOOKUP(AR210,引用表合并!$A:$B,2,FALSE))</f>
        <v/>
      </c>
      <c r="AR210" s="8"/>
      <c r="AS210" s="8"/>
      <c r="AU210" s="8" t="str">
        <f>IF(AV210="","",VLOOKUP(AV210,引用表合并!$A:$B,2,FALSE))</f>
        <v/>
      </c>
      <c r="AV210" s="8"/>
      <c r="AW210" s="8"/>
      <c r="AY210" s="8" t="str">
        <f>IF(AZ210="","",VLOOKUP(AZ210,引用表合并!$A:$B,2,FALSE))</f>
        <v/>
      </c>
      <c r="AZ210" s="8"/>
      <c r="BA210" s="8"/>
      <c r="BC210" s="8" t="str">
        <f>IF(BD210="","",VLOOKUP(BD210,引用表合并!$A:$B,2,FALSE))</f>
        <v/>
      </c>
      <c r="BD210" s="8"/>
      <c r="BF210" s="10"/>
      <c r="BG210" s="8" t="str">
        <f>IF(BH210="","",VLOOKUP(BH210,引用表合并!$A:$B,2,FALSE))</f>
        <v/>
      </c>
      <c r="BH210" s="8"/>
      <c r="BJ210" s="10"/>
      <c r="BK210" s="8" t="str">
        <f>IF(BL210="","",VLOOKUP(BL210,引用表合并!$A:$B,2,FALSE))</f>
        <v/>
      </c>
      <c r="BL210" s="8"/>
      <c r="BN210" s="10"/>
    </row>
    <row r="211" spans="1:66" x14ac:dyDescent="0.15">
      <c r="A211" s="8">
        <v>110023</v>
      </c>
      <c r="B211" s="8" t="s">
        <v>431</v>
      </c>
      <c r="C211" s="8">
        <v>0</v>
      </c>
      <c r="D211" s="8">
        <f t="shared" ref="D211:D212" si="34">E211</f>
        <v>0</v>
      </c>
      <c r="E211" s="16">
        <f t="shared" si="28"/>
        <v>0</v>
      </c>
      <c r="F211" s="16">
        <f t="shared" si="27"/>
        <v>0</v>
      </c>
      <c r="G211" s="8" t="str">
        <f>IF(H211="","",VLOOKUP(H211,引用表合并!$A:$B,2,FALSE))</f>
        <v/>
      </c>
      <c r="H211" s="10"/>
      <c r="K211" s="8" t="str">
        <f>IF(L211="","",VLOOKUP(L211,引用表合并!$A:$B,2,FALSE))</f>
        <v/>
      </c>
      <c r="M211" s="8"/>
      <c r="O211" s="8" t="str">
        <f>IF(P211="","",VLOOKUP(P211,引用表合并!$A:$B,2,FALSE))</f>
        <v/>
      </c>
      <c r="Q211" s="8"/>
      <c r="S211" s="8" t="str">
        <f>IF(T211="","",VLOOKUP(T211,引用表合并!$A:$B,2,FALSE))</f>
        <v/>
      </c>
      <c r="T211" s="8"/>
      <c r="U211" s="8"/>
      <c r="W211" s="8" t="str">
        <f>IF(X211="","",VLOOKUP(X211,引用表合并!$A:$B,2,FALSE))</f>
        <v/>
      </c>
      <c r="X211" s="8"/>
      <c r="Y211" s="8"/>
      <c r="AA211" s="8" t="str">
        <f>IF(AB211="","",VLOOKUP(AB211,引用表合并!$A:$B,2,FALSE))</f>
        <v/>
      </c>
      <c r="AB211" s="8"/>
      <c r="AC211" s="8"/>
      <c r="AE211" s="8" t="str">
        <f>IF(AF211="","",VLOOKUP(AF211,引用表合并!$A:$B,2,FALSE))</f>
        <v/>
      </c>
      <c r="AF211" s="8"/>
      <c r="AG211" s="8"/>
      <c r="AI211" s="8" t="str">
        <f>IF(AJ211="","",VLOOKUP(AJ211,引用表合并!$A:$B,2,FALSE))</f>
        <v/>
      </c>
      <c r="AJ211" s="8"/>
      <c r="AK211" s="8"/>
      <c r="AM211" s="8" t="str">
        <f>IF(AN211="","",VLOOKUP(AN211,引用表合并!$A:$B,2,FALSE))</f>
        <v/>
      </c>
      <c r="AN211" s="8"/>
      <c r="AO211" s="8"/>
      <c r="AQ211" s="8" t="str">
        <f>IF(AR211="","",VLOOKUP(AR211,引用表合并!$A:$B,2,FALSE))</f>
        <v/>
      </c>
      <c r="AR211" s="8"/>
      <c r="AS211" s="8"/>
      <c r="AU211" s="8" t="str">
        <f>IF(AV211="","",VLOOKUP(AV211,引用表合并!$A:$B,2,FALSE))</f>
        <v/>
      </c>
      <c r="AV211" s="8"/>
      <c r="AW211" s="8"/>
      <c r="AY211" s="8" t="str">
        <f>IF(AZ211="","",VLOOKUP(AZ211,引用表合并!$A:$B,2,FALSE))</f>
        <v/>
      </c>
      <c r="AZ211" s="8"/>
      <c r="BA211" s="8"/>
      <c r="BC211" s="8" t="str">
        <f>IF(BD211="","",VLOOKUP(BD211,引用表合并!$A:$B,2,FALSE))</f>
        <v/>
      </c>
      <c r="BD211" s="8"/>
      <c r="BF211" s="10"/>
      <c r="BG211" s="8" t="str">
        <f>IF(BH211="","",VLOOKUP(BH211,引用表合并!$A:$B,2,FALSE))</f>
        <v/>
      </c>
      <c r="BH211" s="8"/>
      <c r="BJ211" s="10"/>
      <c r="BK211" s="8" t="str">
        <f>IF(BL211="","",VLOOKUP(BL211,引用表合并!$A:$B,2,FALSE))</f>
        <v/>
      </c>
      <c r="BL211" s="8"/>
      <c r="BN211" s="10"/>
    </row>
    <row r="212" spans="1:66" x14ac:dyDescent="0.15">
      <c r="A212" s="8">
        <v>110024</v>
      </c>
      <c r="B212" s="8" t="s">
        <v>431</v>
      </c>
      <c r="C212" s="8">
        <v>0</v>
      </c>
      <c r="D212" s="8">
        <f t="shared" si="34"/>
        <v>0</v>
      </c>
      <c r="E212" s="16">
        <f t="shared" si="28"/>
        <v>0</v>
      </c>
      <c r="F212" s="16">
        <f t="shared" si="27"/>
        <v>0</v>
      </c>
      <c r="G212" s="8" t="str">
        <f>IF(H212="","",VLOOKUP(H212,引用表合并!$A:$B,2,FALSE))</f>
        <v/>
      </c>
      <c r="H212" s="10"/>
      <c r="K212" s="8" t="str">
        <f>IF(L212="","",VLOOKUP(L212,引用表合并!$A:$B,2,FALSE))</f>
        <v/>
      </c>
      <c r="M212" s="8"/>
      <c r="O212" s="8" t="str">
        <f>IF(P212="","",VLOOKUP(P212,引用表合并!$A:$B,2,FALSE))</f>
        <v/>
      </c>
      <c r="Q212" s="8"/>
      <c r="S212" s="8" t="str">
        <f>IF(T212="","",VLOOKUP(T212,引用表合并!$A:$B,2,FALSE))</f>
        <v/>
      </c>
      <c r="T212" s="8"/>
      <c r="U212" s="8"/>
      <c r="W212" s="8" t="str">
        <f>IF(X212="","",VLOOKUP(X212,引用表合并!$A:$B,2,FALSE))</f>
        <v/>
      </c>
      <c r="X212" s="8"/>
      <c r="Y212" s="8"/>
      <c r="AA212" s="8" t="str">
        <f>IF(AB212="","",VLOOKUP(AB212,引用表合并!$A:$B,2,FALSE))</f>
        <v/>
      </c>
      <c r="AB212" s="8"/>
      <c r="AC212" s="8"/>
      <c r="AE212" s="8" t="str">
        <f>IF(AF212="","",VLOOKUP(AF212,引用表合并!$A:$B,2,FALSE))</f>
        <v/>
      </c>
      <c r="AF212" s="8"/>
      <c r="AG212" s="8"/>
      <c r="AI212" s="8" t="str">
        <f>IF(AJ212="","",VLOOKUP(AJ212,引用表合并!$A:$B,2,FALSE))</f>
        <v/>
      </c>
      <c r="AJ212" s="8"/>
      <c r="AK212" s="8"/>
      <c r="AM212" s="8" t="str">
        <f>IF(AN212="","",VLOOKUP(AN212,引用表合并!$A:$B,2,FALSE))</f>
        <v/>
      </c>
      <c r="AN212" s="8"/>
      <c r="AO212" s="8"/>
      <c r="AQ212" s="8" t="str">
        <f>IF(AR212="","",VLOOKUP(AR212,引用表合并!$A:$B,2,FALSE))</f>
        <v/>
      </c>
      <c r="AR212" s="8"/>
      <c r="AS212" s="8"/>
      <c r="AU212" s="8" t="str">
        <f>IF(AV212="","",VLOOKUP(AV212,引用表合并!$A:$B,2,FALSE))</f>
        <v/>
      </c>
      <c r="AV212" s="8"/>
      <c r="AW212" s="8"/>
      <c r="AY212" s="8" t="str">
        <f>IF(AZ212="","",VLOOKUP(AZ212,引用表合并!$A:$B,2,FALSE))</f>
        <v/>
      </c>
      <c r="AZ212" s="8"/>
      <c r="BA212" s="8"/>
      <c r="BC212" s="8" t="str">
        <f>IF(BD212="","",VLOOKUP(BD212,引用表合并!$A:$B,2,FALSE))</f>
        <v/>
      </c>
      <c r="BD212" s="8"/>
      <c r="BF212" s="10"/>
      <c r="BG212" s="8" t="str">
        <f>IF(BH212="","",VLOOKUP(BH212,引用表合并!$A:$B,2,FALSE))</f>
        <v/>
      </c>
      <c r="BH212" s="8"/>
      <c r="BJ212" s="10"/>
      <c r="BK212" s="8" t="str">
        <f>IF(BL212="","",VLOOKUP(BL212,引用表合并!$A:$B,2,FALSE))</f>
        <v/>
      </c>
      <c r="BL212" s="8"/>
      <c r="BN212" s="10"/>
    </row>
    <row r="213" spans="1:66" x14ac:dyDescent="0.15">
      <c r="A213" s="8">
        <v>110025</v>
      </c>
      <c r="B213" s="8" t="s">
        <v>431</v>
      </c>
      <c r="C213" s="8">
        <v>0</v>
      </c>
      <c r="D213" s="8">
        <f t="shared" ref="D213:D214" si="35">E213</f>
        <v>0</v>
      </c>
      <c r="E213" s="16">
        <f t="shared" si="28"/>
        <v>0</v>
      </c>
      <c r="F213" s="16">
        <f t="shared" si="27"/>
        <v>0</v>
      </c>
      <c r="G213" s="8" t="str">
        <f>IF(H213="","",VLOOKUP(H213,引用表合并!$A:$B,2,FALSE))</f>
        <v/>
      </c>
      <c r="H213" s="10"/>
      <c r="K213" s="8" t="str">
        <f>IF(L213="","",VLOOKUP(L213,引用表合并!$A:$B,2,FALSE))</f>
        <v/>
      </c>
      <c r="M213" s="8"/>
      <c r="O213" s="8" t="str">
        <f>IF(P213="","",VLOOKUP(P213,引用表合并!$A:$B,2,FALSE))</f>
        <v/>
      </c>
      <c r="Q213" s="8"/>
      <c r="S213" s="8" t="str">
        <f>IF(T213="","",VLOOKUP(T213,引用表合并!$A:$B,2,FALSE))</f>
        <v/>
      </c>
      <c r="T213" s="8"/>
      <c r="U213" s="8"/>
      <c r="W213" s="8" t="str">
        <f>IF(X213="","",VLOOKUP(X213,引用表合并!$A:$B,2,FALSE))</f>
        <v/>
      </c>
      <c r="X213" s="8"/>
      <c r="Y213" s="8"/>
      <c r="AA213" s="8" t="str">
        <f>IF(AB213="","",VLOOKUP(AB213,引用表合并!$A:$B,2,FALSE))</f>
        <v/>
      </c>
      <c r="AB213" s="8"/>
      <c r="AC213" s="8"/>
      <c r="AE213" s="8" t="str">
        <f>IF(AF213="","",VLOOKUP(AF213,引用表合并!$A:$B,2,FALSE))</f>
        <v/>
      </c>
      <c r="AF213" s="8"/>
      <c r="AG213" s="8"/>
      <c r="AI213" s="8" t="str">
        <f>IF(AJ213="","",VLOOKUP(AJ213,引用表合并!$A:$B,2,FALSE))</f>
        <v/>
      </c>
      <c r="AJ213" s="8"/>
      <c r="AK213" s="8"/>
      <c r="AM213" s="8" t="str">
        <f>IF(AN213="","",VLOOKUP(AN213,引用表合并!$A:$B,2,FALSE))</f>
        <v/>
      </c>
      <c r="AN213" s="8"/>
      <c r="AO213" s="8"/>
      <c r="AQ213" s="8" t="str">
        <f>IF(AR213="","",VLOOKUP(AR213,引用表合并!$A:$B,2,FALSE))</f>
        <v/>
      </c>
      <c r="AR213" s="8"/>
      <c r="AS213" s="8"/>
      <c r="AU213" s="8" t="str">
        <f>IF(AV213="","",VLOOKUP(AV213,引用表合并!$A:$B,2,FALSE))</f>
        <v/>
      </c>
      <c r="AV213" s="8"/>
      <c r="AW213" s="8"/>
      <c r="AY213" s="8" t="str">
        <f>IF(AZ213="","",VLOOKUP(AZ213,引用表合并!$A:$B,2,FALSE))</f>
        <v/>
      </c>
      <c r="AZ213" s="8"/>
      <c r="BA213" s="8"/>
      <c r="BC213" s="8" t="str">
        <f>IF(BD213="","",VLOOKUP(BD213,引用表合并!$A:$B,2,FALSE))</f>
        <v/>
      </c>
      <c r="BD213" s="8"/>
      <c r="BF213" s="10"/>
      <c r="BG213" s="8" t="str">
        <f>IF(BH213="","",VLOOKUP(BH213,引用表合并!$A:$B,2,FALSE))</f>
        <v/>
      </c>
      <c r="BH213" s="8"/>
      <c r="BJ213" s="10"/>
      <c r="BK213" s="8" t="str">
        <f>IF(BL213="","",VLOOKUP(BL213,引用表合并!$A:$B,2,FALSE))</f>
        <v/>
      </c>
      <c r="BL213" s="8"/>
      <c r="BN213" s="10"/>
    </row>
    <row r="214" spans="1:66" x14ac:dyDescent="0.15">
      <c r="A214" s="8">
        <v>110026</v>
      </c>
      <c r="B214" s="8" t="s">
        <v>431</v>
      </c>
      <c r="C214" s="8">
        <v>0</v>
      </c>
      <c r="D214" s="8">
        <f t="shared" si="35"/>
        <v>0</v>
      </c>
      <c r="E214" s="16">
        <f t="shared" si="28"/>
        <v>0</v>
      </c>
      <c r="F214" s="16">
        <f t="shared" si="27"/>
        <v>0</v>
      </c>
      <c r="G214" s="8" t="str">
        <f>IF(H214="","",VLOOKUP(H214,引用表合并!$A:$B,2,FALSE))</f>
        <v/>
      </c>
      <c r="H214" s="10"/>
      <c r="K214" s="8" t="str">
        <f>IF(L214="","",VLOOKUP(L214,引用表合并!$A:$B,2,FALSE))</f>
        <v/>
      </c>
      <c r="M214" s="8"/>
      <c r="O214" s="8" t="str">
        <f>IF(P214="","",VLOOKUP(P214,引用表合并!$A:$B,2,FALSE))</f>
        <v/>
      </c>
      <c r="Q214" s="8"/>
      <c r="S214" s="8" t="str">
        <f>IF(T214="","",VLOOKUP(T214,引用表合并!$A:$B,2,FALSE))</f>
        <v/>
      </c>
      <c r="T214" s="8"/>
      <c r="U214" s="8"/>
      <c r="W214" s="8" t="str">
        <f>IF(X214="","",VLOOKUP(X214,引用表合并!$A:$B,2,FALSE))</f>
        <v/>
      </c>
      <c r="X214" s="8"/>
      <c r="Y214" s="8"/>
      <c r="AA214" s="8" t="str">
        <f>IF(AB214="","",VLOOKUP(AB214,引用表合并!$A:$B,2,FALSE))</f>
        <v/>
      </c>
      <c r="AB214" s="8"/>
      <c r="AC214" s="8"/>
      <c r="AE214" s="8" t="str">
        <f>IF(AF214="","",VLOOKUP(AF214,引用表合并!$A:$B,2,FALSE))</f>
        <v/>
      </c>
      <c r="AF214" s="8"/>
      <c r="AG214" s="8"/>
      <c r="AI214" s="8" t="str">
        <f>IF(AJ214="","",VLOOKUP(AJ214,引用表合并!$A:$B,2,FALSE))</f>
        <v/>
      </c>
      <c r="AJ214" s="8"/>
      <c r="AK214" s="8"/>
      <c r="AM214" s="8" t="str">
        <f>IF(AN214="","",VLOOKUP(AN214,引用表合并!$A:$B,2,FALSE))</f>
        <v/>
      </c>
      <c r="AN214" s="8"/>
      <c r="AO214" s="8"/>
      <c r="AQ214" s="8" t="str">
        <f>IF(AR214="","",VLOOKUP(AR214,引用表合并!$A:$B,2,FALSE))</f>
        <v/>
      </c>
      <c r="AR214" s="8"/>
      <c r="AS214" s="8"/>
      <c r="AU214" s="8" t="str">
        <f>IF(AV214="","",VLOOKUP(AV214,引用表合并!$A:$B,2,FALSE))</f>
        <v/>
      </c>
      <c r="AV214" s="8"/>
      <c r="AW214" s="8"/>
      <c r="AY214" s="8" t="str">
        <f>IF(AZ214="","",VLOOKUP(AZ214,引用表合并!$A:$B,2,FALSE))</f>
        <v/>
      </c>
      <c r="AZ214" s="8"/>
      <c r="BA214" s="8"/>
      <c r="BC214" s="8" t="str">
        <f>IF(BD214="","",VLOOKUP(BD214,引用表合并!$A:$B,2,FALSE))</f>
        <v/>
      </c>
      <c r="BD214" s="8"/>
      <c r="BF214" s="10"/>
      <c r="BG214" s="8" t="str">
        <f>IF(BH214="","",VLOOKUP(BH214,引用表合并!$A:$B,2,FALSE))</f>
        <v/>
      </c>
      <c r="BH214" s="8"/>
      <c r="BJ214" s="10"/>
      <c r="BK214" s="8" t="str">
        <f>IF(BL214="","",VLOOKUP(BL214,引用表合并!$A:$B,2,FALSE))</f>
        <v/>
      </c>
      <c r="BL214" s="8"/>
      <c r="BN214" s="10"/>
    </row>
    <row r="215" spans="1:66" x14ac:dyDescent="0.15">
      <c r="A215" s="8">
        <v>110101</v>
      </c>
      <c r="B215" s="8" t="s">
        <v>857</v>
      </c>
      <c r="C215" s="8">
        <v>0</v>
      </c>
      <c r="D215" s="8">
        <f t="shared" ref="D215:D228" si="36">E215</f>
        <v>0</v>
      </c>
      <c r="E215" s="16">
        <f t="shared" si="28"/>
        <v>0</v>
      </c>
      <c r="F215" s="16">
        <f t="shared" si="27"/>
        <v>0</v>
      </c>
      <c r="G215" s="8" t="str">
        <f>IF(H215="","",VLOOKUP(H215,引用表合并!$A:$B,2,FALSE))</f>
        <v/>
      </c>
      <c r="H215" s="10"/>
      <c r="K215" s="8" t="str">
        <f>IF(L215="","",VLOOKUP(L215,引用表合并!$A:$B,2,FALSE))</f>
        <v/>
      </c>
      <c r="M215" s="8"/>
      <c r="O215" s="8" t="str">
        <f>IF(P215="","",VLOOKUP(P215,引用表合并!$A:$B,2,FALSE))</f>
        <v/>
      </c>
      <c r="Q215" s="8"/>
      <c r="S215" s="8" t="str">
        <f>IF(T215="","",VLOOKUP(T215,引用表合并!$A:$B,2,FALSE))</f>
        <v/>
      </c>
      <c r="T215" s="8"/>
      <c r="U215" s="8"/>
      <c r="W215" s="8" t="str">
        <f>IF(X215="","",VLOOKUP(X215,引用表合并!$A:$B,2,FALSE))</f>
        <v/>
      </c>
      <c r="X215" s="8"/>
      <c r="Y215" s="8"/>
      <c r="AA215" s="8" t="str">
        <f>IF(AB215="","",VLOOKUP(AB215,引用表合并!$A:$B,2,FALSE))</f>
        <v/>
      </c>
      <c r="AB215" s="8"/>
      <c r="AC215" s="8"/>
      <c r="AE215" s="8" t="str">
        <f>IF(AF215="","",VLOOKUP(AF215,引用表合并!$A:$B,2,FALSE))</f>
        <v/>
      </c>
      <c r="AF215" s="8"/>
      <c r="AG215" s="8"/>
      <c r="AI215" s="8" t="str">
        <f>IF(AJ215="","",VLOOKUP(AJ215,引用表合并!$A:$B,2,FALSE))</f>
        <v/>
      </c>
      <c r="AJ215" s="8"/>
      <c r="AK215" s="8"/>
      <c r="AM215" s="8" t="str">
        <f>IF(AN215="","",VLOOKUP(AN215,引用表合并!$A:$B,2,FALSE))</f>
        <v/>
      </c>
      <c r="AN215" s="8"/>
      <c r="AO215" s="8"/>
      <c r="AQ215" s="8" t="str">
        <f>IF(AR215="","",VLOOKUP(AR215,引用表合并!$A:$B,2,FALSE))</f>
        <v/>
      </c>
      <c r="AR215" s="8"/>
      <c r="AS215" s="8"/>
      <c r="AU215" s="8" t="str">
        <f>IF(AV215="","",VLOOKUP(AV215,引用表合并!$A:$B,2,FALSE))</f>
        <v/>
      </c>
      <c r="AV215" s="8"/>
      <c r="AW215" s="8"/>
      <c r="AY215" s="8" t="str">
        <f>IF(AZ215="","",VLOOKUP(AZ215,引用表合并!$A:$B,2,FALSE))</f>
        <v/>
      </c>
      <c r="AZ215" s="8"/>
      <c r="BA215" s="8"/>
      <c r="BC215" s="8" t="str">
        <f>IF(BD215="","",VLOOKUP(BD215,引用表合并!$A:$B,2,FALSE))</f>
        <v/>
      </c>
      <c r="BD215" s="8"/>
      <c r="BF215" s="10"/>
      <c r="BG215" s="8" t="str">
        <f>IF(BH215="","",VLOOKUP(BH215,引用表合并!$A:$B,2,FALSE))</f>
        <v/>
      </c>
      <c r="BH215" s="8"/>
      <c r="BJ215" s="10"/>
      <c r="BK215" s="8" t="str">
        <f>IF(BL215="","",VLOOKUP(BL215,引用表合并!$A:$B,2,FALSE))</f>
        <v/>
      </c>
      <c r="BL215" s="8"/>
      <c r="BN215" s="10"/>
    </row>
    <row r="216" spans="1:66" x14ac:dyDescent="0.15">
      <c r="A216" s="8">
        <v>110102</v>
      </c>
      <c r="B216" s="8" t="s">
        <v>857</v>
      </c>
      <c r="C216" s="8">
        <v>0</v>
      </c>
      <c r="D216" s="8">
        <f t="shared" si="36"/>
        <v>0</v>
      </c>
      <c r="E216" s="16">
        <f t="shared" si="28"/>
        <v>0</v>
      </c>
      <c r="F216" s="16">
        <f t="shared" si="27"/>
        <v>0</v>
      </c>
      <c r="G216" s="8" t="str">
        <f>IF(H216="","",VLOOKUP(H216,引用表合并!$A:$B,2,FALSE))</f>
        <v/>
      </c>
      <c r="H216" s="10"/>
      <c r="K216" s="8" t="str">
        <f>IF(L216="","",VLOOKUP(L216,引用表合并!$A:$B,2,FALSE))</f>
        <v/>
      </c>
      <c r="M216" s="8"/>
      <c r="O216" s="8" t="str">
        <f>IF(P216="","",VLOOKUP(P216,引用表合并!$A:$B,2,FALSE))</f>
        <v/>
      </c>
      <c r="Q216" s="8"/>
      <c r="S216" s="8" t="str">
        <f>IF(T216="","",VLOOKUP(T216,引用表合并!$A:$B,2,FALSE))</f>
        <v/>
      </c>
      <c r="T216" s="8"/>
      <c r="U216" s="8"/>
      <c r="W216" s="8" t="str">
        <f>IF(X216="","",VLOOKUP(X216,引用表合并!$A:$B,2,FALSE))</f>
        <v/>
      </c>
      <c r="X216" s="8"/>
      <c r="Y216" s="8"/>
      <c r="AA216" s="8" t="str">
        <f>IF(AB216="","",VLOOKUP(AB216,引用表合并!$A:$B,2,FALSE))</f>
        <v/>
      </c>
      <c r="AB216" s="8"/>
      <c r="AC216" s="8"/>
      <c r="AE216" s="8" t="str">
        <f>IF(AF216="","",VLOOKUP(AF216,引用表合并!$A:$B,2,FALSE))</f>
        <v/>
      </c>
      <c r="AF216" s="8"/>
      <c r="AG216" s="8"/>
      <c r="AI216" s="8" t="str">
        <f>IF(AJ216="","",VLOOKUP(AJ216,引用表合并!$A:$B,2,FALSE))</f>
        <v/>
      </c>
      <c r="AJ216" s="8"/>
      <c r="AK216" s="8"/>
      <c r="AM216" s="8" t="str">
        <f>IF(AN216="","",VLOOKUP(AN216,引用表合并!$A:$B,2,FALSE))</f>
        <v/>
      </c>
      <c r="AN216" s="8"/>
      <c r="AO216" s="8"/>
      <c r="AQ216" s="8" t="str">
        <f>IF(AR216="","",VLOOKUP(AR216,引用表合并!$A:$B,2,FALSE))</f>
        <v/>
      </c>
      <c r="AR216" s="8"/>
      <c r="AS216" s="8"/>
      <c r="AU216" s="8" t="str">
        <f>IF(AV216="","",VLOOKUP(AV216,引用表合并!$A:$B,2,FALSE))</f>
        <v/>
      </c>
      <c r="AV216" s="8"/>
      <c r="AW216" s="8"/>
      <c r="AY216" s="8" t="str">
        <f>IF(AZ216="","",VLOOKUP(AZ216,引用表合并!$A:$B,2,FALSE))</f>
        <v/>
      </c>
      <c r="AZ216" s="8"/>
      <c r="BA216" s="8"/>
      <c r="BC216" s="8" t="str">
        <f>IF(BD216="","",VLOOKUP(BD216,引用表合并!$A:$B,2,FALSE))</f>
        <v/>
      </c>
      <c r="BD216" s="8"/>
      <c r="BF216" s="10"/>
      <c r="BG216" s="8" t="str">
        <f>IF(BH216="","",VLOOKUP(BH216,引用表合并!$A:$B,2,FALSE))</f>
        <v/>
      </c>
      <c r="BH216" s="8"/>
      <c r="BJ216" s="10"/>
      <c r="BK216" s="8" t="str">
        <f>IF(BL216="","",VLOOKUP(BL216,引用表合并!$A:$B,2,FALSE))</f>
        <v/>
      </c>
      <c r="BL216" s="8"/>
      <c r="BN216" s="10"/>
    </row>
    <row r="217" spans="1:66" x14ac:dyDescent="0.15">
      <c r="A217" s="8">
        <v>110103</v>
      </c>
      <c r="B217" s="8" t="s">
        <v>856</v>
      </c>
      <c r="C217" s="8">
        <v>0</v>
      </c>
      <c r="D217" s="8">
        <f t="shared" ref="D217:D218" si="37">E217</f>
        <v>0</v>
      </c>
      <c r="E217" s="16">
        <f t="shared" si="28"/>
        <v>0</v>
      </c>
      <c r="F217" s="16">
        <f t="shared" si="27"/>
        <v>0</v>
      </c>
      <c r="G217" s="8" t="str">
        <f>IF(H217="","",VLOOKUP(H217,引用表合并!$A:$B,2,FALSE))</f>
        <v/>
      </c>
      <c r="H217" s="10"/>
      <c r="K217" s="8" t="str">
        <f>IF(L217="","",VLOOKUP(L217,引用表合并!$A:$B,2,FALSE))</f>
        <v/>
      </c>
      <c r="M217" s="8"/>
      <c r="O217" s="8" t="str">
        <f>IF(P217="","",VLOOKUP(P217,引用表合并!$A:$B,2,FALSE))</f>
        <v/>
      </c>
      <c r="Q217" s="8"/>
      <c r="S217" s="8" t="str">
        <f>IF(T217="","",VLOOKUP(T217,引用表合并!$A:$B,2,FALSE))</f>
        <v/>
      </c>
      <c r="T217" s="8"/>
      <c r="U217" s="8"/>
      <c r="W217" s="8" t="str">
        <f>IF(X217="","",VLOOKUP(X217,引用表合并!$A:$B,2,FALSE))</f>
        <v/>
      </c>
      <c r="X217" s="8"/>
      <c r="Y217" s="8"/>
      <c r="AA217" s="8" t="str">
        <f>IF(AB217="","",VLOOKUP(AB217,引用表合并!$A:$B,2,FALSE))</f>
        <v/>
      </c>
      <c r="AB217" s="8"/>
      <c r="AC217" s="8"/>
      <c r="AE217" s="8" t="str">
        <f>IF(AF217="","",VLOOKUP(AF217,引用表合并!$A:$B,2,FALSE))</f>
        <v/>
      </c>
      <c r="AF217" s="8"/>
      <c r="AG217" s="8"/>
      <c r="AI217" s="8" t="str">
        <f>IF(AJ217="","",VLOOKUP(AJ217,引用表合并!$A:$B,2,FALSE))</f>
        <v/>
      </c>
      <c r="AJ217" s="8"/>
      <c r="AK217" s="8"/>
      <c r="AM217" s="8" t="str">
        <f>IF(AN217="","",VLOOKUP(AN217,引用表合并!$A:$B,2,FALSE))</f>
        <v/>
      </c>
      <c r="AN217" s="8"/>
      <c r="AO217" s="8"/>
      <c r="AQ217" s="8" t="str">
        <f>IF(AR217="","",VLOOKUP(AR217,引用表合并!$A:$B,2,FALSE))</f>
        <v/>
      </c>
      <c r="AR217" s="8"/>
      <c r="AS217" s="8"/>
      <c r="AU217" s="8" t="str">
        <f>IF(AV217="","",VLOOKUP(AV217,引用表合并!$A:$B,2,FALSE))</f>
        <v/>
      </c>
      <c r="AV217" s="8"/>
      <c r="AW217" s="8"/>
      <c r="AY217" s="8" t="str">
        <f>IF(AZ217="","",VLOOKUP(AZ217,引用表合并!$A:$B,2,FALSE))</f>
        <v/>
      </c>
      <c r="AZ217" s="8"/>
      <c r="BA217" s="8"/>
      <c r="BC217" s="8" t="str">
        <f>IF(BD217="","",VLOOKUP(BD217,引用表合并!$A:$B,2,FALSE))</f>
        <v/>
      </c>
      <c r="BD217" s="8"/>
      <c r="BF217" s="10"/>
      <c r="BG217" s="8" t="str">
        <f>IF(BH217="","",VLOOKUP(BH217,引用表合并!$A:$B,2,FALSE))</f>
        <v/>
      </c>
      <c r="BH217" s="8"/>
      <c r="BJ217" s="10"/>
      <c r="BK217" s="8" t="str">
        <f>IF(BL217="","",VLOOKUP(BL217,引用表合并!$A:$B,2,FALSE))</f>
        <v/>
      </c>
      <c r="BL217" s="8"/>
      <c r="BN217" s="10"/>
    </row>
    <row r="218" spans="1:66" x14ac:dyDescent="0.15">
      <c r="A218" s="8">
        <v>110104</v>
      </c>
      <c r="B218" s="8" t="s">
        <v>856</v>
      </c>
      <c r="C218" s="8">
        <v>0</v>
      </c>
      <c r="D218" s="8">
        <f t="shared" si="37"/>
        <v>0</v>
      </c>
      <c r="E218" s="16">
        <f t="shared" si="28"/>
        <v>0</v>
      </c>
      <c r="F218" s="16">
        <f t="shared" si="27"/>
        <v>0</v>
      </c>
      <c r="G218" s="8" t="str">
        <f>IF(H218="","",VLOOKUP(H218,引用表合并!$A:$B,2,FALSE))</f>
        <v/>
      </c>
      <c r="H218" s="10"/>
      <c r="K218" s="8" t="str">
        <f>IF(L218="","",VLOOKUP(L218,引用表合并!$A:$B,2,FALSE))</f>
        <v/>
      </c>
      <c r="M218" s="8"/>
      <c r="O218" s="8" t="str">
        <f>IF(P218="","",VLOOKUP(P218,引用表合并!$A:$B,2,FALSE))</f>
        <v/>
      </c>
      <c r="Q218" s="8"/>
      <c r="S218" s="8" t="str">
        <f>IF(T218="","",VLOOKUP(T218,引用表合并!$A:$B,2,FALSE))</f>
        <v/>
      </c>
      <c r="T218" s="8"/>
      <c r="U218" s="8"/>
      <c r="W218" s="8" t="str">
        <f>IF(X218="","",VLOOKUP(X218,引用表合并!$A:$B,2,FALSE))</f>
        <v/>
      </c>
      <c r="X218" s="8"/>
      <c r="Y218" s="8"/>
      <c r="AA218" s="8" t="str">
        <f>IF(AB218="","",VLOOKUP(AB218,引用表合并!$A:$B,2,FALSE))</f>
        <v/>
      </c>
      <c r="AB218" s="8"/>
      <c r="AC218" s="8"/>
      <c r="AE218" s="8" t="str">
        <f>IF(AF218="","",VLOOKUP(AF218,引用表合并!$A:$B,2,FALSE))</f>
        <v/>
      </c>
      <c r="AF218" s="8"/>
      <c r="AG218" s="8"/>
      <c r="AI218" s="8" t="str">
        <f>IF(AJ218="","",VLOOKUP(AJ218,引用表合并!$A:$B,2,FALSE))</f>
        <v/>
      </c>
      <c r="AJ218" s="8"/>
      <c r="AK218" s="8"/>
      <c r="AM218" s="8" t="str">
        <f>IF(AN218="","",VLOOKUP(AN218,引用表合并!$A:$B,2,FALSE))</f>
        <v/>
      </c>
      <c r="AN218" s="8"/>
      <c r="AO218" s="8"/>
      <c r="AQ218" s="8" t="str">
        <f>IF(AR218="","",VLOOKUP(AR218,引用表合并!$A:$B,2,FALSE))</f>
        <v/>
      </c>
      <c r="AR218" s="8"/>
      <c r="AS218" s="8"/>
      <c r="AU218" s="8" t="str">
        <f>IF(AV218="","",VLOOKUP(AV218,引用表合并!$A:$B,2,FALSE))</f>
        <v/>
      </c>
      <c r="AV218" s="8"/>
      <c r="AW218" s="8"/>
      <c r="AY218" s="8" t="str">
        <f>IF(AZ218="","",VLOOKUP(AZ218,引用表合并!$A:$B,2,FALSE))</f>
        <v/>
      </c>
      <c r="AZ218" s="8"/>
      <c r="BA218" s="8"/>
      <c r="BC218" s="8" t="str">
        <f>IF(BD218="","",VLOOKUP(BD218,引用表合并!$A:$B,2,FALSE))</f>
        <v/>
      </c>
      <c r="BD218" s="8"/>
      <c r="BF218" s="10"/>
      <c r="BG218" s="8" t="str">
        <f>IF(BH218="","",VLOOKUP(BH218,引用表合并!$A:$B,2,FALSE))</f>
        <v/>
      </c>
      <c r="BH218" s="8"/>
      <c r="BJ218" s="10"/>
      <c r="BK218" s="8" t="str">
        <f>IF(BL218="","",VLOOKUP(BL218,引用表合并!$A:$B,2,FALSE))</f>
        <v/>
      </c>
      <c r="BL218" s="8"/>
      <c r="BN218" s="10"/>
    </row>
    <row r="219" spans="1:66" x14ac:dyDescent="0.15">
      <c r="A219" s="8">
        <v>110105</v>
      </c>
      <c r="B219" s="8" t="s">
        <v>856</v>
      </c>
      <c r="C219" s="8">
        <v>0</v>
      </c>
      <c r="D219" s="8">
        <f t="shared" ref="D219:D220" si="38">E219</f>
        <v>0</v>
      </c>
      <c r="E219" s="16">
        <f t="shared" si="28"/>
        <v>0</v>
      </c>
      <c r="F219" s="16">
        <f t="shared" si="27"/>
        <v>0</v>
      </c>
      <c r="G219" s="8" t="str">
        <f>IF(H219="","",VLOOKUP(H219,引用表合并!$A:$B,2,FALSE))</f>
        <v/>
      </c>
      <c r="H219" s="10"/>
      <c r="K219" s="8" t="str">
        <f>IF(L219="","",VLOOKUP(L219,引用表合并!$A:$B,2,FALSE))</f>
        <v/>
      </c>
      <c r="M219" s="8"/>
      <c r="O219" s="8" t="str">
        <f>IF(P219="","",VLOOKUP(P219,引用表合并!$A:$B,2,FALSE))</f>
        <v/>
      </c>
      <c r="Q219" s="8"/>
      <c r="S219" s="8" t="str">
        <f>IF(T219="","",VLOOKUP(T219,引用表合并!$A:$B,2,FALSE))</f>
        <v/>
      </c>
      <c r="T219" s="8"/>
      <c r="U219" s="8"/>
      <c r="W219" s="8" t="str">
        <f>IF(X219="","",VLOOKUP(X219,引用表合并!$A:$B,2,FALSE))</f>
        <v/>
      </c>
      <c r="X219" s="8"/>
      <c r="Y219" s="8"/>
      <c r="AA219" s="8" t="str">
        <f>IF(AB219="","",VLOOKUP(AB219,引用表合并!$A:$B,2,FALSE))</f>
        <v/>
      </c>
      <c r="AB219" s="8"/>
      <c r="AC219" s="8"/>
      <c r="AE219" s="8" t="str">
        <f>IF(AF219="","",VLOOKUP(AF219,引用表合并!$A:$B,2,FALSE))</f>
        <v/>
      </c>
      <c r="AF219" s="8"/>
      <c r="AG219" s="8"/>
      <c r="AI219" s="8" t="str">
        <f>IF(AJ219="","",VLOOKUP(AJ219,引用表合并!$A:$B,2,FALSE))</f>
        <v/>
      </c>
      <c r="AJ219" s="8"/>
      <c r="AK219" s="8"/>
      <c r="AM219" s="8" t="str">
        <f>IF(AN219="","",VLOOKUP(AN219,引用表合并!$A:$B,2,FALSE))</f>
        <v/>
      </c>
      <c r="AN219" s="8"/>
      <c r="AO219" s="8"/>
      <c r="AQ219" s="8" t="str">
        <f>IF(AR219="","",VLOOKUP(AR219,引用表合并!$A:$B,2,FALSE))</f>
        <v/>
      </c>
      <c r="AR219" s="8"/>
      <c r="AS219" s="8"/>
      <c r="AU219" s="8" t="str">
        <f>IF(AV219="","",VLOOKUP(AV219,引用表合并!$A:$B,2,FALSE))</f>
        <v/>
      </c>
      <c r="AV219" s="8"/>
      <c r="AW219" s="8"/>
      <c r="AY219" s="8" t="str">
        <f>IF(AZ219="","",VLOOKUP(AZ219,引用表合并!$A:$B,2,FALSE))</f>
        <v/>
      </c>
      <c r="AZ219" s="8"/>
      <c r="BA219" s="8"/>
      <c r="BC219" s="8" t="str">
        <f>IF(BD219="","",VLOOKUP(BD219,引用表合并!$A:$B,2,FALSE))</f>
        <v/>
      </c>
      <c r="BD219" s="8"/>
      <c r="BF219" s="10"/>
      <c r="BG219" s="8" t="str">
        <f>IF(BH219="","",VLOOKUP(BH219,引用表合并!$A:$B,2,FALSE))</f>
        <v/>
      </c>
      <c r="BH219" s="8"/>
      <c r="BJ219" s="10"/>
      <c r="BK219" s="8" t="str">
        <f>IF(BL219="","",VLOOKUP(BL219,引用表合并!$A:$B,2,FALSE))</f>
        <v/>
      </c>
      <c r="BL219" s="8"/>
      <c r="BN219" s="10"/>
    </row>
    <row r="220" spans="1:66" x14ac:dyDescent="0.15">
      <c r="A220" s="8">
        <v>110106</v>
      </c>
      <c r="B220" s="8" t="s">
        <v>856</v>
      </c>
      <c r="C220" s="8">
        <v>0</v>
      </c>
      <c r="D220" s="8">
        <f t="shared" si="38"/>
        <v>0</v>
      </c>
      <c r="E220" s="16">
        <f t="shared" si="28"/>
        <v>0</v>
      </c>
      <c r="F220" s="16">
        <f t="shared" si="27"/>
        <v>0</v>
      </c>
      <c r="G220" s="8" t="str">
        <f>IF(H220="","",VLOOKUP(H220,引用表合并!$A:$B,2,FALSE))</f>
        <v/>
      </c>
      <c r="H220" s="10"/>
      <c r="K220" s="8" t="str">
        <f>IF(L220="","",VLOOKUP(L220,引用表合并!$A:$B,2,FALSE))</f>
        <v/>
      </c>
      <c r="M220" s="8"/>
      <c r="O220" s="8" t="str">
        <f>IF(P220="","",VLOOKUP(P220,引用表合并!$A:$B,2,FALSE))</f>
        <v/>
      </c>
      <c r="Q220" s="8"/>
      <c r="S220" s="8" t="str">
        <f>IF(T220="","",VLOOKUP(T220,引用表合并!$A:$B,2,FALSE))</f>
        <v/>
      </c>
      <c r="T220" s="8"/>
      <c r="U220" s="8"/>
      <c r="W220" s="8" t="str">
        <f>IF(X220="","",VLOOKUP(X220,引用表合并!$A:$B,2,FALSE))</f>
        <v/>
      </c>
      <c r="X220" s="8"/>
      <c r="Y220" s="8"/>
      <c r="AA220" s="8" t="str">
        <f>IF(AB220="","",VLOOKUP(AB220,引用表合并!$A:$B,2,FALSE))</f>
        <v/>
      </c>
      <c r="AB220" s="8"/>
      <c r="AC220" s="8"/>
      <c r="AE220" s="8" t="str">
        <f>IF(AF220="","",VLOOKUP(AF220,引用表合并!$A:$B,2,FALSE))</f>
        <v/>
      </c>
      <c r="AF220" s="8"/>
      <c r="AG220" s="8"/>
      <c r="AI220" s="8" t="str">
        <f>IF(AJ220="","",VLOOKUP(AJ220,引用表合并!$A:$B,2,FALSE))</f>
        <v/>
      </c>
      <c r="AJ220" s="8"/>
      <c r="AK220" s="8"/>
      <c r="AM220" s="8" t="str">
        <f>IF(AN220="","",VLOOKUP(AN220,引用表合并!$A:$B,2,FALSE))</f>
        <v/>
      </c>
      <c r="AN220" s="8"/>
      <c r="AO220" s="8"/>
      <c r="AQ220" s="8" t="str">
        <f>IF(AR220="","",VLOOKUP(AR220,引用表合并!$A:$B,2,FALSE))</f>
        <v/>
      </c>
      <c r="AR220" s="8"/>
      <c r="AS220" s="8"/>
      <c r="AU220" s="8" t="str">
        <f>IF(AV220="","",VLOOKUP(AV220,引用表合并!$A:$B,2,FALSE))</f>
        <v/>
      </c>
      <c r="AV220" s="8"/>
      <c r="AW220" s="8"/>
      <c r="AY220" s="8" t="str">
        <f>IF(AZ220="","",VLOOKUP(AZ220,引用表合并!$A:$B,2,FALSE))</f>
        <v/>
      </c>
      <c r="AZ220" s="8"/>
      <c r="BA220" s="8"/>
      <c r="BC220" s="8" t="str">
        <f>IF(BD220="","",VLOOKUP(BD220,引用表合并!$A:$B,2,FALSE))</f>
        <v/>
      </c>
      <c r="BD220" s="8"/>
      <c r="BF220" s="10"/>
      <c r="BG220" s="8" t="str">
        <f>IF(BH220="","",VLOOKUP(BH220,引用表合并!$A:$B,2,FALSE))</f>
        <v/>
      </c>
      <c r="BH220" s="8"/>
      <c r="BJ220" s="10"/>
      <c r="BK220" s="8" t="str">
        <f>IF(BL220="","",VLOOKUP(BL220,引用表合并!$A:$B,2,FALSE))</f>
        <v/>
      </c>
      <c r="BL220" s="8"/>
      <c r="BN220" s="10"/>
    </row>
    <row r="221" spans="1:66" x14ac:dyDescent="0.15">
      <c r="A221" s="8">
        <v>110111</v>
      </c>
      <c r="B221" s="8" t="s">
        <v>858</v>
      </c>
      <c r="C221" s="8">
        <v>0</v>
      </c>
      <c r="D221" s="8">
        <f t="shared" si="36"/>
        <v>0</v>
      </c>
      <c r="E221" s="16">
        <f t="shared" si="28"/>
        <v>0</v>
      </c>
      <c r="F221" s="16">
        <f t="shared" si="27"/>
        <v>0</v>
      </c>
      <c r="G221" s="8" t="str">
        <f>IF(H221="","",VLOOKUP(H221,引用表合并!$A:$B,2,FALSE))</f>
        <v/>
      </c>
      <c r="H221" s="10"/>
      <c r="K221" s="8" t="str">
        <f>IF(L221="","",VLOOKUP(L221,引用表合并!$A:$B,2,FALSE))</f>
        <v/>
      </c>
      <c r="M221" s="8"/>
      <c r="O221" s="8" t="str">
        <f>IF(P221="","",VLOOKUP(P221,引用表合并!$A:$B,2,FALSE))</f>
        <v/>
      </c>
      <c r="Q221" s="8"/>
      <c r="S221" s="8" t="str">
        <f>IF(T221="","",VLOOKUP(T221,引用表合并!$A:$B,2,FALSE))</f>
        <v/>
      </c>
      <c r="T221" s="8"/>
      <c r="U221" s="8"/>
      <c r="W221" s="8" t="str">
        <f>IF(X221="","",VLOOKUP(X221,引用表合并!$A:$B,2,FALSE))</f>
        <v/>
      </c>
      <c r="X221" s="8"/>
      <c r="Y221" s="8"/>
      <c r="AA221" s="8" t="str">
        <f>IF(AB221="","",VLOOKUP(AB221,引用表合并!$A:$B,2,FALSE))</f>
        <v/>
      </c>
      <c r="AB221" s="8"/>
      <c r="AC221" s="8"/>
      <c r="AE221" s="8" t="str">
        <f>IF(AF221="","",VLOOKUP(AF221,引用表合并!$A:$B,2,FALSE))</f>
        <v/>
      </c>
      <c r="AF221" s="8"/>
      <c r="AG221" s="8"/>
      <c r="AI221" s="8" t="str">
        <f>IF(AJ221="","",VLOOKUP(AJ221,引用表合并!$A:$B,2,FALSE))</f>
        <v/>
      </c>
      <c r="AJ221" s="8"/>
      <c r="AK221" s="8"/>
      <c r="AM221" s="8" t="str">
        <f>IF(AN221="","",VLOOKUP(AN221,引用表合并!$A:$B,2,FALSE))</f>
        <v/>
      </c>
      <c r="AN221" s="8"/>
      <c r="AO221" s="8"/>
      <c r="AQ221" s="8" t="str">
        <f>IF(AR221="","",VLOOKUP(AR221,引用表合并!$A:$B,2,FALSE))</f>
        <v/>
      </c>
      <c r="AR221" s="8"/>
      <c r="AS221" s="8"/>
      <c r="AU221" s="8" t="str">
        <f>IF(AV221="","",VLOOKUP(AV221,引用表合并!$A:$B,2,FALSE))</f>
        <v/>
      </c>
      <c r="AV221" s="8"/>
      <c r="AW221" s="8"/>
      <c r="AY221" s="8" t="str">
        <f>IF(AZ221="","",VLOOKUP(AZ221,引用表合并!$A:$B,2,FALSE))</f>
        <v/>
      </c>
      <c r="AZ221" s="8"/>
      <c r="BA221" s="8"/>
      <c r="BC221" s="8" t="str">
        <f>IF(BD221="","",VLOOKUP(BD221,引用表合并!$A:$B,2,FALSE))</f>
        <v/>
      </c>
      <c r="BD221" s="8"/>
      <c r="BF221" s="10"/>
      <c r="BG221" s="8" t="str">
        <f>IF(BH221="","",VLOOKUP(BH221,引用表合并!$A:$B,2,FALSE))</f>
        <v/>
      </c>
      <c r="BH221" s="8"/>
      <c r="BJ221" s="10"/>
      <c r="BK221" s="8" t="str">
        <f>IF(BL221="","",VLOOKUP(BL221,引用表合并!$A:$B,2,FALSE))</f>
        <v/>
      </c>
      <c r="BL221" s="8"/>
      <c r="BN221" s="10"/>
    </row>
    <row r="222" spans="1:66" x14ac:dyDescent="0.15">
      <c r="A222" s="8">
        <v>110112</v>
      </c>
      <c r="B222" s="8" t="s">
        <v>858</v>
      </c>
      <c r="C222" s="8">
        <v>0</v>
      </c>
      <c r="D222" s="8">
        <f t="shared" si="36"/>
        <v>0</v>
      </c>
      <c r="E222" s="16">
        <f t="shared" si="28"/>
        <v>0</v>
      </c>
      <c r="F222" s="16">
        <f t="shared" si="27"/>
        <v>0</v>
      </c>
      <c r="G222" s="8" t="str">
        <f>IF(H222="","",VLOOKUP(H222,引用表合并!$A:$B,2,FALSE))</f>
        <v/>
      </c>
      <c r="H222" s="10"/>
      <c r="K222" s="8" t="str">
        <f>IF(L222="","",VLOOKUP(L222,引用表合并!$A:$B,2,FALSE))</f>
        <v/>
      </c>
      <c r="M222" s="8"/>
      <c r="O222" s="8" t="str">
        <f>IF(P222="","",VLOOKUP(P222,引用表合并!$A:$B,2,FALSE))</f>
        <v/>
      </c>
      <c r="Q222" s="8"/>
      <c r="S222" s="8" t="str">
        <f>IF(T222="","",VLOOKUP(T222,引用表合并!$A:$B,2,FALSE))</f>
        <v/>
      </c>
      <c r="T222" s="8"/>
      <c r="U222" s="8"/>
      <c r="W222" s="8" t="str">
        <f>IF(X222="","",VLOOKUP(X222,引用表合并!$A:$B,2,FALSE))</f>
        <v/>
      </c>
      <c r="X222" s="8"/>
      <c r="Y222" s="8"/>
      <c r="AA222" s="8" t="str">
        <f>IF(AB222="","",VLOOKUP(AB222,引用表合并!$A:$B,2,FALSE))</f>
        <v/>
      </c>
      <c r="AB222" s="8"/>
      <c r="AC222" s="8"/>
      <c r="AE222" s="8" t="str">
        <f>IF(AF222="","",VLOOKUP(AF222,引用表合并!$A:$B,2,FALSE))</f>
        <v/>
      </c>
      <c r="AF222" s="8"/>
      <c r="AG222" s="8"/>
      <c r="AI222" s="8" t="str">
        <f>IF(AJ222="","",VLOOKUP(AJ222,引用表合并!$A:$B,2,FALSE))</f>
        <v/>
      </c>
      <c r="AJ222" s="8"/>
      <c r="AK222" s="8"/>
      <c r="AM222" s="8" t="str">
        <f>IF(AN222="","",VLOOKUP(AN222,引用表合并!$A:$B,2,FALSE))</f>
        <v/>
      </c>
      <c r="AN222" s="8"/>
      <c r="AO222" s="8"/>
      <c r="AQ222" s="8" t="str">
        <f>IF(AR222="","",VLOOKUP(AR222,引用表合并!$A:$B,2,FALSE))</f>
        <v/>
      </c>
      <c r="AR222" s="8"/>
      <c r="AS222" s="8"/>
      <c r="AU222" s="8" t="str">
        <f>IF(AV222="","",VLOOKUP(AV222,引用表合并!$A:$B,2,FALSE))</f>
        <v/>
      </c>
      <c r="AV222" s="8"/>
      <c r="AW222" s="8"/>
      <c r="AY222" s="8" t="str">
        <f>IF(AZ222="","",VLOOKUP(AZ222,引用表合并!$A:$B,2,FALSE))</f>
        <v/>
      </c>
      <c r="AZ222" s="8"/>
      <c r="BA222" s="8"/>
      <c r="BC222" s="8" t="str">
        <f>IF(BD222="","",VLOOKUP(BD222,引用表合并!$A:$B,2,FALSE))</f>
        <v/>
      </c>
      <c r="BD222" s="8"/>
      <c r="BF222" s="10"/>
      <c r="BG222" s="8" t="str">
        <f>IF(BH222="","",VLOOKUP(BH222,引用表合并!$A:$B,2,FALSE))</f>
        <v/>
      </c>
      <c r="BH222" s="8"/>
      <c r="BJ222" s="10"/>
      <c r="BK222" s="8" t="str">
        <f>IF(BL222="","",VLOOKUP(BL222,引用表合并!$A:$B,2,FALSE))</f>
        <v/>
      </c>
      <c r="BL222" s="8"/>
      <c r="BN222" s="10"/>
    </row>
    <row r="223" spans="1:66" x14ac:dyDescent="0.15">
      <c r="A223" s="8">
        <v>110113</v>
      </c>
      <c r="B223" s="8" t="s">
        <v>858</v>
      </c>
      <c r="C223" s="8">
        <v>0</v>
      </c>
      <c r="D223" s="8">
        <f t="shared" ref="D223:D224" si="39">E223</f>
        <v>0</v>
      </c>
      <c r="E223" s="16">
        <f t="shared" si="28"/>
        <v>0</v>
      </c>
      <c r="F223" s="16">
        <f t="shared" si="27"/>
        <v>0</v>
      </c>
      <c r="G223" s="8" t="str">
        <f>IF(H223="","",VLOOKUP(H223,引用表合并!$A:$B,2,FALSE))</f>
        <v/>
      </c>
      <c r="H223" s="10"/>
      <c r="K223" s="8" t="str">
        <f>IF(L223="","",VLOOKUP(L223,引用表合并!$A:$B,2,FALSE))</f>
        <v/>
      </c>
      <c r="M223" s="8"/>
      <c r="O223" s="8" t="str">
        <f>IF(P223="","",VLOOKUP(P223,引用表合并!$A:$B,2,FALSE))</f>
        <v/>
      </c>
      <c r="Q223" s="8"/>
      <c r="S223" s="8" t="str">
        <f>IF(T223="","",VLOOKUP(T223,引用表合并!$A:$B,2,FALSE))</f>
        <v/>
      </c>
      <c r="T223" s="8"/>
      <c r="U223" s="8"/>
      <c r="W223" s="8" t="str">
        <f>IF(X223="","",VLOOKUP(X223,引用表合并!$A:$B,2,FALSE))</f>
        <v/>
      </c>
      <c r="X223" s="8"/>
      <c r="Y223" s="8"/>
      <c r="AA223" s="8" t="str">
        <f>IF(AB223="","",VLOOKUP(AB223,引用表合并!$A:$B,2,FALSE))</f>
        <v/>
      </c>
      <c r="AB223" s="8"/>
      <c r="AC223" s="8"/>
      <c r="AE223" s="8" t="str">
        <f>IF(AF223="","",VLOOKUP(AF223,引用表合并!$A:$B,2,FALSE))</f>
        <v/>
      </c>
      <c r="AF223" s="8"/>
      <c r="AG223" s="8"/>
      <c r="AI223" s="8" t="str">
        <f>IF(AJ223="","",VLOOKUP(AJ223,引用表合并!$A:$B,2,FALSE))</f>
        <v/>
      </c>
      <c r="AJ223" s="8"/>
      <c r="AK223" s="8"/>
      <c r="AM223" s="8" t="str">
        <f>IF(AN223="","",VLOOKUP(AN223,引用表合并!$A:$B,2,FALSE))</f>
        <v/>
      </c>
      <c r="AN223" s="8"/>
      <c r="AO223" s="8"/>
      <c r="AQ223" s="8" t="str">
        <f>IF(AR223="","",VLOOKUP(AR223,引用表合并!$A:$B,2,FALSE))</f>
        <v/>
      </c>
      <c r="AR223" s="8"/>
      <c r="AS223" s="8"/>
      <c r="AU223" s="8" t="str">
        <f>IF(AV223="","",VLOOKUP(AV223,引用表合并!$A:$B,2,FALSE))</f>
        <v/>
      </c>
      <c r="AV223" s="8"/>
      <c r="AW223" s="8"/>
      <c r="AY223" s="8" t="str">
        <f>IF(AZ223="","",VLOOKUP(AZ223,引用表合并!$A:$B,2,FALSE))</f>
        <v/>
      </c>
      <c r="AZ223" s="8"/>
      <c r="BA223" s="8"/>
      <c r="BC223" s="8" t="str">
        <f>IF(BD223="","",VLOOKUP(BD223,引用表合并!$A:$B,2,FALSE))</f>
        <v/>
      </c>
      <c r="BD223" s="8"/>
      <c r="BF223" s="10"/>
      <c r="BG223" s="8" t="str">
        <f>IF(BH223="","",VLOOKUP(BH223,引用表合并!$A:$B,2,FALSE))</f>
        <v/>
      </c>
      <c r="BH223" s="8"/>
      <c r="BJ223" s="10"/>
      <c r="BK223" s="8" t="str">
        <f>IF(BL223="","",VLOOKUP(BL223,引用表合并!$A:$B,2,FALSE))</f>
        <v/>
      </c>
      <c r="BL223" s="8"/>
      <c r="BN223" s="10"/>
    </row>
    <row r="224" spans="1:66" x14ac:dyDescent="0.15">
      <c r="A224" s="8">
        <v>110114</v>
      </c>
      <c r="B224" s="8" t="s">
        <v>858</v>
      </c>
      <c r="C224" s="8">
        <v>0</v>
      </c>
      <c r="D224" s="8">
        <f t="shared" si="39"/>
        <v>0</v>
      </c>
      <c r="E224" s="16">
        <f t="shared" si="28"/>
        <v>0</v>
      </c>
      <c r="F224" s="16">
        <f t="shared" si="27"/>
        <v>0</v>
      </c>
      <c r="G224" s="8" t="str">
        <f>IF(H224="","",VLOOKUP(H224,引用表合并!$A:$B,2,FALSE))</f>
        <v/>
      </c>
      <c r="H224" s="10"/>
      <c r="K224" s="8" t="str">
        <f>IF(L224="","",VLOOKUP(L224,引用表合并!$A:$B,2,FALSE))</f>
        <v/>
      </c>
      <c r="M224" s="8"/>
      <c r="O224" s="8" t="str">
        <f>IF(P224="","",VLOOKUP(P224,引用表合并!$A:$B,2,FALSE))</f>
        <v/>
      </c>
      <c r="Q224" s="8"/>
      <c r="S224" s="8" t="str">
        <f>IF(T224="","",VLOOKUP(T224,引用表合并!$A:$B,2,FALSE))</f>
        <v/>
      </c>
      <c r="T224" s="8"/>
      <c r="U224" s="8"/>
      <c r="W224" s="8" t="str">
        <f>IF(X224="","",VLOOKUP(X224,引用表合并!$A:$B,2,FALSE))</f>
        <v/>
      </c>
      <c r="X224" s="8"/>
      <c r="Y224" s="8"/>
      <c r="AA224" s="8" t="str">
        <f>IF(AB224="","",VLOOKUP(AB224,引用表合并!$A:$B,2,FALSE))</f>
        <v/>
      </c>
      <c r="AB224" s="8"/>
      <c r="AC224" s="8"/>
      <c r="AE224" s="8" t="str">
        <f>IF(AF224="","",VLOOKUP(AF224,引用表合并!$A:$B,2,FALSE))</f>
        <v/>
      </c>
      <c r="AF224" s="8"/>
      <c r="AG224" s="8"/>
      <c r="AI224" s="8" t="str">
        <f>IF(AJ224="","",VLOOKUP(AJ224,引用表合并!$A:$B,2,FALSE))</f>
        <v/>
      </c>
      <c r="AJ224" s="8"/>
      <c r="AK224" s="8"/>
      <c r="AM224" s="8" t="str">
        <f>IF(AN224="","",VLOOKUP(AN224,引用表合并!$A:$B,2,FALSE))</f>
        <v/>
      </c>
      <c r="AN224" s="8"/>
      <c r="AO224" s="8"/>
      <c r="AQ224" s="8" t="str">
        <f>IF(AR224="","",VLOOKUP(AR224,引用表合并!$A:$B,2,FALSE))</f>
        <v/>
      </c>
      <c r="AR224" s="8"/>
      <c r="AS224" s="8"/>
      <c r="AU224" s="8" t="str">
        <f>IF(AV224="","",VLOOKUP(AV224,引用表合并!$A:$B,2,FALSE))</f>
        <v/>
      </c>
      <c r="AV224" s="8"/>
      <c r="AW224" s="8"/>
      <c r="AY224" s="8" t="str">
        <f>IF(AZ224="","",VLOOKUP(AZ224,引用表合并!$A:$B,2,FALSE))</f>
        <v/>
      </c>
      <c r="AZ224" s="8"/>
      <c r="BA224" s="8"/>
      <c r="BC224" s="8" t="str">
        <f>IF(BD224="","",VLOOKUP(BD224,引用表合并!$A:$B,2,FALSE))</f>
        <v/>
      </c>
      <c r="BD224" s="8"/>
      <c r="BF224" s="10"/>
      <c r="BG224" s="8" t="str">
        <f>IF(BH224="","",VLOOKUP(BH224,引用表合并!$A:$B,2,FALSE))</f>
        <v/>
      </c>
      <c r="BH224" s="8"/>
      <c r="BJ224" s="10"/>
      <c r="BK224" s="8" t="str">
        <f>IF(BL224="","",VLOOKUP(BL224,引用表合并!$A:$B,2,FALSE))</f>
        <v/>
      </c>
      <c r="BL224" s="8"/>
      <c r="BN224" s="10"/>
    </row>
    <row r="225" spans="1:66" x14ac:dyDescent="0.15">
      <c r="A225" s="8">
        <v>110115</v>
      </c>
      <c r="B225" s="8" t="s">
        <v>858</v>
      </c>
      <c r="C225" s="8">
        <v>0</v>
      </c>
      <c r="D225" s="8">
        <f t="shared" ref="D225:D226" si="40">E225</f>
        <v>0</v>
      </c>
      <c r="E225" s="16">
        <f t="shared" si="28"/>
        <v>0</v>
      </c>
      <c r="F225" s="16">
        <f t="shared" si="27"/>
        <v>0</v>
      </c>
      <c r="G225" s="8" t="str">
        <f>IF(H225="","",VLOOKUP(H225,引用表合并!$A:$B,2,FALSE))</f>
        <v/>
      </c>
      <c r="H225" s="10"/>
      <c r="K225" s="8" t="str">
        <f>IF(L225="","",VLOOKUP(L225,引用表合并!$A:$B,2,FALSE))</f>
        <v/>
      </c>
      <c r="M225" s="8"/>
      <c r="O225" s="8" t="str">
        <f>IF(P225="","",VLOOKUP(P225,引用表合并!$A:$B,2,FALSE))</f>
        <v/>
      </c>
      <c r="Q225" s="8"/>
      <c r="S225" s="8" t="str">
        <f>IF(T225="","",VLOOKUP(T225,引用表合并!$A:$B,2,FALSE))</f>
        <v/>
      </c>
      <c r="T225" s="8"/>
      <c r="U225" s="8"/>
      <c r="W225" s="8" t="str">
        <f>IF(X225="","",VLOOKUP(X225,引用表合并!$A:$B,2,FALSE))</f>
        <v/>
      </c>
      <c r="X225" s="8"/>
      <c r="Y225" s="8"/>
      <c r="AA225" s="8" t="str">
        <f>IF(AB225="","",VLOOKUP(AB225,引用表合并!$A:$B,2,FALSE))</f>
        <v/>
      </c>
      <c r="AB225" s="8"/>
      <c r="AC225" s="8"/>
      <c r="AE225" s="8" t="str">
        <f>IF(AF225="","",VLOOKUP(AF225,引用表合并!$A:$B,2,FALSE))</f>
        <v/>
      </c>
      <c r="AF225" s="8"/>
      <c r="AG225" s="8"/>
      <c r="AI225" s="8" t="str">
        <f>IF(AJ225="","",VLOOKUP(AJ225,引用表合并!$A:$B,2,FALSE))</f>
        <v/>
      </c>
      <c r="AJ225" s="8"/>
      <c r="AK225" s="8"/>
      <c r="AM225" s="8" t="str">
        <f>IF(AN225="","",VLOOKUP(AN225,引用表合并!$A:$B,2,FALSE))</f>
        <v/>
      </c>
      <c r="AN225" s="8"/>
      <c r="AO225" s="8"/>
      <c r="AQ225" s="8" t="str">
        <f>IF(AR225="","",VLOOKUP(AR225,引用表合并!$A:$B,2,FALSE))</f>
        <v/>
      </c>
      <c r="AR225" s="8"/>
      <c r="AS225" s="8"/>
      <c r="AU225" s="8" t="str">
        <f>IF(AV225="","",VLOOKUP(AV225,引用表合并!$A:$B,2,FALSE))</f>
        <v/>
      </c>
      <c r="AV225" s="8"/>
      <c r="AW225" s="8"/>
      <c r="AY225" s="8" t="str">
        <f>IF(AZ225="","",VLOOKUP(AZ225,引用表合并!$A:$B,2,FALSE))</f>
        <v/>
      </c>
      <c r="AZ225" s="8"/>
      <c r="BA225" s="8"/>
      <c r="BC225" s="8" t="str">
        <f>IF(BD225="","",VLOOKUP(BD225,引用表合并!$A:$B,2,FALSE))</f>
        <v/>
      </c>
      <c r="BD225" s="8"/>
      <c r="BF225" s="10"/>
      <c r="BG225" s="8" t="str">
        <f>IF(BH225="","",VLOOKUP(BH225,引用表合并!$A:$B,2,FALSE))</f>
        <v/>
      </c>
      <c r="BH225" s="8"/>
      <c r="BJ225" s="10"/>
      <c r="BK225" s="8" t="str">
        <f>IF(BL225="","",VLOOKUP(BL225,引用表合并!$A:$B,2,FALSE))</f>
        <v/>
      </c>
      <c r="BL225" s="8"/>
      <c r="BN225" s="10"/>
    </row>
    <row r="226" spans="1:66" x14ac:dyDescent="0.15">
      <c r="A226" s="8">
        <v>110116</v>
      </c>
      <c r="B226" s="8" t="s">
        <v>858</v>
      </c>
      <c r="C226" s="8">
        <v>0</v>
      </c>
      <c r="D226" s="8">
        <f t="shared" si="40"/>
        <v>0</v>
      </c>
      <c r="E226" s="16">
        <f t="shared" si="28"/>
        <v>0</v>
      </c>
      <c r="F226" s="16">
        <f t="shared" si="27"/>
        <v>0</v>
      </c>
      <c r="G226" s="8" t="str">
        <f>IF(H226="","",VLOOKUP(H226,引用表合并!$A:$B,2,FALSE))</f>
        <v/>
      </c>
      <c r="H226" s="10"/>
      <c r="K226" s="8" t="str">
        <f>IF(L226="","",VLOOKUP(L226,引用表合并!$A:$B,2,FALSE))</f>
        <v/>
      </c>
      <c r="M226" s="8"/>
      <c r="O226" s="8" t="str">
        <f>IF(P226="","",VLOOKUP(P226,引用表合并!$A:$B,2,FALSE))</f>
        <v/>
      </c>
      <c r="Q226" s="8"/>
      <c r="S226" s="8" t="str">
        <f>IF(T226="","",VLOOKUP(T226,引用表合并!$A:$B,2,FALSE))</f>
        <v/>
      </c>
      <c r="T226" s="8"/>
      <c r="U226" s="8"/>
      <c r="W226" s="8" t="str">
        <f>IF(X226="","",VLOOKUP(X226,引用表合并!$A:$B,2,FALSE))</f>
        <v/>
      </c>
      <c r="X226" s="8"/>
      <c r="Y226" s="8"/>
      <c r="AA226" s="8" t="str">
        <f>IF(AB226="","",VLOOKUP(AB226,引用表合并!$A:$B,2,FALSE))</f>
        <v/>
      </c>
      <c r="AB226" s="8"/>
      <c r="AC226" s="8"/>
      <c r="AE226" s="8" t="str">
        <f>IF(AF226="","",VLOOKUP(AF226,引用表合并!$A:$B,2,FALSE))</f>
        <v/>
      </c>
      <c r="AF226" s="8"/>
      <c r="AG226" s="8"/>
      <c r="AI226" s="8" t="str">
        <f>IF(AJ226="","",VLOOKUP(AJ226,引用表合并!$A:$B,2,FALSE))</f>
        <v/>
      </c>
      <c r="AJ226" s="8"/>
      <c r="AK226" s="8"/>
      <c r="AM226" s="8" t="str">
        <f>IF(AN226="","",VLOOKUP(AN226,引用表合并!$A:$B,2,FALSE))</f>
        <v/>
      </c>
      <c r="AN226" s="8"/>
      <c r="AO226" s="8"/>
      <c r="AQ226" s="8" t="str">
        <f>IF(AR226="","",VLOOKUP(AR226,引用表合并!$A:$B,2,FALSE))</f>
        <v/>
      </c>
      <c r="AR226" s="8"/>
      <c r="AS226" s="8"/>
      <c r="AU226" s="8" t="str">
        <f>IF(AV226="","",VLOOKUP(AV226,引用表合并!$A:$B,2,FALSE))</f>
        <v/>
      </c>
      <c r="AV226" s="8"/>
      <c r="AW226" s="8"/>
      <c r="AY226" s="8" t="str">
        <f>IF(AZ226="","",VLOOKUP(AZ226,引用表合并!$A:$B,2,FALSE))</f>
        <v/>
      </c>
      <c r="AZ226" s="8"/>
      <c r="BA226" s="8"/>
      <c r="BC226" s="8" t="str">
        <f>IF(BD226="","",VLOOKUP(BD226,引用表合并!$A:$B,2,FALSE))</f>
        <v/>
      </c>
      <c r="BD226" s="8"/>
      <c r="BF226" s="10"/>
      <c r="BG226" s="8" t="str">
        <f>IF(BH226="","",VLOOKUP(BH226,引用表合并!$A:$B,2,FALSE))</f>
        <v/>
      </c>
      <c r="BH226" s="8"/>
      <c r="BJ226" s="10"/>
      <c r="BK226" s="8" t="str">
        <f>IF(BL226="","",VLOOKUP(BL226,引用表合并!$A:$B,2,FALSE))</f>
        <v/>
      </c>
      <c r="BL226" s="8"/>
      <c r="BN226" s="10"/>
    </row>
    <row r="227" spans="1:66" x14ac:dyDescent="0.15">
      <c r="A227" s="8">
        <v>110121</v>
      </c>
      <c r="B227" s="8" t="s">
        <v>859</v>
      </c>
      <c r="C227" s="8">
        <v>0</v>
      </c>
      <c r="D227" s="8">
        <f t="shared" si="36"/>
        <v>0</v>
      </c>
      <c r="E227" s="16">
        <f t="shared" si="28"/>
        <v>0</v>
      </c>
      <c r="F227" s="16">
        <f t="shared" si="27"/>
        <v>0</v>
      </c>
      <c r="G227" s="8" t="str">
        <f>IF(H227="","",VLOOKUP(H227,引用表合并!$A:$B,2,FALSE))</f>
        <v/>
      </c>
      <c r="H227" s="10"/>
      <c r="K227" s="8" t="str">
        <f>IF(L227="","",VLOOKUP(L227,引用表合并!$A:$B,2,FALSE))</f>
        <v/>
      </c>
      <c r="M227" s="8"/>
      <c r="O227" s="8" t="str">
        <f>IF(P227="","",VLOOKUP(P227,引用表合并!$A:$B,2,FALSE))</f>
        <v/>
      </c>
      <c r="Q227" s="8"/>
      <c r="S227" s="8" t="str">
        <f>IF(T227="","",VLOOKUP(T227,引用表合并!$A:$B,2,FALSE))</f>
        <v/>
      </c>
      <c r="T227" s="8"/>
      <c r="U227" s="8"/>
      <c r="W227" s="8" t="str">
        <f>IF(X227="","",VLOOKUP(X227,引用表合并!$A:$B,2,FALSE))</f>
        <v/>
      </c>
      <c r="X227" s="8"/>
      <c r="Y227" s="8"/>
      <c r="AA227" s="8" t="str">
        <f>IF(AB227="","",VLOOKUP(AB227,引用表合并!$A:$B,2,FALSE))</f>
        <v/>
      </c>
      <c r="AB227" s="8"/>
      <c r="AC227" s="8"/>
      <c r="AE227" s="8" t="str">
        <f>IF(AF227="","",VLOOKUP(AF227,引用表合并!$A:$B,2,FALSE))</f>
        <v/>
      </c>
      <c r="AF227" s="8"/>
      <c r="AG227" s="8"/>
      <c r="AI227" s="8" t="str">
        <f>IF(AJ227="","",VLOOKUP(AJ227,引用表合并!$A:$B,2,FALSE))</f>
        <v/>
      </c>
      <c r="AJ227" s="8"/>
      <c r="AK227" s="8"/>
      <c r="AM227" s="8" t="str">
        <f>IF(AN227="","",VLOOKUP(AN227,引用表合并!$A:$B,2,FALSE))</f>
        <v/>
      </c>
      <c r="AN227" s="8"/>
      <c r="AO227" s="8"/>
      <c r="AQ227" s="8" t="str">
        <f>IF(AR227="","",VLOOKUP(AR227,引用表合并!$A:$B,2,FALSE))</f>
        <v/>
      </c>
      <c r="AR227" s="8"/>
      <c r="AS227" s="8"/>
      <c r="AU227" s="8" t="str">
        <f>IF(AV227="","",VLOOKUP(AV227,引用表合并!$A:$B,2,FALSE))</f>
        <v/>
      </c>
      <c r="AV227" s="8"/>
      <c r="AW227" s="8"/>
      <c r="AY227" s="8" t="str">
        <f>IF(AZ227="","",VLOOKUP(AZ227,引用表合并!$A:$B,2,FALSE))</f>
        <v/>
      </c>
      <c r="AZ227" s="8"/>
      <c r="BA227" s="8"/>
      <c r="BC227" s="8" t="str">
        <f>IF(BD227="","",VLOOKUP(BD227,引用表合并!$A:$B,2,FALSE))</f>
        <v/>
      </c>
      <c r="BD227" s="8"/>
      <c r="BF227" s="10"/>
      <c r="BG227" s="8" t="str">
        <f>IF(BH227="","",VLOOKUP(BH227,引用表合并!$A:$B,2,FALSE))</f>
        <v/>
      </c>
      <c r="BH227" s="8"/>
      <c r="BJ227" s="10"/>
      <c r="BK227" s="8" t="str">
        <f>IF(BL227="","",VLOOKUP(BL227,引用表合并!$A:$B,2,FALSE))</f>
        <v/>
      </c>
      <c r="BL227" s="8"/>
      <c r="BN227" s="10"/>
    </row>
    <row r="228" spans="1:66" x14ac:dyDescent="0.15">
      <c r="A228" s="8">
        <v>110122</v>
      </c>
      <c r="B228" s="8" t="s">
        <v>859</v>
      </c>
      <c r="C228" s="8">
        <v>0</v>
      </c>
      <c r="D228" s="8">
        <f t="shared" si="36"/>
        <v>0</v>
      </c>
      <c r="E228" s="16">
        <f t="shared" si="28"/>
        <v>0</v>
      </c>
      <c r="F228" s="16">
        <f t="shared" si="27"/>
        <v>0</v>
      </c>
      <c r="G228" s="8" t="str">
        <f>IF(H228="","",VLOOKUP(H228,引用表合并!$A:$B,2,FALSE))</f>
        <v/>
      </c>
      <c r="H228" s="10"/>
      <c r="K228" s="8" t="str">
        <f>IF(L228="","",VLOOKUP(L228,引用表合并!$A:$B,2,FALSE))</f>
        <v/>
      </c>
      <c r="M228" s="8"/>
      <c r="O228" s="8" t="str">
        <f>IF(P228="","",VLOOKUP(P228,引用表合并!$A:$B,2,FALSE))</f>
        <v/>
      </c>
      <c r="Q228" s="8"/>
      <c r="S228" s="8" t="str">
        <f>IF(T228="","",VLOOKUP(T228,引用表合并!$A:$B,2,FALSE))</f>
        <v/>
      </c>
      <c r="T228" s="8"/>
      <c r="U228" s="8"/>
      <c r="W228" s="8" t="str">
        <f>IF(X228="","",VLOOKUP(X228,引用表合并!$A:$B,2,FALSE))</f>
        <v/>
      </c>
      <c r="X228" s="8"/>
      <c r="Y228" s="8"/>
      <c r="AA228" s="8" t="str">
        <f>IF(AB228="","",VLOOKUP(AB228,引用表合并!$A:$B,2,FALSE))</f>
        <v/>
      </c>
      <c r="AB228" s="8"/>
      <c r="AC228" s="8"/>
      <c r="AE228" s="8" t="str">
        <f>IF(AF228="","",VLOOKUP(AF228,引用表合并!$A:$B,2,FALSE))</f>
        <v/>
      </c>
      <c r="AF228" s="8"/>
      <c r="AG228" s="8"/>
      <c r="AI228" s="8" t="str">
        <f>IF(AJ228="","",VLOOKUP(AJ228,引用表合并!$A:$B,2,FALSE))</f>
        <v/>
      </c>
      <c r="AJ228" s="8"/>
      <c r="AK228" s="8"/>
      <c r="AM228" s="8" t="str">
        <f>IF(AN228="","",VLOOKUP(AN228,引用表合并!$A:$B,2,FALSE))</f>
        <v/>
      </c>
      <c r="AN228" s="8"/>
      <c r="AO228" s="8"/>
      <c r="AQ228" s="8" t="str">
        <f>IF(AR228="","",VLOOKUP(AR228,引用表合并!$A:$B,2,FALSE))</f>
        <v/>
      </c>
      <c r="AR228" s="8"/>
      <c r="AS228" s="8"/>
      <c r="AU228" s="8" t="str">
        <f>IF(AV228="","",VLOOKUP(AV228,引用表合并!$A:$B,2,FALSE))</f>
        <v/>
      </c>
      <c r="AV228" s="8"/>
      <c r="AW228" s="8"/>
      <c r="AY228" s="8" t="str">
        <f>IF(AZ228="","",VLOOKUP(AZ228,引用表合并!$A:$B,2,FALSE))</f>
        <v/>
      </c>
      <c r="AZ228" s="8"/>
      <c r="BA228" s="8"/>
      <c r="BC228" s="8" t="str">
        <f>IF(BD228="","",VLOOKUP(BD228,引用表合并!$A:$B,2,FALSE))</f>
        <v/>
      </c>
      <c r="BD228" s="8"/>
      <c r="BF228" s="10"/>
      <c r="BG228" s="8" t="str">
        <f>IF(BH228="","",VLOOKUP(BH228,引用表合并!$A:$B,2,FALSE))</f>
        <v/>
      </c>
      <c r="BH228" s="8"/>
      <c r="BJ228" s="10"/>
      <c r="BK228" s="8" t="str">
        <f>IF(BL228="","",VLOOKUP(BL228,引用表合并!$A:$B,2,FALSE))</f>
        <v/>
      </c>
      <c r="BL228" s="8"/>
      <c r="BN228" s="10"/>
    </row>
    <row r="229" spans="1:66" x14ac:dyDescent="0.15">
      <c r="A229" s="8">
        <v>110123</v>
      </c>
      <c r="B229" s="8" t="s">
        <v>859</v>
      </c>
      <c r="C229" s="8">
        <v>0</v>
      </c>
      <c r="D229" s="8">
        <f t="shared" ref="D229:D230" si="41">E229</f>
        <v>0</v>
      </c>
      <c r="E229" s="16">
        <f t="shared" si="28"/>
        <v>0</v>
      </c>
      <c r="F229" s="16">
        <f t="shared" si="27"/>
        <v>0</v>
      </c>
      <c r="G229" s="8" t="str">
        <f>IF(H229="","",VLOOKUP(H229,引用表合并!$A:$B,2,FALSE))</f>
        <v/>
      </c>
      <c r="H229" s="10"/>
      <c r="K229" s="8" t="str">
        <f>IF(L229="","",VLOOKUP(L229,引用表合并!$A:$B,2,FALSE))</f>
        <v/>
      </c>
      <c r="M229" s="8"/>
      <c r="O229" s="8" t="str">
        <f>IF(P229="","",VLOOKUP(P229,引用表合并!$A:$B,2,FALSE))</f>
        <v/>
      </c>
      <c r="Q229" s="8"/>
      <c r="S229" s="8" t="str">
        <f>IF(T229="","",VLOOKUP(T229,引用表合并!$A:$B,2,FALSE))</f>
        <v/>
      </c>
      <c r="T229" s="8"/>
      <c r="U229" s="8"/>
      <c r="W229" s="8" t="str">
        <f>IF(X229="","",VLOOKUP(X229,引用表合并!$A:$B,2,FALSE))</f>
        <v/>
      </c>
      <c r="X229" s="8"/>
      <c r="Y229" s="8"/>
      <c r="AA229" s="8" t="str">
        <f>IF(AB229="","",VLOOKUP(AB229,引用表合并!$A:$B,2,FALSE))</f>
        <v/>
      </c>
      <c r="AB229" s="8"/>
      <c r="AC229" s="8"/>
      <c r="AE229" s="8" t="str">
        <f>IF(AF229="","",VLOOKUP(AF229,引用表合并!$A:$B,2,FALSE))</f>
        <v/>
      </c>
      <c r="AF229" s="8"/>
      <c r="AG229" s="8"/>
      <c r="AI229" s="8" t="str">
        <f>IF(AJ229="","",VLOOKUP(AJ229,引用表合并!$A:$B,2,FALSE))</f>
        <v/>
      </c>
      <c r="AJ229" s="8"/>
      <c r="AK229" s="8"/>
      <c r="AM229" s="8" t="str">
        <f>IF(AN229="","",VLOOKUP(AN229,引用表合并!$A:$B,2,FALSE))</f>
        <v/>
      </c>
      <c r="AN229" s="8"/>
      <c r="AO229" s="8"/>
      <c r="AQ229" s="8" t="str">
        <f>IF(AR229="","",VLOOKUP(AR229,引用表合并!$A:$B,2,FALSE))</f>
        <v/>
      </c>
      <c r="AR229" s="8"/>
      <c r="AS229" s="8"/>
      <c r="AU229" s="8" t="str">
        <f>IF(AV229="","",VLOOKUP(AV229,引用表合并!$A:$B,2,FALSE))</f>
        <v/>
      </c>
      <c r="AV229" s="8"/>
      <c r="AW229" s="8"/>
      <c r="AY229" s="8" t="str">
        <f>IF(AZ229="","",VLOOKUP(AZ229,引用表合并!$A:$B,2,FALSE))</f>
        <v/>
      </c>
      <c r="AZ229" s="8"/>
      <c r="BA229" s="8"/>
      <c r="BC229" s="8" t="str">
        <f>IF(BD229="","",VLOOKUP(BD229,引用表合并!$A:$B,2,FALSE))</f>
        <v/>
      </c>
      <c r="BD229" s="8"/>
      <c r="BF229" s="10"/>
      <c r="BG229" s="8" t="str">
        <f>IF(BH229="","",VLOOKUP(BH229,引用表合并!$A:$B,2,FALSE))</f>
        <v/>
      </c>
      <c r="BH229" s="8"/>
      <c r="BJ229" s="10"/>
      <c r="BK229" s="8" t="str">
        <f>IF(BL229="","",VLOOKUP(BL229,引用表合并!$A:$B,2,FALSE))</f>
        <v/>
      </c>
      <c r="BL229" s="8"/>
      <c r="BN229" s="10"/>
    </row>
    <row r="230" spans="1:66" x14ac:dyDescent="0.15">
      <c r="A230" s="8">
        <v>110124</v>
      </c>
      <c r="B230" s="8" t="s">
        <v>859</v>
      </c>
      <c r="C230" s="8">
        <v>0</v>
      </c>
      <c r="D230" s="8">
        <f t="shared" si="41"/>
        <v>0</v>
      </c>
      <c r="E230" s="16">
        <f t="shared" si="28"/>
        <v>0</v>
      </c>
      <c r="F230" s="16">
        <f t="shared" si="27"/>
        <v>0</v>
      </c>
      <c r="G230" s="8" t="str">
        <f>IF(H230="","",VLOOKUP(H230,引用表合并!$A:$B,2,FALSE))</f>
        <v/>
      </c>
      <c r="H230" s="10"/>
      <c r="K230" s="8" t="str">
        <f>IF(L230="","",VLOOKUP(L230,引用表合并!$A:$B,2,FALSE))</f>
        <v/>
      </c>
      <c r="M230" s="8"/>
      <c r="O230" s="8" t="str">
        <f>IF(P230="","",VLOOKUP(P230,引用表合并!$A:$B,2,FALSE))</f>
        <v/>
      </c>
      <c r="Q230" s="8"/>
      <c r="S230" s="8" t="str">
        <f>IF(T230="","",VLOOKUP(T230,引用表合并!$A:$B,2,FALSE))</f>
        <v/>
      </c>
      <c r="T230" s="8"/>
      <c r="U230" s="8"/>
      <c r="W230" s="8" t="str">
        <f>IF(X230="","",VLOOKUP(X230,引用表合并!$A:$B,2,FALSE))</f>
        <v/>
      </c>
      <c r="X230" s="8"/>
      <c r="Y230" s="8"/>
      <c r="AA230" s="8" t="str">
        <f>IF(AB230="","",VLOOKUP(AB230,引用表合并!$A:$B,2,FALSE))</f>
        <v/>
      </c>
      <c r="AB230" s="8"/>
      <c r="AC230" s="8"/>
      <c r="AE230" s="8" t="str">
        <f>IF(AF230="","",VLOOKUP(AF230,引用表合并!$A:$B,2,FALSE))</f>
        <v/>
      </c>
      <c r="AF230" s="8"/>
      <c r="AG230" s="8"/>
      <c r="AI230" s="8" t="str">
        <f>IF(AJ230="","",VLOOKUP(AJ230,引用表合并!$A:$B,2,FALSE))</f>
        <v/>
      </c>
      <c r="AJ230" s="8"/>
      <c r="AK230" s="8"/>
      <c r="AM230" s="8" t="str">
        <f>IF(AN230="","",VLOOKUP(AN230,引用表合并!$A:$B,2,FALSE))</f>
        <v/>
      </c>
      <c r="AN230" s="8"/>
      <c r="AO230" s="8"/>
      <c r="AQ230" s="8" t="str">
        <f>IF(AR230="","",VLOOKUP(AR230,引用表合并!$A:$B,2,FALSE))</f>
        <v/>
      </c>
      <c r="AR230" s="8"/>
      <c r="AS230" s="8"/>
      <c r="AU230" s="8" t="str">
        <f>IF(AV230="","",VLOOKUP(AV230,引用表合并!$A:$B,2,FALSE))</f>
        <v/>
      </c>
      <c r="AV230" s="8"/>
      <c r="AW230" s="8"/>
      <c r="AY230" s="8" t="str">
        <f>IF(AZ230="","",VLOOKUP(AZ230,引用表合并!$A:$B,2,FALSE))</f>
        <v/>
      </c>
      <c r="AZ230" s="8"/>
      <c r="BA230" s="8"/>
      <c r="BC230" s="8" t="str">
        <f>IF(BD230="","",VLOOKUP(BD230,引用表合并!$A:$B,2,FALSE))</f>
        <v/>
      </c>
      <c r="BD230" s="8"/>
      <c r="BF230" s="10"/>
      <c r="BG230" s="8" t="str">
        <f>IF(BH230="","",VLOOKUP(BH230,引用表合并!$A:$B,2,FALSE))</f>
        <v/>
      </c>
      <c r="BH230" s="8"/>
      <c r="BJ230" s="10"/>
      <c r="BK230" s="8" t="str">
        <f>IF(BL230="","",VLOOKUP(BL230,引用表合并!$A:$B,2,FALSE))</f>
        <v/>
      </c>
      <c r="BL230" s="8"/>
      <c r="BN230" s="10"/>
    </row>
    <row r="231" spans="1:66" x14ac:dyDescent="0.15">
      <c r="A231" s="8">
        <v>110125</v>
      </c>
      <c r="B231" s="8" t="s">
        <v>859</v>
      </c>
      <c r="C231" s="8">
        <v>0</v>
      </c>
      <c r="D231" s="8">
        <f t="shared" ref="D231:D232" si="42">E231</f>
        <v>0</v>
      </c>
      <c r="E231" s="16">
        <f t="shared" si="28"/>
        <v>0</v>
      </c>
      <c r="F231" s="16">
        <f t="shared" si="27"/>
        <v>0</v>
      </c>
      <c r="G231" s="8" t="str">
        <f>IF(H231="","",VLOOKUP(H231,引用表合并!$A:$B,2,FALSE))</f>
        <v/>
      </c>
      <c r="H231" s="10"/>
      <c r="K231" s="8" t="str">
        <f>IF(L231="","",VLOOKUP(L231,引用表合并!$A:$B,2,FALSE))</f>
        <v/>
      </c>
      <c r="M231" s="8"/>
      <c r="O231" s="8" t="str">
        <f>IF(P231="","",VLOOKUP(P231,引用表合并!$A:$B,2,FALSE))</f>
        <v/>
      </c>
      <c r="Q231" s="8"/>
      <c r="S231" s="8" t="str">
        <f>IF(T231="","",VLOOKUP(T231,引用表合并!$A:$B,2,FALSE))</f>
        <v/>
      </c>
      <c r="T231" s="8"/>
      <c r="U231" s="8"/>
      <c r="W231" s="8" t="str">
        <f>IF(X231="","",VLOOKUP(X231,引用表合并!$A:$B,2,FALSE))</f>
        <v/>
      </c>
      <c r="X231" s="8"/>
      <c r="Y231" s="8"/>
      <c r="AA231" s="8" t="str">
        <f>IF(AB231="","",VLOOKUP(AB231,引用表合并!$A:$B,2,FALSE))</f>
        <v/>
      </c>
      <c r="AB231" s="8"/>
      <c r="AC231" s="8"/>
      <c r="AE231" s="8" t="str">
        <f>IF(AF231="","",VLOOKUP(AF231,引用表合并!$A:$B,2,FALSE))</f>
        <v/>
      </c>
      <c r="AF231" s="8"/>
      <c r="AG231" s="8"/>
      <c r="AI231" s="8" t="str">
        <f>IF(AJ231="","",VLOOKUP(AJ231,引用表合并!$A:$B,2,FALSE))</f>
        <v/>
      </c>
      <c r="AJ231" s="8"/>
      <c r="AK231" s="8"/>
      <c r="AM231" s="8" t="str">
        <f>IF(AN231="","",VLOOKUP(AN231,引用表合并!$A:$B,2,FALSE))</f>
        <v/>
      </c>
      <c r="AN231" s="8"/>
      <c r="AO231" s="8"/>
      <c r="AQ231" s="8" t="str">
        <f>IF(AR231="","",VLOOKUP(AR231,引用表合并!$A:$B,2,FALSE))</f>
        <v/>
      </c>
      <c r="AR231" s="8"/>
      <c r="AS231" s="8"/>
      <c r="AU231" s="8" t="str">
        <f>IF(AV231="","",VLOOKUP(AV231,引用表合并!$A:$B,2,FALSE))</f>
        <v/>
      </c>
      <c r="AV231" s="8"/>
      <c r="AW231" s="8"/>
      <c r="AY231" s="8" t="str">
        <f>IF(AZ231="","",VLOOKUP(AZ231,引用表合并!$A:$B,2,FALSE))</f>
        <v/>
      </c>
      <c r="AZ231" s="8"/>
      <c r="BA231" s="8"/>
      <c r="BC231" s="8" t="str">
        <f>IF(BD231="","",VLOOKUP(BD231,引用表合并!$A:$B,2,FALSE))</f>
        <v/>
      </c>
      <c r="BD231" s="8"/>
      <c r="BF231" s="10"/>
      <c r="BG231" s="8" t="str">
        <f>IF(BH231="","",VLOOKUP(BH231,引用表合并!$A:$B,2,FALSE))</f>
        <v/>
      </c>
      <c r="BH231" s="8"/>
      <c r="BJ231" s="10"/>
      <c r="BK231" s="8" t="str">
        <f>IF(BL231="","",VLOOKUP(BL231,引用表合并!$A:$B,2,FALSE))</f>
        <v/>
      </c>
      <c r="BL231" s="8"/>
      <c r="BN231" s="10"/>
    </row>
    <row r="232" spans="1:66" x14ac:dyDescent="0.15">
      <c r="A232" s="8">
        <v>110126</v>
      </c>
      <c r="B232" s="8" t="s">
        <v>859</v>
      </c>
      <c r="C232" s="8">
        <v>0</v>
      </c>
      <c r="D232" s="8">
        <f t="shared" si="42"/>
        <v>0</v>
      </c>
      <c r="E232" s="16">
        <f t="shared" si="28"/>
        <v>0</v>
      </c>
      <c r="F232" s="16">
        <f t="shared" si="27"/>
        <v>0</v>
      </c>
      <c r="G232" s="8" t="str">
        <f>IF(H232="","",VLOOKUP(H232,引用表合并!$A:$B,2,FALSE))</f>
        <v/>
      </c>
      <c r="H232" s="10"/>
      <c r="K232" s="8" t="str">
        <f>IF(L232="","",VLOOKUP(L232,引用表合并!$A:$B,2,FALSE))</f>
        <v/>
      </c>
      <c r="M232" s="8"/>
      <c r="O232" s="8" t="str">
        <f>IF(P232="","",VLOOKUP(P232,引用表合并!$A:$B,2,FALSE))</f>
        <v/>
      </c>
      <c r="Q232" s="8"/>
      <c r="S232" s="8" t="str">
        <f>IF(T232="","",VLOOKUP(T232,引用表合并!$A:$B,2,FALSE))</f>
        <v/>
      </c>
      <c r="T232" s="8"/>
      <c r="U232" s="8"/>
      <c r="W232" s="8" t="str">
        <f>IF(X232="","",VLOOKUP(X232,引用表合并!$A:$B,2,FALSE))</f>
        <v/>
      </c>
      <c r="X232" s="8"/>
      <c r="Y232" s="8"/>
      <c r="AA232" s="8" t="str">
        <f>IF(AB232="","",VLOOKUP(AB232,引用表合并!$A:$B,2,FALSE))</f>
        <v/>
      </c>
      <c r="AB232" s="8"/>
      <c r="AC232" s="8"/>
      <c r="AE232" s="8" t="str">
        <f>IF(AF232="","",VLOOKUP(AF232,引用表合并!$A:$B,2,FALSE))</f>
        <v/>
      </c>
      <c r="AF232" s="8"/>
      <c r="AG232" s="8"/>
      <c r="AI232" s="8" t="str">
        <f>IF(AJ232="","",VLOOKUP(AJ232,引用表合并!$A:$B,2,FALSE))</f>
        <v/>
      </c>
      <c r="AJ232" s="8"/>
      <c r="AK232" s="8"/>
      <c r="AM232" s="8" t="str">
        <f>IF(AN232="","",VLOOKUP(AN232,引用表合并!$A:$B,2,FALSE))</f>
        <v/>
      </c>
      <c r="AN232" s="8"/>
      <c r="AO232" s="8"/>
      <c r="AQ232" s="8" t="str">
        <f>IF(AR232="","",VLOOKUP(AR232,引用表合并!$A:$B,2,FALSE))</f>
        <v/>
      </c>
      <c r="AR232" s="8"/>
      <c r="AS232" s="8"/>
      <c r="AU232" s="8" t="str">
        <f>IF(AV232="","",VLOOKUP(AV232,引用表合并!$A:$B,2,FALSE))</f>
        <v/>
      </c>
      <c r="AV232" s="8"/>
      <c r="AW232" s="8"/>
      <c r="AY232" s="8" t="str">
        <f>IF(AZ232="","",VLOOKUP(AZ232,引用表合并!$A:$B,2,FALSE))</f>
        <v/>
      </c>
      <c r="AZ232" s="8"/>
      <c r="BA232" s="8"/>
      <c r="BC232" s="8" t="str">
        <f>IF(BD232="","",VLOOKUP(BD232,引用表合并!$A:$B,2,FALSE))</f>
        <v/>
      </c>
      <c r="BD232" s="8"/>
      <c r="BF232" s="10"/>
      <c r="BG232" s="8" t="str">
        <f>IF(BH232="","",VLOOKUP(BH232,引用表合并!$A:$B,2,FALSE))</f>
        <v/>
      </c>
      <c r="BH232" s="8"/>
      <c r="BJ232" s="10"/>
      <c r="BK232" s="8" t="str">
        <f>IF(BL232="","",VLOOKUP(BL232,引用表合并!$A:$B,2,FALSE))</f>
        <v/>
      </c>
      <c r="BL232" s="8"/>
      <c r="BN232" s="10"/>
    </row>
    <row r="233" spans="1:66" x14ac:dyDescent="0.15">
      <c r="A233" s="8">
        <v>100001</v>
      </c>
      <c r="B233" s="8" t="str">
        <f>[2]D_等级礼包!$B2&amp;"级目标奖励"</f>
        <v>5级目标奖励</v>
      </c>
      <c r="C233" s="8">
        <v>1</v>
      </c>
      <c r="D233" s="8">
        <f t="shared" si="26"/>
        <v>3</v>
      </c>
      <c r="E233" s="16">
        <f t="shared" si="28"/>
        <v>3</v>
      </c>
      <c r="F233" s="16">
        <f t="shared" si="27"/>
        <v>3</v>
      </c>
      <c r="G233" s="8" t="str">
        <f>IF(H233="","",VLOOKUP(H233,引用表合并!$A:$B,2,FALSE))</f>
        <v>狂气之剑</v>
      </c>
      <c r="H233" s="17">
        <v>10103</v>
      </c>
      <c r="I233" s="8">
        <v>1</v>
      </c>
      <c r="J233" s="10">
        <v>10000</v>
      </c>
      <c r="K233" s="8" t="str">
        <f>IF(L233="","",VLOOKUP(L233,引用表合并!$A:$B,2,FALSE))</f>
        <v>狂气之拳</v>
      </c>
      <c r="L233" s="17">
        <v>20103</v>
      </c>
      <c r="M233" s="8">
        <v>1</v>
      </c>
      <c r="N233" s="10">
        <v>10000</v>
      </c>
      <c r="O233" s="8" t="str">
        <f>IF(P233="","",VLOOKUP(P233,引用表合并!$A:$B,2,FALSE))</f>
        <v>狂气之枪</v>
      </c>
      <c r="P233" s="17">
        <v>30103</v>
      </c>
      <c r="Q233" s="8">
        <v>1</v>
      </c>
      <c r="R233" s="10">
        <v>10000</v>
      </c>
      <c r="S233" s="8" t="str">
        <f>IF(T233="","",VLOOKUP(T233,引用表合并!$A:$B,2,FALSE))</f>
        <v/>
      </c>
      <c r="T233" s="17"/>
      <c r="U233" s="8"/>
      <c r="W233" s="8" t="str">
        <f>IF(X233="","",VLOOKUP(X233,引用表合并!$A:$B,2,FALSE))</f>
        <v/>
      </c>
      <c r="X233" s="17"/>
      <c r="Y233" s="8"/>
      <c r="AA233" s="8" t="str">
        <f>IF(AB233="","",VLOOKUP(AB233,引用表合并!$A:$B,2,FALSE))</f>
        <v/>
      </c>
      <c r="AB233" s="17"/>
      <c r="AC233" s="8"/>
      <c r="AE233" s="8" t="str">
        <f>IF(AF233="","",VLOOKUP(AF233,引用表合并!$A:$B,2,FALSE))</f>
        <v/>
      </c>
      <c r="AF233" s="17"/>
      <c r="AG233" s="8"/>
      <c r="AI233" s="8" t="str">
        <f>IF(AJ233="","",VLOOKUP(AJ233,引用表合并!$A:$B,2,FALSE))</f>
        <v/>
      </c>
      <c r="AJ233" s="17"/>
      <c r="AK233" s="8"/>
      <c r="AM233" s="8" t="str">
        <f>IF(AN233="","",VLOOKUP(AN233,引用表合并!$A:$B,2,FALSE))</f>
        <v/>
      </c>
      <c r="AN233" s="17"/>
      <c r="AO233" s="8"/>
      <c r="AQ233" s="8" t="str">
        <f>IF(AR233="","",VLOOKUP(AR233,引用表合并!$A:$B,2,FALSE))</f>
        <v/>
      </c>
      <c r="AR233" s="17"/>
      <c r="AS233" s="8"/>
      <c r="AU233" s="8" t="str">
        <f>IF(AV233="","",VLOOKUP(AV233,引用表合并!$A:$B,2,FALSE))</f>
        <v/>
      </c>
      <c r="AV233" s="17"/>
      <c r="AW233" s="8"/>
      <c r="AY233" s="8" t="str">
        <f>IF(AZ233="","",VLOOKUP(AZ233,引用表合并!$A:$B,2,FALSE))</f>
        <v/>
      </c>
      <c r="AZ233" s="17"/>
      <c r="BA233" s="8"/>
      <c r="BC233" s="8" t="str">
        <f>IF(BD233="","",VLOOKUP(BD233,引用表合并!$A:$B,2,FALSE))</f>
        <v/>
      </c>
      <c r="BD233" s="17"/>
      <c r="BF233" s="10"/>
      <c r="BG233" s="8" t="str">
        <f>IF(BH233="","",VLOOKUP(BH233,引用表合并!$A:$B,2,FALSE))</f>
        <v/>
      </c>
      <c r="BH233" s="17"/>
      <c r="BJ233" s="10"/>
      <c r="BK233" s="8" t="str">
        <f>IF(BL233="","",VLOOKUP(BL233,引用表合并!$A:$B,2,FALSE))</f>
        <v/>
      </c>
      <c r="BL233" s="17"/>
      <c r="BN233" s="10"/>
    </row>
    <row r="234" spans="1:66" x14ac:dyDescent="0.15">
      <c r="A234" s="8">
        <v>100002</v>
      </c>
      <c r="B234" s="8" t="str">
        <f>[2]D_等级礼包!$B3&amp;"级目标奖励"</f>
        <v>9级目标奖励</v>
      </c>
      <c r="C234" s="8">
        <v>0</v>
      </c>
      <c r="D234" s="8">
        <f t="shared" si="26"/>
        <v>1</v>
      </c>
      <c r="E234" s="16">
        <f t="shared" si="28"/>
        <v>1</v>
      </c>
      <c r="F234" s="16">
        <f t="shared" si="27"/>
        <v>1</v>
      </c>
      <c r="G234" s="8" t="str">
        <f>IF(H234="","",VLOOKUP(H234,引用表合并!$A:$B,2,FALSE))</f>
        <v>马仔碎片(制服太妹)</v>
      </c>
      <c r="H234" s="8">
        <v>78101</v>
      </c>
      <c r="I234" s="8">
        <v>10</v>
      </c>
      <c r="J234" s="10">
        <v>10000</v>
      </c>
      <c r="K234" s="8" t="str">
        <f>IF(L234="","",VLOOKUP(L234,引用表合并!$A:$B,2,FALSE))</f>
        <v/>
      </c>
      <c r="L234" s="8"/>
      <c r="M234" s="8"/>
      <c r="O234" s="8" t="str">
        <f>IF(P234="","",VLOOKUP(P234,引用表合并!$A:$B,2,FALSE))</f>
        <v/>
      </c>
      <c r="P234" s="8"/>
      <c r="Q234" s="8"/>
      <c r="S234" s="8" t="str">
        <f>IF(T234="","",VLOOKUP(T234,引用表合并!$A:$B,2,FALSE))</f>
        <v/>
      </c>
      <c r="T234" s="8"/>
      <c r="U234" s="8"/>
      <c r="W234" s="8" t="str">
        <f>IF(X234="","",VLOOKUP(X234,引用表合并!$A:$B,2,FALSE))</f>
        <v/>
      </c>
      <c r="X234" s="8"/>
      <c r="Y234" s="8"/>
      <c r="AA234" s="8" t="str">
        <f>IF(AB234="","",VLOOKUP(AB234,引用表合并!$A:$B,2,FALSE))</f>
        <v/>
      </c>
      <c r="AB234" s="8"/>
      <c r="AC234" s="8"/>
      <c r="AE234" s="8" t="str">
        <f>IF(AF234="","",VLOOKUP(AF234,引用表合并!$A:$B,2,FALSE))</f>
        <v/>
      </c>
      <c r="AF234" s="8"/>
      <c r="AG234" s="8"/>
      <c r="AI234" s="8" t="str">
        <f>IF(AJ234="","",VLOOKUP(AJ234,引用表合并!$A:$B,2,FALSE))</f>
        <v/>
      </c>
      <c r="AJ234" s="8"/>
      <c r="AK234" s="8"/>
      <c r="AM234" s="8" t="str">
        <f>IF(AN234="","",VLOOKUP(AN234,引用表合并!$A:$B,2,FALSE))</f>
        <v/>
      </c>
      <c r="AN234" s="8"/>
      <c r="AO234" s="8"/>
      <c r="AQ234" s="8" t="str">
        <f>IF(AR234="","",VLOOKUP(AR234,引用表合并!$A:$B,2,FALSE))</f>
        <v/>
      </c>
      <c r="AR234" s="8"/>
      <c r="AS234" s="8"/>
      <c r="AU234" s="8" t="str">
        <f>IF(AV234="","",VLOOKUP(AV234,引用表合并!$A:$B,2,FALSE))</f>
        <v/>
      </c>
      <c r="AV234" s="8"/>
      <c r="AW234" s="8"/>
      <c r="AY234" s="8" t="str">
        <f>IF(AZ234="","",VLOOKUP(AZ234,引用表合并!$A:$B,2,FALSE))</f>
        <v/>
      </c>
      <c r="AZ234" s="8"/>
      <c r="BA234" s="8"/>
      <c r="BC234" s="8" t="str">
        <f>IF(BD234="","",VLOOKUP(BD234,引用表合并!$A:$B,2,FALSE))</f>
        <v/>
      </c>
      <c r="BD234" s="8"/>
      <c r="BF234" s="10"/>
      <c r="BG234" s="8" t="str">
        <f>IF(BH234="","",VLOOKUP(BH234,引用表合并!$A:$B,2,FALSE))</f>
        <v/>
      </c>
      <c r="BH234" s="8"/>
      <c r="BJ234" s="10"/>
      <c r="BK234" s="8" t="str">
        <f>IF(BL234="","",VLOOKUP(BL234,引用表合并!$A:$B,2,FALSE))</f>
        <v/>
      </c>
      <c r="BL234" s="8"/>
      <c r="BN234" s="10"/>
    </row>
    <row r="235" spans="1:66" x14ac:dyDescent="0.15">
      <c r="A235" s="8">
        <v>100003</v>
      </c>
      <c r="B235" s="8" t="str">
        <f>[2]D_等级礼包!$B4&amp;"级目标奖励"</f>
        <v>11级目标奖励</v>
      </c>
      <c r="C235" s="8">
        <v>0</v>
      </c>
      <c r="D235" s="8">
        <f t="shared" si="26"/>
        <v>1</v>
      </c>
      <c r="E235" s="16">
        <f t="shared" si="28"/>
        <v>1</v>
      </c>
      <c r="F235" s="16">
        <f t="shared" si="27"/>
        <v>1</v>
      </c>
      <c r="G235" s="8" t="str">
        <f>IF(H235="","",VLOOKUP(H235,引用表合并!$A:$B,2,FALSE))</f>
        <v>马仔经验药水</v>
      </c>
      <c r="H235">
        <v>91100</v>
      </c>
      <c r="I235" s="10">
        <v>5</v>
      </c>
      <c r="J235" s="10">
        <v>10000</v>
      </c>
      <c r="K235" s="8" t="str">
        <f>IF(L235="","",VLOOKUP(L235,引用表合并!$A:$B,2,FALSE))</f>
        <v/>
      </c>
      <c r="L235" s="8"/>
      <c r="M235" s="8"/>
      <c r="O235" s="8" t="str">
        <f>IF(P235="","",VLOOKUP(P235,引用表合并!$A:$B,2,FALSE))</f>
        <v/>
      </c>
      <c r="P235" s="8"/>
      <c r="Q235" s="8"/>
      <c r="S235" s="8" t="str">
        <f>IF(T235="","",VLOOKUP(T235,引用表合并!$A:$B,2,FALSE))</f>
        <v/>
      </c>
      <c r="T235" s="8"/>
      <c r="U235" s="8"/>
      <c r="W235" s="8" t="str">
        <f>IF(X235="","",VLOOKUP(X235,引用表合并!$A:$B,2,FALSE))</f>
        <v/>
      </c>
      <c r="X235" s="8"/>
      <c r="Y235" s="8"/>
      <c r="AA235" s="8" t="str">
        <f>IF(AB235="","",VLOOKUP(AB235,引用表合并!$A:$B,2,FALSE))</f>
        <v/>
      </c>
      <c r="AB235" s="8"/>
      <c r="AC235" s="8"/>
      <c r="AE235" s="8" t="str">
        <f>IF(AF235="","",VLOOKUP(AF235,引用表合并!$A:$B,2,FALSE))</f>
        <v/>
      </c>
      <c r="AF235" s="8"/>
      <c r="AG235" s="8"/>
      <c r="AI235" s="8" t="str">
        <f>IF(AJ235="","",VLOOKUP(AJ235,引用表合并!$A:$B,2,FALSE))</f>
        <v/>
      </c>
      <c r="AJ235" s="8"/>
      <c r="AK235" s="8"/>
      <c r="AM235" s="8" t="str">
        <f>IF(AN235="","",VLOOKUP(AN235,引用表合并!$A:$B,2,FALSE))</f>
        <v/>
      </c>
      <c r="AN235" s="8"/>
      <c r="AO235" s="8"/>
      <c r="AQ235" s="8" t="str">
        <f>IF(AR235="","",VLOOKUP(AR235,引用表合并!$A:$B,2,FALSE))</f>
        <v/>
      </c>
      <c r="AR235" s="8"/>
      <c r="AS235" s="8"/>
      <c r="AU235" s="8" t="str">
        <f>IF(AV235="","",VLOOKUP(AV235,引用表合并!$A:$B,2,FALSE))</f>
        <v/>
      </c>
      <c r="AV235" s="8"/>
      <c r="AW235" s="8"/>
      <c r="AY235" s="8" t="str">
        <f>IF(AZ235="","",VLOOKUP(AZ235,引用表合并!$A:$B,2,FALSE))</f>
        <v/>
      </c>
      <c r="AZ235" s="8"/>
      <c r="BA235" s="8"/>
      <c r="BC235" s="8" t="str">
        <f>IF(BD235="","",VLOOKUP(BD235,引用表合并!$A:$B,2,FALSE))</f>
        <v/>
      </c>
      <c r="BD235" s="8"/>
      <c r="BF235" s="10"/>
      <c r="BG235" s="8" t="str">
        <f>IF(BH235="","",VLOOKUP(BH235,引用表合并!$A:$B,2,FALSE))</f>
        <v/>
      </c>
      <c r="BH235" s="8"/>
      <c r="BJ235" s="10"/>
      <c r="BK235" s="8" t="str">
        <f>IF(BL235="","",VLOOKUP(BL235,引用表合并!$A:$B,2,FALSE))</f>
        <v/>
      </c>
      <c r="BL235" s="8"/>
      <c r="BN235" s="10"/>
    </row>
    <row r="236" spans="1:66" x14ac:dyDescent="0.15">
      <c r="A236" s="8">
        <v>100004</v>
      </c>
      <c r="B236" s="8" t="str">
        <f>[2]D_等级礼包!$B5&amp;"级目标奖励"</f>
        <v>13级目标奖励</v>
      </c>
      <c r="C236" s="8">
        <v>0</v>
      </c>
      <c r="D236" s="8">
        <f>E236</f>
        <v>1</v>
      </c>
      <c r="E236" s="16">
        <f t="shared" si="28"/>
        <v>1</v>
      </c>
      <c r="F236" s="16">
        <f t="shared" si="27"/>
        <v>1</v>
      </c>
      <c r="G236" s="8" t="str">
        <f>IF(H236="","",VLOOKUP(H236,引用表合并!$A:$B,2,FALSE))</f>
        <v>寻宝券</v>
      </c>
      <c r="H236" s="8">
        <v>83304</v>
      </c>
      <c r="I236" s="8">
        <v>3</v>
      </c>
      <c r="J236" s="10">
        <v>10000</v>
      </c>
      <c r="K236" s="8"/>
      <c r="L236" s="8"/>
      <c r="M236" s="8"/>
      <c r="O236" s="8"/>
      <c r="P236" s="8"/>
      <c r="Q236" s="8"/>
      <c r="S236" s="8"/>
      <c r="T236" s="8"/>
      <c r="U236" s="8"/>
      <c r="W236" s="8"/>
      <c r="X236" s="8"/>
      <c r="Y236" s="8"/>
      <c r="AA236" s="8"/>
      <c r="AB236" s="8"/>
      <c r="AC236" s="8"/>
      <c r="AE236" s="8"/>
      <c r="AF236" s="8"/>
      <c r="AG236" s="8"/>
      <c r="AI236" s="8"/>
      <c r="AJ236" s="8"/>
      <c r="AK236" s="8"/>
      <c r="AM236" s="8"/>
      <c r="AN236" s="8"/>
      <c r="AO236" s="8"/>
      <c r="AQ236" s="8"/>
      <c r="AR236" s="8"/>
      <c r="AS236" s="8"/>
      <c r="AU236" s="8"/>
      <c r="AV236" s="8"/>
      <c r="AW236" s="8"/>
      <c r="AY236" s="8"/>
      <c r="AZ236" s="8"/>
      <c r="BA236" s="8"/>
      <c r="BD236" s="8"/>
      <c r="BF236" s="10"/>
      <c r="BH236" s="8"/>
      <c r="BJ236" s="10"/>
      <c r="BL236" s="8"/>
      <c r="BN236" s="10"/>
    </row>
    <row r="237" spans="1:66" x14ac:dyDescent="0.15">
      <c r="A237" s="8">
        <v>100005</v>
      </c>
      <c r="B237" s="8" t="str">
        <f>[2]D_等级礼包!$B6&amp;"级目标奖励"</f>
        <v>15级目标奖励</v>
      </c>
      <c r="C237" s="8">
        <v>1</v>
      </c>
      <c r="D237" s="8">
        <f t="shared" si="26"/>
        <v>3</v>
      </c>
      <c r="E237" s="16">
        <f t="shared" si="28"/>
        <v>3</v>
      </c>
      <c r="F237" s="16">
        <f t="shared" si="27"/>
        <v>3</v>
      </c>
      <c r="G237" s="8" t="str">
        <f>IF(H237="","",VLOOKUP(H237,引用表合并!$A:$B,2,FALSE))</f>
        <v>野性之剑</v>
      </c>
      <c r="H237" s="8">
        <v>10104</v>
      </c>
      <c r="I237" s="8">
        <v>1</v>
      </c>
      <c r="J237" s="10">
        <v>10000</v>
      </c>
      <c r="K237" s="8" t="str">
        <f>IF(L237="","",VLOOKUP(L237,引用表合并!$A:$B,2,FALSE))</f>
        <v>野性之拳</v>
      </c>
      <c r="L237" s="8">
        <v>20104</v>
      </c>
      <c r="M237" s="8">
        <v>1</v>
      </c>
      <c r="N237" s="10">
        <v>10000</v>
      </c>
      <c r="O237" s="8" t="str">
        <f>IF(P237="","",VLOOKUP(P237,引用表合并!$A:$B,2,FALSE))</f>
        <v>野性之枪</v>
      </c>
      <c r="P237" s="8">
        <v>30104</v>
      </c>
      <c r="Q237" s="8">
        <v>1</v>
      </c>
      <c r="R237" s="10">
        <v>10000</v>
      </c>
      <c r="S237" s="8" t="str">
        <f>IF(T237="","",VLOOKUP(T237,引用表合并!$A:$B,2,FALSE))</f>
        <v/>
      </c>
      <c r="T237" s="8"/>
      <c r="W237" s="8" t="str">
        <f>IF(X237="","",VLOOKUP(X237,引用表合并!$A:$B,2,FALSE))</f>
        <v/>
      </c>
      <c r="X237" s="8"/>
      <c r="AA237" s="8" t="str">
        <f>IF(AB237="","",VLOOKUP(AB237,引用表合并!$A:$B,2,FALSE))</f>
        <v/>
      </c>
      <c r="AB237" s="8"/>
      <c r="AE237" s="8" t="str">
        <f>IF(AF237="","",VLOOKUP(AF237,引用表合并!$A:$B,2,FALSE))</f>
        <v/>
      </c>
      <c r="AF237" s="8"/>
      <c r="AI237" s="8" t="str">
        <f>IF(AJ237="","",VLOOKUP(AJ237,引用表合并!$A:$B,2,FALSE))</f>
        <v/>
      </c>
      <c r="AJ237" s="8"/>
      <c r="AM237" s="8" t="str">
        <f>IF(AN237="","",VLOOKUP(AN237,引用表合并!$A:$B,2,FALSE))</f>
        <v/>
      </c>
      <c r="AN237" s="8"/>
      <c r="AQ237" s="8" t="str">
        <f>IF(AR237="","",VLOOKUP(AR237,引用表合并!$A:$B,2,FALSE))</f>
        <v/>
      </c>
      <c r="AR237" s="8"/>
      <c r="AU237" s="8" t="str">
        <f>IF(AV237="","",VLOOKUP(AV237,引用表合并!$A:$B,2,FALSE))</f>
        <v/>
      </c>
      <c r="AV237" s="8"/>
      <c r="AY237" s="8" t="str">
        <f>IF(AZ237="","",VLOOKUP(AZ237,引用表合并!$A:$B,2,FALSE))</f>
        <v/>
      </c>
      <c r="AZ237" s="8"/>
      <c r="BC237" s="8" t="str">
        <f>IF(BD237="","",VLOOKUP(BD237,引用表合并!$A:$B,2,FALSE))</f>
        <v/>
      </c>
      <c r="BD237" s="8"/>
      <c r="BE237" s="10"/>
      <c r="BF237" s="10"/>
      <c r="BG237" s="8" t="str">
        <f>IF(BH237="","",VLOOKUP(BH237,引用表合并!$A:$B,2,FALSE))</f>
        <v/>
      </c>
      <c r="BH237" s="8"/>
      <c r="BI237" s="10"/>
      <c r="BJ237" s="10"/>
      <c r="BK237" s="8" t="str">
        <f>IF(BL237="","",VLOOKUP(BL237,引用表合并!$A:$B,2,FALSE))</f>
        <v/>
      </c>
      <c r="BL237" s="8"/>
      <c r="BM237" s="10"/>
      <c r="BN237" s="10"/>
    </row>
    <row r="238" spans="1:66" x14ac:dyDescent="0.15">
      <c r="A238" s="8">
        <v>100006</v>
      </c>
      <c r="B238" s="8" t="str">
        <f>[2]D_等级礼包!$B7&amp;"级目标奖励"</f>
        <v>17级目标奖励</v>
      </c>
      <c r="C238" s="8">
        <v>0</v>
      </c>
      <c r="D238" s="8">
        <f t="shared" si="26"/>
        <v>1</v>
      </c>
      <c r="E238" s="16">
        <f t="shared" si="28"/>
        <v>1</v>
      </c>
      <c r="F238" s="16">
        <f t="shared" si="27"/>
        <v>1</v>
      </c>
      <c r="G238" s="8" t="str">
        <f>IF(H238="","",VLOOKUP(H238,引用表合并!$A:$B,2,FALSE))</f>
        <v>马仔碎片(制服太妹)</v>
      </c>
      <c r="H238" s="8">
        <v>78101</v>
      </c>
      <c r="I238" s="8">
        <v>15</v>
      </c>
      <c r="J238" s="10">
        <v>10000</v>
      </c>
      <c r="K238" s="8" t="str">
        <f>IF(L238="","",VLOOKUP(L238,引用表合并!$A:$B,2,FALSE))</f>
        <v/>
      </c>
      <c r="L238"/>
      <c r="O238" s="8" t="str">
        <f>IF(P238="","",VLOOKUP(P238,引用表合并!$A:$B,2,FALSE))</f>
        <v/>
      </c>
      <c r="P238"/>
      <c r="S238" s="8" t="str">
        <f>IF(T238="","",VLOOKUP(T238,引用表合并!$A:$B,2,FALSE))</f>
        <v/>
      </c>
      <c r="T238"/>
      <c r="W238" s="8" t="str">
        <f>IF(X238="","",VLOOKUP(X238,引用表合并!$A:$B,2,FALSE))</f>
        <v/>
      </c>
      <c r="X238"/>
      <c r="AA238" s="8" t="str">
        <f>IF(AB238="","",VLOOKUP(AB238,引用表合并!$A:$B,2,FALSE))</f>
        <v/>
      </c>
      <c r="AB238"/>
      <c r="AE238" s="8" t="str">
        <f>IF(AF238="","",VLOOKUP(AF238,引用表合并!$A:$B,2,FALSE))</f>
        <v/>
      </c>
      <c r="AF238"/>
      <c r="AI238" s="8" t="str">
        <f>IF(AJ238="","",VLOOKUP(AJ238,引用表合并!$A:$B,2,FALSE))</f>
        <v/>
      </c>
      <c r="AJ238"/>
      <c r="AM238" s="8" t="str">
        <f>IF(AN238="","",VLOOKUP(AN238,引用表合并!$A:$B,2,FALSE))</f>
        <v/>
      </c>
      <c r="AN238"/>
      <c r="AQ238" s="8" t="str">
        <f>IF(AR238="","",VLOOKUP(AR238,引用表合并!$A:$B,2,FALSE))</f>
        <v/>
      </c>
      <c r="AR238"/>
      <c r="AU238" s="8" t="str">
        <f>IF(AV238="","",VLOOKUP(AV238,引用表合并!$A:$B,2,FALSE))</f>
        <v/>
      </c>
      <c r="AV238"/>
      <c r="AY238" s="8" t="str">
        <f>IF(AZ238="","",VLOOKUP(AZ238,引用表合并!$A:$B,2,FALSE))</f>
        <v/>
      </c>
      <c r="AZ238"/>
      <c r="BC238" s="8" t="str">
        <f>IF(BD238="","",VLOOKUP(BD238,引用表合并!$A:$B,2,FALSE))</f>
        <v/>
      </c>
      <c r="BD238"/>
      <c r="BE238" s="10"/>
      <c r="BF238" s="10"/>
      <c r="BG238" s="8" t="str">
        <f>IF(BH238="","",VLOOKUP(BH238,引用表合并!$A:$B,2,FALSE))</f>
        <v/>
      </c>
      <c r="BH238"/>
      <c r="BI238" s="10"/>
      <c r="BJ238" s="10"/>
      <c r="BK238" s="8" t="str">
        <f>IF(BL238="","",VLOOKUP(BL238,引用表合并!$A:$B,2,FALSE))</f>
        <v/>
      </c>
      <c r="BL238"/>
      <c r="BM238" s="10"/>
      <c r="BN238" s="10"/>
    </row>
    <row r="239" spans="1:66" x14ac:dyDescent="0.15">
      <c r="A239" s="8">
        <v>100007</v>
      </c>
      <c r="B239" s="8" t="str">
        <f>[2]D_等级礼包!$B8&amp;"级目标奖励"</f>
        <v>21级目标奖励</v>
      </c>
      <c r="C239" s="8">
        <v>0</v>
      </c>
      <c r="D239" s="8">
        <f t="shared" ref="D239" si="43">E239</f>
        <v>1</v>
      </c>
      <c r="E239" s="16">
        <f t="shared" si="28"/>
        <v>1</v>
      </c>
      <c r="F239" s="16">
        <f t="shared" si="27"/>
        <v>1</v>
      </c>
      <c r="G239" s="8" t="str">
        <f>IF(H239="","",VLOOKUP(H239,引用表合并!$A:$B,2,FALSE))</f>
        <v>金币卡(5万)</v>
      </c>
      <c r="H239" s="8">
        <v>82300</v>
      </c>
      <c r="I239" s="8">
        <v>1</v>
      </c>
      <c r="J239" s="10">
        <v>10000</v>
      </c>
      <c r="K239" s="8" t="str">
        <f>IF(L239="","",VLOOKUP(L239,引用表合并!$A:$B,2,FALSE))</f>
        <v/>
      </c>
      <c r="L239" s="8"/>
      <c r="M239" s="8"/>
      <c r="O239" s="8" t="str">
        <f>IF(P239="","",VLOOKUP(P239,引用表合并!$A:$B,2,FALSE))</f>
        <v/>
      </c>
      <c r="P239" s="8"/>
      <c r="Q239" s="8"/>
      <c r="S239" s="8" t="str">
        <f>IF(T239="","",VLOOKUP(T239,引用表合并!$A:$B,2,FALSE))</f>
        <v/>
      </c>
      <c r="T239" s="8"/>
      <c r="U239" s="8"/>
      <c r="W239" s="8" t="str">
        <f>IF(X239="","",VLOOKUP(X239,引用表合并!$A:$B,2,FALSE))</f>
        <v/>
      </c>
      <c r="X239" s="8"/>
      <c r="Y239" s="8"/>
      <c r="AA239" s="8" t="str">
        <f>IF(AB239="","",VLOOKUP(AB239,引用表合并!$A:$B,2,FALSE))</f>
        <v/>
      </c>
      <c r="AB239" s="8"/>
      <c r="AC239" s="8"/>
      <c r="AE239" s="8" t="str">
        <f>IF(AF239="","",VLOOKUP(AF239,引用表合并!$A:$B,2,FALSE))</f>
        <v/>
      </c>
      <c r="AF239" s="8"/>
      <c r="AG239" s="8"/>
      <c r="AI239" s="8" t="str">
        <f>IF(AJ239="","",VLOOKUP(AJ239,引用表合并!$A:$B,2,FALSE))</f>
        <v/>
      </c>
      <c r="AJ239" s="8"/>
      <c r="AK239" s="8"/>
      <c r="AM239" s="8" t="str">
        <f>IF(AN239="","",VLOOKUP(AN239,引用表合并!$A:$B,2,FALSE))</f>
        <v/>
      </c>
      <c r="AN239" s="8"/>
      <c r="AO239" s="8"/>
      <c r="AQ239" s="8" t="str">
        <f>IF(AR239="","",VLOOKUP(AR239,引用表合并!$A:$B,2,FALSE))</f>
        <v/>
      </c>
      <c r="AR239" s="8"/>
      <c r="AS239" s="8"/>
      <c r="AU239" s="8" t="str">
        <f>IF(AV239="","",VLOOKUP(AV239,引用表合并!$A:$B,2,FALSE))</f>
        <v/>
      </c>
      <c r="AV239" s="8"/>
      <c r="AW239" s="8"/>
      <c r="AY239" s="8" t="str">
        <f>IF(AZ239="","",VLOOKUP(AZ239,引用表合并!$A:$B,2,FALSE))</f>
        <v/>
      </c>
      <c r="AZ239" s="8"/>
      <c r="BA239" s="8"/>
      <c r="BC239" s="8" t="str">
        <f>IF(BD239="","",VLOOKUP(BD239,引用表合并!$A:$B,2,FALSE))</f>
        <v/>
      </c>
      <c r="BD239" s="8"/>
      <c r="BF239" s="10"/>
      <c r="BG239" s="8" t="str">
        <f>IF(BH239="","",VLOOKUP(BH239,引用表合并!$A:$B,2,FALSE))</f>
        <v/>
      </c>
      <c r="BH239" s="8"/>
      <c r="BJ239" s="10"/>
      <c r="BK239" s="8" t="str">
        <f>IF(BL239="","",VLOOKUP(BL239,引用表合并!$A:$B,2,FALSE))</f>
        <v/>
      </c>
      <c r="BL239" s="8"/>
      <c r="BN239" s="10"/>
    </row>
    <row r="240" spans="1:66" x14ac:dyDescent="0.15">
      <c r="A240" s="8">
        <v>100008</v>
      </c>
      <c r="B240" s="8" t="str">
        <f>[2]D_等级礼包!$B9&amp;"级目标奖励"</f>
        <v>24级目标奖励</v>
      </c>
      <c r="C240" s="8">
        <v>0</v>
      </c>
      <c r="D240" s="8">
        <f t="shared" si="26"/>
        <v>1</v>
      </c>
      <c r="E240" s="16">
        <f t="shared" si="28"/>
        <v>1</v>
      </c>
      <c r="F240" s="16">
        <f t="shared" si="27"/>
        <v>1</v>
      </c>
      <c r="G240" s="8" t="str">
        <f>IF(H240="","",VLOOKUP(H240,引用表合并!$A:$B,2,FALSE))</f>
        <v>命运石(2万)</v>
      </c>
      <c r="H240" s="8">
        <v>80610</v>
      </c>
      <c r="I240" s="8">
        <v>1</v>
      </c>
      <c r="J240" s="10">
        <v>10000</v>
      </c>
      <c r="K240" s="8" t="str">
        <f>IF(L240="","",VLOOKUP(L240,引用表合并!$A:$B,2,FALSE))</f>
        <v/>
      </c>
      <c r="L240" s="8"/>
      <c r="M240" s="8"/>
      <c r="O240" s="8" t="str">
        <f>IF(P240="","",VLOOKUP(P240,引用表合并!$A:$B,2,FALSE))</f>
        <v/>
      </c>
      <c r="P240" s="8"/>
      <c r="Q240" s="8"/>
      <c r="S240" s="8" t="str">
        <f>IF(T240="","",VLOOKUP(T240,引用表合并!$A:$B,2,FALSE))</f>
        <v/>
      </c>
      <c r="T240" s="8"/>
      <c r="U240" s="8"/>
      <c r="W240" s="8" t="str">
        <f>IF(X240="","",VLOOKUP(X240,引用表合并!$A:$B,2,FALSE))</f>
        <v/>
      </c>
      <c r="X240" s="8"/>
      <c r="Y240" s="8"/>
      <c r="AA240" s="8" t="str">
        <f>IF(AB240="","",VLOOKUP(AB240,引用表合并!$A:$B,2,FALSE))</f>
        <v/>
      </c>
      <c r="AB240" s="8"/>
      <c r="AC240" s="8"/>
      <c r="AE240" s="8" t="str">
        <f>IF(AF240="","",VLOOKUP(AF240,引用表合并!$A:$B,2,FALSE))</f>
        <v/>
      </c>
      <c r="AF240" s="8"/>
      <c r="AG240" s="8"/>
      <c r="AI240" s="8" t="str">
        <f>IF(AJ240="","",VLOOKUP(AJ240,引用表合并!$A:$B,2,FALSE))</f>
        <v/>
      </c>
      <c r="AJ240" s="8"/>
      <c r="AK240" s="8"/>
      <c r="AM240" s="8" t="str">
        <f>IF(AN240="","",VLOOKUP(AN240,引用表合并!$A:$B,2,FALSE))</f>
        <v/>
      </c>
      <c r="AN240" s="8"/>
      <c r="AO240" s="8"/>
      <c r="AQ240" s="8" t="str">
        <f>IF(AR240="","",VLOOKUP(AR240,引用表合并!$A:$B,2,FALSE))</f>
        <v/>
      </c>
      <c r="AR240" s="8"/>
      <c r="AS240" s="8"/>
      <c r="AU240" s="8" t="str">
        <f>IF(AV240="","",VLOOKUP(AV240,引用表合并!$A:$B,2,FALSE))</f>
        <v/>
      </c>
      <c r="AV240" s="8"/>
      <c r="AW240" s="8"/>
      <c r="AY240" s="8" t="str">
        <f>IF(AZ240="","",VLOOKUP(AZ240,引用表合并!$A:$B,2,FALSE))</f>
        <v/>
      </c>
      <c r="AZ240" s="8"/>
      <c r="BA240" s="8"/>
      <c r="BC240" s="8" t="str">
        <f>IF(BD240="","",VLOOKUP(BD240,引用表合并!$A:$B,2,FALSE))</f>
        <v/>
      </c>
      <c r="BD240" s="8"/>
      <c r="BF240" s="10"/>
      <c r="BG240" s="8" t="str">
        <f>IF(BH240="","",VLOOKUP(BH240,引用表合并!$A:$B,2,FALSE))</f>
        <v/>
      </c>
      <c r="BH240" s="8"/>
      <c r="BJ240" s="10"/>
      <c r="BK240" s="8" t="str">
        <f>IF(BL240="","",VLOOKUP(BL240,引用表合并!$A:$B,2,FALSE))</f>
        <v/>
      </c>
      <c r="BL240" s="8"/>
      <c r="BN240" s="10"/>
    </row>
    <row r="241" spans="1:66" x14ac:dyDescent="0.15">
      <c r="A241" s="8">
        <v>100009</v>
      </c>
      <c r="B241" s="8" t="str">
        <f>[2]D_等级礼包!$B10&amp;"级目标奖励"</f>
        <v>27级目标奖励</v>
      </c>
      <c r="C241" s="8">
        <v>0</v>
      </c>
      <c r="D241" s="8">
        <f t="shared" si="26"/>
        <v>1</v>
      </c>
      <c r="E241" s="16">
        <f t="shared" si="28"/>
        <v>1</v>
      </c>
      <c r="F241" s="16">
        <f t="shared" si="27"/>
        <v>1</v>
      </c>
      <c r="G241" s="8" t="str">
        <f>IF(H241="","",VLOOKUP(H241,引用表合并!$A:$B,2,FALSE))</f>
        <v>龙魂币(500)</v>
      </c>
      <c r="H241" s="8">
        <v>80110</v>
      </c>
      <c r="I241" s="8">
        <v>1</v>
      </c>
      <c r="J241" s="10">
        <v>10000</v>
      </c>
      <c r="K241" s="8" t="str">
        <f>IF(L241="","",VLOOKUP(L241,引用表合并!$A:$B,2,FALSE))</f>
        <v/>
      </c>
      <c r="L241" s="8"/>
      <c r="M241" s="8"/>
      <c r="O241" s="8" t="str">
        <f>IF(P241="","",VLOOKUP(P241,引用表合并!$A:$B,2,FALSE))</f>
        <v/>
      </c>
      <c r="P241" s="8"/>
      <c r="Q241" s="8"/>
      <c r="S241" s="8" t="str">
        <f>IF(T241="","",VLOOKUP(T241,引用表合并!$A:$B,2,FALSE))</f>
        <v/>
      </c>
      <c r="T241" s="8"/>
      <c r="U241" s="8"/>
      <c r="W241" s="8" t="str">
        <f>IF(X241="","",VLOOKUP(X241,引用表合并!$A:$B,2,FALSE))</f>
        <v/>
      </c>
      <c r="X241" s="8"/>
      <c r="Y241" s="8"/>
      <c r="AA241" s="8" t="str">
        <f>IF(AB241="","",VLOOKUP(AB241,引用表合并!$A:$B,2,FALSE))</f>
        <v/>
      </c>
      <c r="AB241" s="8"/>
      <c r="AC241" s="8"/>
      <c r="AE241" s="8" t="str">
        <f>IF(AF241="","",VLOOKUP(AF241,引用表合并!$A:$B,2,FALSE))</f>
        <v/>
      </c>
      <c r="AF241" s="8"/>
      <c r="AG241" s="8"/>
      <c r="AI241" s="8" t="str">
        <f>IF(AJ241="","",VLOOKUP(AJ241,引用表合并!$A:$B,2,FALSE))</f>
        <v/>
      </c>
      <c r="AJ241" s="8"/>
      <c r="AK241" s="8"/>
      <c r="AM241" s="8" t="str">
        <f>IF(AN241="","",VLOOKUP(AN241,引用表合并!$A:$B,2,FALSE))</f>
        <v/>
      </c>
      <c r="AN241" s="8"/>
      <c r="AO241" s="8"/>
      <c r="AQ241" s="8" t="str">
        <f>IF(AR241="","",VLOOKUP(AR241,引用表合并!$A:$B,2,FALSE))</f>
        <v/>
      </c>
      <c r="AR241" s="8"/>
      <c r="AS241" s="8"/>
      <c r="AU241" s="8" t="str">
        <f>IF(AV241="","",VLOOKUP(AV241,引用表合并!$A:$B,2,FALSE))</f>
        <v/>
      </c>
      <c r="AV241" s="8"/>
      <c r="AW241" s="8"/>
      <c r="AY241" s="8" t="str">
        <f>IF(AZ241="","",VLOOKUP(AZ241,引用表合并!$A:$B,2,FALSE))</f>
        <v/>
      </c>
      <c r="AZ241" s="8"/>
      <c r="BA241" s="8"/>
      <c r="BC241" s="8" t="str">
        <f>IF(BD241="","",VLOOKUP(BD241,引用表合并!$A:$B,2,FALSE))</f>
        <v/>
      </c>
      <c r="BD241" s="8"/>
      <c r="BF241" s="10"/>
      <c r="BG241" s="8" t="str">
        <f>IF(BH241="","",VLOOKUP(BH241,引用表合并!$A:$B,2,FALSE))</f>
        <v/>
      </c>
      <c r="BH241" s="8"/>
      <c r="BJ241" s="10"/>
      <c r="BK241" s="8" t="str">
        <f>IF(BL241="","",VLOOKUP(BL241,引用表合并!$A:$B,2,FALSE))</f>
        <v/>
      </c>
      <c r="BL241" s="8"/>
      <c r="BN241" s="10"/>
    </row>
    <row r="242" spans="1:66" x14ac:dyDescent="0.15">
      <c r="A242" s="8">
        <v>100010</v>
      </c>
      <c r="B242" s="8" t="str">
        <f>[2]D_等级礼包!$B11&amp;"级目标奖励"</f>
        <v>31级目标奖励</v>
      </c>
      <c r="C242" s="8">
        <v>0</v>
      </c>
      <c r="D242" s="8">
        <f t="shared" si="26"/>
        <v>1</v>
      </c>
      <c r="E242" s="16">
        <f t="shared" si="28"/>
        <v>1</v>
      </c>
      <c r="F242" s="16">
        <f t="shared" si="27"/>
        <v>1</v>
      </c>
      <c r="G242" s="8" t="str">
        <f>IF(H242="","",VLOOKUP(H242,引用表合并!$A:$B,2,FALSE))</f>
        <v>高级装备升级石</v>
      </c>
      <c r="H242" s="8">
        <v>85200</v>
      </c>
      <c r="I242" s="8">
        <v>12</v>
      </c>
      <c r="J242" s="10">
        <v>10000</v>
      </c>
      <c r="K242" s="8"/>
      <c r="L242" s="8"/>
      <c r="M242" s="8"/>
      <c r="O242" s="8"/>
      <c r="P242" s="8"/>
      <c r="Q242" s="8"/>
      <c r="S242" s="8"/>
      <c r="T242" s="8"/>
      <c r="U242" s="8"/>
      <c r="W242" s="8"/>
      <c r="X242" s="8"/>
      <c r="Y242" s="8"/>
      <c r="AA242" s="8"/>
      <c r="AB242" s="8"/>
      <c r="AC242" s="8"/>
      <c r="AE242" s="8"/>
      <c r="AF242" s="8"/>
      <c r="AG242" s="8"/>
      <c r="AI242" s="8"/>
      <c r="AJ242" s="8"/>
      <c r="AK242" s="8"/>
      <c r="AM242" s="8"/>
      <c r="AN242" s="8"/>
      <c r="AO242" s="8"/>
      <c r="AQ242" s="8"/>
      <c r="AR242" s="8"/>
      <c r="AS242" s="8"/>
      <c r="AU242" s="8"/>
      <c r="AV242" s="8"/>
      <c r="AW242" s="8"/>
      <c r="AY242" s="8"/>
      <c r="AZ242" s="8"/>
      <c r="BA242" s="8"/>
      <c r="BD242" s="8"/>
      <c r="BF242" s="10"/>
      <c r="BH242" s="8"/>
      <c r="BJ242" s="10"/>
      <c r="BL242" s="8"/>
      <c r="BN242" s="10"/>
    </row>
    <row r="243" spans="1:66" x14ac:dyDescent="0.15">
      <c r="A243" s="8">
        <v>100011</v>
      </c>
      <c r="B243" s="8" t="str">
        <f>[2]D_等级礼包!$B12&amp;"级目标奖励"</f>
        <v>36级目标奖励</v>
      </c>
      <c r="C243" s="8">
        <v>0</v>
      </c>
      <c r="D243" s="8">
        <f t="shared" si="26"/>
        <v>1</v>
      </c>
      <c r="E243" s="16">
        <f t="shared" si="28"/>
        <v>1</v>
      </c>
      <c r="F243" s="16">
        <f t="shared" si="27"/>
        <v>1</v>
      </c>
      <c r="G243" s="8" t="str">
        <f>IF(H243="","",VLOOKUP(H243,引用表合并!$A:$B,2,FALSE))</f>
        <v>初级升星石</v>
      </c>
      <c r="H243" s="8">
        <v>70101</v>
      </c>
      <c r="I243" s="8">
        <v>12</v>
      </c>
      <c r="J243" s="10">
        <v>10000</v>
      </c>
      <c r="K243" s="8"/>
      <c r="L243" s="8"/>
      <c r="M243" s="8"/>
      <c r="O243" s="8"/>
      <c r="P243" s="8"/>
      <c r="Q243" s="8"/>
      <c r="S243" s="8"/>
      <c r="T243" s="8"/>
      <c r="U243" s="8"/>
      <c r="W243" s="8"/>
      <c r="X243" s="8"/>
      <c r="Y243" s="8"/>
      <c r="AA243" s="8"/>
      <c r="AB243" s="8"/>
      <c r="AC243" s="8"/>
      <c r="AE243" s="8"/>
      <c r="AF243" s="8"/>
      <c r="AG243" s="8"/>
      <c r="AI243" s="8"/>
      <c r="AJ243" s="8"/>
      <c r="AK243" s="8"/>
      <c r="AM243" s="8"/>
      <c r="AN243" s="8"/>
      <c r="AO243" s="8"/>
      <c r="AQ243" s="8"/>
      <c r="AR243" s="8"/>
      <c r="AS243" s="8"/>
      <c r="AU243" s="8"/>
      <c r="AV243" s="8"/>
      <c r="AW243" s="8"/>
      <c r="AY243" s="8"/>
      <c r="AZ243" s="8"/>
      <c r="BA243" s="8"/>
      <c r="BD243" s="8"/>
      <c r="BF243" s="10"/>
      <c r="BH243" s="8"/>
      <c r="BJ243" s="10"/>
      <c r="BL243" s="8"/>
      <c r="BN243" s="10"/>
    </row>
    <row r="244" spans="1:66" x14ac:dyDescent="0.15">
      <c r="A244" s="8">
        <v>200001</v>
      </c>
      <c r="B244" s="8" t="str">
        <f>"连续登陆第"&amp;[2]D_7天登陆!A2&amp;"天"</f>
        <v>连续登陆第1天</v>
      </c>
      <c r="C244" s="8">
        <v>0</v>
      </c>
      <c r="D244" s="8">
        <f t="shared" si="26"/>
        <v>0</v>
      </c>
      <c r="E244" s="16">
        <f t="shared" si="28"/>
        <v>0</v>
      </c>
      <c r="F244" s="16">
        <f t="shared" si="27"/>
        <v>0</v>
      </c>
      <c r="G244" s="8" t="str">
        <f>IF(H244="","",VLOOKUP(H244,引用表合并!$A:$B,2,FALSE))</f>
        <v/>
      </c>
      <c r="K244" s="8" t="str">
        <f>IF(L244="","",VLOOKUP(L244,引用表合并!$A:$B,2,FALSE))</f>
        <v/>
      </c>
      <c r="L244" s="8"/>
      <c r="M244" s="8"/>
      <c r="O244" s="8" t="str">
        <f>IF(P244="","",VLOOKUP(P244,引用表合并!$A:$B,2,FALSE))</f>
        <v/>
      </c>
      <c r="P244" s="8"/>
      <c r="Q244" s="8"/>
      <c r="S244" s="8" t="str">
        <f>IF(T244="","",VLOOKUP(T244,引用表合并!$A:$B,2,FALSE))</f>
        <v/>
      </c>
      <c r="T244" s="8"/>
      <c r="U244" s="8"/>
      <c r="W244" s="8" t="str">
        <f>IF(X244="","",VLOOKUP(X244,引用表合并!$A:$B,2,FALSE))</f>
        <v/>
      </c>
      <c r="X244" s="8"/>
      <c r="Y244" s="8"/>
      <c r="AA244" s="8" t="str">
        <f>IF(AB244="","",VLOOKUP(AB244,引用表合并!$A:$B,2,FALSE))</f>
        <v/>
      </c>
      <c r="AB244" s="8"/>
      <c r="AC244" s="8"/>
      <c r="AE244" s="8" t="str">
        <f>IF(AF244="","",VLOOKUP(AF244,引用表合并!$A:$B,2,FALSE))</f>
        <v/>
      </c>
      <c r="AF244" s="8"/>
      <c r="AG244" s="8"/>
      <c r="AI244" s="8" t="str">
        <f>IF(AJ244="","",VLOOKUP(AJ244,引用表合并!$A:$B,2,FALSE))</f>
        <v/>
      </c>
      <c r="AJ244" s="8"/>
      <c r="AK244" s="8"/>
      <c r="AM244" s="8" t="str">
        <f>IF(AN244="","",VLOOKUP(AN244,引用表合并!$A:$B,2,FALSE))</f>
        <v/>
      </c>
      <c r="AN244" s="8"/>
      <c r="AO244" s="8"/>
      <c r="AQ244" s="8" t="str">
        <f>IF(AR244="","",VLOOKUP(AR244,引用表合并!$A:$B,2,FALSE))</f>
        <v/>
      </c>
      <c r="AR244" s="8"/>
      <c r="AS244" s="8"/>
      <c r="AU244" s="8" t="str">
        <f>IF(AV244="","",VLOOKUP(AV244,引用表合并!$A:$B,2,FALSE))</f>
        <v/>
      </c>
      <c r="AV244" s="8"/>
      <c r="AW244" s="8"/>
      <c r="AY244" s="8" t="str">
        <f>IF(AZ244="","",VLOOKUP(AZ244,引用表合并!$A:$B,2,FALSE))</f>
        <v/>
      </c>
      <c r="AZ244" s="8"/>
      <c r="BA244" s="8"/>
      <c r="BC244" s="8" t="str">
        <f>IF(BD244="","",VLOOKUP(BD244,引用表合并!$A:$B,2,FALSE))</f>
        <v/>
      </c>
      <c r="BD244" s="8"/>
      <c r="BF244" s="10"/>
      <c r="BG244" s="8" t="str">
        <f>IF(BH244="","",VLOOKUP(BH244,引用表合并!$A:$B,2,FALSE))</f>
        <v/>
      </c>
      <c r="BH244" s="8"/>
      <c r="BJ244" s="10"/>
      <c r="BK244" s="8" t="str">
        <f>IF(BL244="","",VLOOKUP(BL244,引用表合并!$A:$B,2,FALSE))</f>
        <v/>
      </c>
      <c r="BL244" s="8"/>
      <c r="BN244" s="10"/>
    </row>
    <row r="245" spans="1:66" x14ac:dyDescent="0.15">
      <c r="A245" s="8">
        <v>200002</v>
      </c>
      <c r="B245" s="8" t="str">
        <f>"连续登陆第"&amp;[2]D_7天登陆!A3&amp;"天"</f>
        <v>连续登陆第2天</v>
      </c>
      <c r="C245" s="8">
        <v>0</v>
      </c>
      <c r="D245" s="8">
        <f t="shared" si="26"/>
        <v>1</v>
      </c>
      <c r="E245" s="16">
        <f t="shared" si="28"/>
        <v>1</v>
      </c>
      <c r="F245" s="16">
        <f t="shared" si="27"/>
        <v>1</v>
      </c>
      <c r="G245" s="8" t="str">
        <f>IF(H245="","",VLOOKUP(H245,引用表合并!$A:$B,2,FALSE))</f>
        <v>巴闭</v>
      </c>
      <c r="H245" s="8">
        <v>101117</v>
      </c>
      <c r="I245" s="8">
        <v>1</v>
      </c>
      <c r="J245" s="10">
        <v>10000</v>
      </c>
      <c r="K245" s="8" t="str">
        <f>IF(L245="","",VLOOKUP(L245,引用表合并!$A:$B,2,FALSE))</f>
        <v/>
      </c>
      <c r="L245" s="8"/>
      <c r="M245" s="8"/>
      <c r="O245" s="8" t="str">
        <f>IF(P245="","",VLOOKUP(P245,引用表合并!$A:$B,2,FALSE))</f>
        <v/>
      </c>
      <c r="P245" s="8"/>
      <c r="Q245" s="8"/>
      <c r="S245" s="8" t="str">
        <f>IF(T245="","",VLOOKUP(T245,引用表合并!$A:$B,2,FALSE))</f>
        <v/>
      </c>
      <c r="T245" s="8"/>
      <c r="U245" s="8"/>
      <c r="W245" s="8" t="str">
        <f>IF(X245="","",VLOOKUP(X245,引用表合并!$A:$B,2,FALSE))</f>
        <v/>
      </c>
      <c r="X245" s="8"/>
      <c r="Y245" s="8"/>
      <c r="AA245" s="8" t="str">
        <f>IF(AB245="","",VLOOKUP(AB245,引用表合并!$A:$B,2,FALSE))</f>
        <v/>
      </c>
      <c r="AB245" s="8"/>
      <c r="AC245" s="8"/>
      <c r="AE245" s="8" t="str">
        <f>IF(AF245="","",VLOOKUP(AF245,引用表合并!$A:$B,2,FALSE))</f>
        <v/>
      </c>
      <c r="AF245" s="8"/>
      <c r="AG245" s="8"/>
      <c r="AI245" s="8" t="str">
        <f>IF(AJ245="","",VLOOKUP(AJ245,引用表合并!$A:$B,2,FALSE))</f>
        <v/>
      </c>
      <c r="AJ245" s="8"/>
      <c r="AK245" s="8"/>
      <c r="AM245" s="8" t="str">
        <f>IF(AN245="","",VLOOKUP(AN245,引用表合并!$A:$B,2,FALSE))</f>
        <v/>
      </c>
      <c r="AN245" s="8"/>
      <c r="AO245" s="8"/>
      <c r="AQ245" s="8" t="str">
        <f>IF(AR245="","",VLOOKUP(AR245,引用表合并!$A:$B,2,FALSE))</f>
        <v/>
      </c>
      <c r="AR245" s="8"/>
      <c r="AS245" s="8"/>
      <c r="AU245" s="8" t="str">
        <f>IF(AV245="","",VLOOKUP(AV245,引用表合并!$A:$B,2,FALSE))</f>
        <v/>
      </c>
      <c r="AV245" s="8"/>
      <c r="AW245" s="8"/>
      <c r="AY245" s="8" t="str">
        <f>IF(AZ245="","",VLOOKUP(AZ245,引用表合并!$A:$B,2,FALSE))</f>
        <v/>
      </c>
      <c r="AZ245" s="8"/>
      <c r="BA245" s="8"/>
      <c r="BC245" s="8" t="str">
        <f>IF(BD245="","",VLOOKUP(BD245,引用表合并!$A:$B,2,FALSE))</f>
        <v/>
      </c>
      <c r="BD245" s="8"/>
      <c r="BF245" s="10"/>
      <c r="BG245" s="8" t="str">
        <f>IF(BH245="","",VLOOKUP(BH245,引用表合并!$A:$B,2,FALSE))</f>
        <v/>
      </c>
      <c r="BH245" s="8"/>
      <c r="BJ245" s="10"/>
      <c r="BK245" s="8" t="str">
        <f>IF(BL245="","",VLOOKUP(BL245,引用表合并!$A:$B,2,FALSE))</f>
        <v/>
      </c>
      <c r="BL245" s="8"/>
      <c r="BN245" s="10"/>
    </row>
    <row r="246" spans="1:66" x14ac:dyDescent="0.15">
      <c r="A246" s="8">
        <v>200003</v>
      </c>
      <c r="B246" s="8" t="str">
        <f>"连续登陆第"&amp;[2]D_7天登陆!A4&amp;"天"</f>
        <v>连续登陆第3天</v>
      </c>
      <c r="C246" s="8">
        <v>0</v>
      </c>
      <c r="D246" s="8">
        <f t="shared" si="26"/>
        <v>0</v>
      </c>
      <c r="E246" s="16">
        <f t="shared" si="28"/>
        <v>0</v>
      </c>
      <c r="F246" s="16">
        <f t="shared" si="27"/>
        <v>0</v>
      </c>
      <c r="G246" s="8" t="str">
        <f>IF(H246="","",VLOOKUP(H246,引用表合并!$A:$B,2,FALSE))</f>
        <v/>
      </c>
      <c r="K246" s="8" t="str">
        <f>IF(L246="","",VLOOKUP(L246,引用表合并!$A:$B,2,FALSE))</f>
        <v/>
      </c>
      <c r="L246" s="8"/>
      <c r="M246" s="8"/>
      <c r="O246" s="8" t="str">
        <f>IF(P246="","",VLOOKUP(P246,引用表合并!$A:$B,2,FALSE))</f>
        <v/>
      </c>
      <c r="P246" s="8"/>
      <c r="Q246" s="8"/>
      <c r="S246" s="8" t="str">
        <f>IF(T246="","",VLOOKUP(T246,引用表合并!$A:$B,2,FALSE))</f>
        <v/>
      </c>
      <c r="T246" s="8"/>
      <c r="U246" s="8"/>
      <c r="W246" s="8" t="str">
        <f>IF(X246="","",VLOOKUP(X246,引用表合并!$A:$B,2,FALSE))</f>
        <v/>
      </c>
      <c r="X246" s="8"/>
      <c r="Y246" s="8"/>
      <c r="AA246" s="8" t="str">
        <f>IF(AB246="","",VLOOKUP(AB246,引用表合并!$A:$B,2,FALSE))</f>
        <v/>
      </c>
      <c r="AB246" s="8"/>
      <c r="AC246" s="8"/>
      <c r="AE246" s="8" t="str">
        <f>IF(AF246="","",VLOOKUP(AF246,引用表合并!$A:$B,2,FALSE))</f>
        <v/>
      </c>
      <c r="AF246" s="8"/>
      <c r="AG246" s="8"/>
      <c r="AI246" s="8" t="str">
        <f>IF(AJ246="","",VLOOKUP(AJ246,引用表合并!$A:$B,2,FALSE))</f>
        <v/>
      </c>
      <c r="AJ246" s="8"/>
      <c r="AK246" s="8"/>
      <c r="AM246" s="8" t="str">
        <f>IF(AN246="","",VLOOKUP(AN246,引用表合并!$A:$B,2,FALSE))</f>
        <v/>
      </c>
      <c r="AN246" s="8"/>
      <c r="AO246" s="8"/>
      <c r="AQ246" s="8" t="str">
        <f>IF(AR246="","",VLOOKUP(AR246,引用表合并!$A:$B,2,FALSE))</f>
        <v/>
      </c>
      <c r="AR246" s="8"/>
      <c r="AS246" s="8"/>
      <c r="AU246" s="8" t="str">
        <f>IF(AV246="","",VLOOKUP(AV246,引用表合并!$A:$B,2,FALSE))</f>
        <v/>
      </c>
      <c r="AV246" s="8"/>
      <c r="AW246" s="8"/>
      <c r="AY246" s="8" t="str">
        <f>IF(AZ246="","",VLOOKUP(AZ246,引用表合并!$A:$B,2,FALSE))</f>
        <v/>
      </c>
      <c r="AZ246" s="8"/>
      <c r="BA246" s="8"/>
      <c r="BC246" s="8" t="str">
        <f>IF(BD246="","",VLOOKUP(BD246,引用表合并!$A:$B,2,FALSE))</f>
        <v/>
      </c>
      <c r="BD246" s="8"/>
      <c r="BF246" s="10"/>
      <c r="BG246" s="8" t="str">
        <f>IF(BH246="","",VLOOKUP(BH246,引用表合并!$A:$B,2,FALSE))</f>
        <v/>
      </c>
      <c r="BH246" s="8"/>
      <c r="BJ246" s="10"/>
      <c r="BK246" s="8" t="str">
        <f>IF(BL246="","",VLOOKUP(BL246,引用表合并!$A:$B,2,FALSE))</f>
        <v/>
      </c>
      <c r="BL246" s="8"/>
      <c r="BN246" s="10"/>
    </row>
    <row r="247" spans="1:66" x14ac:dyDescent="0.15">
      <c r="A247" s="8">
        <v>200004</v>
      </c>
      <c r="B247" s="8" t="str">
        <f>"连续登陆第"&amp;[2]D_7天登陆!A5&amp;"天"</f>
        <v>连续登陆第4天</v>
      </c>
      <c r="C247" s="8">
        <v>0</v>
      </c>
      <c r="D247" s="8">
        <f t="shared" si="26"/>
        <v>0</v>
      </c>
      <c r="E247" s="16">
        <f t="shared" si="28"/>
        <v>0</v>
      </c>
      <c r="F247" s="16">
        <f t="shared" si="27"/>
        <v>0</v>
      </c>
      <c r="G247" s="8" t="str">
        <f>IF(H247="","",VLOOKUP(H247,引用表合并!$A:$B,2,FALSE))</f>
        <v/>
      </c>
      <c r="K247" s="8" t="str">
        <f>IF(L247="","",VLOOKUP(L247,引用表合并!$A:$B,2,FALSE))</f>
        <v/>
      </c>
      <c r="L247" s="8"/>
      <c r="M247" s="8"/>
      <c r="O247" s="8" t="str">
        <f>IF(P247="","",VLOOKUP(P247,引用表合并!$A:$B,2,FALSE))</f>
        <v/>
      </c>
      <c r="P247" s="8"/>
      <c r="Q247" s="8"/>
      <c r="S247" s="8" t="str">
        <f>IF(T247="","",VLOOKUP(T247,引用表合并!$A:$B,2,FALSE))</f>
        <v/>
      </c>
      <c r="T247" s="8"/>
      <c r="U247" s="8"/>
      <c r="W247" s="8" t="str">
        <f>IF(X247="","",VLOOKUP(X247,引用表合并!$A:$B,2,FALSE))</f>
        <v/>
      </c>
      <c r="X247" s="8"/>
      <c r="Y247" s="8"/>
      <c r="AA247" s="8" t="str">
        <f>IF(AB247="","",VLOOKUP(AB247,引用表合并!$A:$B,2,FALSE))</f>
        <v/>
      </c>
      <c r="AB247" s="8"/>
      <c r="AC247" s="8"/>
      <c r="AE247" s="8" t="str">
        <f>IF(AF247="","",VLOOKUP(AF247,引用表合并!$A:$B,2,FALSE))</f>
        <v/>
      </c>
      <c r="AF247" s="8"/>
      <c r="AG247" s="8"/>
      <c r="AI247" s="8" t="str">
        <f>IF(AJ247="","",VLOOKUP(AJ247,引用表合并!$A:$B,2,FALSE))</f>
        <v/>
      </c>
      <c r="AJ247" s="8"/>
      <c r="AK247" s="8"/>
      <c r="AM247" s="8" t="str">
        <f>IF(AN247="","",VLOOKUP(AN247,引用表合并!$A:$B,2,FALSE))</f>
        <v/>
      </c>
      <c r="AN247" s="8"/>
      <c r="AO247" s="8"/>
      <c r="AQ247" s="8" t="str">
        <f>IF(AR247="","",VLOOKUP(AR247,引用表合并!$A:$B,2,FALSE))</f>
        <v/>
      </c>
      <c r="AR247" s="8"/>
      <c r="AS247" s="8"/>
      <c r="AU247" s="8" t="str">
        <f>IF(AV247="","",VLOOKUP(AV247,引用表合并!$A:$B,2,FALSE))</f>
        <v/>
      </c>
      <c r="AV247" s="8"/>
      <c r="AW247" s="8"/>
      <c r="AY247" s="8" t="str">
        <f>IF(AZ247="","",VLOOKUP(AZ247,引用表合并!$A:$B,2,FALSE))</f>
        <v/>
      </c>
      <c r="AZ247" s="8"/>
      <c r="BA247" s="8"/>
      <c r="BC247" s="8" t="str">
        <f>IF(BD247="","",VLOOKUP(BD247,引用表合并!$A:$B,2,FALSE))</f>
        <v/>
      </c>
      <c r="BD247" s="8"/>
      <c r="BF247" s="10"/>
      <c r="BG247" s="8" t="str">
        <f>IF(BH247="","",VLOOKUP(BH247,引用表合并!$A:$B,2,FALSE))</f>
        <v/>
      </c>
      <c r="BH247" s="8"/>
      <c r="BJ247" s="10"/>
      <c r="BK247" s="8" t="str">
        <f>IF(BL247="","",VLOOKUP(BL247,引用表合并!$A:$B,2,FALSE))</f>
        <v/>
      </c>
      <c r="BL247" s="8"/>
      <c r="BN247" s="10"/>
    </row>
    <row r="248" spans="1:66" x14ac:dyDescent="0.15">
      <c r="A248" s="8">
        <v>200005</v>
      </c>
      <c r="B248" s="8" t="str">
        <f>"连续登陆第"&amp;[2]D_7天登陆!A6&amp;"天"</f>
        <v>连续登陆第5天</v>
      </c>
      <c r="C248" s="8">
        <v>0</v>
      </c>
      <c r="D248" s="8">
        <f t="shared" si="26"/>
        <v>0</v>
      </c>
      <c r="E248" s="16">
        <f t="shared" si="28"/>
        <v>0</v>
      </c>
      <c r="F248" s="16">
        <f t="shared" si="27"/>
        <v>0</v>
      </c>
      <c r="G248" s="8" t="str">
        <f>IF(H248="","",VLOOKUP(H248,引用表合并!$A:$B,2,FALSE))</f>
        <v/>
      </c>
      <c r="K248" s="8" t="str">
        <f>IF(L248="","",VLOOKUP(L248,引用表合并!$A:$B,2,FALSE))</f>
        <v/>
      </c>
      <c r="L248" s="17"/>
      <c r="M248" s="8"/>
      <c r="O248" s="8" t="str">
        <f>IF(P248="","",VLOOKUP(P248,引用表合并!$A:$B,2,FALSE))</f>
        <v/>
      </c>
      <c r="P248" s="17"/>
      <c r="Q248" s="8"/>
      <c r="S248" s="8" t="str">
        <f>IF(T248="","",VLOOKUP(T248,引用表合并!$A:$B,2,FALSE))</f>
        <v/>
      </c>
      <c r="T248" s="17"/>
      <c r="U248" s="8"/>
      <c r="W248" s="8" t="str">
        <f>IF(X248="","",VLOOKUP(X248,引用表合并!$A:$B,2,FALSE))</f>
        <v/>
      </c>
      <c r="X248" s="17"/>
      <c r="Y248" s="8"/>
      <c r="AA248" s="8" t="str">
        <f>IF(AB248="","",VLOOKUP(AB248,引用表合并!$A:$B,2,FALSE))</f>
        <v/>
      </c>
      <c r="AB248" s="17"/>
      <c r="AC248" s="8"/>
      <c r="AE248" s="8" t="str">
        <f>IF(AF248="","",VLOOKUP(AF248,引用表合并!$A:$B,2,FALSE))</f>
        <v/>
      </c>
      <c r="AF248" s="17"/>
      <c r="AG248" s="8"/>
      <c r="AI248" s="8" t="str">
        <f>IF(AJ248="","",VLOOKUP(AJ248,引用表合并!$A:$B,2,FALSE))</f>
        <v/>
      </c>
      <c r="AJ248" s="17"/>
      <c r="AK248" s="8"/>
      <c r="AM248" s="8" t="str">
        <f>IF(AN248="","",VLOOKUP(AN248,引用表合并!$A:$B,2,FALSE))</f>
        <v/>
      </c>
      <c r="AN248" s="17"/>
      <c r="AO248" s="8"/>
      <c r="AQ248" s="8" t="str">
        <f>IF(AR248="","",VLOOKUP(AR248,引用表合并!$A:$B,2,FALSE))</f>
        <v/>
      </c>
      <c r="AR248" s="17"/>
      <c r="AS248" s="8"/>
      <c r="AU248" s="8" t="str">
        <f>IF(AV248="","",VLOOKUP(AV248,引用表合并!$A:$B,2,FALSE))</f>
        <v/>
      </c>
      <c r="AV248" s="17"/>
      <c r="AW248" s="8"/>
      <c r="AY248" s="8" t="str">
        <f>IF(AZ248="","",VLOOKUP(AZ248,引用表合并!$A:$B,2,FALSE))</f>
        <v/>
      </c>
      <c r="AZ248" s="17"/>
      <c r="BA248" s="8"/>
      <c r="BC248" s="8" t="str">
        <f>IF(BD248="","",VLOOKUP(BD248,引用表合并!$A:$B,2,FALSE))</f>
        <v/>
      </c>
      <c r="BD248" s="17"/>
      <c r="BF248" s="10"/>
      <c r="BG248" s="8" t="str">
        <f>IF(BH248="","",VLOOKUP(BH248,引用表合并!$A:$B,2,FALSE))</f>
        <v/>
      </c>
      <c r="BH248" s="17"/>
      <c r="BJ248" s="10"/>
      <c r="BK248" s="8" t="str">
        <f>IF(BL248="","",VLOOKUP(BL248,引用表合并!$A:$B,2,FALSE))</f>
        <v/>
      </c>
      <c r="BL248" s="17"/>
      <c r="BN248" s="10"/>
    </row>
    <row r="249" spans="1:66" x14ac:dyDescent="0.15">
      <c r="A249" s="8">
        <v>200006</v>
      </c>
      <c r="B249" s="8" t="str">
        <f>"连续登陆第"&amp;[2]D_7天登陆!A7&amp;"天"</f>
        <v>连续登陆第6天</v>
      </c>
      <c r="C249" s="8">
        <v>0</v>
      </c>
      <c r="D249" s="8">
        <f t="shared" si="26"/>
        <v>0</v>
      </c>
      <c r="E249" s="16">
        <f t="shared" si="28"/>
        <v>0</v>
      </c>
      <c r="F249" s="16">
        <f t="shared" si="27"/>
        <v>0</v>
      </c>
      <c r="G249" s="8" t="str">
        <f>IF(H249="","",VLOOKUP(H249,引用表合并!$A:$B,2,FALSE))</f>
        <v/>
      </c>
      <c r="K249" s="8" t="str">
        <f>IF(L249="","",VLOOKUP(L249,引用表合并!$A:$B,2,FALSE))</f>
        <v/>
      </c>
      <c r="L249" s="8"/>
      <c r="M249" s="8"/>
      <c r="O249" s="8" t="str">
        <f>IF(P249="","",VLOOKUP(P249,引用表合并!$A:$B,2,FALSE))</f>
        <v/>
      </c>
      <c r="P249" s="8"/>
      <c r="Q249" s="8"/>
      <c r="S249" s="8" t="str">
        <f>IF(T249="","",VLOOKUP(T249,引用表合并!$A:$B,2,FALSE))</f>
        <v/>
      </c>
      <c r="T249" s="46"/>
      <c r="U249" s="46"/>
      <c r="V249" s="46"/>
      <c r="W249" s="8" t="str">
        <f>IF(X249="","",VLOOKUP(X249,引用表合并!$A:$B,2,FALSE))</f>
        <v/>
      </c>
      <c r="X249" s="8"/>
      <c r="Y249" s="8"/>
      <c r="AA249" s="8" t="str">
        <f>IF(AB249="","",VLOOKUP(AB249,引用表合并!$A:$B,2,FALSE))</f>
        <v/>
      </c>
      <c r="AB249" s="8"/>
      <c r="AC249" s="8"/>
      <c r="AE249" s="8" t="str">
        <f>IF(AF249="","",VLOOKUP(AF249,引用表合并!$A:$B,2,FALSE))</f>
        <v/>
      </c>
      <c r="AF249" s="8"/>
      <c r="AG249" s="8"/>
      <c r="AI249" s="8" t="str">
        <f>IF(AJ249="","",VLOOKUP(AJ249,引用表合并!$A:$B,2,FALSE))</f>
        <v/>
      </c>
      <c r="AJ249" s="8"/>
      <c r="AK249" s="8"/>
      <c r="AM249" s="8" t="str">
        <f>IF(AN249="","",VLOOKUP(AN249,引用表合并!$A:$B,2,FALSE))</f>
        <v/>
      </c>
      <c r="AN249" s="8"/>
      <c r="AO249" s="8"/>
      <c r="AQ249" s="8" t="str">
        <f>IF(AR249="","",VLOOKUP(AR249,引用表合并!$A:$B,2,FALSE))</f>
        <v/>
      </c>
      <c r="AR249" s="8"/>
      <c r="AS249" s="8"/>
      <c r="AU249" s="8" t="str">
        <f>IF(AV249="","",VLOOKUP(AV249,引用表合并!$A:$B,2,FALSE))</f>
        <v/>
      </c>
      <c r="AV249" s="8"/>
      <c r="AW249" s="8"/>
      <c r="AY249" s="8" t="str">
        <f>IF(AZ249="","",VLOOKUP(AZ249,引用表合并!$A:$B,2,FALSE))</f>
        <v/>
      </c>
      <c r="AZ249" s="8"/>
      <c r="BA249" s="8"/>
      <c r="BC249" s="8" t="str">
        <f>IF(BD249="","",VLOOKUP(BD249,引用表合并!$A:$B,2,FALSE))</f>
        <v/>
      </c>
      <c r="BD249" s="8"/>
      <c r="BF249" s="10"/>
      <c r="BG249" s="8" t="str">
        <f>IF(BH249="","",VLOOKUP(BH249,引用表合并!$A:$B,2,FALSE))</f>
        <v/>
      </c>
      <c r="BH249" s="8"/>
      <c r="BJ249" s="10"/>
      <c r="BK249" s="8" t="str">
        <f>IF(BL249="","",VLOOKUP(BL249,引用表合并!$A:$B,2,FALSE))</f>
        <v/>
      </c>
      <c r="BL249" s="8"/>
      <c r="BN249" s="10"/>
    </row>
    <row r="250" spans="1:66" x14ac:dyDescent="0.15">
      <c r="A250" s="8">
        <v>200007</v>
      </c>
      <c r="B250" s="8" t="str">
        <f>"连续登陆第"&amp;[2]D_7天登陆!A8&amp;"天"</f>
        <v>连续登陆第7天</v>
      </c>
      <c r="C250" s="8">
        <v>0</v>
      </c>
      <c r="D250" s="8">
        <f t="shared" si="26"/>
        <v>1</v>
      </c>
      <c r="E250" s="16">
        <f t="shared" si="28"/>
        <v>1</v>
      </c>
      <c r="F250" s="16">
        <f t="shared" si="27"/>
        <v>1</v>
      </c>
      <c r="G250" s="8" t="str">
        <f>IF(H250="","",VLOOKUP(H250,引用表合并!$A:$B,2,FALSE))</f>
        <v>乌鸦</v>
      </c>
      <c r="H250" s="8">
        <v>101110</v>
      </c>
      <c r="I250" s="8">
        <v>1</v>
      </c>
      <c r="J250" s="10">
        <v>10000</v>
      </c>
      <c r="K250" s="8" t="str">
        <f>IF(L250="","",VLOOKUP(L250,引用表合并!$A:$B,2,FALSE))</f>
        <v/>
      </c>
      <c r="L250"/>
      <c r="M250" s="8"/>
      <c r="O250" s="8" t="str">
        <f>IF(P250="","",VLOOKUP(P250,引用表合并!$A:$B,2,FALSE))</f>
        <v/>
      </c>
      <c r="P250" s="8"/>
      <c r="Q250" s="8"/>
      <c r="S250" s="8" t="str">
        <f>IF(T250="","",VLOOKUP(T250,引用表合并!$A:$B,2,FALSE))</f>
        <v/>
      </c>
      <c r="T250" s="8"/>
      <c r="U250" s="8"/>
      <c r="W250" s="8" t="str">
        <f>IF(X250="","",VLOOKUP(X250,引用表合并!$A:$B,2,FALSE))</f>
        <v/>
      </c>
      <c r="X250" s="8"/>
      <c r="Y250" s="8"/>
      <c r="AA250" s="8" t="str">
        <f>IF(AB250="","",VLOOKUP(AB250,引用表合并!$A:$B,2,FALSE))</f>
        <v/>
      </c>
      <c r="AB250" s="8"/>
      <c r="AC250" s="8"/>
      <c r="AE250" s="8" t="str">
        <f>IF(AF250="","",VLOOKUP(AF250,引用表合并!$A:$B,2,FALSE))</f>
        <v/>
      </c>
      <c r="AF250" s="8"/>
      <c r="AG250" s="8"/>
      <c r="AI250" s="8" t="str">
        <f>IF(AJ250="","",VLOOKUP(AJ250,引用表合并!$A:$B,2,FALSE))</f>
        <v/>
      </c>
      <c r="AJ250" s="8"/>
      <c r="AK250" s="8"/>
      <c r="AM250" s="8" t="str">
        <f>IF(AN250="","",VLOOKUP(AN250,引用表合并!$A:$B,2,FALSE))</f>
        <v/>
      </c>
      <c r="AN250" s="8"/>
      <c r="AO250" s="8"/>
      <c r="AQ250" s="8" t="str">
        <f>IF(AR250="","",VLOOKUP(AR250,引用表合并!$A:$B,2,FALSE))</f>
        <v/>
      </c>
      <c r="AR250" s="8"/>
      <c r="AS250" s="8"/>
      <c r="AU250" s="8" t="str">
        <f>IF(AV250="","",VLOOKUP(AV250,引用表合并!$A:$B,2,FALSE))</f>
        <v/>
      </c>
      <c r="AV250" s="8"/>
      <c r="AW250" s="8"/>
      <c r="AY250" s="8" t="str">
        <f>IF(AZ250="","",VLOOKUP(AZ250,引用表合并!$A:$B,2,FALSE))</f>
        <v/>
      </c>
      <c r="AZ250" s="8"/>
      <c r="BA250" s="8"/>
      <c r="BC250" s="8" t="str">
        <f>IF(BD250="","",VLOOKUP(BD250,引用表合并!$A:$B,2,FALSE))</f>
        <v/>
      </c>
      <c r="BD250" s="8"/>
      <c r="BF250" s="10"/>
      <c r="BG250" s="8" t="str">
        <f>IF(BH250="","",VLOOKUP(BH250,引用表合并!$A:$B,2,FALSE))</f>
        <v/>
      </c>
      <c r="BH250" s="8"/>
      <c r="BJ250" s="10"/>
      <c r="BK250" s="8" t="str">
        <f>IF(BL250="","",VLOOKUP(BL250,引用表合并!$A:$B,2,FALSE))</f>
        <v/>
      </c>
      <c r="BL250" s="8"/>
      <c r="BN250" s="10"/>
    </row>
    <row r="251" spans="1:66" x14ac:dyDescent="0.15">
      <c r="A251" s="8">
        <v>300001</v>
      </c>
      <c r="B251" s="8" t="str">
        <f>"VIP免费礼包"&amp;RIGHT(A251,2)</f>
        <v>VIP免费礼包01</v>
      </c>
      <c r="C251" s="8">
        <v>0</v>
      </c>
      <c r="D251" s="8">
        <f t="shared" si="26"/>
        <v>4</v>
      </c>
      <c r="E251" s="16">
        <f t="shared" si="28"/>
        <v>4</v>
      </c>
      <c r="F251" s="16">
        <f t="shared" si="27"/>
        <v>4</v>
      </c>
      <c r="G251" s="8" t="str">
        <f>IF(H251="","",VLOOKUP(H251,引用表合并!$A:$B,2,FALSE))</f>
        <v>野性项链</v>
      </c>
      <c r="H251" s="46">
        <f>[3]VIP礼包奖辅助表!D17</f>
        <v>53104</v>
      </c>
      <c r="I251" s="46">
        <f>[3]VIP礼包奖辅助表!E17</f>
        <v>1</v>
      </c>
      <c r="J251" s="46">
        <v>10000</v>
      </c>
      <c r="K251" s="8" t="str">
        <f>IF(L251="","",VLOOKUP(L251,引用表合并!$A:$B,2,FALSE))</f>
        <v>马仔经验药水</v>
      </c>
      <c r="L251" s="8">
        <f>[3]VIP礼包奖辅助表!H17</f>
        <v>91100</v>
      </c>
      <c r="M251" s="8">
        <f>[3]VIP礼包奖辅助表!I17</f>
        <v>5</v>
      </c>
      <c r="N251" s="10">
        <v>10000</v>
      </c>
      <c r="O251" s="8" t="str">
        <f>IF(P251="","",VLOOKUP(P251,引用表合并!$A:$B,2,FALSE))</f>
        <v>初级升星石</v>
      </c>
      <c r="P251" s="8">
        <f>[3]VIP礼包奖辅助表!L17</f>
        <v>70101</v>
      </c>
      <c r="Q251" s="8">
        <f>[3]VIP礼包奖辅助表!M17</f>
        <v>5</v>
      </c>
      <c r="R251" s="10">
        <v>10000</v>
      </c>
      <c r="S251" s="8" t="str">
        <f>IF(T251="","",VLOOKUP(T251,引用表合并!$A:$B,2,FALSE))</f>
        <v>金币卡(1万)</v>
      </c>
      <c r="T251" s="8">
        <f>[3]VIP礼包奖辅助表!P17</f>
        <v>82100</v>
      </c>
      <c r="U251" s="8">
        <f>[3]VIP礼包奖辅助表!Q17</f>
        <v>1</v>
      </c>
      <c r="V251" s="10">
        <v>10000</v>
      </c>
      <c r="W251" s="8" t="str">
        <f>IF(X251="","",VLOOKUP(X251,引用表合并!$A:$B,2,FALSE))</f>
        <v/>
      </c>
      <c r="X251" s="8"/>
      <c r="Y251" s="8"/>
      <c r="AA251" s="8" t="str">
        <f>IF(AB251="","",VLOOKUP(AB251,引用表合并!$A:$B,2,FALSE))</f>
        <v/>
      </c>
      <c r="AB251" s="8"/>
      <c r="AC251" s="8"/>
      <c r="AE251" s="8" t="str">
        <f>IF(AF251="","",VLOOKUP(AF251,引用表合并!$A:$B,2,FALSE))</f>
        <v/>
      </c>
      <c r="AF251" s="8"/>
      <c r="AG251" s="8"/>
      <c r="AI251" s="8" t="str">
        <f>IF(AJ251="","",VLOOKUP(AJ251,引用表合并!$A:$B,2,FALSE))</f>
        <v/>
      </c>
      <c r="AJ251" s="8"/>
      <c r="AK251" s="8"/>
      <c r="AM251" s="8" t="str">
        <f>IF(AN251="","",VLOOKUP(AN251,引用表合并!$A:$B,2,FALSE))</f>
        <v/>
      </c>
      <c r="AN251" s="8"/>
      <c r="AO251" s="8"/>
      <c r="AQ251" s="8" t="str">
        <f>IF(AR251="","",VLOOKUP(AR251,引用表合并!$A:$B,2,FALSE))</f>
        <v/>
      </c>
      <c r="AR251" s="8"/>
      <c r="AS251" s="8"/>
      <c r="AU251" s="8" t="str">
        <f>IF(AV251="","",VLOOKUP(AV251,引用表合并!$A:$B,2,FALSE))</f>
        <v/>
      </c>
      <c r="AV251" s="8"/>
      <c r="AW251" s="8"/>
      <c r="AY251" s="8" t="str">
        <f>IF(AZ251="","",VLOOKUP(AZ251,引用表合并!$A:$B,2,FALSE))</f>
        <v/>
      </c>
      <c r="AZ251" s="8"/>
      <c r="BA251" s="8"/>
      <c r="BC251" s="8" t="str">
        <f>IF(BD251="","",VLOOKUP(BD251,引用表合并!$A:$B,2,FALSE))</f>
        <v/>
      </c>
      <c r="BD251" s="8"/>
      <c r="BF251" s="10"/>
      <c r="BG251" s="8" t="str">
        <f>IF(BH251="","",VLOOKUP(BH251,引用表合并!$A:$B,2,FALSE))</f>
        <v/>
      </c>
      <c r="BH251" s="8"/>
      <c r="BJ251" s="10"/>
      <c r="BK251" s="8" t="str">
        <f>IF(BL251="","",VLOOKUP(BL251,引用表合并!$A:$B,2,FALSE))</f>
        <v/>
      </c>
      <c r="BL251" s="8"/>
      <c r="BN251" s="10"/>
    </row>
    <row r="252" spans="1:66" x14ac:dyDescent="0.15">
      <c r="A252" s="8">
        <v>300002</v>
      </c>
      <c r="B252" s="8" t="str">
        <f t="shared" ref="B252:B260" si="44">"VIP免费礼包"&amp;RIGHT(A252,2)</f>
        <v>VIP免费礼包02</v>
      </c>
      <c r="C252" s="8">
        <v>0</v>
      </c>
      <c r="D252" s="8">
        <f t="shared" si="26"/>
        <v>4</v>
      </c>
      <c r="E252" s="16">
        <f t="shared" si="28"/>
        <v>4</v>
      </c>
      <c r="F252" s="16">
        <f t="shared" si="27"/>
        <v>4</v>
      </c>
      <c r="G252" s="8" t="str">
        <f>IF(H252="","",VLOOKUP(H252,引用表合并!$A:$B,2,FALSE))</f>
        <v>中级体力药水</v>
      </c>
      <c r="H252" s="46">
        <f>[3]VIP礼包奖辅助表!D18</f>
        <v>89200</v>
      </c>
      <c r="I252" s="46">
        <f>[3]VIP礼包奖辅助表!E18</f>
        <v>1</v>
      </c>
      <c r="J252" s="10">
        <v>10000</v>
      </c>
      <c r="K252" s="8" t="str">
        <f>IF(L252="","",VLOOKUP(L252,引用表合并!$A:$B,2,FALSE))</f>
        <v>马仔经验药水</v>
      </c>
      <c r="L252" s="8">
        <f>[3]VIP礼包奖辅助表!H18</f>
        <v>91100</v>
      </c>
      <c r="M252" s="8">
        <f>[3]VIP礼包奖辅助表!I18</f>
        <v>10</v>
      </c>
      <c r="N252" s="10">
        <v>10000</v>
      </c>
      <c r="O252" s="8" t="str">
        <f>IF(P252="","",VLOOKUP(P252,引用表合并!$A:$B,2,FALSE))</f>
        <v>初级升星石</v>
      </c>
      <c r="P252" s="8">
        <f>[3]VIP礼包奖辅助表!L18</f>
        <v>70101</v>
      </c>
      <c r="Q252" s="8">
        <f>[3]VIP礼包奖辅助表!M18</f>
        <v>10</v>
      </c>
      <c r="R252" s="10">
        <v>10000</v>
      </c>
      <c r="S252" s="8" t="str">
        <f>IF(T252="","",VLOOKUP(T252,引用表合并!$A:$B,2,FALSE))</f>
        <v>金币卡(1万)</v>
      </c>
      <c r="T252" s="8">
        <f>[3]VIP礼包奖辅助表!P18</f>
        <v>82100</v>
      </c>
      <c r="U252" s="8">
        <f>[3]VIP礼包奖辅助表!Q18</f>
        <v>1</v>
      </c>
      <c r="V252" s="10">
        <v>10000</v>
      </c>
      <c r="W252" s="8" t="str">
        <f>IF(X252="","",VLOOKUP(X252,引用表合并!$A:$B,2,FALSE))</f>
        <v/>
      </c>
      <c r="X252" s="8"/>
      <c r="Y252" s="8"/>
      <c r="AA252" s="8" t="str">
        <f>IF(AB252="","",VLOOKUP(AB252,引用表合并!$A:$B,2,FALSE))</f>
        <v/>
      </c>
      <c r="AB252" s="8"/>
      <c r="AC252" s="8"/>
      <c r="AE252" s="8" t="str">
        <f>IF(AF252="","",VLOOKUP(AF252,引用表合并!$A:$B,2,FALSE))</f>
        <v/>
      </c>
      <c r="AF252" s="8"/>
      <c r="AG252" s="8"/>
      <c r="AI252" s="8" t="str">
        <f>IF(AJ252="","",VLOOKUP(AJ252,引用表合并!$A:$B,2,FALSE))</f>
        <v/>
      </c>
      <c r="AJ252" s="8"/>
      <c r="AK252" s="8"/>
      <c r="AM252" s="8" t="str">
        <f>IF(AN252="","",VLOOKUP(AN252,引用表合并!$A:$B,2,FALSE))</f>
        <v/>
      </c>
      <c r="AN252" s="8"/>
      <c r="AO252" s="8"/>
      <c r="AQ252" s="8" t="str">
        <f>IF(AR252="","",VLOOKUP(AR252,引用表合并!$A:$B,2,FALSE))</f>
        <v/>
      </c>
      <c r="AR252" s="8"/>
      <c r="AS252" s="8"/>
      <c r="AU252" s="8" t="str">
        <f>IF(AV252="","",VLOOKUP(AV252,引用表合并!$A:$B,2,FALSE))</f>
        <v/>
      </c>
      <c r="AV252" s="8"/>
      <c r="AW252" s="8"/>
      <c r="AY252" s="8" t="str">
        <f>IF(AZ252="","",VLOOKUP(AZ252,引用表合并!$A:$B,2,FALSE))</f>
        <v/>
      </c>
      <c r="AZ252" s="8"/>
      <c r="BA252" s="8"/>
      <c r="BC252" s="8" t="str">
        <f>IF(BD252="","",VLOOKUP(BD252,引用表合并!$A:$B,2,FALSE))</f>
        <v/>
      </c>
      <c r="BD252" s="8"/>
      <c r="BF252" s="10"/>
      <c r="BG252" s="8" t="str">
        <f>IF(BH252="","",VLOOKUP(BH252,引用表合并!$A:$B,2,FALSE))</f>
        <v/>
      </c>
      <c r="BH252" s="8"/>
      <c r="BJ252" s="10"/>
      <c r="BK252" s="8" t="str">
        <f>IF(BL252="","",VLOOKUP(BL252,引用表合并!$A:$B,2,FALSE))</f>
        <v/>
      </c>
      <c r="BL252" s="8"/>
      <c r="BN252" s="10"/>
    </row>
    <row r="253" spans="1:66" x14ac:dyDescent="0.15">
      <c r="A253" s="8">
        <v>300003</v>
      </c>
      <c r="B253" s="8" t="str">
        <f t="shared" si="44"/>
        <v>VIP免费礼包03</v>
      </c>
      <c r="C253" s="8">
        <v>0</v>
      </c>
      <c r="D253" s="8">
        <f t="shared" si="26"/>
        <v>4</v>
      </c>
      <c r="E253" s="16">
        <f t="shared" si="28"/>
        <v>4</v>
      </c>
      <c r="F253" s="16">
        <f t="shared" si="27"/>
        <v>4</v>
      </c>
      <c r="G253" s="8" t="str">
        <f>IF(H253="","",VLOOKUP(H253,引用表合并!$A:$B,2,FALSE))</f>
        <v>高级装备升级石</v>
      </c>
      <c r="H253" s="46">
        <f>[3]VIP礼包奖辅助表!D19</f>
        <v>85200</v>
      </c>
      <c r="I253" s="46">
        <f>[3]VIP礼包奖辅助表!E19</f>
        <v>12</v>
      </c>
      <c r="J253" s="10">
        <v>10000</v>
      </c>
      <c r="K253" s="8" t="str">
        <f>IF(L253="","",VLOOKUP(L253,引用表合并!$A:$B,2,FALSE))</f>
        <v>马仔经验药水</v>
      </c>
      <c r="L253" s="8">
        <f>[3]VIP礼包奖辅助表!H19</f>
        <v>91100</v>
      </c>
      <c r="M253" s="8">
        <f>[3]VIP礼包奖辅助表!I19</f>
        <v>15</v>
      </c>
      <c r="N253" s="10">
        <v>10000</v>
      </c>
      <c r="O253" s="8" t="str">
        <f>IF(P253="","",VLOOKUP(P253,引用表合并!$A:$B,2,FALSE))</f>
        <v>初级升星石</v>
      </c>
      <c r="P253" s="8">
        <f>[3]VIP礼包奖辅助表!L19</f>
        <v>70101</v>
      </c>
      <c r="Q253" s="8">
        <f>[3]VIP礼包奖辅助表!M19</f>
        <v>20</v>
      </c>
      <c r="R253" s="10">
        <v>10000</v>
      </c>
      <c r="S253" s="8" t="str">
        <f>IF(T253="","",VLOOKUP(T253,引用表合并!$A:$B,2,FALSE))</f>
        <v>金币卡(1万)</v>
      </c>
      <c r="T253" s="8">
        <f>[3]VIP礼包奖辅助表!P19</f>
        <v>82100</v>
      </c>
      <c r="U253" s="8">
        <f>[3]VIP礼包奖辅助表!Q19</f>
        <v>1</v>
      </c>
      <c r="V253" s="10">
        <v>10000</v>
      </c>
      <c r="W253" s="8" t="str">
        <f>IF(X253="","",VLOOKUP(X253,引用表合并!$A:$B,2,FALSE))</f>
        <v/>
      </c>
      <c r="X253" s="8"/>
      <c r="Y253" s="8"/>
      <c r="AA253" s="8" t="str">
        <f>IF(AB253="","",VLOOKUP(AB253,引用表合并!$A:$B,2,FALSE))</f>
        <v/>
      </c>
      <c r="AB253" s="8"/>
      <c r="AC253" s="8"/>
      <c r="AE253" s="8" t="str">
        <f>IF(AF253="","",VLOOKUP(AF253,引用表合并!$A:$B,2,FALSE))</f>
        <v/>
      </c>
      <c r="AF253" s="8"/>
      <c r="AG253" s="8"/>
      <c r="AI253" s="8" t="str">
        <f>IF(AJ253="","",VLOOKUP(AJ253,引用表合并!$A:$B,2,FALSE))</f>
        <v/>
      </c>
      <c r="AJ253" s="8"/>
      <c r="AK253" s="8"/>
      <c r="AM253" s="8" t="str">
        <f>IF(AN253="","",VLOOKUP(AN253,引用表合并!$A:$B,2,FALSE))</f>
        <v/>
      </c>
      <c r="AN253" s="8"/>
      <c r="AO253" s="8"/>
      <c r="AQ253" s="8" t="str">
        <f>IF(AR253="","",VLOOKUP(AR253,引用表合并!$A:$B,2,FALSE))</f>
        <v/>
      </c>
      <c r="AR253" s="8"/>
      <c r="AS253" s="8"/>
      <c r="AU253" s="8" t="str">
        <f>IF(AV253="","",VLOOKUP(AV253,引用表合并!$A:$B,2,FALSE))</f>
        <v/>
      </c>
      <c r="AV253" s="8"/>
      <c r="AW253" s="8"/>
      <c r="AY253" s="8" t="str">
        <f>IF(AZ253="","",VLOOKUP(AZ253,引用表合并!$A:$B,2,FALSE))</f>
        <v/>
      </c>
      <c r="AZ253" s="8"/>
      <c r="BA253" s="8"/>
      <c r="BC253" s="8" t="str">
        <f>IF(BD253="","",VLOOKUP(BD253,引用表合并!$A:$B,2,FALSE))</f>
        <v/>
      </c>
      <c r="BD253" s="8"/>
      <c r="BF253" s="10"/>
      <c r="BG253" s="8" t="str">
        <f>IF(BH253="","",VLOOKUP(BH253,引用表合并!$A:$B,2,FALSE))</f>
        <v/>
      </c>
      <c r="BH253" s="8"/>
      <c r="BJ253" s="10"/>
      <c r="BK253" s="8" t="str">
        <f>IF(BL253="","",VLOOKUP(BL253,引用表合并!$A:$B,2,FALSE))</f>
        <v/>
      </c>
      <c r="BL253" s="8"/>
      <c r="BN253" s="10"/>
    </row>
    <row r="254" spans="1:66" x14ac:dyDescent="0.15">
      <c r="A254" s="8">
        <v>300004</v>
      </c>
      <c r="B254" s="8" t="str">
        <f t="shared" si="44"/>
        <v>VIP免费礼包04</v>
      </c>
      <c r="C254" s="8">
        <v>0</v>
      </c>
      <c r="D254" s="8">
        <f t="shared" si="26"/>
        <v>4</v>
      </c>
      <c r="E254" s="16">
        <f t="shared" si="28"/>
        <v>4</v>
      </c>
      <c r="F254" s="16">
        <f t="shared" si="27"/>
        <v>4</v>
      </c>
      <c r="G254" s="8" t="str">
        <f>IF(H254="","",VLOOKUP(H254,引用表合并!$A:$B,2,FALSE))</f>
        <v>紫云项链</v>
      </c>
      <c r="H254" s="46">
        <f>[3]VIP礼包奖辅助表!D20</f>
        <v>53205</v>
      </c>
      <c r="I254" s="46">
        <f>[3]VIP礼包奖辅助表!E20</f>
        <v>1</v>
      </c>
      <c r="J254" s="10">
        <v>10000</v>
      </c>
      <c r="K254" s="8" t="str">
        <f>IF(L254="","",VLOOKUP(L254,引用表合并!$A:$B,2,FALSE))</f>
        <v>马仔经验药水</v>
      </c>
      <c r="L254" s="8">
        <f>[3]VIP礼包奖辅助表!H20</f>
        <v>91100</v>
      </c>
      <c r="M254" s="8">
        <f>[3]VIP礼包奖辅助表!I20</f>
        <v>20</v>
      </c>
      <c r="N254" s="10">
        <v>10000</v>
      </c>
      <c r="O254" s="8" t="str">
        <f>IF(P254="","",VLOOKUP(P254,引用表合并!$A:$B,2,FALSE))</f>
        <v>中级升星石</v>
      </c>
      <c r="P254" s="8">
        <f>[3]VIP礼包奖辅助表!L20</f>
        <v>70201</v>
      </c>
      <c r="Q254" s="8">
        <f>[3]VIP礼包奖辅助表!M20</f>
        <v>5</v>
      </c>
      <c r="R254" s="10">
        <v>10000</v>
      </c>
      <c r="S254" s="8" t="str">
        <f>IF(T254="","",VLOOKUP(T254,引用表合并!$A:$B,2,FALSE))</f>
        <v>金币卡(2万)</v>
      </c>
      <c r="T254" s="8">
        <f>[3]VIP礼包奖辅助表!P20</f>
        <v>82200</v>
      </c>
      <c r="U254" s="8">
        <f>[3]VIP礼包奖辅助表!Q20</f>
        <v>1</v>
      </c>
      <c r="V254" s="10">
        <v>10000</v>
      </c>
      <c r="W254" s="8" t="str">
        <f>IF(X254="","",VLOOKUP(X254,引用表合并!$A:$B,2,FALSE))</f>
        <v/>
      </c>
      <c r="X254" s="8"/>
      <c r="Y254" s="8"/>
      <c r="AA254" s="8" t="str">
        <f>IF(AB254="","",VLOOKUP(AB254,引用表合并!$A:$B,2,FALSE))</f>
        <v/>
      </c>
      <c r="AB254" s="8"/>
      <c r="AC254" s="8"/>
      <c r="AE254" s="8" t="str">
        <f>IF(AF254="","",VLOOKUP(AF254,引用表合并!$A:$B,2,FALSE))</f>
        <v/>
      </c>
      <c r="AF254" s="8"/>
      <c r="AG254" s="8"/>
      <c r="AI254" s="8" t="str">
        <f>IF(AJ254="","",VLOOKUP(AJ254,引用表合并!$A:$B,2,FALSE))</f>
        <v/>
      </c>
      <c r="AJ254" s="8"/>
      <c r="AK254" s="8"/>
      <c r="AM254" s="8" t="str">
        <f>IF(AN254="","",VLOOKUP(AN254,引用表合并!$A:$B,2,FALSE))</f>
        <v/>
      </c>
      <c r="AN254" s="8"/>
      <c r="AO254" s="8"/>
      <c r="AQ254" s="8" t="str">
        <f>IF(AR254="","",VLOOKUP(AR254,引用表合并!$A:$B,2,FALSE))</f>
        <v/>
      </c>
      <c r="AR254" s="8"/>
      <c r="AS254" s="8"/>
      <c r="AU254" s="8" t="str">
        <f>IF(AV254="","",VLOOKUP(AV254,引用表合并!$A:$B,2,FALSE))</f>
        <v/>
      </c>
      <c r="AV254" s="8"/>
      <c r="AW254" s="8"/>
      <c r="AY254" s="8" t="str">
        <f>IF(AZ254="","",VLOOKUP(AZ254,引用表合并!$A:$B,2,FALSE))</f>
        <v/>
      </c>
      <c r="AZ254" s="8"/>
      <c r="BA254" s="8"/>
      <c r="BC254" s="8" t="str">
        <f>IF(BD254="","",VLOOKUP(BD254,引用表合并!$A:$B,2,FALSE))</f>
        <v/>
      </c>
      <c r="BD254" s="8"/>
      <c r="BF254" s="10"/>
      <c r="BG254" s="8" t="str">
        <f>IF(BH254="","",VLOOKUP(BH254,引用表合并!$A:$B,2,FALSE))</f>
        <v/>
      </c>
      <c r="BH254" s="8"/>
      <c r="BJ254" s="10"/>
      <c r="BK254" s="8" t="str">
        <f>IF(BL254="","",VLOOKUP(BL254,引用表合并!$A:$B,2,FALSE))</f>
        <v/>
      </c>
      <c r="BL254" s="8"/>
      <c r="BN254" s="10"/>
    </row>
    <row r="255" spans="1:66" x14ac:dyDescent="0.15">
      <c r="A255" s="8">
        <v>300005</v>
      </c>
      <c r="B255" s="8" t="str">
        <f t="shared" si="44"/>
        <v>VIP免费礼包05</v>
      </c>
      <c r="C255" s="8">
        <v>0</v>
      </c>
      <c r="D255" s="8">
        <f t="shared" si="26"/>
        <v>4</v>
      </c>
      <c r="E255" s="16">
        <f t="shared" si="28"/>
        <v>4</v>
      </c>
      <c r="F255" s="16">
        <f t="shared" si="27"/>
        <v>4</v>
      </c>
      <c r="G255" s="8" t="str">
        <f>IF(H255="","",VLOOKUP(H255,引用表合并!$A:$B,2,FALSE))</f>
        <v>稀有装备升级石</v>
      </c>
      <c r="H255" s="46">
        <f>[3]VIP礼包奖辅助表!D21</f>
        <v>85300</v>
      </c>
      <c r="I255" s="46">
        <f>[3]VIP礼包奖辅助表!E21</f>
        <v>8</v>
      </c>
      <c r="J255" s="10">
        <v>10000</v>
      </c>
      <c r="K255" s="8" t="str">
        <f>IF(L255="","",VLOOKUP(L255,引用表合并!$A:$B,2,FALSE))</f>
        <v>马仔经验合剂</v>
      </c>
      <c r="L255" s="8">
        <f>[3]VIP礼包奖辅助表!H21</f>
        <v>91200</v>
      </c>
      <c r="M255" s="8">
        <f>[3]VIP礼包奖辅助表!I21</f>
        <v>5</v>
      </c>
      <c r="N255" s="10">
        <v>10000</v>
      </c>
      <c r="O255" s="8" t="str">
        <f>IF(P255="","",VLOOKUP(P255,引用表合并!$A:$B,2,FALSE))</f>
        <v>中级升星石</v>
      </c>
      <c r="P255" s="8">
        <f>[3]VIP礼包奖辅助表!L21</f>
        <v>70201</v>
      </c>
      <c r="Q255" s="8">
        <f>[3]VIP礼包奖辅助表!M21</f>
        <v>10</v>
      </c>
      <c r="R255" s="10">
        <v>10000</v>
      </c>
      <c r="S255" s="8" t="str">
        <f>IF(T255="","",VLOOKUP(T255,引用表合并!$A:$B,2,FALSE))</f>
        <v>金币卡(2万)</v>
      </c>
      <c r="T255" s="8">
        <f>[3]VIP礼包奖辅助表!P21</f>
        <v>82200</v>
      </c>
      <c r="U255" s="8">
        <f>[3]VIP礼包奖辅助表!Q21</f>
        <v>1</v>
      </c>
      <c r="V255" s="10">
        <v>10000</v>
      </c>
      <c r="W255" s="8" t="str">
        <f>IF(X255="","",VLOOKUP(X255,引用表合并!$A:$B,2,FALSE))</f>
        <v/>
      </c>
      <c r="X255" s="8"/>
      <c r="Y255" s="8"/>
      <c r="AA255" s="8" t="str">
        <f>IF(AB255="","",VLOOKUP(AB255,引用表合并!$A:$B,2,FALSE))</f>
        <v/>
      </c>
      <c r="AB255" s="8"/>
      <c r="AC255" s="8"/>
      <c r="AE255" s="8" t="str">
        <f>IF(AF255="","",VLOOKUP(AF255,引用表合并!$A:$B,2,FALSE))</f>
        <v/>
      </c>
      <c r="AF255" s="8"/>
      <c r="AG255" s="8"/>
      <c r="AI255" s="8" t="str">
        <f>IF(AJ255="","",VLOOKUP(AJ255,引用表合并!$A:$B,2,FALSE))</f>
        <v/>
      </c>
      <c r="AJ255" s="8"/>
      <c r="AK255" s="8"/>
      <c r="AM255" s="8" t="str">
        <f>IF(AN255="","",VLOOKUP(AN255,引用表合并!$A:$B,2,FALSE))</f>
        <v/>
      </c>
      <c r="AN255" s="8"/>
      <c r="AO255" s="8"/>
      <c r="AQ255" s="8" t="str">
        <f>IF(AR255="","",VLOOKUP(AR255,引用表合并!$A:$B,2,FALSE))</f>
        <v/>
      </c>
      <c r="AR255" s="8"/>
      <c r="AS255" s="8"/>
      <c r="AU255" s="8" t="str">
        <f>IF(AV255="","",VLOOKUP(AV255,引用表合并!$A:$B,2,FALSE))</f>
        <v/>
      </c>
      <c r="AV255" s="8"/>
      <c r="AW255" s="8"/>
      <c r="AY255" s="8" t="str">
        <f>IF(AZ255="","",VLOOKUP(AZ255,引用表合并!$A:$B,2,FALSE))</f>
        <v/>
      </c>
      <c r="AZ255" s="8"/>
      <c r="BA255" s="8"/>
      <c r="BC255" s="8" t="str">
        <f>IF(BD255="","",VLOOKUP(BD255,引用表合并!$A:$B,2,FALSE))</f>
        <v/>
      </c>
      <c r="BD255" s="8"/>
      <c r="BF255" s="10"/>
      <c r="BG255" s="8" t="str">
        <f>IF(BH255="","",VLOOKUP(BH255,引用表合并!$A:$B,2,FALSE))</f>
        <v/>
      </c>
      <c r="BH255" s="8"/>
      <c r="BJ255" s="10"/>
      <c r="BK255" s="8" t="str">
        <f>IF(BL255="","",VLOOKUP(BL255,引用表合并!$A:$B,2,FALSE))</f>
        <v/>
      </c>
      <c r="BL255" s="8"/>
      <c r="BN255" s="10"/>
    </row>
    <row r="256" spans="1:66" x14ac:dyDescent="0.15">
      <c r="A256" s="8">
        <v>300006</v>
      </c>
      <c r="B256" s="8" t="str">
        <f t="shared" si="44"/>
        <v>VIP免费礼包06</v>
      </c>
      <c r="C256" s="8">
        <v>0</v>
      </c>
      <c r="D256" s="8">
        <f t="shared" si="26"/>
        <v>4</v>
      </c>
      <c r="E256" s="16">
        <f t="shared" si="28"/>
        <v>4</v>
      </c>
      <c r="F256" s="16">
        <f t="shared" si="27"/>
        <v>4</v>
      </c>
      <c r="G256" s="8" t="str">
        <f>IF(H256="","",VLOOKUP(H256,引用表合并!$A:$B,2,FALSE))</f>
        <v>高级体力药水</v>
      </c>
      <c r="H256" s="46">
        <f>[3]VIP礼包奖辅助表!D22</f>
        <v>89300</v>
      </c>
      <c r="I256" s="46">
        <f>[3]VIP礼包奖辅助表!E22</f>
        <v>1</v>
      </c>
      <c r="J256" s="10">
        <v>10000</v>
      </c>
      <c r="K256" s="8" t="str">
        <f>IF(L256="","",VLOOKUP(L256,引用表合并!$A:$B,2,FALSE))</f>
        <v>马仔经验合剂</v>
      </c>
      <c r="L256" s="8">
        <f>[3]VIP礼包奖辅助表!H22</f>
        <v>91200</v>
      </c>
      <c r="M256" s="8">
        <f>[3]VIP礼包奖辅助表!I22</f>
        <v>6</v>
      </c>
      <c r="N256" s="10">
        <v>10000</v>
      </c>
      <c r="O256" s="8" t="str">
        <f>IF(P256="","",VLOOKUP(P256,引用表合并!$A:$B,2,FALSE))</f>
        <v>中级升星石</v>
      </c>
      <c r="P256" s="8">
        <f>[3]VIP礼包奖辅助表!L22</f>
        <v>70201</v>
      </c>
      <c r="Q256" s="8">
        <f>[3]VIP礼包奖辅助表!M22</f>
        <v>15</v>
      </c>
      <c r="R256" s="10">
        <v>10000</v>
      </c>
      <c r="S256" s="8" t="str">
        <f>IF(T256="","",VLOOKUP(T256,引用表合并!$A:$B,2,FALSE))</f>
        <v>金币卡(2万)</v>
      </c>
      <c r="T256" s="8">
        <f>[3]VIP礼包奖辅助表!P22</f>
        <v>82200</v>
      </c>
      <c r="U256" s="8">
        <f>[3]VIP礼包奖辅助表!Q22</f>
        <v>1</v>
      </c>
      <c r="V256" s="10">
        <v>10000</v>
      </c>
      <c r="W256" s="8" t="str">
        <f>IF(X256="","",VLOOKUP(X256,引用表合并!$A:$B,2,FALSE))</f>
        <v/>
      </c>
      <c r="X256" s="8"/>
      <c r="Y256" s="8"/>
      <c r="AA256" s="8" t="str">
        <f>IF(AB256="","",VLOOKUP(AB256,引用表合并!$A:$B,2,FALSE))</f>
        <v/>
      </c>
      <c r="AB256" s="8"/>
      <c r="AC256" s="8"/>
      <c r="AE256" s="8" t="str">
        <f>IF(AF256="","",VLOOKUP(AF256,引用表合并!$A:$B,2,FALSE))</f>
        <v/>
      </c>
      <c r="AF256" s="8"/>
      <c r="AG256" s="8"/>
      <c r="AI256" s="8" t="str">
        <f>IF(AJ256="","",VLOOKUP(AJ256,引用表合并!$A:$B,2,FALSE))</f>
        <v/>
      </c>
      <c r="AJ256" s="8"/>
      <c r="AK256" s="8"/>
      <c r="AM256" s="8" t="str">
        <f>IF(AN256="","",VLOOKUP(AN256,引用表合并!$A:$B,2,FALSE))</f>
        <v/>
      </c>
      <c r="AN256" s="8"/>
      <c r="AO256" s="8"/>
      <c r="AQ256" s="8" t="str">
        <f>IF(AR256="","",VLOOKUP(AR256,引用表合并!$A:$B,2,FALSE))</f>
        <v/>
      </c>
      <c r="AR256" s="8"/>
      <c r="AS256" s="8"/>
      <c r="AU256" s="8" t="str">
        <f>IF(AV256="","",VLOOKUP(AV256,引用表合并!$A:$B,2,FALSE))</f>
        <v/>
      </c>
      <c r="AV256" s="8"/>
      <c r="AW256" s="8"/>
      <c r="AY256" s="8" t="str">
        <f>IF(AZ256="","",VLOOKUP(AZ256,引用表合并!$A:$B,2,FALSE))</f>
        <v/>
      </c>
      <c r="AZ256" s="8"/>
      <c r="BA256" s="8"/>
      <c r="BC256" s="8" t="str">
        <f>IF(BD256="","",VLOOKUP(BD256,引用表合并!$A:$B,2,FALSE))</f>
        <v/>
      </c>
      <c r="BD256" s="8"/>
      <c r="BF256" s="10"/>
      <c r="BG256" s="8" t="str">
        <f>IF(BH256="","",VLOOKUP(BH256,引用表合并!$A:$B,2,FALSE))</f>
        <v/>
      </c>
      <c r="BH256" s="8"/>
      <c r="BJ256" s="10"/>
      <c r="BK256" s="8" t="str">
        <f>IF(BL256="","",VLOOKUP(BL256,引用表合并!$A:$B,2,FALSE))</f>
        <v/>
      </c>
      <c r="BL256" s="8"/>
      <c r="BN256" s="10"/>
    </row>
    <row r="257" spans="1:66" x14ac:dyDescent="0.15">
      <c r="A257" s="8">
        <v>300007</v>
      </c>
      <c r="B257" s="8" t="str">
        <f t="shared" si="44"/>
        <v>VIP免费礼包07</v>
      </c>
      <c r="C257" s="8">
        <v>0</v>
      </c>
      <c r="D257" s="8">
        <f t="shared" si="26"/>
        <v>4</v>
      </c>
      <c r="E257" s="16">
        <f t="shared" si="28"/>
        <v>4</v>
      </c>
      <c r="F257" s="16">
        <f t="shared" si="27"/>
        <v>4</v>
      </c>
      <c r="G257" s="8" t="str">
        <f>IF(H257="","",VLOOKUP(H257,引用表合并!$A:$B,2,FALSE))</f>
        <v>稀有装备升级石</v>
      </c>
      <c r="H257" s="46">
        <f>[3]VIP礼包奖辅助表!D23</f>
        <v>85300</v>
      </c>
      <c r="I257" s="46">
        <f>[3]VIP礼包奖辅助表!E23</f>
        <v>12</v>
      </c>
      <c r="J257" s="10">
        <v>10000</v>
      </c>
      <c r="K257" s="8" t="str">
        <f>IF(L257="","",VLOOKUP(L257,引用表合并!$A:$B,2,FALSE))</f>
        <v>马仔经验合剂</v>
      </c>
      <c r="L257" s="8">
        <f>[3]VIP礼包奖辅助表!H23</f>
        <v>91200</v>
      </c>
      <c r="M257" s="8">
        <f>[3]VIP礼包奖辅助表!I23</f>
        <v>8</v>
      </c>
      <c r="N257" s="10">
        <v>10000</v>
      </c>
      <c r="O257" s="8" t="str">
        <f>IF(P257="","",VLOOKUP(P257,引用表合并!$A:$B,2,FALSE))</f>
        <v>中级升星石</v>
      </c>
      <c r="P257" s="8">
        <f>[3]VIP礼包奖辅助表!L23</f>
        <v>70201</v>
      </c>
      <c r="Q257" s="8">
        <f>[3]VIP礼包奖辅助表!M23</f>
        <v>20</v>
      </c>
      <c r="R257" s="10">
        <v>10000</v>
      </c>
      <c r="S257" s="8" t="str">
        <f>IF(T257="","",VLOOKUP(T257,引用表合并!$A:$B,2,FALSE))</f>
        <v>金币卡(5万)</v>
      </c>
      <c r="T257" s="8">
        <f>[3]VIP礼包奖辅助表!P23</f>
        <v>82300</v>
      </c>
      <c r="U257" s="8">
        <f>[3]VIP礼包奖辅助表!Q23</f>
        <v>1</v>
      </c>
      <c r="V257" s="10">
        <v>10000</v>
      </c>
      <c r="W257" s="8" t="str">
        <f>IF(X257="","",VLOOKUP(X257,引用表合并!$A:$B,2,FALSE))</f>
        <v/>
      </c>
      <c r="X257" s="8"/>
      <c r="Y257" s="8"/>
      <c r="AA257" s="8" t="str">
        <f>IF(AB257="","",VLOOKUP(AB257,引用表合并!$A:$B,2,FALSE))</f>
        <v/>
      </c>
      <c r="AB257" s="8"/>
      <c r="AC257" s="8"/>
      <c r="AE257" s="8" t="str">
        <f>IF(AF257="","",VLOOKUP(AF257,引用表合并!$A:$B,2,FALSE))</f>
        <v/>
      </c>
      <c r="AF257" s="8"/>
      <c r="AG257" s="8"/>
      <c r="AI257" s="8" t="str">
        <f>IF(AJ257="","",VLOOKUP(AJ257,引用表合并!$A:$B,2,FALSE))</f>
        <v/>
      </c>
      <c r="AJ257" s="8"/>
      <c r="AK257" s="8"/>
      <c r="AM257" s="8" t="str">
        <f>IF(AN257="","",VLOOKUP(AN257,引用表合并!$A:$B,2,FALSE))</f>
        <v/>
      </c>
      <c r="AN257" s="8"/>
      <c r="AO257" s="8"/>
      <c r="AQ257" s="8" t="str">
        <f>IF(AR257="","",VLOOKUP(AR257,引用表合并!$A:$B,2,FALSE))</f>
        <v/>
      </c>
      <c r="AR257" s="8"/>
      <c r="AS257" s="8"/>
      <c r="AU257" s="8" t="str">
        <f>IF(AV257="","",VLOOKUP(AV257,引用表合并!$A:$B,2,FALSE))</f>
        <v/>
      </c>
      <c r="AV257" s="8"/>
      <c r="AW257" s="8"/>
      <c r="AY257" s="8" t="str">
        <f>IF(AZ257="","",VLOOKUP(AZ257,引用表合并!$A:$B,2,FALSE))</f>
        <v/>
      </c>
      <c r="AZ257" s="8"/>
      <c r="BA257" s="8"/>
      <c r="BC257" s="8" t="str">
        <f>IF(BD257="","",VLOOKUP(BD257,引用表合并!$A:$B,2,FALSE))</f>
        <v/>
      </c>
      <c r="BD257" s="8"/>
      <c r="BF257" s="10"/>
      <c r="BG257" s="8" t="str">
        <f>IF(BH257="","",VLOOKUP(BH257,引用表合并!$A:$B,2,FALSE))</f>
        <v/>
      </c>
      <c r="BH257" s="8"/>
      <c r="BJ257" s="10"/>
      <c r="BK257" s="8" t="str">
        <f>IF(BL257="","",VLOOKUP(BL257,引用表合并!$A:$B,2,FALSE))</f>
        <v/>
      </c>
      <c r="BL257" s="8"/>
      <c r="BN257" s="10"/>
    </row>
    <row r="258" spans="1:66" x14ac:dyDescent="0.15">
      <c r="A258" s="8">
        <v>300008</v>
      </c>
      <c r="B258" s="8" t="str">
        <f t="shared" si="44"/>
        <v>VIP免费礼包08</v>
      </c>
      <c r="C258" s="8">
        <v>0</v>
      </c>
      <c r="D258" s="8">
        <f t="shared" si="26"/>
        <v>4</v>
      </c>
      <c r="E258" s="16">
        <f t="shared" si="28"/>
        <v>4</v>
      </c>
      <c r="F258" s="16">
        <f t="shared" si="27"/>
        <v>4</v>
      </c>
      <c r="G258" s="8" t="str">
        <f>IF(H258="","",VLOOKUP(H258,引用表合并!$A:$B,2,FALSE))</f>
        <v>鎏金项链</v>
      </c>
      <c r="H258" s="46">
        <f>[3]VIP礼包奖辅助表!D24</f>
        <v>53306</v>
      </c>
      <c r="I258" s="46">
        <f>[3]VIP礼包奖辅助表!E24</f>
        <v>1</v>
      </c>
      <c r="J258" s="10">
        <v>10000</v>
      </c>
      <c r="K258" s="8" t="str">
        <f>IF(L258="","",VLOOKUP(L258,引用表合并!$A:$B,2,FALSE))</f>
        <v>马仔经验合剂</v>
      </c>
      <c r="L258" s="8">
        <f>[3]VIP礼包奖辅助表!H24</f>
        <v>91200</v>
      </c>
      <c r="M258" s="8">
        <f>[3]VIP礼包奖辅助表!I24</f>
        <v>10</v>
      </c>
      <c r="N258" s="10">
        <v>10000</v>
      </c>
      <c r="O258" s="8" t="str">
        <f>IF(P258="","",VLOOKUP(P258,引用表合并!$A:$B,2,FALSE))</f>
        <v>高级升星石</v>
      </c>
      <c r="P258" s="8">
        <f>[3]VIP礼包奖辅助表!L24</f>
        <v>70301</v>
      </c>
      <c r="Q258" s="8">
        <f>[3]VIP礼包奖辅助表!M24</f>
        <v>5</v>
      </c>
      <c r="R258" s="10">
        <v>10000</v>
      </c>
      <c r="S258" s="8" t="str">
        <f>IF(T258="","",VLOOKUP(T258,引用表合并!$A:$B,2,FALSE))</f>
        <v>金币卡(5万)</v>
      </c>
      <c r="T258" s="8">
        <f>[3]VIP礼包奖辅助表!P24</f>
        <v>82300</v>
      </c>
      <c r="U258" s="8">
        <f>[3]VIP礼包奖辅助表!Q24</f>
        <v>1</v>
      </c>
      <c r="V258" s="10">
        <v>10000</v>
      </c>
      <c r="W258" s="8" t="str">
        <f>IF(X258="","",VLOOKUP(X258,引用表合并!$A:$B,2,FALSE))</f>
        <v/>
      </c>
      <c r="X258" s="8"/>
      <c r="Y258" s="8"/>
      <c r="AA258" s="8" t="str">
        <f>IF(AB258="","",VLOOKUP(AB258,引用表合并!$A:$B,2,FALSE))</f>
        <v/>
      </c>
      <c r="AB258" s="8"/>
      <c r="AC258" s="8"/>
      <c r="AE258" s="8" t="str">
        <f>IF(AF258="","",VLOOKUP(AF258,引用表合并!$A:$B,2,FALSE))</f>
        <v/>
      </c>
      <c r="AF258" s="8"/>
      <c r="AG258" s="8"/>
      <c r="AI258" s="8" t="str">
        <f>IF(AJ258="","",VLOOKUP(AJ258,引用表合并!$A:$B,2,FALSE))</f>
        <v/>
      </c>
      <c r="AJ258" s="8"/>
      <c r="AK258" s="8"/>
      <c r="AM258" s="8" t="str">
        <f>IF(AN258="","",VLOOKUP(AN258,引用表合并!$A:$B,2,FALSE))</f>
        <v/>
      </c>
      <c r="AN258" s="8"/>
      <c r="AO258" s="8"/>
      <c r="AQ258" s="8" t="str">
        <f>IF(AR258="","",VLOOKUP(AR258,引用表合并!$A:$B,2,FALSE))</f>
        <v/>
      </c>
      <c r="AR258" s="8"/>
      <c r="AS258" s="8"/>
      <c r="AU258" s="8" t="str">
        <f>IF(AV258="","",VLOOKUP(AV258,引用表合并!$A:$B,2,FALSE))</f>
        <v/>
      </c>
      <c r="AV258" s="8"/>
      <c r="AW258" s="8"/>
      <c r="AY258" s="8" t="str">
        <f>IF(AZ258="","",VLOOKUP(AZ258,引用表合并!$A:$B,2,FALSE))</f>
        <v/>
      </c>
      <c r="AZ258" s="8"/>
      <c r="BA258" s="8"/>
      <c r="BC258" s="8" t="str">
        <f>IF(BD258="","",VLOOKUP(BD258,引用表合并!$A:$B,2,FALSE))</f>
        <v/>
      </c>
      <c r="BD258" s="8"/>
      <c r="BF258" s="10"/>
      <c r="BG258" s="8" t="str">
        <f>IF(BH258="","",VLOOKUP(BH258,引用表合并!$A:$B,2,FALSE))</f>
        <v/>
      </c>
      <c r="BH258" s="8"/>
      <c r="BJ258" s="10"/>
      <c r="BK258" s="8" t="str">
        <f>IF(BL258="","",VLOOKUP(BL258,引用表合并!$A:$B,2,FALSE))</f>
        <v/>
      </c>
      <c r="BL258" s="8"/>
      <c r="BN258" s="10"/>
    </row>
    <row r="259" spans="1:66" x14ac:dyDescent="0.15">
      <c r="A259" s="8">
        <v>300009</v>
      </c>
      <c r="B259" s="8" t="str">
        <f t="shared" si="44"/>
        <v>VIP免费礼包09</v>
      </c>
      <c r="C259" s="8">
        <v>0</v>
      </c>
      <c r="D259" s="8">
        <f t="shared" si="26"/>
        <v>4</v>
      </c>
      <c r="E259" s="16">
        <f t="shared" si="28"/>
        <v>4</v>
      </c>
      <c r="F259" s="16">
        <f t="shared" ref="F259:F355" si="45">E259</f>
        <v>4</v>
      </c>
      <c r="G259" s="8" t="str">
        <f>IF(H259="","",VLOOKUP(H259,引用表合并!$A:$B,2,FALSE))</f>
        <v>史诗装备升级石</v>
      </c>
      <c r="H259" s="46">
        <f>[3]VIP礼包奖辅助表!D25</f>
        <v>85400</v>
      </c>
      <c r="I259" s="46">
        <f>[3]VIP礼包奖辅助表!E25</f>
        <v>14</v>
      </c>
      <c r="J259" s="10">
        <v>10000</v>
      </c>
      <c r="K259" s="8" t="str">
        <f>IF(L259="","",VLOOKUP(L259,引用表合并!$A:$B,2,FALSE))</f>
        <v>马仔经验甘露</v>
      </c>
      <c r="L259" s="8">
        <f>[3]VIP礼包奖辅助表!H25</f>
        <v>91300</v>
      </c>
      <c r="M259" s="8">
        <f>[3]VIP礼包奖辅助表!I25</f>
        <v>3</v>
      </c>
      <c r="N259" s="10">
        <v>10000</v>
      </c>
      <c r="O259" s="8" t="str">
        <f>IF(P259="","",VLOOKUP(P259,引用表合并!$A:$B,2,FALSE))</f>
        <v>高级升星石</v>
      </c>
      <c r="P259" s="8">
        <f>[3]VIP礼包奖辅助表!L25</f>
        <v>70301</v>
      </c>
      <c r="Q259" s="8">
        <f>[3]VIP礼包奖辅助表!M25</f>
        <v>10</v>
      </c>
      <c r="R259" s="10">
        <v>10000</v>
      </c>
      <c r="S259" s="8" t="str">
        <f>IF(T259="","",VLOOKUP(T259,引用表合并!$A:$B,2,FALSE))</f>
        <v>金币卡(5万)</v>
      </c>
      <c r="T259" s="8">
        <f>[3]VIP礼包奖辅助表!P25</f>
        <v>82300</v>
      </c>
      <c r="U259" s="8">
        <f>[3]VIP礼包奖辅助表!Q25</f>
        <v>1</v>
      </c>
      <c r="V259" s="10">
        <v>10000</v>
      </c>
      <c r="W259" s="8" t="str">
        <f>IF(X259="","",VLOOKUP(X259,引用表合并!$A:$B,2,FALSE))</f>
        <v/>
      </c>
      <c r="X259" s="8"/>
      <c r="Y259" s="8"/>
      <c r="AA259" s="8" t="str">
        <f>IF(AB259="","",VLOOKUP(AB259,引用表合并!$A:$B,2,FALSE))</f>
        <v/>
      </c>
      <c r="AB259" s="8"/>
      <c r="AC259" s="8"/>
      <c r="AE259" s="8" t="str">
        <f>IF(AF259="","",VLOOKUP(AF259,引用表合并!$A:$B,2,FALSE))</f>
        <v/>
      </c>
      <c r="AF259" s="8"/>
      <c r="AG259" s="8"/>
      <c r="AI259" s="8" t="str">
        <f>IF(AJ259="","",VLOOKUP(AJ259,引用表合并!$A:$B,2,FALSE))</f>
        <v/>
      </c>
      <c r="AJ259" s="8"/>
      <c r="AK259" s="8"/>
      <c r="AM259" s="8" t="str">
        <f>IF(AN259="","",VLOOKUP(AN259,引用表合并!$A:$B,2,FALSE))</f>
        <v/>
      </c>
      <c r="AN259" s="8"/>
      <c r="AO259" s="8"/>
      <c r="AQ259" s="8" t="str">
        <f>IF(AR259="","",VLOOKUP(AR259,引用表合并!$A:$B,2,FALSE))</f>
        <v/>
      </c>
      <c r="AR259" s="8"/>
      <c r="AS259" s="8"/>
      <c r="AU259" s="8" t="str">
        <f>IF(AV259="","",VLOOKUP(AV259,引用表合并!$A:$B,2,FALSE))</f>
        <v/>
      </c>
      <c r="AV259" s="8"/>
      <c r="AW259" s="8"/>
      <c r="AY259" s="8" t="str">
        <f>IF(AZ259="","",VLOOKUP(AZ259,引用表合并!$A:$B,2,FALSE))</f>
        <v/>
      </c>
      <c r="AZ259" s="8"/>
      <c r="BA259" s="8"/>
      <c r="BC259" s="8" t="str">
        <f>IF(BD259="","",VLOOKUP(BD259,引用表合并!$A:$B,2,FALSE))</f>
        <v/>
      </c>
      <c r="BD259" s="8"/>
      <c r="BF259" s="10"/>
      <c r="BG259" s="8" t="str">
        <f>IF(BH259="","",VLOOKUP(BH259,引用表合并!$A:$B,2,FALSE))</f>
        <v/>
      </c>
      <c r="BH259" s="8"/>
      <c r="BJ259" s="10"/>
      <c r="BK259" s="8" t="str">
        <f>IF(BL259="","",VLOOKUP(BL259,引用表合并!$A:$B,2,FALSE))</f>
        <v/>
      </c>
      <c r="BL259" s="8"/>
      <c r="BN259" s="10"/>
    </row>
    <row r="260" spans="1:66" x14ac:dyDescent="0.15">
      <c r="A260" s="8">
        <v>300010</v>
      </c>
      <c r="B260" s="8" t="str">
        <f t="shared" si="44"/>
        <v>VIP免费礼包10</v>
      </c>
      <c r="C260" s="8">
        <v>0</v>
      </c>
      <c r="D260" s="8">
        <f t="shared" si="26"/>
        <v>4</v>
      </c>
      <c r="E260" s="16">
        <f t="shared" ref="E260:E339" si="46">COUNTIF(G260:FJ260,"&gt;0")/3</f>
        <v>4</v>
      </c>
      <c r="F260" s="16">
        <f t="shared" si="45"/>
        <v>4</v>
      </c>
      <c r="G260" s="8" t="str">
        <f>IF(H260="","",VLOOKUP(H260,引用表合并!$A:$B,2,FALSE))</f>
        <v>史诗装备升级石</v>
      </c>
      <c r="H260" s="46">
        <f>[3]VIP礼包奖辅助表!D26</f>
        <v>85400</v>
      </c>
      <c r="I260" s="46">
        <f>[3]VIP礼包奖辅助表!E26</f>
        <v>21</v>
      </c>
      <c r="J260" s="10">
        <v>10000</v>
      </c>
      <c r="K260" s="8" t="str">
        <f>IF(L260="","",VLOOKUP(L260,引用表合并!$A:$B,2,FALSE))</f>
        <v>马仔经验甘露</v>
      </c>
      <c r="L260" s="8">
        <f>[3]VIP礼包奖辅助表!H26</f>
        <v>91300</v>
      </c>
      <c r="M260" s="8">
        <f>[3]VIP礼包奖辅助表!I26</f>
        <v>5</v>
      </c>
      <c r="N260" s="10">
        <v>10000</v>
      </c>
      <c r="O260" s="8" t="str">
        <f>IF(P260="","",VLOOKUP(P260,引用表合并!$A:$B,2,FALSE))</f>
        <v>高级升星石</v>
      </c>
      <c r="P260" s="8">
        <f>[3]VIP礼包奖辅助表!L26</f>
        <v>70301</v>
      </c>
      <c r="Q260" s="8">
        <f>[3]VIP礼包奖辅助表!M26</f>
        <v>15</v>
      </c>
      <c r="R260" s="10">
        <v>10000</v>
      </c>
      <c r="S260" s="8" t="str">
        <f>IF(T260="","",VLOOKUP(T260,引用表合并!$A:$B,2,FALSE))</f>
        <v>金币卡(5万)</v>
      </c>
      <c r="T260" s="8">
        <f>[3]VIP礼包奖辅助表!P26</f>
        <v>82300</v>
      </c>
      <c r="U260" s="8">
        <f>[3]VIP礼包奖辅助表!Q26</f>
        <v>1</v>
      </c>
      <c r="V260" s="10">
        <v>10000</v>
      </c>
      <c r="W260" s="8" t="str">
        <f>IF(X260="","",VLOOKUP(X260,引用表合并!$A:$B,2,FALSE))</f>
        <v/>
      </c>
      <c r="X260" s="8"/>
      <c r="Y260" s="8"/>
      <c r="AA260" s="8" t="str">
        <f>IF(AB260="","",VLOOKUP(AB260,引用表合并!$A:$B,2,FALSE))</f>
        <v/>
      </c>
      <c r="AB260" s="8"/>
      <c r="AC260" s="8"/>
      <c r="AE260" s="8" t="str">
        <f>IF(AF260="","",VLOOKUP(AF260,引用表合并!$A:$B,2,FALSE))</f>
        <v/>
      </c>
      <c r="AF260" s="8"/>
      <c r="AG260" s="8"/>
      <c r="AI260" s="8" t="str">
        <f>IF(AJ260="","",VLOOKUP(AJ260,引用表合并!$A:$B,2,FALSE))</f>
        <v/>
      </c>
      <c r="AJ260" s="8"/>
      <c r="AK260" s="8"/>
      <c r="AM260" s="8" t="str">
        <f>IF(AN260="","",VLOOKUP(AN260,引用表合并!$A:$B,2,FALSE))</f>
        <v/>
      </c>
      <c r="AN260" s="8"/>
      <c r="AO260" s="8"/>
      <c r="AQ260" s="8" t="str">
        <f>IF(AR260="","",VLOOKUP(AR260,引用表合并!$A:$B,2,FALSE))</f>
        <v/>
      </c>
      <c r="AR260" s="8"/>
      <c r="AS260" s="8"/>
      <c r="AU260" s="8" t="str">
        <f>IF(AV260="","",VLOOKUP(AV260,引用表合并!$A:$B,2,FALSE))</f>
        <v/>
      </c>
      <c r="AV260" s="8"/>
      <c r="AW260" s="8"/>
      <c r="AY260" s="8" t="str">
        <f>IF(AZ260="","",VLOOKUP(AZ260,引用表合并!$A:$B,2,FALSE))</f>
        <v/>
      </c>
      <c r="AZ260" s="8"/>
      <c r="BA260" s="8"/>
      <c r="BC260" s="8" t="str">
        <f>IF(BD260="","",VLOOKUP(BD260,引用表合并!$A:$B,2,FALSE))</f>
        <v/>
      </c>
      <c r="BD260" s="8"/>
      <c r="BF260" s="10"/>
      <c r="BG260" s="8" t="str">
        <f>IF(BH260="","",VLOOKUP(BH260,引用表合并!$A:$B,2,FALSE))</f>
        <v/>
      </c>
      <c r="BH260" s="8"/>
      <c r="BJ260" s="10"/>
      <c r="BK260" s="8" t="str">
        <f>IF(BL260="","",VLOOKUP(BL260,引用表合并!$A:$B,2,FALSE))</f>
        <v/>
      </c>
      <c r="BL260" s="8"/>
      <c r="BN260" s="10"/>
    </row>
    <row r="261" spans="1:66" s="46" customFormat="1" x14ac:dyDescent="0.15">
      <c r="A261" s="46">
        <v>300101</v>
      </c>
      <c r="B261" s="46" t="str">
        <f>"VIP收费礼包"&amp;RIGHT(A261,2)</f>
        <v>VIP收费礼包01</v>
      </c>
      <c r="C261" s="46">
        <v>0</v>
      </c>
      <c r="D261" s="46">
        <f t="shared" si="26"/>
        <v>4</v>
      </c>
      <c r="E261" s="16">
        <f t="shared" si="46"/>
        <v>4</v>
      </c>
      <c r="F261" s="16">
        <f t="shared" si="45"/>
        <v>4</v>
      </c>
      <c r="G261" s="46" t="str">
        <f>IF(H261="","",VLOOKUP(H261,引用表合并!$A:$B,2,FALSE))</f>
        <v>马仔碎片(比利)</v>
      </c>
      <c r="H261" s="46">
        <f>[3]VIP礼包奖辅助表!D27</f>
        <v>78103</v>
      </c>
      <c r="I261" s="46">
        <f>[3]VIP礼包奖辅助表!E27</f>
        <v>10</v>
      </c>
      <c r="J261" s="46">
        <v>10000</v>
      </c>
      <c r="K261" s="46" t="str">
        <f>IF(L261="","",VLOOKUP(L261,引用表合并!$A:$B,2,FALSE))</f>
        <v>命运石(1万)</v>
      </c>
      <c r="L261" s="8">
        <f>[3]VIP礼包奖辅助表!H27</f>
        <v>80510</v>
      </c>
      <c r="M261" s="8">
        <f>[3]VIP礼包奖辅助表!I27</f>
        <v>2</v>
      </c>
      <c r="N261" s="46">
        <v>10000</v>
      </c>
      <c r="O261" s="46" t="str">
        <f>IF(P261="","",VLOOKUP(P261,引用表合并!$A:$B,2,FALSE))</f>
        <v>部位材料宝箱</v>
      </c>
      <c r="P261" s="8">
        <f>[3]VIP礼包奖辅助表!L27</f>
        <v>86010</v>
      </c>
      <c r="Q261" s="8">
        <f>[3]VIP礼包奖辅助表!M27</f>
        <v>2</v>
      </c>
      <c r="R261" s="46">
        <v>10000</v>
      </c>
      <c r="S261" s="46" t="str">
        <f>IF(T261="","",VLOOKUP(T261,引用表合并!$A:$B,2,FALSE))</f>
        <v>马仔宝物礼包</v>
      </c>
      <c r="T261" s="8">
        <f>[3]VIP礼包奖辅助表!P27</f>
        <v>86110</v>
      </c>
      <c r="U261" s="8">
        <f>[3]VIP礼包奖辅助表!Q27</f>
        <v>1</v>
      </c>
      <c r="V261" s="46">
        <v>10000</v>
      </c>
      <c r="W261" s="46" t="str">
        <f>IF(X261="","",VLOOKUP(X261,引用表合并!$A:$B,2,FALSE))</f>
        <v/>
      </c>
      <c r="AA261" s="46" t="str">
        <f>IF(AB261="","",VLOOKUP(AB261,引用表合并!$A:$B,2,FALSE))</f>
        <v/>
      </c>
      <c r="AE261" s="46" t="str">
        <f>IF(AF261="","",VLOOKUP(AF261,引用表合并!$A:$B,2,FALSE))</f>
        <v/>
      </c>
      <c r="AI261" s="46" t="str">
        <f>IF(AJ261="","",VLOOKUP(AJ261,引用表合并!$A:$B,2,FALSE))</f>
        <v/>
      </c>
      <c r="AM261" s="46" t="str">
        <f>IF(AN261="","",VLOOKUP(AN261,引用表合并!$A:$B,2,FALSE))</f>
        <v/>
      </c>
      <c r="AQ261" s="46" t="str">
        <f>IF(AR261="","",VLOOKUP(AR261,引用表合并!$A:$B,2,FALSE))</f>
        <v/>
      </c>
      <c r="AU261" s="46" t="str">
        <f>IF(AV261="","",VLOOKUP(AV261,引用表合并!$A:$B,2,FALSE))</f>
        <v/>
      </c>
      <c r="AY261" s="46" t="str">
        <f>IF(AZ261="","",VLOOKUP(AZ261,引用表合并!$A:$B,2,FALSE))</f>
        <v/>
      </c>
      <c r="BC261" s="46" t="str">
        <f>IF(BD261="","",VLOOKUP(BD261,引用表合并!$A:$B,2,FALSE))</f>
        <v/>
      </c>
      <c r="BG261" s="46" t="str">
        <f>IF(BH261="","",VLOOKUP(BH261,引用表合并!$A:$B,2,FALSE))</f>
        <v/>
      </c>
      <c r="BK261" s="46" t="str">
        <f>IF(BL261="","",VLOOKUP(BL261,引用表合并!$A:$B,2,FALSE))</f>
        <v/>
      </c>
    </row>
    <row r="262" spans="1:66" s="46" customFormat="1" x14ac:dyDescent="0.15">
      <c r="A262" s="46">
        <v>300102</v>
      </c>
      <c r="B262" s="46" t="str">
        <f t="shared" ref="B262:B270" si="47">"VIP收费礼包"&amp;RIGHT(A262,2)</f>
        <v>VIP收费礼包02</v>
      </c>
      <c r="C262" s="46">
        <v>0</v>
      </c>
      <c r="D262" s="46">
        <f t="shared" si="26"/>
        <v>4</v>
      </c>
      <c r="E262" s="16">
        <f t="shared" si="46"/>
        <v>4</v>
      </c>
      <c r="F262" s="16">
        <f t="shared" si="45"/>
        <v>4</v>
      </c>
      <c r="G262" s="46" t="str">
        <f>IF(H262="","",VLOOKUP(H262,引用表合并!$A:$B,2,FALSE))</f>
        <v>马仔碎片(比利)</v>
      </c>
      <c r="H262" s="46">
        <f>[3]VIP礼包奖辅助表!D28</f>
        <v>78103</v>
      </c>
      <c r="I262" s="46">
        <f>[3]VIP礼包奖辅助表!E28</f>
        <v>20</v>
      </c>
      <c r="J262" s="46">
        <v>10000</v>
      </c>
      <c r="K262" s="46" t="str">
        <f>IF(L262="","",VLOOKUP(L262,引用表合并!$A:$B,2,FALSE))</f>
        <v>龙魂币(500)</v>
      </c>
      <c r="L262" s="8">
        <f>[3]VIP礼包奖辅助表!H28</f>
        <v>80110</v>
      </c>
      <c r="M262" s="8">
        <f>[3]VIP礼包奖辅助表!I28</f>
        <v>1</v>
      </c>
      <c r="N262" s="46">
        <v>10000</v>
      </c>
      <c r="O262" s="46" t="str">
        <f>IF(P262="","",VLOOKUP(P262,引用表合并!$A:$B,2,FALSE))</f>
        <v>部位材料宝箱</v>
      </c>
      <c r="P262" s="8">
        <f>[3]VIP礼包奖辅助表!L28</f>
        <v>86010</v>
      </c>
      <c r="Q262" s="8">
        <f>[3]VIP礼包奖辅助表!M28</f>
        <v>2</v>
      </c>
      <c r="R262" s="46">
        <v>10000</v>
      </c>
      <c r="S262" s="46" t="str">
        <f>IF(T262="","",VLOOKUP(T262,引用表合并!$A:$B,2,FALSE))</f>
        <v>马仔宝物礼包</v>
      </c>
      <c r="T262" s="8">
        <f>[3]VIP礼包奖辅助表!P28</f>
        <v>86110</v>
      </c>
      <c r="U262" s="8">
        <f>[3]VIP礼包奖辅助表!Q28</f>
        <v>1</v>
      </c>
      <c r="V262" s="46">
        <v>10000</v>
      </c>
      <c r="W262" s="46" t="str">
        <f>IF(X262="","",VLOOKUP(X262,引用表合并!$A:$B,2,FALSE))</f>
        <v/>
      </c>
      <c r="AA262" s="46" t="str">
        <f>IF(AB262="","",VLOOKUP(AB262,引用表合并!$A:$B,2,FALSE))</f>
        <v/>
      </c>
      <c r="AE262" s="46" t="str">
        <f>IF(AF262="","",VLOOKUP(AF262,引用表合并!$A:$B,2,FALSE))</f>
        <v/>
      </c>
      <c r="AI262" s="46" t="str">
        <f>IF(AJ262="","",VLOOKUP(AJ262,引用表合并!$A:$B,2,FALSE))</f>
        <v/>
      </c>
      <c r="AM262" s="46" t="str">
        <f>IF(AN262="","",VLOOKUP(AN262,引用表合并!$A:$B,2,FALSE))</f>
        <v/>
      </c>
      <c r="AQ262" s="46" t="str">
        <f>IF(AR262="","",VLOOKUP(AR262,引用表合并!$A:$B,2,FALSE))</f>
        <v/>
      </c>
      <c r="AU262" s="46" t="str">
        <f>IF(AV262="","",VLOOKUP(AV262,引用表合并!$A:$B,2,FALSE))</f>
        <v/>
      </c>
      <c r="AY262" s="46" t="str">
        <f>IF(AZ262="","",VLOOKUP(AZ262,引用表合并!$A:$B,2,FALSE))</f>
        <v/>
      </c>
      <c r="BC262" s="46" t="str">
        <f>IF(BD262="","",VLOOKUP(BD262,引用表合并!$A:$B,2,FALSE))</f>
        <v/>
      </c>
      <c r="BG262" s="46" t="str">
        <f>IF(BH262="","",VLOOKUP(BH262,引用表合并!$A:$B,2,FALSE))</f>
        <v/>
      </c>
      <c r="BK262" s="46" t="str">
        <f>IF(BL262="","",VLOOKUP(BL262,引用表合并!$A:$B,2,FALSE))</f>
        <v/>
      </c>
    </row>
    <row r="263" spans="1:66" s="46" customFormat="1" x14ac:dyDescent="0.15">
      <c r="A263" s="46">
        <v>300103</v>
      </c>
      <c r="B263" s="46" t="str">
        <f t="shared" si="47"/>
        <v>VIP收费礼包03</v>
      </c>
      <c r="C263" s="46">
        <v>0</v>
      </c>
      <c r="D263" s="46">
        <f t="shared" si="26"/>
        <v>4</v>
      </c>
      <c r="E263" s="16">
        <f t="shared" si="46"/>
        <v>4</v>
      </c>
      <c r="F263" s="16">
        <f t="shared" si="45"/>
        <v>4</v>
      </c>
      <c r="G263" s="46" t="str">
        <f>IF(H263="","",VLOOKUP(H263,引用表合并!$A:$B,2,FALSE))</f>
        <v>马仔碎片(比利)</v>
      </c>
      <c r="H263" s="46">
        <f>[3]VIP礼包奖辅助表!D29</f>
        <v>78103</v>
      </c>
      <c r="I263" s="46">
        <f>[3]VIP礼包奖辅助表!E29</f>
        <v>30</v>
      </c>
      <c r="J263" s="46">
        <v>10000</v>
      </c>
      <c r="K263" s="46" t="str">
        <f>IF(L263="","",VLOOKUP(L263,引用表合并!$A:$B,2,FALSE))</f>
        <v>命运石(2万)</v>
      </c>
      <c r="L263" s="8">
        <f>[3]VIP礼包奖辅助表!H29</f>
        <v>80610</v>
      </c>
      <c r="M263" s="8">
        <f>[3]VIP礼包奖辅助表!I29</f>
        <v>2</v>
      </c>
      <c r="N263" s="46">
        <v>10000</v>
      </c>
      <c r="O263" s="46" t="str">
        <f>IF(P263="","",VLOOKUP(P263,引用表合并!$A:$B,2,FALSE))</f>
        <v>部位材料宝箱</v>
      </c>
      <c r="P263" s="8">
        <f>[3]VIP礼包奖辅助表!L29</f>
        <v>86010</v>
      </c>
      <c r="Q263" s="8">
        <f>[3]VIP礼包奖辅助表!M29</f>
        <v>2</v>
      </c>
      <c r="R263" s="46">
        <v>10000</v>
      </c>
      <c r="S263" s="46" t="str">
        <f>IF(T263="","",VLOOKUP(T263,引用表合并!$A:$B,2,FALSE))</f>
        <v>马仔宝物礼包</v>
      </c>
      <c r="T263" s="8">
        <f>[3]VIP礼包奖辅助表!P29</f>
        <v>86120</v>
      </c>
      <c r="U263" s="8">
        <f>[3]VIP礼包奖辅助表!Q29</f>
        <v>1</v>
      </c>
      <c r="V263" s="46">
        <v>10000</v>
      </c>
      <c r="W263" s="46" t="str">
        <f>IF(X263="","",VLOOKUP(X263,引用表合并!$A:$B,2,FALSE))</f>
        <v/>
      </c>
      <c r="AA263" s="46" t="str">
        <f>IF(AB263="","",VLOOKUP(AB263,引用表合并!$A:$B,2,FALSE))</f>
        <v/>
      </c>
      <c r="AE263" s="46" t="str">
        <f>IF(AF263="","",VLOOKUP(AF263,引用表合并!$A:$B,2,FALSE))</f>
        <v/>
      </c>
      <c r="AI263" s="46" t="str">
        <f>IF(AJ263="","",VLOOKUP(AJ263,引用表合并!$A:$B,2,FALSE))</f>
        <v/>
      </c>
      <c r="AM263" s="46" t="str">
        <f>IF(AN263="","",VLOOKUP(AN263,引用表合并!$A:$B,2,FALSE))</f>
        <v/>
      </c>
      <c r="AQ263" s="46" t="str">
        <f>IF(AR263="","",VLOOKUP(AR263,引用表合并!$A:$B,2,FALSE))</f>
        <v/>
      </c>
      <c r="AU263" s="46" t="str">
        <f>IF(AV263="","",VLOOKUP(AV263,引用表合并!$A:$B,2,FALSE))</f>
        <v/>
      </c>
      <c r="AY263" s="46" t="str">
        <f>IF(AZ263="","",VLOOKUP(AZ263,引用表合并!$A:$B,2,FALSE))</f>
        <v/>
      </c>
      <c r="BC263" s="46" t="str">
        <f>IF(BD263="","",VLOOKUP(BD263,引用表合并!$A:$B,2,FALSE))</f>
        <v/>
      </c>
      <c r="BG263" s="46" t="str">
        <f>IF(BH263="","",VLOOKUP(BH263,引用表合并!$A:$B,2,FALSE))</f>
        <v/>
      </c>
      <c r="BK263" s="46" t="str">
        <f>IF(BL263="","",VLOOKUP(BL263,引用表合并!$A:$B,2,FALSE))</f>
        <v/>
      </c>
    </row>
    <row r="264" spans="1:66" s="46" customFormat="1" x14ac:dyDescent="0.15">
      <c r="A264" s="46">
        <v>300104</v>
      </c>
      <c r="B264" s="46" t="str">
        <f t="shared" si="47"/>
        <v>VIP收费礼包04</v>
      </c>
      <c r="C264" s="46">
        <v>0</v>
      </c>
      <c r="D264" s="46">
        <f t="shared" si="26"/>
        <v>4</v>
      </c>
      <c r="E264" s="16">
        <f t="shared" si="46"/>
        <v>4</v>
      </c>
      <c r="F264" s="16">
        <f t="shared" si="45"/>
        <v>4</v>
      </c>
      <c r="G264" s="46" t="str">
        <f>IF(H264="","",VLOOKUP(H264,引用表合并!$A:$B,2,FALSE))</f>
        <v>马仔碎片(雷复轰)</v>
      </c>
      <c r="H264" s="46">
        <f>[3]VIP礼包奖辅助表!D30</f>
        <v>78107</v>
      </c>
      <c r="I264" s="46">
        <f>[3]VIP礼包奖辅助表!E30</f>
        <v>10</v>
      </c>
      <c r="J264" s="10">
        <v>10000</v>
      </c>
      <c r="K264" s="46" t="str">
        <f>IF(L264="","",VLOOKUP(L264,引用表合并!$A:$B,2,FALSE))</f>
        <v>龙魂币(1000)</v>
      </c>
      <c r="L264" s="8">
        <f>[3]VIP礼包奖辅助表!H30</f>
        <v>80210</v>
      </c>
      <c r="M264" s="8">
        <f>[3]VIP礼包奖辅助表!I30</f>
        <v>2</v>
      </c>
      <c r="N264" s="46">
        <v>10000</v>
      </c>
      <c r="O264" s="46" t="str">
        <f>IF(P264="","",VLOOKUP(P264,引用表合并!$A:$B,2,FALSE))</f>
        <v>部位材料宝箱</v>
      </c>
      <c r="P264" s="8">
        <f>[3]VIP礼包奖辅助表!L30</f>
        <v>86010</v>
      </c>
      <c r="Q264" s="8">
        <f>[3]VIP礼包奖辅助表!M30</f>
        <v>3</v>
      </c>
      <c r="R264" s="46">
        <v>10000</v>
      </c>
      <c r="S264" s="46" t="str">
        <f>IF(T264="","",VLOOKUP(T264,引用表合并!$A:$B,2,FALSE))</f>
        <v>马仔宝物礼包</v>
      </c>
      <c r="T264" s="8">
        <f>[3]VIP礼包奖辅助表!P30</f>
        <v>86120</v>
      </c>
      <c r="U264" s="8">
        <f>[3]VIP礼包奖辅助表!Q30</f>
        <v>1</v>
      </c>
      <c r="V264" s="46">
        <v>10000</v>
      </c>
      <c r="W264" s="46" t="str">
        <f>IF(X264="","",VLOOKUP(X264,引用表合并!$A:$B,2,FALSE))</f>
        <v/>
      </c>
      <c r="AA264" s="46" t="str">
        <f>IF(AB264="","",VLOOKUP(AB264,引用表合并!$A:$B,2,FALSE))</f>
        <v/>
      </c>
      <c r="AE264" s="46" t="str">
        <f>IF(AF264="","",VLOOKUP(AF264,引用表合并!$A:$B,2,FALSE))</f>
        <v/>
      </c>
      <c r="AI264" s="46" t="str">
        <f>IF(AJ264="","",VLOOKUP(AJ264,引用表合并!$A:$B,2,FALSE))</f>
        <v/>
      </c>
      <c r="AM264" s="46" t="str">
        <f>IF(AN264="","",VLOOKUP(AN264,引用表合并!$A:$B,2,FALSE))</f>
        <v/>
      </c>
      <c r="AQ264" s="46" t="str">
        <f>IF(AR264="","",VLOOKUP(AR264,引用表合并!$A:$B,2,FALSE))</f>
        <v/>
      </c>
      <c r="AU264" s="46" t="str">
        <f>IF(AV264="","",VLOOKUP(AV264,引用表合并!$A:$B,2,FALSE))</f>
        <v/>
      </c>
      <c r="AY264" s="46" t="str">
        <f>IF(AZ264="","",VLOOKUP(AZ264,引用表合并!$A:$B,2,FALSE))</f>
        <v/>
      </c>
      <c r="BC264" s="46" t="str">
        <f>IF(BD264="","",VLOOKUP(BD264,引用表合并!$A:$B,2,FALSE))</f>
        <v/>
      </c>
      <c r="BG264" s="46" t="str">
        <f>IF(BH264="","",VLOOKUP(BH264,引用表合并!$A:$B,2,FALSE))</f>
        <v/>
      </c>
      <c r="BK264" s="46" t="str">
        <f>IF(BL264="","",VLOOKUP(BL264,引用表合并!$A:$B,2,FALSE))</f>
        <v/>
      </c>
    </row>
    <row r="265" spans="1:66" s="46" customFormat="1" x14ac:dyDescent="0.15">
      <c r="A265" s="46">
        <v>300105</v>
      </c>
      <c r="B265" s="46" t="str">
        <f t="shared" si="47"/>
        <v>VIP收费礼包05</v>
      </c>
      <c r="C265" s="46">
        <v>0</v>
      </c>
      <c r="D265" s="46">
        <f t="shared" si="26"/>
        <v>4</v>
      </c>
      <c r="E265" s="16">
        <f t="shared" si="46"/>
        <v>4</v>
      </c>
      <c r="F265" s="16">
        <f t="shared" si="45"/>
        <v>4</v>
      </c>
      <c r="G265" s="46" t="str">
        <f>IF(H265="","",VLOOKUP(H265,引用表合并!$A:$B,2,FALSE))</f>
        <v>马仔碎片(雷复轰)</v>
      </c>
      <c r="H265" s="46">
        <f>[3]VIP礼包奖辅助表!D31</f>
        <v>78107</v>
      </c>
      <c r="I265" s="46">
        <f>[3]VIP礼包奖辅助表!E31</f>
        <v>10</v>
      </c>
      <c r="J265" s="46">
        <v>10000</v>
      </c>
      <c r="K265" s="46" t="str">
        <f>IF(L265="","",VLOOKUP(L265,引用表合并!$A:$B,2,FALSE))</f>
        <v>命运石(2万)</v>
      </c>
      <c r="L265" s="8">
        <f>[3]VIP礼包奖辅助表!H31</f>
        <v>80610</v>
      </c>
      <c r="M265" s="8">
        <f>[3]VIP礼包奖辅助表!I31</f>
        <v>4</v>
      </c>
      <c r="N265" s="46">
        <v>10000</v>
      </c>
      <c r="O265" s="46" t="str">
        <f>IF(P265="","",VLOOKUP(P265,引用表合并!$A:$B,2,FALSE))</f>
        <v>部位材料宝箱</v>
      </c>
      <c r="P265" s="8">
        <f>[3]VIP礼包奖辅助表!L31</f>
        <v>86010</v>
      </c>
      <c r="Q265" s="8">
        <f>[3]VIP礼包奖辅助表!M31</f>
        <v>3</v>
      </c>
      <c r="R265" s="46">
        <v>10000</v>
      </c>
      <c r="S265" s="46" t="str">
        <f>IF(T265="","",VLOOKUP(T265,引用表合并!$A:$B,2,FALSE))</f>
        <v>马仔宝物礼包</v>
      </c>
      <c r="T265" s="8">
        <f>[3]VIP礼包奖辅助表!P31</f>
        <v>86120</v>
      </c>
      <c r="U265" s="8">
        <f>[3]VIP礼包奖辅助表!Q31</f>
        <v>1</v>
      </c>
      <c r="V265" s="46">
        <v>10000</v>
      </c>
      <c r="W265" s="46" t="str">
        <f>IF(X265="","",VLOOKUP(X265,引用表合并!$A:$B,2,FALSE))</f>
        <v/>
      </c>
      <c r="AA265" s="46" t="str">
        <f>IF(AB265="","",VLOOKUP(AB265,引用表合并!$A:$B,2,FALSE))</f>
        <v/>
      </c>
      <c r="AE265" s="46" t="str">
        <f>IF(AF265="","",VLOOKUP(AF265,引用表合并!$A:$B,2,FALSE))</f>
        <v/>
      </c>
      <c r="AI265" s="46" t="str">
        <f>IF(AJ265="","",VLOOKUP(AJ265,引用表合并!$A:$B,2,FALSE))</f>
        <v/>
      </c>
      <c r="AM265" s="46" t="str">
        <f>IF(AN265="","",VLOOKUP(AN265,引用表合并!$A:$B,2,FALSE))</f>
        <v/>
      </c>
      <c r="AQ265" s="46" t="str">
        <f>IF(AR265="","",VLOOKUP(AR265,引用表合并!$A:$B,2,FALSE))</f>
        <v/>
      </c>
      <c r="AU265" s="46" t="str">
        <f>IF(AV265="","",VLOOKUP(AV265,引用表合并!$A:$B,2,FALSE))</f>
        <v/>
      </c>
      <c r="AY265" s="46" t="str">
        <f>IF(AZ265="","",VLOOKUP(AZ265,引用表合并!$A:$B,2,FALSE))</f>
        <v/>
      </c>
      <c r="BC265" s="46" t="str">
        <f>IF(BD265="","",VLOOKUP(BD265,引用表合并!$A:$B,2,FALSE))</f>
        <v/>
      </c>
      <c r="BG265" s="46" t="str">
        <f>IF(BH265="","",VLOOKUP(BH265,引用表合并!$A:$B,2,FALSE))</f>
        <v/>
      </c>
      <c r="BK265" s="46" t="str">
        <f>IF(BL265="","",VLOOKUP(BL265,引用表合并!$A:$B,2,FALSE))</f>
        <v/>
      </c>
    </row>
    <row r="266" spans="1:66" s="46" customFormat="1" x14ac:dyDescent="0.15">
      <c r="A266" s="46">
        <v>300106</v>
      </c>
      <c r="B266" s="46" t="str">
        <f t="shared" si="47"/>
        <v>VIP收费礼包06</v>
      </c>
      <c r="C266" s="46">
        <v>0</v>
      </c>
      <c r="D266" s="46">
        <f t="shared" si="26"/>
        <v>4</v>
      </c>
      <c r="E266" s="16">
        <f t="shared" si="46"/>
        <v>4</v>
      </c>
      <c r="F266" s="16">
        <f t="shared" si="45"/>
        <v>4</v>
      </c>
      <c r="G266" s="46" t="str">
        <f>IF(H266="","",VLOOKUP(H266,引用表合并!$A:$B,2,FALSE))</f>
        <v>马仔碎片(雷复轰)</v>
      </c>
      <c r="H266" s="46">
        <f>[3]VIP礼包奖辅助表!D32</f>
        <v>78107</v>
      </c>
      <c r="I266" s="46">
        <f>[3]VIP礼包奖辅助表!E32</f>
        <v>20</v>
      </c>
      <c r="J266" s="46">
        <v>10000</v>
      </c>
      <c r="K266" s="46" t="str">
        <f>IF(L266="","",VLOOKUP(L266,引用表合并!$A:$B,2,FALSE))</f>
        <v>龙魂币(2000)</v>
      </c>
      <c r="L266" s="8">
        <f>[3]VIP礼包奖辅助表!H32</f>
        <v>80310</v>
      </c>
      <c r="M266" s="8">
        <f>[3]VIP礼包奖辅助表!I32</f>
        <v>2</v>
      </c>
      <c r="N266" s="46">
        <v>10000</v>
      </c>
      <c r="O266" s="46" t="str">
        <f>IF(P266="","",VLOOKUP(P266,引用表合并!$A:$B,2,FALSE))</f>
        <v>部位材料宝箱</v>
      </c>
      <c r="P266" s="8">
        <f>[3]VIP礼包奖辅助表!L32</f>
        <v>86010</v>
      </c>
      <c r="Q266" s="8">
        <f>[3]VIP礼包奖辅助表!M32</f>
        <v>3</v>
      </c>
      <c r="R266" s="46">
        <v>10000</v>
      </c>
      <c r="S266" s="46" t="str">
        <f>IF(T266="","",VLOOKUP(T266,引用表合并!$A:$B,2,FALSE))</f>
        <v>马仔宝物礼包</v>
      </c>
      <c r="T266" s="8">
        <f>[3]VIP礼包奖辅助表!P32</f>
        <v>86130</v>
      </c>
      <c r="U266" s="8">
        <f>[3]VIP礼包奖辅助表!Q32</f>
        <v>1</v>
      </c>
      <c r="V266" s="46">
        <v>10000</v>
      </c>
      <c r="W266" s="46" t="str">
        <f>IF(X266="","",VLOOKUP(X266,引用表合并!$A:$B,2,FALSE))</f>
        <v/>
      </c>
      <c r="AA266" s="46" t="str">
        <f>IF(AB266="","",VLOOKUP(AB266,引用表合并!$A:$B,2,FALSE))</f>
        <v/>
      </c>
      <c r="AE266" s="46" t="str">
        <f>IF(AF266="","",VLOOKUP(AF266,引用表合并!$A:$B,2,FALSE))</f>
        <v/>
      </c>
      <c r="AI266" s="46" t="str">
        <f>IF(AJ266="","",VLOOKUP(AJ266,引用表合并!$A:$B,2,FALSE))</f>
        <v/>
      </c>
      <c r="AM266" s="46" t="str">
        <f>IF(AN266="","",VLOOKUP(AN266,引用表合并!$A:$B,2,FALSE))</f>
        <v/>
      </c>
      <c r="AQ266" s="46" t="str">
        <f>IF(AR266="","",VLOOKUP(AR266,引用表合并!$A:$B,2,FALSE))</f>
        <v/>
      </c>
      <c r="AU266" s="46" t="str">
        <f>IF(AV266="","",VLOOKUP(AV266,引用表合并!$A:$B,2,FALSE))</f>
        <v/>
      </c>
      <c r="AY266" s="46" t="str">
        <f>IF(AZ266="","",VLOOKUP(AZ266,引用表合并!$A:$B,2,FALSE))</f>
        <v/>
      </c>
      <c r="BC266" s="46" t="str">
        <f>IF(BD266="","",VLOOKUP(BD266,引用表合并!$A:$B,2,FALSE))</f>
        <v/>
      </c>
      <c r="BG266" s="46" t="str">
        <f>IF(BH266="","",VLOOKUP(BH266,引用表合并!$A:$B,2,FALSE))</f>
        <v/>
      </c>
      <c r="BK266" s="46" t="str">
        <f>IF(BL266="","",VLOOKUP(BL266,引用表合并!$A:$B,2,FALSE))</f>
        <v/>
      </c>
    </row>
    <row r="267" spans="1:66" s="46" customFormat="1" x14ac:dyDescent="0.15">
      <c r="A267" s="46">
        <v>300107</v>
      </c>
      <c r="B267" s="46" t="str">
        <f t="shared" si="47"/>
        <v>VIP收费礼包07</v>
      </c>
      <c r="C267" s="46">
        <v>0</v>
      </c>
      <c r="D267" s="46">
        <f t="shared" si="26"/>
        <v>4</v>
      </c>
      <c r="E267" s="16">
        <f t="shared" si="46"/>
        <v>4</v>
      </c>
      <c r="F267" s="16">
        <f t="shared" si="45"/>
        <v>4</v>
      </c>
      <c r="G267" s="46" t="str">
        <f>IF(H267="","",VLOOKUP(H267,引用表合并!$A:$B,2,FALSE))</f>
        <v>马仔碎片(雷复轰)</v>
      </c>
      <c r="H267" s="46">
        <f>[3]VIP礼包奖辅助表!D33</f>
        <v>78107</v>
      </c>
      <c r="I267" s="46">
        <f>[3]VIP礼包奖辅助表!E33</f>
        <v>20</v>
      </c>
      <c r="J267" s="10">
        <v>10000</v>
      </c>
      <c r="K267" s="46" t="str">
        <f>IF(L267="","",VLOOKUP(L267,引用表合并!$A:$B,2,FALSE))</f>
        <v>命运石(2万)</v>
      </c>
      <c r="L267" s="8">
        <f>[3]VIP礼包奖辅助表!H33</f>
        <v>80610</v>
      </c>
      <c r="M267" s="8">
        <f>[3]VIP礼包奖辅助表!I33</f>
        <v>6</v>
      </c>
      <c r="N267" s="46">
        <v>10000</v>
      </c>
      <c r="O267" s="46" t="str">
        <f>IF(P267="","",VLOOKUP(P267,引用表合并!$A:$B,2,FALSE))</f>
        <v>部位材料宝箱</v>
      </c>
      <c r="P267" s="8">
        <f>[3]VIP礼包奖辅助表!L33</f>
        <v>86010</v>
      </c>
      <c r="Q267" s="8">
        <f>[3]VIP礼包奖辅助表!M33</f>
        <v>4</v>
      </c>
      <c r="R267" s="46">
        <v>10000</v>
      </c>
      <c r="S267" s="46" t="str">
        <f>IF(T267="","",VLOOKUP(T267,引用表合并!$A:$B,2,FALSE))</f>
        <v>马仔宝物礼包</v>
      </c>
      <c r="T267" s="8">
        <f>[3]VIP礼包奖辅助表!P33</f>
        <v>86130</v>
      </c>
      <c r="U267" s="8">
        <f>[3]VIP礼包奖辅助表!Q33</f>
        <v>1</v>
      </c>
      <c r="V267" s="46">
        <v>10000</v>
      </c>
      <c r="W267" s="46" t="str">
        <f>IF(X267="","",VLOOKUP(X267,引用表合并!$A:$B,2,FALSE))</f>
        <v/>
      </c>
      <c r="AA267" s="46" t="str">
        <f>IF(AB267="","",VLOOKUP(AB267,引用表合并!$A:$B,2,FALSE))</f>
        <v/>
      </c>
      <c r="AE267" s="46" t="str">
        <f>IF(AF267="","",VLOOKUP(AF267,引用表合并!$A:$B,2,FALSE))</f>
        <v/>
      </c>
      <c r="AI267" s="46" t="str">
        <f>IF(AJ267="","",VLOOKUP(AJ267,引用表合并!$A:$B,2,FALSE))</f>
        <v/>
      </c>
      <c r="AM267" s="46" t="str">
        <f>IF(AN267="","",VLOOKUP(AN267,引用表合并!$A:$B,2,FALSE))</f>
        <v/>
      </c>
      <c r="AQ267" s="46" t="str">
        <f>IF(AR267="","",VLOOKUP(AR267,引用表合并!$A:$B,2,FALSE))</f>
        <v/>
      </c>
      <c r="AU267" s="46" t="str">
        <f>IF(AV267="","",VLOOKUP(AV267,引用表合并!$A:$B,2,FALSE))</f>
        <v/>
      </c>
      <c r="AY267" s="46" t="str">
        <f>IF(AZ267="","",VLOOKUP(AZ267,引用表合并!$A:$B,2,FALSE))</f>
        <v/>
      </c>
      <c r="BC267" s="46" t="str">
        <f>IF(BD267="","",VLOOKUP(BD267,引用表合并!$A:$B,2,FALSE))</f>
        <v/>
      </c>
      <c r="BG267" s="46" t="str">
        <f>IF(BH267="","",VLOOKUP(BH267,引用表合并!$A:$B,2,FALSE))</f>
        <v/>
      </c>
      <c r="BK267" s="46" t="str">
        <f>IF(BL267="","",VLOOKUP(BL267,引用表合并!$A:$B,2,FALSE))</f>
        <v/>
      </c>
    </row>
    <row r="268" spans="1:66" s="46" customFormat="1" x14ac:dyDescent="0.15">
      <c r="A268" s="46">
        <v>300108</v>
      </c>
      <c r="B268" s="46" t="str">
        <f t="shared" si="47"/>
        <v>VIP收费礼包08</v>
      </c>
      <c r="C268" s="46">
        <v>0</v>
      </c>
      <c r="D268" s="46">
        <f t="shared" si="26"/>
        <v>4</v>
      </c>
      <c r="E268" s="16">
        <f t="shared" si="46"/>
        <v>4</v>
      </c>
      <c r="F268" s="16">
        <f t="shared" si="45"/>
        <v>4</v>
      </c>
      <c r="G268" s="46" t="str">
        <f>IF(H268="","",VLOOKUP(H268,引用表合并!$A:$B,2,FALSE))</f>
        <v>马仔碎片(宫本一)</v>
      </c>
      <c r="H268" s="46">
        <f>[3]VIP礼包奖辅助表!D34</f>
        <v>78113</v>
      </c>
      <c r="I268" s="46">
        <f>[3]VIP礼包奖辅助表!E34</f>
        <v>10</v>
      </c>
      <c r="J268" s="46">
        <v>10000</v>
      </c>
      <c r="K268" s="46" t="str">
        <f>IF(L268="","",VLOOKUP(L268,引用表合并!$A:$B,2,FALSE))</f>
        <v>龙魂币(2000)</v>
      </c>
      <c r="L268" s="8">
        <f>[3]VIP礼包奖辅助表!H34</f>
        <v>80310</v>
      </c>
      <c r="M268" s="8">
        <f>[3]VIP礼包奖辅助表!I34</f>
        <v>3</v>
      </c>
      <c r="N268" s="46">
        <v>10000</v>
      </c>
      <c r="O268" s="46" t="str">
        <f>IF(P268="","",VLOOKUP(P268,引用表合并!$A:$B,2,FALSE))</f>
        <v>部位材料宝箱</v>
      </c>
      <c r="P268" s="8">
        <f>[3]VIP礼包奖辅助表!L34</f>
        <v>86010</v>
      </c>
      <c r="Q268" s="8">
        <f>[3]VIP礼包奖辅助表!M34</f>
        <v>4</v>
      </c>
      <c r="R268" s="46">
        <v>10000</v>
      </c>
      <c r="S268" s="46" t="str">
        <f>IF(T268="","",VLOOKUP(T268,引用表合并!$A:$B,2,FALSE))</f>
        <v>马仔宝物礼包</v>
      </c>
      <c r="T268" s="8">
        <f>[3]VIP礼包奖辅助表!P34</f>
        <v>86130</v>
      </c>
      <c r="U268" s="8">
        <f>[3]VIP礼包奖辅助表!Q34</f>
        <v>1</v>
      </c>
      <c r="V268" s="46">
        <v>10000</v>
      </c>
      <c r="W268" s="46" t="str">
        <f>IF(X268="","",VLOOKUP(X268,引用表合并!$A:$B,2,FALSE))</f>
        <v/>
      </c>
      <c r="AA268" s="46" t="str">
        <f>IF(AB268="","",VLOOKUP(AB268,引用表合并!$A:$B,2,FALSE))</f>
        <v/>
      </c>
      <c r="AE268" s="46" t="str">
        <f>IF(AF268="","",VLOOKUP(AF268,引用表合并!$A:$B,2,FALSE))</f>
        <v/>
      </c>
      <c r="AI268" s="46" t="str">
        <f>IF(AJ268="","",VLOOKUP(AJ268,引用表合并!$A:$B,2,FALSE))</f>
        <v/>
      </c>
      <c r="AM268" s="46" t="str">
        <f>IF(AN268="","",VLOOKUP(AN268,引用表合并!$A:$B,2,FALSE))</f>
        <v/>
      </c>
      <c r="AQ268" s="46" t="str">
        <f>IF(AR268="","",VLOOKUP(AR268,引用表合并!$A:$B,2,FALSE))</f>
        <v/>
      </c>
      <c r="AU268" s="46" t="str">
        <f>IF(AV268="","",VLOOKUP(AV268,引用表合并!$A:$B,2,FALSE))</f>
        <v/>
      </c>
      <c r="AY268" s="46" t="str">
        <f>IF(AZ268="","",VLOOKUP(AZ268,引用表合并!$A:$B,2,FALSE))</f>
        <v/>
      </c>
      <c r="BC268" s="46" t="str">
        <f>IF(BD268="","",VLOOKUP(BD268,引用表合并!$A:$B,2,FALSE))</f>
        <v/>
      </c>
      <c r="BG268" s="46" t="str">
        <f>IF(BH268="","",VLOOKUP(BH268,引用表合并!$A:$B,2,FALSE))</f>
        <v/>
      </c>
      <c r="BK268" s="46" t="str">
        <f>IF(BL268="","",VLOOKUP(BL268,引用表合并!$A:$B,2,FALSE))</f>
        <v/>
      </c>
    </row>
    <row r="269" spans="1:66" s="46" customFormat="1" x14ac:dyDescent="0.15">
      <c r="A269" s="46">
        <v>300109</v>
      </c>
      <c r="B269" s="46" t="str">
        <f t="shared" si="47"/>
        <v>VIP收费礼包09</v>
      </c>
      <c r="C269" s="46">
        <v>0</v>
      </c>
      <c r="D269" s="46">
        <f t="shared" si="26"/>
        <v>4</v>
      </c>
      <c r="E269" s="16">
        <f t="shared" si="46"/>
        <v>4</v>
      </c>
      <c r="F269" s="16">
        <f t="shared" si="45"/>
        <v>4</v>
      </c>
      <c r="G269" s="46" t="str">
        <f>IF(H269="","",VLOOKUP(H269,引用表合并!$A:$B,2,FALSE))</f>
        <v>马仔碎片(宫本一)</v>
      </c>
      <c r="H269" s="46">
        <f>[3]VIP礼包奖辅助表!D35</f>
        <v>78113</v>
      </c>
      <c r="I269" s="46">
        <f>[3]VIP礼包奖辅助表!E35</f>
        <v>20</v>
      </c>
      <c r="J269" s="46">
        <v>10000</v>
      </c>
      <c r="K269" s="46" t="str">
        <f>IF(L269="","",VLOOKUP(L269,引用表合并!$A:$B,2,FALSE))</f>
        <v>命运石(2万)</v>
      </c>
      <c r="L269" s="8">
        <f>[3]VIP礼包奖辅助表!H35</f>
        <v>80610</v>
      </c>
      <c r="M269" s="8">
        <f>[3]VIP礼包奖辅助表!I35</f>
        <v>10</v>
      </c>
      <c r="N269" s="46">
        <v>10000</v>
      </c>
      <c r="O269" s="46" t="str">
        <f>IF(P269="","",VLOOKUP(P269,引用表合并!$A:$B,2,FALSE))</f>
        <v>部位材料宝箱</v>
      </c>
      <c r="P269" s="8">
        <f>[3]VIP礼包奖辅助表!L35</f>
        <v>86010</v>
      </c>
      <c r="Q269" s="8">
        <f>[3]VIP礼包奖辅助表!M35</f>
        <v>5</v>
      </c>
      <c r="R269" s="46">
        <v>10000</v>
      </c>
      <c r="S269" s="46" t="str">
        <f>IF(T269="","",VLOOKUP(T269,引用表合并!$A:$B,2,FALSE))</f>
        <v>马仔宝物礼包</v>
      </c>
      <c r="T269" s="8">
        <f>[3]VIP礼包奖辅助表!P35</f>
        <v>86140</v>
      </c>
      <c r="U269" s="8">
        <f>[3]VIP礼包奖辅助表!Q35</f>
        <v>1</v>
      </c>
      <c r="V269" s="46">
        <v>10000</v>
      </c>
      <c r="W269" s="46" t="str">
        <f>IF(X269="","",VLOOKUP(X269,引用表合并!$A:$B,2,FALSE))</f>
        <v/>
      </c>
      <c r="AA269" s="46" t="str">
        <f>IF(AB269="","",VLOOKUP(AB269,引用表合并!$A:$B,2,FALSE))</f>
        <v/>
      </c>
      <c r="AE269" s="46" t="str">
        <f>IF(AF269="","",VLOOKUP(AF269,引用表合并!$A:$B,2,FALSE))</f>
        <v/>
      </c>
      <c r="AI269" s="46" t="str">
        <f>IF(AJ269="","",VLOOKUP(AJ269,引用表合并!$A:$B,2,FALSE))</f>
        <v/>
      </c>
      <c r="AM269" s="46" t="str">
        <f>IF(AN269="","",VLOOKUP(AN269,引用表合并!$A:$B,2,FALSE))</f>
        <v/>
      </c>
      <c r="AQ269" s="46" t="str">
        <f>IF(AR269="","",VLOOKUP(AR269,引用表合并!$A:$B,2,FALSE))</f>
        <v/>
      </c>
      <c r="AU269" s="46" t="str">
        <f>IF(AV269="","",VLOOKUP(AV269,引用表合并!$A:$B,2,FALSE))</f>
        <v/>
      </c>
      <c r="AY269" s="46" t="str">
        <f>IF(AZ269="","",VLOOKUP(AZ269,引用表合并!$A:$B,2,FALSE))</f>
        <v/>
      </c>
      <c r="BC269" s="46" t="str">
        <f>IF(BD269="","",VLOOKUP(BD269,引用表合并!$A:$B,2,FALSE))</f>
        <v/>
      </c>
      <c r="BG269" s="46" t="str">
        <f>IF(BH269="","",VLOOKUP(BH269,引用表合并!$A:$B,2,FALSE))</f>
        <v/>
      </c>
      <c r="BK269" s="46" t="str">
        <f>IF(BL269="","",VLOOKUP(BL269,引用表合并!$A:$B,2,FALSE))</f>
        <v/>
      </c>
    </row>
    <row r="270" spans="1:66" s="46" customFormat="1" x14ac:dyDescent="0.15">
      <c r="A270" s="46">
        <v>300110</v>
      </c>
      <c r="B270" s="46" t="str">
        <f t="shared" si="47"/>
        <v>VIP收费礼包10</v>
      </c>
      <c r="C270" s="46">
        <v>0</v>
      </c>
      <c r="D270" s="46">
        <f t="shared" si="26"/>
        <v>4</v>
      </c>
      <c r="E270" s="16">
        <f t="shared" si="46"/>
        <v>4</v>
      </c>
      <c r="F270" s="16">
        <f t="shared" si="45"/>
        <v>4</v>
      </c>
      <c r="G270" s="46" t="str">
        <f>IF(H270="","",VLOOKUP(H270,引用表合并!$A:$B,2,FALSE))</f>
        <v>马仔碎片(宫本一)</v>
      </c>
      <c r="H270" s="46">
        <f>[3]VIP礼包奖辅助表!D36</f>
        <v>78113</v>
      </c>
      <c r="I270" s="46">
        <f>[3]VIP礼包奖辅助表!E36</f>
        <v>30</v>
      </c>
      <c r="J270" s="46">
        <v>10000</v>
      </c>
      <c r="K270" s="46" t="str">
        <f>IF(L270="","",VLOOKUP(L270,引用表合并!$A:$B,2,FALSE))</f>
        <v>龙魂币(2000)</v>
      </c>
      <c r="L270" s="8">
        <f>[3]VIP礼包奖辅助表!H36</f>
        <v>80310</v>
      </c>
      <c r="M270" s="8">
        <f>[3]VIP礼包奖辅助表!I36</f>
        <v>5</v>
      </c>
      <c r="N270" s="46">
        <v>10000</v>
      </c>
      <c r="O270" s="46" t="str">
        <f>IF(P270="","",VLOOKUP(P270,引用表合并!$A:$B,2,FALSE))</f>
        <v>部位材料宝箱</v>
      </c>
      <c r="P270" s="8">
        <f>[3]VIP礼包奖辅助表!L36</f>
        <v>86010</v>
      </c>
      <c r="Q270" s="8">
        <f>[3]VIP礼包奖辅助表!M36</f>
        <v>5</v>
      </c>
      <c r="R270" s="46">
        <v>10000</v>
      </c>
      <c r="S270" s="46" t="str">
        <f>IF(T270="","",VLOOKUP(T270,引用表合并!$A:$B,2,FALSE))</f>
        <v>马仔宝物礼包</v>
      </c>
      <c r="T270" s="8">
        <f>[3]VIP礼包奖辅助表!P36</f>
        <v>86140</v>
      </c>
      <c r="U270" s="8">
        <f>[3]VIP礼包奖辅助表!Q36</f>
        <v>1</v>
      </c>
      <c r="V270" s="46">
        <v>10000</v>
      </c>
      <c r="W270" s="46" t="str">
        <f>IF(X270="","",VLOOKUP(X270,引用表合并!$A:$B,2,FALSE))</f>
        <v/>
      </c>
      <c r="AA270" s="46" t="str">
        <f>IF(AB270="","",VLOOKUP(AB270,引用表合并!$A:$B,2,FALSE))</f>
        <v/>
      </c>
      <c r="AE270" s="46" t="str">
        <f>IF(AF270="","",VLOOKUP(AF270,引用表合并!$A:$B,2,FALSE))</f>
        <v/>
      </c>
      <c r="AI270" s="46" t="str">
        <f>IF(AJ270="","",VLOOKUP(AJ270,引用表合并!$A:$B,2,FALSE))</f>
        <v/>
      </c>
      <c r="AM270" s="46" t="str">
        <f>IF(AN270="","",VLOOKUP(AN270,引用表合并!$A:$B,2,FALSE))</f>
        <v/>
      </c>
      <c r="AQ270" s="46" t="str">
        <f>IF(AR270="","",VLOOKUP(AR270,引用表合并!$A:$B,2,FALSE))</f>
        <v/>
      </c>
      <c r="AU270" s="46" t="str">
        <f>IF(AV270="","",VLOOKUP(AV270,引用表合并!$A:$B,2,FALSE))</f>
        <v/>
      </c>
      <c r="AY270" s="46" t="str">
        <f>IF(AZ270="","",VLOOKUP(AZ270,引用表合并!$A:$B,2,FALSE))</f>
        <v/>
      </c>
      <c r="BC270" s="46" t="str">
        <f>IF(BD270="","",VLOOKUP(BD270,引用表合并!$A:$B,2,FALSE))</f>
        <v/>
      </c>
      <c r="BG270" s="46" t="str">
        <f>IF(BH270="","",VLOOKUP(BH270,引用表合并!$A:$B,2,FALSE))</f>
        <v/>
      </c>
      <c r="BK270" s="46" t="str">
        <f>IF(BL270="","",VLOOKUP(BL270,引用表合并!$A:$B,2,FALSE))</f>
        <v/>
      </c>
    </row>
    <row r="271" spans="1:66" x14ac:dyDescent="0.15">
      <c r="A271" s="8">
        <v>400001</v>
      </c>
      <c r="B271" s="5" t="s">
        <v>845</v>
      </c>
      <c r="C271" s="8">
        <v>1</v>
      </c>
      <c r="D271" s="8">
        <f t="shared" si="26"/>
        <v>3</v>
      </c>
      <c r="E271" s="16">
        <f t="shared" si="46"/>
        <v>3</v>
      </c>
      <c r="F271" s="16">
        <f t="shared" si="45"/>
        <v>3</v>
      </c>
      <c r="G271" s="8" t="str">
        <f>IF(H271="","",VLOOKUP(H271,引用表合并!$A:$B,2,FALSE))</f>
        <v>紫云之剑</v>
      </c>
      <c r="H271" s="8">
        <v>10205</v>
      </c>
      <c r="I271" s="8">
        <v>1</v>
      </c>
      <c r="J271" s="10">
        <v>10000</v>
      </c>
      <c r="K271" s="8" t="str">
        <f>IF(L271="","",VLOOKUP(L271,引用表合并!$A:$B,2,FALSE))</f>
        <v>紫云之拳</v>
      </c>
      <c r="L271" s="8">
        <v>20205</v>
      </c>
      <c r="M271" s="8">
        <v>1</v>
      </c>
      <c r="N271" s="10">
        <v>10000</v>
      </c>
      <c r="O271" s="8" t="str">
        <f>IF(P271="","",VLOOKUP(P271,引用表合并!$A:$B,2,FALSE))</f>
        <v>紫云之枪</v>
      </c>
      <c r="P271" s="8">
        <v>30205</v>
      </c>
      <c r="Q271" s="8">
        <v>1</v>
      </c>
      <c r="R271" s="10">
        <v>10000</v>
      </c>
      <c r="S271" s="8" t="str">
        <f>IF(T271="","",VLOOKUP(T271,引用表合并!$A:$B,2,FALSE))</f>
        <v/>
      </c>
      <c r="T271" s="8"/>
      <c r="U271" s="8"/>
      <c r="W271" s="8" t="str">
        <f>IF(X271="","",VLOOKUP(X271,引用表合并!$A:$B,2,FALSE))</f>
        <v/>
      </c>
      <c r="X271" s="8"/>
      <c r="Y271" s="8"/>
      <c r="AA271" s="8" t="str">
        <f>IF(AB271="","",VLOOKUP(AB271,引用表合并!$A:$B,2,FALSE))</f>
        <v/>
      </c>
      <c r="AB271" s="8"/>
      <c r="AC271" s="8"/>
      <c r="AE271" s="8"/>
      <c r="AF271" s="8"/>
      <c r="AG271" s="8"/>
      <c r="AI271" s="8"/>
      <c r="AJ271" s="8"/>
      <c r="AK271" s="8"/>
      <c r="AM271" s="8"/>
      <c r="AN271" s="8"/>
      <c r="AO271" s="8"/>
      <c r="AQ271" s="8"/>
      <c r="AR271" s="8"/>
      <c r="AS271" s="8"/>
      <c r="AU271" s="8"/>
      <c r="AV271" s="8"/>
      <c r="AW271" s="8"/>
      <c r="AY271" s="8"/>
      <c r="AZ271" s="8"/>
      <c r="BA271" s="8"/>
      <c r="BD271" s="8"/>
      <c r="BF271" s="10"/>
      <c r="BH271" s="8"/>
      <c r="BJ271" s="10"/>
      <c r="BL271" s="8"/>
      <c r="BN271" s="10"/>
    </row>
    <row r="272" spans="1:66" x14ac:dyDescent="0.15">
      <c r="A272" s="8">
        <v>401001</v>
      </c>
      <c r="B272" s="5" t="s">
        <v>846</v>
      </c>
      <c r="C272" s="8">
        <v>0</v>
      </c>
      <c r="D272" s="8">
        <f t="shared" si="26"/>
        <v>0</v>
      </c>
      <c r="E272" s="16">
        <f t="shared" si="46"/>
        <v>0</v>
      </c>
      <c r="F272" s="16">
        <f t="shared" si="45"/>
        <v>0</v>
      </c>
      <c r="G272" s="8" t="str">
        <f>IF(H272="","",VLOOKUP(H272,引用表合并!$A:$B,2,FALSE))</f>
        <v/>
      </c>
      <c r="K272" s="8" t="str">
        <f>IF(L272="","",VLOOKUP(L272,引用表合并!$A:$B,2,FALSE))</f>
        <v/>
      </c>
      <c r="L272" s="8"/>
      <c r="M272" s="8"/>
      <c r="O272" s="8" t="str">
        <f>IF(P272="","",VLOOKUP(P272,引用表合并!$A:$B,2,FALSE))</f>
        <v/>
      </c>
      <c r="P272" s="8"/>
      <c r="Q272" s="8"/>
      <c r="S272" s="8" t="str">
        <f>IF(T272="","",VLOOKUP(T272,引用表合并!$A:$B,2,FALSE))</f>
        <v/>
      </c>
      <c r="T272" s="8"/>
      <c r="U272" s="8"/>
      <c r="W272" s="8" t="str">
        <f>IF(X272="","",VLOOKUP(X272,引用表合并!$A:$B,2,FALSE))</f>
        <v/>
      </c>
      <c r="X272" s="8"/>
      <c r="Y272" s="8"/>
      <c r="AA272" s="8"/>
      <c r="AB272" s="8"/>
      <c r="AC272" s="8"/>
      <c r="AE272" s="8"/>
      <c r="AF272" s="8"/>
      <c r="AG272" s="8"/>
      <c r="AI272" s="8"/>
      <c r="AJ272" s="8"/>
      <c r="AK272" s="8"/>
      <c r="AM272" s="8"/>
      <c r="AN272" s="8"/>
      <c r="AO272" s="8"/>
      <c r="AQ272" s="8"/>
      <c r="AR272" s="8"/>
      <c r="AS272" s="8"/>
      <c r="AU272" s="8"/>
      <c r="AV272" s="8"/>
      <c r="AW272" s="8"/>
      <c r="AY272" s="8"/>
      <c r="AZ272" s="8"/>
      <c r="BA272" s="8"/>
      <c r="BD272" s="8"/>
      <c r="BF272" s="10"/>
      <c r="BH272" s="8"/>
      <c r="BJ272" s="10"/>
      <c r="BL272" s="8"/>
      <c r="BN272" s="10"/>
    </row>
    <row r="273" spans="1:66" x14ac:dyDescent="0.15">
      <c r="A273" s="8">
        <v>401002</v>
      </c>
      <c r="B273" s="5" t="s">
        <v>847</v>
      </c>
      <c r="C273" s="8">
        <v>0</v>
      </c>
      <c r="D273" s="8">
        <f t="shared" si="26"/>
        <v>1</v>
      </c>
      <c r="E273" s="16">
        <f t="shared" si="46"/>
        <v>1</v>
      </c>
      <c r="F273" s="16">
        <f t="shared" si="45"/>
        <v>1</v>
      </c>
      <c r="G273" s="8" t="str">
        <f>IF(H273="","",VLOOKUP(H273,引用表合并!$A:$B,2,FALSE))</f>
        <v>鎏金腰带</v>
      </c>
      <c r="H273" s="8">
        <v>54306</v>
      </c>
      <c r="I273" s="8">
        <v>1</v>
      </c>
      <c r="J273" s="10">
        <v>10000</v>
      </c>
      <c r="K273" s="8" t="str">
        <f>IF(L273="","",VLOOKUP(L273,引用表合并!$A:$B,2,FALSE))</f>
        <v/>
      </c>
      <c r="L273" s="8"/>
      <c r="M273" s="8"/>
      <c r="O273" s="10" t="str">
        <f>IF(P273="","",VLOOKUP(P273,引用表合并!$A:$B,2,FALSE))</f>
        <v/>
      </c>
      <c r="S273" s="8" t="str">
        <f>IF(T273="","",VLOOKUP(T273,引用表合并!$A:$B,2,FALSE))</f>
        <v/>
      </c>
      <c r="T273" s="8"/>
      <c r="U273" s="8"/>
      <c r="W273" s="8" t="str">
        <f>IF(X273="","",VLOOKUP(X273,引用表合并!$A:$B,2,FALSE))</f>
        <v/>
      </c>
      <c r="X273" s="8"/>
      <c r="Y273" s="8"/>
      <c r="AA273" s="8"/>
      <c r="AB273" s="8"/>
      <c r="AC273" s="8"/>
      <c r="AE273" s="8"/>
      <c r="AF273" s="8"/>
      <c r="AG273" s="8"/>
      <c r="AI273" s="8"/>
      <c r="AJ273" s="8"/>
      <c r="AK273" s="8"/>
      <c r="AM273" s="8"/>
      <c r="AN273" s="8"/>
      <c r="AO273" s="8"/>
      <c r="AQ273" s="8"/>
      <c r="AR273" s="8"/>
      <c r="AS273" s="8"/>
      <c r="AU273" s="8"/>
      <c r="AV273" s="8"/>
      <c r="AW273" s="8"/>
      <c r="AY273" s="8"/>
      <c r="AZ273" s="8"/>
      <c r="BA273" s="8"/>
      <c r="BD273" s="8"/>
      <c r="BF273" s="10"/>
      <c r="BH273" s="8"/>
      <c r="BJ273" s="10"/>
      <c r="BL273" s="8"/>
      <c r="BN273" s="10"/>
    </row>
    <row r="274" spans="1:66" x14ac:dyDescent="0.15">
      <c r="A274" s="8">
        <v>401003</v>
      </c>
      <c r="B274" s="5" t="s">
        <v>848</v>
      </c>
      <c r="C274" s="8">
        <v>0</v>
      </c>
      <c r="D274" s="8">
        <f t="shared" si="26"/>
        <v>1</v>
      </c>
      <c r="E274" s="16">
        <f t="shared" si="46"/>
        <v>1</v>
      </c>
      <c r="F274" s="16">
        <f t="shared" si="45"/>
        <v>1</v>
      </c>
      <c r="G274" s="8" t="str">
        <f>IF(H274="","",VLOOKUP(H274,引用表合并!$A:$B,2,FALSE))</f>
        <v>鎏金战衣</v>
      </c>
      <c r="H274" s="8">
        <v>51306</v>
      </c>
      <c r="I274" s="8">
        <v>1</v>
      </c>
      <c r="J274" s="10">
        <v>10000</v>
      </c>
      <c r="K274" s="8" t="str">
        <f>IF(L274="","",VLOOKUP(L274,引用表合并!$A:$B,2,FALSE))</f>
        <v/>
      </c>
      <c r="L274" s="8"/>
      <c r="M274" s="8"/>
      <c r="O274" s="8" t="str">
        <f>IF(P274="","",VLOOKUP(P274,引用表合并!$A:$B,2,FALSE))</f>
        <v/>
      </c>
      <c r="P274" s="8"/>
      <c r="Q274" s="8"/>
      <c r="S274" s="8" t="str">
        <f>IF(T274="","",VLOOKUP(T274,引用表合并!$A:$B,2,FALSE))</f>
        <v/>
      </c>
      <c r="T274" s="8"/>
      <c r="U274" s="8"/>
      <c r="W274" s="8" t="str">
        <f>IF(X274="","",VLOOKUP(X274,引用表合并!$A:$B,2,FALSE))</f>
        <v/>
      </c>
      <c r="X274" s="8"/>
      <c r="Y274" s="8"/>
      <c r="AA274" s="8"/>
      <c r="AB274" s="8"/>
      <c r="AC274" s="8"/>
      <c r="AE274" s="8"/>
      <c r="AF274" s="8"/>
      <c r="AG274" s="8"/>
      <c r="AI274" s="8"/>
      <c r="AJ274" s="8"/>
      <c r="AK274" s="8"/>
      <c r="AM274" s="8"/>
      <c r="AN274" s="8"/>
      <c r="AO274" s="8"/>
      <c r="AQ274" s="8"/>
      <c r="AR274" s="8"/>
      <c r="AS274" s="8"/>
      <c r="AU274" s="8"/>
      <c r="AV274" s="8"/>
      <c r="AW274" s="8"/>
      <c r="AY274" s="8"/>
      <c r="AZ274" s="8"/>
      <c r="BA274" s="8"/>
      <c r="BD274" s="8"/>
      <c r="BF274" s="10"/>
      <c r="BH274" s="8"/>
      <c r="BJ274" s="10"/>
      <c r="BL274" s="8"/>
      <c r="BN274" s="10"/>
    </row>
    <row r="275" spans="1:66" x14ac:dyDescent="0.15">
      <c r="A275" s="8">
        <v>401004</v>
      </c>
      <c r="B275" s="5" t="s">
        <v>849</v>
      </c>
      <c r="C275" s="8">
        <v>0</v>
      </c>
      <c r="D275" s="8">
        <f t="shared" si="26"/>
        <v>1</v>
      </c>
      <c r="E275" s="16">
        <f t="shared" si="46"/>
        <v>1</v>
      </c>
      <c r="F275" s="16">
        <f t="shared" si="45"/>
        <v>1</v>
      </c>
      <c r="G275" s="8" t="str">
        <f>IF(H275="","",VLOOKUP(H275,引用表合并!$A:$B,2,FALSE))</f>
        <v>鎏金长裤</v>
      </c>
      <c r="H275" s="8">
        <v>52306</v>
      </c>
      <c r="I275" s="8">
        <v>1</v>
      </c>
      <c r="J275" s="10">
        <v>10000</v>
      </c>
      <c r="K275" s="8" t="str">
        <f>IF(L275="","",VLOOKUP(L275,引用表合并!$A:$B,2,FALSE))</f>
        <v/>
      </c>
      <c r="L275" s="8"/>
      <c r="M275" s="8"/>
      <c r="O275" s="8" t="str">
        <f>IF(P275="","",VLOOKUP(P275,引用表合并!$A:$B,2,FALSE))</f>
        <v/>
      </c>
      <c r="P275" s="8"/>
      <c r="Q275" s="8"/>
      <c r="S275" s="8" t="str">
        <f>IF(T275="","",VLOOKUP(T275,引用表合并!$A:$B,2,FALSE))</f>
        <v/>
      </c>
      <c r="T275" s="8"/>
      <c r="U275" s="8"/>
      <c r="W275" s="8" t="str">
        <f>IF(X275="","",VLOOKUP(X275,引用表合并!$A:$B,2,FALSE))</f>
        <v/>
      </c>
      <c r="X275" s="8"/>
      <c r="Y275" s="8"/>
      <c r="AA275" s="8"/>
      <c r="AB275" s="8"/>
      <c r="AC275" s="8"/>
      <c r="AE275" s="8"/>
      <c r="AF275" s="8"/>
      <c r="AG275" s="8"/>
      <c r="AI275" s="8"/>
      <c r="AJ275" s="8"/>
      <c r="AK275" s="8"/>
      <c r="AM275" s="8"/>
      <c r="AN275" s="8"/>
      <c r="AO275" s="8"/>
      <c r="AQ275" s="8"/>
      <c r="AR275" s="8"/>
      <c r="AS275" s="8"/>
      <c r="AU275" s="8"/>
      <c r="AV275" s="8"/>
      <c r="AW275" s="8"/>
      <c r="AY275" s="8"/>
      <c r="AZ275" s="8"/>
      <c r="BA275" s="8"/>
      <c r="BD275" s="8"/>
      <c r="BF275" s="10"/>
      <c r="BH275" s="8"/>
      <c r="BJ275" s="10"/>
      <c r="BL275" s="8"/>
      <c r="BN275" s="10"/>
    </row>
    <row r="276" spans="1:66" x14ac:dyDescent="0.15">
      <c r="A276" s="8">
        <v>401005</v>
      </c>
      <c r="B276" s="5" t="s">
        <v>850</v>
      </c>
      <c r="C276" s="8">
        <v>0</v>
      </c>
      <c r="D276" s="8">
        <f t="shared" si="26"/>
        <v>1</v>
      </c>
      <c r="E276" s="16">
        <f t="shared" si="46"/>
        <v>1</v>
      </c>
      <c r="F276" s="16">
        <f t="shared" si="45"/>
        <v>1</v>
      </c>
      <c r="G276" s="8" t="str">
        <f>IF(H276="","",VLOOKUP(H276,引用表合并!$A:$B,2,FALSE))</f>
        <v>鎏金项链</v>
      </c>
      <c r="H276" s="8">
        <v>53306</v>
      </c>
      <c r="I276" s="8">
        <v>1</v>
      </c>
      <c r="J276" s="10">
        <v>10000</v>
      </c>
      <c r="K276" s="8" t="str">
        <f>IF(L276="","",VLOOKUP(L276,引用表合并!$A:$B,2,FALSE))</f>
        <v/>
      </c>
      <c r="L276" s="8"/>
      <c r="M276" s="8"/>
      <c r="O276" s="8" t="str">
        <f>IF(P276="","",VLOOKUP(P276,引用表合并!$A:$B,2,FALSE))</f>
        <v/>
      </c>
      <c r="P276" s="8"/>
      <c r="Q276" s="8"/>
      <c r="S276" s="8" t="str">
        <f>IF(T276="","",VLOOKUP(T276,引用表合并!$A:$B,2,FALSE))</f>
        <v/>
      </c>
      <c r="T276" s="8"/>
      <c r="U276" s="8"/>
      <c r="W276" s="8" t="str">
        <f>IF(X276="","",VLOOKUP(X276,引用表合并!$A:$B,2,FALSE))</f>
        <v/>
      </c>
      <c r="X276" s="8"/>
      <c r="Y276" s="8"/>
      <c r="AA276" s="8"/>
      <c r="AB276" s="8"/>
      <c r="AC276" s="8"/>
      <c r="AE276" s="8"/>
      <c r="AF276" s="8"/>
      <c r="AG276" s="8"/>
      <c r="AI276" s="8"/>
      <c r="AJ276" s="8"/>
      <c r="AK276" s="8"/>
      <c r="AM276" s="8"/>
      <c r="AN276" s="8"/>
      <c r="AO276" s="8"/>
      <c r="AQ276" s="8"/>
      <c r="AR276" s="8"/>
      <c r="AS276" s="8"/>
      <c r="AU276" s="8"/>
      <c r="AV276" s="8"/>
      <c r="AW276" s="8"/>
      <c r="AY276" s="8"/>
      <c r="AZ276" s="8"/>
      <c r="BA276" s="8"/>
      <c r="BD276" s="8"/>
      <c r="BF276" s="10"/>
      <c r="BH276" s="8"/>
      <c r="BJ276" s="10"/>
      <c r="BL276" s="8"/>
      <c r="BN276" s="10"/>
    </row>
    <row r="277" spans="1:66" x14ac:dyDescent="0.15">
      <c r="A277" s="8">
        <v>401006</v>
      </c>
      <c r="B277" s="5" t="s">
        <v>851</v>
      </c>
      <c r="C277" s="8">
        <v>0</v>
      </c>
      <c r="D277" s="8">
        <f t="shared" si="26"/>
        <v>1</v>
      </c>
      <c r="E277" s="16">
        <f t="shared" si="46"/>
        <v>1</v>
      </c>
      <c r="F277" s="16">
        <f t="shared" si="45"/>
        <v>1</v>
      </c>
      <c r="G277" s="8" t="str">
        <f>IF(H277="","",VLOOKUP(H277,引用表合并!$A:$B,2,FALSE))</f>
        <v>鎏金长靴</v>
      </c>
      <c r="H277" s="8">
        <v>55306</v>
      </c>
      <c r="I277" s="8">
        <v>1</v>
      </c>
      <c r="J277" s="10">
        <v>10000</v>
      </c>
      <c r="K277" s="8" t="str">
        <f>IF(L277="","",VLOOKUP(L277,引用表合并!$A:$B,2,FALSE))</f>
        <v/>
      </c>
      <c r="L277" s="8"/>
      <c r="M277" s="8"/>
      <c r="O277" s="8" t="str">
        <f>IF(P277="","",VLOOKUP(P277,引用表合并!$A:$B,2,FALSE))</f>
        <v/>
      </c>
      <c r="P277" s="8"/>
      <c r="Q277" s="8"/>
      <c r="S277" s="8" t="str">
        <f>IF(T277="","",VLOOKUP(T277,引用表合并!$A:$B,2,FALSE))</f>
        <v/>
      </c>
      <c r="T277" s="8"/>
      <c r="U277" s="8"/>
      <c r="W277" s="8" t="str">
        <f>IF(X277="","",VLOOKUP(X277,引用表合并!$A:$B,2,FALSE))</f>
        <v/>
      </c>
      <c r="X277" s="8"/>
      <c r="Y277" s="8"/>
      <c r="AA277" s="8"/>
      <c r="AB277" s="8"/>
      <c r="AC277" s="8"/>
      <c r="AE277" s="8"/>
      <c r="AF277" s="8"/>
      <c r="AG277" s="8"/>
      <c r="AI277" s="8"/>
      <c r="AJ277" s="8"/>
      <c r="AK277" s="8"/>
      <c r="AM277" s="8"/>
      <c r="AN277" s="8"/>
      <c r="AO277" s="8"/>
      <c r="AQ277" s="8"/>
      <c r="AR277" s="8"/>
      <c r="AS277" s="8"/>
      <c r="AU277" s="8"/>
      <c r="AV277" s="8"/>
      <c r="AW277" s="8"/>
      <c r="AY277" s="8"/>
      <c r="AZ277" s="8"/>
      <c r="BA277" s="8"/>
      <c r="BD277" s="8"/>
      <c r="BF277" s="10"/>
      <c r="BH277" s="8"/>
      <c r="BJ277" s="10"/>
      <c r="BL277" s="8"/>
      <c r="BN277" s="10"/>
    </row>
    <row r="278" spans="1:66" x14ac:dyDescent="0.15">
      <c r="A278" s="8">
        <v>401007</v>
      </c>
      <c r="B278" s="5" t="s">
        <v>852</v>
      </c>
      <c r="C278" s="8">
        <v>1</v>
      </c>
      <c r="D278" s="8">
        <f t="shared" si="26"/>
        <v>3</v>
      </c>
      <c r="E278" s="16">
        <f t="shared" si="46"/>
        <v>3</v>
      </c>
      <c r="F278" s="16">
        <f t="shared" si="45"/>
        <v>3</v>
      </c>
      <c r="G278" s="8" t="str">
        <f>IF(H278="","",VLOOKUP(H278,引用表合并!$A:$B,2,FALSE))</f>
        <v>鎏金之剑</v>
      </c>
      <c r="H278" s="8">
        <v>10306</v>
      </c>
      <c r="I278" s="8">
        <v>1</v>
      </c>
      <c r="J278" s="10">
        <v>10000</v>
      </c>
      <c r="K278" s="8" t="str">
        <f>IF(L278="","",VLOOKUP(L278,引用表合并!$A:$B,2,FALSE))</f>
        <v>鎏金之拳</v>
      </c>
      <c r="L278" s="8">
        <v>20306</v>
      </c>
      <c r="M278" s="8">
        <v>1</v>
      </c>
      <c r="N278" s="10">
        <v>10000</v>
      </c>
      <c r="O278" s="8" t="str">
        <f>IF(P278="","",VLOOKUP(P278,引用表合并!$A:$B,2,FALSE))</f>
        <v>鎏金之枪</v>
      </c>
      <c r="P278" s="8">
        <v>30306</v>
      </c>
      <c r="Q278" s="8">
        <v>1</v>
      </c>
      <c r="R278" s="10">
        <v>10000</v>
      </c>
      <c r="S278" s="8" t="str">
        <f>IF(T278="","",VLOOKUP(T278,引用表合并!$A:$B,2,FALSE))</f>
        <v/>
      </c>
      <c r="T278" s="8"/>
      <c r="U278" s="8"/>
      <c r="W278" s="8" t="str">
        <f>IF(X278="","",VLOOKUP(X278,引用表合并!$A:$B,2,FALSE))</f>
        <v/>
      </c>
      <c r="X278" s="8"/>
      <c r="Y278" s="8"/>
      <c r="AA278" s="8"/>
      <c r="AB278" s="8"/>
      <c r="AC278" s="8"/>
      <c r="AE278" s="8"/>
      <c r="AF278" s="8"/>
      <c r="AG278" s="8"/>
      <c r="AI278" s="8"/>
      <c r="AJ278" s="8"/>
      <c r="AK278" s="8"/>
      <c r="AM278" s="8"/>
      <c r="AN278" s="8"/>
      <c r="AO278" s="8"/>
      <c r="AQ278" s="8"/>
      <c r="AR278" s="8"/>
      <c r="AS278" s="8"/>
      <c r="AU278" s="8"/>
      <c r="AV278" s="8"/>
      <c r="AW278" s="8"/>
      <c r="AY278" s="8"/>
      <c r="AZ278" s="8"/>
      <c r="BA278" s="8"/>
      <c r="BD278" s="8"/>
      <c r="BF278" s="10"/>
      <c r="BH278" s="8"/>
      <c r="BJ278" s="10"/>
      <c r="BL278" s="8"/>
      <c r="BN278" s="10"/>
    </row>
    <row r="279" spans="1:66" x14ac:dyDescent="0.15">
      <c r="A279" s="8">
        <v>401008</v>
      </c>
      <c r="B279" s="5" t="s">
        <v>853</v>
      </c>
      <c r="C279" s="8">
        <v>0</v>
      </c>
      <c r="D279" s="8">
        <f t="shared" si="26"/>
        <v>0</v>
      </c>
      <c r="E279" s="16">
        <f t="shared" si="46"/>
        <v>0</v>
      </c>
      <c r="F279" s="16">
        <f t="shared" si="45"/>
        <v>0</v>
      </c>
      <c r="G279" s="8" t="str">
        <f>IF(H279="","",VLOOKUP(H279,引用表合并!$A:$B,2,FALSE))</f>
        <v/>
      </c>
      <c r="K279" s="8" t="str">
        <f>IF(L279="","",VLOOKUP(L279,引用表合并!$A:$B,2,FALSE))</f>
        <v/>
      </c>
      <c r="L279" s="8"/>
      <c r="M279" s="8"/>
      <c r="O279" s="8" t="str">
        <f>IF(P279="","",VLOOKUP(P279,引用表合并!$A:$B,2,FALSE))</f>
        <v/>
      </c>
      <c r="P279" s="8"/>
      <c r="Q279" s="8"/>
      <c r="S279" s="8" t="str">
        <f>IF(T279="","",VLOOKUP(T279,引用表合并!$A:$B,2,FALSE))</f>
        <v/>
      </c>
      <c r="T279" s="8"/>
      <c r="U279" s="8"/>
      <c r="W279" s="8" t="str">
        <f>IF(X279="","",VLOOKUP(X279,引用表合并!$A:$B,2,FALSE))</f>
        <v/>
      </c>
      <c r="X279" s="8"/>
      <c r="Y279" s="8"/>
      <c r="AA279" s="8"/>
      <c r="AB279" s="8"/>
      <c r="AC279" s="8"/>
      <c r="AE279" s="8"/>
      <c r="AF279" s="8"/>
      <c r="AG279" s="8"/>
      <c r="AI279" s="8"/>
      <c r="AJ279" s="8"/>
      <c r="AK279" s="8"/>
      <c r="AM279" s="8"/>
      <c r="AN279" s="8"/>
      <c r="AO279" s="8"/>
      <c r="AQ279" s="8"/>
      <c r="AR279" s="8"/>
      <c r="AS279" s="8"/>
      <c r="AU279" s="8"/>
      <c r="AV279" s="8"/>
      <c r="AW279" s="8"/>
      <c r="AY279" s="8"/>
      <c r="AZ279" s="8"/>
      <c r="BA279" s="8"/>
      <c r="BD279" s="8"/>
      <c r="BF279" s="10"/>
      <c r="BH279" s="8"/>
      <c r="BJ279" s="10"/>
      <c r="BL279" s="8"/>
      <c r="BN279" s="10"/>
    </row>
    <row r="280" spans="1:66" x14ac:dyDescent="0.15">
      <c r="A280" s="8">
        <v>402001</v>
      </c>
      <c r="B280" s="5" t="s">
        <v>854</v>
      </c>
      <c r="C280" s="8">
        <v>0</v>
      </c>
      <c r="D280" s="8">
        <f t="shared" si="26"/>
        <v>1</v>
      </c>
      <c r="E280" s="16">
        <f t="shared" si="46"/>
        <v>1</v>
      </c>
      <c r="F280" s="16">
        <f t="shared" si="45"/>
        <v>1</v>
      </c>
      <c r="G280" s="8" t="str">
        <f>IF(H280="","",VLOOKUP(H280,引用表合并!$A:$B,2,FALSE))</f>
        <v>战无不胜</v>
      </c>
      <c r="H280" s="8">
        <v>83007</v>
      </c>
      <c r="I280" s="8">
        <v>1</v>
      </c>
      <c r="J280" s="10">
        <v>10000</v>
      </c>
      <c r="K280" s="8" t="str">
        <f>IF(L280="","",VLOOKUP(L280,引用表合并!$A:$B,2,FALSE))</f>
        <v/>
      </c>
      <c r="L280" s="8"/>
      <c r="M280" s="8"/>
      <c r="O280" s="8"/>
      <c r="P280" s="8"/>
      <c r="Q280" s="8"/>
      <c r="S280" s="8"/>
      <c r="T280" s="8"/>
      <c r="U280" s="8"/>
      <c r="W280" s="8"/>
      <c r="X280" s="8"/>
      <c r="Y280" s="8"/>
      <c r="AA280" s="8"/>
      <c r="AB280" s="8"/>
      <c r="AC280" s="8"/>
      <c r="AE280" s="8"/>
      <c r="AF280" s="8"/>
      <c r="AG280" s="8"/>
      <c r="AI280" s="8"/>
      <c r="AJ280" s="8"/>
      <c r="AK280" s="8"/>
      <c r="AM280" s="8"/>
      <c r="AN280" s="8"/>
      <c r="AO280" s="8"/>
      <c r="AQ280" s="8"/>
      <c r="AR280" s="8"/>
      <c r="AS280" s="8"/>
      <c r="AU280" s="8"/>
      <c r="AV280" s="8"/>
      <c r="AW280" s="8"/>
      <c r="AY280" s="8"/>
      <c r="AZ280" s="8"/>
      <c r="BA280" s="8"/>
      <c r="BD280" s="8"/>
      <c r="BF280" s="10"/>
      <c r="BH280" s="8"/>
      <c r="BJ280" s="10"/>
      <c r="BL280" s="8"/>
      <c r="BN280" s="10"/>
    </row>
    <row r="281" spans="1:66" x14ac:dyDescent="0.15">
      <c r="A281" s="8">
        <v>403001</v>
      </c>
      <c r="B281" s="64" t="s">
        <v>961</v>
      </c>
      <c r="C281" s="8">
        <v>0</v>
      </c>
      <c r="D281" s="8">
        <f t="shared" ref="D281:D294" si="48">E281</f>
        <v>0</v>
      </c>
      <c r="E281" s="16">
        <f t="shared" si="46"/>
        <v>0</v>
      </c>
      <c r="F281" s="16">
        <f t="shared" ref="F281:F294" si="49">E281</f>
        <v>0</v>
      </c>
      <c r="G281" s="8" t="str">
        <f>IF(H281="","",VLOOKUP(H281,引用表合并!$A:$B,2,FALSE))</f>
        <v/>
      </c>
      <c r="K281" s="8" t="str">
        <f>IF(L281="","",VLOOKUP(L281,引用表合并!$A:$B,2,FALSE))</f>
        <v/>
      </c>
      <c r="L281" s="8"/>
      <c r="M281" s="8"/>
      <c r="O281" s="8" t="str">
        <f>IF(P281="","",VLOOKUP(P281,引用表合并!$A:$B,2,FALSE))</f>
        <v/>
      </c>
      <c r="P281" s="8"/>
      <c r="Q281" s="8"/>
      <c r="S281" s="8" t="str">
        <f>IF(T281="","",VLOOKUP(T281,引用表合并!$A:$B,2,FALSE))</f>
        <v/>
      </c>
      <c r="T281" s="8"/>
      <c r="U281" s="8"/>
      <c r="W281" s="8" t="str">
        <f>IF(X281="","",VLOOKUP(X281,引用表合并!$A:$B,2,FALSE))</f>
        <v/>
      </c>
      <c r="X281" s="8"/>
      <c r="Y281" s="8"/>
      <c r="AA281" s="8" t="str">
        <f>IF(AB281="","",VLOOKUP(AB281,引用表合并!$A:$B,2,FALSE))</f>
        <v/>
      </c>
      <c r="AB281" s="8"/>
      <c r="AC281" s="8"/>
      <c r="AE281" s="8"/>
      <c r="AF281" s="8"/>
      <c r="AG281" s="8"/>
      <c r="AI281" s="8"/>
      <c r="AJ281" s="8"/>
      <c r="AK281" s="8"/>
      <c r="AM281" s="8"/>
      <c r="AN281" s="8"/>
      <c r="AO281" s="8"/>
      <c r="AQ281" s="8"/>
      <c r="AR281" s="8"/>
      <c r="AS281" s="8"/>
      <c r="AU281" s="8"/>
      <c r="AV281" s="8"/>
      <c r="AW281" s="8"/>
      <c r="AY281" s="8"/>
      <c r="AZ281" s="8"/>
      <c r="BA281" s="8"/>
      <c r="BD281" s="8"/>
      <c r="BF281" s="10"/>
      <c r="BH281" s="8"/>
      <c r="BJ281" s="10"/>
      <c r="BL281" s="8"/>
      <c r="BN281" s="10"/>
    </row>
    <row r="282" spans="1:66" x14ac:dyDescent="0.15">
      <c r="A282" s="8">
        <v>403002</v>
      </c>
      <c r="B282" s="64" t="s">
        <v>962</v>
      </c>
      <c r="C282" s="8">
        <v>0</v>
      </c>
      <c r="D282" s="8">
        <f t="shared" si="48"/>
        <v>1</v>
      </c>
      <c r="E282" s="16">
        <f t="shared" si="46"/>
        <v>1</v>
      </c>
      <c r="F282" s="16">
        <f t="shared" si="49"/>
        <v>1</v>
      </c>
      <c r="G282" s="8" t="str">
        <f>IF(H282="","",VLOOKUP(H282,引用表合并!$A:$B,2,FALSE))</f>
        <v>紫云战衣</v>
      </c>
      <c r="H282" s="8">
        <v>51205</v>
      </c>
      <c r="I282" s="8">
        <v>1</v>
      </c>
      <c r="J282" s="10">
        <v>10000</v>
      </c>
      <c r="K282" s="8" t="str">
        <f>IF(L282="","",VLOOKUP(L282,引用表合并!$A:$B,2,FALSE))</f>
        <v/>
      </c>
      <c r="L282" s="8"/>
      <c r="M282" s="8"/>
      <c r="O282" s="8" t="str">
        <f>IF(P282="","",VLOOKUP(P282,引用表合并!$A:$B,2,FALSE))</f>
        <v/>
      </c>
      <c r="P282" s="8"/>
      <c r="Q282" s="8"/>
      <c r="S282" s="8" t="str">
        <f>IF(T282="","",VLOOKUP(T282,引用表合并!$A:$B,2,FALSE))</f>
        <v/>
      </c>
      <c r="T282" s="8"/>
      <c r="U282" s="8"/>
      <c r="W282" s="8" t="str">
        <f>IF(X282="","",VLOOKUP(X282,引用表合并!$A:$B,2,FALSE))</f>
        <v/>
      </c>
      <c r="X282" s="8"/>
      <c r="Y282" s="8"/>
      <c r="AA282" s="8"/>
      <c r="AB282" s="8"/>
      <c r="AC282" s="8"/>
      <c r="AE282" s="8"/>
      <c r="AF282" s="8"/>
      <c r="AG282" s="8"/>
      <c r="AI282" s="8"/>
      <c r="AJ282" s="8"/>
      <c r="AK282" s="8"/>
      <c r="AM282" s="8"/>
      <c r="AN282" s="8"/>
      <c r="AO282" s="8"/>
      <c r="AQ282" s="8"/>
      <c r="AR282" s="8"/>
      <c r="AS282" s="8"/>
      <c r="AU282" s="8"/>
      <c r="AV282" s="8"/>
      <c r="AW282" s="8"/>
      <c r="AY282" s="8"/>
      <c r="AZ282" s="8"/>
      <c r="BA282" s="8"/>
      <c r="BD282" s="8"/>
      <c r="BF282" s="10"/>
      <c r="BH282" s="8"/>
      <c r="BJ282" s="10"/>
      <c r="BL282" s="8"/>
      <c r="BN282" s="10"/>
    </row>
    <row r="283" spans="1:66" x14ac:dyDescent="0.15">
      <c r="A283" s="8">
        <v>403003</v>
      </c>
      <c r="B283" s="64" t="s">
        <v>963</v>
      </c>
      <c r="C283" s="8">
        <v>0</v>
      </c>
      <c r="D283" s="8">
        <f t="shared" si="48"/>
        <v>1</v>
      </c>
      <c r="E283" s="16">
        <f t="shared" si="46"/>
        <v>1</v>
      </c>
      <c r="F283" s="16">
        <f t="shared" si="49"/>
        <v>1</v>
      </c>
      <c r="G283" s="8" t="str">
        <f>IF(H283="","",VLOOKUP(H283,引用表合并!$A:$B,2,FALSE))</f>
        <v>紫云长裤</v>
      </c>
      <c r="H283" s="8">
        <v>52205</v>
      </c>
      <c r="I283" s="8">
        <v>1</v>
      </c>
      <c r="J283" s="10">
        <v>10000</v>
      </c>
      <c r="K283" s="8" t="str">
        <f>IF(L283="","",VLOOKUP(L283,引用表合并!$A:$B,2,FALSE))</f>
        <v/>
      </c>
      <c r="L283" s="8"/>
      <c r="M283" s="8"/>
      <c r="O283" s="10" t="str">
        <f>IF(P283="","",VLOOKUP(P283,引用表合并!$A:$B,2,FALSE))</f>
        <v/>
      </c>
      <c r="S283" s="8" t="str">
        <f>IF(T283="","",VLOOKUP(T283,引用表合并!$A:$B,2,FALSE))</f>
        <v/>
      </c>
      <c r="T283" s="8"/>
      <c r="U283" s="8"/>
      <c r="W283" s="8" t="str">
        <f>IF(X283="","",VLOOKUP(X283,引用表合并!$A:$B,2,FALSE))</f>
        <v/>
      </c>
      <c r="X283" s="8"/>
      <c r="Y283" s="8"/>
      <c r="AA283" s="8"/>
      <c r="AB283" s="8"/>
      <c r="AC283" s="8"/>
      <c r="AE283" s="8"/>
      <c r="AF283" s="8"/>
      <c r="AG283" s="8"/>
      <c r="AI283" s="8"/>
      <c r="AJ283" s="8"/>
      <c r="AK283" s="8"/>
      <c r="AM283" s="8"/>
      <c r="AN283" s="8"/>
      <c r="AO283" s="8"/>
      <c r="AQ283" s="8"/>
      <c r="AR283" s="8"/>
      <c r="AS283" s="8"/>
      <c r="AU283" s="8"/>
      <c r="AV283" s="8"/>
      <c r="AW283" s="8"/>
      <c r="AY283" s="8"/>
      <c r="AZ283" s="8"/>
      <c r="BA283" s="8"/>
      <c r="BD283" s="8"/>
      <c r="BF283" s="10"/>
      <c r="BH283" s="8"/>
      <c r="BJ283" s="10"/>
      <c r="BL283" s="8"/>
      <c r="BN283" s="10"/>
    </row>
    <row r="284" spans="1:66" x14ac:dyDescent="0.15">
      <c r="A284" s="8">
        <v>403004</v>
      </c>
      <c r="B284" s="64" t="s">
        <v>964</v>
      </c>
      <c r="C284" s="8">
        <v>0</v>
      </c>
      <c r="D284" s="8">
        <f t="shared" si="48"/>
        <v>1</v>
      </c>
      <c r="E284" s="16">
        <f t="shared" si="46"/>
        <v>1</v>
      </c>
      <c r="F284" s="16">
        <f t="shared" si="49"/>
        <v>1</v>
      </c>
      <c r="G284" s="8" t="str">
        <f>IF(H284="","",VLOOKUP(H284,引用表合并!$A:$B,2,FALSE))</f>
        <v>紫云长靴</v>
      </c>
      <c r="H284" s="8">
        <v>55205</v>
      </c>
      <c r="I284" s="8">
        <v>1</v>
      </c>
      <c r="J284" s="10">
        <v>10000</v>
      </c>
      <c r="K284" s="8" t="str">
        <f>IF(L284="","",VLOOKUP(L284,引用表合并!$A:$B,2,FALSE))</f>
        <v/>
      </c>
      <c r="L284" s="8"/>
      <c r="M284" s="8"/>
      <c r="O284" s="8" t="str">
        <f>IF(P284="","",VLOOKUP(P284,引用表合并!$A:$B,2,FALSE))</f>
        <v/>
      </c>
      <c r="P284" s="8"/>
      <c r="Q284" s="8"/>
      <c r="S284" s="8" t="str">
        <f>IF(T284="","",VLOOKUP(T284,引用表合并!$A:$B,2,FALSE))</f>
        <v/>
      </c>
      <c r="T284" s="8"/>
      <c r="U284" s="8"/>
      <c r="W284" s="8" t="str">
        <f>IF(X284="","",VLOOKUP(X284,引用表合并!$A:$B,2,FALSE))</f>
        <v/>
      </c>
      <c r="X284" s="8"/>
      <c r="Y284" s="8"/>
      <c r="AA284" s="8"/>
      <c r="AB284" s="8"/>
      <c r="AC284" s="8"/>
      <c r="AE284" s="8"/>
      <c r="AF284" s="8"/>
      <c r="AG284" s="8"/>
      <c r="AI284" s="8"/>
      <c r="AJ284" s="8"/>
      <c r="AK284" s="8"/>
      <c r="AM284" s="8"/>
      <c r="AN284" s="8"/>
      <c r="AO284" s="8"/>
      <c r="AQ284" s="8"/>
      <c r="AR284" s="8"/>
      <c r="AS284" s="8"/>
      <c r="AU284" s="8"/>
      <c r="AV284" s="8"/>
      <c r="AW284" s="8"/>
      <c r="AY284" s="8"/>
      <c r="AZ284" s="8"/>
      <c r="BA284" s="8"/>
      <c r="BD284" s="8"/>
      <c r="BF284" s="10"/>
      <c r="BH284" s="8"/>
      <c r="BJ284" s="10"/>
      <c r="BL284" s="8"/>
      <c r="BN284" s="10"/>
    </row>
    <row r="285" spans="1:66" x14ac:dyDescent="0.15">
      <c r="A285" s="8">
        <v>403005</v>
      </c>
      <c r="B285" s="64" t="s">
        <v>965</v>
      </c>
      <c r="C285" s="8">
        <v>0</v>
      </c>
      <c r="D285" s="8">
        <f t="shared" si="48"/>
        <v>1</v>
      </c>
      <c r="E285" s="16">
        <f t="shared" si="46"/>
        <v>1</v>
      </c>
      <c r="F285" s="16">
        <f t="shared" si="49"/>
        <v>1</v>
      </c>
      <c r="G285" s="8" t="str">
        <f>IF(H285="","",VLOOKUP(H285,引用表合并!$A:$B,2,FALSE))</f>
        <v>紫云腰带</v>
      </c>
      <c r="H285" s="8">
        <v>54205</v>
      </c>
      <c r="I285" s="8">
        <v>1</v>
      </c>
      <c r="J285" s="10">
        <v>10000</v>
      </c>
      <c r="K285" s="8" t="str">
        <f>IF(L285="","",VLOOKUP(L285,引用表合并!$A:$B,2,FALSE))</f>
        <v/>
      </c>
      <c r="L285" s="8"/>
      <c r="M285" s="8"/>
      <c r="O285" s="8" t="str">
        <f>IF(P285="","",VLOOKUP(P285,引用表合并!$A:$B,2,FALSE))</f>
        <v/>
      </c>
      <c r="P285" s="8"/>
      <c r="Q285" s="8"/>
      <c r="S285" s="8" t="str">
        <f>IF(T285="","",VLOOKUP(T285,引用表合并!$A:$B,2,FALSE))</f>
        <v/>
      </c>
      <c r="T285" s="8"/>
      <c r="U285" s="8"/>
      <c r="W285" s="8" t="str">
        <f>IF(X285="","",VLOOKUP(X285,引用表合并!$A:$B,2,FALSE))</f>
        <v/>
      </c>
      <c r="X285" s="8"/>
      <c r="Y285" s="8"/>
      <c r="AA285" s="8"/>
      <c r="AB285" s="8"/>
      <c r="AC285" s="8"/>
      <c r="AE285" s="8"/>
      <c r="AF285" s="8"/>
      <c r="AG285" s="8"/>
      <c r="AI285" s="8"/>
      <c r="AJ285" s="8"/>
      <c r="AK285" s="8"/>
      <c r="AM285" s="8"/>
      <c r="AN285" s="8"/>
      <c r="AO285" s="8"/>
      <c r="AQ285" s="8"/>
      <c r="AR285" s="8"/>
      <c r="AS285" s="8"/>
      <c r="AU285" s="8"/>
      <c r="AV285" s="8"/>
      <c r="AW285" s="8"/>
      <c r="AY285" s="8"/>
      <c r="AZ285" s="8"/>
      <c r="BA285" s="8"/>
      <c r="BD285" s="8"/>
      <c r="BF285" s="10"/>
      <c r="BH285" s="8"/>
      <c r="BJ285" s="10"/>
      <c r="BL285" s="8"/>
      <c r="BN285" s="10"/>
    </row>
    <row r="286" spans="1:66" x14ac:dyDescent="0.15">
      <c r="A286" s="8">
        <v>403006</v>
      </c>
      <c r="B286" s="64" t="s">
        <v>966</v>
      </c>
      <c r="C286" s="8">
        <v>0</v>
      </c>
      <c r="D286" s="8">
        <f t="shared" si="48"/>
        <v>1</v>
      </c>
      <c r="E286" s="16">
        <f t="shared" si="46"/>
        <v>1</v>
      </c>
      <c r="F286" s="16">
        <f t="shared" si="49"/>
        <v>1</v>
      </c>
      <c r="G286" s="8" t="str">
        <f>IF(H286="","",VLOOKUP(H286,引用表合并!$A:$B,2,FALSE))</f>
        <v>紫云项链</v>
      </c>
      <c r="H286" s="8">
        <v>53205</v>
      </c>
      <c r="I286" s="8">
        <v>1</v>
      </c>
      <c r="J286" s="10">
        <v>10000</v>
      </c>
      <c r="K286" s="8" t="str">
        <f>IF(L286="","",VLOOKUP(L286,引用表合并!$A:$B,2,FALSE))</f>
        <v/>
      </c>
      <c r="L286" s="8"/>
      <c r="M286" s="8"/>
      <c r="O286" s="8" t="str">
        <f>IF(P286="","",VLOOKUP(P286,引用表合并!$A:$B,2,FALSE))</f>
        <v/>
      </c>
      <c r="P286" s="8"/>
      <c r="Q286" s="8"/>
      <c r="S286" s="8" t="str">
        <f>IF(T286="","",VLOOKUP(T286,引用表合并!$A:$B,2,FALSE))</f>
        <v/>
      </c>
      <c r="T286" s="8"/>
      <c r="U286" s="8"/>
      <c r="W286" s="8" t="str">
        <f>IF(X286="","",VLOOKUP(X286,引用表合并!$A:$B,2,FALSE))</f>
        <v/>
      </c>
      <c r="X286" s="8"/>
      <c r="Y286" s="8"/>
      <c r="AA286" s="8"/>
      <c r="AB286" s="8"/>
      <c r="AC286" s="8"/>
      <c r="AE286" s="8"/>
      <c r="AF286" s="8"/>
      <c r="AG286" s="8"/>
      <c r="AI286" s="8"/>
      <c r="AJ286" s="8"/>
      <c r="AK286" s="8"/>
      <c r="AM286" s="8"/>
      <c r="AN286" s="8"/>
      <c r="AO286" s="8"/>
      <c r="AQ286" s="8"/>
      <c r="AR286" s="8"/>
      <c r="AS286" s="8"/>
      <c r="AU286" s="8"/>
      <c r="AV286" s="8"/>
      <c r="AW286" s="8"/>
      <c r="AY286" s="8"/>
      <c r="AZ286" s="8"/>
      <c r="BA286" s="8"/>
      <c r="BD286" s="8"/>
      <c r="BF286" s="10"/>
      <c r="BH286" s="8"/>
      <c r="BJ286" s="10"/>
      <c r="BL286" s="8"/>
      <c r="BN286" s="10"/>
    </row>
    <row r="287" spans="1:66" x14ac:dyDescent="0.15">
      <c r="A287" s="8">
        <v>403007</v>
      </c>
      <c r="B287" s="64" t="s">
        <v>967</v>
      </c>
      <c r="C287" s="8">
        <v>0</v>
      </c>
      <c r="D287" s="8">
        <f t="shared" si="48"/>
        <v>0</v>
      </c>
      <c r="E287" s="16">
        <f t="shared" si="46"/>
        <v>0</v>
      </c>
      <c r="F287" s="16">
        <f t="shared" si="49"/>
        <v>0</v>
      </c>
      <c r="G287" s="8" t="str">
        <f>IF(H287="","",VLOOKUP(H287,引用表合并!$A:$B,2,FALSE))</f>
        <v/>
      </c>
      <c r="K287" s="8" t="str">
        <f>IF(L287="","",VLOOKUP(L287,引用表合并!$A:$B,2,FALSE))</f>
        <v/>
      </c>
      <c r="L287" s="8"/>
      <c r="M287" s="8"/>
      <c r="O287" s="8" t="str">
        <f>IF(P287="","",VLOOKUP(P287,引用表合并!$A:$B,2,FALSE))</f>
        <v/>
      </c>
      <c r="P287" s="8"/>
      <c r="Q287" s="8"/>
      <c r="S287" s="8" t="str">
        <f>IF(T287="","",VLOOKUP(T287,引用表合并!$A:$B,2,FALSE))</f>
        <v/>
      </c>
      <c r="T287" s="8"/>
      <c r="U287" s="8"/>
      <c r="W287" s="8" t="str">
        <f>IF(X287="","",VLOOKUP(X287,引用表合并!$A:$B,2,FALSE))</f>
        <v/>
      </c>
      <c r="X287" s="8"/>
      <c r="Y287" s="8"/>
      <c r="AA287" s="8"/>
      <c r="AB287" s="8"/>
      <c r="AC287" s="8"/>
      <c r="AE287" s="8"/>
      <c r="AF287" s="8"/>
      <c r="AG287" s="8"/>
      <c r="AI287" s="8"/>
      <c r="AJ287" s="8"/>
      <c r="AK287" s="8"/>
      <c r="AM287" s="8"/>
      <c r="AN287" s="8"/>
      <c r="AO287" s="8"/>
      <c r="AQ287" s="8"/>
      <c r="AR287" s="8"/>
      <c r="AS287" s="8"/>
      <c r="AU287" s="8"/>
      <c r="AV287" s="8"/>
      <c r="AW287" s="8"/>
      <c r="AY287" s="8"/>
      <c r="AZ287" s="8"/>
      <c r="BA287" s="8"/>
      <c r="BD287" s="8"/>
      <c r="BF287" s="10"/>
      <c r="BH287" s="8"/>
      <c r="BJ287" s="10"/>
      <c r="BL287" s="8"/>
      <c r="BN287" s="10"/>
    </row>
    <row r="288" spans="1:66" x14ac:dyDescent="0.15">
      <c r="A288" s="8">
        <v>403008</v>
      </c>
      <c r="B288" s="64" t="s">
        <v>968</v>
      </c>
      <c r="C288" s="8">
        <v>0</v>
      </c>
      <c r="D288" s="8">
        <f t="shared" si="48"/>
        <v>0</v>
      </c>
      <c r="E288" s="16">
        <f t="shared" si="46"/>
        <v>0</v>
      </c>
      <c r="F288" s="16">
        <f t="shared" si="49"/>
        <v>0</v>
      </c>
      <c r="G288" s="8" t="str">
        <f>IF(H288="","",VLOOKUP(H288,引用表合并!$A:$B,2,FALSE))</f>
        <v/>
      </c>
      <c r="K288" s="8" t="str">
        <f>IF(L288="","",VLOOKUP(L288,引用表合并!$A:$B,2,FALSE))</f>
        <v/>
      </c>
      <c r="L288" s="8"/>
      <c r="M288" s="8"/>
      <c r="O288" s="8" t="str">
        <f>IF(P288="","",VLOOKUP(P288,引用表合并!$A:$B,2,FALSE))</f>
        <v/>
      </c>
      <c r="P288" s="8"/>
      <c r="Q288" s="8"/>
      <c r="S288" s="8" t="str">
        <f>IF(T288="","",VLOOKUP(T288,引用表合并!$A:$B,2,FALSE))</f>
        <v/>
      </c>
      <c r="T288" s="8"/>
      <c r="U288" s="8"/>
      <c r="W288" s="8" t="str">
        <f>IF(X288="","",VLOOKUP(X288,引用表合并!$A:$B,2,FALSE))</f>
        <v/>
      </c>
      <c r="X288" s="8"/>
      <c r="Y288" s="8"/>
      <c r="AA288" s="8"/>
      <c r="AB288" s="8"/>
      <c r="AC288" s="8"/>
      <c r="AE288" s="8"/>
      <c r="AF288" s="8"/>
      <c r="AG288" s="8"/>
      <c r="AI288" s="8"/>
      <c r="AJ288" s="8"/>
      <c r="AK288" s="8"/>
      <c r="AM288" s="8"/>
      <c r="AN288" s="8"/>
      <c r="AO288" s="8"/>
      <c r="AQ288" s="8"/>
      <c r="AR288" s="8"/>
      <c r="AS288" s="8"/>
      <c r="AU288" s="8"/>
      <c r="AV288" s="8"/>
      <c r="AW288" s="8"/>
      <c r="AY288" s="8"/>
      <c r="AZ288" s="8"/>
      <c r="BA288" s="8"/>
      <c r="BD288" s="8"/>
      <c r="BF288" s="10"/>
      <c r="BH288" s="8"/>
      <c r="BJ288" s="10"/>
      <c r="BL288" s="8"/>
      <c r="BN288" s="10"/>
    </row>
    <row r="289" spans="1:66" x14ac:dyDescent="0.15">
      <c r="A289" s="8">
        <v>403009</v>
      </c>
      <c r="B289" s="64" t="s">
        <v>969</v>
      </c>
      <c r="C289" s="8">
        <v>0</v>
      </c>
      <c r="D289" s="8">
        <f t="shared" si="48"/>
        <v>0</v>
      </c>
      <c r="E289" s="16">
        <f t="shared" si="46"/>
        <v>0</v>
      </c>
      <c r="F289" s="16">
        <f t="shared" si="49"/>
        <v>0</v>
      </c>
      <c r="G289" s="8" t="str">
        <f>IF(H289="","",VLOOKUP(H289,引用表合并!$A:$B,2,FALSE))</f>
        <v/>
      </c>
      <c r="K289" s="8" t="str">
        <f>IF(L289="","",VLOOKUP(L289,引用表合并!$A:$B,2,FALSE))</f>
        <v/>
      </c>
      <c r="L289" s="8"/>
      <c r="M289" s="8"/>
      <c r="O289" s="8" t="str">
        <f>IF(P289="","",VLOOKUP(P289,引用表合并!$A:$B,2,FALSE))</f>
        <v/>
      </c>
      <c r="P289" s="8"/>
      <c r="Q289" s="8"/>
      <c r="S289" s="8" t="str">
        <f>IF(T289="","",VLOOKUP(T289,引用表合并!$A:$B,2,FALSE))</f>
        <v/>
      </c>
      <c r="T289" s="8"/>
      <c r="U289" s="8"/>
      <c r="W289" s="8" t="str">
        <f>IF(X289="","",VLOOKUP(X289,引用表合并!$A:$B,2,FALSE))</f>
        <v/>
      </c>
      <c r="X289" s="8"/>
      <c r="Y289" s="8"/>
      <c r="AA289" s="8"/>
      <c r="AB289" s="8"/>
      <c r="AC289" s="8"/>
      <c r="AE289" s="8"/>
      <c r="AF289" s="8"/>
      <c r="AG289" s="8"/>
      <c r="AI289" s="8"/>
      <c r="AJ289" s="8"/>
      <c r="AK289" s="8"/>
      <c r="AM289" s="8"/>
      <c r="AN289" s="8"/>
      <c r="AO289" s="8"/>
      <c r="AQ289" s="8"/>
      <c r="AR289" s="8"/>
      <c r="AS289" s="8"/>
      <c r="AU289" s="8"/>
      <c r="AV289" s="8"/>
      <c r="AW289" s="8"/>
      <c r="AY289" s="8"/>
      <c r="AZ289" s="8"/>
      <c r="BA289" s="8"/>
      <c r="BD289" s="8"/>
      <c r="BF289" s="10"/>
      <c r="BH289" s="8"/>
      <c r="BJ289" s="10"/>
      <c r="BL289" s="8"/>
      <c r="BN289" s="10"/>
    </row>
    <row r="290" spans="1:66" x14ac:dyDescent="0.15">
      <c r="A290" s="8">
        <v>403010</v>
      </c>
      <c r="B290" s="64" t="s">
        <v>970</v>
      </c>
      <c r="C290" s="8">
        <v>0</v>
      </c>
      <c r="D290" s="8">
        <f t="shared" si="48"/>
        <v>0</v>
      </c>
      <c r="E290" s="16">
        <f t="shared" si="46"/>
        <v>0</v>
      </c>
      <c r="F290" s="16">
        <f t="shared" si="49"/>
        <v>0</v>
      </c>
      <c r="G290" s="8" t="str">
        <f>IF(H290="","",VLOOKUP(H290,引用表合并!$A:$B,2,FALSE))</f>
        <v/>
      </c>
      <c r="K290" s="8" t="str">
        <f>IF(L290="","",VLOOKUP(L290,引用表合并!$A:$B,2,FALSE))</f>
        <v/>
      </c>
      <c r="L290" s="8"/>
      <c r="M290" s="8"/>
      <c r="O290" s="8" t="str">
        <f>IF(P290="","",VLOOKUP(P290,引用表合并!$A:$B,2,FALSE))</f>
        <v/>
      </c>
      <c r="P290" s="8"/>
      <c r="Q290" s="8"/>
      <c r="S290" s="8"/>
      <c r="T290" s="8"/>
      <c r="U290" s="8"/>
      <c r="W290" s="8"/>
      <c r="X290" s="8"/>
      <c r="Y290" s="8"/>
      <c r="AA290" s="8"/>
      <c r="AB290" s="8"/>
      <c r="AC290" s="8"/>
      <c r="AE290" s="8"/>
      <c r="AF290" s="8"/>
      <c r="AG290" s="8"/>
      <c r="AI290" s="8"/>
      <c r="AJ290" s="8"/>
      <c r="AK290" s="8"/>
      <c r="AM290" s="8"/>
      <c r="AN290" s="8"/>
      <c r="AO290" s="8"/>
      <c r="AQ290" s="8"/>
      <c r="AR290" s="8"/>
      <c r="AS290" s="8"/>
      <c r="AU290" s="8"/>
      <c r="AV290" s="8"/>
      <c r="AW290" s="8"/>
      <c r="AY290" s="8"/>
      <c r="AZ290" s="8"/>
      <c r="BA290" s="8"/>
      <c r="BD290" s="8"/>
      <c r="BF290" s="10"/>
      <c r="BH290" s="8"/>
      <c r="BJ290" s="10"/>
      <c r="BL290" s="8"/>
      <c r="BN290" s="10"/>
    </row>
    <row r="291" spans="1:66" x14ac:dyDescent="0.15">
      <c r="A291" s="8">
        <v>410115</v>
      </c>
      <c r="B291" s="64" t="s">
        <v>1169</v>
      </c>
      <c r="C291" s="8">
        <v>1</v>
      </c>
      <c r="D291" s="8">
        <f t="shared" si="48"/>
        <v>3</v>
      </c>
      <c r="E291" s="16">
        <f t="shared" si="46"/>
        <v>3</v>
      </c>
      <c r="F291" s="16">
        <f t="shared" si="49"/>
        <v>3</v>
      </c>
      <c r="G291" s="8" t="str">
        <f>IF(H291="","",VLOOKUP(H291,引用表合并!$A:$B,2,FALSE))</f>
        <v>野性之剑</v>
      </c>
      <c r="H291" s="8">
        <v>10104</v>
      </c>
      <c r="I291" s="8">
        <v>1</v>
      </c>
      <c r="J291" s="10">
        <v>1000</v>
      </c>
      <c r="K291" s="8" t="str">
        <f>IF(L291="","",VLOOKUP(L291,引用表合并!$A:$B,2,FALSE))</f>
        <v>野性之拳</v>
      </c>
      <c r="L291" s="8">
        <v>20104</v>
      </c>
      <c r="M291" s="8">
        <v>1</v>
      </c>
      <c r="N291" s="10">
        <v>1000</v>
      </c>
      <c r="O291" s="8" t="str">
        <f>IF(P291="","",VLOOKUP(P291,引用表合并!$A:$B,2,FALSE))</f>
        <v>野性之枪</v>
      </c>
      <c r="P291" s="8">
        <v>30104</v>
      </c>
      <c r="Q291" s="8">
        <v>1</v>
      </c>
      <c r="R291" s="10">
        <v>1000</v>
      </c>
      <c r="S291" s="8"/>
      <c r="T291" s="8"/>
      <c r="U291" s="8"/>
      <c r="W291" s="8"/>
      <c r="X291" s="8"/>
      <c r="Y291" s="8"/>
      <c r="AA291" s="8"/>
      <c r="AB291" s="8"/>
      <c r="AC291" s="8"/>
      <c r="AE291" s="8"/>
      <c r="AF291" s="8"/>
      <c r="AG291" s="8"/>
      <c r="AI291" s="8"/>
      <c r="AJ291" s="8"/>
      <c r="AK291" s="8"/>
      <c r="AM291" s="8"/>
      <c r="AN291" s="8"/>
      <c r="AO291" s="8"/>
      <c r="AQ291" s="8"/>
      <c r="AR291" s="8"/>
      <c r="AS291" s="8"/>
      <c r="AU291" s="8"/>
      <c r="AV291" s="8"/>
      <c r="AW291" s="8"/>
      <c r="AY291" s="8"/>
      <c r="AZ291" s="8"/>
      <c r="BA291" s="8"/>
      <c r="BD291" s="8"/>
      <c r="BF291" s="10"/>
      <c r="BH291" s="8"/>
      <c r="BJ291" s="10"/>
      <c r="BL291" s="8"/>
      <c r="BN291" s="10"/>
    </row>
    <row r="292" spans="1:66" x14ac:dyDescent="0.15">
      <c r="A292" s="8">
        <v>410215</v>
      </c>
      <c r="B292" s="64" t="s">
        <v>1170</v>
      </c>
      <c r="C292" s="8">
        <v>1</v>
      </c>
      <c r="D292" s="8">
        <f t="shared" si="48"/>
        <v>3</v>
      </c>
      <c r="E292" s="16">
        <f t="shared" si="46"/>
        <v>3</v>
      </c>
      <c r="F292" s="16">
        <f t="shared" si="49"/>
        <v>3</v>
      </c>
      <c r="G292" s="8" t="str">
        <f>IF(H292="","",VLOOKUP(H292,引用表合并!$A:$B,2,FALSE))</f>
        <v>紫云之剑</v>
      </c>
      <c r="H292" s="8">
        <v>10205</v>
      </c>
      <c r="I292" s="8">
        <v>1</v>
      </c>
      <c r="J292" s="10">
        <v>1000</v>
      </c>
      <c r="K292" s="8" t="str">
        <f>IF(L292="","",VLOOKUP(L292,引用表合并!$A:$B,2,FALSE))</f>
        <v>紫云之拳</v>
      </c>
      <c r="L292" s="8">
        <v>20205</v>
      </c>
      <c r="M292" s="8">
        <v>1</v>
      </c>
      <c r="N292" s="10">
        <v>1000</v>
      </c>
      <c r="O292" s="8" t="str">
        <f>IF(P292="","",VLOOKUP(P292,引用表合并!$A:$B,2,FALSE))</f>
        <v>紫云之枪</v>
      </c>
      <c r="P292" s="8">
        <v>30205</v>
      </c>
      <c r="Q292" s="8">
        <v>1</v>
      </c>
      <c r="R292" s="10">
        <v>1000</v>
      </c>
      <c r="S292" s="8"/>
      <c r="T292" s="8"/>
      <c r="U292" s="8"/>
      <c r="W292" s="8"/>
      <c r="X292" s="8"/>
      <c r="Y292" s="8"/>
      <c r="AA292" s="8"/>
      <c r="AB292" s="8"/>
      <c r="AC292" s="8"/>
      <c r="AE292" s="8"/>
      <c r="AF292" s="8"/>
      <c r="AG292" s="8"/>
      <c r="AI292" s="8"/>
      <c r="AJ292" s="8"/>
      <c r="AK292" s="8"/>
      <c r="AM292" s="8"/>
      <c r="AN292" s="8"/>
      <c r="AO292" s="8"/>
      <c r="AQ292" s="8"/>
      <c r="AR292" s="8"/>
      <c r="AS292" s="8"/>
      <c r="AU292" s="8"/>
      <c r="AV292" s="8"/>
      <c r="AW292" s="8"/>
      <c r="AY292" s="8"/>
      <c r="AZ292" s="8"/>
      <c r="BA292" s="8"/>
      <c r="BD292" s="8"/>
      <c r="BF292" s="10"/>
      <c r="BH292" s="8"/>
      <c r="BJ292" s="10"/>
      <c r="BL292" s="8"/>
      <c r="BN292" s="10"/>
    </row>
    <row r="293" spans="1:66" x14ac:dyDescent="0.15">
      <c r="A293" s="8">
        <v>410315</v>
      </c>
      <c r="B293" s="64" t="s">
        <v>1171</v>
      </c>
      <c r="C293" s="8">
        <v>1</v>
      </c>
      <c r="D293" s="8">
        <f t="shared" si="48"/>
        <v>3</v>
      </c>
      <c r="E293" s="16">
        <f t="shared" si="46"/>
        <v>3</v>
      </c>
      <c r="F293" s="16">
        <f t="shared" si="49"/>
        <v>3</v>
      </c>
      <c r="G293" s="8" t="str">
        <f>IF(H293="","",VLOOKUP(H293,引用表合并!$A:$B,2,FALSE))</f>
        <v>鎏金之剑</v>
      </c>
      <c r="H293" s="8">
        <v>10306</v>
      </c>
      <c r="I293" s="8">
        <v>1</v>
      </c>
      <c r="J293" s="10">
        <v>1000</v>
      </c>
      <c r="K293" s="8" t="str">
        <f>IF(L293="","",VLOOKUP(L293,引用表合并!$A:$B,2,FALSE))</f>
        <v>鎏金之拳</v>
      </c>
      <c r="L293" s="8">
        <v>20306</v>
      </c>
      <c r="M293" s="8">
        <v>1</v>
      </c>
      <c r="N293" s="10">
        <v>1000</v>
      </c>
      <c r="O293" s="8" t="str">
        <f>IF(P293="","",VLOOKUP(P293,引用表合并!$A:$B,2,FALSE))</f>
        <v>鎏金之枪</v>
      </c>
      <c r="P293" s="8">
        <v>30306</v>
      </c>
      <c r="Q293" s="8">
        <v>1</v>
      </c>
      <c r="R293" s="10">
        <v>1000</v>
      </c>
      <c r="S293" s="8"/>
      <c r="T293" s="8"/>
      <c r="U293" s="8"/>
      <c r="W293" s="8"/>
      <c r="X293" s="8"/>
      <c r="Y293" s="8"/>
      <c r="AA293" s="8"/>
      <c r="AB293" s="8"/>
      <c r="AC293" s="8"/>
      <c r="AE293" s="8"/>
      <c r="AF293" s="8"/>
      <c r="AG293" s="8"/>
      <c r="AI293" s="8"/>
      <c r="AJ293" s="8"/>
      <c r="AK293" s="8"/>
      <c r="AM293" s="8"/>
      <c r="AN293" s="8"/>
      <c r="AO293" s="8"/>
      <c r="AQ293" s="8"/>
      <c r="AR293" s="8"/>
      <c r="AS293" s="8"/>
      <c r="AU293" s="8"/>
      <c r="AV293" s="8"/>
      <c r="AW293" s="8"/>
      <c r="AY293" s="8"/>
      <c r="AZ293" s="8"/>
      <c r="BA293" s="8"/>
      <c r="BD293" s="8"/>
      <c r="BF293" s="10"/>
      <c r="BH293" s="8"/>
      <c r="BJ293" s="10"/>
      <c r="BL293" s="8"/>
      <c r="BN293" s="10"/>
    </row>
    <row r="294" spans="1:66" x14ac:dyDescent="0.15">
      <c r="A294" s="8">
        <v>410415</v>
      </c>
      <c r="B294" s="64" t="s">
        <v>1172</v>
      </c>
      <c r="C294" s="8">
        <v>1</v>
      </c>
      <c r="D294" s="8">
        <f t="shared" si="48"/>
        <v>3</v>
      </c>
      <c r="E294" s="16">
        <f t="shared" si="46"/>
        <v>3</v>
      </c>
      <c r="F294" s="16">
        <f t="shared" si="49"/>
        <v>3</v>
      </c>
      <c r="G294" s="8" t="str">
        <f>IF(H294="","",VLOOKUP(H294,引用表合并!$A:$B,2,FALSE))</f>
        <v>虹光之剑</v>
      </c>
      <c r="H294" s="8">
        <v>10407</v>
      </c>
      <c r="I294" s="8">
        <v>1</v>
      </c>
      <c r="J294" s="10">
        <v>1000</v>
      </c>
      <c r="K294" s="8" t="str">
        <f>IF(L294="","",VLOOKUP(L294,引用表合并!$A:$B,2,FALSE))</f>
        <v>虹光之拳</v>
      </c>
      <c r="L294" s="8">
        <v>20407</v>
      </c>
      <c r="M294" s="8">
        <v>1</v>
      </c>
      <c r="N294" s="10">
        <v>1000</v>
      </c>
      <c r="O294" s="8" t="str">
        <f>IF(P294="","",VLOOKUP(P294,引用表合并!$A:$B,2,FALSE))</f>
        <v>虹光之枪</v>
      </c>
      <c r="P294" s="8">
        <v>30407</v>
      </c>
      <c r="Q294" s="8">
        <v>1</v>
      </c>
      <c r="R294" s="10">
        <v>1000</v>
      </c>
      <c r="S294" s="8"/>
      <c r="T294" s="8"/>
      <c r="U294" s="8"/>
      <c r="W294" s="8"/>
      <c r="X294" s="8"/>
      <c r="Y294" s="8"/>
      <c r="AA294" s="8"/>
      <c r="AB294" s="8"/>
      <c r="AC294" s="8"/>
      <c r="AE294" s="8"/>
      <c r="AF294" s="8"/>
      <c r="AG294" s="8"/>
      <c r="AI294" s="8"/>
      <c r="AJ294" s="8"/>
      <c r="AK294" s="8"/>
      <c r="AM294" s="8"/>
      <c r="AN294" s="8"/>
      <c r="AO294" s="8"/>
      <c r="AQ294" s="8"/>
      <c r="AR294" s="8"/>
      <c r="AS294" s="8"/>
      <c r="AU294" s="8"/>
      <c r="AV294" s="8"/>
      <c r="AW294" s="8"/>
      <c r="AY294" s="8"/>
      <c r="AZ294" s="8"/>
      <c r="BA294" s="8"/>
      <c r="BD294" s="8"/>
      <c r="BF294" s="10"/>
      <c r="BH294" s="8"/>
      <c r="BJ294" s="10"/>
      <c r="BL294" s="8"/>
      <c r="BN294" s="10"/>
    </row>
    <row r="295" spans="1:66" x14ac:dyDescent="0.15">
      <c r="A295" s="8">
        <v>486001</v>
      </c>
      <c r="B295" s="8" t="s">
        <v>935</v>
      </c>
      <c r="C295" s="8">
        <v>0</v>
      </c>
      <c r="D295" s="8">
        <f t="shared" ref="D295:D304" si="50">E295</f>
        <v>4</v>
      </c>
      <c r="E295" s="16">
        <f t="shared" si="46"/>
        <v>4</v>
      </c>
      <c r="F295" s="16">
        <f t="shared" si="45"/>
        <v>4</v>
      </c>
      <c r="G295" s="8" t="str">
        <f>IF(H295="","",VLOOKUP(H295,引用表合并!$A:$B,2,FALSE))</f>
        <v>马仔经验药水</v>
      </c>
      <c r="H295" s="8">
        <v>91100</v>
      </c>
      <c r="I295" s="8">
        <v>10</v>
      </c>
      <c r="J295" s="10">
        <v>10000</v>
      </c>
      <c r="K295" s="8" t="str">
        <f>IF(L295="","",VLOOKUP(L295,引用表合并!$A:$B,2,FALSE))</f>
        <v>马仔经验药水</v>
      </c>
      <c r="L295" s="8">
        <v>91100</v>
      </c>
      <c r="M295" s="8">
        <v>3</v>
      </c>
      <c r="N295" s="10">
        <v>5000</v>
      </c>
      <c r="O295" s="8" t="str">
        <f>IF(P295="","",VLOOKUP(P295,引用表合并!$A:$B,2,FALSE))</f>
        <v>马仔经验药水</v>
      </c>
      <c r="P295" s="8">
        <v>91100</v>
      </c>
      <c r="Q295" s="8">
        <v>2</v>
      </c>
      <c r="R295" s="10">
        <v>5000</v>
      </c>
      <c r="S295" s="8" t="str">
        <f>IF(T295="","",VLOOKUP(T295,引用表合并!$A:$B,2,FALSE))</f>
        <v>马仔经验药水</v>
      </c>
      <c r="T295" s="8">
        <v>91100</v>
      </c>
      <c r="U295" s="8">
        <v>1</v>
      </c>
      <c r="V295" s="10">
        <v>5000</v>
      </c>
      <c r="W295" s="8" t="str">
        <f>IF(X295="","",VLOOKUP(X295,引用表合并!$A:$B,2,FALSE))</f>
        <v/>
      </c>
      <c r="X295" s="8"/>
      <c r="Y295" s="8"/>
      <c r="AA295" s="8" t="str">
        <f>IF(AB295="","",VLOOKUP(AB295,引用表合并!$A:$B,2,FALSE))</f>
        <v/>
      </c>
      <c r="AB295" s="8"/>
      <c r="AC295" s="8"/>
      <c r="AE295" s="8" t="str">
        <f>IF(AF295="","",VLOOKUP(AF295,引用表合并!$A:$B,2,FALSE))</f>
        <v/>
      </c>
      <c r="AF295" s="8"/>
      <c r="AG295" s="8"/>
      <c r="AI295" s="8" t="str">
        <f>IF(AJ295="","",VLOOKUP(AJ295,引用表合并!$A:$B,2,FALSE))</f>
        <v/>
      </c>
      <c r="AJ295" s="8"/>
      <c r="AK295" s="8"/>
      <c r="AM295" s="8" t="str">
        <f>IF(AN295="","",VLOOKUP(AN295,引用表合并!$A:$B,2,FALSE))</f>
        <v/>
      </c>
      <c r="AN295" s="8"/>
      <c r="AO295" s="8"/>
      <c r="AQ295" s="8" t="str">
        <f>IF(AR295="","",VLOOKUP(AR295,引用表合并!$A:$B,2,FALSE))</f>
        <v/>
      </c>
      <c r="AR295" s="8"/>
      <c r="AS295" s="8"/>
      <c r="AU295" s="8" t="str">
        <f>IF(AV295="","",VLOOKUP(AV295,引用表合并!$A:$B,2,FALSE))</f>
        <v/>
      </c>
      <c r="AV295" s="8"/>
      <c r="AW295" s="8"/>
      <c r="AY295" s="8" t="str">
        <f>IF(AZ295="","",VLOOKUP(AZ295,引用表合并!$A:$B,2,FALSE))</f>
        <v/>
      </c>
      <c r="AZ295" s="8"/>
      <c r="BA295" s="8"/>
      <c r="BC295" s="8" t="str">
        <f>IF(BD295="","",VLOOKUP(BD295,引用表合并!$A:$B,2,FALSE))</f>
        <v/>
      </c>
      <c r="BD295" s="8"/>
      <c r="BF295" s="10"/>
      <c r="BG295" s="8" t="str">
        <f>IF(BH295="","",VLOOKUP(BH295,引用表合并!$A:$B,2,FALSE))</f>
        <v/>
      </c>
      <c r="BH295" s="8"/>
      <c r="BJ295" s="10"/>
      <c r="BK295" s="8" t="str">
        <f>IF(BL295="","",VLOOKUP(BL295,引用表合并!$A:$B,2,FALSE))</f>
        <v/>
      </c>
      <c r="BL295" s="8"/>
      <c r="BN295" s="10"/>
    </row>
    <row r="296" spans="1:66" x14ac:dyDescent="0.15">
      <c r="A296" s="8">
        <v>486002</v>
      </c>
      <c r="B296" s="8" t="s">
        <v>936</v>
      </c>
      <c r="C296" s="8">
        <v>0</v>
      </c>
      <c r="D296" s="8">
        <f t="shared" si="50"/>
        <v>5</v>
      </c>
      <c r="E296" s="16">
        <f t="shared" si="46"/>
        <v>5</v>
      </c>
      <c r="F296" s="16">
        <f t="shared" si="45"/>
        <v>5</v>
      </c>
      <c r="G296" s="8" t="str">
        <f>IF(H296="","",VLOOKUP(H296,引用表合并!$A:$B,2,FALSE))</f>
        <v>马仔经验合剂</v>
      </c>
      <c r="H296" s="8">
        <v>91200</v>
      </c>
      <c r="I296" s="8">
        <v>3</v>
      </c>
      <c r="J296" s="10">
        <v>10000</v>
      </c>
      <c r="K296" s="8" t="str">
        <f>IF(L296="","",VLOOKUP(L296,引用表合并!$A:$B,2,FALSE))</f>
        <v>马仔经验药水</v>
      </c>
      <c r="L296" s="8">
        <v>91100</v>
      </c>
      <c r="M296" s="8">
        <v>4</v>
      </c>
      <c r="N296" s="10">
        <v>5000</v>
      </c>
      <c r="O296" s="8" t="str">
        <f>IF(P296="","",VLOOKUP(P296,引用表合并!$A:$B,2,FALSE))</f>
        <v>马仔经验药水</v>
      </c>
      <c r="P296" s="8">
        <v>91100</v>
      </c>
      <c r="Q296" s="8">
        <v>3</v>
      </c>
      <c r="R296" s="10">
        <v>5000</v>
      </c>
      <c r="S296" s="8" t="str">
        <f>IF(T296="","",VLOOKUP(T296,引用表合并!$A:$B,2,FALSE))</f>
        <v>马仔经验药水</v>
      </c>
      <c r="T296" s="8">
        <v>91100</v>
      </c>
      <c r="U296" s="8">
        <v>2</v>
      </c>
      <c r="V296" s="10">
        <v>5000</v>
      </c>
      <c r="W296" s="8" t="str">
        <f>IF(X296="","",VLOOKUP(X296,引用表合并!$A:$B,2,FALSE))</f>
        <v>马仔经验药水</v>
      </c>
      <c r="X296" s="8">
        <v>91100</v>
      </c>
      <c r="Y296" s="8">
        <v>1</v>
      </c>
      <c r="Z296" s="10">
        <v>5000</v>
      </c>
      <c r="AA296" s="8" t="str">
        <f>IF(AB296="","",VLOOKUP(AB296,引用表合并!$A:$B,2,FALSE))</f>
        <v/>
      </c>
      <c r="AB296" s="8"/>
      <c r="AC296" s="8"/>
      <c r="AE296" s="8" t="str">
        <f>IF(AF296="","",VLOOKUP(AF296,引用表合并!$A:$B,2,FALSE))</f>
        <v/>
      </c>
      <c r="AF296" s="8"/>
      <c r="AG296" s="8"/>
      <c r="AI296" s="8" t="str">
        <f>IF(AJ296="","",VLOOKUP(AJ296,引用表合并!$A:$B,2,FALSE))</f>
        <v/>
      </c>
      <c r="AJ296" s="8"/>
      <c r="AK296" s="8"/>
      <c r="AM296" s="8" t="str">
        <f>IF(AN296="","",VLOOKUP(AN296,引用表合并!$A:$B,2,FALSE))</f>
        <v/>
      </c>
      <c r="AN296" s="8"/>
      <c r="AO296" s="8"/>
      <c r="AQ296" s="8" t="str">
        <f>IF(AR296="","",VLOOKUP(AR296,引用表合并!$A:$B,2,FALSE))</f>
        <v/>
      </c>
      <c r="AR296" s="8"/>
      <c r="AS296" s="8"/>
      <c r="AU296" s="8" t="str">
        <f>IF(AV296="","",VLOOKUP(AV296,引用表合并!$A:$B,2,FALSE))</f>
        <v/>
      </c>
      <c r="AV296" s="8"/>
      <c r="AW296" s="8"/>
      <c r="AY296" s="8" t="str">
        <f>IF(AZ296="","",VLOOKUP(AZ296,引用表合并!$A:$B,2,FALSE))</f>
        <v/>
      </c>
      <c r="AZ296" s="8"/>
      <c r="BA296" s="8"/>
      <c r="BC296" s="8" t="str">
        <f>IF(BD296="","",VLOOKUP(BD296,引用表合并!$A:$B,2,FALSE))</f>
        <v/>
      </c>
      <c r="BD296" s="8"/>
      <c r="BF296" s="10"/>
      <c r="BG296" s="8" t="str">
        <f>IF(BH296="","",VLOOKUP(BH296,引用表合并!$A:$B,2,FALSE))</f>
        <v/>
      </c>
      <c r="BH296" s="8"/>
      <c r="BJ296" s="10"/>
      <c r="BK296" s="8" t="str">
        <f>IF(BL296="","",VLOOKUP(BL296,引用表合并!$A:$B,2,FALSE))</f>
        <v/>
      </c>
      <c r="BL296" s="8"/>
      <c r="BN296" s="10"/>
    </row>
    <row r="297" spans="1:66" x14ac:dyDescent="0.15">
      <c r="A297" s="8">
        <v>486003</v>
      </c>
      <c r="B297" s="8" t="s">
        <v>937</v>
      </c>
      <c r="C297" s="8">
        <v>0</v>
      </c>
      <c r="D297" s="8">
        <f t="shared" si="50"/>
        <v>5</v>
      </c>
      <c r="E297" s="16">
        <f t="shared" si="46"/>
        <v>5</v>
      </c>
      <c r="F297" s="16">
        <f t="shared" si="45"/>
        <v>5</v>
      </c>
      <c r="G297" s="8" t="str">
        <f>IF(H297="","",VLOOKUP(H297,引用表合并!$A:$B,2,FALSE))</f>
        <v>马仔经验合剂</v>
      </c>
      <c r="H297" s="8">
        <v>91200</v>
      </c>
      <c r="I297" s="8">
        <v>5</v>
      </c>
      <c r="J297" s="10">
        <v>10000</v>
      </c>
      <c r="K297" s="8" t="str">
        <f>IF(L297="","",VLOOKUP(L297,引用表合并!$A:$B,2,FALSE))</f>
        <v>马仔经验药水</v>
      </c>
      <c r="L297" s="8">
        <v>91100</v>
      </c>
      <c r="M297" s="8">
        <v>4</v>
      </c>
      <c r="N297" s="10">
        <v>5000</v>
      </c>
      <c r="O297" s="8" t="str">
        <f>IF(P297="","",VLOOKUP(P297,引用表合并!$A:$B,2,FALSE))</f>
        <v>马仔经验药水</v>
      </c>
      <c r="P297" s="8">
        <v>91100</v>
      </c>
      <c r="Q297" s="8">
        <v>3</v>
      </c>
      <c r="R297" s="10">
        <v>5000</v>
      </c>
      <c r="S297" s="8" t="str">
        <f>IF(T297="","",VLOOKUP(T297,引用表合并!$A:$B,2,FALSE))</f>
        <v>马仔经验药水</v>
      </c>
      <c r="T297" s="8">
        <v>91100</v>
      </c>
      <c r="U297" s="8">
        <v>2</v>
      </c>
      <c r="V297" s="10">
        <v>5000</v>
      </c>
      <c r="W297" s="8" t="str">
        <f>IF(X297="","",VLOOKUP(X297,引用表合并!$A:$B,2,FALSE))</f>
        <v>马仔经验药水</v>
      </c>
      <c r="X297" s="8">
        <v>91100</v>
      </c>
      <c r="Y297" s="8">
        <v>1</v>
      </c>
      <c r="Z297" s="10">
        <v>5000</v>
      </c>
      <c r="AA297" s="8" t="str">
        <f>IF(AB297="","",VLOOKUP(AB297,引用表合并!$A:$B,2,FALSE))</f>
        <v/>
      </c>
      <c r="AB297" s="8"/>
      <c r="AC297" s="8"/>
      <c r="AE297" s="8" t="str">
        <f>IF(AF297="","",VLOOKUP(AF297,引用表合并!$A:$B,2,FALSE))</f>
        <v/>
      </c>
      <c r="AF297" s="8"/>
      <c r="AG297" s="8"/>
      <c r="AI297" s="8" t="str">
        <f>IF(AJ297="","",VLOOKUP(AJ297,引用表合并!$A:$B,2,FALSE))</f>
        <v/>
      </c>
      <c r="AJ297" s="8"/>
      <c r="AK297" s="8"/>
      <c r="AM297" s="8" t="str">
        <f>IF(AN297="","",VLOOKUP(AN297,引用表合并!$A:$B,2,FALSE))</f>
        <v/>
      </c>
      <c r="AN297" s="8"/>
      <c r="AO297" s="8"/>
      <c r="AQ297" s="8" t="str">
        <f>IF(AR297="","",VLOOKUP(AR297,引用表合并!$A:$B,2,FALSE))</f>
        <v/>
      </c>
      <c r="AR297" s="8"/>
      <c r="AS297" s="8"/>
      <c r="AU297" s="8" t="str">
        <f>IF(AV297="","",VLOOKUP(AV297,引用表合并!$A:$B,2,FALSE))</f>
        <v/>
      </c>
      <c r="AV297" s="8"/>
      <c r="AW297" s="8"/>
      <c r="AY297" s="8" t="str">
        <f>IF(AZ297="","",VLOOKUP(AZ297,引用表合并!$A:$B,2,FALSE))</f>
        <v/>
      </c>
      <c r="AZ297" s="8"/>
      <c r="BA297" s="8"/>
      <c r="BC297" s="8" t="str">
        <f>IF(BD297="","",VLOOKUP(BD297,引用表合并!$A:$B,2,FALSE))</f>
        <v/>
      </c>
      <c r="BD297" s="8"/>
      <c r="BF297" s="10"/>
      <c r="BG297" s="8" t="str">
        <f>IF(BH297="","",VLOOKUP(BH297,引用表合并!$A:$B,2,FALSE))</f>
        <v/>
      </c>
      <c r="BH297" s="8"/>
      <c r="BJ297" s="10"/>
      <c r="BK297" s="8" t="str">
        <f>IF(BL297="","",VLOOKUP(BL297,引用表合并!$A:$B,2,FALSE))</f>
        <v/>
      </c>
      <c r="BL297" s="8"/>
      <c r="BN297" s="10"/>
    </row>
    <row r="298" spans="1:66" x14ac:dyDescent="0.15">
      <c r="A298" s="8">
        <v>486004</v>
      </c>
      <c r="B298" s="8" t="s">
        <v>938</v>
      </c>
      <c r="C298" s="8">
        <v>0</v>
      </c>
      <c r="D298" s="8">
        <f t="shared" si="50"/>
        <v>7</v>
      </c>
      <c r="E298" s="16">
        <f t="shared" si="46"/>
        <v>7</v>
      </c>
      <c r="F298" s="16">
        <f t="shared" si="45"/>
        <v>7</v>
      </c>
      <c r="G298" s="8" t="str">
        <f>IF(H298="","",VLOOKUP(H298,引用表合并!$A:$B,2,FALSE))</f>
        <v>马仔经验甘露</v>
      </c>
      <c r="H298" s="8">
        <v>91300</v>
      </c>
      <c r="I298" s="8">
        <v>1</v>
      </c>
      <c r="J298" s="10">
        <v>10000</v>
      </c>
      <c r="K298" s="8" t="str">
        <f>IF(L298="","",VLOOKUP(L298,引用表合并!$A:$B,2,FALSE))</f>
        <v>马仔经验合剂</v>
      </c>
      <c r="L298" s="8">
        <v>91200</v>
      </c>
      <c r="M298" s="8">
        <v>2</v>
      </c>
      <c r="N298" s="10">
        <v>5000</v>
      </c>
      <c r="O298" s="8" t="str">
        <f>IF(P298="","",VLOOKUP(P298,引用表合并!$A:$B,2,FALSE))</f>
        <v>马仔经验合剂</v>
      </c>
      <c r="P298" s="8">
        <v>91200</v>
      </c>
      <c r="Q298" s="8">
        <v>1</v>
      </c>
      <c r="R298" s="10">
        <v>5000</v>
      </c>
      <c r="S298" s="8" t="str">
        <f>IF(T298="","",VLOOKUP(T298,引用表合并!$A:$B,2,FALSE))</f>
        <v>马仔经验药水</v>
      </c>
      <c r="T298" s="8">
        <v>91100</v>
      </c>
      <c r="U298" s="8">
        <v>5</v>
      </c>
      <c r="V298" s="10">
        <v>5000</v>
      </c>
      <c r="W298" s="8" t="str">
        <f>IF(X298="","",VLOOKUP(X298,引用表合并!$A:$B,2,FALSE))</f>
        <v>马仔经验药水</v>
      </c>
      <c r="X298" s="8">
        <v>91100</v>
      </c>
      <c r="Y298" s="8">
        <v>3</v>
      </c>
      <c r="Z298" s="10">
        <v>5000</v>
      </c>
      <c r="AA298" s="8" t="str">
        <f>IF(AB298="","",VLOOKUP(AB298,引用表合并!$A:$B,2,FALSE))</f>
        <v>马仔经验药水</v>
      </c>
      <c r="AB298" s="8">
        <v>91100</v>
      </c>
      <c r="AC298" s="8">
        <v>2</v>
      </c>
      <c r="AD298" s="10">
        <v>5000</v>
      </c>
      <c r="AE298" s="8" t="str">
        <f>IF(AF298="","",VLOOKUP(AF298,引用表合并!$A:$B,2,FALSE))</f>
        <v>马仔经验药水</v>
      </c>
      <c r="AF298" s="8">
        <v>91100</v>
      </c>
      <c r="AG298" s="8">
        <v>1</v>
      </c>
      <c r="AH298" s="10">
        <v>5000</v>
      </c>
      <c r="AI298" s="8" t="str">
        <f>IF(AJ298="","",VLOOKUP(AJ298,引用表合并!$A:$B,2,FALSE))</f>
        <v/>
      </c>
      <c r="AJ298" s="8"/>
      <c r="AK298" s="8"/>
      <c r="AM298" s="8" t="str">
        <f>IF(AN298="","",VLOOKUP(AN298,引用表合并!$A:$B,2,FALSE))</f>
        <v/>
      </c>
      <c r="AN298" s="8"/>
      <c r="AO298" s="8"/>
      <c r="AQ298" s="8" t="str">
        <f>IF(AR298="","",VLOOKUP(AR298,引用表合并!$A:$B,2,FALSE))</f>
        <v/>
      </c>
      <c r="AR298" s="8"/>
      <c r="AS298" s="8"/>
      <c r="AU298" s="8" t="str">
        <f>IF(AV298="","",VLOOKUP(AV298,引用表合并!$A:$B,2,FALSE))</f>
        <v/>
      </c>
      <c r="AV298" s="8"/>
      <c r="AW298" s="8"/>
      <c r="AY298" s="8" t="str">
        <f>IF(AZ298="","",VLOOKUP(AZ298,引用表合并!$A:$B,2,FALSE))</f>
        <v/>
      </c>
      <c r="AZ298" s="8"/>
      <c r="BA298" s="8"/>
      <c r="BC298" s="8" t="str">
        <f>IF(BD298="","",VLOOKUP(BD298,引用表合并!$A:$B,2,FALSE))</f>
        <v/>
      </c>
      <c r="BD298" s="8"/>
      <c r="BF298" s="10"/>
      <c r="BG298" s="8" t="str">
        <f>IF(BH298="","",VLOOKUP(BH298,引用表合并!$A:$B,2,FALSE))</f>
        <v/>
      </c>
      <c r="BH298" s="8"/>
      <c r="BJ298" s="10"/>
      <c r="BK298" s="8" t="str">
        <f>IF(BL298="","",VLOOKUP(BL298,引用表合并!$A:$B,2,FALSE))</f>
        <v/>
      </c>
      <c r="BL298" s="8"/>
      <c r="BN298" s="10"/>
    </row>
    <row r="299" spans="1:66" x14ac:dyDescent="0.15">
      <c r="A299" s="8">
        <v>486005</v>
      </c>
      <c r="B299" s="8" t="s">
        <v>939</v>
      </c>
      <c r="C299" s="8">
        <v>0</v>
      </c>
      <c r="D299" s="8">
        <f t="shared" si="50"/>
        <v>8</v>
      </c>
      <c r="E299" s="16">
        <f t="shared" si="46"/>
        <v>8</v>
      </c>
      <c r="F299" s="16">
        <f t="shared" si="45"/>
        <v>8</v>
      </c>
      <c r="G299" s="8" t="str">
        <f>IF(H299="","",VLOOKUP(H299,引用表合并!$A:$B,2,FALSE))</f>
        <v>马仔经验甘露</v>
      </c>
      <c r="H299" s="8">
        <v>91300</v>
      </c>
      <c r="I299" s="8">
        <v>2</v>
      </c>
      <c r="J299" s="10">
        <v>10000</v>
      </c>
      <c r="K299" s="8" t="str">
        <f>IF(L299="","",VLOOKUP(L299,引用表合并!$A:$B,2,FALSE))</f>
        <v>马仔经验合剂</v>
      </c>
      <c r="L299" s="8">
        <v>91200</v>
      </c>
      <c r="M299" s="8">
        <v>1</v>
      </c>
      <c r="N299" s="10">
        <v>5000</v>
      </c>
      <c r="O299" s="8" t="str">
        <f>IF(P299="","",VLOOKUP(P299,引用表合并!$A:$B,2,FALSE))</f>
        <v>马仔经验合剂</v>
      </c>
      <c r="P299" s="8">
        <v>91200</v>
      </c>
      <c r="Q299" s="8">
        <v>1</v>
      </c>
      <c r="R299" s="10">
        <v>5000</v>
      </c>
      <c r="S299" s="8" t="str">
        <f>IF(T299="","",VLOOKUP(T299,引用表合并!$A:$B,2,FALSE))</f>
        <v>马仔经验合剂</v>
      </c>
      <c r="T299" s="8">
        <v>91200</v>
      </c>
      <c r="U299" s="8">
        <v>1</v>
      </c>
      <c r="V299" s="10">
        <v>5000</v>
      </c>
      <c r="W299" s="8" t="str">
        <f>IF(X299="","",VLOOKUP(X299,引用表合并!$A:$B,2,FALSE))</f>
        <v>马仔经验药水</v>
      </c>
      <c r="X299" s="8">
        <v>91100</v>
      </c>
      <c r="Y299" s="8">
        <v>5</v>
      </c>
      <c r="Z299" s="10">
        <v>5000</v>
      </c>
      <c r="AA299" s="8" t="str">
        <f>IF(AB299="","",VLOOKUP(AB299,引用表合并!$A:$B,2,FALSE))</f>
        <v>马仔经验药水</v>
      </c>
      <c r="AB299" s="8">
        <v>91100</v>
      </c>
      <c r="AC299" s="8">
        <v>3</v>
      </c>
      <c r="AD299" s="10">
        <v>5000</v>
      </c>
      <c r="AE299" s="8" t="str">
        <f>IF(AF299="","",VLOOKUP(AF299,引用表合并!$A:$B,2,FALSE))</f>
        <v>马仔经验药水</v>
      </c>
      <c r="AF299" s="8">
        <v>91100</v>
      </c>
      <c r="AG299" s="8">
        <v>2</v>
      </c>
      <c r="AH299" s="10">
        <v>5000</v>
      </c>
      <c r="AI299" s="8" t="str">
        <f>IF(AJ299="","",VLOOKUP(AJ299,引用表合并!$A:$B,2,FALSE))</f>
        <v>马仔经验药水</v>
      </c>
      <c r="AJ299" s="8">
        <v>91100</v>
      </c>
      <c r="AK299" s="8">
        <v>1</v>
      </c>
      <c r="AL299" s="10">
        <v>5000</v>
      </c>
      <c r="AM299" s="8" t="str">
        <f>IF(AN299="","",VLOOKUP(AN299,引用表合并!$A:$B,2,FALSE))</f>
        <v/>
      </c>
      <c r="AN299" s="8"/>
      <c r="AO299" s="8"/>
      <c r="AQ299" s="8" t="str">
        <f>IF(AR299="","",VLOOKUP(AR299,引用表合并!$A:$B,2,FALSE))</f>
        <v/>
      </c>
      <c r="AR299" s="8"/>
      <c r="AS299" s="8"/>
      <c r="AU299" s="8" t="str">
        <f>IF(AV299="","",VLOOKUP(AV299,引用表合并!$A:$B,2,FALSE))</f>
        <v/>
      </c>
      <c r="AV299" s="8"/>
      <c r="AW299" s="8"/>
      <c r="AY299" s="8" t="str">
        <f>IF(AZ299="","",VLOOKUP(AZ299,引用表合并!$A:$B,2,FALSE))</f>
        <v/>
      </c>
      <c r="AZ299" s="8"/>
      <c r="BA299" s="8"/>
      <c r="BC299" s="8" t="str">
        <f>IF(BD299="","",VLOOKUP(BD299,引用表合并!$A:$B,2,FALSE))</f>
        <v/>
      </c>
      <c r="BD299" s="8"/>
      <c r="BF299" s="10"/>
      <c r="BG299" s="8" t="str">
        <f>IF(BH299="","",VLOOKUP(BH299,引用表合并!$A:$B,2,FALSE))</f>
        <v/>
      </c>
      <c r="BH299" s="8"/>
      <c r="BJ299" s="10"/>
      <c r="BK299" s="8" t="str">
        <f>IF(BL299="","",VLOOKUP(BL299,引用表合并!$A:$B,2,FALSE))</f>
        <v/>
      </c>
      <c r="BL299" s="8"/>
      <c r="BN299" s="10"/>
    </row>
    <row r="300" spans="1:66" x14ac:dyDescent="0.15">
      <c r="A300" s="8">
        <v>486010</v>
      </c>
      <c r="B300" s="8" t="s">
        <v>959</v>
      </c>
      <c r="C300" s="8">
        <v>0</v>
      </c>
      <c r="D300" s="8">
        <f t="shared" ref="D300" si="51">E300</f>
        <v>14</v>
      </c>
      <c r="E300" s="16">
        <f t="shared" si="46"/>
        <v>14</v>
      </c>
      <c r="F300" s="16">
        <v>1</v>
      </c>
      <c r="G300" s="8" t="str">
        <f>IF(H300="","",VLOOKUP(H300,引用表合并!$A:$B,2,FALSE))</f>
        <v>部位材料(武器)</v>
      </c>
      <c r="H300" s="8">
        <v>70010</v>
      </c>
      <c r="I300" s="8">
        <v>3</v>
      </c>
      <c r="J300" s="10">
        <v>10000</v>
      </c>
      <c r="K300" s="8" t="str">
        <f>IF(L300="","",VLOOKUP(L300,引用表合并!$A:$B,2,FALSE))</f>
        <v>部位材料(衣服)</v>
      </c>
      <c r="L300" s="8">
        <v>71010</v>
      </c>
      <c r="M300" s="8">
        <v>3</v>
      </c>
      <c r="N300" s="10">
        <v>10000</v>
      </c>
      <c r="O300" s="8" t="str">
        <f>IF(P300="","",VLOOKUP(P300,引用表合并!$A:$B,2,FALSE))</f>
        <v>部位材料(裤子)</v>
      </c>
      <c r="P300" s="8">
        <v>72010</v>
      </c>
      <c r="Q300" s="8">
        <v>3</v>
      </c>
      <c r="R300" s="10">
        <v>10000</v>
      </c>
      <c r="S300" s="8" t="str">
        <f>IF(T300="","",VLOOKUP(T300,引用表合并!$A:$B,2,FALSE))</f>
        <v>部位材料(项链)</v>
      </c>
      <c r="T300" s="8">
        <v>73010</v>
      </c>
      <c r="U300" s="8">
        <v>3</v>
      </c>
      <c r="V300" s="10">
        <v>10000</v>
      </c>
      <c r="W300" s="8" t="str">
        <f>IF(X300="","",VLOOKUP(X300,引用表合并!$A:$B,2,FALSE))</f>
        <v>部位材料(腰带)</v>
      </c>
      <c r="X300" s="8">
        <v>74010</v>
      </c>
      <c r="Y300" s="8">
        <v>3</v>
      </c>
      <c r="Z300" s="10">
        <v>10000</v>
      </c>
      <c r="AA300" s="8" t="str">
        <f>IF(AB300="","",VLOOKUP(AB300,引用表合并!$A:$B,2,FALSE))</f>
        <v>部位材料(鞋子)</v>
      </c>
      <c r="AB300" s="8">
        <v>75010</v>
      </c>
      <c r="AC300" s="8">
        <v>3</v>
      </c>
      <c r="AD300" s="10">
        <v>10000</v>
      </c>
      <c r="AE300" s="8" t="str">
        <f>IF(AF300="","",VLOOKUP(AF300,引用表合并!$A:$B,2,FALSE))</f>
        <v>部位材料(武器)</v>
      </c>
      <c r="AF300" s="8">
        <v>70010</v>
      </c>
      <c r="AG300" s="8">
        <v>1</v>
      </c>
      <c r="AH300" s="10">
        <v>5000</v>
      </c>
      <c r="AI300" s="8" t="str">
        <f>IF(AJ300="","",VLOOKUP(AJ300,引用表合并!$A:$B,2,FALSE))</f>
        <v>部位材料(衣服)</v>
      </c>
      <c r="AJ300" s="8">
        <v>71010</v>
      </c>
      <c r="AK300" s="8">
        <v>1</v>
      </c>
      <c r="AL300" s="10">
        <v>5000</v>
      </c>
      <c r="AM300" s="8" t="str">
        <f>IF(AN300="","",VLOOKUP(AN300,引用表合并!$A:$B,2,FALSE))</f>
        <v>部位材料(裤子)</v>
      </c>
      <c r="AN300" s="8">
        <v>72010</v>
      </c>
      <c r="AO300" s="8">
        <v>1</v>
      </c>
      <c r="AP300" s="10">
        <v>5000</v>
      </c>
      <c r="AQ300" s="8" t="str">
        <f>IF(AR300="","",VLOOKUP(AR300,引用表合并!$A:$B,2,FALSE))</f>
        <v>部位材料(项链)</v>
      </c>
      <c r="AR300" s="8">
        <v>73010</v>
      </c>
      <c r="AS300" s="8">
        <v>1</v>
      </c>
      <c r="AT300" s="10">
        <v>5000</v>
      </c>
      <c r="AU300" s="8" t="str">
        <f>IF(AV300="","",VLOOKUP(AV300,引用表合并!$A:$B,2,FALSE))</f>
        <v>部位材料(腰带)</v>
      </c>
      <c r="AV300" s="8">
        <v>74010</v>
      </c>
      <c r="AW300" s="8">
        <v>1</v>
      </c>
      <c r="AX300" s="10">
        <v>5000</v>
      </c>
      <c r="AY300" s="8" t="str">
        <f>IF(AZ300="","",VLOOKUP(AZ300,引用表合并!$A:$B,2,FALSE))</f>
        <v>部位材料(鞋子)</v>
      </c>
      <c r="AZ300" s="8">
        <v>75010</v>
      </c>
      <c r="BA300" s="8">
        <v>1</v>
      </c>
      <c r="BB300" s="10">
        <v>5000</v>
      </c>
      <c r="BC300" s="8" t="str">
        <f>IF(BD300="","",VLOOKUP(BD300,引用表合并!$A:$B,2,FALSE))</f>
        <v>部位材料(武器)</v>
      </c>
      <c r="BD300" s="8">
        <v>70010</v>
      </c>
      <c r="BE300" s="8">
        <v>1</v>
      </c>
      <c r="BF300" s="10">
        <v>5000</v>
      </c>
      <c r="BG300" s="8" t="str">
        <f>IF(BH300="","",VLOOKUP(BH300,引用表合并!$A:$B,2,FALSE))</f>
        <v>部位材料(衣服)</v>
      </c>
      <c r="BH300" s="8">
        <v>71010</v>
      </c>
      <c r="BI300" s="8">
        <v>1</v>
      </c>
      <c r="BJ300" s="10">
        <v>5000</v>
      </c>
      <c r="BK300" s="8" t="str">
        <f>IF(BL300="","",VLOOKUP(BL300,引用表合并!$A:$B,2,FALSE))</f>
        <v/>
      </c>
      <c r="BL300" s="8"/>
      <c r="BN300" s="10"/>
    </row>
    <row r="301" spans="1:66" x14ac:dyDescent="0.15">
      <c r="A301" s="100">
        <v>486110</v>
      </c>
      <c r="B301" s="8" t="s">
        <v>947</v>
      </c>
      <c r="C301" s="8">
        <v>0</v>
      </c>
      <c r="D301" s="8">
        <f t="shared" si="50"/>
        <v>9</v>
      </c>
      <c r="E301" s="16">
        <f t="shared" si="46"/>
        <v>9</v>
      </c>
      <c r="F301" s="16">
        <v>1</v>
      </c>
      <c r="G301" s="8" t="str">
        <f>IF(H301="","",VLOOKUP(H301,引用表合并!$A:$B,2,FALSE))</f>
        <v>幸运戒指</v>
      </c>
      <c r="H301" s="73">
        <v>92131</v>
      </c>
      <c r="I301" s="8">
        <v>1</v>
      </c>
      <c r="J301" s="10">
        <v>10000</v>
      </c>
      <c r="K301" s="8" t="str">
        <f>IF(L301="","",VLOOKUP(L301,引用表合并!$A:$B,2,FALSE))</f>
        <v>亚诺</v>
      </c>
      <c r="L301" s="73">
        <v>92011</v>
      </c>
      <c r="M301" s="8">
        <v>1</v>
      </c>
      <c r="N301" s="10">
        <v>10000</v>
      </c>
      <c r="O301" s="8" t="str">
        <f>IF(P301="","",VLOOKUP(P301,引用表合并!$A:$B,2,FALSE))</f>
        <v>银色手环</v>
      </c>
      <c r="P301" s="73">
        <v>92228</v>
      </c>
      <c r="Q301" s="8">
        <v>1</v>
      </c>
      <c r="R301" s="10">
        <v>10000</v>
      </c>
      <c r="S301" s="8" t="str">
        <f>IF(T301="","",VLOOKUP(T301,引用表合并!$A:$B,2,FALSE))</f>
        <v>鎏金手环</v>
      </c>
      <c r="T301" s="73">
        <v>92232</v>
      </c>
      <c r="U301" s="8">
        <v>1</v>
      </c>
      <c r="V301" s="10">
        <v>10000</v>
      </c>
      <c r="W301" s="8" t="str">
        <f>IF(X301="","",VLOOKUP(X301,引用表合并!$A:$B,2,FALSE))</f>
        <v>镀金耳钉</v>
      </c>
      <c r="X301" s="73">
        <v>92121</v>
      </c>
      <c r="Y301" s="8">
        <v>1</v>
      </c>
      <c r="Z301" s="10">
        <v>10000</v>
      </c>
      <c r="AA301" s="8" t="str">
        <f>IF(AB301="","",VLOOKUP(AB301,引用表合并!$A:$B,2,FALSE))</f>
        <v>诅咒项链</v>
      </c>
      <c r="AB301" s="73">
        <v>92243</v>
      </c>
      <c r="AC301" s="8">
        <v>1</v>
      </c>
      <c r="AD301" s="10">
        <v>10000</v>
      </c>
      <c r="AE301" s="8" t="str">
        <f>IF(AF301="","",VLOOKUP(AF301,引用表合并!$A:$B,2,FALSE))</f>
        <v>金饰项链</v>
      </c>
      <c r="AF301" s="73">
        <v>92244</v>
      </c>
      <c r="AG301" s="8">
        <v>1</v>
      </c>
      <c r="AH301" s="10">
        <v>10000</v>
      </c>
      <c r="AI301" s="8" t="str">
        <f>IF(AJ301="","",VLOOKUP(AJ301,引用表合并!$A:$B,2,FALSE))</f>
        <v>银针手表</v>
      </c>
      <c r="AJ301" s="73">
        <v>92263</v>
      </c>
      <c r="AK301" s="8">
        <v>1</v>
      </c>
      <c r="AL301" s="10">
        <v>10000</v>
      </c>
      <c r="AM301" s="8" t="str">
        <f>IF(AN301="","",VLOOKUP(AN301,引用表合并!$A:$B,2,FALSE))</f>
        <v>冬利</v>
      </c>
      <c r="AN301" s="73">
        <v>92277</v>
      </c>
      <c r="AO301" s="8">
        <v>1</v>
      </c>
      <c r="AP301" s="10">
        <v>10000</v>
      </c>
      <c r="AQ301" s="8" t="str">
        <f>IF(AR301="","",VLOOKUP(AR301,引用表合并!$A:$B,2,FALSE))</f>
        <v/>
      </c>
      <c r="AR301" s="45"/>
      <c r="AS301" s="8"/>
      <c r="AU301" s="8" t="str">
        <f>IF(AV301="","",VLOOKUP(AV301,引用表合并!$A:$B,2,FALSE))</f>
        <v/>
      </c>
      <c r="AV301" s="8"/>
      <c r="AW301" s="8"/>
      <c r="AY301" s="8" t="str">
        <f>IF(AZ301="","",VLOOKUP(AZ301,引用表合并!$A:$B,2,FALSE))</f>
        <v/>
      </c>
      <c r="AZ301" s="8"/>
      <c r="BA301" s="8"/>
      <c r="BC301" s="8" t="str">
        <f>IF(BD301="","",VLOOKUP(BD301,引用表合并!$A:$B,2,FALSE))</f>
        <v/>
      </c>
      <c r="BD301" s="8"/>
      <c r="BF301" s="10"/>
      <c r="BG301" s="8" t="str">
        <f>IF(BH301="","",VLOOKUP(BH301,引用表合并!$A:$B,2,FALSE))</f>
        <v/>
      </c>
      <c r="BH301" s="8"/>
      <c r="BJ301" s="10"/>
      <c r="BK301" s="8" t="str">
        <f>IF(BL301="","",VLOOKUP(BL301,引用表合并!$A:$B,2,FALSE))</f>
        <v/>
      </c>
      <c r="BL301" s="8"/>
      <c r="BN301" s="10"/>
    </row>
    <row r="302" spans="1:66" x14ac:dyDescent="0.15">
      <c r="A302" s="100">
        <v>486120</v>
      </c>
      <c r="B302" s="8" t="s">
        <v>931</v>
      </c>
      <c r="C302" s="8">
        <v>0</v>
      </c>
      <c r="D302" s="8">
        <f t="shared" si="50"/>
        <v>10</v>
      </c>
      <c r="E302" s="16">
        <f t="shared" si="46"/>
        <v>10</v>
      </c>
      <c r="F302" s="16">
        <v>1</v>
      </c>
      <c r="G302" s="8" t="str">
        <f>IF(H302="","",VLOOKUP(H302,引用表合并!$A:$B,2,FALSE))</f>
        <v>白金手环</v>
      </c>
      <c r="H302" s="74">
        <v>92233</v>
      </c>
      <c r="I302" s="8">
        <v>1</v>
      </c>
      <c r="J302" s="10">
        <v>10000</v>
      </c>
      <c r="K302" s="8" t="str">
        <f>IF(L302="","",VLOOKUP(L302,引用表合并!$A:$B,2,FALSE))</f>
        <v>银饰耳钉</v>
      </c>
      <c r="L302" s="74">
        <v>92122</v>
      </c>
      <c r="M302" s="8">
        <v>1</v>
      </c>
      <c r="N302" s="10">
        <v>10000</v>
      </c>
      <c r="O302" s="8" t="str">
        <f>IF(P302="","",VLOOKUP(P302,引用表合并!$A:$B,2,FALSE))</f>
        <v>白银戒指</v>
      </c>
      <c r="P302" s="74">
        <v>92141</v>
      </c>
      <c r="Q302" s="8">
        <v>1</v>
      </c>
      <c r="R302" s="10">
        <v>10000</v>
      </c>
      <c r="S302" s="8" t="str">
        <f>IF(T302="","",VLOOKUP(T302,引用表合并!$A:$B,2,FALSE))</f>
        <v>水晶项链</v>
      </c>
      <c r="T302" s="74">
        <v>92245</v>
      </c>
      <c r="U302" s="8">
        <v>1</v>
      </c>
      <c r="V302" s="10">
        <v>10000</v>
      </c>
      <c r="W302" s="8" t="str">
        <f>IF(X302="","",VLOOKUP(X302,引用表合并!$A:$B,2,FALSE))</f>
        <v>红石项链</v>
      </c>
      <c r="X302" s="74">
        <v>92251</v>
      </c>
      <c r="Y302" s="8">
        <v>1</v>
      </c>
      <c r="Z302" s="10">
        <v>10000</v>
      </c>
      <c r="AA302" s="8" t="str">
        <f>IF(AB302="","",VLOOKUP(AB302,引用表合并!$A:$B,2,FALSE))</f>
        <v>越野手表</v>
      </c>
      <c r="AB302" s="74">
        <v>92264</v>
      </c>
      <c r="AC302" s="8">
        <v>1</v>
      </c>
      <c r="AD302" s="10">
        <v>10000</v>
      </c>
      <c r="AE302" s="8" t="str">
        <f>IF(AF302="","",VLOOKUP(AF302,引用表合并!$A:$B,2,FALSE))</f>
        <v>精准手表</v>
      </c>
      <c r="AF302" s="74">
        <v>92271</v>
      </c>
      <c r="AG302" s="8">
        <v>1</v>
      </c>
      <c r="AH302" s="10">
        <v>10000</v>
      </c>
      <c r="AI302" s="8" t="str">
        <f>IF(AJ302="","",VLOOKUP(AJ302,引用表合并!$A:$B,2,FALSE))</f>
        <v>宝驼</v>
      </c>
      <c r="AJ302" s="74">
        <v>92278</v>
      </c>
      <c r="AK302" s="8">
        <v>1</v>
      </c>
      <c r="AL302" s="10">
        <v>10000</v>
      </c>
      <c r="AM302" s="8" t="str">
        <f>IF(AN302="","",VLOOKUP(AN302,引用表合并!$A:$B,2,FALSE))</f>
        <v>小迭钞票</v>
      </c>
      <c r="AN302" s="74">
        <v>92283</v>
      </c>
      <c r="AO302" s="8">
        <v>1</v>
      </c>
      <c r="AP302" s="10">
        <v>10000</v>
      </c>
      <c r="AQ302" s="8" t="str">
        <f>IF(AR302="","",VLOOKUP(AR302,引用表合并!$A:$B,2,FALSE))</f>
        <v>金块</v>
      </c>
      <c r="AR302" s="74">
        <v>92287</v>
      </c>
      <c r="AS302" s="8">
        <v>1</v>
      </c>
      <c r="AT302" s="10">
        <v>10000</v>
      </c>
      <c r="AU302" s="8" t="str">
        <f>IF(AV302="","",VLOOKUP(AV302,引用表合并!$A:$B,2,FALSE))</f>
        <v/>
      </c>
      <c r="AV302" s="47"/>
      <c r="AW302" s="8"/>
      <c r="AY302" s="8" t="str">
        <f>IF(AZ302="","",VLOOKUP(AZ302,引用表合并!$A:$B,2,FALSE))</f>
        <v/>
      </c>
      <c r="AZ302" s="8"/>
      <c r="BA302" s="8"/>
      <c r="BC302" s="8" t="str">
        <f>IF(BD302="","",VLOOKUP(BD302,引用表合并!$A:$B,2,FALSE))</f>
        <v/>
      </c>
      <c r="BD302" s="8"/>
      <c r="BF302" s="10"/>
      <c r="BG302" s="8" t="str">
        <f>IF(BH302="","",VLOOKUP(BH302,引用表合并!$A:$B,2,FALSE))</f>
        <v/>
      </c>
      <c r="BH302" s="8"/>
      <c r="BJ302" s="10"/>
      <c r="BK302" s="8" t="str">
        <f>IF(BL302="","",VLOOKUP(BL302,引用表合并!$A:$B,2,FALSE))</f>
        <v/>
      </c>
      <c r="BL302" s="8"/>
      <c r="BN302" s="10"/>
    </row>
    <row r="303" spans="1:66" x14ac:dyDescent="0.15">
      <c r="A303" s="100">
        <v>486130</v>
      </c>
      <c r="B303" s="8" t="s">
        <v>932</v>
      </c>
      <c r="C303" s="8">
        <v>0</v>
      </c>
      <c r="D303" s="8">
        <f t="shared" si="50"/>
        <v>10</v>
      </c>
      <c r="E303" s="16">
        <f t="shared" si="46"/>
        <v>10</v>
      </c>
      <c r="F303" s="16">
        <v>1</v>
      </c>
      <c r="G303" s="8" t="str">
        <f>IF(H303="","",VLOOKUP(H303,引用表合并!$A:$B,2,FALSE))</f>
        <v>黄金戒指</v>
      </c>
      <c r="H303" s="75">
        <v>92142</v>
      </c>
      <c r="I303" s="8">
        <v>1</v>
      </c>
      <c r="J303" s="10">
        <v>10000</v>
      </c>
      <c r="K303" s="8" t="str">
        <f>IF(L303="","",VLOOKUP(L303,引用表合并!$A:$B,2,FALSE))</f>
        <v>宝石手环</v>
      </c>
      <c r="L303" s="75">
        <v>92235</v>
      </c>
      <c r="M303" s="8">
        <v>1</v>
      </c>
      <c r="N303" s="10">
        <v>10000</v>
      </c>
      <c r="O303" s="8" t="str">
        <f>IF(P303="","",VLOOKUP(P303,引用表合并!$A:$B,2,FALSE))</f>
        <v>摩拉</v>
      </c>
      <c r="P303" s="75">
        <v>92012</v>
      </c>
      <c r="Q303" s="8">
        <v>1</v>
      </c>
      <c r="R303" s="10">
        <v>10000</v>
      </c>
      <c r="S303" s="8" t="str">
        <f>IF(T303="","",VLOOKUP(T303,引用表合并!$A:$B,2,FALSE))</f>
        <v>青玉项链</v>
      </c>
      <c r="T303" s="75">
        <v>92252</v>
      </c>
      <c r="U303" s="8">
        <v>1</v>
      </c>
      <c r="V303" s="10">
        <v>10000</v>
      </c>
      <c r="W303" s="8" t="str">
        <f>IF(X303="","",VLOOKUP(X303,引用表合并!$A:$B,2,FALSE))</f>
        <v>水晶耳钉</v>
      </c>
      <c r="X303" s="75">
        <v>92124</v>
      </c>
      <c r="Y303" s="8">
        <v>1</v>
      </c>
      <c r="Z303" s="10">
        <v>10000</v>
      </c>
      <c r="AA303" s="8" t="str">
        <f>IF(AB303="","",VLOOKUP(AB303,引用表合并!$A:$B,2,FALSE))</f>
        <v>金针手表</v>
      </c>
      <c r="AB303" s="75">
        <v>92272</v>
      </c>
      <c r="AC303" s="8">
        <v>1</v>
      </c>
      <c r="AD303" s="10">
        <v>10000</v>
      </c>
      <c r="AE303" s="8" t="str">
        <f>IF(AF303="","",VLOOKUP(AF303,引用表合并!$A:$B,2,FALSE))</f>
        <v>智能手表</v>
      </c>
      <c r="AF303" s="75">
        <v>92273</v>
      </c>
      <c r="AG303" s="8">
        <v>1</v>
      </c>
      <c r="AH303" s="10">
        <v>10000</v>
      </c>
      <c r="AI303" s="8" t="str">
        <f>IF(AJ303="","",VLOOKUP(AJ303,引用表合并!$A:$B,2,FALSE))</f>
        <v>宾倪</v>
      </c>
      <c r="AJ303" s="75">
        <v>92279</v>
      </c>
      <c r="AK303" s="8">
        <v>1</v>
      </c>
      <c r="AL303" s="10">
        <v>10000</v>
      </c>
      <c r="AM303" s="8" t="str">
        <f>IF(AN303="","",VLOOKUP(AN303,引用表合并!$A:$B,2,FALSE))</f>
        <v>大迭钞票</v>
      </c>
      <c r="AN303" s="75">
        <v>92284</v>
      </c>
      <c r="AO303" s="8">
        <v>1</v>
      </c>
      <c r="AP303" s="10">
        <v>10000</v>
      </c>
      <c r="AQ303" s="8" t="str">
        <f>IF(AR303="","",VLOOKUP(AR303,引用表合并!$A:$B,2,FALSE))</f>
        <v>大金块</v>
      </c>
      <c r="AR303" s="75">
        <v>92288</v>
      </c>
      <c r="AS303" s="8">
        <v>1</v>
      </c>
      <c r="AT303" s="10">
        <v>10000</v>
      </c>
      <c r="AU303" s="8" t="str">
        <f>IF(AV303="","",VLOOKUP(AV303,引用表合并!$A:$B,2,FALSE))</f>
        <v/>
      </c>
      <c r="AV303" s="8"/>
      <c r="AW303" s="8"/>
      <c r="AY303" s="8" t="str">
        <f>IF(AZ303="","",VLOOKUP(AZ303,引用表合并!$A:$B,2,FALSE))</f>
        <v/>
      </c>
      <c r="AZ303" s="8"/>
      <c r="BA303" s="8"/>
      <c r="BC303" s="8" t="str">
        <f>IF(BD303="","",VLOOKUP(BD303,引用表合并!$A:$B,2,FALSE))</f>
        <v/>
      </c>
      <c r="BD303" s="8"/>
      <c r="BF303" s="10"/>
      <c r="BG303" s="8" t="str">
        <f>IF(BH303="","",VLOOKUP(BH303,引用表合并!$A:$B,2,FALSE))</f>
        <v/>
      </c>
      <c r="BH303" s="8"/>
      <c r="BJ303" s="10"/>
      <c r="BK303" s="8" t="str">
        <f>IF(BL303="","",VLOOKUP(BL303,引用表合并!$A:$B,2,FALSE))</f>
        <v/>
      </c>
      <c r="BL303" s="8"/>
      <c r="BN303" s="10"/>
    </row>
    <row r="304" spans="1:66" x14ac:dyDescent="0.15">
      <c r="A304" s="100">
        <v>486140</v>
      </c>
      <c r="B304" s="8" t="s">
        <v>933</v>
      </c>
      <c r="C304" s="8">
        <v>0</v>
      </c>
      <c r="D304" s="8">
        <f t="shared" si="50"/>
        <v>12</v>
      </c>
      <c r="E304" s="16">
        <f t="shared" si="46"/>
        <v>12</v>
      </c>
      <c r="F304" s="16">
        <v>1</v>
      </c>
      <c r="G304" s="8" t="str">
        <f>IF(H304="","",VLOOKUP(H304,引用表合并!$A:$B,2,FALSE))</f>
        <v>红石耳钉</v>
      </c>
      <c r="H304" s="76">
        <v>92125</v>
      </c>
      <c r="I304" s="8">
        <v>1</v>
      </c>
      <c r="J304" s="10">
        <v>10000</v>
      </c>
      <c r="K304" s="8" t="str">
        <f>IF(L304="","",VLOOKUP(L304,引用表合并!$A:$B,2,FALSE))</f>
        <v>毒蝎耳钉</v>
      </c>
      <c r="L304" s="76">
        <v>92134</v>
      </c>
      <c r="M304" s="8">
        <v>1</v>
      </c>
      <c r="N304" s="10">
        <v>10000</v>
      </c>
      <c r="O304" s="8" t="str">
        <f>IF(P304="","",VLOOKUP(P304,引用表合并!$A:$B,2,FALSE))</f>
        <v>赤金戒指</v>
      </c>
      <c r="P304" s="76">
        <v>92223</v>
      </c>
      <c r="Q304" s="8">
        <v>1</v>
      </c>
      <c r="R304" s="10">
        <v>10000</v>
      </c>
      <c r="S304" s="8" t="str">
        <f>IF(T304="","",VLOOKUP(T304,引用表合并!$A:$B,2,FALSE))</f>
        <v>王者手环</v>
      </c>
      <c r="T304" s="76">
        <v>92227</v>
      </c>
      <c r="U304" s="8">
        <v>1</v>
      </c>
      <c r="V304" s="10">
        <v>10000</v>
      </c>
      <c r="W304" s="8" t="str">
        <f>IF(X304="","",VLOOKUP(X304,引用表合并!$A:$B,2,FALSE))</f>
        <v>符文手环</v>
      </c>
      <c r="X304" s="76">
        <v>92236</v>
      </c>
      <c r="Y304" s="8">
        <v>1</v>
      </c>
      <c r="Z304" s="10">
        <v>10000</v>
      </c>
      <c r="AA304" s="8" t="str">
        <f>IF(AB304="","",VLOOKUP(AB304,引用表合并!$A:$B,2,FALSE))</f>
        <v>月立</v>
      </c>
      <c r="AB304" s="76">
        <v>92013</v>
      </c>
      <c r="AC304" s="8">
        <v>1</v>
      </c>
      <c r="AD304" s="10">
        <v>10000</v>
      </c>
      <c r="AE304" s="8" t="str">
        <f>IF(AF304="","",VLOOKUP(AF304,引用表合并!$A:$B,2,FALSE))</f>
        <v>猫妖项链</v>
      </c>
      <c r="AF304" s="76">
        <v>92253</v>
      </c>
      <c r="AG304" s="8">
        <v>1</v>
      </c>
      <c r="AH304" s="10">
        <v>10000</v>
      </c>
      <c r="AI304" s="8" t="str">
        <f>IF(AJ304="","",VLOOKUP(AJ304,引用表合并!$A:$B,2,FALSE))</f>
        <v>苍蓝项链</v>
      </c>
      <c r="AJ304" s="76">
        <v>92254</v>
      </c>
      <c r="AK304" s="8">
        <v>1</v>
      </c>
      <c r="AL304" s="10">
        <v>10000</v>
      </c>
      <c r="AM304" s="8" t="str">
        <f>IF(AN304="","",VLOOKUP(AN304,引用表合并!$A:$B,2,FALSE))</f>
        <v>汉密手表</v>
      </c>
      <c r="AN304" s="76">
        <v>92274</v>
      </c>
      <c r="AO304" s="8">
        <v>1</v>
      </c>
      <c r="AP304" s="10">
        <v>10000</v>
      </c>
      <c r="AQ304" s="8" t="str">
        <f>IF(AR304="","",VLOOKUP(AR304,引用表合并!$A:$B,2,FALSE))</f>
        <v>法拉捷</v>
      </c>
      <c r="AR304" s="76">
        <v>92280</v>
      </c>
      <c r="AS304" s="8">
        <v>1</v>
      </c>
      <c r="AT304" s="10">
        <v>10000</v>
      </c>
      <c r="AU304" s="8" t="str">
        <f>IF(AV304="","",VLOOKUP(AV304,引用表合并!$A:$B,2,FALSE))</f>
        <v>大堆钞票</v>
      </c>
      <c r="AV304" s="76">
        <v>92285</v>
      </c>
      <c r="AW304" s="8">
        <v>1</v>
      </c>
      <c r="AX304" s="10">
        <v>10000</v>
      </c>
      <c r="AY304" s="8" t="str">
        <f>IF(AZ304="","",VLOOKUP(AZ304,引用表合并!$A:$B,2,FALSE))</f>
        <v>小堆金块</v>
      </c>
      <c r="AZ304" s="76">
        <v>92289</v>
      </c>
      <c r="BA304" s="8">
        <v>1</v>
      </c>
      <c r="BB304" s="10">
        <v>10000</v>
      </c>
      <c r="BC304" s="8" t="str">
        <f>IF(BD304="","",VLOOKUP(BD304,引用表合并!$A:$B,2,FALSE))</f>
        <v/>
      </c>
      <c r="BD304" s="8"/>
      <c r="BF304" s="10"/>
      <c r="BG304" s="8" t="str">
        <f>IF(BH304="","",VLOOKUP(BH304,引用表合并!$A:$B,2,FALSE))</f>
        <v/>
      </c>
      <c r="BH304" s="8"/>
      <c r="BJ304" s="10"/>
      <c r="BK304" s="8" t="str">
        <f>IF(BL304="","",VLOOKUP(BL304,引用表合并!$A:$B,2,FALSE))</f>
        <v/>
      </c>
      <c r="BL304" s="8"/>
      <c r="BN304" s="10"/>
    </row>
    <row r="305" spans="1:150" x14ac:dyDescent="0.15">
      <c r="A305" s="100">
        <v>486150</v>
      </c>
      <c r="B305" s="8" t="s">
        <v>934</v>
      </c>
      <c r="C305" s="8">
        <v>0</v>
      </c>
      <c r="D305" s="8">
        <f t="shared" ref="D305:D322" si="52">E305</f>
        <v>10</v>
      </c>
      <c r="E305" s="16">
        <f t="shared" si="46"/>
        <v>10</v>
      </c>
      <c r="F305" s="16">
        <v>1</v>
      </c>
      <c r="G305" s="8" t="str">
        <f>IF(H305="","",VLOOKUP(H305,引用表合并!$A:$B,2,FALSE))</f>
        <v>菠萝</v>
      </c>
      <c r="H305" s="77">
        <v>92014</v>
      </c>
      <c r="I305" s="8">
        <v>1</v>
      </c>
      <c r="J305" s="10">
        <v>10000</v>
      </c>
      <c r="K305" s="8" t="str">
        <f>IF(L305="","",VLOOKUP(L305,引用表合并!$A:$B,2,FALSE))</f>
        <v>星光红石</v>
      </c>
      <c r="L305" s="77">
        <v>92296</v>
      </c>
      <c r="M305" s="8">
        <v>1</v>
      </c>
      <c r="N305" s="10">
        <v>10000</v>
      </c>
      <c r="O305" s="8" t="str">
        <f>IF(P305="","",VLOOKUP(P305,引用表合并!$A:$B,2,FALSE))</f>
        <v>苍蓝戒指</v>
      </c>
      <c r="P305" s="77">
        <v>92240</v>
      </c>
      <c r="Q305" s="8">
        <v>1</v>
      </c>
      <c r="R305" s="10">
        <v>10000</v>
      </c>
      <c r="S305" s="8" t="str">
        <f>IF(T305="","",VLOOKUP(T305,引用表合并!$A:$B,2,FALSE))</f>
        <v>金饰宝盒</v>
      </c>
      <c r="T305" s="77">
        <v>92292</v>
      </c>
      <c r="U305" s="8">
        <v>1</v>
      </c>
      <c r="V305" s="10">
        <v>10000</v>
      </c>
      <c r="W305" s="8" t="str">
        <f>IF(X305="","",VLOOKUP(X305,引用表合并!$A:$B,2,FALSE))</f>
        <v>圣徒项链</v>
      </c>
      <c r="X305" s="77">
        <v>92256</v>
      </c>
      <c r="Y305" s="8">
        <v>1</v>
      </c>
      <c r="Z305" s="10">
        <v>10000</v>
      </c>
      <c r="AA305" s="8" t="str">
        <f>IF(AB305="","",VLOOKUP(AB305,引用表合并!$A:$B,2,FALSE))</f>
        <v>贵族项链</v>
      </c>
      <c r="AB305" s="77">
        <v>92261</v>
      </c>
      <c r="AC305" s="8">
        <v>1</v>
      </c>
      <c r="AD305" s="10">
        <v>10000</v>
      </c>
      <c r="AE305" s="8" t="str">
        <f>IF(AF305="","",VLOOKUP(AF305,引用表合并!$A:$B,2,FALSE))</f>
        <v>千国手表</v>
      </c>
      <c r="AF305" s="77">
        <v>92275</v>
      </c>
      <c r="AG305" s="8">
        <v>1</v>
      </c>
      <c r="AH305" s="10">
        <v>10000</v>
      </c>
      <c r="AI305" s="8" t="str">
        <f>IF(AJ305="","",VLOOKUP(AJ305,引用表合并!$A:$B,2,FALSE))</f>
        <v>红博机利</v>
      </c>
      <c r="AJ305" s="77">
        <v>92281</v>
      </c>
      <c r="AK305" s="8">
        <v>1</v>
      </c>
      <c r="AL305" s="10">
        <v>10000</v>
      </c>
      <c r="AM305" s="8" t="str">
        <f>IF(AN305="","",VLOOKUP(AN305,引用表合并!$A:$B,2,FALSE))</f>
        <v>巨额钞票</v>
      </c>
      <c r="AN305" s="77">
        <v>92286</v>
      </c>
      <c r="AO305" s="8">
        <v>1</v>
      </c>
      <c r="AP305" s="10">
        <v>10000</v>
      </c>
      <c r="AQ305" s="8" t="str">
        <f>IF(AR305="","",VLOOKUP(AR305,引用表合并!$A:$B,2,FALSE))</f>
        <v>大堆金块</v>
      </c>
      <c r="AR305" s="77">
        <v>92290</v>
      </c>
      <c r="AS305" s="8">
        <v>1</v>
      </c>
      <c r="AT305" s="10">
        <v>10000</v>
      </c>
      <c r="AU305" s="8" t="str">
        <f>IF(AV305="","",VLOOKUP(AV305,引用表合并!$A:$B,2,FALSE))</f>
        <v/>
      </c>
      <c r="AV305" s="8"/>
      <c r="AW305" s="8"/>
      <c r="AY305" s="8" t="str">
        <f>IF(AZ305="","",VLOOKUP(AZ305,引用表合并!$A:$B,2,FALSE))</f>
        <v/>
      </c>
      <c r="AZ305" s="8"/>
      <c r="BA305" s="8"/>
      <c r="BC305" s="8" t="str">
        <f>IF(BD305="","",VLOOKUP(BD305,引用表合并!$A:$B,2,FALSE))</f>
        <v/>
      </c>
      <c r="BD305" s="8"/>
      <c r="BF305" s="10"/>
      <c r="BG305" s="8" t="str">
        <f>IF(BH305="","",VLOOKUP(BH305,引用表合并!$A:$B,2,FALSE))</f>
        <v/>
      </c>
      <c r="BH305" s="8"/>
      <c r="BJ305" s="10"/>
      <c r="BK305" s="8" t="str">
        <f>IF(BL305="","",VLOOKUP(BL305,引用表合并!$A:$B,2,FALSE))</f>
        <v/>
      </c>
      <c r="BL305" s="8"/>
      <c r="BN305" s="10"/>
    </row>
    <row r="306" spans="1:150" x14ac:dyDescent="0.15">
      <c r="A306" s="103">
        <v>486121</v>
      </c>
      <c r="B306" s="8" t="s">
        <v>1049</v>
      </c>
      <c r="C306" s="8">
        <v>0</v>
      </c>
      <c r="D306" s="8">
        <f t="shared" ref="D306:D308" si="53">E306</f>
        <v>30</v>
      </c>
      <c r="E306" s="16">
        <f t="shared" si="46"/>
        <v>30</v>
      </c>
      <c r="F306" s="16">
        <v>1</v>
      </c>
      <c r="G306" s="8" t="str">
        <f>IF(H306="","",VLOOKUP(H306,引用表合并!$A:$B,2,FALSE))</f>
        <v>白金手环碎片</v>
      </c>
      <c r="H306" s="74">
        <v>93233</v>
      </c>
      <c r="I306" s="8">
        <v>1</v>
      </c>
      <c r="J306" s="10">
        <v>10000</v>
      </c>
      <c r="K306" s="8" t="str">
        <f>IF(L306="","",VLOOKUP(L306,引用表合并!$A:$B,2,FALSE))</f>
        <v>银饰耳钉碎片</v>
      </c>
      <c r="L306" s="74">
        <v>93122</v>
      </c>
      <c r="M306" s="8">
        <v>1</v>
      </c>
      <c r="N306" s="10">
        <v>10000</v>
      </c>
      <c r="O306" s="8" t="str">
        <f>IF(P306="","",VLOOKUP(P306,引用表合并!$A:$B,2,FALSE))</f>
        <v>白银戒指碎片</v>
      </c>
      <c r="P306" s="74">
        <v>93141</v>
      </c>
      <c r="Q306" s="8">
        <v>1</v>
      </c>
      <c r="R306" s="10">
        <v>10000</v>
      </c>
      <c r="S306" s="8" t="str">
        <f>IF(T306="","",VLOOKUP(T306,引用表合并!$A:$B,2,FALSE))</f>
        <v>水晶项链碎片</v>
      </c>
      <c r="T306" s="74">
        <v>93245</v>
      </c>
      <c r="U306" s="8">
        <v>1</v>
      </c>
      <c r="V306" s="10">
        <v>10000</v>
      </c>
      <c r="W306" s="8" t="str">
        <f>IF(X306="","",VLOOKUP(X306,引用表合并!$A:$B,2,FALSE))</f>
        <v>红石项链碎片</v>
      </c>
      <c r="X306" s="74">
        <v>93251</v>
      </c>
      <c r="Y306" s="8">
        <v>1</v>
      </c>
      <c r="Z306" s="10">
        <v>10000</v>
      </c>
      <c r="AA306" s="8" t="str">
        <f>IF(AB306="","",VLOOKUP(AB306,引用表合并!$A:$B,2,FALSE))</f>
        <v>越野手表碎片</v>
      </c>
      <c r="AB306" s="74">
        <v>93264</v>
      </c>
      <c r="AC306" s="8">
        <v>1</v>
      </c>
      <c r="AD306" s="10">
        <v>10000</v>
      </c>
      <c r="AE306" s="8" t="str">
        <f>IF(AF306="","",VLOOKUP(AF306,引用表合并!$A:$B,2,FALSE))</f>
        <v>精准手表碎片</v>
      </c>
      <c r="AF306" s="74">
        <v>93271</v>
      </c>
      <c r="AG306" s="8">
        <v>1</v>
      </c>
      <c r="AH306" s="10">
        <v>10000</v>
      </c>
      <c r="AI306" s="8" t="str">
        <f>IF(AJ306="","",VLOOKUP(AJ306,引用表合并!$A:$B,2,FALSE))</f>
        <v>宝驼碎片</v>
      </c>
      <c r="AJ306" s="74">
        <v>93278</v>
      </c>
      <c r="AK306" s="8">
        <v>1</v>
      </c>
      <c r="AL306" s="10">
        <v>10000</v>
      </c>
      <c r="AM306" s="8" t="str">
        <f>IF(AN306="","",VLOOKUP(AN306,引用表合并!$A:$B,2,FALSE))</f>
        <v>小迭钞票碎片</v>
      </c>
      <c r="AN306" s="74">
        <v>93283</v>
      </c>
      <c r="AO306" s="8">
        <v>1</v>
      </c>
      <c r="AP306" s="10">
        <v>10000</v>
      </c>
      <c r="AQ306" s="8" t="str">
        <f>IF(AR306="","",VLOOKUP(AR306,引用表合并!$A:$B,2,FALSE))</f>
        <v>金块碎片</v>
      </c>
      <c r="AR306" s="74">
        <v>93287</v>
      </c>
      <c r="AS306" s="8">
        <v>1</v>
      </c>
      <c r="AT306" s="10">
        <v>10000</v>
      </c>
      <c r="AU306" s="8" t="str">
        <f>IF(AV306="","",VLOOKUP(AV306,引用表合并!$A:$B,2,FALSE))</f>
        <v>白金手环碎片</v>
      </c>
      <c r="AV306" s="47">
        <f>H306</f>
        <v>93233</v>
      </c>
      <c r="AW306" s="8">
        <v>1</v>
      </c>
      <c r="AX306" s="10">
        <v>1000</v>
      </c>
      <c r="AY306" s="8" t="str">
        <f>IF(AZ306="","",VLOOKUP(AZ306,引用表合并!$A:$B,2,FALSE))</f>
        <v>银饰耳钉碎片</v>
      </c>
      <c r="AZ306" s="47">
        <f>L306</f>
        <v>93122</v>
      </c>
      <c r="BA306" s="8">
        <v>1</v>
      </c>
      <c r="BB306" s="10">
        <v>1000</v>
      </c>
      <c r="BC306" s="8" t="str">
        <f>IF(BD306="","",VLOOKUP(BD306,引用表合并!$A:$B,2,FALSE))</f>
        <v>白银戒指碎片</v>
      </c>
      <c r="BD306" s="47">
        <f>P306</f>
        <v>93141</v>
      </c>
      <c r="BE306" s="8">
        <v>1</v>
      </c>
      <c r="BF306" s="10">
        <v>1000</v>
      </c>
      <c r="BG306" s="8" t="str">
        <f>IF(BH306="","",VLOOKUP(BH306,引用表合并!$A:$B,2,FALSE))</f>
        <v>水晶项链碎片</v>
      </c>
      <c r="BH306" s="47">
        <f>T306</f>
        <v>93245</v>
      </c>
      <c r="BI306" s="8">
        <v>1</v>
      </c>
      <c r="BJ306" s="10">
        <v>1000</v>
      </c>
      <c r="BK306" s="8" t="str">
        <f>IF(BL306="","",VLOOKUP(BL306,引用表合并!$A:$B,2,FALSE))</f>
        <v>红石项链碎片</v>
      </c>
      <c r="BL306" s="47">
        <f>X306</f>
        <v>93251</v>
      </c>
      <c r="BM306" s="8">
        <v>1</v>
      </c>
      <c r="BN306" s="10">
        <v>1000</v>
      </c>
      <c r="BO306" s="8" t="str">
        <f>IF(BP306="","",VLOOKUP(BP306,引用表合并!$A:$B,2,FALSE))</f>
        <v>越野手表碎片</v>
      </c>
      <c r="BP306" s="47">
        <f>AB306</f>
        <v>93264</v>
      </c>
      <c r="BQ306" s="8">
        <v>1</v>
      </c>
      <c r="BR306" s="10">
        <v>1000</v>
      </c>
      <c r="BS306" s="8" t="str">
        <f>IF(BT306="","",VLOOKUP(BT306,引用表合并!$A:$B,2,FALSE))</f>
        <v>精准手表碎片</v>
      </c>
      <c r="BT306" s="47">
        <f>AF306</f>
        <v>93271</v>
      </c>
      <c r="BU306" s="8">
        <v>1</v>
      </c>
      <c r="BV306" s="10">
        <v>1000</v>
      </c>
      <c r="BW306" s="8" t="str">
        <f>IF(BX306="","",VLOOKUP(BX306,引用表合并!$A:$B,2,FALSE))</f>
        <v>宝驼碎片</v>
      </c>
      <c r="BX306" s="47">
        <f>AJ306</f>
        <v>93278</v>
      </c>
      <c r="BY306" s="8">
        <v>1</v>
      </c>
      <c r="BZ306" s="10">
        <v>1000</v>
      </c>
      <c r="CA306" s="8" t="str">
        <f>IF(CB306="","",VLOOKUP(CB306,引用表合并!$A:$B,2,FALSE))</f>
        <v>小迭钞票碎片</v>
      </c>
      <c r="CB306" s="47">
        <f>AN306</f>
        <v>93283</v>
      </c>
      <c r="CC306" s="8">
        <v>1</v>
      </c>
      <c r="CD306" s="10">
        <v>1000</v>
      </c>
      <c r="CE306" s="8" t="str">
        <f>IF(CF306="","",VLOOKUP(CF306,引用表合并!$A:$B,2,FALSE))</f>
        <v>金块碎片</v>
      </c>
      <c r="CF306" s="47">
        <f>AR306</f>
        <v>93287</v>
      </c>
      <c r="CG306" s="8">
        <v>1</v>
      </c>
      <c r="CH306" s="10">
        <v>1000</v>
      </c>
      <c r="CI306" s="8" t="str">
        <f>IF(CJ306="","",VLOOKUP(CJ306,引用表合并!$A:$B,2,FALSE))</f>
        <v>白金手环碎片</v>
      </c>
      <c r="CJ306" s="47">
        <f>AV306</f>
        <v>93233</v>
      </c>
      <c r="CK306" s="8">
        <v>1</v>
      </c>
      <c r="CL306" s="10">
        <v>1000</v>
      </c>
      <c r="CM306" s="8" t="str">
        <f>IF(CN306="","",VLOOKUP(CN306,引用表合并!$A:$B,2,FALSE))</f>
        <v>银饰耳钉碎片</v>
      </c>
      <c r="CN306" s="47">
        <f>AZ306</f>
        <v>93122</v>
      </c>
      <c r="CO306" s="8">
        <v>1</v>
      </c>
      <c r="CP306" s="10">
        <v>1000</v>
      </c>
      <c r="CQ306" s="8" t="str">
        <f>IF(CR306="","",VLOOKUP(CR306,引用表合并!$A:$B,2,FALSE))</f>
        <v>白银戒指碎片</v>
      </c>
      <c r="CR306" s="47">
        <f>BD306</f>
        <v>93141</v>
      </c>
      <c r="CS306" s="8">
        <v>1</v>
      </c>
      <c r="CT306" s="10">
        <v>1000</v>
      </c>
      <c r="CU306" s="8" t="str">
        <f>IF(CV306="","",VLOOKUP(CV306,引用表合并!$A:$B,2,FALSE))</f>
        <v>水晶项链碎片</v>
      </c>
      <c r="CV306" s="47">
        <f>BH306</f>
        <v>93245</v>
      </c>
      <c r="CW306" s="8">
        <v>1</v>
      </c>
      <c r="CX306" s="10">
        <v>1000</v>
      </c>
      <c r="CY306" s="8" t="str">
        <f>IF(CZ306="","",VLOOKUP(CZ306,引用表合并!$A:$B,2,FALSE))</f>
        <v>红石项链碎片</v>
      </c>
      <c r="CZ306" s="47">
        <f>BL306</f>
        <v>93251</v>
      </c>
      <c r="DA306" s="8">
        <v>1</v>
      </c>
      <c r="DB306" s="10">
        <v>1000</v>
      </c>
      <c r="DC306" s="8" t="str">
        <f>IF(DD306="","",VLOOKUP(DD306,引用表合并!$A:$B,2,FALSE))</f>
        <v>越野手表碎片</v>
      </c>
      <c r="DD306" s="47">
        <f>BP306</f>
        <v>93264</v>
      </c>
      <c r="DE306" s="8">
        <v>1</v>
      </c>
      <c r="DF306" s="10">
        <v>1000</v>
      </c>
      <c r="DG306" s="8" t="str">
        <f>IF(DH306="","",VLOOKUP(DH306,引用表合并!$A:$B,2,FALSE))</f>
        <v>精准手表碎片</v>
      </c>
      <c r="DH306" s="47">
        <f>BT306</f>
        <v>93271</v>
      </c>
      <c r="DI306" s="8">
        <v>1</v>
      </c>
      <c r="DJ306" s="10">
        <v>1000</v>
      </c>
      <c r="DK306" s="8" t="str">
        <f>IF(DL306="","",VLOOKUP(DL306,引用表合并!$A:$B,2,FALSE))</f>
        <v>宝驼碎片</v>
      </c>
      <c r="DL306" s="47">
        <f>BX306</f>
        <v>93278</v>
      </c>
      <c r="DM306" s="8">
        <v>1</v>
      </c>
      <c r="DN306" s="10">
        <v>1000</v>
      </c>
      <c r="DO306" s="8" t="str">
        <f>IF(DP306="","",VLOOKUP(DP306,引用表合并!$A:$B,2,FALSE))</f>
        <v>小迭钞票碎片</v>
      </c>
      <c r="DP306" s="47">
        <f>CB306</f>
        <v>93283</v>
      </c>
      <c r="DQ306" s="8">
        <v>1</v>
      </c>
      <c r="DR306" s="10">
        <v>1000</v>
      </c>
      <c r="DS306" s="8" t="str">
        <f>IF(DT306="","",VLOOKUP(DT306,引用表合并!$A:$B,2,FALSE))</f>
        <v>金块碎片</v>
      </c>
      <c r="DT306" s="47">
        <f>CF306</f>
        <v>93287</v>
      </c>
      <c r="DU306" s="8">
        <v>1</v>
      </c>
      <c r="DV306" s="10">
        <v>1000</v>
      </c>
    </row>
    <row r="307" spans="1:150" x14ac:dyDescent="0.15">
      <c r="A307" s="103">
        <v>486131</v>
      </c>
      <c r="B307" s="8" t="s">
        <v>1050</v>
      </c>
      <c r="C307" s="8">
        <v>0</v>
      </c>
      <c r="D307" s="8">
        <f t="shared" si="53"/>
        <v>30</v>
      </c>
      <c r="E307" s="16">
        <f t="shared" si="46"/>
        <v>30</v>
      </c>
      <c r="F307" s="16">
        <v>1</v>
      </c>
      <c r="G307" s="8" t="str">
        <f>IF(H307="","",VLOOKUP(H307,引用表合并!$A:$B,2,FALSE))</f>
        <v>黄金戒指碎片</v>
      </c>
      <c r="H307" s="75">
        <v>93142</v>
      </c>
      <c r="I307" s="8">
        <v>1</v>
      </c>
      <c r="J307" s="10">
        <v>10000</v>
      </c>
      <c r="K307" s="8" t="str">
        <f>IF(L307="","",VLOOKUP(L307,引用表合并!$A:$B,2,FALSE))</f>
        <v>宝石手环碎片</v>
      </c>
      <c r="L307" s="75">
        <v>93235</v>
      </c>
      <c r="M307" s="8">
        <v>1</v>
      </c>
      <c r="N307" s="10">
        <v>10000</v>
      </c>
      <c r="O307" s="8" t="str">
        <f>IF(P307="","",VLOOKUP(P307,引用表合并!$A:$B,2,FALSE))</f>
        <v>摩拉碎片</v>
      </c>
      <c r="P307" s="75">
        <v>93012</v>
      </c>
      <c r="Q307" s="8">
        <v>1</v>
      </c>
      <c r="R307" s="10">
        <v>10000</v>
      </c>
      <c r="S307" s="8" t="str">
        <f>IF(T307="","",VLOOKUP(T307,引用表合并!$A:$B,2,FALSE))</f>
        <v>青玉项链碎片</v>
      </c>
      <c r="T307" s="75">
        <v>93252</v>
      </c>
      <c r="U307" s="8">
        <v>1</v>
      </c>
      <c r="V307" s="10">
        <v>10000</v>
      </c>
      <c r="W307" s="8" t="str">
        <f>IF(X307="","",VLOOKUP(X307,引用表合并!$A:$B,2,FALSE))</f>
        <v>水晶耳钉碎片</v>
      </c>
      <c r="X307" s="75">
        <v>93124</v>
      </c>
      <c r="Y307" s="8">
        <v>1</v>
      </c>
      <c r="Z307" s="10">
        <v>10000</v>
      </c>
      <c r="AA307" s="8" t="str">
        <f>IF(AB307="","",VLOOKUP(AB307,引用表合并!$A:$B,2,FALSE))</f>
        <v>金针手表碎片</v>
      </c>
      <c r="AB307" s="75">
        <v>93272</v>
      </c>
      <c r="AC307" s="8">
        <v>1</v>
      </c>
      <c r="AD307" s="10">
        <v>10000</v>
      </c>
      <c r="AE307" s="8" t="str">
        <f>IF(AF307="","",VLOOKUP(AF307,引用表合并!$A:$B,2,FALSE))</f>
        <v>智能手表碎片</v>
      </c>
      <c r="AF307" s="75">
        <v>93273</v>
      </c>
      <c r="AG307" s="8">
        <v>1</v>
      </c>
      <c r="AH307" s="10">
        <v>10000</v>
      </c>
      <c r="AI307" s="8" t="str">
        <f>IF(AJ307="","",VLOOKUP(AJ307,引用表合并!$A:$B,2,FALSE))</f>
        <v>宾倪碎片</v>
      </c>
      <c r="AJ307" s="75">
        <v>93279</v>
      </c>
      <c r="AK307" s="8">
        <v>1</v>
      </c>
      <c r="AL307" s="10">
        <v>10000</v>
      </c>
      <c r="AM307" s="8" t="str">
        <f>IF(AN307="","",VLOOKUP(AN307,引用表合并!$A:$B,2,FALSE))</f>
        <v>大迭钞票碎片</v>
      </c>
      <c r="AN307" s="75">
        <v>93284</v>
      </c>
      <c r="AO307" s="8">
        <v>1</v>
      </c>
      <c r="AP307" s="10">
        <v>10000</v>
      </c>
      <c r="AQ307" s="8" t="str">
        <f>IF(AR307="","",VLOOKUP(AR307,引用表合并!$A:$B,2,FALSE))</f>
        <v>大金块碎片</v>
      </c>
      <c r="AR307" s="75">
        <v>93288</v>
      </c>
      <c r="AS307" s="8">
        <v>1</v>
      </c>
      <c r="AT307" s="10">
        <v>10000</v>
      </c>
      <c r="AU307" s="8" t="str">
        <f>IF(AV307="","",VLOOKUP(AV307,引用表合并!$A:$B,2,FALSE))</f>
        <v>黄金戒指碎片</v>
      </c>
      <c r="AV307" s="47">
        <f>H307</f>
        <v>93142</v>
      </c>
      <c r="AW307" s="8">
        <v>1</v>
      </c>
      <c r="AX307" s="10">
        <v>1000</v>
      </c>
      <c r="AY307" s="8" t="str">
        <f>IF(AZ307="","",VLOOKUP(AZ307,引用表合并!$A:$B,2,FALSE))</f>
        <v>宝石手环碎片</v>
      </c>
      <c r="AZ307" s="47">
        <f>L307</f>
        <v>93235</v>
      </c>
      <c r="BA307" s="8">
        <v>1</v>
      </c>
      <c r="BB307" s="10">
        <v>1000</v>
      </c>
      <c r="BC307" s="8" t="str">
        <f>IF(BD307="","",VLOOKUP(BD307,引用表合并!$A:$B,2,FALSE))</f>
        <v>摩拉碎片</v>
      </c>
      <c r="BD307" s="47">
        <f>P307</f>
        <v>93012</v>
      </c>
      <c r="BE307" s="8">
        <v>1</v>
      </c>
      <c r="BF307" s="10">
        <v>1000</v>
      </c>
      <c r="BG307" s="8" t="str">
        <f>IF(BH307="","",VLOOKUP(BH307,引用表合并!$A:$B,2,FALSE))</f>
        <v>青玉项链碎片</v>
      </c>
      <c r="BH307" s="47">
        <f>T307</f>
        <v>93252</v>
      </c>
      <c r="BI307" s="8">
        <v>1</v>
      </c>
      <c r="BJ307" s="10">
        <v>1000</v>
      </c>
      <c r="BK307" s="8" t="str">
        <f>IF(BL307="","",VLOOKUP(BL307,引用表合并!$A:$B,2,FALSE))</f>
        <v>水晶耳钉碎片</v>
      </c>
      <c r="BL307" s="47">
        <f>X307</f>
        <v>93124</v>
      </c>
      <c r="BM307" s="8">
        <v>1</v>
      </c>
      <c r="BN307" s="10">
        <v>1000</v>
      </c>
      <c r="BO307" s="8" t="str">
        <f>IF(BP307="","",VLOOKUP(BP307,引用表合并!$A:$B,2,FALSE))</f>
        <v>金针手表碎片</v>
      </c>
      <c r="BP307" s="47">
        <f>AB307</f>
        <v>93272</v>
      </c>
      <c r="BQ307" s="8">
        <v>1</v>
      </c>
      <c r="BR307" s="10">
        <v>1000</v>
      </c>
      <c r="BS307" s="8" t="str">
        <f>IF(BT307="","",VLOOKUP(BT307,引用表合并!$A:$B,2,FALSE))</f>
        <v>智能手表碎片</v>
      </c>
      <c r="BT307" s="47">
        <f>AF307</f>
        <v>93273</v>
      </c>
      <c r="BU307" s="8">
        <v>1</v>
      </c>
      <c r="BV307" s="10">
        <v>1000</v>
      </c>
      <c r="BW307" s="8" t="str">
        <f>IF(BX307="","",VLOOKUP(BX307,引用表合并!$A:$B,2,FALSE))</f>
        <v>宾倪碎片</v>
      </c>
      <c r="BX307" s="47">
        <f>AJ307</f>
        <v>93279</v>
      </c>
      <c r="BY307" s="8">
        <v>1</v>
      </c>
      <c r="BZ307" s="10">
        <v>1000</v>
      </c>
      <c r="CA307" s="8" t="str">
        <f>IF(CB307="","",VLOOKUP(CB307,引用表合并!$A:$B,2,FALSE))</f>
        <v>大迭钞票碎片</v>
      </c>
      <c r="CB307" s="47">
        <f>AN307</f>
        <v>93284</v>
      </c>
      <c r="CC307" s="8">
        <v>1</v>
      </c>
      <c r="CD307" s="10">
        <v>1000</v>
      </c>
      <c r="CE307" s="8" t="str">
        <f>IF(CF307="","",VLOOKUP(CF307,引用表合并!$A:$B,2,FALSE))</f>
        <v>大金块碎片</v>
      </c>
      <c r="CF307" s="47">
        <f>AR307</f>
        <v>93288</v>
      </c>
      <c r="CG307" s="8">
        <v>1</v>
      </c>
      <c r="CH307" s="10">
        <v>1000</v>
      </c>
      <c r="CI307" s="8" t="str">
        <f>IF(CJ307="","",VLOOKUP(CJ307,引用表合并!$A:$B,2,FALSE))</f>
        <v>黄金戒指碎片</v>
      </c>
      <c r="CJ307" s="47">
        <f>AV307</f>
        <v>93142</v>
      </c>
      <c r="CK307" s="8">
        <v>1</v>
      </c>
      <c r="CL307" s="10">
        <v>1000</v>
      </c>
      <c r="CM307" s="8" t="str">
        <f>IF(CN307="","",VLOOKUP(CN307,引用表合并!$A:$B,2,FALSE))</f>
        <v>宝石手环碎片</v>
      </c>
      <c r="CN307" s="47">
        <f>AZ307</f>
        <v>93235</v>
      </c>
      <c r="CO307" s="8">
        <v>1</v>
      </c>
      <c r="CP307" s="10">
        <v>1000</v>
      </c>
      <c r="CQ307" s="8" t="str">
        <f>IF(CR307="","",VLOOKUP(CR307,引用表合并!$A:$B,2,FALSE))</f>
        <v>摩拉碎片</v>
      </c>
      <c r="CR307" s="47">
        <f>BD307</f>
        <v>93012</v>
      </c>
      <c r="CS307" s="8">
        <v>1</v>
      </c>
      <c r="CT307" s="10">
        <v>1000</v>
      </c>
      <c r="CU307" s="8" t="str">
        <f>IF(CV307="","",VLOOKUP(CV307,引用表合并!$A:$B,2,FALSE))</f>
        <v>青玉项链碎片</v>
      </c>
      <c r="CV307" s="47">
        <f>BH307</f>
        <v>93252</v>
      </c>
      <c r="CW307" s="8">
        <v>1</v>
      </c>
      <c r="CX307" s="10">
        <v>1000</v>
      </c>
      <c r="CY307" s="8" t="str">
        <f>IF(CZ307="","",VLOOKUP(CZ307,引用表合并!$A:$B,2,FALSE))</f>
        <v>水晶耳钉碎片</v>
      </c>
      <c r="CZ307" s="47">
        <f>BL307</f>
        <v>93124</v>
      </c>
      <c r="DA307" s="8">
        <v>1</v>
      </c>
      <c r="DB307" s="10">
        <v>1000</v>
      </c>
      <c r="DC307" s="8" t="str">
        <f>IF(DD307="","",VLOOKUP(DD307,引用表合并!$A:$B,2,FALSE))</f>
        <v>金针手表碎片</v>
      </c>
      <c r="DD307" s="47">
        <f>BP307</f>
        <v>93272</v>
      </c>
      <c r="DE307" s="8">
        <v>1</v>
      </c>
      <c r="DF307" s="10">
        <v>1000</v>
      </c>
      <c r="DG307" s="8" t="str">
        <f>IF(DH307="","",VLOOKUP(DH307,引用表合并!$A:$B,2,FALSE))</f>
        <v>智能手表碎片</v>
      </c>
      <c r="DH307" s="47">
        <f>BT307</f>
        <v>93273</v>
      </c>
      <c r="DI307" s="8">
        <v>1</v>
      </c>
      <c r="DJ307" s="10">
        <v>1000</v>
      </c>
      <c r="DK307" s="8" t="str">
        <f>IF(DL307="","",VLOOKUP(DL307,引用表合并!$A:$B,2,FALSE))</f>
        <v>宾倪碎片</v>
      </c>
      <c r="DL307" s="47">
        <f>BX307</f>
        <v>93279</v>
      </c>
      <c r="DM307" s="8">
        <v>1</v>
      </c>
      <c r="DN307" s="10">
        <v>1000</v>
      </c>
      <c r="DO307" s="8" t="str">
        <f>IF(DP307="","",VLOOKUP(DP307,引用表合并!$A:$B,2,FALSE))</f>
        <v>大迭钞票碎片</v>
      </c>
      <c r="DP307" s="47">
        <f>CB307</f>
        <v>93284</v>
      </c>
      <c r="DQ307" s="8">
        <v>1</v>
      </c>
      <c r="DR307" s="10">
        <v>1000</v>
      </c>
      <c r="DS307" s="8" t="str">
        <f>IF(DT307="","",VLOOKUP(DT307,引用表合并!$A:$B,2,FALSE))</f>
        <v>大金块碎片</v>
      </c>
      <c r="DT307" s="47">
        <f>CF307</f>
        <v>93288</v>
      </c>
      <c r="DU307" s="8">
        <v>1</v>
      </c>
      <c r="DV307" s="10">
        <v>1000</v>
      </c>
    </row>
    <row r="308" spans="1:150" x14ac:dyDescent="0.15">
      <c r="A308" s="103">
        <v>486141</v>
      </c>
      <c r="B308" s="8" t="s">
        <v>1051</v>
      </c>
      <c r="C308" s="8">
        <v>0</v>
      </c>
      <c r="D308" s="8">
        <f t="shared" si="53"/>
        <v>36</v>
      </c>
      <c r="E308" s="16">
        <f t="shared" si="46"/>
        <v>36</v>
      </c>
      <c r="F308" s="16">
        <v>1</v>
      </c>
      <c r="G308" s="8" t="str">
        <f>IF(H308="","",VLOOKUP(H308,引用表合并!$A:$B,2,FALSE))</f>
        <v>红石耳钉碎片</v>
      </c>
      <c r="H308" s="76">
        <v>93125</v>
      </c>
      <c r="I308" s="8">
        <v>1</v>
      </c>
      <c r="J308" s="10">
        <v>10000</v>
      </c>
      <c r="K308" s="8" t="str">
        <f>IF(L308="","",VLOOKUP(L308,引用表合并!$A:$B,2,FALSE))</f>
        <v>毒蝎耳钉碎片</v>
      </c>
      <c r="L308" s="76">
        <v>93134</v>
      </c>
      <c r="M308" s="8">
        <v>1</v>
      </c>
      <c r="N308" s="10">
        <v>10000</v>
      </c>
      <c r="O308" s="8" t="str">
        <f>IF(P308="","",VLOOKUP(P308,引用表合并!$A:$B,2,FALSE))</f>
        <v>赤金戒指碎片</v>
      </c>
      <c r="P308" s="76">
        <v>93223</v>
      </c>
      <c r="Q308" s="8">
        <v>1</v>
      </c>
      <c r="R308" s="10">
        <v>10000</v>
      </c>
      <c r="S308" s="8" t="str">
        <f>IF(T308="","",VLOOKUP(T308,引用表合并!$A:$B,2,FALSE))</f>
        <v>王者手环碎片</v>
      </c>
      <c r="T308" s="76">
        <v>93227</v>
      </c>
      <c r="U308" s="8">
        <v>1</v>
      </c>
      <c r="V308" s="10">
        <v>10000</v>
      </c>
      <c r="W308" s="8" t="str">
        <f>IF(X308="","",VLOOKUP(X308,引用表合并!$A:$B,2,FALSE))</f>
        <v>符文手环碎片</v>
      </c>
      <c r="X308" s="76">
        <v>93236</v>
      </c>
      <c r="Y308" s="8">
        <v>1</v>
      </c>
      <c r="Z308" s="10">
        <v>10000</v>
      </c>
      <c r="AA308" s="8" t="str">
        <f>IF(AB308="","",VLOOKUP(AB308,引用表合并!$A:$B,2,FALSE))</f>
        <v>月立碎片</v>
      </c>
      <c r="AB308" s="76">
        <v>93013</v>
      </c>
      <c r="AC308" s="8">
        <v>1</v>
      </c>
      <c r="AD308" s="10">
        <v>10000</v>
      </c>
      <c r="AE308" s="8" t="str">
        <f>IF(AF308="","",VLOOKUP(AF308,引用表合并!$A:$B,2,FALSE))</f>
        <v>猫妖项链碎片</v>
      </c>
      <c r="AF308" s="76">
        <v>93253</v>
      </c>
      <c r="AG308" s="8">
        <v>1</v>
      </c>
      <c r="AH308" s="10">
        <v>10000</v>
      </c>
      <c r="AI308" s="8" t="str">
        <f>IF(AJ308="","",VLOOKUP(AJ308,引用表合并!$A:$B,2,FALSE))</f>
        <v>苍蓝项链碎片</v>
      </c>
      <c r="AJ308" s="76">
        <v>93254</v>
      </c>
      <c r="AK308" s="8">
        <v>1</v>
      </c>
      <c r="AL308" s="10">
        <v>10000</v>
      </c>
      <c r="AM308" s="8" t="str">
        <f>IF(AN308="","",VLOOKUP(AN308,引用表合并!$A:$B,2,FALSE))</f>
        <v>汉密手表碎片</v>
      </c>
      <c r="AN308" s="76">
        <v>93274</v>
      </c>
      <c r="AO308" s="8">
        <v>1</v>
      </c>
      <c r="AP308" s="10">
        <v>10000</v>
      </c>
      <c r="AQ308" s="8" t="str">
        <f>IF(AR308="","",VLOOKUP(AR308,引用表合并!$A:$B,2,FALSE))</f>
        <v>法拉捷碎片</v>
      </c>
      <c r="AR308" s="76">
        <v>93280</v>
      </c>
      <c r="AS308" s="8">
        <v>1</v>
      </c>
      <c r="AT308" s="10">
        <v>10000</v>
      </c>
      <c r="AU308" s="8" t="str">
        <f>IF(AV308="","",VLOOKUP(AV308,引用表合并!$A:$B,2,FALSE))</f>
        <v>大堆钞票碎片</v>
      </c>
      <c r="AV308" s="76">
        <v>93285</v>
      </c>
      <c r="AW308" s="8">
        <v>1</v>
      </c>
      <c r="AX308" s="10">
        <v>10000</v>
      </c>
      <c r="AY308" s="8" t="str">
        <f>IF(AZ308="","",VLOOKUP(AZ308,引用表合并!$A:$B,2,FALSE))</f>
        <v>小堆金块碎片</v>
      </c>
      <c r="AZ308" s="76">
        <v>93289</v>
      </c>
      <c r="BA308" s="8">
        <v>1</v>
      </c>
      <c r="BB308" s="10">
        <v>10000</v>
      </c>
      <c r="BC308" s="8" t="str">
        <f>IF(BD308="","",VLOOKUP(BD308,引用表合并!$A:$B,2,FALSE))</f>
        <v>红石耳钉碎片</v>
      </c>
      <c r="BD308" s="102">
        <f>H308</f>
        <v>93125</v>
      </c>
      <c r="BE308" s="8">
        <v>1</v>
      </c>
      <c r="BF308" s="10">
        <v>1000</v>
      </c>
      <c r="BG308" s="8" t="str">
        <f>IF(BH308="","",VLOOKUP(BH308,引用表合并!$A:$B,2,FALSE))</f>
        <v>毒蝎耳钉碎片</v>
      </c>
      <c r="BH308" s="102">
        <f>L308</f>
        <v>93134</v>
      </c>
      <c r="BI308" s="8">
        <v>1</v>
      </c>
      <c r="BJ308" s="10">
        <v>1000</v>
      </c>
      <c r="BK308" s="8" t="str">
        <f>IF(BL308="","",VLOOKUP(BL308,引用表合并!$A:$B,2,FALSE))</f>
        <v>赤金戒指碎片</v>
      </c>
      <c r="BL308" s="102">
        <f>P308</f>
        <v>93223</v>
      </c>
      <c r="BM308" s="8">
        <v>1</v>
      </c>
      <c r="BN308" s="10">
        <v>1000</v>
      </c>
      <c r="BO308" s="8" t="str">
        <f>IF(BP308="","",VLOOKUP(BP308,引用表合并!$A:$B,2,FALSE))</f>
        <v>王者手环碎片</v>
      </c>
      <c r="BP308" s="102">
        <f>T308</f>
        <v>93227</v>
      </c>
      <c r="BQ308" s="8">
        <v>1</v>
      </c>
      <c r="BR308" s="10">
        <v>1000</v>
      </c>
      <c r="BS308" s="8" t="str">
        <f>IF(BT308="","",VLOOKUP(BT308,引用表合并!$A:$B,2,FALSE))</f>
        <v>符文手环碎片</v>
      </c>
      <c r="BT308" s="102">
        <f>X308</f>
        <v>93236</v>
      </c>
      <c r="BU308" s="8">
        <v>1</v>
      </c>
      <c r="BV308" s="10">
        <v>1000</v>
      </c>
      <c r="BW308" s="8" t="str">
        <f>IF(BX308="","",VLOOKUP(BX308,引用表合并!$A:$B,2,FALSE))</f>
        <v>月立碎片</v>
      </c>
      <c r="BX308" s="102">
        <f>AB308</f>
        <v>93013</v>
      </c>
      <c r="BY308" s="8">
        <v>1</v>
      </c>
      <c r="BZ308" s="10">
        <v>1000</v>
      </c>
      <c r="CA308" s="8" t="str">
        <f>IF(CB308="","",VLOOKUP(CB308,引用表合并!$A:$B,2,FALSE))</f>
        <v>猫妖项链碎片</v>
      </c>
      <c r="CB308" s="102">
        <f>AF308</f>
        <v>93253</v>
      </c>
      <c r="CC308" s="8">
        <v>1</v>
      </c>
      <c r="CD308" s="10">
        <v>1000</v>
      </c>
      <c r="CE308" s="8" t="str">
        <f>IF(CF308="","",VLOOKUP(CF308,引用表合并!$A:$B,2,FALSE))</f>
        <v>苍蓝项链碎片</v>
      </c>
      <c r="CF308" s="102">
        <f>AJ308</f>
        <v>93254</v>
      </c>
      <c r="CG308" s="8">
        <v>1</v>
      </c>
      <c r="CH308" s="10">
        <v>1000</v>
      </c>
      <c r="CI308" s="8" t="str">
        <f>IF(CJ308="","",VLOOKUP(CJ308,引用表合并!$A:$B,2,FALSE))</f>
        <v>汉密手表碎片</v>
      </c>
      <c r="CJ308" s="102">
        <f>AN308</f>
        <v>93274</v>
      </c>
      <c r="CK308" s="8">
        <v>1</v>
      </c>
      <c r="CL308" s="10">
        <v>1000</v>
      </c>
      <c r="CM308" s="8" t="str">
        <f>IF(CN308="","",VLOOKUP(CN308,引用表合并!$A:$B,2,FALSE))</f>
        <v>法拉捷碎片</v>
      </c>
      <c r="CN308" s="102">
        <f>AR308</f>
        <v>93280</v>
      </c>
      <c r="CO308" s="8">
        <v>1</v>
      </c>
      <c r="CP308" s="10">
        <v>1000</v>
      </c>
      <c r="CQ308" s="8" t="str">
        <f>IF(CR308="","",VLOOKUP(CR308,引用表合并!$A:$B,2,FALSE))</f>
        <v>大堆钞票碎片</v>
      </c>
      <c r="CR308" s="102">
        <f>AV308</f>
        <v>93285</v>
      </c>
      <c r="CS308" s="8">
        <v>1</v>
      </c>
      <c r="CT308" s="10">
        <v>1000</v>
      </c>
      <c r="CU308" s="8" t="str">
        <f>IF(CV308="","",VLOOKUP(CV308,引用表合并!$A:$B,2,FALSE))</f>
        <v>小堆金块碎片</v>
      </c>
      <c r="CV308" s="102">
        <f>AZ308</f>
        <v>93289</v>
      </c>
      <c r="CW308" s="8">
        <v>1</v>
      </c>
      <c r="CX308" s="10">
        <v>1500</v>
      </c>
      <c r="CY308" s="8" t="str">
        <f>IF(CZ308="","",VLOOKUP(CZ308,引用表合并!$A:$B,2,FALSE))</f>
        <v>红石耳钉碎片</v>
      </c>
      <c r="CZ308" s="102">
        <f>BD308</f>
        <v>93125</v>
      </c>
      <c r="DA308" s="8">
        <v>1</v>
      </c>
      <c r="DB308" s="10">
        <v>1000</v>
      </c>
      <c r="DC308" s="8" t="str">
        <f>IF(DD308="","",VLOOKUP(DD308,引用表合并!$A:$B,2,FALSE))</f>
        <v>毒蝎耳钉碎片</v>
      </c>
      <c r="DD308" s="102">
        <f>BH308</f>
        <v>93134</v>
      </c>
      <c r="DE308" s="8">
        <v>1</v>
      </c>
      <c r="DF308" s="10">
        <v>1000</v>
      </c>
      <c r="DG308" s="8" t="str">
        <f>IF(DH308="","",VLOOKUP(DH308,引用表合并!$A:$B,2,FALSE))</f>
        <v>赤金戒指碎片</v>
      </c>
      <c r="DH308" s="102">
        <f>BL308</f>
        <v>93223</v>
      </c>
      <c r="DI308" s="8">
        <v>1</v>
      </c>
      <c r="DJ308" s="10">
        <v>1000</v>
      </c>
      <c r="DK308" s="8" t="str">
        <f>IF(DL308="","",VLOOKUP(DL308,引用表合并!$A:$B,2,FALSE))</f>
        <v>王者手环碎片</v>
      </c>
      <c r="DL308" s="102">
        <f>BP308</f>
        <v>93227</v>
      </c>
      <c r="DM308" s="8">
        <v>1</v>
      </c>
      <c r="DN308" s="10">
        <v>1000</v>
      </c>
      <c r="DO308" s="8" t="str">
        <f>IF(DP308="","",VLOOKUP(DP308,引用表合并!$A:$B,2,FALSE))</f>
        <v>符文手环碎片</v>
      </c>
      <c r="DP308" s="102">
        <f>BT308</f>
        <v>93236</v>
      </c>
      <c r="DQ308" s="8">
        <v>1</v>
      </c>
      <c r="DR308" s="10">
        <v>1000</v>
      </c>
      <c r="DS308" s="8" t="str">
        <f>IF(DT308="","",VLOOKUP(DT308,引用表合并!$A:$B,2,FALSE))</f>
        <v>月立碎片</v>
      </c>
      <c r="DT308" s="102">
        <f>BX308</f>
        <v>93013</v>
      </c>
      <c r="DU308" s="8">
        <v>1</v>
      </c>
      <c r="DV308" s="10">
        <v>1000</v>
      </c>
      <c r="DW308" s="8" t="str">
        <f>IF(DX308="","",VLOOKUP(DX308,引用表合并!$A:$B,2,FALSE))</f>
        <v>猫妖项链碎片</v>
      </c>
      <c r="DX308" s="102">
        <f>CB308</f>
        <v>93253</v>
      </c>
      <c r="DY308" s="8">
        <v>1</v>
      </c>
      <c r="DZ308" s="10">
        <v>1000</v>
      </c>
      <c r="EA308" s="8" t="str">
        <f>IF(EB308="","",VLOOKUP(EB308,引用表合并!$A:$B,2,FALSE))</f>
        <v>苍蓝项链碎片</v>
      </c>
      <c r="EB308" s="102">
        <f>CF308</f>
        <v>93254</v>
      </c>
      <c r="EC308" s="8">
        <v>1</v>
      </c>
      <c r="ED308" s="10">
        <v>1000</v>
      </c>
      <c r="EE308" s="8" t="str">
        <f>IF(EF308="","",VLOOKUP(EF308,引用表合并!$A:$B,2,FALSE))</f>
        <v>汉密手表碎片</v>
      </c>
      <c r="EF308" s="102">
        <f>CJ308</f>
        <v>93274</v>
      </c>
      <c r="EG308" s="8">
        <v>1</v>
      </c>
      <c r="EH308" s="10">
        <v>1000</v>
      </c>
      <c r="EI308" s="8" t="str">
        <f>IF(EJ308="","",VLOOKUP(EJ308,引用表合并!$A:$B,2,FALSE))</f>
        <v>法拉捷碎片</v>
      </c>
      <c r="EJ308" s="102">
        <f>CN308</f>
        <v>93280</v>
      </c>
      <c r="EK308" s="8">
        <v>1</v>
      </c>
      <c r="EL308" s="10">
        <v>1000</v>
      </c>
      <c r="EM308" s="8" t="str">
        <f>IF(EN308="","",VLOOKUP(EN308,引用表合并!$A:$B,2,FALSE))</f>
        <v>大堆钞票碎片</v>
      </c>
      <c r="EN308" s="102">
        <f>CR308</f>
        <v>93285</v>
      </c>
      <c r="EO308" s="8">
        <v>1</v>
      </c>
      <c r="EP308" s="10">
        <v>1000</v>
      </c>
      <c r="EQ308" s="8" t="str">
        <f>IF(ER308="","",VLOOKUP(ER308,引用表合并!$A:$B,2,FALSE))</f>
        <v>小堆金块碎片</v>
      </c>
      <c r="ER308" s="102">
        <f>CV308</f>
        <v>93289</v>
      </c>
      <c r="ES308" s="8">
        <v>1</v>
      </c>
      <c r="ET308" s="10">
        <v>1000</v>
      </c>
    </row>
    <row r="309" spans="1:150" x14ac:dyDescent="0.15">
      <c r="A309" s="103">
        <v>486151</v>
      </c>
      <c r="B309" s="8" t="s">
        <v>1052</v>
      </c>
      <c r="C309" s="8">
        <v>0</v>
      </c>
      <c r="D309" s="8">
        <f t="shared" ref="D309:D314" si="54">E309</f>
        <v>30</v>
      </c>
      <c r="E309" s="16">
        <f t="shared" si="46"/>
        <v>30</v>
      </c>
      <c r="F309" s="16">
        <v>1</v>
      </c>
      <c r="G309" s="8" t="str">
        <f>IF(H309="","",VLOOKUP(H309,引用表合并!$A:$B,2,FALSE))</f>
        <v>菠萝碎片</v>
      </c>
      <c r="H309" s="77">
        <v>93014</v>
      </c>
      <c r="I309" s="8">
        <v>1</v>
      </c>
      <c r="J309" s="10">
        <v>10000</v>
      </c>
      <c r="K309" s="8" t="str">
        <f>IF(L309="","",VLOOKUP(L309,引用表合并!$A:$B,2,FALSE))</f>
        <v>星光红石碎片</v>
      </c>
      <c r="L309" s="77">
        <v>93296</v>
      </c>
      <c r="M309" s="8">
        <v>1</v>
      </c>
      <c r="N309" s="10">
        <v>10000</v>
      </c>
      <c r="O309" s="8" t="str">
        <f>IF(P309="","",VLOOKUP(P309,引用表合并!$A:$B,2,FALSE))</f>
        <v>苍蓝戒指碎片</v>
      </c>
      <c r="P309" s="77">
        <v>93240</v>
      </c>
      <c r="Q309" s="8">
        <v>1</v>
      </c>
      <c r="R309" s="10">
        <v>10000</v>
      </c>
      <c r="S309" s="8" t="str">
        <f>IF(T309="","",VLOOKUP(T309,引用表合并!$A:$B,2,FALSE))</f>
        <v>金饰宝盒碎片</v>
      </c>
      <c r="T309" s="77">
        <v>93292</v>
      </c>
      <c r="U309" s="8">
        <v>1</v>
      </c>
      <c r="V309" s="10">
        <v>10000</v>
      </c>
      <c r="W309" s="8" t="str">
        <f>IF(X309="","",VLOOKUP(X309,引用表合并!$A:$B,2,FALSE))</f>
        <v>圣徒项链碎片</v>
      </c>
      <c r="X309" s="77">
        <v>93256</v>
      </c>
      <c r="Y309" s="8">
        <v>1</v>
      </c>
      <c r="Z309" s="10">
        <v>10000</v>
      </c>
      <c r="AA309" s="8" t="str">
        <f>IF(AB309="","",VLOOKUP(AB309,引用表合并!$A:$B,2,FALSE))</f>
        <v>贵族项链碎片</v>
      </c>
      <c r="AB309" s="77">
        <v>93261</v>
      </c>
      <c r="AC309" s="8">
        <v>1</v>
      </c>
      <c r="AD309" s="10">
        <v>10000</v>
      </c>
      <c r="AE309" s="8" t="str">
        <f>IF(AF309="","",VLOOKUP(AF309,引用表合并!$A:$B,2,FALSE))</f>
        <v>千国手表碎片</v>
      </c>
      <c r="AF309" s="77">
        <v>93275</v>
      </c>
      <c r="AG309" s="8">
        <v>1</v>
      </c>
      <c r="AH309" s="10">
        <v>10000</v>
      </c>
      <c r="AI309" s="8" t="str">
        <f>IF(AJ309="","",VLOOKUP(AJ309,引用表合并!$A:$B,2,FALSE))</f>
        <v>红博机利碎片</v>
      </c>
      <c r="AJ309" s="77">
        <v>93281</v>
      </c>
      <c r="AK309" s="8">
        <v>1</v>
      </c>
      <c r="AL309" s="10">
        <v>10000</v>
      </c>
      <c r="AM309" s="8" t="str">
        <f>IF(AN309="","",VLOOKUP(AN309,引用表合并!$A:$B,2,FALSE))</f>
        <v>巨额钞票碎片</v>
      </c>
      <c r="AN309" s="77">
        <v>93286</v>
      </c>
      <c r="AO309" s="8">
        <v>1</v>
      </c>
      <c r="AP309" s="10">
        <v>10000</v>
      </c>
      <c r="AQ309" s="8" t="str">
        <f>IF(AR309="","",VLOOKUP(AR309,引用表合并!$A:$B,2,FALSE))</f>
        <v>大堆金块碎片</v>
      </c>
      <c r="AR309" s="77">
        <v>93290</v>
      </c>
      <c r="AS309" s="8">
        <v>1</v>
      </c>
      <c r="AT309" s="10">
        <v>10000</v>
      </c>
      <c r="AU309" s="8" t="str">
        <f>IF(AV309="","",VLOOKUP(AV309,引用表合并!$A:$B,2,FALSE))</f>
        <v>菠萝碎片</v>
      </c>
      <c r="AV309" s="47">
        <f>H309</f>
        <v>93014</v>
      </c>
      <c r="AW309" s="8">
        <v>1</v>
      </c>
      <c r="AX309" s="10">
        <v>1000</v>
      </c>
      <c r="AY309" s="8" t="str">
        <f>IF(AZ309="","",VLOOKUP(AZ309,引用表合并!$A:$B,2,FALSE))</f>
        <v>星光红石碎片</v>
      </c>
      <c r="AZ309" s="47">
        <f>L309</f>
        <v>93296</v>
      </c>
      <c r="BA309" s="8">
        <v>1</v>
      </c>
      <c r="BB309" s="10">
        <v>1000</v>
      </c>
      <c r="BC309" s="8" t="str">
        <f>IF(BD309="","",VLOOKUP(BD309,引用表合并!$A:$B,2,FALSE))</f>
        <v>苍蓝戒指碎片</v>
      </c>
      <c r="BD309" s="47">
        <f>P309</f>
        <v>93240</v>
      </c>
      <c r="BE309" s="8">
        <v>1</v>
      </c>
      <c r="BF309" s="10">
        <v>1000</v>
      </c>
      <c r="BG309" s="8" t="str">
        <f>IF(BH309="","",VLOOKUP(BH309,引用表合并!$A:$B,2,FALSE))</f>
        <v>金饰宝盒碎片</v>
      </c>
      <c r="BH309" s="47">
        <f>T309</f>
        <v>93292</v>
      </c>
      <c r="BI309" s="8">
        <v>1</v>
      </c>
      <c r="BJ309" s="10">
        <v>1000</v>
      </c>
      <c r="BK309" s="8" t="str">
        <f>IF(BL309="","",VLOOKUP(BL309,引用表合并!$A:$B,2,FALSE))</f>
        <v>圣徒项链碎片</v>
      </c>
      <c r="BL309" s="47">
        <f>X309</f>
        <v>93256</v>
      </c>
      <c r="BM309" s="8">
        <v>1</v>
      </c>
      <c r="BN309" s="10">
        <v>1000</v>
      </c>
      <c r="BO309" s="8" t="str">
        <f>IF(BP309="","",VLOOKUP(BP309,引用表合并!$A:$B,2,FALSE))</f>
        <v>贵族项链碎片</v>
      </c>
      <c r="BP309" s="47">
        <f>AB309</f>
        <v>93261</v>
      </c>
      <c r="BQ309" s="8">
        <v>1</v>
      </c>
      <c r="BR309" s="10">
        <v>1000</v>
      </c>
      <c r="BS309" s="8" t="str">
        <f>IF(BT309="","",VLOOKUP(BT309,引用表合并!$A:$B,2,FALSE))</f>
        <v>千国手表碎片</v>
      </c>
      <c r="BT309" s="47">
        <f>AF309</f>
        <v>93275</v>
      </c>
      <c r="BU309" s="8">
        <v>1</v>
      </c>
      <c r="BV309" s="10">
        <v>1000</v>
      </c>
      <c r="BW309" s="8" t="str">
        <f>IF(BX309="","",VLOOKUP(BX309,引用表合并!$A:$B,2,FALSE))</f>
        <v>红博机利碎片</v>
      </c>
      <c r="BX309" s="47">
        <f>AJ309</f>
        <v>93281</v>
      </c>
      <c r="BY309" s="8">
        <v>1</v>
      </c>
      <c r="BZ309" s="10">
        <v>1000</v>
      </c>
      <c r="CA309" s="8" t="str">
        <f>IF(CB309="","",VLOOKUP(CB309,引用表合并!$A:$B,2,FALSE))</f>
        <v>巨额钞票碎片</v>
      </c>
      <c r="CB309" s="47">
        <f>AN309</f>
        <v>93286</v>
      </c>
      <c r="CC309" s="8">
        <v>1</v>
      </c>
      <c r="CD309" s="10">
        <v>1000</v>
      </c>
      <c r="CE309" s="8" t="str">
        <f>IF(CF309="","",VLOOKUP(CF309,引用表合并!$A:$B,2,FALSE))</f>
        <v>大堆金块碎片</v>
      </c>
      <c r="CF309" s="47">
        <f>AR309</f>
        <v>93290</v>
      </c>
      <c r="CG309" s="8">
        <v>1</v>
      </c>
      <c r="CH309" s="10">
        <v>1000</v>
      </c>
      <c r="CI309" s="8" t="str">
        <f>IF(CJ309="","",VLOOKUP(CJ309,引用表合并!$A:$B,2,FALSE))</f>
        <v>菠萝碎片</v>
      </c>
      <c r="CJ309" s="47">
        <f>AV309</f>
        <v>93014</v>
      </c>
      <c r="CK309" s="8">
        <v>1</v>
      </c>
      <c r="CL309" s="10">
        <v>1000</v>
      </c>
      <c r="CM309" s="8" t="str">
        <f>IF(CN309="","",VLOOKUP(CN309,引用表合并!$A:$B,2,FALSE))</f>
        <v>星光红石碎片</v>
      </c>
      <c r="CN309" s="47">
        <f>AZ309</f>
        <v>93296</v>
      </c>
      <c r="CO309" s="8">
        <v>1</v>
      </c>
      <c r="CP309" s="10">
        <v>1000</v>
      </c>
      <c r="CQ309" s="8" t="str">
        <f>IF(CR309="","",VLOOKUP(CR309,引用表合并!$A:$B,2,FALSE))</f>
        <v>苍蓝戒指碎片</v>
      </c>
      <c r="CR309" s="47">
        <f>BD309</f>
        <v>93240</v>
      </c>
      <c r="CS309" s="8">
        <v>1</v>
      </c>
      <c r="CT309" s="10">
        <v>1000</v>
      </c>
      <c r="CU309" s="8" t="str">
        <f>IF(CV309="","",VLOOKUP(CV309,引用表合并!$A:$B,2,FALSE))</f>
        <v>金饰宝盒碎片</v>
      </c>
      <c r="CV309" s="47">
        <f>BH309</f>
        <v>93292</v>
      </c>
      <c r="CW309" s="8">
        <v>1</v>
      </c>
      <c r="CX309" s="10">
        <v>1000</v>
      </c>
      <c r="CY309" s="8" t="str">
        <f>IF(CZ309="","",VLOOKUP(CZ309,引用表合并!$A:$B,2,FALSE))</f>
        <v>圣徒项链碎片</v>
      </c>
      <c r="CZ309" s="47">
        <f>BL309</f>
        <v>93256</v>
      </c>
      <c r="DA309" s="8">
        <v>1</v>
      </c>
      <c r="DB309" s="10">
        <v>1000</v>
      </c>
      <c r="DC309" s="8" t="str">
        <f>IF(DD309="","",VLOOKUP(DD309,引用表合并!$A:$B,2,FALSE))</f>
        <v>贵族项链碎片</v>
      </c>
      <c r="DD309" s="47">
        <f>BP309</f>
        <v>93261</v>
      </c>
      <c r="DE309" s="8">
        <v>1</v>
      </c>
      <c r="DF309" s="10">
        <v>1000</v>
      </c>
      <c r="DG309" s="8" t="str">
        <f>IF(DH309="","",VLOOKUP(DH309,引用表合并!$A:$B,2,FALSE))</f>
        <v>千国手表碎片</v>
      </c>
      <c r="DH309" s="47">
        <f>BT309</f>
        <v>93275</v>
      </c>
      <c r="DI309" s="8">
        <v>1</v>
      </c>
      <c r="DJ309" s="10">
        <v>1000</v>
      </c>
      <c r="DK309" s="8" t="str">
        <f>IF(DL309="","",VLOOKUP(DL309,引用表合并!$A:$B,2,FALSE))</f>
        <v>红博机利碎片</v>
      </c>
      <c r="DL309" s="47">
        <f>BX309</f>
        <v>93281</v>
      </c>
      <c r="DM309" s="8">
        <v>1</v>
      </c>
      <c r="DN309" s="10">
        <v>1000</v>
      </c>
      <c r="DO309" s="8" t="str">
        <f>IF(DP309="","",VLOOKUP(DP309,引用表合并!$A:$B,2,FALSE))</f>
        <v>巨额钞票碎片</v>
      </c>
      <c r="DP309" s="47">
        <f>CB309</f>
        <v>93286</v>
      </c>
      <c r="DQ309" s="8">
        <v>1</v>
      </c>
      <c r="DR309" s="10">
        <v>1000</v>
      </c>
      <c r="DS309" s="8" t="str">
        <f>IF(DT309="","",VLOOKUP(DT309,引用表合并!$A:$B,2,FALSE))</f>
        <v>大堆金块碎片</v>
      </c>
      <c r="DT309" s="47">
        <f>CF309</f>
        <v>93290</v>
      </c>
      <c r="DU309" s="8">
        <v>1</v>
      </c>
      <c r="DV309" s="10">
        <v>1000</v>
      </c>
    </row>
    <row r="310" spans="1:150" x14ac:dyDescent="0.15">
      <c r="A310" s="101">
        <v>486210</v>
      </c>
      <c r="B310" s="8" t="s">
        <v>1158</v>
      </c>
      <c r="C310" s="8">
        <v>0</v>
      </c>
      <c r="D310" s="8">
        <f t="shared" si="54"/>
        <v>3</v>
      </c>
      <c r="E310" s="16">
        <f t="shared" ref="E310:E314" si="55">COUNTIF(G310:FJ310,"&gt;0")/3</f>
        <v>3</v>
      </c>
      <c r="F310" s="16">
        <v>1</v>
      </c>
      <c r="G310" s="8" t="str">
        <f>IF(H310="","",VLOOKUP(H310,引用表合并!$A:$B,2,FALSE))</f>
        <v>兽腾</v>
      </c>
      <c r="H310" s="8">
        <v>8110</v>
      </c>
      <c r="I310" s="8">
        <v>1</v>
      </c>
      <c r="J310" s="10">
        <v>10000</v>
      </c>
      <c r="K310" s="8" t="str">
        <f>IF(L310="","",VLOOKUP(L310,引用表合并!$A:$B,2,FALSE))</f>
        <v>战狂</v>
      </c>
      <c r="L310" s="8">
        <v>8210</v>
      </c>
      <c r="M310" s="8">
        <v>1</v>
      </c>
      <c r="N310" s="10">
        <v>10000</v>
      </c>
      <c r="O310" s="8" t="str">
        <f>IF(P310="","",VLOOKUP(P310,引用表合并!$A:$B,2,FALSE))</f>
        <v>贪狼</v>
      </c>
      <c r="P310" s="8">
        <v>8310</v>
      </c>
      <c r="Q310" s="8">
        <v>1</v>
      </c>
      <c r="R310" s="10">
        <v>10000</v>
      </c>
      <c r="S310" s="8" t="str">
        <f>IF(T310="","",VLOOKUP(T310,引用表合并!$A:$B,2,FALSE))</f>
        <v/>
      </c>
      <c r="T310" s="8"/>
      <c r="U310" s="8"/>
      <c r="W310" s="8" t="str">
        <f>IF(X310="","",VLOOKUP(X310,引用表合并!$A:$B,2,FALSE))</f>
        <v/>
      </c>
      <c r="X310" s="8"/>
      <c r="Y310" s="8"/>
      <c r="AA310" s="8" t="str">
        <f>IF(AB310="","",VLOOKUP(AB310,引用表合并!$A:$B,2,FALSE))</f>
        <v/>
      </c>
      <c r="AB310" s="8"/>
      <c r="AC310" s="8"/>
      <c r="AE310" s="8" t="str">
        <f>IF(AF310="","",VLOOKUP(AF310,引用表合并!$A:$B,2,FALSE))</f>
        <v/>
      </c>
      <c r="AF310" s="8"/>
      <c r="AG310" s="8"/>
      <c r="AI310" s="8" t="str">
        <f>IF(AJ310="","",VLOOKUP(AJ310,引用表合并!$A:$B,2,FALSE))</f>
        <v/>
      </c>
      <c r="AJ310" s="8"/>
      <c r="AK310" s="8"/>
      <c r="AM310" s="8" t="str">
        <f>IF(AN310="","",VLOOKUP(AN310,引用表合并!$A:$B,2,FALSE))</f>
        <v/>
      </c>
      <c r="AN310" s="8"/>
      <c r="AO310" s="8"/>
      <c r="AQ310" s="8" t="str">
        <f>IF(AR310="","",VLOOKUP(AR310,引用表合并!$A:$B,2,FALSE))</f>
        <v/>
      </c>
      <c r="AR310" s="8"/>
      <c r="AS310" s="8"/>
      <c r="AU310" s="8" t="str">
        <f>IF(AV310="","",VLOOKUP(AV310,引用表合并!$A:$B,2,FALSE))</f>
        <v/>
      </c>
      <c r="AV310" s="8"/>
      <c r="AW310" s="8"/>
      <c r="AY310" s="8" t="str">
        <f>IF(AZ310="","",VLOOKUP(AZ310,引用表合并!$A:$B,2,FALSE))</f>
        <v/>
      </c>
      <c r="AZ310" s="8"/>
      <c r="BA310" s="8"/>
      <c r="BC310" s="8" t="str">
        <f>IF(BD310="","",VLOOKUP(BD310,引用表合并!$A:$B,2,FALSE))</f>
        <v/>
      </c>
      <c r="BD310" s="8"/>
      <c r="BF310" s="10"/>
      <c r="BG310" s="8" t="str">
        <f>IF(BH310="","",VLOOKUP(BH310,引用表合并!$A:$B,2,FALSE))</f>
        <v/>
      </c>
      <c r="BH310" s="8"/>
      <c r="BJ310" s="10"/>
      <c r="BK310" s="8" t="str">
        <f>IF(BL310="","",VLOOKUP(BL310,引用表合并!$A:$B,2,FALSE))</f>
        <v/>
      </c>
      <c r="BL310" s="8"/>
      <c r="BN310" s="10"/>
    </row>
    <row r="311" spans="1:150" x14ac:dyDescent="0.15">
      <c r="A311" s="101">
        <v>486220</v>
      </c>
      <c r="B311" s="8" t="s">
        <v>1159</v>
      </c>
      <c r="C311" s="8">
        <v>0</v>
      </c>
      <c r="D311" s="8">
        <f t="shared" si="54"/>
        <v>8</v>
      </c>
      <c r="E311" s="16">
        <f t="shared" si="55"/>
        <v>8</v>
      </c>
      <c r="F311" s="16">
        <v>1</v>
      </c>
      <c r="G311" s="8" t="str">
        <f>IF(H311="","",VLOOKUP(H311,引用表合并!$A:$B,2,FALSE))</f>
        <v>辉煌</v>
      </c>
      <c r="H311" s="8">
        <v>8120</v>
      </c>
      <c r="I311" s="8">
        <v>1</v>
      </c>
      <c r="J311" s="10">
        <v>10000</v>
      </c>
      <c r="K311" s="8" t="str">
        <f>IF(L311="","",VLOOKUP(L311,引用表合并!$A:$B,2,FALSE))</f>
        <v>破军</v>
      </c>
      <c r="L311" s="8">
        <v>8220</v>
      </c>
      <c r="M311" s="8">
        <v>1</v>
      </c>
      <c r="N311" s="10">
        <v>10000</v>
      </c>
      <c r="O311" s="8" t="str">
        <f>IF(P311="","",VLOOKUP(P311,引用表合并!$A:$B,2,FALSE))</f>
        <v>真刚</v>
      </c>
      <c r="P311" s="8">
        <v>8320</v>
      </c>
      <c r="Q311" s="8">
        <v>1</v>
      </c>
      <c r="R311" s="10">
        <v>10000</v>
      </c>
      <c r="S311" s="8" t="str">
        <f>IF(T311="","",VLOOKUP(T311,引用表合并!$A:$B,2,FALSE))</f>
        <v>飞仙</v>
      </c>
      <c r="T311" s="8">
        <v>8420</v>
      </c>
      <c r="U311" s="8">
        <v>1</v>
      </c>
      <c r="V311" s="10">
        <v>10000</v>
      </c>
      <c r="W311" s="8" t="str">
        <f>IF(X311="","",VLOOKUP(X311,引用表合并!$A:$B,2,FALSE))</f>
        <v>虚空</v>
      </c>
      <c r="X311" s="8">
        <v>8520</v>
      </c>
      <c r="Y311" s="8">
        <v>1</v>
      </c>
      <c r="Z311" s="10">
        <v>10000</v>
      </c>
      <c r="AA311" s="8" t="str">
        <f>IF(AB311="","",VLOOKUP(AB311,引用表合并!$A:$B,2,FALSE))</f>
        <v>无惧</v>
      </c>
      <c r="AB311" s="8">
        <v>8620</v>
      </c>
      <c r="AC311" s="8">
        <v>1</v>
      </c>
      <c r="AD311" s="10">
        <v>10000</v>
      </c>
      <c r="AE311" s="8" t="str">
        <f>IF(AF311="","",VLOOKUP(AF311,引用表合并!$A:$B,2,FALSE))</f>
        <v>天杀</v>
      </c>
      <c r="AF311" s="8">
        <v>8720</v>
      </c>
      <c r="AG311" s="8">
        <v>1</v>
      </c>
      <c r="AH311" s="10">
        <v>10000</v>
      </c>
      <c r="AI311" s="8" t="str">
        <f>IF(AJ311="","",VLOOKUP(AJ311,引用表合并!$A:$B,2,FALSE))</f>
        <v>诛魔</v>
      </c>
      <c r="AJ311" s="8">
        <v>8820</v>
      </c>
      <c r="AK311" s="8">
        <v>1</v>
      </c>
      <c r="AL311" s="10">
        <v>10000</v>
      </c>
      <c r="AM311" s="8" t="str">
        <f>IF(AN311="","",VLOOKUP(AN311,引用表合并!$A:$B,2,FALSE))</f>
        <v/>
      </c>
      <c r="AN311" s="8"/>
      <c r="AO311" s="8"/>
      <c r="AQ311" s="8" t="str">
        <f>IF(AR311="","",VLOOKUP(AR311,引用表合并!$A:$B,2,FALSE))</f>
        <v/>
      </c>
      <c r="AR311" s="8"/>
      <c r="AS311" s="8"/>
      <c r="AU311" s="8" t="str">
        <f>IF(AV311="","",VLOOKUP(AV311,引用表合并!$A:$B,2,FALSE))</f>
        <v/>
      </c>
      <c r="AV311" s="8"/>
      <c r="AW311" s="8"/>
      <c r="AY311" s="8" t="str">
        <f>IF(AZ311="","",VLOOKUP(AZ311,引用表合并!$A:$B,2,FALSE))</f>
        <v/>
      </c>
      <c r="AZ311" s="8"/>
      <c r="BA311" s="8"/>
      <c r="BC311" s="8" t="str">
        <f>IF(BD311="","",VLOOKUP(BD311,引用表合并!$A:$B,2,FALSE))</f>
        <v/>
      </c>
      <c r="BD311" s="8"/>
      <c r="BF311" s="10"/>
      <c r="BG311" s="8" t="str">
        <f>IF(BH311="","",VLOOKUP(BH311,引用表合并!$A:$B,2,FALSE))</f>
        <v/>
      </c>
      <c r="BH311" s="8"/>
      <c r="BJ311" s="10"/>
      <c r="BK311" s="8" t="str">
        <f>IF(BL311="","",VLOOKUP(BL311,引用表合并!$A:$B,2,FALSE))</f>
        <v/>
      </c>
      <c r="BL311" s="8"/>
      <c r="BN311" s="10"/>
    </row>
    <row r="312" spans="1:150" x14ac:dyDescent="0.15">
      <c r="A312" s="101">
        <v>486230</v>
      </c>
      <c r="B312" s="8" t="s">
        <v>1160</v>
      </c>
      <c r="C312" s="8">
        <v>0</v>
      </c>
      <c r="D312" s="8">
        <f t="shared" si="54"/>
        <v>12</v>
      </c>
      <c r="E312" s="16">
        <f t="shared" si="55"/>
        <v>12</v>
      </c>
      <c r="F312" s="16">
        <v>1</v>
      </c>
      <c r="G312" s="8" t="str">
        <f>IF(H312="","",VLOOKUP(H312,引用表合并!$A:$B,2,FALSE))</f>
        <v>霸主</v>
      </c>
      <c r="H312" s="8">
        <v>8130</v>
      </c>
      <c r="I312" s="8">
        <v>1</v>
      </c>
      <c r="J312" s="10">
        <v>10000</v>
      </c>
      <c r="K312" s="8" t="str">
        <f>IF(L312="","",VLOOKUP(L312,引用表合并!$A:$B,2,FALSE))</f>
        <v>虎啸</v>
      </c>
      <c r="L312" s="8">
        <v>8230</v>
      </c>
      <c r="M312" s="8">
        <v>1</v>
      </c>
      <c r="N312" s="10">
        <v>10000</v>
      </c>
      <c r="O312" s="8" t="str">
        <f>IF(P312="","",VLOOKUP(P312,引用表合并!$A:$B,2,FALSE))</f>
        <v>豪魄</v>
      </c>
      <c r="P312" s="8">
        <v>8330</v>
      </c>
      <c r="Q312" s="8">
        <v>1</v>
      </c>
      <c r="R312" s="10">
        <v>10000</v>
      </c>
      <c r="S312" s="8" t="str">
        <f>IF(T312="","",VLOOKUP(T312,引用表合并!$A:$B,2,FALSE))</f>
        <v>捉影</v>
      </c>
      <c r="T312" s="8">
        <v>8430</v>
      </c>
      <c r="U312" s="8">
        <v>1</v>
      </c>
      <c r="V312" s="10">
        <v>10000</v>
      </c>
      <c r="W312" s="8" t="str">
        <f>IF(X312="","",VLOOKUP(X312,引用表合并!$A:$B,2,FALSE))</f>
        <v>游刃</v>
      </c>
      <c r="X312" s="8">
        <v>8530</v>
      </c>
      <c r="Y312" s="8">
        <v>1</v>
      </c>
      <c r="Z312" s="10">
        <v>10000</v>
      </c>
      <c r="AA312" s="8" t="str">
        <f>IF(AB312="","",VLOOKUP(AB312,引用表合并!$A:$B,2,FALSE))</f>
        <v>傲骨</v>
      </c>
      <c r="AB312" s="8">
        <v>8630</v>
      </c>
      <c r="AC312" s="8">
        <v>1</v>
      </c>
      <c r="AD312" s="10">
        <v>10000</v>
      </c>
      <c r="AE312" s="8" t="str">
        <f>IF(AF312="","",VLOOKUP(AF312,引用表合并!$A:$B,2,FALSE))</f>
        <v>心眼</v>
      </c>
      <c r="AF312" s="8">
        <v>8730</v>
      </c>
      <c r="AG312" s="8">
        <v>1</v>
      </c>
      <c r="AH312" s="10">
        <v>10000</v>
      </c>
      <c r="AI312" s="8" t="str">
        <f>IF(AJ312="","",VLOOKUP(AJ312,引用表合并!$A:$B,2,FALSE))</f>
        <v>噬生</v>
      </c>
      <c r="AJ312" s="8">
        <v>8830</v>
      </c>
      <c r="AK312" s="8">
        <v>1</v>
      </c>
      <c r="AL312" s="10">
        <v>10000</v>
      </c>
      <c r="AM312" s="8" t="str">
        <f>IF(AN312="","",VLOOKUP(AN312,引用表合并!$A:$B,2,FALSE))</f>
        <v>痛击</v>
      </c>
      <c r="AN312" s="8">
        <v>8930</v>
      </c>
      <c r="AO312" s="8">
        <v>1</v>
      </c>
      <c r="AP312" s="10">
        <v>10000</v>
      </c>
      <c r="AQ312" s="8" t="str">
        <f>IF(AR312="","",VLOOKUP(AR312,引用表合并!$A:$B,2,FALSE))</f>
        <v>不坏</v>
      </c>
      <c r="AR312" s="8">
        <v>9030</v>
      </c>
      <c r="AS312" s="8">
        <v>1</v>
      </c>
      <c r="AT312" s="10">
        <v>10000</v>
      </c>
      <c r="AU312" s="8" t="str">
        <f>IF(AV312="","",VLOOKUP(AV312,引用表合并!$A:$B,2,FALSE))</f>
        <v>寂灭</v>
      </c>
      <c r="AV312" s="8">
        <v>9130</v>
      </c>
      <c r="AW312" s="8">
        <v>1</v>
      </c>
      <c r="AX312" s="10">
        <v>10000</v>
      </c>
      <c r="AY312" s="8" t="str">
        <f>IF(AZ312="","",VLOOKUP(AZ312,引用表合并!$A:$B,2,FALSE))</f>
        <v>盘蛇</v>
      </c>
      <c r="AZ312" s="8">
        <v>9230</v>
      </c>
      <c r="BA312" s="8">
        <v>1</v>
      </c>
      <c r="BB312" s="10">
        <v>10000</v>
      </c>
      <c r="BC312" s="8" t="str">
        <f>IF(BD312="","",VLOOKUP(BD312,引用表合并!$A:$B,2,FALSE))</f>
        <v/>
      </c>
      <c r="BD312" s="8"/>
      <c r="BF312" s="10"/>
      <c r="BG312" s="8" t="str">
        <f>IF(BH312="","",VLOOKUP(BH312,引用表合并!$A:$B,2,FALSE))</f>
        <v/>
      </c>
      <c r="BH312" s="8"/>
      <c r="BJ312" s="10"/>
      <c r="BK312" s="8" t="str">
        <f>IF(BL312="","",VLOOKUP(BL312,引用表合并!$A:$B,2,FALSE))</f>
        <v/>
      </c>
      <c r="BL312" s="8"/>
      <c r="BN312" s="10"/>
    </row>
    <row r="313" spans="1:150" x14ac:dyDescent="0.15">
      <c r="A313" s="101">
        <v>486240</v>
      </c>
      <c r="B313" s="8" t="s">
        <v>1161</v>
      </c>
      <c r="C313" s="8">
        <v>0</v>
      </c>
      <c r="D313" s="8">
        <f t="shared" si="54"/>
        <v>13</v>
      </c>
      <c r="E313" s="16">
        <f t="shared" si="55"/>
        <v>13</v>
      </c>
      <c r="F313" s="16">
        <v>1</v>
      </c>
      <c r="G313" s="8" t="str">
        <f>IF(H313="","",VLOOKUP(H313,引用表合并!$A:$B,2,FALSE))</f>
        <v>天命</v>
      </c>
      <c r="H313" s="8">
        <v>8140</v>
      </c>
      <c r="I313" s="8">
        <v>1</v>
      </c>
      <c r="J313" s="10">
        <v>10000</v>
      </c>
      <c r="K313" s="8" t="str">
        <f>IF(L313="","",VLOOKUP(L313,引用表合并!$A:$B,2,FALSE))</f>
        <v>龙吟</v>
      </c>
      <c r="L313" s="8">
        <v>8240</v>
      </c>
      <c r="M313" s="8">
        <v>1</v>
      </c>
      <c r="N313" s="10">
        <v>10000</v>
      </c>
      <c r="O313" s="8" t="str">
        <f>IF(P313="","",VLOOKUP(P313,引用表合并!$A:$B,2,FALSE))</f>
        <v>守御</v>
      </c>
      <c r="P313" s="8">
        <v>8340</v>
      </c>
      <c r="Q313" s="8">
        <v>1</v>
      </c>
      <c r="R313" s="10">
        <v>10000</v>
      </c>
      <c r="S313" s="8" t="str">
        <f>IF(T313="","",VLOOKUP(T313,引用表合并!$A:$B,2,FALSE))</f>
        <v>千眼</v>
      </c>
      <c r="T313" s="8">
        <v>8440</v>
      </c>
      <c r="U313" s="8">
        <v>1</v>
      </c>
      <c r="V313" s="10">
        <v>10000</v>
      </c>
      <c r="W313" s="8" t="str">
        <f>IF(X313="","",VLOOKUP(X313,引用表合并!$A:$B,2,FALSE))</f>
        <v>逍遥</v>
      </c>
      <c r="X313" s="8">
        <v>8540</v>
      </c>
      <c r="Y313" s="8">
        <v>1</v>
      </c>
      <c r="Z313" s="10">
        <v>10000</v>
      </c>
      <c r="AA313" s="8" t="str">
        <f>IF(AB313="","",VLOOKUP(AB313,引用表合并!$A:$B,2,FALSE))</f>
        <v>流离</v>
      </c>
      <c r="AB313" s="8">
        <v>8640</v>
      </c>
      <c r="AC313" s="8">
        <v>1</v>
      </c>
      <c r="AD313" s="10">
        <v>10000</v>
      </c>
      <c r="AE313" s="8" t="str">
        <f>IF(AF313="","",VLOOKUP(AF313,引用表合并!$A:$B,2,FALSE))</f>
        <v>夺魄</v>
      </c>
      <c r="AF313" s="8">
        <v>8740</v>
      </c>
      <c r="AG313" s="8">
        <v>1</v>
      </c>
      <c r="AH313" s="10">
        <v>10000</v>
      </c>
      <c r="AI313" s="8" t="str">
        <f>IF(AJ313="","",VLOOKUP(AJ313,引用表合并!$A:$B,2,FALSE))</f>
        <v>审判</v>
      </c>
      <c r="AJ313" s="8">
        <v>8840</v>
      </c>
      <c r="AK313" s="8">
        <v>1</v>
      </c>
      <c r="AL313" s="10">
        <v>10000</v>
      </c>
      <c r="AM313" s="8" t="str">
        <f>IF(AN313="","",VLOOKUP(AN313,引用表合并!$A:$B,2,FALSE))</f>
        <v>破天</v>
      </c>
      <c r="AN313" s="8">
        <v>8940</v>
      </c>
      <c r="AO313" s="8">
        <v>1</v>
      </c>
      <c r="AP313" s="10">
        <v>10000</v>
      </c>
      <c r="AQ313" s="8" t="str">
        <f>IF(AR313="","",VLOOKUP(AR313,引用表合并!$A:$B,2,FALSE))</f>
        <v>天狱</v>
      </c>
      <c r="AR313" s="8">
        <v>9040</v>
      </c>
      <c r="AS313" s="8">
        <v>1</v>
      </c>
      <c r="AT313" s="10">
        <v>10000</v>
      </c>
      <c r="AU313" s="8" t="str">
        <f>IF(AV313="","",VLOOKUP(AV313,引用表合并!$A:$B,2,FALSE))</f>
        <v>幽灵</v>
      </c>
      <c r="AV313" s="8">
        <v>9140</v>
      </c>
      <c r="AW313" s="8">
        <v>1</v>
      </c>
      <c r="AX313" s="10">
        <v>10000</v>
      </c>
      <c r="AY313" s="8" t="str">
        <f>IF(AZ313="","",VLOOKUP(AZ313,引用表合并!$A:$B,2,FALSE))</f>
        <v>困魔</v>
      </c>
      <c r="AZ313" s="8">
        <v>9240</v>
      </c>
      <c r="BA313" s="8">
        <v>1</v>
      </c>
      <c r="BB313" s="10">
        <v>10000</v>
      </c>
      <c r="BC313" s="8" t="str">
        <f>IF(BD313="","",VLOOKUP(BD313,引用表合并!$A:$B,2,FALSE))</f>
        <v>无尽</v>
      </c>
      <c r="BD313" s="8">
        <v>9340</v>
      </c>
      <c r="BE313" s="8">
        <v>1</v>
      </c>
      <c r="BF313" s="10">
        <v>8000</v>
      </c>
      <c r="BG313" s="8" t="str">
        <f>IF(BH313="","",VLOOKUP(BH313,引用表合并!$A:$B,2,FALSE))</f>
        <v/>
      </c>
      <c r="BH313" s="8"/>
      <c r="BJ313" s="10"/>
      <c r="BK313" s="8" t="str">
        <f>IF(BL313="","",VLOOKUP(BL313,引用表合并!$A:$B,2,FALSE))</f>
        <v/>
      </c>
      <c r="BL313" s="8"/>
      <c r="BN313" s="10"/>
    </row>
    <row r="314" spans="1:150" x14ac:dyDescent="0.15">
      <c r="A314" s="101">
        <v>486250</v>
      </c>
      <c r="B314" s="8" t="s">
        <v>1162</v>
      </c>
      <c r="C314" s="8">
        <v>0</v>
      </c>
      <c r="D314" s="8">
        <f t="shared" si="54"/>
        <v>13</v>
      </c>
      <c r="E314" s="16">
        <f t="shared" si="55"/>
        <v>13</v>
      </c>
      <c r="F314" s="16">
        <v>1</v>
      </c>
      <c r="G314" s="8" t="str">
        <f>IF(H314="","",VLOOKUP(H314,引用表合并!$A:$B,2,FALSE))</f>
        <v>一元复始</v>
      </c>
      <c r="H314" s="8">
        <v>8150</v>
      </c>
      <c r="I314" s="8">
        <v>1</v>
      </c>
      <c r="J314" s="10">
        <v>10000</v>
      </c>
      <c r="K314" s="8" t="str">
        <f>IF(L314="","",VLOOKUP(L314,引用表合并!$A:$B,2,FALSE))</f>
        <v>大破坏神</v>
      </c>
      <c r="L314" s="8">
        <v>8250</v>
      </c>
      <c r="M314" s="8">
        <v>1</v>
      </c>
      <c r="N314" s="10">
        <v>10000</v>
      </c>
      <c r="O314" s="8" t="str">
        <f>IF(P314="","",VLOOKUP(P314,引用表合并!$A:$B,2,FALSE))</f>
        <v>天地无用</v>
      </c>
      <c r="P314" s="8">
        <v>8350</v>
      </c>
      <c r="Q314" s="8">
        <v>1</v>
      </c>
      <c r="R314" s="10">
        <v>10000</v>
      </c>
      <c r="S314" s="8" t="str">
        <f>IF(T314="","",VLOOKUP(T314,引用表合并!$A:$B,2,FALSE))</f>
        <v>百步穿杨</v>
      </c>
      <c r="T314" s="8">
        <v>8450</v>
      </c>
      <c r="U314" s="8">
        <v>1</v>
      </c>
      <c r="V314" s="10">
        <v>10000</v>
      </c>
      <c r="W314" s="8" t="str">
        <f>IF(X314="","",VLOOKUP(X314,引用表合并!$A:$B,2,FALSE))</f>
        <v>破碎虚空</v>
      </c>
      <c r="X314" s="8">
        <v>8550</v>
      </c>
      <c r="Y314" s="8">
        <v>1</v>
      </c>
      <c r="Z314" s="10">
        <v>10000</v>
      </c>
      <c r="AA314" s="8" t="str">
        <f>IF(AB314="","",VLOOKUP(AB314,引用表合并!$A:$B,2,FALSE))</f>
        <v>冰魄寒光</v>
      </c>
      <c r="AB314" s="8">
        <v>8650</v>
      </c>
      <c r="AC314" s="8">
        <v>1</v>
      </c>
      <c r="AD314" s="10">
        <v>10000</v>
      </c>
      <c r="AE314" s="8" t="str">
        <f>IF(AF314="","",VLOOKUP(AF314,引用表合并!$A:$B,2,FALSE))</f>
        <v>震破苍穹</v>
      </c>
      <c r="AF314" s="8">
        <v>8750</v>
      </c>
      <c r="AG314" s="8">
        <v>1</v>
      </c>
      <c r="AH314" s="10">
        <v>10000</v>
      </c>
      <c r="AI314" s="8" t="str">
        <f>IF(AJ314="","",VLOOKUP(AJ314,引用表合并!$A:$B,2,FALSE))</f>
        <v>雷霆万钧</v>
      </c>
      <c r="AJ314" s="8">
        <v>8850</v>
      </c>
      <c r="AK314" s="8">
        <v>1</v>
      </c>
      <c r="AL314" s="10">
        <v>10000</v>
      </c>
      <c r="AM314" s="8" t="str">
        <f>IF(AN314="","",VLOOKUP(AN314,引用表合并!$A:$B,2,FALSE))</f>
        <v>快刀乱麻</v>
      </c>
      <c r="AN314" s="8">
        <v>8950</v>
      </c>
      <c r="AO314" s="8">
        <v>1</v>
      </c>
      <c r="AP314" s="10">
        <v>10000</v>
      </c>
      <c r="AQ314" s="8" t="str">
        <f>IF(AR314="","",VLOOKUP(AR314,引用表合并!$A:$B,2,FALSE))</f>
        <v>明镜止水</v>
      </c>
      <c r="AR314" s="8">
        <v>9050</v>
      </c>
      <c r="AS314" s="8">
        <v>1</v>
      </c>
      <c r="AT314" s="10">
        <v>10000</v>
      </c>
      <c r="AU314" s="8" t="str">
        <f>IF(AV314="","",VLOOKUP(AV314,引用表合并!$A:$B,2,FALSE))</f>
        <v>背水一战</v>
      </c>
      <c r="AV314" s="8">
        <v>9150</v>
      </c>
      <c r="AW314" s="8">
        <v>1</v>
      </c>
      <c r="AX314" s="10">
        <v>10000</v>
      </c>
      <c r="AY314" s="8" t="str">
        <f>IF(AZ314="","",VLOOKUP(AZ314,引用表合并!$A:$B,2,FALSE))</f>
        <v>金钟护体</v>
      </c>
      <c r="AZ314" s="8">
        <v>9250</v>
      </c>
      <c r="BA314" s="8">
        <v>1</v>
      </c>
      <c r="BB314" s="10">
        <v>10000</v>
      </c>
      <c r="BC314" s="8" t="str">
        <f>IF(BD314="","",VLOOKUP(BD314,引用表合并!$A:$B,2,FALSE))</f>
        <v>轩辕剑体</v>
      </c>
      <c r="BD314" s="8">
        <v>9350</v>
      </c>
      <c r="BE314" s="8">
        <v>1</v>
      </c>
      <c r="BF314" s="10">
        <v>8000</v>
      </c>
      <c r="BG314" s="8" t="str">
        <f>IF(BH314="","",VLOOKUP(BH314,引用表合并!$A:$B,2,FALSE))</f>
        <v/>
      </c>
      <c r="BH314" s="8"/>
      <c r="BJ314" s="10"/>
      <c r="BK314" s="8" t="str">
        <f>IF(BL314="","",VLOOKUP(BL314,引用表合并!$A:$B,2,FALSE))</f>
        <v/>
      </c>
      <c r="BL314" s="8"/>
      <c r="BN314" s="10"/>
    </row>
    <row r="315" spans="1:150" x14ac:dyDescent="0.15">
      <c r="A315" s="104">
        <v>486310</v>
      </c>
      <c r="B315" s="8" t="s">
        <v>1163</v>
      </c>
      <c r="C315" s="8">
        <v>0</v>
      </c>
      <c r="D315" s="8">
        <f t="shared" ref="D315:D319" si="56">E315</f>
        <v>2</v>
      </c>
      <c r="E315" s="16">
        <f t="shared" ref="E315:E319" si="57">COUNTIF(G315:FJ315,"&gt;0")/3</f>
        <v>2</v>
      </c>
      <c r="F315" s="16">
        <v>1</v>
      </c>
      <c r="G315" s="8" t="str">
        <f>IF(H315="","",VLOOKUP(H315,引用表合并!$A:$B,2,FALSE))</f>
        <v>马仔碎片(制服太妹)</v>
      </c>
      <c r="H315" s="8">
        <v>78101</v>
      </c>
      <c r="I315" s="8">
        <v>1</v>
      </c>
      <c r="J315" s="10">
        <v>10000</v>
      </c>
      <c r="K315" s="8" t="str">
        <f>IF(L315="","",VLOOKUP(L315,引用表合并!$A:$B,2,FALSE))</f>
        <v>马仔碎片(比利)</v>
      </c>
      <c r="L315" s="8">
        <v>78103</v>
      </c>
      <c r="M315" s="8">
        <v>1</v>
      </c>
      <c r="N315" s="10">
        <v>10000</v>
      </c>
      <c r="O315" s="8" t="str">
        <f>IF(P315="","",VLOOKUP(P315,引用表合并!$A:$B,2,FALSE))</f>
        <v/>
      </c>
      <c r="P315" s="8"/>
      <c r="Q315" s="8"/>
      <c r="S315" s="8" t="str">
        <f>IF(T315="","",VLOOKUP(T315,引用表合并!$A:$B,2,FALSE))</f>
        <v/>
      </c>
      <c r="T315" s="8"/>
      <c r="U315" s="8"/>
      <c r="W315" s="8" t="str">
        <f>IF(X315="","",VLOOKUP(X315,引用表合并!$A:$B,2,FALSE))</f>
        <v/>
      </c>
      <c r="X315" s="8"/>
      <c r="Y315" s="8"/>
      <c r="AA315" s="8" t="str">
        <f>IF(AB315="","",VLOOKUP(AB315,引用表合并!$A:$B,2,FALSE))</f>
        <v/>
      </c>
      <c r="AB315" s="8"/>
      <c r="AC315" s="8"/>
      <c r="AE315" s="8" t="str">
        <f>IF(AF315="","",VLOOKUP(AF315,引用表合并!$A:$B,2,FALSE))</f>
        <v/>
      </c>
      <c r="AF315" s="8"/>
      <c r="AG315" s="8"/>
      <c r="AI315" s="8" t="str">
        <f>IF(AJ315="","",VLOOKUP(AJ315,引用表合并!$A:$B,2,FALSE))</f>
        <v/>
      </c>
      <c r="AJ315" s="8"/>
      <c r="AK315" s="8"/>
      <c r="AM315" s="8" t="str">
        <f>IF(AN315="","",VLOOKUP(AN315,引用表合并!$A:$B,2,FALSE))</f>
        <v/>
      </c>
      <c r="AN315" s="8"/>
      <c r="AO315" s="8"/>
      <c r="AQ315" s="8" t="str">
        <f>IF(AR315="","",VLOOKUP(AR315,引用表合并!$A:$B,2,FALSE))</f>
        <v/>
      </c>
      <c r="AR315" s="8"/>
      <c r="AS315" s="8"/>
      <c r="AU315" s="8" t="str">
        <f>IF(AV315="","",VLOOKUP(AV315,引用表合并!$A:$B,2,FALSE))</f>
        <v/>
      </c>
      <c r="AV315" s="8"/>
      <c r="AW315" s="8"/>
      <c r="AY315" s="8" t="str">
        <f>IF(AZ315="","",VLOOKUP(AZ315,引用表合并!$A:$B,2,FALSE))</f>
        <v/>
      </c>
      <c r="AZ315" s="8"/>
      <c r="BA315" s="8"/>
      <c r="BC315" s="8" t="str">
        <f>IF(BD315="","",VLOOKUP(BD315,引用表合并!$A:$B,2,FALSE))</f>
        <v/>
      </c>
      <c r="BD315" s="8"/>
      <c r="BF315" s="10"/>
      <c r="BG315" s="8" t="str">
        <f>IF(BH315="","",VLOOKUP(BH315,引用表合并!$A:$B,2,FALSE))</f>
        <v/>
      </c>
      <c r="BH315" s="8"/>
      <c r="BJ315" s="10"/>
      <c r="BK315" s="8" t="str">
        <f>IF(BL315="","",VLOOKUP(BL315,引用表合并!$A:$B,2,FALSE))</f>
        <v/>
      </c>
      <c r="BL315" s="8"/>
      <c r="BN315" s="10"/>
    </row>
    <row r="316" spans="1:150" x14ac:dyDescent="0.15">
      <c r="A316" s="104">
        <v>486320</v>
      </c>
      <c r="B316" s="8" t="s">
        <v>1164</v>
      </c>
      <c r="C316" s="8">
        <v>0</v>
      </c>
      <c r="D316" s="8">
        <f t="shared" si="56"/>
        <v>4</v>
      </c>
      <c r="E316" s="16">
        <f t="shared" si="57"/>
        <v>4</v>
      </c>
      <c r="F316" s="16">
        <v>1</v>
      </c>
      <c r="G316" s="8" t="str">
        <f>IF(H316="","",VLOOKUP(H316,引用表合并!$A:$B,2,FALSE))</f>
        <v>马仔碎片(靓坤)</v>
      </c>
      <c r="H316" s="8">
        <v>78106</v>
      </c>
      <c r="I316" s="8">
        <v>1</v>
      </c>
      <c r="J316" s="10">
        <v>10000</v>
      </c>
      <c r="K316" s="8" t="str">
        <f>IF(L316="","",VLOOKUP(L316,引用表合并!$A:$B,2,FALSE))</f>
        <v>马仔碎片(雷复轰)</v>
      </c>
      <c r="L316" s="8">
        <v>78107</v>
      </c>
      <c r="M316" s="8">
        <v>1</v>
      </c>
      <c r="N316" s="10">
        <v>10000</v>
      </c>
      <c r="O316" s="8" t="str">
        <f>IF(P316="","",VLOOKUP(P316,引用表合并!$A:$B,2,FALSE))</f>
        <v>马仔碎片(肥仔)</v>
      </c>
      <c r="P316" s="8">
        <v>78108</v>
      </c>
      <c r="Q316" s="8">
        <v>1</v>
      </c>
      <c r="R316" s="10">
        <v>10000</v>
      </c>
      <c r="S316" s="8" t="str">
        <f>IF(T316="","",VLOOKUP(T316,引用表合并!$A:$B,2,FALSE))</f>
        <v>马仔碎片(巴闭)</v>
      </c>
      <c r="T316" s="8">
        <v>78117</v>
      </c>
      <c r="U316" s="8">
        <v>1</v>
      </c>
      <c r="V316" s="10">
        <v>10000</v>
      </c>
      <c r="W316" s="8" t="str">
        <f>IF(X316="","",VLOOKUP(X316,引用表合并!$A:$B,2,FALSE))</f>
        <v/>
      </c>
      <c r="X316" s="8"/>
      <c r="Y316" s="8"/>
      <c r="AA316" s="8" t="str">
        <f>IF(AB316="","",VLOOKUP(AB316,引用表合并!$A:$B,2,FALSE))</f>
        <v/>
      </c>
      <c r="AB316" s="8"/>
      <c r="AC316" s="8"/>
      <c r="AE316" s="8" t="str">
        <f>IF(AF316="","",VLOOKUP(AF316,引用表合并!$A:$B,2,FALSE))</f>
        <v/>
      </c>
      <c r="AF316" s="8"/>
      <c r="AG316" s="8"/>
      <c r="AI316" s="8" t="str">
        <f>IF(AJ316="","",VLOOKUP(AJ316,引用表合并!$A:$B,2,FALSE))</f>
        <v/>
      </c>
      <c r="AJ316" s="8"/>
      <c r="AK316" s="8"/>
      <c r="AM316" s="8" t="str">
        <f>IF(AN316="","",VLOOKUP(AN316,引用表合并!$A:$B,2,FALSE))</f>
        <v/>
      </c>
      <c r="AN316" s="8"/>
      <c r="AO316" s="8"/>
      <c r="AQ316" s="8" t="str">
        <f>IF(AR316="","",VLOOKUP(AR316,引用表合并!$A:$B,2,FALSE))</f>
        <v/>
      </c>
      <c r="AR316" s="8"/>
      <c r="AS316" s="8"/>
      <c r="AU316" s="8" t="str">
        <f>IF(AV316="","",VLOOKUP(AV316,引用表合并!$A:$B,2,FALSE))</f>
        <v/>
      </c>
      <c r="AV316" s="8"/>
      <c r="AW316" s="8"/>
      <c r="AY316" s="8" t="str">
        <f>IF(AZ316="","",VLOOKUP(AZ316,引用表合并!$A:$B,2,FALSE))</f>
        <v/>
      </c>
      <c r="AZ316" s="8"/>
      <c r="BA316" s="8"/>
      <c r="BC316" s="8" t="str">
        <f>IF(BD316="","",VLOOKUP(BD316,引用表合并!$A:$B,2,FALSE))</f>
        <v/>
      </c>
      <c r="BD316" s="8"/>
      <c r="BF316" s="10"/>
      <c r="BG316" s="8" t="str">
        <f>IF(BH316="","",VLOOKUP(BH316,引用表合并!$A:$B,2,FALSE))</f>
        <v/>
      </c>
      <c r="BH316" s="8"/>
      <c r="BJ316" s="10"/>
      <c r="BK316" s="8" t="str">
        <f>IF(BL316="","",VLOOKUP(BL316,引用表合并!$A:$B,2,FALSE))</f>
        <v/>
      </c>
      <c r="BL316" s="8"/>
      <c r="BN316" s="10"/>
    </row>
    <row r="317" spans="1:150" x14ac:dyDescent="0.15">
      <c r="A317" s="104">
        <v>486330</v>
      </c>
      <c r="B317" s="8" t="s">
        <v>1165</v>
      </c>
      <c r="C317" s="8">
        <v>0</v>
      </c>
      <c r="D317" s="8">
        <f t="shared" si="56"/>
        <v>5</v>
      </c>
      <c r="E317" s="16">
        <f t="shared" si="57"/>
        <v>5</v>
      </c>
      <c r="F317" s="16">
        <v>1</v>
      </c>
      <c r="G317" s="8" t="str">
        <f>IF(H317="","",VLOOKUP(H317,引用表合并!$A:$B,2,FALSE))</f>
        <v>马仔碎片(乌鸦)</v>
      </c>
      <c r="H317" s="8">
        <v>78110</v>
      </c>
      <c r="I317" s="8">
        <v>1</v>
      </c>
      <c r="J317" s="10">
        <v>10000</v>
      </c>
      <c r="K317" s="8" t="str">
        <f>IF(L317="","",VLOOKUP(L317,引用表合并!$A:$B,2,FALSE))</f>
        <v>马仔碎片(赌王)</v>
      </c>
      <c r="L317" s="8">
        <v>78111</v>
      </c>
      <c r="M317" s="8">
        <v>1</v>
      </c>
      <c r="N317" s="10">
        <v>10000</v>
      </c>
      <c r="O317" s="8" t="str">
        <f>IF(P317="","",VLOOKUP(P317,引用表合并!$A:$B,2,FALSE))</f>
        <v>马仔碎片(山下忠秀)</v>
      </c>
      <c r="P317" s="8">
        <v>78112</v>
      </c>
      <c r="Q317" s="8">
        <v>1</v>
      </c>
      <c r="R317" s="10">
        <v>10000</v>
      </c>
      <c r="S317" s="8" t="str">
        <f>IF(T317="","",VLOOKUP(T317,引用表合并!$A:$B,2,FALSE))</f>
        <v>马仔碎片(宫本一)</v>
      </c>
      <c r="T317" s="8">
        <v>78113</v>
      </c>
      <c r="U317" s="8">
        <v>1</v>
      </c>
      <c r="V317" s="10">
        <v>10000</v>
      </c>
      <c r="W317" s="8" t="str">
        <f>IF(X317="","",VLOOKUP(X317,引用表合并!$A:$B,2,FALSE))</f>
        <v>马仔碎片(笑面虎)</v>
      </c>
      <c r="X317" s="8">
        <v>78119</v>
      </c>
      <c r="Y317" s="8">
        <v>1</v>
      </c>
      <c r="Z317" s="10">
        <v>10000</v>
      </c>
      <c r="AA317" s="8" t="str">
        <f>IF(AB317="","",VLOOKUP(AB317,引用表合并!$A:$B,2,FALSE))</f>
        <v/>
      </c>
      <c r="AB317" s="8"/>
      <c r="AC317" s="8"/>
      <c r="AE317" s="8" t="str">
        <f>IF(AF317="","",VLOOKUP(AF317,引用表合并!$A:$B,2,FALSE))</f>
        <v/>
      </c>
      <c r="AF317" s="8"/>
      <c r="AG317" s="8"/>
      <c r="AI317" s="8" t="str">
        <f>IF(AJ317="","",VLOOKUP(AJ317,引用表合并!$A:$B,2,FALSE))</f>
        <v/>
      </c>
      <c r="AJ317" s="8"/>
      <c r="AK317" s="8"/>
      <c r="AM317" s="8" t="str">
        <f>IF(AN317="","",VLOOKUP(AN317,引用表合并!$A:$B,2,FALSE))</f>
        <v/>
      </c>
      <c r="AN317" s="8"/>
      <c r="AO317" s="8"/>
      <c r="AQ317" s="8" t="str">
        <f>IF(AR317="","",VLOOKUP(AR317,引用表合并!$A:$B,2,FALSE))</f>
        <v/>
      </c>
      <c r="AR317" s="8"/>
      <c r="AS317" s="8"/>
      <c r="AU317" s="8" t="str">
        <f>IF(AV317="","",VLOOKUP(AV317,引用表合并!$A:$B,2,FALSE))</f>
        <v/>
      </c>
      <c r="AV317" s="8"/>
      <c r="AW317" s="8"/>
      <c r="AY317" s="8" t="str">
        <f>IF(AZ317="","",VLOOKUP(AZ317,引用表合并!$A:$B,2,FALSE))</f>
        <v/>
      </c>
      <c r="AZ317" s="8"/>
      <c r="BA317" s="8"/>
      <c r="BC317" s="8" t="str">
        <f>IF(BD317="","",VLOOKUP(BD317,引用表合并!$A:$B,2,FALSE))</f>
        <v/>
      </c>
      <c r="BD317" s="8"/>
      <c r="BF317" s="10"/>
      <c r="BG317" s="8" t="str">
        <f>IF(BH317="","",VLOOKUP(BH317,引用表合并!$A:$B,2,FALSE))</f>
        <v/>
      </c>
      <c r="BH317" s="8"/>
      <c r="BJ317" s="10"/>
      <c r="BK317" s="8" t="str">
        <f>IF(BL317="","",VLOOKUP(BL317,引用表合并!$A:$B,2,FALSE))</f>
        <v/>
      </c>
      <c r="BL317" s="8"/>
      <c r="BN317" s="10"/>
    </row>
    <row r="318" spans="1:150" x14ac:dyDescent="0.15">
      <c r="A318" s="104">
        <v>486340</v>
      </c>
      <c r="B318" s="8" t="s">
        <v>1166</v>
      </c>
      <c r="C318" s="8">
        <v>0</v>
      </c>
      <c r="D318" s="8">
        <f t="shared" si="56"/>
        <v>3</v>
      </c>
      <c r="E318" s="16">
        <f t="shared" si="57"/>
        <v>3</v>
      </c>
      <c r="F318" s="16">
        <v>1</v>
      </c>
      <c r="G318" s="8" t="str">
        <f>IF(H318="","",VLOOKUP(H318,引用表合并!$A:$B,2,FALSE))</f>
        <v>马仔碎片(陈浩南)</v>
      </c>
      <c r="H318" s="8">
        <v>78114</v>
      </c>
      <c r="I318" s="8">
        <v>1</v>
      </c>
      <c r="J318" s="10">
        <v>10000</v>
      </c>
      <c r="K318" s="8" t="str">
        <f>IF(L318="","",VLOOKUP(L318,引用表合并!$A:$B,2,FALSE))</f>
        <v>马仔碎片(山鸡)</v>
      </c>
      <c r="L318" s="8">
        <v>78115</v>
      </c>
      <c r="M318" s="8">
        <v>1</v>
      </c>
      <c r="N318" s="10">
        <v>10000</v>
      </c>
      <c r="O318" s="8" t="str">
        <f>IF(P318="","",VLOOKUP(P318,引用表合并!$A:$B,2,FALSE))</f>
        <v>马仔碎片(大天二)</v>
      </c>
      <c r="P318" s="8">
        <v>78116</v>
      </c>
      <c r="Q318" s="8">
        <v>1</v>
      </c>
      <c r="R318" s="10">
        <v>10000</v>
      </c>
      <c r="S318" s="8" t="str">
        <f>IF(T318="","",VLOOKUP(T318,引用表合并!$A:$B,2,FALSE))</f>
        <v/>
      </c>
      <c r="T318" s="8"/>
      <c r="U318" s="8"/>
      <c r="W318" s="8" t="str">
        <f>IF(X318="","",VLOOKUP(X318,引用表合并!$A:$B,2,FALSE))</f>
        <v/>
      </c>
      <c r="X318" s="8"/>
      <c r="Y318" s="8"/>
      <c r="AA318" s="8" t="str">
        <f>IF(AB318="","",VLOOKUP(AB318,引用表合并!$A:$B,2,FALSE))</f>
        <v/>
      </c>
      <c r="AB318" s="8"/>
      <c r="AC318" s="8"/>
      <c r="AE318" s="8" t="str">
        <f>IF(AF318="","",VLOOKUP(AF318,引用表合并!$A:$B,2,FALSE))</f>
        <v/>
      </c>
      <c r="AF318" s="8"/>
      <c r="AG318" s="8"/>
      <c r="AI318" s="8" t="str">
        <f>IF(AJ318="","",VLOOKUP(AJ318,引用表合并!$A:$B,2,FALSE))</f>
        <v/>
      </c>
      <c r="AJ318" s="8"/>
      <c r="AK318" s="8"/>
      <c r="AM318" s="8" t="str">
        <f>IF(AN318="","",VLOOKUP(AN318,引用表合并!$A:$B,2,FALSE))</f>
        <v/>
      </c>
      <c r="AN318" s="8"/>
      <c r="AO318" s="8"/>
      <c r="AQ318" s="8" t="str">
        <f>IF(AR318="","",VLOOKUP(AR318,引用表合并!$A:$B,2,FALSE))</f>
        <v/>
      </c>
      <c r="AR318" s="8"/>
      <c r="AS318" s="8"/>
      <c r="AU318" s="8" t="str">
        <f>IF(AV318="","",VLOOKUP(AV318,引用表合并!$A:$B,2,FALSE))</f>
        <v/>
      </c>
      <c r="AV318" s="8"/>
      <c r="AW318" s="8"/>
      <c r="AY318" s="8" t="str">
        <f>IF(AZ318="","",VLOOKUP(AZ318,引用表合并!$A:$B,2,FALSE))</f>
        <v/>
      </c>
      <c r="AZ318" s="8"/>
      <c r="BA318" s="8"/>
      <c r="BC318" s="8" t="str">
        <f>IF(BD318="","",VLOOKUP(BD318,引用表合并!$A:$B,2,FALSE))</f>
        <v/>
      </c>
      <c r="BD318" s="8"/>
      <c r="BF318" s="10"/>
      <c r="BG318" s="8" t="str">
        <f>IF(BH318="","",VLOOKUP(BH318,引用表合并!$A:$B,2,FALSE))</f>
        <v/>
      </c>
      <c r="BH318" s="8"/>
      <c r="BJ318" s="10"/>
      <c r="BK318" s="8" t="str">
        <f>IF(BL318="","",VLOOKUP(BL318,引用表合并!$A:$B,2,FALSE))</f>
        <v/>
      </c>
      <c r="BL318" s="8"/>
      <c r="BN318" s="10"/>
    </row>
    <row r="319" spans="1:150" x14ac:dyDescent="0.15">
      <c r="A319" s="104">
        <v>486350</v>
      </c>
      <c r="B319" s="8" t="s">
        <v>1167</v>
      </c>
      <c r="C319" s="8">
        <v>0</v>
      </c>
      <c r="D319" s="8">
        <f t="shared" si="56"/>
        <v>0</v>
      </c>
      <c r="E319" s="16">
        <f t="shared" si="57"/>
        <v>0</v>
      </c>
      <c r="F319" s="16">
        <f t="shared" ref="F319" si="58">E319</f>
        <v>0</v>
      </c>
      <c r="G319" s="8" t="str">
        <f>IF(H319="","",VLOOKUP(H319,引用表合并!$A:$B,2,FALSE))</f>
        <v/>
      </c>
      <c r="K319" s="8" t="str">
        <f>IF(L319="","",VLOOKUP(L319,引用表合并!$A:$B,2,FALSE))</f>
        <v/>
      </c>
      <c r="L319" s="8"/>
      <c r="M319" s="8"/>
      <c r="O319" s="8" t="str">
        <f>IF(P319="","",VLOOKUP(P319,引用表合并!$A:$B,2,FALSE))</f>
        <v/>
      </c>
      <c r="P319" s="8"/>
      <c r="Q319" s="8"/>
      <c r="S319" s="8" t="str">
        <f>IF(T319="","",VLOOKUP(T319,引用表合并!$A:$B,2,FALSE))</f>
        <v/>
      </c>
      <c r="T319" s="8"/>
      <c r="U319" s="8"/>
      <c r="W319" s="8" t="str">
        <f>IF(X319="","",VLOOKUP(X319,引用表合并!$A:$B,2,FALSE))</f>
        <v/>
      </c>
      <c r="X319" s="8"/>
      <c r="Y319" s="8"/>
      <c r="AA319" s="8" t="str">
        <f>IF(AB319="","",VLOOKUP(AB319,引用表合并!$A:$B,2,FALSE))</f>
        <v/>
      </c>
      <c r="AB319" s="8"/>
      <c r="AC319" s="8"/>
      <c r="AE319" s="8" t="str">
        <f>IF(AF319="","",VLOOKUP(AF319,引用表合并!$A:$B,2,FALSE))</f>
        <v/>
      </c>
      <c r="AF319" s="8"/>
      <c r="AG319" s="8"/>
      <c r="AI319" s="8" t="str">
        <f>IF(AJ319="","",VLOOKUP(AJ319,引用表合并!$A:$B,2,FALSE))</f>
        <v/>
      </c>
      <c r="AJ319" s="8"/>
      <c r="AK319" s="8"/>
      <c r="AM319" s="8" t="str">
        <f>IF(AN319="","",VLOOKUP(AN319,引用表合并!$A:$B,2,FALSE))</f>
        <v/>
      </c>
      <c r="AN319" s="8"/>
      <c r="AO319" s="8"/>
      <c r="AQ319" s="8" t="str">
        <f>IF(AR319="","",VLOOKUP(AR319,引用表合并!$A:$B,2,FALSE))</f>
        <v/>
      </c>
      <c r="AR319" s="8"/>
      <c r="AS319" s="8"/>
      <c r="AU319" s="8" t="str">
        <f>IF(AV319="","",VLOOKUP(AV319,引用表合并!$A:$B,2,FALSE))</f>
        <v/>
      </c>
      <c r="AV319" s="8"/>
      <c r="AW319" s="8"/>
      <c r="AY319" s="8" t="str">
        <f>IF(AZ319="","",VLOOKUP(AZ319,引用表合并!$A:$B,2,FALSE))</f>
        <v/>
      </c>
      <c r="AZ319" s="8"/>
      <c r="BA319" s="8"/>
      <c r="BC319" s="8" t="str">
        <f>IF(BD319="","",VLOOKUP(BD319,引用表合并!$A:$B,2,FALSE))</f>
        <v/>
      </c>
      <c r="BD319" s="8"/>
      <c r="BF319" s="10"/>
      <c r="BG319" s="8" t="str">
        <f>IF(BH319="","",VLOOKUP(BH319,引用表合并!$A:$B,2,FALSE))</f>
        <v/>
      </c>
      <c r="BH319" s="8"/>
      <c r="BJ319" s="10"/>
      <c r="BK319" s="8" t="str">
        <f>IF(BL319="","",VLOOKUP(BL319,引用表合并!$A:$B,2,FALSE))</f>
        <v/>
      </c>
      <c r="BL319" s="8"/>
      <c r="BN319" s="10"/>
    </row>
    <row r="320" spans="1:150" x14ac:dyDescent="0.15">
      <c r="A320" s="10">
        <v>486400</v>
      </c>
      <c r="B320" s="8" t="s">
        <v>1157</v>
      </c>
      <c r="C320" s="8">
        <v>0</v>
      </c>
      <c r="D320" s="8">
        <f t="shared" ref="D320" si="59">E320</f>
        <v>3</v>
      </c>
      <c r="E320" s="16">
        <f t="shared" ref="E320" si="60">COUNTIF(G320:FJ320,"&gt;0")/3</f>
        <v>3</v>
      </c>
      <c r="F320" s="16">
        <v>1</v>
      </c>
      <c r="G320" s="8" t="str">
        <f>IF(H320="","",VLOOKUP(H320,引用表合并!$A:$B,2,FALSE))</f>
        <v>初级升星石</v>
      </c>
      <c r="H320" s="8">
        <v>70101</v>
      </c>
      <c r="I320" s="8">
        <v>1</v>
      </c>
      <c r="J320" s="10">
        <v>10000</v>
      </c>
      <c r="K320" s="8" t="str">
        <f>IF(L320="","",VLOOKUP(L320,引用表合并!$A:$B,2,FALSE))</f>
        <v>中级升星石</v>
      </c>
      <c r="L320" s="8">
        <v>70201</v>
      </c>
      <c r="M320" s="8">
        <v>1</v>
      </c>
      <c r="N320" s="10">
        <v>1875</v>
      </c>
      <c r="O320" s="8" t="str">
        <f>IF(P320="","",VLOOKUP(P320,引用表合并!$A:$B,2,FALSE))</f>
        <v>高级升星石</v>
      </c>
      <c r="P320" s="8">
        <v>70301</v>
      </c>
      <c r="Q320" s="8">
        <v>1</v>
      </c>
      <c r="R320" s="10">
        <v>625</v>
      </c>
      <c r="S320" s="8" t="str">
        <f>IF(T320="","",VLOOKUP(T320,引用表合并!$A:$B,2,FALSE))</f>
        <v/>
      </c>
      <c r="T320" s="8"/>
      <c r="U320" s="8"/>
      <c r="W320" s="8" t="str">
        <f>IF(X320="","",VLOOKUP(X320,引用表合并!$A:$B,2,FALSE))</f>
        <v/>
      </c>
      <c r="X320" s="8"/>
      <c r="Y320" s="8"/>
      <c r="AA320" s="8" t="str">
        <f>IF(AB320="","",VLOOKUP(AB320,引用表合并!$A:$B,2,FALSE))</f>
        <v/>
      </c>
      <c r="AB320" s="8"/>
      <c r="AC320" s="8"/>
      <c r="AE320" s="8" t="str">
        <f>IF(AF320="","",VLOOKUP(AF320,引用表合并!$A:$B,2,FALSE))</f>
        <v/>
      </c>
      <c r="AF320" s="8"/>
      <c r="AG320" s="8"/>
      <c r="AI320" s="8" t="str">
        <f>IF(AJ320="","",VLOOKUP(AJ320,引用表合并!$A:$B,2,FALSE))</f>
        <v/>
      </c>
      <c r="AJ320" s="8"/>
      <c r="AK320" s="8"/>
      <c r="AM320" s="8" t="str">
        <f>IF(AN320="","",VLOOKUP(AN320,引用表合并!$A:$B,2,FALSE))</f>
        <v/>
      </c>
      <c r="AN320" s="8"/>
      <c r="AO320" s="8"/>
      <c r="AQ320" s="8" t="str">
        <f>IF(AR320="","",VLOOKUP(AR320,引用表合并!$A:$B,2,FALSE))</f>
        <v/>
      </c>
      <c r="AR320" s="8"/>
      <c r="AS320" s="8"/>
      <c r="AU320" s="8" t="str">
        <f>IF(AV320="","",VLOOKUP(AV320,引用表合并!$A:$B,2,FALSE))</f>
        <v/>
      </c>
      <c r="AV320" s="8"/>
      <c r="AW320" s="8"/>
      <c r="AY320" s="8" t="str">
        <f>IF(AZ320="","",VLOOKUP(AZ320,引用表合并!$A:$B,2,FALSE))</f>
        <v/>
      </c>
      <c r="AZ320" s="8"/>
      <c r="BA320" s="8"/>
      <c r="BC320" s="8" t="str">
        <f>IF(BD320="","",VLOOKUP(BD320,引用表合并!$A:$B,2,FALSE))</f>
        <v/>
      </c>
      <c r="BD320" s="8"/>
      <c r="BF320" s="10"/>
      <c r="BG320" s="8" t="str">
        <f>IF(BH320="","",VLOOKUP(BH320,引用表合并!$A:$B,2,FALSE))</f>
        <v/>
      </c>
      <c r="BH320" s="8"/>
      <c r="BJ320" s="10"/>
      <c r="BK320" s="8" t="str">
        <f>IF(BL320="","",VLOOKUP(BL320,引用表合并!$A:$B,2,FALSE))</f>
        <v/>
      </c>
      <c r="BL320" s="8"/>
      <c r="BN320" s="10"/>
    </row>
    <row r="321" spans="1:66" x14ac:dyDescent="0.15">
      <c r="A321" s="8">
        <v>486021</v>
      </c>
      <c r="B321" s="8" t="s">
        <v>1004</v>
      </c>
      <c r="C321" s="8">
        <v>1</v>
      </c>
      <c r="D321" s="8">
        <f t="shared" si="52"/>
        <v>8</v>
      </c>
      <c r="E321" s="16">
        <f t="shared" si="46"/>
        <v>8</v>
      </c>
      <c r="F321" s="16">
        <v>1</v>
      </c>
      <c r="G321" s="8" t="str">
        <f>IF(H321="","",VLOOKUP(H321,引用表合并!$A:$B,2,FALSE))</f>
        <v>紫云之剑</v>
      </c>
      <c r="H321" s="8">
        <v>10205</v>
      </c>
      <c r="I321" s="8">
        <v>1</v>
      </c>
      <c r="J321" s="10">
        <v>4000</v>
      </c>
      <c r="K321" s="8" t="str">
        <f>IF(L321="","",VLOOKUP(L321,引用表合并!$A:$B,2,FALSE))</f>
        <v>紫云之拳</v>
      </c>
      <c r="L321" s="8">
        <v>20205</v>
      </c>
      <c r="M321" s="8">
        <v>1</v>
      </c>
      <c r="N321" s="10">
        <v>4000</v>
      </c>
      <c r="O321" s="8" t="str">
        <f>IF(P321="","",VLOOKUP(P321,引用表合并!$A:$B,2,FALSE))</f>
        <v>紫云之枪</v>
      </c>
      <c r="P321" s="8">
        <v>30205</v>
      </c>
      <c r="Q321" s="8">
        <v>1</v>
      </c>
      <c r="R321" s="10">
        <v>4000</v>
      </c>
      <c r="S321" s="8" t="str">
        <f>IF(T321="","",VLOOKUP(T321,引用表合并!$A:$B,2,FALSE))</f>
        <v>紫云战衣</v>
      </c>
      <c r="T321" s="8">
        <v>51205</v>
      </c>
      <c r="U321" s="8">
        <v>1</v>
      </c>
      <c r="V321" s="10">
        <v>5000</v>
      </c>
      <c r="W321" s="8" t="str">
        <f>IF(X321="","",VLOOKUP(X321,引用表合并!$A:$B,2,FALSE))</f>
        <v>紫云长裤</v>
      </c>
      <c r="X321" s="8">
        <v>52205</v>
      </c>
      <c r="Y321" s="8">
        <v>1</v>
      </c>
      <c r="Z321" s="10">
        <v>10000</v>
      </c>
      <c r="AA321" s="8" t="str">
        <f>IF(AB321="","",VLOOKUP(AB321,引用表合并!$A:$B,2,FALSE))</f>
        <v>紫云项链</v>
      </c>
      <c r="AB321" s="8">
        <v>53205</v>
      </c>
      <c r="AC321" s="8">
        <v>1</v>
      </c>
      <c r="AD321" s="10">
        <v>5000</v>
      </c>
      <c r="AE321" s="8" t="str">
        <f>IF(AF321="","",VLOOKUP(AF321,引用表合并!$A:$B,2,FALSE))</f>
        <v>紫云腰带</v>
      </c>
      <c r="AF321" s="8">
        <v>54205</v>
      </c>
      <c r="AG321" s="8">
        <v>1</v>
      </c>
      <c r="AH321" s="10">
        <v>10000</v>
      </c>
      <c r="AI321" s="8" t="str">
        <f>IF(AJ321="","",VLOOKUP(AJ321,引用表合并!$A:$B,2,FALSE))</f>
        <v>紫云长靴</v>
      </c>
      <c r="AJ321" s="8">
        <v>55205</v>
      </c>
      <c r="AK321" s="8">
        <v>1</v>
      </c>
      <c r="AL321" s="10">
        <v>10000</v>
      </c>
      <c r="AM321" s="8" t="str">
        <f>IF(AN321="","",VLOOKUP(AN321,引用表合并!$A:$B,2,FALSE))</f>
        <v/>
      </c>
      <c r="AN321" s="8"/>
      <c r="AO321" s="8"/>
      <c r="AQ321" s="8" t="str">
        <f>IF(AR321="","",VLOOKUP(AR321,引用表合并!$A:$B,2,FALSE))</f>
        <v/>
      </c>
      <c r="AR321" s="8"/>
      <c r="AS321" s="8"/>
      <c r="AU321" s="8" t="str">
        <f>IF(AV321="","",VLOOKUP(AV321,引用表合并!$A:$B,2,FALSE))</f>
        <v/>
      </c>
      <c r="AV321" s="8"/>
      <c r="AW321" s="8"/>
      <c r="AY321" s="8" t="str">
        <f>IF(AZ321="","",VLOOKUP(AZ321,引用表合并!$A:$B,2,FALSE))</f>
        <v/>
      </c>
      <c r="AZ321" s="8"/>
      <c r="BA321" s="8"/>
      <c r="BC321" s="8" t="str">
        <f>IF(BD321="","",VLOOKUP(BD321,引用表合并!$A:$B,2,FALSE))</f>
        <v/>
      </c>
      <c r="BD321" s="8"/>
      <c r="BF321" s="10"/>
      <c r="BG321" s="8" t="str">
        <f>IF(BH321="","",VLOOKUP(BH321,引用表合并!$A:$B,2,FALSE))</f>
        <v/>
      </c>
      <c r="BH321" s="8"/>
      <c r="BJ321" s="10"/>
      <c r="BK321" s="8" t="str">
        <f>IF(BL321="","",VLOOKUP(BL321,引用表合并!$A:$B,2,FALSE))</f>
        <v/>
      </c>
      <c r="BL321" s="8"/>
      <c r="BN321" s="10"/>
    </row>
    <row r="322" spans="1:66" x14ac:dyDescent="0.15">
      <c r="A322" s="8">
        <v>486022</v>
      </c>
      <c r="B322" s="8" t="s">
        <v>1005</v>
      </c>
      <c r="C322" s="8">
        <v>1</v>
      </c>
      <c r="D322" s="8">
        <f t="shared" si="52"/>
        <v>8</v>
      </c>
      <c r="E322" s="16">
        <f t="shared" si="46"/>
        <v>8</v>
      </c>
      <c r="F322" s="16">
        <v>1</v>
      </c>
      <c r="G322" s="8" t="str">
        <f>IF(H322="","",VLOOKUP(H322,引用表合并!$A:$B,2,FALSE))</f>
        <v>鎏金之剑</v>
      </c>
      <c r="H322" s="8">
        <v>10306</v>
      </c>
      <c r="I322" s="8">
        <v>1</v>
      </c>
      <c r="J322" s="10">
        <v>4000</v>
      </c>
      <c r="K322" s="8" t="str">
        <f>IF(L322="","",VLOOKUP(L322,引用表合并!$A:$B,2,FALSE))</f>
        <v>鎏金之拳</v>
      </c>
      <c r="L322" s="8">
        <v>20306</v>
      </c>
      <c r="M322" s="8">
        <v>1</v>
      </c>
      <c r="N322" s="10">
        <v>4000</v>
      </c>
      <c r="O322" s="8" t="str">
        <f>IF(P322="","",VLOOKUP(P322,引用表合并!$A:$B,2,FALSE))</f>
        <v>鎏金之枪</v>
      </c>
      <c r="P322" s="8">
        <v>30306</v>
      </c>
      <c r="Q322" s="8">
        <v>1</v>
      </c>
      <c r="R322" s="10">
        <v>4000</v>
      </c>
      <c r="S322" s="8" t="str">
        <f>IF(T322="","",VLOOKUP(T322,引用表合并!$A:$B,2,FALSE))</f>
        <v>鎏金战衣</v>
      </c>
      <c r="T322" s="8">
        <v>51306</v>
      </c>
      <c r="U322" s="8">
        <v>1</v>
      </c>
      <c r="V322" s="10">
        <v>5000</v>
      </c>
      <c r="W322" s="8" t="str">
        <f>IF(X322="","",VLOOKUP(X322,引用表合并!$A:$B,2,FALSE))</f>
        <v>鎏金长裤</v>
      </c>
      <c r="X322" s="8">
        <v>52306</v>
      </c>
      <c r="Y322" s="8">
        <v>1</v>
      </c>
      <c r="Z322" s="10">
        <v>10000</v>
      </c>
      <c r="AA322" s="8" t="str">
        <f>IF(AB322="","",VLOOKUP(AB322,引用表合并!$A:$B,2,FALSE))</f>
        <v>鎏金项链</v>
      </c>
      <c r="AB322" s="8">
        <v>53306</v>
      </c>
      <c r="AC322" s="8">
        <v>1</v>
      </c>
      <c r="AD322" s="10">
        <v>5000</v>
      </c>
      <c r="AE322" s="8" t="str">
        <f>IF(AF322="","",VLOOKUP(AF322,引用表合并!$A:$B,2,FALSE))</f>
        <v>鎏金腰带</v>
      </c>
      <c r="AF322" s="8">
        <v>54306</v>
      </c>
      <c r="AG322" s="8">
        <v>1</v>
      </c>
      <c r="AH322" s="10">
        <v>10000</v>
      </c>
      <c r="AI322" s="8" t="str">
        <f>IF(AJ322="","",VLOOKUP(AJ322,引用表合并!$A:$B,2,FALSE))</f>
        <v>鎏金长靴</v>
      </c>
      <c r="AJ322" s="8">
        <v>55306</v>
      </c>
      <c r="AK322" s="8">
        <v>1</v>
      </c>
      <c r="AL322" s="10">
        <v>10000</v>
      </c>
      <c r="AM322" s="8" t="str">
        <f>IF(AN322="","",VLOOKUP(AN322,引用表合并!$A:$B,2,FALSE))</f>
        <v/>
      </c>
      <c r="AN322" s="8"/>
      <c r="AO322" s="8"/>
      <c r="AQ322" s="8" t="str">
        <f>IF(AR322="","",VLOOKUP(AR322,引用表合并!$A:$B,2,FALSE))</f>
        <v/>
      </c>
      <c r="AR322" s="8"/>
      <c r="AS322" s="8"/>
      <c r="AU322" s="8" t="str">
        <f>IF(AV322="","",VLOOKUP(AV322,引用表合并!$A:$B,2,FALSE))</f>
        <v/>
      </c>
      <c r="AV322" s="8"/>
      <c r="AW322" s="8"/>
      <c r="AY322" s="8" t="str">
        <f>IF(AZ322="","",VLOOKUP(AZ322,引用表合并!$A:$B,2,FALSE))</f>
        <v/>
      </c>
      <c r="AZ322" s="8"/>
      <c r="BA322" s="8"/>
      <c r="BC322" s="8" t="str">
        <f>IF(BD322="","",VLOOKUP(BD322,引用表合并!$A:$B,2,FALSE))</f>
        <v/>
      </c>
      <c r="BD322" s="8"/>
      <c r="BF322" s="10"/>
      <c r="BG322" s="8" t="str">
        <f>IF(BH322="","",VLOOKUP(BH322,引用表合并!$A:$B,2,FALSE))</f>
        <v/>
      </c>
      <c r="BH322" s="8"/>
      <c r="BJ322" s="10"/>
      <c r="BK322" s="8" t="str">
        <f>IF(BL322="","",VLOOKUP(BL322,引用表合并!$A:$B,2,FALSE))</f>
        <v/>
      </c>
      <c r="BL322" s="8"/>
      <c r="BN322" s="10"/>
    </row>
    <row r="323" spans="1:66" x14ac:dyDescent="0.15">
      <c r="A323" s="8">
        <v>486023</v>
      </c>
      <c r="B323" s="8" t="s">
        <v>1005</v>
      </c>
      <c r="C323" s="8">
        <v>1</v>
      </c>
      <c r="D323" s="8">
        <f t="shared" ref="D323" si="61">E323</f>
        <v>8</v>
      </c>
      <c r="E323" s="16">
        <f t="shared" ref="E323" si="62">COUNTIF(G323:FJ323,"&gt;0")/3</f>
        <v>8</v>
      </c>
      <c r="F323" s="16">
        <v>1</v>
      </c>
      <c r="G323" s="8" t="str">
        <f>IF(H323="","",VLOOKUP(H323,引用表合并!$A:$B,2,FALSE))</f>
        <v>虹光之剑</v>
      </c>
      <c r="H323" s="8">
        <v>10407</v>
      </c>
      <c r="I323" s="8">
        <v>1</v>
      </c>
      <c r="J323" s="10">
        <v>4000</v>
      </c>
      <c r="K323" s="8" t="str">
        <f>IF(L323="","",VLOOKUP(L323,引用表合并!$A:$B,2,FALSE))</f>
        <v>虹光之拳</v>
      </c>
      <c r="L323" s="8">
        <v>20407</v>
      </c>
      <c r="M323" s="8">
        <v>1</v>
      </c>
      <c r="N323" s="10">
        <v>4000</v>
      </c>
      <c r="O323" s="8" t="str">
        <f>IF(P323="","",VLOOKUP(P323,引用表合并!$A:$B,2,FALSE))</f>
        <v>虹光之枪</v>
      </c>
      <c r="P323" s="8">
        <v>30407</v>
      </c>
      <c r="Q323" s="8">
        <v>1</v>
      </c>
      <c r="R323" s="10">
        <v>4000</v>
      </c>
      <c r="S323" s="8" t="str">
        <f>IF(T323="","",VLOOKUP(T323,引用表合并!$A:$B,2,FALSE))</f>
        <v>虹光战衣</v>
      </c>
      <c r="T323" s="8">
        <v>51407</v>
      </c>
      <c r="U323" s="8">
        <v>1</v>
      </c>
      <c r="V323" s="10">
        <v>5000</v>
      </c>
      <c r="W323" s="8" t="str">
        <f>IF(X323="","",VLOOKUP(X323,引用表合并!$A:$B,2,FALSE))</f>
        <v>虹光长裤</v>
      </c>
      <c r="X323" s="8">
        <v>52407</v>
      </c>
      <c r="Y323" s="8">
        <v>1</v>
      </c>
      <c r="Z323" s="10">
        <v>10000</v>
      </c>
      <c r="AA323" s="8" t="str">
        <f>IF(AB323="","",VLOOKUP(AB323,引用表合并!$A:$B,2,FALSE))</f>
        <v>虹光项链</v>
      </c>
      <c r="AB323" s="8">
        <v>53407</v>
      </c>
      <c r="AC323" s="8">
        <v>1</v>
      </c>
      <c r="AD323" s="10">
        <v>5000</v>
      </c>
      <c r="AE323" s="8" t="str">
        <f>IF(AF323="","",VLOOKUP(AF323,引用表合并!$A:$B,2,FALSE))</f>
        <v>虹光腰带</v>
      </c>
      <c r="AF323" s="8">
        <v>54407</v>
      </c>
      <c r="AG323" s="8">
        <v>1</v>
      </c>
      <c r="AH323" s="10">
        <v>10000</v>
      </c>
      <c r="AI323" s="8" t="str">
        <f>IF(AJ323="","",VLOOKUP(AJ323,引用表合并!$A:$B,2,FALSE))</f>
        <v>虹光长靴</v>
      </c>
      <c r="AJ323" s="8">
        <v>55407</v>
      </c>
      <c r="AK323" s="8">
        <v>1</v>
      </c>
      <c r="AL323" s="10">
        <v>10000</v>
      </c>
      <c r="AM323" s="8" t="str">
        <f>IF(AN323="","",VLOOKUP(AN323,引用表合并!$A:$B,2,FALSE))</f>
        <v/>
      </c>
      <c r="AN323" s="8"/>
      <c r="AO323" s="8"/>
      <c r="AQ323" s="8" t="str">
        <f>IF(AR323="","",VLOOKUP(AR323,引用表合并!$A:$B,2,FALSE))</f>
        <v/>
      </c>
      <c r="AR323" s="8"/>
      <c r="AS323" s="8"/>
      <c r="AU323" s="8" t="str">
        <f>IF(AV323="","",VLOOKUP(AV323,引用表合并!$A:$B,2,FALSE))</f>
        <v/>
      </c>
      <c r="AV323" s="8"/>
      <c r="AW323" s="8"/>
      <c r="AY323" s="8" t="str">
        <f>IF(AZ323="","",VLOOKUP(AZ323,引用表合并!$A:$B,2,FALSE))</f>
        <v/>
      </c>
      <c r="AZ323" s="8"/>
      <c r="BA323" s="8"/>
      <c r="BC323" s="8" t="str">
        <f>IF(BD323="","",VLOOKUP(BD323,引用表合并!$A:$B,2,FALSE))</f>
        <v/>
      </c>
      <c r="BD323" s="8"/>
      <c r="BF323" s="10"/>
      <c r="BG323" s="8" t="str">
        <f>IF(BH323="","",VLOOKUP(BH323,引用表合并!$A:$B,2,FALSE))</f>
        <v/>
      </c>
      <c r="BH323" s="8"/>
      <c r="BJ323" s="10"/>
      <c r="BK323" s="8" t="str">
        <f>IF(BL323="","",VLOOKUP(BL323,引用表合并!$A:$B,2,FALSE))</f>
        <v/>
      </c>
      <c r="BL323" s="8"/>
      <c r="BN323" s="10"/>
    </row>
    <row r="324" spans="1:66" x14ac:dyDescent="0.15">
      <c r="A324" s="8">
        <v>500101</v>
      </c>
      <c r="B324" s="8" t="s">
        <v>122</v>
      </c>
      <c r="C324" s="8">
        <v>0</v>
      </c>
      <c r="D324" s="8">
        <f t="shared" si="26"/>
        <v>0</v>
      </c>
      <c r="E324" s="16">
        <f t="shared" si="46"/>
        <v>0</v>
      </c>
      <c r="F324" s="16">
        <f t="shared" si="45"/>
        <v>0</v>
      </c>
      <c r="G324" s="8" t="str">
        <f>IF(H324="","",VLOOKUP(H324,引用表合并!$A:$B,2,FALSE))</f>
        <v/>
      </c>
      <c r="K324" s="8" t="str">
        <f>IF(L324="","",VLOOKUP(L324,引用表合并!$A:$B,2,FALSE))</f>
        <v/>
      </c>
      <c r="L324" s="8"/>
      <c r="M324" s="8"/>
      <c r="O324" s="8" t="str">
        <f>IF(P324="","",VLOOKUP(P324,引用表合并!$A:$B,2,FALSE))</f>
        <v/>
      </c>
      <c r="P324" s="8"/>
      <c r="Q324" s="8"/>
      <c r="S324" s="8" t="str">
        <f>IF(T324="","",VLOOKUP(T324,引用表合并!$A:$B,2,FALSE))</f>
        <v/>
      </c>
      <c r="T324" s="8"/>
      <c r="U324" s="8"/>
      <c r="W324" s="8" t="str">
        <f>IF(X324="","",VLOOKUP(X324,引用表合并!$A:$B,2,FALSE))</f>
        <v/>
      </c>
      <c r="X324" s="8"/>
      <c r="Y324" s="8"/>
      <c r="AA324" s="8" t="str">
        <f>IF(AB324="","",VLOOKUP(AB324,引用表合并!$A:$B,2,FALSE))</f>
        <v/>
      </c>
      <c r="AB324" s="8"/>
      <c r="AC324" s="8"/>
      <c r="AE324" s="8" t="str">
        <f>IF(AF324="","",VLOOKUP(AF324,引用表合并!$A:$B,2,FALSE))</f>
        <v/>
      </c>
      <c r="AF324" s="8"/>
      <c r="AG324" s="8"/>
      <c r="AI324" s="8" t="str">
        <f>IF(AJ324="","",VLOOKUP(AJ324,引用表合并!$A:$B,2,FALSE))</f>
        <v/>
      </c>
      <c r="AJ324" s="8"/>
      <c r="AK324" s="8"/>
      <c r="AM324" s="8" t="str">
        <f>IF(AN324="","",VLOOKUP(AN324,引用表合并!$A:$B,2,FALSE))</f>
        <v/>
      </c>
      <c r="AN324" s="8"/>
      <c r="AO324" s="8"/>
      <c r="AQ324" s="8" t="str">
        <f>IF(AR324="","",VLOOKUP(AR324,引用表合并!$A:$B,2,FALSE))</f>
        <v/>
      </c>
      <c r="AR324" s="8"/>
      <c r="AS324" s="8"/>
      <c r="AU324" s="8" t="str">
        <f>IF(AV324="","",VLOOKUP(AV324,引用表合并!$A:$B,2,FALSE))</f>
        <v/>
      </c>
      <c r="AV324" s="8"/>
      <c r="AW324" s="8"/>
      <c r="AY324" s="8" t="str">
        <f>IF(AZ324="","",VLOOKUP(AZ324,引用表合并!$A:$B,2,FALSE))</f>
        <v/>
      </c>
      <c r="AZ324" s="8"/>
      <c r="BA324" s="8"/>
      <c r="BC324" s="8" t="str">
        <f>IF(BD324="","",VLOOKUP(BD324,引用表合并!$A:$B,2,FALSE))</f>
        <v/>
      </c>
      <c r="BD324" s="8"/>
      <c r="BF324" s="10"/>
      <c r="BG324" s="8" t="str">
        <f>IF(BH324="","",VLOOKUP(BH324,引用表合并!$A:$B,2,FALSE))</f>
        <v/>
      </c>
      <c r="BH324" s="8"/>
      <c r="BJ324" s="10"/>
      <c r="BK324" s="8" t="str">
        <f>IF(BL324="","",VLOOKUP(BL324,引用表合并!$A:$B,2,FALSE))</f>
        <v/>
      </c>
      <c r="BL324" s="8"/>
      <c r="BN324" s="10"/>
    </row>
    <row r="325" spans="1:66" x14ac:dyDescent="0.15">
      <c r="A325" s="8">
        <v>500102</v>
      </c>
      <c r="B325" s="8" t="s">
        <v>122</v>
      </c>
      <c r="C325" s="8">
        <v>0</v>
      </c>
      <c r="D325" s="8">
        <f t="shared" si="26"/>
        <v>0</v>
      </c>
      <c r="E325" s="16">
        <f t="shared" si="46"/>
        <v>0</v>
      </c>
      <c r="F325" s="16">
        <f t="shared" si="45"/>
        <v>0</v>
      </c>
      <c r="G325" s="8" t="str">
        <f>IF(H325="","",VLOOKUP(H325,引用表合并!$A:$B,2,FALSE))</f>
        <v/>
      </c>
      <c r="K325" s="8" t="str">
        <f>IF(L325="","",VLOOKUP(L325,引用表合并!$A:$B,2,FALSE))</f>
        <v/>
      </c>
      <c r="L325" s="8"/>
      <c r="M325" s="8"/>
      <c r="O325" s="8" t="str">
        <f>IF(P325="","",VLOOKUP(P325,引用表合并!$A:$B,2,FALSE))</f>
        <v/>
      </c>
      <c r="P325" s="8"/>
      <c r="Q325" s="8"/>
      <c r="S325" s="8" t="str">
        <f>IF(T325="","",VLOOKUP(T325,引用表合并!$A:$B,2,FALSE))</f>
        <v/>
      </c>
      <c r="T325" s="8"/>
      <c r="U325" s="8"/>
      <c r="W325" s="8" t="str">
        <f>IF(X325="","",VLOOKUP(X325,引用表合并!$A:$B,2,FALSE))</f>
        <v/>
      </c>
      <c r="X325" s="8"/>
      <c r="Y325" s="8"/>
      <c r="AA325" s="8" t="str">
        <f>IF(AB325="","",VLOOKUP(AB325,引用表合并!$A:$B,2,FALSE))</f>
        <v/>
      </c>
      <c r="AB325" s="8"/>
      <c r="AC325" s="8"/>
      <c r="AE325" s="8" t="str">
        <f>IF(AF325="","",VLOOKUP(AF325,引用表合并!$A:$B,2,FALSE))</f>
        <v/>
      </c>
      <c r="AF325" s="8"/>
      <c r="AG325" s="8"/>
      <c r="AI325" s="8" t="str">
        <f>IF(AJ325="","",VLOOKUP(AJ325,引用表合并!$A:$B,2,FALSE))</f>
        <v/>
      </c>
      <c r="AJ325" s="8"/>
      <c r="AK325" s="8"/>
      <c r="AM325" s="8" t="str">
        <f>IF(AN325="","",VLOOKUP(AN325,引用表合并!$A:$B,2,FALSE))</f>
        <v/>
      </c>
      <c r="AN325" s="8"/>
      <c r="AO325" s="8"/>
      <c r="AQ325" s="8" t="str">
        <f>IF(AR325="","",VLOOKUP(AR325,引用表合并!$A:$B,2,FALSE))</f>
        <v/>
      </c>
      <c r="AR325" s="8"/>
      <c r="AS325" s="8"/>
      <c r="AU325" s="8" t="str">
        <f>IF(AV325="","",VLOOKUP(AV325,引用表合并!$A:$B,2,FALSE))</f>
        <v/>
      </c>
      <c r="AV325" s="8"/>
      <c r="AW325" s="8"/>
      <c r="AY325" s="8" t="str">
        <f>IF(AZ325="","",VLOOKUP(AZ325,引用表合并!$A:$B,2,FALSE))</f>
        <v/>
      </c>
      <c r="AZ325" s="8"/>
      <c r="BA325" s="8"/>
      <c r="BC325" s="8" t="str">
        <f>IF(BD325="","",VLOOKUP(BD325,引用表合并!$A:$B,2,FALSE))</f>
        <v/>
      </c>
      <c r="BD325" s="8"/>
      <c r="BF325" s="10"/>
      <c r="BG325" s="8" t="str">
        <f>IF(BH325="","",VLOOKUP(BH325,引用表合并!$A:$B,2,FALSE))</f>
        <v/>
      </c>
      <c r="BH325" s="8"/>
      <c r="BJ325" s="10"/>
      <c r="BK325" s="8" t="str">
        <f>IF(BL325="","",VLOOKUP(BL325,引用表合并!$A:$B,2,FALSE))</f>
        <v/>
      </c>
      <c r="BL325" s="8"/>
      <c r="BN325" s="10"/>
    </row>
    <row r="326" spans="1:66" x14ac:dyDescent="0.15">
      <c r="A326" s="8">
        <v>500103</v>
      </c>
      <c r="B326" s="8" t="s">
        <v>122</v>
      </c>
      <c r="C326" s="8">
        <v>0</v>
      </c>
      <c r="D326" s="8">
        <f t="shared" si="26"/>
        <v>0</v>
      </c>
      <c r="E326" s="16">
        <f t="shared" si="46"/>
        <v>0</v>
      </c>
      <c r="F326" s="16">
        <f t="shared" si="45"/>
        <v>0</v>
      </c>
      <c r="G326" s="8" t="str">
        <f>IF(H326="","",VLOOKUP(H326,引用表合并!$A:$B,2,FALSE))</f>
        <v/>
      </c>
      <c r="K326" s="8" t="str">
        <f>IF(L326="","",VLOOKUP(L326,引用表合并!$A:$B,2,FALSE))</f>
        <v/>
      </c>
      <c r="L326" s="8"/>
      <c r="M326" s="8"/>
      <c r="O326" s="8" t="str">
        <f>IF(P326="","",VLOOKUP(P326,引用表合并!$A:$B,2,FALSE))</f>
        <v/>
      </c>
      <c r="P326" s="8"/>
      <c r="Q326" s="8"/>
      <c r="S326" s="8" t="str">
        <f>IF(T326="","",VLOOKUP(T326,引用表合并!$A:$B,2,FALSE))</f>
        <v/>
      </c>
      <c r="T326" s="8"/>
      <c r="U326" s="8"/>
      <c r="W326" s="8" t="str">
        <f>IF(X326="","",VLOOKUP(X326,引用表合并!$A:$B,2,FALSE))</f>
        <v/>
      </c>
      <c r="X326" s="8"/>
      <c r="Y326" s="8"/>
      <c r="AA326" s="8" t="str">
        <f>IF(AB326="","",VLOOKUP(AB326,引用表合并!$A:$B,2,FALSE))</f>
        <v/>
      </c>
      <c r="AB326" s="8"/>
      <c r="AC326" s="8"/>
      <c r="AE326" s="8" t="str">
        <f>IF(AF326="","",VLOOKUP(AF326,引用表合并!$A:$B,2,FALSE))</f>
        <v/>
      </c>
      <c r="AF326" s="8"/>
      <c r="AG326" s="8"/>
      <c r="AI326" s="8" t="str">
        <f>IF(AJ326="","",VLOOKUP(AJ326,引用表合并!$A:$B,2,FALSE))</f>
        <v/>
      </c>
      <c r="AJ326" s="8"/>
      <c r="AK326" s="8"/>
      <c r="AM326" s="8" t="str">
        <f>IF(AN326="","",VLOOKUP(AN326,引用表合并!$A:$B,2,FALSE))</f>
        <v/>
      </c>
      <c r="AN326" s="8"/>
      <c r="AO326" s="8"/>
      <c r="AQ326" s="8" t="str">
        <f>IF(AR326="","",VLOOKUP(AR326,引用表合并!$A:$B,2,FALSE))</f>
        <v/>
      </c>
      <c r="AR326" s="8"/>
      <c r="AS326" s="8"/>
      <c r="AU326" s="8" t="str">
        <f>IF(AV326="","",VLOOKUP(AV326,引用表合并!$A:$B,2,FALSE))</f>
        <v/>
      </c>
      <c r="AV326" s="8"/>
      <c r="AW326" s="8"/>
      <c r="AY326" s="8" t="str">
        <f>IF(AZ326="","",VLOOKUP(AZ326,引用表合并!$A:$B,2,FALSE))</f>
        <v/>
      </c>
      <c r="AZ326" s="8"/>
      <c r="BA326" s="8"/>
      <c r="BC326" s="8" t="str">
        <f>IF(BD326="","",VLOOKUP(BD326,引用表合并!$A:$B,2,FALSE))</f>
        <v/>
      </c>
      <c r="BD326" s="8"/>
      <c r="BF326" s="10"/>
      <c r="BG326" s="8" t="str">
        <f>IF(BH326="","",VLOOKUP(BH326,引用表合并!$A:$B,2,FALSE))</f>
        <v/>
      </c>
      <c r="BH326" s="8"/>
      <c r="BJ326" s="10"/>
      <c r="BK326" s="8" t="str">
        <f>IF(BL326="","",VLOOKUP(BL326,引用表合并!$A:$B,2,FALSE))</f>
        <v/>
      </c>
      <c r="BL326" s="8"/>
      <c r="BN326" s="10"/>
    </row>
    <row r="327" spans="1:66" x14ac:dyDescent="0.15">
      <c r="A327" s="8">
        <v>500104</v>
      </c>
      <c r="B327" s="8" t="s">
        <v>122</v>
      </c>
      <c r="C327" s="8">
        <v>0</v>
      </c>
      <c r="D327" s="8">
        <f t="shared" si="26"/>
        <v>0</v>
      </c>
      <c r="E327" s="16">
        <f t="shared" si="46"/>
        <v>0</v>
      </c>
      <c r="F327" s="16">
        <f t="shared" si="45"/>
        <v>0</v>
      </c>
      <c r="G327" s="8" t="str">
        <f>IF(H327="","",VLOOKUP(H327,引用表合并!$A:$B,2,FALSE))</f>
        <v/>
      </c>
      <c r="K327" s="8" t="str">
        <f>IF(L327="","",VLOOKUP(L327,引用表合并!$A:$B,2,FALSE))</f>
        <v/>
      </c>
      <c r="L327" s="8"/>
      <c r="M327" s="8"/>
      <c r="O327" s="8" t="str">
        <f>IF(P327="","",VLOOKUP(P327,引用表合并!$A:$B,2,FALSE))</f>
        <v/>
      </c>
      <c r="P327" s="8"/>
      <c r="Q327" s="8"/>
      <c r="S327" s="8" t="str">
        <f>IF(T327="","",VLOOKUP(T327,引用表合并!$A:$B,2,FALSE))</f>
        <v/>
      </c>
      <c r="T327" s="8"/>
      <c r="U327" s="8"/>
      <c r="W327" s="8" t="str">
        <f>IF(X327="","",VLOOKUP(X327,引用表合并!$A:$B,2,FALSE))</f>
        <v/>
      </c>
      <c r="X327" s="8"/>
      <c r="Y327" s="8"/>
      <c r="AA327" s="8" t="str">
        <f>IF(AB327="","",VLOOKUP(AB327,引用表合并!$A:$B,2,FALSE))</f>
        <v/>
      </c>
      <c r="AB327" s="8"/>
      <c r="AC327" s="8"/>
      <c r="AE327" s="8" t="str">
        <f>IF(AF327="","",VLOOKUP(AF327,引用表合并!$A:$B,2,FALSE))</f>
        <v/>
      </c>
      <c r="AF327" s="8"/>
      <c r="AG327" s="8"/>
      <c r="AI327" s="8" t="str">
        <f>IF(AJ327="","",VLOOKUP(AJ327,引用表合并!$A:$B,2,FALSE))</f>
        <v/>
      </c>
      <c r="AJ327" s="8"/>
      <c r="AK327" s="8"/>
      <c r="AM327" s="8" t="str">
        <f>IF(AN327="","",VLOOKUP(AN327,引用表合并!$A:$B,2,FALSE))</f>
        <v/>
      </c>
      <c r="AN327" s="8"/>
      <c r="AO327" s="8"/>
      <c r="AQ327" s="8" t="str">
        <f>IF(AR327="","",VLOOKUP(AR327,引用表合并!$A:$B,2,FALSE))</f>
        <v/>
      </c>
      <c r="AR327" s="8"/>
      <c r="AS327" s="8"/>
      <c r="AU327" s="8" t="str">
        <f>IF(AV327="","",VLOOKUP(AV327,引用表合并!$A:$B,2,FALSE))</f>
        <v/>
      </c>
      <c r="AV327" s="8"/>
      <c r="AW327" s="8"/>
      <c r="AY327" s="8" t="str">
        <f>IF(AZ327="","",VLOOKUP(AZ327,引用表合并!$A:$B,2,FALSE))</f>
        <v/>
      </c>
      <c r="AZ327" s="8"/>
      <c r="BA327" s="8"/>
      <c r="BC327" s="8" t="str">
        <f>IF(BD327="","",VLOOKUP(BD327,引用表合并!$A:$B,2,FALSE))</f>
        <v/>
      </c>
      <c r="BD327" s="8"/>
      <c r="BF327" s="10"/>
      <c r="BG327" s="8" t="str">
        <f>IF(BH327="","",VLOOKUP(BH327,引用表合并!$A:$B,2,FALSE))</f>
        <v/>
      </c>
      <c r="BH327" s="8"/>
      <c r="BJ327" s="10"/>
      <c r="BK327" s="8" t="str">
        <f>IF(BL327="","",VLOOKUP(BL327,引用表合并!$A:$B,2,FALSE))</f>
        <v/>
      </c>
      <c r="BL327" s="8"/>
      <c r="BN327" s="10"/>
    </row>
    <row r="328" spans="1:66" x14ac:dyDescent="0.15">
      <c r="A328" s="8">
        <v>500105</v>
      </c>
      <c r="B328" s="8" t="s">
        <v>122</v>
      </c>
      <c r="C328" s="8">
        <v>0</v>
      </c>
      <c r="D328" s="8">
        <f t="shared" ref="D328:D391" si="63">E328</f>
        <v>0</v>
      </c>
      <c r="E328" s="16">
        <f t="shared" si="46"/>
        <v>0</v>
      </c>
      <c r="F328" s="16">
        <f t="shared" si="45"/>
        <v>0</v>
      </c>
      <c r="G328" s="8" t="str">
        <f>IF(H328="","",VLOOKUP(H328,引用表合并!$A:$B,2,FALSE))</f>
        <v/>
      </c>
      <c r="K328" s="8" t="str">
        <f>IF(L328="","",VLOOKUP(L328,引用表合并!$A:$B,2,FALSE))</f>
        <v/>
      </c>
      <c r="L328" s="8"/>
      <c r="M328" s="8"/>
      <c r="O328" s="8" t="str">
        <f>IF(P328="","",VLOOKUP(P328,引用表合并!$A:$B,2,FALSE))</f>
        <v/>
      </c>
      <c r="P328" s="8"/>
      <c r="Q328" s="8"/>
      <c r="S328" s="8" t="str">
        <f>IF(T328="","",VLOOKUP(T328,引用表合并!$A:$B,2,FALSE))</f>
        <v/>
      </c>
      <c r="T328" s="8"/>
      <c r="U328" s="8"/>
      <c r="W328" s="8" t="str">
        <f>IF(X328="","",VLOOKUP(X328,引用表合并!$A:$B,2,FALSE))</f>
        <v/>
      </c>
      <c r="X328" s="8"/>
      <c r="Y328" s="8"/>
      <c r="AA328" s="8" t="str">
        <f>IF(AB328="","",VLOOKUP(AB328,引用表合并!$A:$B,2,FALSE))</f>
        <v/>
      </c>
      <c r="AB328" s="8"/>
      <c r="AC328" s="8"/>
      <c r="AE328" s="8" t="str">
        <f>IF(AF328="","",VLOOKUP(AF328,引用表合并!$A:$B,2,FALSE))</f>
        <v/>
      </c>
      <c r="AF328" s="8"/>
      <c r="AG328" s="8"/>
      <c r="AI328" s="8" t="str">
        <f>IF(AJ328="","",VLOOKUP(AJ328,引用表合并!$A:$B,2,FALSE))</f>
        <v/>
      </c>
      <c r="AJ328" s="8"/>
      <c r="AK328" s="8"/>
      <c r="AM328" s="8" t="str">
        <f>IF(AN328="","",VLOOKUP(AN328,引用表合并!$A:$B,2,FALSE))</f>
        <v/>
      </c>
      <c r="AN328" s="8"/>
      <c r="AO328" s="8"/>
      <c r="AQ328" s="8" t="str">
        <f>IF(AR328="","",VLOOKUP(AR328,引用表合并!$A:$B,2,FALSE))</f>
        <v/>
      </c>
      <c r="AR328" s="8"/>
      <c r="AS328" s="8"/>
      <c r="AU328" s="8" t="str">
        <f>IF(AV328="","",VLOOKUP(AV328,引用表合并!$A:$B,2,FALSE))</f>
        <v/>
      </c>
      <c r="AV328" s="8"/>
      <c r="AW328" s="8"/>
      <c r="AY328" s="8" t="str">
        <f>IF(AZ328="","",VLOOKUP(AZ328,引用表合并!$A:$B,2,FALSE))</f>
        <v/>
      </c>
      <c r="AZ328" s="8"/>
      <c r="BA328" s="8"/>
      <c r="BC328" s="8" t="str">
        <f>IF(BD328="","",VLOOKUP(BD328,引用表合并!$A:$B,2,FALSE))</f>
        <v/>
      </c>
      <c r="BD328" s="8"/>
      <c r="BF328" s="10"/>
      <c r="BG328" s="8" t="str">
        <f>IF(BH328="","",VLOOKUP(BH328,引用表合并!$A:$B,2,FALSE))</f>
        <v/>
      </c>
      <c r="BH328" s="8"/>
      <c r="BJ328" s="10"/>
      <c r="BK328" s="8" t="str">
        <f>IF(BL328="","",VLOOKUP(BL328,引用表合并!$A:$B,2,FALSE))</f>
        <v/>
      </c>
      <c r="BL328" s="8"/>
      <c r="BN328" s="10"/>
    </row>
    <row r="329" spans="1:66" x14ac:dyDescent="0.15">
      <c r="A329" s="8">
        <v>500106</v>
      </c>
      <c r="B329" s="8" t="s">
        <v>122</v>
      </c>
      <c r="C329" s="8">
        <v>0</v>
      </c>
      <c r="D329" s="8">
        <f t="shared" si="63"/>
        <v>0</v>
      </c>
      <c r="E329" s="16">
        <f t="shared" si="46"/>
        <v>0</v>
      </c>
      <c r="F329" s="16">
        <f t="shared" si="45"/>
        <v>0</v>
      </c>
      <c r="G329" s="8" t="str">
        <f>IF(H329="","",VLOOKUP(H329,引用表合并!$A:$B,2,FALSE))</f>
        <v/>
      </c>
      <c r="K329" s="8" t="str">
        <f>IF(L329="","",VLOOKUP(L329,引用表合并!$A:$B,2,FALSE))</f>
        <v/>
      </c>
      <c r="L329" s="8"/>
      <c r="M329" s="8"/>
      <c r="O329" s="8" t="str">
        <f>IF(P329="","",VLOOKUP(P329,引用表合并!$A:$B,2,FALSE))</f>
        <v/>
      </c>
      <c r="P329" s="8"/>
      <c r="Q329" s="8"/>
      <c r="S329" s="8" t="str">
        <f>IF(T329="","",VLOOKUP(T329,引用表合并!$A:$B,2,FALSE))</f>
        <v/>
      </c>
      <c r="T329" s="8"/>
      <c r="U329" s="8"/>
      <c r="W329" s="8" t="str">
        <f>IF(X329="","",VLOOKUP(X329,引用表合并!$A:$B,2,FALSE))</f>
        <v/>
      </c>
      <c r="X329" s="8"/>
      <c r="Y329" s="8"/>
      <c r="AA329" s="8" t="str">
        <f>IF(AB329="","",VLOOKUP(AB329,引用表合并!$A:$B,2,FALSE))</f>
        <v/>
      </c>
      <c r="AB329" s="8"/>
      <c r="AC329" s="8"/>
      <c r="AE329" s="8" t="str">
        <f>IF(AF329="","",VLOOKUP(AF329,引用表合并!$A:$B,2,FALSE))</f>
        <v/>
      </c>
      <c r="AF329" s="8"/>
      <c r="AG329" s="8"/>
      <c r="AI329" s="8" t="str">
        <f>IF(AJ329="","",VLOOKUP(AJ329,引用表合并!$A:$B,2,FALSE))</f>
        <v/>
      </c>
      <c r="AJ329" s="8"/>
      <c r="AK329" s="8"/>
      <c r="AM329" s="8" t="str">
        <f>IF(AN329="","",VLOOKUP(AN329,引用表合并!$A:$B,2,FALSE))</f>
        <v/>
      </c>
      <c r="AN329" s="8"/>
      <c r="AO329" s="8"/>
      <c r="AQ329" s="8" t="str">
        <f>IF(AR329="","",VLOOKUP(AR329,引用表合并!$A:$B,2,FALSE))</f>
        <v/>
      </c>
      <c r="AR329" s="8"/>
      <c r="AS329" s="8"/>
      <c r="AU329" s="8" t="str">
        <f>IF(AV329="","",VLOOKUP(AV329,引用表合并!$A:$B,2,FALSE))</f>
        <v/>
      </c>
      <c r="AV329" s="8"/>
      <c r="AW329" s="8"/>
      <c r="AY329" s="8" t="str">
        <f>IF(AZ329="","",VLOOKUP(AZ329,引用表合并!$A:$B,2,FALSE))</f>
        <v/>
      </c>
      <c r="AZ329" s="8"/>
      <c r="BA329" s="8"/>
      <c r="BC329" s="8" t="str">
        <f>IF(BD329="","",VLOOKUP(BD329,引用表合并!$A:$B,2,FALSE))</f>
        <v/>
      </c>
      <c r="BD329" s="8"/>
      <c r="BF329" s="10"/>
      <c r="BG329" s="8" t="str">
        <f>IF(BH329="","",VLOOKUP(BH329,引用表合并!$A:$B,2,FALSE))</f>
        <v/>
      </c>
      <c r="BH329" s="8"/>
      <c r="BJ329" s="10"/>
      <c r="BK329" s="8" t="str">
        <f>IF(BL329="","",VLOOKUP(BL329,引用表合并!$A:$B,2,FALSE))</f>
        <v/>
      </c>
      <c r="BL329" s="8"/>
      <c r="BN329" s="10"/>
    </row>
    <row r="330" spans="1:66" x14ac:dyDescent="0.15">
      <c r="A330" s="8">
        <v>500107</v>
      </c>
      <c r="B330" s="8" t="s">
        <v>122</v>
      </c>
      <c r="C330" s="8">
        <v>0</v>
      </c>
      <c r="D330" s="8">
        <f t="shared" si="63"/>
        <v>0</v>
      </c>
      <c r="E330" s="16">
        <f t="shared" si="46"/>
        <v>0</v>
      </c>
      <c r="F330" s="16">
        <f t="shared" si="45"/>
        <v>0</v>
      </c>
      <c r="G330" s="8" t="str">
        <f>IF(H330="","",VLOOKUP(H330,引用表合并!$A:$B,2,FALSE))</f>
        <v/>
      </c>
      <c r="K330" s="8" t="str">
        <f>IF(L330="","",VLOOKUP(L330,引用表合并!$A:$B,2,FALSE))</f>
        <v/>
      </c>
      <c r="L330" s="8"/>
      <c r="M330" s="8"/>
      <c r="O330" s="8" t="str">
        <f>IF(P330="","",VLOOKUP(P330,引用表合并!$A:$B,2,FALSE))</f>
        <v/>
      </c>
      <c r="P330" s="8"/>
      <c r="Q330" s="8"/>
      <c r="S330" s="8" t="str">
        <f>IF(T330="","",VLOOKUP(T330,引用表合并!$A:$B,2,FALSE))</f>
        <v/>
      </c>
      <c r="T330" s="8"/>
      <c r="U330" s="8"/>
      <c r="W330" s="8" t="str">
        <f>IF(X330="","",VLOOKUP(X330,引用表合并!$A:$B,2,FALSE))</f>
        <v/>
      </c>
      <c r="X330" s="8"/>
      <c r="Y330" s="8"/>
      <c r="AA330" s="8" t="str">
        <f>IF(AB330="","",VLOOKUP(AB330,引用表合并!$A:$B,2,FALSE))</f>
        <v/>
      </c>
      <c r="AB330" s="8"/>
      <c r="AC330" s="8"/>
      <c r="AE330" s="8" t="str">
        <f>IF(AF330="","",VLOOKUP(AF330,引用表合并!$A:$B,2,FALSE))</f>
        <v/>
      </c>
      <c r="AF330" s="8"/>
      <c r="AG330" s="8"/>
      <c r="AI330" s="8" t="str">
        <f>IF(AJ330="","",VLOOKUP(AJ330,引用表合并!$A:$B,2,FALSE))</f>
        <v/>
      </c>
      <c r="AJ330" s="8"/>
      <c r="AK330" s="8"/>
      <c r="AM330" s="8" t="str">
        <f>IF(AN330="","",VLOOKUP(AN330,引用表合并!$A:$B,2,FALSE))</f>
        <v/>
      </c>
      <c r="AN330" s="8"/>
      <c r="AO330" s="8"/>
      <c r="AQ330" s="8" t="str">
        <f>IF(AR330="","",VLOOKUP(AR330,引用表合并!$A:$B,2,FALSE))</f>
        <v/>
      </c>
      <c r="AR330" s="8"/>
      <c r="AS330" s="8"/>
      <c r="AU330" s="8" t="str">
        <f>IF(AV330="","",VLOOKUP(AV330,引用表合并!$A:$B,2,FALSE))</f>
        <v/>
      </c>
      <c r="AV330" s="8"/>
      <c r="AW330" s="8"/>
      <c r="AY330" s="8" t="str">
        <f>IF(AZ330="","",VLOOKUP(AZ330,引用表合并!$A:$B,2,FALSE))</f>
        <v/>
      </c>
      <c r="AZ330" s="8"/>
      <c r="BA330" s="8"/>
      <c r="BC330" s="8" t="str">
        <f>IF(BD330="","",VLOOKUP(BD330,引用表合并!$A:$B,2,FALSE))</f>
        <v/>
      </c>
      <c r="BD330" s="8"/>
      <c r="BF330" s="10"/>
      <c r="BG330" s="8" t="str">
        <f>IF(BH330="","",VLOOKUP(BH330,引用表合并!$A:$B,2,FALSE))</f>
        <v/>
      </c>
      <c r="BH330" s="8"/>
      <c r="BJ330" s="10"/>
      <c r="BK330" s="8" t="str">
        <f>IF(BL330="","",VLOOKUP(BL330,引用表合并!$A:$B,2,FALSE))</f>
        <v/>
      </c>
      <c r="BL330" s="8"/>
      <c r="BN330" s="10"/>
    </row>
    <row r="331" spans="1:66" x14ac:dyDescent="0.15">
      <c r="A331" s="8">
        <v>500108</v>
      </c>
      <c r="B331" s="8" t="s">
        <v>122</v>
      </c>
      <c r="C331" s="8">
        <v>0</v>
      </c>
      <c r="D331" s="8">
        <f t="shared" si="63"/>
        <v>0</v>
      </c>
      <c r="E331" s="16">
        <f t="shared" si="46"/>
        <v>0</v>
      </c>
      <c r="F331" s="16">
        <f t="shared" si="45"/>
        <v>0</v>
      </c>
      <c r="G331" s="8" t="str">
        <f>IF(H331="","",VLOOKUP(H331,引用表合并!$A:$B,2,FALSE))</f>
        <v/>
      </c>
      <c r="K331" s="8" t="str">
        <f>IF(L331="","",VLOOKUP(L331,引用表合并!$A:$B,2,FALSE))</f>
        <v/>
      </c>
      <c r="L331" s="8"/>
      <c r="M331" s="8"/>
      <c r="O331" s="8" t="str">
        <f>IF(P331="","",VLOOKUP(P331,引用表合并!$A:$B,2,FALSE))</f>
        <v/>
      </c>
      <c r="P331" s="8"/>
      <c r="Q331" s="8"/>
      <c r="S331" s="8" t="str">
        <f>IF(T331="","",VLOOKUP(T331,引用表合并!$A:$B,2,FALSE))</f>
        <v/>
      </c>
      <c r="T331" s="8"/>
      <c r="U331" s="8"/>
      <c r="W331" s="8" t="str">
        <f>IF(X331="","",VLOOKUP(X331,引用表合并!$A:$B,2,FALSE))</f>
        <v/>
      </c>
      <c r="X331" s="8"/>
      <c r="Y331" s="8"/>
      <c r="AA331" s="8" t="str">
        <f>IF(AB331="","",VLOOKUP(AB331,引用表合并!$A:$B,2,FALSE))</f>
        <v/>
      </c>
      <c r="AB331" s="8"/>
      <c r="AC331" s="8"/>
      <c r="AE331" s="8" t="str">
        <f>IF(AF331="","",VLOOKUP(AF331,引用表合并!$A:$B,2,FALSE))</f>
        <v/>
      </c>
      <c r="AF331" s="8"/>
      <c r="AG331" s="8"/>
      <c r="AI331" s="8" t="str">
        <f>IF(AJ331="","",VLOOKUP(AJ331,引用表合并!$A:$B,2,FALSE))</f>
        <v/>
      </c>
      <c r="AJ331" s="8"/>
      <c r="AK331" s="8"/>
      <c r="AM331" s="8" t="str">
        <f>IF(AN331="","",VLOOKUP(AN331,引用表合并!$A:$B,2,FALSE))</f>
        <v/>
      </c>
      <c r="AN331" s="8"/>
      <c r="AO331" s="8"/>
      <c r="AQ331" s="8" t="str">
        <f>IF(AR331="","",VLOOKUP(AR331,引用表合并!$A:$B,2,FALSE))</f>
        <v/>
      </c>
      <c r="AR331" s="8"/>
      <c r="AS331" s="8"/>
      <c r="AU331" s="8" t="str">
        <f>IF(AV331="","",VLOOKUP(AV331,引用表合并!$A:$B,2,FALSE))</f>
        <v/>
      </c>
      <c r="AV331" s="8"/>
      <c r="AW331" s="8"/>
      <c r="AY331" s="8" t="str">
        <f>IF(AZ331="","",VLOOKUP(AZ331,引用表合并!$A:$B,2,FALSE))</f>
        <v/>
      </c>
      <c r="AZ331" s="8"/>
      <c r="BA331" s="8"/>
      <c r="BC331" s="8" t="str">
        <f>IF(BD331="","",VLOOKUP(BD331,引用表合并!$A:$B,2,FALSE))</f>
        <v/>
      </c>
      <c r="BD331" s="8"/>
      <c r="BF331" s="10"/>
      <c r="BG331" s="8" t="str">
        <f>IF(BH331="","",VLOOKUP(BH331,引用表合并!$A:$B,2,FALSE))</f>
        <v/>
      </c>
      <c r="BH331" s="8"/>
      <c r="BJ331" s="10"/>
      <c r="BK331" s="8" t="str">
        <f>IF(BL331="","",VLOOKUP(BL331,引用表合并!$A:$B,2,FALSE))</f>
        <v/>
      </c>
      <c r="BL331" s="8"/>
      <c r="BN331" s="10"/>
    </row>
    <row r="332" spans="1:66" x14ac:dyDescent="0.15">
      <c r="A332" s="8">
        <v>500109</v>
      </c>
      <c r="B332" s="8" t="s">
        <v>122</v>
      </c>
      <c r="C332" s="8">
        <v>0</v>
      </c>
      <c r="D332" s="8">
        <f t="shared" si="63"/>
        <v>0</v>
      </c>
      <c r="E332" s="16">
        <f t="shared" si="46"/>
        <v>0</v>
      </c>
      <c r="F332" s="16">
        <f t="shared" si="45"/>
        <v>0</v>
      </c>
      <c r="G332" s="8" t="str">
        <f>IF(H332="","",VLOOKUP(H332,引用表合并!$A:$B,2,FALSE))</f>
        <v/>
      </c>
      <c r="K332" s="8" t="str">
        <f>IF(L332="","",VLOOKUP(L332,引用表合并!$A:$B,2,FALSE))</f>
        <v/>
      </c>
      <c r="L332" s="8"/>
      <c r="M332" s="8"/>
      <c r="O332" s="8" t="str">
        <f>IF(P332="","",VLOOKUP(P332,引用表合并!$A:$B,2,FALSE))</f>
        <v/>
      </c>
      <c r="P332" s="8"/>
      <c r="Q332" s="8"/>
      <c r="S332" s="8" t="str">
        <f>IF(T332="","",VLOOKUP(T332,引用表合并!$A:$B,2,FALSE))</f>
        <v/>
      </c>
      <c r="T332" s="8"/>
      <c r="U332" s="8"/>
      <c r="W332" s="8" t="str">
        <f>IF(X332="","",VLOOKUP(X332,引用表合并!$A:$B,2,FALSE))</f>
        <v/>
      </c>
      <c r="X332" s="8"/>
      <c r="Y332" s="8"/>
      <c r="AA332" s="8" t="str">
        <f>IF(AB332="","",VLOOKUP(AB332,引用表合并!$A:$B,2,FALSE))</f>
        <v/>
      </c>
      <c r="AB332" s="8"/>
      <c r="AC332" s="8"/>
      <c r="AE332" s="8" t="str">
        <f>IF(AF332="","",VLOOKUP(AF332,引用表合并!$A:$B,2,FALSE))</f>
        <v/>
      </c>
      <c r="AF332" s="8"/>
      <c r="AG332" s="8"/>
      <c r="AI332" s="8" t="str">
        <f>IF(AJ332="","",VLOOKUP(AJ332,引用表合并!$A:$B,2,FALSE))</f>
        <v/>
      </c>
      <c r="AJ332" s="8"/>
      <c r="AK332" s="8"/>
      <c r="AM332" s="8" t="str">
        <f>IF(AN332="","",VLOOKUP(AN332,引用表合并!$A:$B,2,FALSE))</f>
        <v/>
      </c>
      <c r="AN332" s="8"/>
      <c r="AO332" s="8"/>
      <c r="AQ332" s="8" t="str">
        <f>IF(AR332="","",VLOOKUP(AR332,引用表合并!$A:$B,2,FALSE))</f>
        <v/>
      </c>
      <c r="AR332" s="8"/>
      <c r="AS332" s="8"/>
      <c r="AU332" s="8" t="str">
        <f>IF(AV332="","",VLOOKUP(AV332,引用表合并!$A:$B,2,FALSE))</f>
        <v/>
      </c>
      <c r="AV332" s="8"/>
      <c r="AW332" s="8"/>
      <c r="AY332" s="8" t="str">
        <f>IF(AZ332="","",VLOOKUP(AZ332,引用表合并!$A:$B,2,FALSE))</f>
        <v/>
      </c>
      <c r="AZ332" s="8"/>
      <c r="BA332" s="8"/>
      <c r="BC332" s="8" t="str">
        <f>IF(BD332="","",VLOOKUP(BD332,引用表合并!$A:$B,2,FALSE))</f>
        <v/>
      </c>
      <c r="BD332" s="8"/>
      <c r="BF332" s="10"/>
      <c r="BG332" s="8" t="str">
        <f>IF(BH332="","",VLOOKUP(BH332,引用表合并!$A:$B,2,FALSE))</f>
        <v/>
      </c>
      <c r="BH332" s="8"/>
      <c r="BJ332" s="10"/>
      <c r="BK332" s="8" t="str">
        <f>IF(BL332="","",VLOOKUP(BL332,引用表合并!$A:$B,2,FALSE))</f>
        <v/>
      </c>
      <c r="BL332" s="8"/>
      <c r="BN332" s="10"/>
    </row>
    <row r="333" spans="1:66" x14ac:dyDescent="0.15">
      <c r="A333" s="8">
        <v>500201</v>
      </c>
      <c r="B333" s="8" t="s">
        <v>123</v>
      </c>
      <c r="C333" s="8">
        <v>1</v>
      </c>
      <c r="D333" s="8">
        <f t="shared" si="63"/>
        <v>3</v>
      </c>
      <c r="E333" s="16">
        <f t="shared" si="46"/>
        <v>3</v>
      </c>
      <c r="F333" s="16">
        <f t="shared" si="45"/>
        <v>3</v>
      </c>
      <c r="G333" s="8" t="str">
        <f>IF(H333="","",VLOOKUP(H333,引用表合并!$A:$B,2,FALSE))</f>
        <v>紫云之剑</v>
      </c>
      <c r="H333" s="8">
        <v>10205</v>
      </c>
      <c r="I333" s="8">
        <v>1</v>
      </c>
      <c r="J333" s="10">
        <v>10000</v>
      </c>
      <c r="K333" s="8" t="str">
        <f>IF(L333="","",VLOOKUP(L333,引用表合并!$A:$B,2,FALSE))</f>
        <v>紫云之拳</v>
      </c>
      <c r="L333" s="8">
        <v>20205</v>
      </c>
      <c r="M333" s="8">
        <v>1</v>
      </c>
      <c r="N333" s="10">
        <v>10000</v>
      </c>
      <c r="O333" s="8" t="str">
        <f>IF(P333="","",VLOOKUP(P333,引用表合并!$A:$B,2,FALSE))</f>
        <v>紫云之枪</v>
      </c>
      <c r="P333" s="8">
        <v>30205</v>
      </c>
      <c r="Q333" s="8">
        <v>1</v>
      </c>
      <c r="R333" s="10">
        <v>10000</v>
      </c>
      <c r="S333" s="8" t="str">
        <f>IF(T333="","",VLOOKUP(T333,引用表合并!$A:$B,2,FALSE))</f>
        <v/>
      </c>
      <c r="T333" s="8"/>
      <c r="U333" s="8"/>
      <c r="W333" s="8" t="str">
        <f>IF(X333="","",VLOOKUP(X333,引用表合并!$A:$B,2,FALSE))</f>
        <v/>
      </c>
      <c r="X333" s="8"/>
      <c r="Y333" s="8"/>
      <c r="AA333" s="8" t="str">
        <f>IF(AB333="","",VLOOKUP(AB333,引用表合并!$A:$B,2,FALSE))</f>
        <v/>
      </c>
      <c r="AB333" s="8"/>
      <c r="AC333" s="8"/>
      <c r="AE333" s="8" t="str">
        <f>IF(AF333="","",VLOOKUP(AF333,引用表合并!$A:$B,2,FALSE))</f>
        <v/>
      </c>
      <c r="AF333" s="8"/>
      <c r="AG333" s="8"/>
      <c r="AI333" s="8" t="str">
        <f>IF(AJ333="","",VLOOKUP(AJ333,引用表合并!$A:$B,2,FALSE))</f>
        <v/>
      </c>
      <c r="AJ333" s="8"/>
      <c r="AK333" s="8"/>
      <c r="AM333" s="8" t="str">
        <f>IF(AN333="","",VLOOKUP(AN333,引用表合并!$A:$B,2,FALSE))</f>
        <v/>
      </c>
      <c r="AN333" s="8"/>
      <c r="AO333" s="8"/>
      <c r="AQ333" s="8" t="str">
        <f>IF(AR333="","",VLOOKUP(AR333,引用表合并!$A:$B,2,FALSE))</f>
        <v/>
      </c>
      <c r="AR333" s="8"/>
      <c r="AS333" s="8"/>
      <c r="AU333" s="8" t="str">
        <f>IF(AV333="","",VLOOKUP(AV333,引用表合并!$A:$B,2,FALSE))</f>
        <v/>
      </c>
      <c r="AV333" s="8"/>
      <c r="AW333" s="8"/>
      <c r="AY333" s="8" t="str">
        <f>IF(AZ333="","",VLOOKUP(AZ333,引用表合并!$A:$B,2,FALSE))</f>
        <v/>
      </c>
      <c r="AZ333" s="8"/>
      <c r="BA333" s="8"/>
      <c r="BC333" s="8" t="str">
        <f>IF(BD333="","",VLOOKUP(BD333,引用表合并!$A:$B,2,FALSE))</f>
        <v/>
      </c>
      <c r="BD333" s="8"/>
      <c r="BF333" s="10"/>
      <c r="BG333" s="8" t="str">
        <f>IF(BH333="","",VLOOKUP(BH333,引用表合并!$A:$B,2,FALSE))</f>
        <v/>
      </c>
      <c r="BH333" s="8"/>
      <c r="BJ333" s="10"/>
      <c r="BK333" s="8" t="str">
        <f>IF(BL333="","",VLOOKUP(BL333,引用表合并!$A:$B,2,FALSE))</f>
        <v/>
      </c>
      <c r="BL333" s="8"/>
      <c r="BN333" s="10"/>
    </row>
    <row r="334" spans="1:66" x14ac:dyDescent="0.15">
      <c r="A334" s="8">
        <v>500202</v>
      </c>
      <c r="B334" s="8" t="s">
        <v>123</v>
      </c>
      <c r="C334" s="8">
        <v>1</v>
      </c>
      <c r="D334" s="8">
        <f t="shared" si="63"/>
        <v>3</v>
      </c>
      <c r="E334" s="16">
        <f t="shared" si="46"/>
        <v>3</v>
      </c>
      <c r="F334" s="16">
        <f t="shared" si="45"/>
        <v>3</v>
      </c>
      <c r="G334" s="8" t="str">
        <f>IF(H334="","",VLOOKUP(H334,引用表合并!$A:$B,2,FALSE))</f>
        <v>鎏金之剑</v>
      </c>
      <c r="H334" s="8">
        <v>10306</v>
      </c>
      <c r="I334" s="8">
        <v>1</v>
      </c>
      <c r="J334" s="10">
        <v>10000</v>
      </c>
      <c r="K334" s="8" t="str">
        <f>IF(L334="","",VLOOKUP(L334,引用表合并!$A:$B,2,FALSE))</f>
        <v>鎏金之拳</v>
      </c>
      <c r="L334" s="8">
        <v>20306</v>
      </c>
      <c r="M334" s="8">
        <v>1</v>
      </c>
      <c r="N334" s="10">
        <v>10000</v>
      </c>
      <c r="O334" s="8" t="str">
        <f>IF(P334="","",VLOOKUP(P334,引用表合并!$A:$B,2,FALSE))</f>
        <v>鎏金之枪</v>
      </c>
      <c r="P334" s="8">
        <v>30306</v>
      </c>
      <c r="Q334" s="8">
        <v>1</v>
      </c>
      <c r="R334" s="10">
        <v>10000</v>
      </c>
      <c r="S334" s="8" t="str">
        <f>IF(T334="","",VLOOKUP(T334,引用表合并!$A:$B,2,FALSE))</f>
        <v/>
      </c>
      <c r="T334" s="8"/>
      <c r="U334" s="8"/>
      <c r="W334" s="8" t="str">
        <f>IF(X334="","",VLOOKUP(X334,引用表合并!$A:$B,2,FALSE))</f>
        <v/>
      </c>
      <c r="X334" s="8"/>
      <c r="Y334" s="8"/>
      <c r="AA334" s="8" t="str">
        <f>IF(AB334="","",VLOOKUP(AB334,引用表合并!$A:$B,2,FALSE))</f>
        <v/>
      </c>
      <c r="AB334" s="8"/>
      <c r="AC334" s="8"/>
      <c r="AE334" s="8" t="str">
        <f>IF(AF334="","",VLOOKUP(AF334,引用表合并!$A:$B,2,FALSE))</f>
        <v/>
      </c>
      <c r="AF334" s="8"/>
      <c r="AG334" s="8"/>
      <c r="AI334" s="8" t="str">
        <f>IF(AJ334="","",VLOOKUP(AJ334,引用表合并!$A:$B,2,FALSE))</f>
        <v/>
      </c>
      <c r="AJ334" s="8"/>
      <c r="AK334" s="8"/>
      <c r="AM334" s="8" t="str">
        <f>IF(AN334="","",VLOOKUP(AN334,引用表合并!$A:$B,2,FALSE))</f>
        <v/>
      </c>
      <c r="AN334" s="8"/>
      <c r="AO334" s="8"/>
      <c r="AQ334" s="8" t="str">
        <f>IF(AR334="","",VLOOKUP(AR334,引用表合并!$A:$B,2,FALSE))</f>
        <v/>
      </c>
      <c r="AR334" s="8"/>
      <c r="AS334" s="8"/>
      <c r="AU334" s="8" t="str">
        <f>IF(AV334="","",VLOOKUP(AV334,引用表合并!$A:$B,2,FALSE))</f>
        <v/>
      </c>
      <c r="AV334" s="8"/>
      <c r="AW334" s="8"/>
      <c r="AY334" s="8" t="str">
        <f>IF(AZ334="","",VLOOKUP(AZ334,引用表合并!$A:$B,2,FALSE))</f>
        <v/>
      </c>
      <c r="AZ334" s="8"/>
      <c r="BA334" s="8"/>
      <c r="BC334" s="8" t="str">
        <f>IF(BD334="","",VLOOKUP(BD334,引用表合并!$A:$B,2,FALSE))</f>
        <v/>
      </c>
      <c r="BD334" s="8"/>
      <c r="BF334" s="10"/>
      <c r="BG334" s="8" t="str">
        <f>IF(BH334="","",VLOOKUP(BH334,引用表合并!$A:$B,2,FALSE))</f>
        <v/>
      </c>
      <c r="BH334" s="8"/>
      <c r="BJ334" s="10"/>
      <c r="BK334" s="8" t="str">
        <f>IF(BL334="","",VLOOKUP(BL334,引用表合并!$A:$B,2,FALSE))</f>
        <v/>
      </c>
      <c r="BL334" s="8"/>
      <c r="BN334" s="10"/>
    </row>
    <row r="335" spans="1:66" x14ac:dyDescent="0.15">
      <c r="A335" s="8">
        <v>500203</v>
      </c>
      <c r="B335" s="8" t="s">
        <v>123</v>
      </c>
      <c r="C335" s="8">
        <v>0</v>
      </c>
      <c r="D335" s="8">
        <f t="shared" si="63"/>
        <v>0</v>
      </c>
      <c r="E335" s="16">
        <f t="shared" si="46"/>
        <v>0</v>
      </c>
      <c r="F335" s="16">
        <f t="shared" si="45"/>
        <v>0</v>
      </c>
      <c r="G335" s="8" t="str">
        <f>IF(H335="","",VLOOKUP(H335,引用表合并!$A:$B,2,FALSE))</f>
        <v/>
      </c>
      <c r="K335" s="8" t="str">
        <f>IF(L335="","",VLOOKUP(L335,引用表合并!$A:$B,2,FALSE))</f>
        <v/>
      </c>
      <c r="L335" s="8"/>
      <c r="M335" s="8"/>
      <c r="O335" s="8" t="str">
        <f>IF(P335="","",VLOOKUP(P335,引用表合并!$A:$B,2,FALSE))</f>
        <v/>
      </c>
      <c r="P335" s="8"/>
      <c r="Q335" s="8"/>
      <c r="S335" s="8" t="str">
        <f>IF(T335="","",VLOOKUP(T335,引用表合并!$A:$B,2,FALSE))</f>
        <v/>
      </c>
      <c r="T335" s="8"/>
      <c r="U335" s="8"/>
      <c r="W335" s="8" t="str">
        <f>IF(X335="","",VLOOKUP(X335,引用表合并!$A:$B,2,FALSE))</f>
        <v/>
      </c>
      <c r="X335" s="8"/>
      <c r="Y335" s="8"/>
      <c r="AA335" s="8" t="str">
        <f>IF(AB335="","",VLOOKUP(AB335,引用表合并!$A:$B,2,FALSE))</f>
        <v/>
      </c>
      <c r="AB335" s="8"/>
      <c r="AC335" s="8"/>
      <c r="AE335" s="8" t="str">
        <f>IF(AF335="","",VLOOKUP(AF335,引用表合并!$A:$B,2,FALSE))</f>
        <v/>
      </c>
      <c r="AF335" s="8"/>
      <c r="AG335" s="8"/>
      <c r="AI335" s="8" t="str">
        <f>IF(AJ335="","",VLOOKUP(AJ335,引用表合并!$A:$B,2,FALSE))</f>
        <v/>
      </c>
      <c r="AJ335" s="8"/>
      <c r="AK335" s="8"/>
      <c r="AM335" s="8" t="str">
        <f>IF(AN335="","",VLOOKUP(AN335,引用表合并!$A:$B,2,FALSE))</f>
        <v/>
      </c>
      <c r="AN335" s="8"/>
      <c r="AO335" s="8"/>
      <c r="AQ335" s="8" t="str">
        <f>IF(AR335="","",VLOOKUP(AR335,引用表合并!$A:$B,2,FALSE))</f>
        <v/>
      </c>
      <c r="AR335" s="8"/>
      <c r="AS335" s="8"/>
      <c r="AU335" s="8" t="str">
        <f>IF(AV335="","",VLOOKUP(AV335,引用表合并!$A:$B,2,FALSE))</f>
        <v/>
      </c>
      <c r="AV335" s="8"/>
      <c r="AW335" s="8"/>
      <c r="AY335" s="8" t="str">
        <f>IF(AZ335="","",VLOOKUP(AZ335,引用表合并!$A:$B,2,FALSE))</f>
        <v/>
      </c>
      <c r="AZ335" s="8"/>
      <c r="BA335" s="8"/>
      <c r="BC335" s="8" t="str">
        <f>IF(BD335="","",VLOOKUP(BD335,引用表合并!$A:$B,2,FALSE))</f>
        <v/>
      </c>
      <c r="BD335" s="8"/>
      <c r="BF335" s="10"/>
      <c r="BG335" s="8" t="str">
        <f>IF(BH335="","",VLOOKUP(BH335,引用表合并!$A:$B,2,FALSE))</f>
        <v/>
      </c>
      <c r="BH335" s="8"/>
      <c r="BJ335" s="10"/>
      <c r="BK335" s="8" t="str">
        <f>IF(BL335="","",VLOOKUP(BL335,引用表合并!$A:$B,2,FALSE))</f>
        <v/>
      </c>
      <c r="BL335" s="8"/>
      <c r="BN335" s="10"/>
    </row>
    <row r="336" spans="1:66" x14ac:dyDescent="0.15">
      <c r="A336" s="8">
        <v>500204</v>
      </c>
      <c r="B336" s="8" t="s">
        <v>123</v>
      </c>
      <c r="C336" s="8">
        <v>0</v>
      </c>
      <c r="D336" s="8">
        <f t="shared" si="63"/>
        <v>0</v>
      </c>
      <c r="E336" s="16">
        <f t="shared" si="46"/>
        <v>0</v>
      </c>
      <c r="F336" s="16">
        <f t="shared" si="45"/>
        <v>0</v>
      </c>
      <c r="G336" s="8" t="str">
        <f>IF(H336="","",VLOOKUP(H336,引用表合并!$A:$B,2,FALSE))</f>
        <v/>
      </c>
      <c r="K336" s="8" t="str">
        <f>IF(L336="","",VLOOKUP(L336,引用表合并!$A:$B,2,FALSE))</f>
        <v/>
      </c>
      <c r="L336" s="8"/>
      <c r="M336" s="8"/>
      <c r="O336" s="8" t="str">
        <f>IF(P336="","",VLOOKUP(P336,引用表合并!$A:$B,2,FALSE))</f>
        <v/>
      </c>
      <c r="P336" s="8"/>
      <c r="Q336" s="8"/>
      <c r="S336" s="8" t="str">
        <f>IF(T336="","",VLOOKUP(T336,引用表合并!$A:$B,2,FALSE))</f>
        <v/>
      </c>
      <c r="T336" s="8"/>
      <c r="U336" s="8"/>
      <c r="W336" s="8" t="str">
        <f>IF(X336="","",VLOOKUP(X336,引用表合并!$A:$B,2,FALSE))</f>
        <v/>
      </c>
      <c r="X336" s="8"/>
      <c r="Y336" s="8"/>
      <c r="AA336" s="8" t="str">
        <f>IF(AB336="","",VLOOKUP(AB336,引用表合并!$A:$B,2,FALSE))</f>
        <v/>
      </c>
      <c r="AB336" s="8"/>
      <c r="AC336" s="8"/>
      <c r="AE336" s="8" t="str">
        <f>IF(AF336="","",VLOOKUP(AF336,引用表合并!$A:$B,2,FALSE))</f>
        <v/>
      </c>
      <c r="AF336" s="8"/>
      <c r="AG336" s="8"/>
      <c r="AI336" s="8" t="str">
        <f>IF(AJ336="","",VLOOKUP(AJ336,引用表合并!$A:$B,2,FALSE))</f>
        <v/>
      </c>
      <c r="AJ336" s="8"/>
      <c r="AK336" s="8"/>
      <c r="AM336" s="8" t="str">
        <f>IF(AN336="","",VLOOKUP(AN336,引用表合并!$A:$B,2,FALSE))</f>
        <v/>
      </c>
      <c r="AN336" s="8"/>
      <c r="AO336" s="8"/>
      <c r="AQ336" s="8" t="str">
        <f>IF(AR336="","",VLOOKUP(AR336,引用表合并!$A:$B,2,FALSE))</f>
        <v/>
      </c>
      <c r="AR336" s="8"/>
      <c r="AS336" s="8"/>
      <c r="AU336" s="8" t="str">
        <f>IF(AV336="","",VLOOKUP(AV336,引用表合并!$A:$B,2,FALSE))</f>
        <v/>
      </c>
      <c r="AV336" s="8"/>
      <c r="AW336" s="8"/>
      <c r="AY336" s="8" t="str">
        <f>IF(AZ336="","",VLOOKUP(AZ336,引用表合并!$A:$B,2,FALSE))</f>
        <v/>
      </c>
      <c r="AZ336" s="8"/>
      <c r="BA336" s="8"/>
      <c r="BC336" s="8" t="str">
        <f>IF(BD336="","",VLOOKUP(BD336,引用表合并!$A:$B,2,FALSE))</f>
        <v/>
      </c>
      <c r="BD336" s="8"/>
      <c r="BF336" s="10"/>
      <c r="BG336" s="8" t="str">
        <f>IF(BH336="","",VLOOKUP(BH336,引用表合并!$A:$B,2,FALSE))</f>
        <v/>
      </c>
      <c r="BH336" s="8"/>
      <c r="BJ336" s="10"/>
      <c r="BK336" s="8" t="str">
        <f>IF(BL336="","",VLOOKUP(BL336,引用表合并!$A:$B,2,FALSE))</f>
        <v/>
      </c>
      <c r="BL336" s="8"/>
      <c r="BN336" s="10"/>
    </row>
    <row r="337" spans="1:66" x14ac:dyDescent="0.15">
      <c r="A337" s="8">
        <v>500205</v>
      </c>
      <c r="B337" s="8" t="s">
        <v>123</v>
      </c>
      <c r="C337" s="8">
        <v>0</v>
      </c>
      <c r="D337" s="8">
        <f t="shared" si="63"/>
        <v>0</v>
      </c>
      <c r="E337" s="16">
        <f t="shared" si="46"/>
        <v>0</v>
      </c>
      <c r="F337" s="16">
        <f t="shared" si="45"/>
        <v>0</v>
      </c>
      <c r="G337" s="8" t="str">
        <f>IF(H337="","",VLOOKUP(H337,引用表合并!$A:$B,2,FALSE))</f>
        <v/>
      </c>
      <c r="K337" s="8" t="str">
        <f>IF(L337="","",VLOOKUP(L337,引用表合并!$A:$B,2,FALSE))</f>
        <v/>
      </c>
      <c r="L337" s="8"/>
      <c r="M337" s="8"/>
      <c r="O337" s="8" t="str">
        <f>IF(P337="","",VLOOKUP(P337,引用表合并!$A:$B,2,FALSE))</f>
        <v/>
      </c>
      <c r="P337" s="8"/>
      <c r="Q337" s="8"/>
      <c r="S337" s="8" t="str">
        <f>IF(T337="","",VLOOKUP(T337,引用表合并!$A:$B,2,FALSE))</f>
        <v/>
      </c>
      <c r="T337" s="8"/>
      <c r="U337" s="8"/>
      <c r="W337" s="8" t="str">
        <f>IF(X337="","",VLOOKUP(X337,引用表合并!$A:$B,2,FALSE))</f>
        <v/>
      </c>
      <c r="X337" s="8"/>
      <c r="Y337" s="8"/>
      <c r="AA337" s="8" t="str">
        <f>IF(AB337="","",VLOOKUP(AB337,引用表合并!$A:$B,2,FALSE))</f>
        <v/>
      </c>
      <c r="AB337" s="8"/>
      <c r="AC337" s="8"/>
      <c r="AE337" s="8" t="str">
        <f>IF(AF337="","",VLOOKUP(AF337,引用表合并!$A:$B,2,FALSE))</f>
        <v/>
      </c>
      <c r="AF337" s="8"/>
      <c r="AG337" s="8"/>
      <c r="AI337" s="8" t="str">
        <f>IF(AJ337="","",VLOOKUP(AJ337,引用表合并!$A:$B,2,FALSE))</f>
        <v/>
      </c>
      <c r="AJ337" s="8"/>
      <c r="AK337" s="8"/>
      <c r="AM337" s="8" t="str">
        <f>IF(AN337="","",VLOOKUP(AN337,引用表合并!$A:$B,2,FALSE))</f>
        <v/>
      </c>
      <c r="AN337" s="8"/>
      <c r="AO337" s="8"/>
      <c r="AQ337" s="8" t="str">
        <f>IF(AR337="","",VLOOKUP(AR337,引用表合并!$A:$B,2,FALSE))</f>
        <v/>
      </c>
      <c r="AR337" s="8"/>
      <c r="AS337" s="8"/>
      <c r="AU337" s="8" t="str">
        <f>IF(AV337="","",VLOOKUP(AV337,引用表合并!$A:$B,2,FALSE))</f>
        <v/>
      </c>
      <c r="AV337" s="8"/>
      <c r="AW337" s="8"/>
      <c r="AY337" s="8" t="str">
        <f>IF(AZ337="","",VLOOKUP(AZ337,引用表合并!$A:$B,2,FALSE))</f>
        <v/>
      </c>
      <c r="AZ337" s="8"/>
      <c r="BA337" s="8"/>
      <c r="BC337" s="8" t="str">
        <f>IF(BD337="","",VLOOKUP(BD337,引用表合并!$A:$B,2,FALSE))</f>
        <v/>
      </c>
      <c r="BD337" s="8"/>
      <c r="BF337" s="10"/>
      <c r="BG337" s="8" t="str">
        <f>IF(BH337="","",VLOOKUP(BH337,引用表合并!$A:$B,2,FALSE))</f>
        <v/>
      </c>
      <c r="BH337" s="8"/>
      <c r="BJ337" s="10"/>
      <c r="BK337" s="8" t="str">
        <f>IF(BL337="","",VLOOKUP(BL337,引用表合并!$A:$B,2,FALSE))</f>
        <v/>
      </c>
      <c r="BL337" s="8"/>
      <c r="BN337" s="10"/>
    </row>
    <row r="338" spans="1:66" x14ac:dyDescent="0.15">
      <c r="A338" s="8">
        <v>500206</v>
      </c>
      <c r="B338" s="8" t="s">
        <v>123</v>
      </c>
      <c r="C338" s="8">
        <v>0</v>
      </c>
      <c r="D338" s="8">
        <f t="shared" si="63"/>
        <v>0</v>
      </c>
      <c r="E338" s="16">
        <f t="shared" si="46"/>
        <v>0</v>
      </c>
      <c r="F338" s="16">
        <f t="shared" si="45"/>
        <v>0</v>
      </c>
      <c r="G338" s="8" t="str">
        <f>IF(H338="","",VLOOKUP(H338,引用表合并!$A:$B,2,FALSE))</f>
        <v/>
      </c>
      <c r="K338" s="8" t="str">
        <f>IF(L338="","",VLOOKUP(L338,引用表合并!$A:$B,2,FALSE))</f>
        <v/>
      </c>
      <c r="L338" s="8"/>
      <c r="M338" s="8"/>
      <c r="O338" s="8" t="str">
        <f>IF(P338="","",VLOOKUP(P338,引用表合并!$A:$B,2,FALSE))</f>
        <v/>
      </c>
      <c r="P338" s="8"/>
      <c r="Q338" s="8"/>
      <c r="S338" s="8" t="str">
        <f>IF(T338="","",VLOOKUP(T338,引用表合并!$A:$B,2,FALSE))</f>
        <v/>
      </c>
      <c r="T338" s="8"/>
      <c r="U338" s="8"/>
      <c r="W338" s="8" t="str">
        <f>IF(X338="","",VLOOKUP(X338,引用表合并!$A:$B,2,FALSE))</f>
        <v/>
      </c>
      <c r="X338" s="8"/>
      <c r="Y338" s="8"/>
      <c r="AA338" s="8" t="str">
        <f>IF(AB338="","",VLOOKUP(AB338,引用表合并!$A:$B,2,FALSE))</f>
        <v/>
      </c>
      <c r="AB338" s="8"/>
      <c r="AC338" s="8"/>
      <c r="AE338" s="8" t="str">
        <f>IF(AF338="","",VLOOKUP(AF338,引用表合并!$A:$B,2,FALSE))</f>
        <v/>
      </c>
      <c r="AF338" s="8"/>
      <c r="AG338" s="8"/>
      <c r="AI338" s="8" t="str">
        <f>IF(AJ338="","",VLOOKUP(AJ338,引用表合并!$A:$B,2,FALSE))</f>
        <v/>
      </c>
      <c r="AJ338" s="8"/>
      <c r="AK338" s="8"/>
      <c r="AM338" s="8" t="str">
        <f>IF(AN338="","",VLOOKUP(AN338,引用表合并!$A:$B,2,FALSE))</f>
        <v/>
      </c>
      <c r="AN338" s="8"/>
      <c r="AO338" s="8"/>
      <c r="AQ338" s="8" t="str">
        <f>IF(AR338="","",VLOOKUP(AR338,引用表合并!$A:$B,2,FALSE))</f>
        <v/>
      </c>
      <c r="AR338" s="8"/>
      <c r="AS338" s="8"/>
      <c r="AU338" s="8" t="str">
        <f>IF(AV338="","",VLOOKUP(AV338,引用表合并!$A:$B,2,FALSE))</f>
        <v/>
      </c>
      <c r="AV338" s="8"/>
      <c r="AW338" s="8"/>
      <c r="AY338" s="8" t="str">
        <f>IF(AZ338="","",VLOOKUP(AZ338,引用表合并!$A:$B,2,FALSE))</f>
        <v/>
      </c>
      <c r="AZ338" s="8"/>
      <c r="BA338" s="8"/>
      <c r="BC338" s="8" t="str">
        <f>IF(BD338="","",VLOOKUP(BD338,引用表合并!$A:$B,2,FALSE))</f>
        <v/>
      </c>
      <c r="BD338" s="8"/>
      <c r="BF338" s="10"/>
      <c r="BG338" s="8" t="str">
        <f>IF(BH338="","",VLOOKUP(BH338,引用表合并!$A:$B,2,FALSE))</f>
        <v/>
      </c>
      <c r="BH338" s="8"/>
      <c r="BJ338" s="10"/>
      <c r="BK338" s="8" t="str">
        <f>IF(BL338="","",VLOOKUP(BL338,引用表合并!$A:$B,2,FALSE))</f>
        <v/>
      </c>
      <c r="BL338" s="8"/>
      <c r="BN338" s="10"/>
    </row>
    <row r="339" spans="1:66" x14ac:dyDescent="0.15">
      <c r="A339" s="8">
        <v>500207</v>
      </c>
      <c r="B339" s="8" t="s">
        <v>123</v>
      </c>
      <c r="C339" s="8">
        <v>0</v>
      </c>
      <c r="D339" s="8">
        <f t="shared" si="63"/>
        <v>0</v>
      </c>
      <c r="E339" s="16">
        <f t="shared" si="46"/>
        <v>0</v>
      </c>
      <c r="F339" s="16">
        <f t="shared" si="45"/>
        <v>0</v>
      </c>
      <c r="G339" s="8" t="str">
        <f>IF(H339="","",VLOOKUP(H339,引用表合并!$A:$B,2,FALSE))</f>
        <v/>
      </c>
      <c r="K339" s="8" t="str">
        <f>IF(L339="","",VLOOKUP(L339,引用表合并!$A:$B,2,FALSE))</f>
        <v/>
      </c>
      <c r="L339" s="8"/>
      <c r="M339" s="8"/>
      <c r="O339" s="8" t="str">
        <f>IF(P339="","",VLOOKUP(P339,引用表合并!$A:$B,2,FALSE))</f>
        <v/>
      </c>
      <c r="P339" s="8"/>
      <c r="Q339" s="8"/>
      <c r="S339" s="8" t="str">
        <f>IF(T339="","",VLOOKUP(T339,引用表合并!$A:$B,2,FALSE))</f>
        <v/>
      </c>
      <c r="T339" s="8"/>
      <c r="U339" s="8"/>
      <c r="W339" s="8" t="str">
        <f>IF(X339="","",VLOOKUP(X339,引用表合并!$A:$B,2,FALSE))</f>
        <v/>
      </c>
      <c r="X339" s="8"/>
      <c r="Y339" s="8"/>
      <c r="AA339" s="8" t="str">
        <f>IF(AB339="","",VLOOKUP(AB339,引用表合并!$A:$B,2,FALSE))</f>
        <v/>
      </c>
      <c r="AB339" s="8"/>
      <c r="AC339" s="8"/>
      <c r="AE339" s="8" t="str">
        <f>IF(AF339="","",VLOOKUP(AF339,引用表合并!$A:$B,2,FALSE))</f>
        <v/>
      </c>
      <c r="AF339" s="8"/>
      <c r="AG339" s="8"/>
      <c r="AI339" s="8" t="str">
        <f>IF(AJ339="","",VLOOKUP(AJ339,引用表合并!$A:$B,2,FALSE))</f>
        <v/>
      </c>
      <c r="AJ339" s="8"/>
      <c r="AK339" s="8"/>
      <c r="AM339" s="8" t="str">
        <f>IF(AN339="","",VLOOKUP(AN339,引用表合并!$A:$B,2,FALSE))</f>
        <v/>
      </c>
      <c r="AN339" s="8"/>
      <c r="AO339" s="8"/>
      <c r="AQ339" s="8" t="str">
        <f>IF(AR339="","",VLOOKUP(AR339,引用表合并!$A:$B,2,FALSE))</f>
        <v/>
      </c>
      <c r="AR339" s="8"/>
      <c r="AS339" s="8"/>
      <c r="AU339" s="8" t="str">
        <f>IF(AV339="","",VLOOKUP(AV339,引用表合并!$A:$B,2,FALSE))</f>
        <v/>
      </c>
      <c r="AV339" s="8"/>
      <c r="AW339" s="8"/>
      <c r="AY339" s="8" t="str">
        <f>IF(AZ339="","",VLOOKUP(AZ339,引用表合并!$A:$B,2,FALSE))</f>
        <v/>
      </c>
      <c r="AZ339" s="8"/>
      <c r="BA339" s="8"/>
      <c r="BC339" s="8" t="str">
        <f>IF(BD339="","",VLOOKUP(BD339,引用表合并!$A:$B,2,FALSE))</f>
        <v/>
      </c>
      <c r="BD339" s="8"/>
      <c r="BF339" s="10"/>
      <c r="BG339" s="8" t="str">
        <f>IF(BH339="","",VLOOKUP(BH339,引用表合并!$A:$B,2,FALSE))</f>
        <v/>
      </c>
      <c r="BH339" s="8"/>
      <c r="BJ339" s="10"/>
      <c r="BK339" s="8" t="str">
        <f>IF(BL339="","",VLOOKUP(BL339,引用表合并!$A:$B,2,FALSE))</f>
        <v/>
      </c>
      <c r="BL339" s="8"/>
      <c r="BN339" s="10"/>
    </row>
    <row r="340" spans="1:66" x14ac:dyDescent="0.15">
      <c r="A340" s="8">
        <v>500208</v>
      </c>
      <c r="B340" s="8" t="s">
        <v>123</v>
      </c>
      <c r="C340" s="8">
        <v>0</v>
      </c>
      <c r="D340" s="8">
        <f t="shared" si="63"/>
        <v>0</v>
      </c>
      <c r="E340" s="16">
        <f t="shared" ref="E340:E403" si="64">COUNTIF(G340:FJ340,"&gt;0")/3</f>
        <v>0</v>
      </c>
      <c r="F340" s="16">
        <f t="shared" si="45"/>
        <v>0</v>
      </c>
      <c r="G340" s="8" t="str">
        <f>IF(H340="","",VLOOKUP(H340,引用表合并!$A:$B,2,FALSE))</f>
        <v/>
      </c>
      <c r="K340" s="8" t="str">
        <f>IF(L340="","",VLOOKUP(L340,引用表合并!$A:$B,2,FALSE))</f>
        <v/>
      </c>
      <c r="L340" s="8"/>
      <c r="M340" s="8"/>
      <c r="O340" s="8" t="str">
        <f>IF(P340="","",VLOOKUP(P340,引用表合并!$A:$B,2,FALSE))</f>
        <v/>
      </c>
      <c r="P340" s="8"/>
      <c r="Q340" s="8"/>
      <c r="S340" s="8" t="str">
        <f>IF(T340="","",VLOOKUP(T340,引用表合并!$A:$B,2,FALSE))</f>
        <v/>
      </c>
      <c r="T340" s="8"/>
      <c r="U340" s="8"/>
      <c r="W340" s="8" t="str">
        <f>IF(X340="","",VLOOKUP(X340,引用表合并!$A:$B,2,FALSE))</f>
        <v/>
      </c>
      <c r="X340" s="8"/>
      <c r="Y340" s="8"/>
      <c r="AA340" s="8" t="str">
        <f>IF(AB340="","",VLOOKUP(AB340,引用表合并!$A:$B,2,FALSE))</f>
        <v/>
      </c>
      <c r="AB340" s="8"/>
      <c r="AC340" s="8"/>
      <c r="AE340" s="8" t="str">
        <f>IF(AF340="","",VLOOKUP(AF340,引用表合并!$A:$B,2,FALSE))</f>
        <v/>
      </c>
      <c r="AF340" s="8"/>
      <c r="AG340" s="8"/>
      <c r="AI340" s="8" t="str">
        <f>IF(AJ340="","",VLOOKUP(AJ340,引用表合并!$A:$B,2,FALSE))</f>
        <v/>
      </c>
      <c r="AJ340" s="8"/>
      <c r="AK340" s="8"/>
      <c r="AM340" s="8" t="str">
        <f>IF(AN340="","",VLOOKUP(AN340,引用表合并!$A:$B,2,FALSE))</f>
        <v/>
      </c>
      <c r="AN340" s="8"/>
      <c r="AO340" s="8"/>
      <c r="AQ340" s="8" t="str">
        <f>IF(AR340="","",VLOOKUP(AR340,引用表合并!$A:$B,2,FALSE))</f>
        <v/>
      </c>
      <c r="AR340" s="8"/>
      <c r="AS340" s="8"/>
      <c r="AU340" s="8" t="str">
        <f>IF(AV340="","",VLOOKUP(AV340,引用表合并!$A:$B,2,FALSE))</f>
        <v/>
      </c>
      <c r="AV340" s="8"/>
      <c r="AW340" s="8"/>
      <c r="AY340" s="8" t="str">
        <f>IF(AZ340="","",VLOOKUP(AZ340,引用表合并!$A:$B,2,FALSE))</f>
        <v/>
      </c>
      <c r="AZ340" s="8"/>
      <c r="BA340" s="8"/>
      <c r="BC340" s="8" t="str">
        <f>IF(BD340="","",VLOOKUP(BD340,引用表合并!$A:$B,2,FALSE))</f>
        <v/>
      </c>
      <c r="BD340" s="8"/>
      <c r="BF340" s="10"/>
      <c r="BG340" s="8" t="str">
        <f>IF(BH340="","",VLOOKUP(BH340,引用表合并!$A:$B,2,FALSE))</f>
        <v/>
      </c>
      <c r="BH340" s="8"/>
      <c r="BJ340" s="10"/>
      <c r="BK340" s="8" t="str">
        <f>IF(BL340="","",VLOOKUP(BL340,引用表合并!$A:$B,2,FALSE))</f>
        <v/>
      </c>
      <c r="BL340" s="8"/>
      <c r="BN340" s="10"/>
    </row>
    <row r="341" spans="1:66" x14ac:dyDescent="0.15">
      <c r="A341" s="8">
        <v>500209</v>
      </c>
      <c r="B341" s="8" t="s">
        <v>123</v>
      </c>
      <c r="C341" s="8">
        <v>0</v>
      </c>
      <c r="D341" s="8">
        <f t="shared" si="63"/>
        <v>0</v>
      </c>
      <c r="E341" s="16">
        <f t="shared" si="64"/>
        <v>0</v>
      </c>
      <c r="F341" s="16">
        <f t="shared" si="45"/>
        <v>0</v>
      </c>
      <c r="G341" s="8" t="str">
        <f>IF(H341="","",VLOOKUP(H341,引用表合并!$A:$B,2,FALSE))</f>
        <v/>
      </c>
      <c r="K341" s="8" t="str">
        <f>IF(L341="","",VLOOKUP(L341,引用表合并!$A:$B,2,FALSE))</f>
        <v/>
      </c>
      <c r="L341" s="8"/>
      <c r="M341" s="8"/>
      <c r="O341" s="8" t="str">
        <f>IF(P341="","",VLOOKUP(P341,引用表合并!$A:$B,2,FALSE))</f>
        <v/>
      </c>
      <c r="P341" s="8"/>
      <c r="Q341" s="8"/>
      <c r="S341" s="8" t="str">
        <f>IF(T341="","",VLOOKUP(T341,引用表合并!$A:$B,2,FALSE))</f>
        <v/>
      </c>
      <c r="T341" s="8"/>
      <c r="U341" s="8"/>
      <c r="W341" s="8" t="str">
        <f>IF(X341="","",VLOOKUP(X341,引用表合并!$A:$B,2,FALSE))</f>
        <v/>
      </c>
      <c r="X341" s="8"/>
      <c r="Y341" s="8"/>
      <c r="AA341" s="8" t="str">
        <f>IF(AB341="","",VLOOKUP(AB341,引用表合并!$A:$B,2,FALSE))</f>
        <v/>
      </c>
      <c r="AB341" s="8"/>
      <c r="AC341" s="8"/>
      <c r="AE341" s="8" t="str">
        <f>IF(AF341="","",VLOOKUP(AF341,引用表合并!$A:$B,2,FALSE))</f>
        <v/>
      </c>
      <c r="AF341" s="8"/>
      <c r="AG341" s="8"/>
      <c r="AI341" s="8" t="str">
        <f>IF(AJ341="","",VLOOKUP(AJ341,引用表合并!$A:$B,2,FALSE))</f>
        <v/>
      </c>
      <c r="AJ341" s="8"/>
      <c r="AK341" s="8"/>
      <c r="AM341" s="8" t="str">
        <f>IF(AN341="","",VLOOKUP(AN341,引用表合并!$A:$B,2,FALSE))</f>
        <v/>
      </c>
      <c r="AN341" s="8"/>
      <c r="AO341" s="8"/>
      <c r="AQ341" s="8" t="str">
        <f>IF(AR341="","",VLOOKUP(AR341,引用表合并!$A:$B,2,FALSE))</f>
        <v/>
      </c>
      <c r="AR341" s="8"/>
      <c r="AS341" s="8"/>
      <c r="AU341" s="8" t="str">
        <f>IF(AV341="","",VLOOKUP(AV341,引用表合并!$A:$B,2,FALSE))</f>
        <v/>
      </c>
      <c r="AV341" s="8"/>
      <c r="AW341" s="8"/>
      <c r="AY341" s="8" t="str">
        <f>IF(AZ341="","",VLOOKUP(AZ341,引用表合并!$A:$B,2,FALSE))</f>
        <v/>
      </c>
      <c r="AZ341" s="8"/>
      <c r="BA341" s="8"/>
      <c r="BC341" s="8" t="str">
        <f>IF(BD341="","",VLOOKUP(BD341,引用表合并!$A:$B,2,FALSE))</f>
        <v/>
      </c>
      <c r="BD341" s="8"/>
      <c r="BF341" s="10"/>
      <c r="BG341" s="8" t="str">
        <f>IF(BH341="","",VLOOKUP(BH341,引用表合并!$A:$B,2,FALSE))</f>
        <v/>
      </c>
      <c r="BH341" s="8"/>
      <c r="BJ341" s="10"/>
      <c r="BK341" s="8" t="str">
        <f>IF(BL341="","",VLOOKUP(BL341,引用表合并!$A:$B,2,FALSE))</f>
        <v/>
      </c>
      <c r="BL341" s="8"/>
      <c r="BN341" s="10"/>
    </row>
    <row r="342" spans="1:66" x14ac:dyDescent="0.15">
      <c r="A342" s="8">
        <v>500301</v>
      </c>
      <c r="B342" s="8" t="s">
        <v>428</v>
      </c>
      <c r="C342" s="8">
        <v>1</v>
      </c>
      <c r="D342" s="8">
        <f t="shared" si="63"/>
        <v>3</v>
      </c>
      <c r="E342" s="16">
        <f t="shared" si="64"/>
        <v>3</v>
      </c>
      <c r="F342" s="16">
        <f t="shared" si="45"/>
        <v>3</v>
      </c>
      <c r="G342" s="8" t="str">
        <f>IF(H342="","",VLOOKUP(H342,引用表合并!$A:$B,2,FALSE))</f>
        <v>野性之剑</v>
      </c>
      <c r="H342" s="33">
        <v>10104</v>
      </c>
      <c r="I342" s="8">
        <v>1</v>
      </c>
      <c r="J342" s="10">
        <v>10000</v>
      </c>
      <c r="K342" s="8" t="str">
        <f>IF(L342="","",VLOOKUP(L342,引用表合并!$A:$B,2,FALSE))</f>
        <v>野性之拳</v>
      </c>
      <c r="L342" s="8">
        <v>20104</v>
      </c>
      <c r="M342" s="8">
        <v>1</v>
      </c>
      <c r="N342" s="10">
        <v>10000</v>
      </c>
      <c r="O342" s="8" t="str">
        <f>IF(P342="","",VLOOKUP(P342,引用表合并!$A:$B,2,FALSE))</f>
        <v>野性之枪</v>
      </c>
      <c r="P342" s="8">
        <v>30104</v>
      </c>
      <c r="Q342" s="8">
        <v>1</v>
      </c>
      <c r="R342" s="10">
        <v>10000</v>
      </c>
      <c r="S342" s="8" t="str">
        <f>IF(T342="","",VLOOKUP(T342,引用表合并!$A:$B,2,FALSE))</f>
        <v/>
      </c>
      <c r="T342" s="8"/>
      <c r="U342" s="8"/>
      <c r="W342" s="8" t="str">
        <f>IF(X342="","",VLOOKUP(X342,引用表合并!$A:$B,2,FALSE))</f>
        <v/>
      </c>
      <c r="X342" s="8"/>
      <c r="Y342" s="8"/>
      <c r="AA342" s="8" t="str">
        <f>IF(AB342="","",VLOOKUP(AB342,引用表合并!$A:$B,2,FALSE))</f>
        <v/>
      </c>
      <c r="AB342" s="8"/>
      <c r="AC342" s="8"/>
      <c r="AE342" s="8" t="str">
        <f>IF(AF342="","",VLOOKUP(AF342,引用表合并!$A:$B,2,FALSE))</f>
        <v/>
      </c>
      <c r="AF342" s="8"/>
      <c r="AG342" s="8"/>
      <c r="AI342" s="8" t="str">
        <f>IF(AJ342="","",VLOOKUP(AJ342,引用表合并!$A:$B,2,FALSE))</f>
        <v/>
      </c>
      <c r="AJ342" s="8"/>
      <c r="AK342" s="8"/>
      <c r="AM342" s="8" t="str">
        <f>IF(AN342="","",VLOOKUP(AN342,引用表合并!$A:$B,2,FALSE))</f>
        <v/>
      </c>
      <c r="AN342" s="8"/>
      <c r="AO342" s="8"/>
      <c r="AQ342" s="8" t="str">
        <f>IF(AR342="","",VLOOKUP(AR342,引用表合并!$A:$B,2,FALSE))</f>
        <v/>
      </c>
      <c r="AR342" s="8"/>
      <c r="AS342" s="8"/>
      <c r="AU342" s="8" t="str">
        <f>IF(AV342="","",VLOOKUP(AV342,引用表合并!$A:$B,2,FALSE))</f>
        <v/>
      </c>
      <c r="AV342" s="8"/>
      <c r="AW342" s="8"/>
      <c r="AY342" s="8" t="str">
        <f>IF(AZ342="","",VLOOKUP(AZ342,引用表合并!$A:$B,2,FALSE))</f>
        <v/>
      </c>
      <c r="AZ342" s="8"/>
      <c r="BA342" s="8"/>
      <c r="BC342" s="8" t="str">
        <f>IF(BD342="","",VLOOKUP(BD342,引用表合并!$A:$B,2,FALSE))</f>
        <v/>
      </c>
      <c r="BD342" s="8"/>
      <c r="BF342" s="10"/>
      <c r="BG342" s="8" t="str">
        <f>IF(BH342="","",VLOOKUP(BH342,引用表合并!$A:$B,2,FALSE))</f>
        <v/>
      </c>
      <c r="BH342" s="8"/>
      <c r="BJ342" s="10"/>
      <c r="BK342" s="8" t="str">
        <f>IF(BL342="","",VLOOKUP(BL342,引用表合并!$A:$B,2,FALSE))</f>
        <v/>
      </c>
      <c r="BL342" s="8"/>
      <c r="BN342" s="10"/>
    </row>
    <row r="343" spans="1:66" x14ac:dyDescent="0.15">
      <c r="A343" s="8">
        <v>500302</v>
      </c>
      <c r="B343" s="8" t="s">
        <v>428</v>
      </c>
      <c r="C343" s="8">
        <v>1</v>
      </c>
      <c r="D343" s="8">
        <f t="shared" si="63"/>
        <v>3</v>
      </c>
      <c r="E343" s="16">
        <f t="shared" si="64"/>
        <v>3</v>
      </c>
      <c r="F343" s="16">
        <f t="shared" si="45"/>
        <v>3</v>
      </c>
      <c r="G343" s="8" t="str">
        <f>IF(H343="","",VLOOKUP(H343,引用表合并!$A:$B,2,FALSE))</f>
        <v>紫云之剑</v>
      </c>
      <c r="H343" s="8">
        <v>10205</v>
      </c>
      <c r="I343" s="8">
        <v>1</v>
      </c>
      <c r="J343" s="10">
        <v>10000</v>
      </c>
      <c r="K343" s="8" t="str">
        <f>IF(L343="","",VLOOKUP(L343,引用表合并!$A:$B,2,FALSE))</f>
        <v>紫云之拳</v>
      </c>
      <c r="L343" s="8">
        <v>20205</v>
      </c>
      <c r="M343" s="8">
        <v>1</v>
      </c>
      <c r="N343" s="10">
        <v>10000</v>
      </c>
      <c r="O343" s="8" t="str">
        <f>IF(P343="","",VLOOKUP(P343,引用表合并!$A:$B,2,FALSE))</f>
        <v>紫云之枪</v>
      </c>
      <c r="P343" s="8">
        <v>30205</v>
      </c>
      <c r="Q343" s="8">
        <v>1</v>
      </c>
      <c r="R343" s="10">
        <v>10000</v>
      </c>
      <c r="S343" s="8" t="str">
        <f>IF(T343="","",VLOOKUP(T343,引用表合并!$A:$B,2,FALSE))</f>
        <v/>
      </c>
      <c r="T343" s="8"/>
      <c r="U343" s="8"/>
      <c r="W343" s="8" t="str">
        <f>IF(X343="","",VLOOKUP(X343,引用表合并!$A:$B,2,FALSE))</f>
        <v/>
      </c>
      <c r="X343" s="8"/>
      <c r="Y343" s="8"/>
      <c r="AA343" s="8" t="str">
        <f>IF(AB343="","",VLOOKUP(AB343,引用表合并!$A:$B,2,FALSE))</f>
        <v/>
      </c>
      <c r="AB343" s="8"/>
      <c r="AC343" s="8"/>
      <c r="AE343" s="8" t="str">
        <f>IF(AF343="","",VLOOKUP(AF343,引用表合并!$A:$B,2,FALSE))</f>
        <v/>
      </c>
      <c r="AF343" s="8"/>
      <c r="AG343" s="8"/>
      <c r="AI343" s="8" t="str">
        <f>IF(AJ343="","",VLOOKUP(AJ343,引用表合并!$A:$B,2,FALSE))</f>
        <v/>
      </c>
      <c r="AJ343" s="8"/>
      <c r="AK343" s="8"/>
      <c r="AM343" s="8" t="str">
        <f>IF(AN343="","",VLOOKUP(AN343,引用表合并!$A:$B,2,FALSE))</f>
        <v/>
      </c>
      <c r="AN343" s="8"/>
      <c r="AO343" s="8"/>
      <c r="AQ343" s="8" t="str">
        <f>IF(AR343="","",VLOOKUP(AR343,引用表合并!$A:$B,2,FALSE))</f>
        <v/>
      </c>
      <c r="AR343" s="8"/>
      <c r="AS343" s="8"/>
      <c r="AU343" s="8" t="str">
        <f>IF(AV343="","",VLOOKUP(AV343,引用表合并!$A:$B,2,FALSE))</f>
        <v/>
      </c>
      <c r="AV343" s="8"/>
      <c r="AW343" s="8"/>
      <c r="AY343" s="8" t="str">
        <f>IF(AZ343="","",VLOOKUP(AZ343,引用表合并!$A:$B,2,FALSE))</f>
        <v/>
      </c>
      <c r="AZ343" s="8"/>
      <c r="BA343" s="8"/>
      <c r="BC343" s="8" t="str">
        <f>IF(BD343="","",VLOOKUP(BD343,引用表合并!$A:$B,2,FALSE))</f>
        <v/>
      </c>
      <c r="BD343" s="8"/>
      <c r="BF343" s="10"/>
      <c r="BG343" s="8" t="str">
        <f>IF(BH343="","",VLOOKUP(BH343,引用表合并!$A:$B,2,FALSE))</f>
        <v/>
      </c>
      <c r="BH343" s="8"/>
      <c r="BJ343" s="10"/>
      <c r="BK343" s="8" t="str">
        <f>IF(BL343="","",VLOOKUP(BL343,引用表合并!$A:$B,2,FALSE))</f>
        <v/>
      </c>
      <c r="BL343" s="8"/>
      <c r="BN343" s="10"/>
    </row>
    <row r="344" spans="1:66" x14ac:dyDescent="0.15">
      <c r="A344" s="8">
        <v>500303</v>
      </c>
      <c r="B344" s="8" t="s">
        <v>428</v>
      </c>
      <c r="C344" s="8">
        <v>1</v>
      </c>
      <c r="D344" s="8">
        <f t="shared" si="63"/>
        <v>3</v>
      </c>
      <c r="E344" s="16">
        <f t="shared" si="64"/>
        <v>3</v>
      </c>
      <c r="F344" s="16">
        <f t="shared" si="45"/>
        <v>3</v>
      </c>
      <c r="G344" s="8" t="str">
        <f>IF(H344="","",VLOOKUP(H344,引用表合并!$A:$B,2,FALSE))</f>
        <v>鎏金之剑</v>
      </c>
      <c r="H344" s="8">
        <v>10306</v>
      </c>
      <c r="I344" s="8">
        <v>1</v>
      </c>
      <c r="J344" s="10">
        <v>10000</v>
      </c>
      <c r="K344" s="8" t="str">
        <f>IF(L344="","",VLOOKUP(L344,引用表合并!$A:$B,2,FALSE))</f>
        <v>鎏金之拳</v>
      </c>
      <c r="L344" s="8">
        <v>20306</v>
      </c>
      <c r="M344" s="8">
        <v>1</v>
      </c>
      <c r="N344" s="10">
        <v>10000</v>
      </c>
      <c r="O344" s="8" t="str">
        <f>IF(P344="","",VLOOKUP(P344,引用表合并!$A:$B,2,FALSE))</f>
        <v>鎏金之枪</v>
      </c>
      <c r="P344" s="8">
        <v>30306</v>
      </c>
      <c r="Q344" s="8">
        <v>1</v>
      </c>
      <c r="R344" s="10">
        <v>10000</v>
      </c>
      <c r="S344" s="8" t="str">
        <f>IF(T344="","",VLOOKUP(T344,引用表合并!$A:$B,2,FALSE))</f>
        <v/>
      </c>
      <c r="T344" s="8"/>
      <c r="U344" s="8"/>
      <c r="W344" s="8" t="str">
        <f>IF(X344="","",VLOOKUP(X344,引用表合并!$A:$B,2,FALSE))</f>
        <v/>
      </c>
      <c r="X344" s="8"/>
      <c r="Y344" s="8"/>
      <c r="AA344" s="8" t="str">
        <f>IF(AB344="","",VLOOKUP(AB344,引用表合并!$A:$B,2,FALSE))</f>
        <v/>
      </c>
      <c r="AB344" s="8"/>
      <c r="AC344" s="8"/>
      <c r="AE344" s="8" t="str">
        <f>IF(AF344="","",VLOOKUP(AF344,引用表合并!$A:$B,2,FALSE))</f>
        <v/>
      </c>
      <c r="AF344" s="8"/>
      <c r="AG344" s="8"/>
      <c r="AI344" s="8" t="str">
        <f>IF(AJ344="","",VLOOKUP(AJ344,引用表合并!$A:$B,2,FALSE))</f>
        <v/>
      </c>
      <c r="AJ344" s="8"/>
      <c r="AK344" s="8"/>
      <c r="AM344" s="8" t="str">
        <f>IF(AN344="","",VLOOKUP(AN344,引用表合并!$A:$B,2,FALSE))</f>
        <v/>
      </c>
      <c r="AN344" s="8"/>
      <c r="AO344" s="8"/>
      <c r="AQ344" s="8" t="str">
        <f>IF(AR344="","",VLOOKUP(AR344,引用表合并!$A:$B,2,FALSE))</f>
        <v/>
      </c>
      <c r="AR344" s="8"/>
      <c r="AS344" s="8"/>
      <c r="AU344" s="8" t="str">
        <f>IF(AV344="","",VLOOKUP(AV344,引用表合并!$A:$B,2,FALSE))</f>
        <v/>
      </c>
      <c r="AV344" s="8"/>
      <c r="AW344" s="8"/>
      <c r="AY344" s="8" t="str">
        <f>IF(AZ344="","",VLOOKUP(AZ344,引用表合并!$A:$B,2,FALSE))</f>
        <v/>
      </c>
      <c r="AZ344" s="8"/>
      <c r="BA344" s="8"/>
      <c r="BC344" s="8" t="str">
        <f>IF(BD344="","",VLOOKUP(BD344,引用表合并!$A:$B,2,FALSE))</f>
        <v/>
      </c>
      <c r="BD344" s="8"/>
      <c r="BF344" s="10"/>
      <c r="BG344" s="8" t="str">
        <f>IF(BH344="","",VLOOKUP(BH344,引用表合并!$A:$B,2,FALSE))</f>
        <v/>
      </c>
      <c r="BH344" s="8"/>
      <c r="BJ344" s="10"/>
      <c r="BK344" s="8" t="str">
        <f>IF(BL344="","",VLOOKUP(BL344,引用表合并!$A:$B,2,FALSE))</f>
        <v/>
      </c>
      <c r="BL344" s="8"/>
      <c r="BN344" s="10"/>
    </row>
    <row r="345" spans="1:66" x14ac:dyDescent="0.15">
      <c r="A345" s="8">
        <v>500304</v>
      </c>
      <c r="B345" s="8" t="s">
        <v>124</v>
      </c>
      <c r="C345" s="8">
        <v>0</v>
      </c>
      <c r="D345" s="8">
        <f t="shared" si="63"/>
        <v>0</v>
      </c>
      <c r="E345" s="16">
        <f t="shared" si="64"/>
        <v>0</v>
      </c>
      <c r="F345" s="16">
        <f t="shared" si="45"/>
        <v>0</v>
      </c>
      <c r="G345" s="8" t="str">
        <f>IF(H345="","",VLOOKUP(H345,引用表合并!$A:$B,2,FALSE))</f>
        <v/>
      </c>
      <c r="K345" s="8" t="str">
        <f>IF(L345="","",VLOOKUP(L345,引用表合并!$A:$B,2,FALSE))</f>
        <v/>
      </c>
      <c r="L345" s="8"/>
      <c r="M345" s="8"/>
      <c r="O345" s="8" t="str">
        <f>IF(P345="","",VLOOKUP(P345,引用表合并!$A:$B,2,FALSE))</f>
        <v/>
      </c>
      <c r="P345" s="8"/>
      <c r="Q345" s="8"/>
      <c r="S345" s="8" t="str">
        <f>IF(T345="","",VLOOKUP(T345,引用表合并!$A:$B,2,FALSE))</f>
        <v/>
      </c>
      <c r="T345" s="8"/>
      <c r="U345" s="8"/>
      <c r="W345" s="8" t="str">
        <f>IF(X345="","",VLOOKUP(X345,引用表合并!$A:$B,2,FALSE))</f>
        <v/>
      </c>
      <c r="X345" s="8"/>
      <c r="Y345" s="8"/>
      <c r="AA345" s="8" t="str">
        <f>IF(AB345="","",VLOOKUP(AB345,引用表合并!$A:$B,2,FALSE))</f>
        <v/>
      </c>
      <c r="AB345" s="8"/>
      <c r="AC345" s="8"/>
      <c r="AE345" s="8" t="str">
        <f>IF(AF345="","",VLOOKUP(AF345,引用表合并!$A:$B,2,FALSE))</f>
        <v/>
      </c>
      <c r="AF345" s="8"/>
      <c r="AG345" s="8"/>
      <c r="AI345" s="8" t="str">
        <f>IF(AJ345="","",VLOOKUP(AJ345,引用表合并!$A:$B,2,FALSE))</f>
        <v/>
      </c>
      <c r="AJ345" s="8"/>
      <c r="AK345" s="8"/>
      <c r="AM345" s="8" t="str">
        <f>IF(AN345="","",VLOOKUP(AN345,引用表合并!$A:$B,2,FALSE))</f>
        <v/>
      </c>
      <c r="AN345" s="8"/>
      <c r="AO345" s="8"/>
      <c r="AQ345" s="8" t="str">
        <f>IF(AR345="","",VLOOKUP(AR345,引用表合并!$A:$B,2,FALSE))</f>
        <v/>
      </c>
      <c r="AR345" s="8"/>
      <c r="AS345" s="8"/>
      <c r="AU345" s="8" t="str">
        <f>IF(AV345="","",VLOOKUP(AV345,引用表合并!$A:$B,2,FALSE))</f>
        <v/>
      </c>
      <c r="AV345" s="8"/>
      <c r="AW345" s="8"/>
      <c r="AY345" s="8" t="str">
        <f>IF(AZ345="","",VLOOKUP(AZ345,引用表合并!$A:$B,2,FALSE))</f>
        <v/>
      </c>
      <c r="AZ345" s="8"/>
      <c r="BA345" s="8"/>
      <c r="BC345" s="8" t="str">
        <f>IF(BD345="","",VLOOKUP(BD345,引用表合并!$A:$B,2,FALSE))</f>
        <v/>
      </c>
      <c r="BD345" s="8"/>
      <c r="BF345" s="10"/>
      <c r="BG345" s="8" t="str">
        <f>IF(BH345="","",VLOOKUP(BH345,引用表合并!$A:$B,2,FALSE))</f>
        <v/>
      </c>
      <c r="BH345" s="8"/>
      <c r="BJ345" s="10"/>
      <c r="BK345" s="8" t="str">
        <f>IF(BL345="","",VLOOKUP(BL345,引用表合并!$A:$B,2,FALSE))</f>
        <v/>
      </c>
      <c r="BL345" s="8"/>
      <c r="BN345" s="10"/>
    </row>
    <row r="346" spans="1:66" x14ac:dyDescent="0.15">
      <c r="A346" s="8">
        <v>500305</v>
      </c>
      <c r="B346" s="8" t="s">
        <v>124</v>
      </c>
      <c r="C346" s="8">
        <v>0</v>
      </c>
      <c r="D346" s="8">
        <f t="shared" si="63"/>
        <v>0</v>
      </c>
      <c r="E346" s="16">
        <f t="shared" si="64"/>
        <v>0</v>
      </c>
      <c r="F346" s="16">
        <f t="shared" si="45"/>
        <v>0</v>
      </c>
      <c r="G346" s="8" t="str">
        <f>IF(H346="","",VLOOKUP(H346,引用表合并!$A:$B,2,FALSE))</f>
        <v/>
      </c>
      <c r="K346" s="8" t="str">
        <f>IF(L346="","",VLOOKUP(L346,引用表合并!$A:$B,2,FALSE))</f>
        <v/>
      </c>
      <c r="L346" s="8"/>
      <c r="M346" s="8"/>
      <c r="O346" s="8" t="str">
        <f>IF(P346="","",VLOOKUP(P346,引用表合并!$A:$B,2,FALSE))</f>
        <v/>
      </c>
      <c r="P346" s="8"/>
      <c r="Q346" s="8"/>
      <c r="S346" s="8" t="str">
        <f>IF(T346="","",VLOOKUP(T346,引用表合并!$A:$B,2,FALSE))</f>
        <v/>
      </c>
      <c r="T346" s="8"/>
      <c r="U346" s="8"/>
      <c r="W346" s="8" t="str">
        <f>IF(X346="","",VLOOKUP(X346,引用表合并!$A:$B,2,FALSE))</f>
        <v/>
      </c>
      <c r="X346" s="8"/>
      <c r="Y346" s="8"/>
      <c r="AA346" s="8" t="str">
        <f>IF(AB346="","",VLOOKUP(AB346,引用表合并!$A:$B,2,FALSE))</f>
        <v/>
      </c>
      <c r="AB346" s="8"/>
      <c r="AC346" s="8"/>
      <c r="AE346" s="8" t="str">
        <f>IF(AF346="","",VLOOKUP(AF346,引用表合并!$A:$B,2,FALSE))</f>
        <v/>
      </c>
      <c r="AF346" s="8"/>
      <c r="AG346" s="8"/>
      <c r="AI346" s="8" t="str">
        <f>IF(AJ346="","",VLOOKUP(AJ346,引用表合并!$A:$B,2,FALSE))</f>
        <v/>
      </c>
      <c r="AJ346" s="8"/>
      <c r="AK346" s="8"/>
      <c r="AM346" s="8" t="str">
        <f>IF(AN346="","",VLOOKUP(AN346,引用表合并!$A:$B,2,FALSE))</f>
        <v/>
      </c>
      <c r="AN346" s="8"/>
      <c r="AO346" s="8"/>
      <c r="AQ346" s="8" t="str">
        <f>IF(AR346="","",VLOOKUP(AR346,引用表合并!$A:$B,2,FALSE))</f>
        <v/>
      </c>
      <c r="AR346" s="8"/>
      <c r="AS346" s="8"/>
      <c r="AU346" s="8" t="str">
        <f>IF(AV346="","",VLOOKUP(AV346,引用表合并!$A:$B,2,FALSE))</f>
        <v/>
      </c>
      <c r="AV346" s="8"/>
      <c r="AW346" s="8"/>
      <c r="AY346" s="8" t="str">
        <f>IF(AZ346="","",VLOOKUP(AZ346,引用表合并!$A:$B,2,FALSE))</f>
        <v/>
      </c>
      <c r="AZ346" s="8"/>
      <c r="BA346" s="8"/>
      <c r="BC346" s="8" t="str">
        <f>IF(BD346="","",VLOOKUP(BD346,引用表合并!$A:$B,2,FALSE))</f>
        <v/>
      </c>
      <c r="BD346" s="8"/>
      <c r="BF346" s="10"/>
      <c r="BG346" s="8" t="str">
        <f>IF(BH346="","",VLOOKUP(BH346,引用表合并!$A:$B,2,FALSE))</f>
        <v/>
      </c>
      <c r="BH346" s="8"/>
      <c r="BJ346" s="10"/>
      <c r="BK346" s="8" t="str">
        <f>IF(BL346="","",VLOOKUP(BL346,引用表合并!$A:$B,2,FALSE))</f>
        <v/>
      </c>
      <c r="BL346" s="8"/>
      <c r="BN346" s="10"/>
    </row>
    <row r="347" spans="1:66" x14ac:dyDescent="0.15">
      <c r="A347" s="8">
        <v>500306</v>
      </c>
      <c r="B347" s="8" t="s">
        <v>124</v>
      </c>
      <c r="C347" s="8">
        <v>0</v>
      </c>
      <c r="D347" s="8">
        <f t="shared" si="63"/>
        <v>0</v>
      </c>
      <c r="E347" s="16">
        <f t="shared" si="64"/>
        <v>0</v>
      </c>
      <c r="F347" s="16">
        <f t="shared" si="45"/>
        <v>0</v>
      </c>
      <c r="G347" s="8" t="str">
        <f>IF(H347="","",VLOOKUP(H347,引用表合并!$A:$B,2,FALSE))</f>
        <v/>
      </c>
      <c r="K347" s="8" t="str">
        <f>IF(L347="","",VLOOKUP(L347,引用表合并!$A:$B,2,FALSE))</f>
        <v/>
      </c>
      <c r="L347" s="8"/>
      <c r="M347" s="8"/>
      <c r="O347" s="8" t="str">
        <f>IF(P347="","",VLOOKUP(P347,引用表合并!$A:$B,2,FALSE))</f>
        <v/>
      </c>
      <c r="P347" s="8"/>
      <c r="Q347" s="8"/>
      <c r="S347" s="8" t="str">
        <f>IF(T347="","",VLOOKUP(T347,引用表合并!$A:$B,2,FALSE))</f>
        <v/>
      </c>
      <c r="T347" s="8"/>
      <c r="U347" s="8"/>
      <c r="W347" s="8" t="str">
        <f>IF(X347="","",VLOOKUP(X347,引用表合并!$A:$B,2,FALSE))</f>
        <v/>
      </c>
      <c r="X347" s="8"/>
      <c r="Y347" s="8"/>
      <c r="AA347" s="8" t="str">
        <f>IF(AB347="","",VLOOKUP(AB347,引用表合并!$A:$B,2,FALSE))</f>
        <v/>
      </c>
      <c r="AB347" s="8"/>
      <c r="AC347" s="8"/>
      <c r="AE347" s="8" t="str">
        <f>IF(AF347="","",VLOOKUP(AF347,引用表合并!$A:$B,2,FALSE))</f>
        <v/>
      </c>
      <c r="AF347" s="8"/>
      <c r="AG347" s="8"/>
      <c r="AI347" s="8" t="str">
        <f>IF(AJ347="","",VLOOKUP(AJ347,引用表合并!$A:$B,2,FALSE))</f>
        <v/>
      </c>
      <c r="AJ347" s="8"/>
      <c r="AK347" s="8"/>
      <c r="AM347" s="8" t="str">
        <f>IF(AN347="","",VLOOKUP(AN347,引用表合并!$A:$B,2,FALSE))</f>
        <v/>
      </c>
      <c r="AN347" s="8"/>
      <c r="AO347" s="8"/>
      <c r="AQ347" s="8" t="str">
        <f>IF(AR347="","",VLOOKUP(AR347,引用表合并!$A:$B,2,FALSE))</f>
        <v/>
      </c>
      <c r="AR347" s="8"/>
      <c r="AS347" s="8"/>
      <c r="AU347" s="8" t="str">
        <f>IF(AV347="","",VLOOKUP(AV347,引用表合并!$A:$B,2,FALSE))</f>
        <v/>
      </c>
      <c r="AV347" s="8"/>
      <c r="AW347" s="8"/>
      <c r="AY347" s="8" t="str">
        <f>IF(AZ347="","",VLOOKUP(AZ347,引用表合并!$A:$B,2,FALSE))</f>
        <v/>
      </c>
      <c r="AZ347" s="8"/>
      <c r="BA347" s="8"/>
      <c r="BC347" s="8" t="str">
        <f>IF(BD347="","",VLOOKUP(BD347,引用表合并!$A:$B,2,FALSE))</f>
        <v/>
      </c>
      <c r="BD347" s="8"/>
      <c r="BF347" s="10"/>
      <c r="BG347" s="8" t="str">
        <f>IF(BH347="","",VLOOKUP(BH347,引用表合并!$A:$B,2,FALSE))</f>
        <v/>
      </c>
      <c r="BH347" s="8"/>
      <c r="BJ347" s="10"/>
      <c r="BK347" s="8" t="str">
        <f>IF(BL347="","",VLOOKUP(BL347,引用表合并!$A:$B,2,FALSE))</f>
        <v/>
      </c>
      <c r="BL347" s="8"/>
      <c r="BN347" s="10"/>
    </row>
    <row r="348" spans="1:66" x14ac:dyDescent="0.15">
      <c r="A348" s="8">
        <v>500307</v>
      </c>
      <c r="B348" s="8" t="s">
        <v>124</v>
      </c>
      <c r="C348" s="8">
        <v>0</v>
      </c>
      <c r="D348" s="8">
        <f t="shared" si="63"/>
        <v>0</v>
      </c>
      <c r="E348" s="16">
        <f t="shared" si="64"/>
        <v>0</v>
      </c>
      <c r="F348" s="16">
        <f t="shared" si="45"/>
        <v>0</v>
      </c>
      <c r="G348" s="8" t="str">
        <f>IF(H348="","",VLOOKUP(H348,引用表合并!$A:$B,2,FALSE))</f>
        <v/>
      </c>
      <c r="K348" s="8" t="str">
        <f>IF(L348="","",VLOOKUP(L348,引用表合并!$A:$B,2,FALSE))</f>
        <v/>
      </c>
      <c r="L348" s="8"/>
      <c r="M348" s="8"/>
      <c r="O348" s="8" t="str">
        <f>IF(P348="","",VLOOKUP(P348,引用表合并!$A:$B,2,FALSE))</f>
        <v/>
      </c>
      <c r="P348" s="8"/>
      <c r="Q348" s="8"/>
      <c r="S348" s="8" t="str">
        <f>IF(T348="","",VLOOKUP(T348,引用表合并!$A:$B,2,FALSE))</f>
        <v/>
      </c>
      <c r="T348" s="8"/>
      <c r="U348" s="8"/>
      <c r="W348" s="8" t="str">
        <f>IF(X348="","",VLOOKUP(X348,引用表合并!$A:$B,2,FALSE))</f>
        <v/>
      </c>
      <c r="X348" s="8"/>
      <c r="Y348" s="8"/>
      <c r="AA348" s="8" t="str">
        <f>IF(AB348="","",VLOOKUP(AB348,引用表合并!$A:$B,2,FALSE))</f>
        <v/>
      </c>
      <c r="AB348" s="8"/>
      <c r="AC348" s="8"/>
      <c r="AE348" s="8" t="str">
        <f>IF(AF348="","",VLOOKUP(AF348,引用表合并!$A:$B,2,FALSE))</f>
        <v/>
      </c>
      <c r="AF348" s="8"/>
      <c r="AG348" s="8"/>
      <c r="AI348" s="8" t="str">
        <f>IF(AJ348="","",VLOOKUP(AJ348,引用表合并!$A:$B,2,FALSE))</f>
        <v/>
      </c>
      <c r="AJ348" s="8"/>
      <c r="AK348" s="8"/>
      <c r="AM348" s="8" t="str">
        <f>IF(AN348="","",VLOOKUP(AN348,引用表合并!$A:$B,2,FALSE))</f>
        <v/>
      </c>
      <c r="AN348" s="8"/>
      <c r="AO348" s="8"/>
      <c r="AQ348" s="8" t="str">
        <f>IF(AR348="","",VLOOKUP(AR348,引用表合并!$A:$B,2,FALSE))</f>
        <v/>
      </c>
      <c r="AR348" s="8"/>
      <c r="AS348" s="8"/>
      <c r="AU348" s="8" t="str">
        <f>IF(AV348="","",VLOOKUP(AV348,引用表合并!$A:$B,2,FALSE))</f>
        <v/>
      </c>
      <c r="AV348" s="8"/>
      <c r="AW348" s="8"/>
      <c r="AY348" s="8" t="str">
        <f>IF(AZ348="","",VLOOKUP(AZ348,引用表合并!$A:$B,2,FALSE))</f>
        <v/>
      </c>
      <c r="AZ348" s="8"/>
      <c r="BA348" s="8"/>
      <c r="BC348" s="8" t="str">
        <f>IF(BD348="","",VLOOKUP(BD348,引用表合并!$A:$B,2,FALSE))</f>
        <v/>
      </c>
      <c r="BD348" s="8"/>
      <c r="BF348" s="10"/>
      <c r="BG348" s="8" t="str">
        <f>IF(BH348="","",VLOOKUP(BH348,引用表合并!$A:$B,2,FALSE))</f>
        <v/>
      </c>
      <c r="BH348" s="8"/>
      <c r="BJ348" s="10"/>
      <c r="BK348" s="8" t="str">
        <f>IF(BL348="","",VLOOKUP(BL348,引用表合并!$A:$B,2,FALSE))</f>
        <v/>
      </c>
      <c r="BL348" s="8"/>
      <c r="BN348" s="10"/>
    </row>
    <row r="349" spans="1:66" x14ac:dyDescent="0.15">
      <c r="A349" s="8">
        <v>500308</v>
      </c>
      <c r="B349" s="8" t="s">
        <v>124</v>
      </c>
      <c r="C349" s="8">
        <v>0</v>
      </c>
      <c r="D349" s="8">
        <f t="shared" si="63"/>
        <v>0</v>
      </c>
      <c r="E349" s="16">
        <f t="shared" si="64"/>
        <v>0</v>
      </c>
      <c r="F349" s="16">
        <f t="shared" si="45"/>
        <v>0</v>
      </c>
      <c r="G349" s="8" t="str">
        <f>IF(H349="","",VLOOKUP(H349,引用表合并!$A:$B,2,FALSE))</f>
        <v/>
      </c>
      <c r="K349" s="8" t="str">
        <f>IF(L349="","",VLOOKUP(L349,引用表合并!$A:$B,2,FALSE))</f>
        <v/>
      </c>
      <c r="L349" s="8"/>
      <c r="M349" s="8"/>
      <c r="O349" s="8" t="str">
        <f>IF(P349="","",VLOOKUP(P349,引用表合并!$A:$B,2,FALSE))</f>
        <v/>
      </c>
      <c r="P349" s="8"/>
      <c r="Q349" s="8"/>
      <c r="S349" s="8" t="str">
        <f>IF(T349="","",VLOOKUP(T349,引用表合并!$A:$B,2,FALSE))</f>
        <v/>
      </c>
      <c r="T349" s="8"/>
      <c r="U349" s="8"/>
      <c r="W349" s="8" t="str">
        <f>IF(X349="","",VLOOKUP(X349,引用表合并!$A:$B,2,FALSE))</f>
        <v/>
      </c>
      <c r="X349" s="8"/>
      <c r="Y349" s="8"/>
      <c r="AA349" s="8" t="str">
        <f>IF(AB349="","",VLOOKUP(AB349,引用表合并!$A:$B,2,FALSE))</f>
        <v/>
      </c>
      <c r="AB349" s="8"/>
      <c r="AC349" s="8"/>
      <c r="AE349" s="8" t="str">
        <f>IF(AF349="","",VLOOKUP(AF349,引用表合并!$A:$B,2,FALSE))</f>
        <v/>
      </c>
      <c r="AF349" s="8"/>
      <c r="AG349" s="8"/>
      <c r="AI349" s="8" t="str">
        <f>IF(AJ349="","",VLOOKUP(AJ349,引用表合并!$A:$B,2,FALSE))</f>
        <v/>
      </c>
      <c r="AJ349" s="8"/>
      <c r="AK349" s="8"/>
      <c r="AM349" s="8" t="str">
        <f>IF(AN349="","",VLOOKUP(AN349,引用表合并!$A:$B,2,FALSE))</f>
        <v/>
      </c>
      <c r="AN349" s="8"/>
      <c r="AO349" s="8"/>
      <c r="AQ349" s="8" t="str">
        <f>IF(AR349="","",VLOOKUP(AR349,引用表合并!$A:$B,2,FALSE))</f>
        <v/>
      </c>
      <c r="AR349" s="8"/>
      <c r="AS349" s="8"/>
      <c r="AU349" s="8" t="str">
        <f>IF(AV349="","",VLOOKUP(AV349,引用表合并!$A:$B,2,FALSE))</f>
        <v/>
      </c>
      <c r="AV349" s="8"/>
      <c r="AW349" s="8"/>
      <c r="AY349" s="8" t="str">
        <f>IF(AZ349="","",VLOOKUP(AZ349,引用表合并!$A:$B,2,FALSE))</f>
        <v/>
      </c>
      <c r="AZ349" s="8"/>
      <c r="BA349" s="8"/>
      <c r="BC349" s="8" t="str">
        <f>IF(BD349="","",VLOOKUP(BD349,引用表合并!$A:$B,2,FALSE))</f>
        <v/>
      </c>
      <c r="BD349" s="8"/>
      <c r="BF349" s="10"/>
      <c r="BG349" s="8" t="str">
        <f>IF(BH349="","",VLOOKUP(BH349,引用表合并!$A:$B,2,FALSE))</f>
        <v/>
      </c>
      <c r="BH349" s="8"/>
      <c r="BJ349" s="10"/>
      <c r="BK349" s="8" t="str">
        <f>IF(BL349="","",VLOOKUP(BL349,引用表合并!$A:$B,2,FALSE))</f>
        <v/>
      </c>
      <c r="BL349" s="8"/>
      <c r="BN349" s="10"/>
    </row>
    <row r="350" spans="1:66" x14ac:dyDescent="0.15">
      <c r="A350" s="8">
        <v>500401</v>
      </c>
      <c r="B350" s="8" t="s">
        <v>125</v>
      </c>
      <c r="C350" s="8">
        <v>0</v>
      </c>
      <c r="D350" s="8">
        <f t="shared" si="63"/>
        <v>0</v>
      </c>
      <c r="E350" s="16">
        <f t="shared" si="64"/>
        <v>0</v>
      </c>
      <c r="F350" s="16">
        <f t="shared" si="45"/>
        <v>0</v>
      </c>
      <c r="G350" s="8" t="str">
        <f>IF(H350="","",VLOOKUP(H350,引用表合并!$A:$B,2,FALSE))</f>
        <v/>
      </c>
      <c r="K350" s="8" t="str">
        <f>IF(L350="","",VLOOKUP(L350,引用表合并!$A:$B,2,FALSE))</f>
        <v/>
      </c>
      <c r="L350" s="8"/>
      <c r="M350" s="8"/>
      <c r="O350" s="8" t="str">
        <f>IF(P350="","",VLOOKUP(P350,引用表合并!$A:$B,2,FALSE))</f>
        <v/>
      </c>
      <c r="P350" s="8"/>
      <c r="Q350" s="8"/>
      <c r="S350" s="8" t="str">
        <f>IF(T350="","",VLOOKUP(T350,引用表合并!$A:$B,2,FALSE))</f>
        <v/>
      </c>
      <c r="T350" s="8"/>
      <c r="U350" s="8"/>
      <c r="W350" s="8" t="str">
        <f>IF(X350="","",VLOOKUP(X350,引用表合并!$A:$B,2,FALSE))</f>
        <v/>
      </c>
      <c r="X350" s="8"/>
      <c r="Y350" s="8"/>
      <c r="AA350" s="8" t="str">
        <f>IF(AB350="","",VLOOKUP(AB350,引用表合并!$A:$B,2,FALSE))</f>
        <v/>
      </c>
      <c r="AB350" s="8"/>
      <c r="AC350" s="8"/>
      <c r="AE350" s="8" t="str">
        <f>IF(AF350="","",VLOOKUP(AF350,引用表合并!$A:$B,2,FALSE))</f>
        <v/>
      </c>
      <c r="AF350" s="8"/>
      <c r="AG350" s="8"/>
      <c r="AI350" s="8" t="str">
        <f>IF(AJ350="","",VLOOKUP(AJ350,引用表合并!$A:$B,2,FALSE))</f>
        <v/>
      </c>
      <c r="AJ350" s="8"/>
      <c r="AK350" s="8"/>
      <c r="AM350" s="8" t="str">
        <f>IF(AN350="","",VLOOKUP(AN350,引用表合并!$A:$B,2,FALSE))</f>
        <v/>
      </c>
      <c r="AN350" s="8"/>
      <c r="AO350" s="8"/>
      <c r="AQ350" s="8" t="str">
        <f>IF(AR350="","",VLOOKUP(AR350,引用表合并!$A:$B,2,FALSE))</f>
        <v/>
      </c>
      <c r="AR350" s="8"/>
      <c r="AS350" s="8"/>
      <c r="AU350" s="8" t="str">
        <f>IF(AV350="","",VLOOKUP(AV350,引用表合并!$A:$B,2,FALSE))</f>
        <v/>
      </c>
      <c r="AV350" s="8"/>
      <c r="AW350" s="8"/>
      <c r="AY350" s="8" t="str">
        <f>IF(AZ350="","",VLOOKUP(AZ350,引用表合并!$A:$B,2,FALSE))</f>
        <v/>
      </c>
      <c r="AZ350" s="8"/>
      <c r="BA350" s="8"/>
      <c r="BC350" s="8" t="str">
        <f>IF(BD350="","",VLOOKUP(BD350,引用表合并!$A:$B,2,FALSE))</f>
        <v/>
      </c>
      <c r="BD350" s="8"/>
      <c r="BF350" s="10"/>
      <c r="BG350" s="8" t="str">
        <f>IF(BH350="","",VLOOKUP(BH350,引用表合并!$A:$B,2,FALSE))</f>
        <v/>
      </c>
      <c r="BH350" s="8"/>
      <c r="BJ350" s="10"/>
      <c r="BK350" s="8" t="str">
        <f>IF(BL350="","",VLOOKUP(BL350,引用表合并!$A:$B,2,FALSE))</f>
        <v/>
      </c>
      <c r="BL350" s="8"/>
      <c r="BN350" s="10"/>
    </row>
    <row r="351" spans="1:66" x14ac:dyDescent="0.15">
      <c r="A351" s="8">
        <v>500402</v>
      </c>
      <c r="B351" s="8" t="s">
        <v>125</v>
      </c>
      <c r="C351" s="8">
        <v>0</v>
      </c>
      <c r="D351" s="8">
        <f t="shared" si="63"/>
        <v>0</v>
      </c>
      <c r="E351" s="16">
        <f t="shared" si="64"/>
        <v>0</v>
      </c>
      <c r="F351" s="16">
        <f t="shared" si="45"/>
        <v>0</v>
      </c>
      <c r="G351" s="8" t="str">
        <f>IF(H351="","",VLOOKUP(H351,引用表合并!$A:$B,2,FALSE))</f>
        <v/>
      </c>
      <c r="K351" s="8" t="str">
        <f>IF(L351="","",VLOOKUP(L351,引用表合并!$A:$B,2,FALSE))</f>
        <v/>
      </c>
      <c r="L351" s="8"/>
      <c r="M351" s="8"/>
      <c r="O351" s="8" t="str">
        <f>IF(P351="","",VLOOKUP(P351,引用表合并!$A:$B,2,FALSE))</f>
        <v/>
      </c>
      <c r="P351" s="8"/>
      <c r="Q351" s="8"/>
      <c r="S351" s="8" t="str">
        <f>IF(T351="","",VLOOKUP(T351,引用表合并!$A:$B,2,FALSE))</f>
        <v/>
      </c>
      <c r="T351" s="8"/>
      <c r="U351" s="8"/>
      <c r="W351" s="8" t="str">
        <f>IF(X351="","",VLOOKUP(X351,引用表合并!$A:$B,2,FALSE))</f>
        <v/>
      </c>
      <c r="X351" s="8"/>
      <c r="Y351" s="8"/>
      <c r="AA351" s="8" t="str">
        <f>IF(AB351="","",VLOOKUP(AB351,引用表合并!$A:$B,2,FALSE))</f>
        <v/>
      </c>
      <c r="AB351" s="8"/>
      <c r="AC351" s="8"/>
      <c r="AE351" s="8" t="str">
        <f>IF(AF351="","",VLOOKUP(AF351,引用表合并!$A:$B,2,FALSE))</f>
        <v/>
      </c>
      <c r="AF351" s="8"/>
      <c r="AG351" s="8"/>
      <c r="AI351" s="8" t="str">
        <f>IF(AJ351="","",VLOOKUP(AJ351,引用表合并!$A:$B,2,FALSE))</f>
        <v/>
      </c>
      <c r="AJ351" s="8"/>
      <c r="AK351" s="8"/>
      <c r="AM351" s="8" t="str">
        <f>IF(AN351="","",VLOOKUP(AN351,引用表合并!$A:$B,2,FALSE))</f>
        <v/>
      </c>
      <c r="AN351" s="8"/>
      <c r="AO351" s="8"/>
      <c r="AQ351" s="8" t="str">
        <f>IF(AR351="","",VLOOKUP(AR351,引用表合并!$A:$B,2,FALSE))</f>
        <v/>
      </c>
      <c r="AR351" s="8"/>
      <c r="AS351" s="8"/>
      <c r="AU351" s="8" t="str">
        <f>IF(AV351="","",VLOOKUP(AV351,引用表合并!$A:$B,2,FALSE))</f>
        <v/>
      </c>
      <c r="AV351" s="8"/>
      <c r="AW351" s="8"/>
      <c r="AY351" s="8" t="str">
        <f>IF(AZ351="","",VLOOKUP(AZ351,引用表合并!$A:$B,2,FALSE))</f>
        <v/>
      </c>
      <c r="AZ351" s="8"/>
      <c r="BA351" s="8"/>
      <c r="BC351" s="8" t="str">
        <f>IF(BD351="","",VLOOKUP(BD351,引用表合并!$A:$B,2,FALSE))</f>
        <v/>
      </c>
      <c r="BD351" s="8"/>
      <c r="BF351" s="10"/>
      <c r="BG351" s="8" t="str">
        <f>IF(BH351="","",VLOOKUP(BH351,引用表合并!$A:$B,2,FALSE))</f>
        <v/>
      </c>
      <c r="BH351" s="8"/>
      <c r="BJ351" s="10"/>
      <c r="BK351" s="8" t="str">
        <f>IF(BL351="","",VLOOKUP(BL351,引用表合并!$A:$B,2,FALSE))</f>
        <v/>
      </c>
      <c r="BL351" s="8"/>
      <c r="BN351" s="10"/>
    </row>
    <row r="352" spans="1:66" x14ac:dyDescent="0.15">
      <c r="A352" s="8">
        <v>500403</v>
      </c>
      <c r="B352" s="8" t="s">
        <v>125</v>
      </c>
      <c r="C352" s="8">
        <v>0</v>
      </c>
      <c r="D352" s="8">
        <f t="shared" si="63"/>
        <v>0</v>
      </c>
      <c r="E352" s="16">
        <f t="shared" si="64"/>
        <v>0</v>
      </c>
      <c r="F352" s="16">
        <f t="shared" si="45"/>
        <v>0</v>
      </c>
      <c r="G352" s="8" t="str">
        <f>IF(H352="","",VLOOKUP(H352,引用表合并!$A:$B,2,FALSE))</f>
        <v/>
      </c>
      <c r="K352" s="8" t="str">
        <f>IF(L352="","",VLOOKUP(L352,引用表合并!$A:$B,2,FALSE))</f>
        <v/>
      </c>
      <c r="L352" s="8"/>
      <c r="M352" s="8"/>
      <c r="O352" s="8" t="str">
        <f>IF(P352="","",VLOOKUP(P352,引用表合并!$A:$B,2,FALSE))</f>
        <v/>
      </c>
      <c r="P352" s="8"/>
      <c r="Q352" s="8"/>
      <c r="S352" s="8" t="str">
        <f>IF(T352="","",VLOOKUP(T352,引用表合并!$A:$B,2,FALSE))</f>
        <v/>
      </c>
      <c r="T352" s="8"/>
      <c r="U352" s="8"/>
      <c r="W352" s="8" t="str">
        <f>IF(X352="","",VLOOKUP(X352,引用表合并!$A:$B,2,FALSE))</f>
        <v/>
      </c>
      <c r="X352" s="8"/>
      <c r="Y352" s="8"/>
      <c r="AA352" s="8" t="str">
        <f>IF(AB352="","",VLOOKUP(AB352,引用表合并!$A:$B,2,FALSE))</f>
        <v/>
      </c>
      <c r="AB352" s="8"/>
      <c r="AC352" s="8"/>
      <c r="AE352" s="8" t="str">
        <f>IF(AF352="","",VLOOKUP(AF352,引用表合并!$A:$B,2,FALSE))</f>
        <v/>
      </c>
      <c r="AF352" s="8"/>
      <c r="AG352" s="8"/>
      <c r="AI352" s="8" t="str">
        <f>IF(AJ352="","",VLOOKUP(AJ352,引用表合并!$A:$B,2,FALSE))</f>
        <v/>
      </c>
      <c r="AJ352" s="8"/>
      <c r="AK352" s="8"/>
      <c r="AM352" s="8" t="str">
        <f>IF(AN352="","",VLOOKUP(AN352,引用表合并!$A:$B,2,FALSE))</f>
        <v/>
      </c>
      <c r="AN352" s="8"/>
      <c r="AO352" s="8"/>
      <c r="AQ352" s="8" t="str">
        <f>IF(AR352="","",VLOOKUP(AR352,引用表合并!$A:$B,2,FALSE))</f>
        <v/>
      </c>
      <c r="AR352" s="8"/>
      <c r="AS352" s="8"/>
      <c r="AU352" s="8" t="str">
        <f>IF(AV352="","",VLOOKUP(AV352,引用表合并!$A:$B,2,FALSE))</f>
        <v/>
      </c>
      <c r="AV352" s="8"/>
      <c r="AW352" s="8"/>
      <c r="AY352" s="8" t="str">
        <f>IF(AZ352="","",VLOOKUP(AZ352,引用表合并!$A:$B,2,FALSE))</f>
        <v/>
      </c>
      <c r="AZ352" s="8"/>
      <c r="BA352" s="8"/>
      <c r="BC352" s="8" t="str">
        <f>IF(BD352="","",VLOOKUP(BD352,引用表合并!$A:$B,2,FALSE))</f>
        <v/>
      </c>
      <c r="BD352" s="8"/>
      <c r="BF352" s="10"/>
      <c r="BG352" s="8" t="str">
        <f>IF(BH352="","",VLOOKUP(BH352,引用表合并!$A:$B,2,FALSE))</f>
        <v/>
      </c>
      <c r="BH352" s="8"/>
      <c r="BJ352" s="10"/>
      <c r="BK352" s="8" t="str">
        <f>IF(BL352="","",VLOOKUP(BL352,引用表合并!$A:$B,2,FALSE))</f>
        <v/>
      </c>
      <c r="BL352" s="8"/>
      <c r="BN352" s="10"/>
    </row>
    <row r="353" spans="1:66" x14ac:dyDescent="0.15">
      <c r="A353" s="8">
        <v>500404</v>
      </c>
      <c r="B353" s="8" t="s">
        <v>125</v>
      </c>
      <c r="C353" s="8">
        <v>0</v>
      </c>
      <c r="D353" s="8">
        <f t="shared" si="63"/>
        <v>0</v>
      </c>
      <c r="E353" s="16">
        <f t="shared" si="64"/>
        <v>0</v>
      </c>
      <c r="F353" s="16">
        <f t="shared" si="45"/>
        <v>0</v>
      </c>
      <c r="G353" s="8" t="str">
        <f>IF(H353="","",VLOOKUP(H353,引用表合并!$A:$B,2,FALSE))</f>
        <v/>
      </c>
      <c r="K353" s="8" t="str">
        <f>IF(L353="","",VLOOKUP(L353,引用表合并!$A:$B,2,FALSE))</f>
        <v/>
      </c>
      <c r="L353" s="8"/>
      <c r="M353" s="8"/>
      <c r="O353" s="8" t="str">
        <f>IF(P353="","",VLOOKUP(P353,引用表合并!$A:$B,2,FALSE))</f>
        <v/>
      </c>
      <c r="P353" s="8"/>
      <c r="Q353" s="8"/>
      <c r="S353" s="8" t="str">
        <f>IF(T353="","",VLOOKUP(T353,引用表合并!$A:$B,2,FALSE))</f>
        <v/>
      </c>
      <c r="T353" s="8"/>
      <c r="U353" s="8"/>
      <c r="W353" s="8" t="str">
        <f>IF(X353="","",VLOOKUP(X353,引用表合并!$A:$B,2,FALSE))</f>
        <v/>
      </c>
      <c r="X353" s="8"/>
      <c r="Y353" s="8"/>
      <c r="AA353" s="8" t="str">
        <f>IF(AB353="","",VLOOKUP(AB353,引用表合并!$A:$B,2,FALSE))</f>
        <v/>
      </c>
      <c r="AB353" s="8"/>
      <c r="AC353" s="8"/>
      <c r="AE353" s="8" t="str">
        <f>IF(AF353="","",VLOOKUP(AF353,引用表合并!$A:$B,2,FALSE))</f>
        <v/>
      </c>
      <c r="AF353" s="8"/>
      <c r="AG353" s="8"/>
      <c r="AI353" s="8" t="str">
        <f>IF(AJ353="","",VLOOKUP(AJ353,引用表合并!$A:$B,2,FALSE))</f>
        <v/>
      </c>
      <c r="AJ353" s="8"/>
      <c r="AK353" s="8"/>
      <c r="AM353" s="8" t="str">
        <f>IF(AN353="","",VLOOKUP(AN353,引用表合并!$A:$B,2,FALSE))</f>
        <v/>
      </c>
      <c r="AN353" s="8"/>
      <c r="AO353" s="8"/>
      <c r="AQ353" s="8" t="str">
        <f>IF(AR353="","",VLOOKUP(AR353,引用表合并!$A:$B,2,FALSE))</f>
        <v/>
      </c>
      <c r="AR353" s="8"/>
      <c r="AS353" s="8"/>
      <c r="AU353" s="8" t="str">
        <f>IF(AV353="","",VLOOKUP(AV353,引用表合并!$A:$B,2,FALSE))</f>
        <v/>
      </c>
      <c r="AV353" s="8"/>
      <c r="AW353" s="8"/>
      <c r="AY353" s="8" t="str">
        <f>IF(AZ353="","",VLOOKUP(AZ353,引用表合并!$A:$B,2,FALSE))</f>
        <v/>
      </c>
      <c r="AZ353" s="8"/>
      <c r="BA353" s="8"/>
      <c r="BC353" s="8" t="str">
        <f>IF(BD353="","",VLOOKUP(BD353,引用表合并!$A:$B,2,FALSE))</f>
        <v/>
      </c>
      <c r="BD353" s="8"/>
      <c r="BF353" s="10"/>
      <c r="BG353" s="8" t="str">
        <f>IF(BH353="","",VLOOKUP(BH353,引用表合并!$A:$B,2,FALSE))</f>
        <v/>
      </c>
      <c r="BH353" s="8"/>
      <c r="BJ353" s="10"/>
      <c r="BK353" s="8" t="str">
        <f>IF(BL353="","",VLOOKUP(BL353,引用表合并!$A:$B,2,FALSE))</f>
        <v/>
      </c>
      <c r="BL353" s="8"/>
      <c r="BN353" s="10"/>
    </row>
    <row r="354" spans="1:66" x14ac:dyDescent="0.15">
      <c r="A354" s="8">
        <v>500405</v>
      </c>
      <c r="B354" s="8" t="s">
        <v>125</v>
      </c>
      <c r="C354" s="8">
        <v>0</v>
      </c>
      <c r="D354" s="8">
        <f t="shared" si="63"/>
        <v>0</v>
      </c>
      <c r="E354" s="16">
        <f t="shared" si="64"/>
        <v>0</v>
      </c>
      <c r="F354" s="16">
        <f t="shared" si="45"/>
        <v>0</v>
      </c>
      <c r="G354" s="8" t="str">
        <f>IF(H354="","",VLOOKUP(H354,引用表合并!$A:$B,2,FALSE))</f>
        <v/>
      </c>
      <c r="K354" s="8" t="str">
        <f>IF(L354="","",VLOOKUP(L354,引用表合并!$A:$B,2,FALSE))</f>
        <v/>
      </c>
      <c r="L354" s="8"/>
      <c r="M354" s="8"/>
      <c r="O354" s="8" t="str">
        <f>IF(P354="","",VLOOKUP(P354,引用表合并!$A:$B,2,FALSE))</f>
        <v/>
      </c>
      <c r="P354" s="8"/>
      <c r="Q354" s="8"/>
      <c r="S354" s="8" t="str">
        <f>IF(T354="","",VLOOKUP(T354,引用表合并!$A:$B,2,FALSE))</f>
        <v/>
      </c>
      <c r="T354" s="8"/>
      <c r="U354" s="8"/>
      <c r="W354" s="8" t="str">
        <f>IF(X354="","",VLOOKUP(X354,引用表合并!$A:$B,2,FALSE))</f>
        <v/>
      </c>
      <c r="X354" s="8"/>
      <c r="Y354" s="8"/>
      <c r="AA354" s="8" t="str">
        <f>IF(AB354="","",VLOOKUP(AB354,引用表合并!$A:$B,2,FALSE))</f>
        <v/>
      </c>
      <c r="AB354" s="8"/>
      <c r="AC354" s="8"/>
      <c r="AE354" s="8" t="str">
        <f>IF(AF354="","",VLOOKUP(AF354,引用表合并!$A:$B,2,FALSE))</f>
        <v/>
      </c>
      <c r="AF354" s="8"/>
      <c r="AG354" s="8"/>
      <c r="AI354" s="8" t="str">
        <f>IF(AJ354="","",VLOOKUP(AJ354,引用表合并!$A:$B,2,FALSE))</f>
        <v/>
      </c>
      <c r="AJ354" s="8"/>
      <c r="AK354" s="8"/>
      <c r="AM354" s="8" t="str">
        <f>IF(AN354="","",VLOOKUP(AN354,引用表合并!$A:$B,2,FALSE))</f>
        <v/>
      </c>
      <c r="AN354" s="8"/>
      <c r="AO354" s="8"/>
      <c r="AQ354" s="8" t="str">
        <f>IF(AR354="","",VLOOKUP(AR354,引用表合并!$A:$B,2,FALSE))</f>
        <v/>
      </c>
      <c r="AR354" s="8"/>
      <c r="AS354" s="8"/>
      <c r="AU354" s="8" t="str">
        <f>IF(AV354="","",VLOOKUP(AV354,引用表合并!$A:$B,2,FALSE))</f>
        <v/>
      </c>
      <c r="AV354" s="8"/>
      <c r="AW354" s="8"/>
      <c r="AY354" s="8" t="str">
        <f>IF(AZ354="","",VLOOKUP(AZ354,引用表合并!$A:$B,2,FALSE))</f>
        <v/>
      </c>
      <c r="AZ354" s="8"/>
      <c r="BA354" s="8"/>
      <c r="BC354" s="8" t="str">
        <f>IF(BD354="","",VLOOKUP(BD354,引用表合并!$A:$B,2,FALSE))</f>
        <v/>
      </c>
      <c r="BD354" s="8"/>
      <c r="BF354" s="10"/>
      <c r="BG354" s="8" t="str">
        <f>IF(BH354="","",VLOOKUP(BH354,引用表合并!$A:$B,2,FALSE))</f>
        <v/>
      </c>
      <c r="BH354" s="8"/>
      <c r="BJ354" s="10"/>
      <c r="BK354" s="8" t="str">
        <f>IF(BL354="","",VLOOKUP(BL354,引用表合并!$A:$B,2,FALSE))</f>
        <v/>
      </c>
      <c r="BL354" s="8"/>
      <c r="BN354" s="10"/>
    </row>
    <row r="355" spans="1:66" x14ac:dyDescent="0.15">
      <c r="A355" s="8">
        <v>500406</v>
      </c>
      <c r="B355" s="8" t="s">
        <v>125</v>
      </c>
      <c r="C355" s="8">
        <v>0</v>
      </c>
      <c r="D355" s="8">
        <f t="shared" si="63"/>
        <v>0</v>
      </c>
      <c r="E355" s="16">
        <f t="shared" si="64"/>
        <v>0</v>
      </c>
      <c r="F355" s="16">
        <f t="shared" si="45"/>
        <v>0</v>
      </c>
      <c r="G355" s="8" t="str">
        <f>IF(H355="","",VLOOKUP(H355,引用表合并!$A:$B,2,FALSE))</f>
        <v/>
      </c>
      <c r="K355" s="8" t="str">
        <f>IF(L355="","",VLOOKUP(L355,引用表合并!$A:$B,2,FALSE))</f>
        <v/>
      </c>
      <c r="L355" s="8"/>
      <c r="M355" s="8"/>
      <c r="O355" s="8" t="str">
        <f>IF(P355="","",VLOOKUP(P355,引用表合并!$A:$B,2,FALSE))</f>
        <v/>
      </c>
      <c r="P355" s="8"/>
      <c r="Q355" s="8"/>
      <c r="S355" s="8" t="str">
        <f>IF(T355="","",VLOOKUP(T355,引用表合并!$A:$B,2,FALSE))</f>
        <v/>
      </c>
      <c r="T355" s="8"/>
      <c r="U355" s="8"/>
      <c r="W355" s="8" t="str">
        <f>IF(X355="","",VLOOKUP(X355,引用表合并!$A:$B,2,FALSE))</f>
        <v/>
      </c>
      <c r="X355" s="8"/>
      <c r="Y355" s="8"/>
      <c r="AA355" s="8" t="str">
        <f>IF(AB355="","",VLOOKUP(AB355,引用表合并!$A:$B,2,FALSE))</f>
        <v/>
      </c>
      <c r="AB355" s="8"/>
      <c r="AC355" s="8"/>
      <c r="AE355" s="8" t="str">
        <f>IF(AF355="","",VLOOKUP(AF355,引用表合并!$A:$B,2,FALSE))</f>
        <v/>
      </c>
      <c r="AF355" s="8"/>
      <c r="AG355" s="8"/>
      <c r="AI355" s="8" t="str">
        <f>IF(AJ355="","",VLOOKUP(AJ355,引用表合并!$A:$B,2,FALSE))</f>
        <v/>
      </c>
      <c r="AJ355" s="8"/>
      <c r="AK355" s="8"/>
      <c r="AM355" s="8" t="str">
        <f>IF(AN355="","",VLOOKUP(AN355,引用表合并!$A:$B,2,FALSE))</f>
        <v/>
      </c>
      <c r="AN355" s="8"/>
      <c r="AO355" s="8"/>
      <c r="AQ355" s="8" t="str">
        <f>IF(AR355="","",VLOOKUP(AR355,引用表合并!$A:$B,2,FALSE))</f>
        <v/>
      </c>
      <c r="AR355" s="8"/>
      <c r="AS355" s="8"/>
      <c r="AU355" s="8" t="str">
        <f>IF(AV355="","",VLOOKUP(AV355,引用表合并!$A:$B,2,FALSE))</f>
        <v/>
      </c>
      <c r="AV355" s="8"/>
      <c r="AW355" s="8"/>
      <c r="AY355" s="8" t="str">
        <f>IF(AZ355="","",VLOOKUP(AZ355,引用表合并!$A:$B,2,FALSE))</f>
        <v/>
      </c>
      <c r="AZ355" s="8"/>
      <c r="BA355" s="8"/>
      <c r="BC355" s="8" t="str">
        <f>IF(BD355="","",VLOOKUP(BD355,引用表合并!$A:$B,2,FALSE))</f>
        <v/>
      </c>
      <c r="BD355" s="8"/>
      <c r="BF355" s="10"/>
      <c r="BG355" s="8" t="str">
        <f>IF(BH355="","",VLOOKUP(BH355,引用表合并!$A:$B,2,FALSE))</f>
        <v/>
      </c>
      <c r="BH355" s="8"/>
      <c r="BJ355" s="10"/>
      <c r="BK355" s="8" t="str">
        <f>IF(BL355="","",VLOOKUP(BL355,引用表合并!$A:$B,2,FALSE))</f>
        <v/>
      </c>
      <c r="BL355" s="8"/>
      <c r="BN355" s="10"/>
    </row>
    <row r="356" spans="1:66" x14ac:dyDescent="0.15">
      <c r="A356" s="8">
        <v>500407</v>
      </c>
      <c r="B356" s="8" t="s">
        <v>125</v>
      </c>
      <c r="C356" s="8">
        <v>0</v>
      </c>
      <c r="D356" s="8">
        <f t="shared" si="63"/>
        <v>0</v>
      </c>
      <c r="E356" s="16">
        <f t="shared" si="64"/>
        <v>0</v>
      </c>
      <c r="F356" s="16">
        <f t="shared" ref="F356:F419" si="65">E356</f>
        <v>0</v>
      </c>
      <c r="G356" s="8" t="str">
        <f>IF(H356="","",VLOOKUP(H356,引用表合并!$A:$B,2,FALSE))</f>
        <v/>
      </c>
      <c r="K356" s="8" t="str">
        <f>IF(L356="","",VLOOKUP(L356,引用表合并!$A:$B,2,FALSE))</f>
        <v/>
      </c>
      <c r="L356" s="8"/>
      <c r="M356" s="8"/>
      <c r="O356" s="8" t="str">
        <f>IF(P356="","",VLOOKUP(P356,引用表合并!$A:$B,2,FALSE))</f>
        <v/>
      </c>
      <c r="P356" s="8"/>
      <c r="Q356" s="8"/>
      <c r="S356" s="8" t="str">
        <f>IF(T356="","",VLOOKUP(T356,引用表合并!$A:$B,2,FALSE))</f>
        <v/>
      </c>
      <c r="T356" s="8"/>
      <c r="U356" s="8"/>
      <c r="W356" s="8" t="str">
        <f>IF(X356="","",VLOOKUP(X356,引用表合并!$A:$B,2,FALSE))</f>
        <v/>
      </c>
      <c r="X356" s="8"/>
      <c r="Y356" s="8"/>
      <c r="AA356" s="8" t="str">
        <f>IF(AB356="","",VLOOKUP(AB356,引用表合并!$A:$B,2,FALSE))</f>
        <v/>
      </c>
      <c r="AB356" s="8"/>
      <c r="AC356" s="8"/>
      <c r="AE356" s="8" t="str">
        <f>IF(AF356="","",VLOOKUP(AF356,引用表合并!$A:$B,2,FALSE))</f>
        <v/>
      </c>
      <c r="AF356" s="8"/>
      <c r="AG356" s="8"/>
      <c r="AI356" s="8" t="str">
        <f>IF(AJ356="","",VLOOKUP(AJ356,引用表合并!$A:$B,2,FALSE))</f>
        <v/>
      </c>
      <c r="AJ356" s="8"/>
      <c r="AK356" s="8"/>
      <c r="AM356" s="8" t="str">
        <f>IF(AN356="","",VLOOKUP(AN356,引用表合并!$A:$B,2,FALSE))</f>
        <v/>
      </c>
      <c r="AN356" s="8"/>
      <c r="AO356" s="8"/>
      <c r="AQ356" s="8" t="str">
        <f>IF(AR356="","",VLOOKUP(AR356,引用表合并!$A:$B,2,FALSE))</f>
        <v/>
      </c>
      <c r="AR356" s="8"/>
      <c r="AS356" s="8"/>
      <c r="AU356" s="8" t="str">
        <f>IF(AV356="","",VLOOKUP(AV356,引用表合并!$A:$B,2,FALSE))</f>
        <v/>
      </c>
      <c r="AV356" s="8"/>
      <c r="AW356" s="8"/>
      <c r="AY356" s="8" t="str">
        <f>IF(AZ356="","",VLOOKUP(AZ356,引用表合并!$A:$B,2,FALSE))</f>
        <v/>
      </c>
      <c r="AZ356" s="8"/>
      <c r="BA356" s="8"/>
      <c r="BC356" s="8" t="str">
        <f>IF(BD356="","",VLOOKUP(BD356,引用表合并!$A:$B,2,FALSE))</f>
        <v/>
      </c>
      <c r="BD356" s="8"/>
      <c r="BF356" s="10"/>
      <c r="BG356" s="8" t="str">
        <f>IF(BH356="","",VLOOKUP(BH356,引用表合并!$A:$B,2,FALSE))</f>
        <v/>
      </c>
      <c r="BH356" s="8"/>
      <c r="BJ356" s="10"/>
      <c r="BK356" s="8" t="str">
        <f>IF(BL356="","",VLOOKUP(BL356,引用表合并!$A:$B,2,FALSE))</f>
        <v/>
      </c>
      <c r="BL356" s="8"/>
      <c r="BN356" s="10"/>
    </row>
    <row r="357" spans="1:66" x14ac:dyDescent="0.15">
      <c r="A357" s="8">
        <v>500408</v>
      </c>
      <c r="B357" s="8" t="s">
        <v>125</v>
      </c>
      <c r="C357" s="8">
        <v>0</v>
      </c>
      <c r="D357" s="8">
        <f t="shared" si="63"/>
        <v>0</v>
      </c>
      <c r="E357" s="16">
        <f t="shared" si="64"/>
        <v>0</v>
      </c>
      <c r="F357" s="16">
        <f t="shared" si="65"/>
        <v>0</v>
      </c>
      <c r="G357" s="8" t="str">
        <f>IF(H357="","",VLOOKUP(H357,引用表合并!$A:$B,2,FALSE))</f>
        <v/>
      </c>
      <c r="K357" s="8" t="str">
        <f>IF(L357="","",VLOOKUP(L357,引用表合并!$A:$B,2,FALSE))</f>
        <v/>
      </c>
      <c r="L357" s="8"/>
      <c r="M357" s="8"/>
      <c r="O357" s="8" t="str">
        <f>IF(P357="","",VLOOKUP(P357,引用表合并!$A:$B,2,FALSE))</f>
        <v/>
      </c>
      <c r="P357" s="8"/>
      <c r="Q357" s="8"/>
      <c r="S357" s="8" t="str">
        <f>IF(T357="","",VLOOKUP(T357,引用表合并!$A:$B,2,FALSE))</f>
        <v/>
      </c>
      <c r="T357" s="8"/>
      <c r="U357" s="8"/>
      <c r="W357" s="8" t="str">
        <f>IF(X357="","",VLOOKUP(X357,引用表合并!$A:$B,2,FALSE))</f>
        <v/>
      </c>
      <c r="X357" s="8"/>
      <c r="Y357" s="8"/>
      <c r="AA357" s="8" t="str">
        <f>IF(AB357="","",VLOOKUP(AB357,引用表合并!$A:$B,2,FALSE))</f>
        <v/>
      </c>
      <c r="AB357" s="8"/>
      <c r="AC357" s="8"/>
      <c r="AE357" s="8" t="str">
        <f>IF(AF357="","",VLOOKUP(AF357,引用表合并!$A:$B,2,FALSE))</f>
        <v/>
      </c>
      <c r="AF357" s="8"/>
      <c r="AG357" s="8"/>
      <c r="AI357" s="8" t="str">
        <f>IF(AJ357="","",VLOOKUP(AJ357,引用表合并!$A:$B,2,FALSE))</f>
        <v/>
      </c>
      <c r="AJ357" s="8"/>
      <c r="AK357" s="8"/>
      <c r="AM357" s="8" t="str">
        <f>IF(AN357="","",VLOOKUP(AN357,引用表合并!$A:$B,2,FALSE))</f>
        <v/>
      </c>
      <c r="AN357" s="8"/>
      <c r="AO357" s="8"/>
      <c r="AQ357" s="8" t="str">
        <f>IF(AR357="","",VLOOKUP(AR357,引用表合并!$A:$B,2,FALSE))</f>
        <v/>
      </c>
      <c r="AR357" s="8"/>
      <c r="AS357" s="8"/>
      <c r="AU357" s="8" t="str">
        <f>IF(AV357="","",VLOOKUP(AV357,引用表合并!$A:$B,2,FALSE))</f>
        <v/>
      </c>
      <c r="AV357" s="8"/>
      <c r="AW357" s="8"/>
      <c r="AY357" s="8" t="str">
        <f>IF(AZ357="","",VLOOKUP(AZ357,引用表合并!$A:$B,2,FALSE))</f>
        <v/>
      </c>
      <c r="AZ357" s="8"/>
      <c r="BA357" s="8"/>
      <c r="BC357" s="8" t="str">
        <f>IF(BD357="","",VLOOKUP(BD357,引用表合并!$A:$B,2,FALSE))</f>
        <v/>
      </c>
      <c r="BD357" s="8"/>
      <c r="BF357" s="10"/>
      <c r="BG357" s="8" t="str">
        <f>IF(BH357="","",VLOOKUP(BH357,引用表合并!$A:$B,2,FALSE))</f>
        <v/>
      </c>
      <c r="BH357" s="8"/>
      <c r="BJ357" s="10"/>
      <c r="BK357" s="8" t="str">
        <f>IF(BL357="","",VLOOKUP(BL357,引用表合并!$A:$B,2,FALSE))</f>
        <v/>
      </c>
      <c r="BL357" s="8"/>
      <c r="BN357" s="10"/>
    </row>
    <row r="358" spans="1:66" x14ac:dyDescent="0.15">
      <c r="A358" s="8">
        <v>500501</v>
      </c>
      <c r="B358" s="8" t="s">
        <v>427</v>
      </c>
      <c r="C358" s="8">
        <v>0</v>
      </c>
      <c r="D358" s="8">
        <f t="shared" si="63"/>
        <v>0</v>
      </c>
      <c r="E358" s="16">
        <f t="shared" si="64"/>
        <v>0</v>
      </c>
      <c r="F358" s="16">
        <f t="shared" si="65"/>
        <v>0</v>
      </c>
      <c r="G358" s="8" t="str">
        <f>IF(H358="","",VLOOKUP(H358,引用表合并!$A:$B,2,FALSE))</f>
        <v/>
      </c>
      <c r="K358" s="8" t="str">
        <f>IF(L358="","",VLOOKUP(L358,引用表合并!$A:$B,2,FALSE))</f>
        <v/>
      </c>
      <c r="L358" s="8"/>
      <c r="M358" s="8"/>
      <c r="O358" s="8" t="str">
        <f>IF(P358="","",VLOOKUP(P358,引用表合并!$A:$B,2,FALSE))</f>
        <v/>
      </c>
      <c r="P358" s="8"/>
      <c r="Q358" s="8"/>
      <c r="S358" s="8" t="str">
        <f>IF(T358="","",VLOOKUP(T358,引用表合并!$A:$B,2,FALSE))</f>
        <v/>
      </c>
      <c r="T358" s="8"/>
      <c r="U358" s="8"/>
      <c r="W358" s="8" t="str">
        <f>IF(X358="","",VLOOKUP(X358,引用表合并!$A:$B,2,FALSE))</f>
        <v/>
      </c>
      <c r="X358" s="8"/>
      <c r="Y358" s="8"/>
      <c r="AA358" s="8" t="str">
        <f>IF(AB358="","",VLOOKUP(AB358,引用表合并!$A:$B,2,FALSE))</f>
        <v/>
      </c>
      <c r="AB358" s="8"/>
      <c r="AC358" s="8"/>
      <c r="AE358" s="8" t="str">
        <f>IF(AF358="","",VLOOKUP(AF358,引用表合并!$A:$B,2,FALSE))</f>
        <v/>
      </c>
      <c r="AF358" s="8"/>
      <c r="AG358" s="8"/>
      <c r="AI358" s="8" t="str">
        <f>IF(AJ358="","",VLOOKUP(AJ358,引用表合并!$A:$B,2,FALSE))</f>
        <v/>
      </c>
      <c r="AJ358" s="8"/>
      <c r="AK358" s="8"/>
      <c r="AM358" s="8" t="str">
        <f>IF(AN358="","",VLOOKUP(AN358,引用表合并!$A:$B,2,FALSE))</f>
        <v/>
      </c>
      <c r="AN358" s="8"/>
      <c r="AO358" s="8"/>
      <c r="AQ358" s="8" t="str">
        <f>IF(AR358="","",VLOOKUP(AR358,引用表合并!$A:$B,2,FALSE))</f>
        <v/>
      </c>
      <c r="AR358" s="8"/>
      <c r="AS358" s="8"/>
      <c r="AU358" s="8" t="str">
        <f>IF(AV358="","",VLOOKUP(AV358,引用表合并!$A:$B,2,FALSE))</f>
        <v/>
      </c>
      <c r="AV358" s="8"/>
      <c r="AW358" s="8"/>
      <c r="AY358" s="8" t="str">
        <f>IF(AZ358="","",VLOOKUP(AZ358,引用表合并!$A:$B,2,FALSE))</f>
        <v/>
      </c>
      <c r="AZ358" s="8"/>
      <c r="BA358" s="8"/>
      <c r="BC358" s="8" t="str">
        <f>IF(BD358="","",VLOOKUP(BD358,引用表合并!$A:$B,2,FALSE))</f>
        <v/>
      </c>
      <c r="BD358" s="8"/>
      <c r="BF358" s="10"/>
      <c r="BG358" s="8" t="str">
        <f>IF(BH358="","",VLOOKUP(BH358,引用表合并!$A:$B,2,FALSE))</f>
        <v/>
      </c>
      <c r="BH358" s="8"/>
      <c r="BJ358" s="10"/>
      <c r="BK358" s="8" t="str">
        <f>IF(BL358="","",VLOOKUP(BL358,引用表合并!$A:$B,2,FALSE))</f>
        <v/>
      </c>
      <c r="BL358" s="8"/>
      <c r="BN358" s="10"/>
    </row>
    <row r="359" spans="1:66" x14ac:dyDescent="0.15">
      <c r="A359" s="8">
        <v>500502</v>
      </c>
      <c r="B359" s="8" t="s">
        <v>126</v>
      </c>
      <c r="C359" s="8">
        <v>0</v>
      </c>
      <c r="D359" s="8">
        <f t="shared" si="63"/>
        <v>0</v>
      </c>
      <c r="E359" s="16">
        <f t="shared" si="64"/>
        <v>0</v>
      </c>
      <c r="F359" s="16">
        <f t="shared" si="65"/>
        <v>0</v>
      </c>
      <c r="G359" s="8" t="str">
        <f>IF(H359="","",VLOOKUP(H359,引用表合并!$A:$B,2,FALSE))</f>
        <v/>
      </c>
      <c r="K359" s="8" t="str">
        <f>IF(L359="","",VLOOKUP(L359,引用表合并!$A:$B,2,FALSE))</f>
        <v/>
      </c>
      <c r="L359" s="8"/>
      <c r="M359" s="8"/>
      <c r="O359" s="8" t="str">
        <f>IF(P359="","",VLOOKUP(P359,引用表合并!$A:$B,2,FALSE))</f>
        <v/>
      </c>
      <c r="P359" s="8"/>
      <c r="Q359" s="8"/>
      <c r="S359" s="8" t="str">
        <f>IF(T359="","",VLOOKUP(T359,引用表合并!$A:$B,2,FALSE))</f>
        <v/>
      </c>
      <c r="T359" s="8"/>
      <c r="U359" s="8"/>
      <c r="W359" s="8" t="str">
        <f>IF(X359="","",VLOOKUP(X359,引用表合并!$A:$B,2,FALSE))</f>
        <v/>
      </c>
      <c r="X359" s="8"/>
      <c r="Y359" s="8"/>
      <c r="AA359" s="8" t="str">
        <f>IF(AB359="","",VLOOKUP(AB359,引用表合并!$A:$B,2,FALSE))</f>
        <v/>
      </c>
      <c r="AB359" s="8"/>
      <c r="AC359" s="8"/>
      <c r="AE359" s="8" t="str">
        <f>IF(AF359="","",VLOOKUP(AF359,引用表合并!$A:$B,2,FALSE))</f>
        <v/>
      </c>
      <c r="AF359" s="8"/>
      <c r="AG359" s="8"/>
      <c r="AI359" s="8" t="str">
        <f>IF(AJ359="","",VLOOKUP(AJ359,引用表合并!$A:$B,2,FALSE))</f>
        <v/>
      </c>
      <c r="AJ359" s="8"/>
      <c r="AK359" s="8"/>
      <c r="AM359" s="8" t="str">
        <f>IF(AN359="","",VLOOKUP(AN359,引用表合并!$A:$B,2,FALSE))</f>
        <v/>
      </c>
      <c r="AN359" s="8"/>
      <c r="AO359" s="8"/>
      <c r="AQ359" s="8" t="str">
        <f>IF(AR359="","",VLOOKUP(AR359,引用表合并!$A:$B,2,FALSE))</f>
        <v/>
      </c>
      <c r="AR359" s="8"/>
      <c r="AS359" s="8"/>
      <c r="AU359" s="8" t="str">
        <f>IF(AV359="","",VLOOKUP(AV359,引用表合并!$A:$B,2,FALSE))</f>
        <v/>
      </c>
      <c r="AV359" s="8"/>
      <c r="AW359" s="8"/>
      <c r="AY359" s="8" t="str">
        <f>IF(AZ359="","",VLOOKUP(AZ359,引用表合并!$A:$B,2,FALSE))</f>
        <v/>
      </c>
      <c r="AZ359" s="8"/>
      <c r="BA359" s="8"/>
      <c r="BC359" s="8" t="str">
        <f>IF(BD359="","",VLOOKUP(BD359,引用表合并!$A:$B,2,FALSE))</f>
        <v/>
      </c>
      <c r="BD359" s="8"/>
      <c r="BF359" s="10"/>
      <c r="BG359" s="8" t="str">
        <f>IF(BH359="","",VLOOKUP(BH359,引用表合并!$A:$B,2,FALSE))</f>
        <v/>
      </c>
      <c r="BH359" s="8"/>
      <c r="BJ359" s="10"/>
      <c r="BK359" s="8" t="str">
        <f>IF(BL359="","",VLOOKUP(BL359,引用表合并!$A:$B,2,FALSE))</f>
        <v/>
      </c>
      <c r="BL359" s="8"/>
      <c r="BN359" s="10"/>
    </row>
    <row r="360" spans="1:66" x14ac:dyDescent="0.15">
      <c r="A360" s="8">
        <v>500503</v>
      </c>
      <c r="B360" s="8" t="s">
        <v>126</v>
      </c>
      <c r="C360" s="8">
        <v>0</v>
      </c>
      <c r="D360" s="8">
        <f t="shared" si="63"/>
        <v>0</v>
      </c>
      <c r="E360" s="16">
        <f t="shared" si="64"/>
        <v>0</v>
      </c>
      <c r="F360" s="16">
        <f t="shared" si="65"/>
        <v>0</v>
      </c>
      <c r="G360" s="8" t="str">
        <f>IF(H360="","",VLOOKUP(H360,引用表合并!$A:$B,2,FALSE))</f>
        <v/>
      </c>
      <c r="K360" s="8" t="str">
        <f>IF(L360="","",VLOOKUP(L360,引用表合并!$A:$B,2,FALSE))</f>
        <v/>
      </c>
      <c r="L360" s="8"/>
      <c r="M360" s="8"/>
      <c r="O360" s="8" t="str">
        <f>IF(P360="","",VLOOKUP(P360,引用表合并!$A:$B,2,FALSE))</f>
        <v/>
      </c>
      <c r="P360" s="8"/>
      <c r="Q360" s="8"/>
      <c r="S360" s="8" t="str">
        <f>IF(T360="","",VLOOKUP(T360,引用表合并!$A:$B,2,FALSE))</f>
        <v/>
      </c>
      <c r="T360" s="8"/>
      <c r="U360" s="8"/>
      <c r="W360" s="8" t="str">
        <f>IF(X360="","",VLOOKUP(X360,引用表合并!$A:$B,2,FALSE))</f>
        <v/>
      </c>
      <c r="X360" s="8"/>
      <c r="Y360" s="8"/>
      <c r="AA360" s="8" t="str">
        <f>IF(AB360="","",VLOOKUP(AB360,引用表合并!$A:$B,2,FALSE))</f>
        <v/>
      </c>
      <c r="AB360" s="8"/>
      <c r="AC360" s="8"/>
      <c r="AE360" s="8" t="str">
        <f>IF(AF360="","",VLOOKUP(AF360,引用表合并!$A:$B,2,FALSE))</f>
        <v/>
      </c>
      <c r="AF360" s="8"/>
      <c r="AG360" s="8"/>
      <c r="AI360" s="8" t="str">
        <f>IF(AJ360="","",VLOOKUP(AJ360,引用表合并!$A:$B,2,FALSE))</f>
        <v/>
      </c>
      <c r="AJ360" s="8"/>
      <c r="AK360" s="8"/>
      <c r="AM360" s="8" t="str">
        <f>IF(AN360="","",VLOOKUP(AN360,引用表合并!$A:$B,2,FALSE))</f>
        <v/>
      </c>
      <c r="AN360" s="8"/>
      <c r="AO360" s="8"/>
      <c r="AQ360" s="8" t="str">
        <f>IF(AR360="","",VLOOKUP(AR360,引用表合并!$A:$B,2,FALSE))</f>
        <v/>
      </c>
      <c r="AR360" s="8"/>
      <c r="AS360" s="8"/>
      <c r="AU360" s="8" t="str">
        <f>IF(AV360="","",VLOOKUP(AV360,引用表合并!$A:$B,2,FALSE))</f>
        <v/>
      </c>
      <c r="AV360" s="8"/>
      <c r="AW360" s="8"/>
      <c r="AY360" s="8" t="str">
        <f>IF(AZ360="","",VLOOKUP(AZ360,引用表合并!$A:$B,2,FALSE))</f>
        <v/>
      </c>
      <c r="AZ360" s="8"/>
      <c r="BA360" s="8"/>
      <c r="BC360" s="8" t="str">
        <f>IF(BD360="","",VLOOKUP(BD360,引用表合并!$A:$B,2,FALSE))</f>
        <v/>
      </c>
      <c r="BD360" s="8"/>
      <c r="BF360" s="10"/>
      <c r="BG360" s="8" t="str">
        <f>IF(BH360="","",VLOOKUP(BH360,引用表合并!$A:$B,2,FALSE))</f>
        <v/>
      </c>
      <c r="BH360" s="8"/>
      <c r="BJ360" s="10"/>
      <c r="BK360" s="8" t="str">
        <f>IF(BL360="","",VLOOKUP(BL360,引用表合并!$A:$B,2,FALSE))</f>
        <v/>
      </c>
      <c r="BL360" s="8"/>
      <c r="BN360" s="10"/>
    </row>
    <row r="361" spans="1:66" x14ac:dyDescent="0.15">
      <c r="A361" s="8">
        <v>500504</v>
      </c>
      <c r="B361" s="8" t="s">
        <v>126</v>
      </c>
      <c r="C361" s="8">
        <v>0</v>
      </c>
      <c r="D361" s="8">
        <f t="shared" si="63"/>
        <v>0</v>
      </c>
      <c r="E361" s="16">
        <f t="shared" si="64"/>
        <v>0</v>
      </c>
      <c r="F361" s="16">
        <f t="shared" si="65"/>
        <v>0</v>
      </c>
      <c r="G361" s="8" t="str">
        <f>IF(H361="","",VLOOKUP(H361,引用表合并!$A:$B,2,FALSE))</f>
        <v/>
      </c>
      <c r="K361" s="8" t="str">
        <f>IF(L361="","",VLOOKUP(L361,引用表合并!$A:$B,2,FALSE))</f>
        <v/>
      </c>
      <c r="L361" s="8"/>
      <c r="M361" s="8"/>
      <c r="O361" s="8" t="str">
        <f>IF(P361="","",VLOOKUP(P361,引用表合并!$A:$B,2,FALSE))</f>
        <v/>
      </c>
      <c r="P361" s="8"/>
      <c r="Q361" s="8"/>
      <c r="S361" s="8" t="str">
        <f>IF(T361="","",VLOOKUP(T361,引用表合并!$A:$B,2,FALSE))</f>
        <v/>
      </c>
      <c r="T361" s="8"/>
      <c r="U361" s="8"/>
      <c r="W361" s="8" t="str">
        <f>IF(X361="","",VLOOKUP(X361,引用表合并!$A:$B,2,FALSE))</f>
        <v/>
      </c>
      <c r="X361" s="8"/>
      <c r="Y361" s="8"/>
      <c r="AA361" s="8" t="str">
        <f>IF(AB361="","",VLOOKUP(AB361,引用表合并!$A:$B,2,FALSE))</f>
        <v/>
      </c>
      <c r="AB361" s="8"/>
      <c r="AC361" s="8"/>
      <c r="AE361" s="8" t="str">
        <f>IF(AF361="","",VLOOKUP(AF361,引用表合并!$A:$B,2,FALSE))</f>
        <v/>
      </c>
      <c r="AF361" s="8"/>
      <c r="AG361" s="8"/>
      <c r="AI361" s="8" t="str">
        <f>IF(AJ361="","",VLOOKUP(AJ361,引用表合并!$A:$B,2,FALSE))</f>
        <v/>
      </c>
      <c r="AJ361" s="8"/>
      <c r="AK361" s="8"/>
      <c r="AM361" s="8" t="str">
        <f>IF(AN361="","",VLOOKUP(AN361,引用表合并!$A:$B,2,FALSE))</f>
        <v/>
      </c>
      <c r="AN361" s="8"/>
      <c r="AO361" s="8"/>
      <c r="AQ361" s="8" t="str">
        <f>IF(AR361="","",VLOOKUP(AR361,引用表合并!$A:$B,2,FALSE))</f>
        <v/>
      </c>
      <c r="AR361" s="8"/>
      <c r="AS361" s="8"/>
      <c r="AU361" s="8" t="str">
        <f>IF(AV361="","",VLOOKUP(AV361,引用表合并!$A:$B,2,FALSE))</f>
        <v/>
      </c>
      <c r="AV361" s="8"/>
      <c r="AW361" s="8"/>
      <c r="AY361" s="8" t="str">
        <f>IF(AZ361="","",VLOOKUP(AZ361,引用表合并!$A:$B,2,FALSE))</f>
        <v/>
      </c>
      <c r="AZ361" s="8"/>
      <c r="BA361" s="8"/>
      <c r="BC361" s="8" t="str">
        <f>IF(BD361="","",VLOOKUP(BD361,引用表合并!$A:$B,2,FALSE))</f>
        <v/>
      </c>
      <c r="BD361" s="8"/>
      <c r="BF361" s="10"/>
      <c r="BG361" s="8" t="str">
        <f>IF(BH361="","",VLOOKUP(BH361,引用表合并!$A:$B,2,FALSE))</f>
        <v/>
      </c>
      <c r="BH361" s="8"/>
      <c r="BJ361" s="10"/>
      <c r="BK361" s="8" t="str">
        <f>IF(BL361="","",VLOOKUP(BL361,引用表合并!$A:$B,2,FALSE))</f>
        <v/>
      </c>
      <c r="BL361" s="8"/>
      <c r="BN361" s="10"/>
    </row>
    <row r="362" spans="1:66" x14ac:dyDescent="0.15">
      <c r="A362" s="8">
        <v>500505</v>
      </c>
      <c r="B362" s="8" t="s">
        <v>126</v>
      </c>
      <c r="C362" s="8">
        <v>0</v>
      </c>
      <c r="D362" s="8">
        <f t="shared" si="63"/>
        <v>0</v>
      </c>
      <c r="E362" s="16">
        <f t="shared" si="64"/>
        <v>0</v>
      </c>
      <c r="F362" s="16">
        <f t="shared" si="65"/>
        <v>0</v>
      </c>
      <c r="G362" s="8" t="str">
        <f>IF(H362="","",VLOOKUP(H362,引用表合并!$A:$B,2,FALSE))</f>
        <v/>
      </c>
      <c r="K362" s="8" t="str">
        <f>IF(L362="","",VLOOKUP(L362,引用表合并!$A:$B,2,FALSE))</f>
        <v/>
      </c>
      <c r="L362" s="8"/>
      <c r="M362" s="8"/>
      <c r="O362" s="8" t="str">
        <f>IF(P362="","",VLOOKUP(P362,引用表合并!$A:$B,2,FALSE))</f>
        <v/>
      </c>
      <c r="P362" s="8"/>
      <c r="Q362" s="8"/>
      <c r="S362" s="8" t="str">
        <f>IF(T362="","",VLOOKUP(T362,引用表合并!$A:$B,2,FALSE))</f>
        <v/>
      </c>
      <c r="T362" s="8"/>
      <c r="U362" s="8"/>
      <c r="W362" s="8" t="str">
        <f>IF(X362="","",VLOOKUP(X362,引用表合并!$A:$B,2,FALSE))</f>
        <v/>
      </c>
      <c r="X362" s="8"/>
      <c r="Y362" s="8"/>
      <c r="AA362" s="8" t="str">
        <f>IF(AB362="","",VLOOKUP(AB362,引用表合并!$A:$B,2,FALSE))</f>
        <v/>
      </c>
      <c r="AB362" s="8"/>
      <c r="AC362" s="8"/>
      <c r="AE362" s="8" t="str">
        <f>IF(AF362="","",VLOOKUP(AF362,引用表合并!$A:$B,2,FALSE))</f>
        <v/>
      </c>
      <c r="AF362" s="8"/>
      <c r="AG362" s="8"/>
      <c r="AI362" s="8" t="str">
        <f>IF(AJ362="","",VLOOKUP(AJ362,引用表合并!$A:$B,2,FALSE))</f>
        <v/>
      </c>
      <c r="AJ362" s="8"/>
      <c r="AK362" s="8"/>
      <c r="AM362" s="8" t="str">
        <f>IF(AN362="","",VLOOKUP(AN362,引用表合并!$A:$B,2,FALSE))</f>
        <v/>
      </c>
      <c r="AN362" s="8"/>
      <c r="AO362" s="8"/>
      <c r="AQ362" s="8" t="str">
        <f>IF(AR362="","",VLOOKUP(AR362,引用表合并!$A:$B,2,FALSE))</f>
        <v/>
      </c>
      <c r="AR362" s="8"/>
      <c r="AS362" s="8"/>
      <c r="AU362" s="8" t="str">
        <f>IF(AV362="","",VLOOKUP(AV362,引用表合并!$A:$B,2,FALSE))</f>
        <v/>
      </c>
      <c r="AV362" s="8"/>
      <c r="AW362" s="8"/>
      <c r="AY362" s="8" t="str">
        <f>IF(AZ362="","",VLOOKUP(AZ362,引用表合并!$A:$B,2,FALSE))</f>
        <v/>
      </c>
      <c r="AZ362" s="8"/>
      <c r="BA362" s="8"/>
      <c r="BC362" s="8" t="str">
        <f>IF(BD362="","",VLOOKUP(BD362,引用表合并!$A:$B,2,FALSE))</f>
        <v/>
      </c>
      <c r="BD362" s="8"/>
      <c r="BF362" s="10"/>
      <c r="BG362" s="8" t="str">
        <f>IF(BH362="","",VLOOKUP(BH362,引用表合并!$A:$B,2,FALSE))</f>
        <v/>
      </c>
      <c r="BH362" s="8"/>
      <c r="BJ362" s="10"/>
      <c r="BK362" s="8" t="str">
        <f>IF(BL362="","",VLOOKUP(BL362,引用表合并!$A:$B,2,FALSE))</f>
        <v/>
      </c>
      <c r="BL362" s="8"/>
      <c r="BN362" s="10"/>
    </row>
    <row r="363" spans="1:66" x14ac:dyDescent="0.15">
      <c r="A363" s="8">
        <v>500506</v>
      </c>
      <c r="B363" s="8" t="s">
        <v>126</v>
      </c>
      <c r="C363" s="8">
        <v>0</v>
      </c>
      <c r="D363" s="8">
        <f t="shared" si="63"/>
        <v>0</v>
      </c>
      <c r="E363" s="16">
        <f t="shared" si="64"/>
        <v>0</v>
      </c>
      <c r="F363" s="16">
        <f t="shared" si="65"/>
        <v>0</v>
      </c>
      <c r="G363" s="8" t="str">
        <f>IF(H363="","",VLOOKUP(H363,引用表合并!$A:$B,2,FALSE))</f>
        <v/>
      </c>
      <c r="K363" s="8" t="str">
        <f>IF(L363="","",VLOOKUP(L363,引用表合并!$A:$B,2,FALSE))</f>
        <v/>
      </c>
      <c r="L363" s="8"/>
      <c r="M363" s="8"/>
      <c r="O363" s="8" t="str">
        <f>IF(P363="","",VLOOKUP(P363,引用表合并!$A:$B,2,FALSE))</f>
        <v/>
      </c>
      <c r="P363" s="8"/>
      <c r="Q363" s="8"/>
      <c r="S363" s="8" t="str">
        <f>IF(T363="","",VLOOKUP(T363,引用表合并!$A:$B,2,FALSE))</f>
        <v/>
      </c>
      <c r="T363" s="8"/>
      <c r="U363" s="8"/>
      <c r="W363" s="8" t="str">
        <f>IF(X363="","",VLOOKUP(X363,引用表合并!$A:$B,2,FALSE))</f>
        <v/>
      </c>
      <c r="X363" s="8"/>
      <c r="Y363" s="8"/>
      <c r="AA363" s="8" t="str">
        <f>IF(AB363="","",VLOOKUP(AB363,引用表合并!$A:$B,2,FALSE))</f>
        <v/>
      </c>
      <c r="AB363" s="8"/>
      <c r="AC363" s="8"/>
      <c r="AE363" s="8" t="str">
        <f>IF(AF363="","",VLOOKUP(AF363,引用表合并!$A:$B,2,FALSE))</f>
        <v/>
      </c>
      <c r="AF363" s="8"/>
      <c r="AG363" s="8"/>
      <c r="AI363" s="8" t="str">
        <f>IF(AJ363="","",VLOOKUP(AJ363,引用表合并!$A:$B,2,FALSE))</f>
        <v/>
      </c>
      <c r="AJ363" s="8"/>
      <c r="AK363" s="8"/>
      <c r="AM363" s="8" t="str">
        <f>IF(AN363="","",VLOOKUP(AN363,引用表合并!$A:$B,2,FALSE))</f>
        <v/>
      </c>
      <c r="AN363" s="8"/>
      <c r="AO363" s="8"/>
      <c r="AQ363" s="8" t="str">
        <f>IF(AR363="","",VLOOKUP(AR363,引用表合并!$A:$B,2,FALSE))</f>
        <v/>
      </c>
      <c r="AR363" s="8"/>
      <c r="AS363" s="8"/>
      <c r="AU363" s="8" t="str">
        <f>IF(AV363="","",VLOOKUP(AV363,引用表合并!$A:$B,2,FALSE))</f>
        <v/>
      </c>
      <c r="AV363" s="8"/>
      <c r="AW363" s="8"/>
      <c r="AY363" s="8" t="str">
        <f>IF(AZ363="","",VLOOKUP(AZ363,引用表合并!$A:$B,2,FALSE))</f>
        <v/>
      </c>
      <c r="AZ363" s="8"/>
      <c r="BA363" s="8"/>
      <c r="BC363" s="8" t="str">
        <f>IF(BD363="","",VLOOKUP(BD363,引用表合并!$A:$B,2,FALSE))</f>
        <v/>
      </c>
      <c r="BD363" s="8"/>
      <c r="BF363" s="10"/>
      <c r="BG363" s="8" t="str">
        <f>IF(BH363="","",VLOOKUP(BH363,引用表合并!$A:$B,2,FALSE))</f>
        <v/>
      </c>
      <c r="BH363" s="8"/>
      <c r="BJ363" s="10"/>
      <c r="BK363" s="8" t="str">
        <f>IF(BL363="","",VLOOKUP(BL363,引用表合并!$A:$B,2,FALSE))</f>
        <v/>
      </c>
      <c r="BL363" s="8"/>
      <c r="BN363" s="10"/>
    </row>
    <row r="364" spans="1:66" x14ac:dyDescent="0.15">
      <c r="A364" s="8">
        <v>500507</v>
      </c>
      <c r="B364" s="8" t="s">
        <v>126</v>
      </c>
      <c r="C364" s="8">
        <v>0</v>
      </c>
      <c r="D364" s="8">
        <f t="shared" si="63"/>
        <v>0</v>
      </c>
      <c r="E364" s="16">
        <f t="shared" si="64"/>
        <v>0</v>
      </c>
      <c r="F364" s="16">
        <f t="shared" si="65"/>
        <v>0</v>
      </c>
      <c r="G364" s="8" t="str">
        <f>IF(H364="","",VLOOKUP(H364,引用表合并!$A:$B,2,FALSE))</f>
        <v/>
      </c>
      <c r="K364" s="8" t="str">
        <f>IF(L364="","",VLOOKUP(L364,引用表合并!$A:$B,2,FALSE))</f>
        <v/>
      </c>
      <c r="L364" s="8"/>
      <c r="M364" s="8"/>
      <c r="O364" s="8" t="str">
        <f>IF(P364="","",VLOOKUP(P364,引用表合并!$A:$B,2,FALSE))</f>
        <v/>
      </c>
      <c r="P364" s="8"/>
      <c r="Q364" s="8"/>
      <c r="S364" s="8" t="str">
        <f>IF(T364="","",VLOOKUP(T364,引用表合并!$A:$B,2,FALSE))</f>
        <v/>
      </c>
      <c r="T364" s="8"/>
      <c r="U364" s="8"/>
      <c r="W364" s="8" t="str">
        <f>IF(X364="","",VLOOKUP(X364,引用表合并!$A:$B,2,FALSE))</f>
        <v/>
      </c>
      <c r="X364" s="8"/>
      <c r="Y364" s="8"/>
      <c r="AA364" s="8" t="str">
        <f>IF(AB364="","",VLOOKUP(AB364,引用表合并!$A:$B,2,FALSE))</f>
        <v/>
      </c>
      <c r="AB364" s="8"/>
      <c r="AC364" s="8"/>
      <c r="AE364" s="8" t="str">
        <f>IF(AF364="","",VLOOKUP(AF364,引用表合并!$A:$B,2,FALSE))</f>
        <v/>
      </c>
      <c r="AF364" s="8"/>
      <c r="AG364" s="8"/>
      <c r="AI364" s="8" t="str">
        <f>IF(AJ364="","",VLOOKUP(AJ364,引用表合并!$A:$B,2,FALSE))</f>
        <v/>
      </c>
      <c r="AJ364" s="8"/>
      <c r="AK364" s="8"/>
      <c r="AM364" s="8" t="str">
        <f>IF(AN364="","",VLOOKUP(AN364,引用表合并!$A:$B,2,FALSE))</f>
        <v/>
      </c>
      <c r="AN364" s="8"/>
      <c r="AO364" s="8"/>
      <c r="AQ364" s="8" t="str">
        <f>IF(AR364="","",VLOOKUP(AR364,引用表合并!$A:$B,2,FALSE))</f>
        <v/>
      </c>
      <c r="AR364" s="8"/>
      <c r="AS364" s="8"/>
      <c r="AU364" s="8" t="str">
        <f>IF(AV364="","",VLOOKUP(AV364,引用表合并!$A:$B,2,FALSE))</f>
        <v/>
      </c>
      <c r="AV364" s="8"/>
      <c r="AW364" s="8"/>
      <c r="AY364" s="8" t="str">
        <f>IF(AZ364="","",VLOOKUP(AZ364,引用表合并!$A:$B,2,FALSE))</f>
        <v/>
      </c>
      <c r="AZ364" s="8"/>
      <c r="BA364" s="8"/>
      <c r="BC364" s="8" t="str">
        <f>IF(BD364="","",VLOOKUP(BD364,引用表合并!$A:$B,2,FALSE))</f>
        <v/>
      </c>
      <c r="BD364" s="8"/>
      <c r="BF364" s="10"/>
      <c r="BG364" s="8" t="str">
        <f>IF(BH364="","",VLOOKUP(BH364,引用表合并!$A:$B,2,FALSE))</f>
        <v/>
      </c>
      <c r="BH364" s="8"/>
      <c r="BJ364" s="10"/>
      <c r="BK364" s="8" t="str">
        <f>IF(BL364="","",VLOOKUP(BL364,引用表合并!$A:$B,2,FALSE))</f>
        <v/>
      </c>
      <c r="BL364" s="8"/>
      <c r="BN364" s="10"/>
    </row>
    <row r="365" spans="1:66" x14ac:dyDescent="0.15">
      <c r="A365" s="8">
        <v>500508</v>
      </c>
      <c r="B365" s="8" t="s">
        <v>126</v>
      </c>
      <c r="C365" s="8">
        <v>0</v>
      </c>
      <c r="D365" s="8">
        <f t="shared" si="63"/>
        <v>0</v>
      </c>
      <c r="E365" s="16">
        <f t="shared" si="64"/>
        <v>0</v>
      </c>
      <c r="F365" s="16">
        <f t="shared" si="65"/>
        <v>0</v>
      </c>
      <c r="G365" s="8" t="str">
        <f>IF(H365="","",VLOOKUP(H365,引用表合并!$A:$B,2,FALSE))</f>
        <v/>
      </c>
      <c r="K365" s="8" t="str">
        <f>IF(L365="","",VLOOKUP(L365,引用表合并!$A:$B,2,FALSE))</f>
        <v/>
      </c>
      <c r="L365" s="8"/>
      <c r="M365" s="8"/>
      <c r="O365" s="8" t="str">
        <f>IF(P365="","",VLOOKUP(P365,引用表合并!$A:$B,2,FALSE))</f>
        <v/>
      </c>
      <c r="P365" s="8"/>
      <c r="Q365" s="8"/>
      <c r="S365" s="8" t="str">
        <f>IF(T365="","",VLOOKUP(T365,引用表合并!$A:$B,2,FALSE))</f>
        <v/>
      </c>
      <c r="T365" s="8"/>
      <c r="U365" s="8"/>
      <c r="W365" s="8" t="str">
        <f>IF(X365="","",VLOOKUP(X365,引用表合并!$A:$B,2,FALSE))</f>
        <v/>
      </c>
      <c r="X365" s="8"/>
      <c r="Y365" s="8"/>
      <c r="AA365" s="8" t="str">
        <f>IF(AB365="","",VLOOKUP(AB365,引用表合并!$A:$B,2,FALSE))</f>
        <v/>
      </c>
      <c r="AB365" s="8"/>
      <c r="AC365" s="8"/>
      <c r="AE365" s="8" t="str">
        <f>IF(AF365="","",VLOOKUP(AF365,引用表合并!$A:$B,2,FALSE))</f>
        <v/>
      </c>
      <c r="AF365" s="8"/>
      <c r="AG365" s="8"/>
      <c r="AI365" s="8" t="str">
        <f>IF(AJ365="","",VLOOKUP(AJ365,引用表合并!$A:$B,2,FALSE))</f>
        <v/>
      </c>
      <c r="AJ365" s="8"/>
      <c r="AK365" s="8"/>
      <c r="AM365" s="8" t="str">
        <f>IF(AN365="","",VLOOKUP(AN365,引用表合并!$A:$B,2,FALSE))</f>
        <v/>
      </c>
      <c r="AN365" s="8"/>
      <c r="AO365" s="8"/>
      <c r="AQ365" s="8" t="str">
        <f>IF(AR365="","",VLOOKUP(AR365,引用表合并!$A:$B,2,FALSE))</f>
        <v/>
      </c>
      <c r="AR365" s="8"/>
      <c r="AS365" s="8"/>
      <c r="AU365" s="8" t="str">
        <f>IF(AV365="","",VLOOKUP(AV365,引用表合并!$A:$B,2,FALSE))</f>
        <v/>
      </c>
      <c r="AV365" s="8"/>
      <c r="AW365" s="8"/>
      <c r="AY365" s="8" t="str">
        <f>IF(AZ365="","",VLOOKUP(AZ365,引用表合并!$A:$B,2,FALSE))</f>
        <v/>
      </c>
      <c r="AZ365" s="8"/>
      <c r="BA365" s="8"/>
      <c r="BC365" s="8" t="str">
        <f>IF(BD365="","",VLOOKUP(BD365,引用表合并!$A:$B,2,FALSE))</f>
        <v/>
      </c>
      <c r="BD365" s="8"/>
      <c r="BF365" s="10"/>
      <c r="BG365" s="8" t="str">
        <f>IF(BH365="","",VLOOKUP(BH365,引用表合并!$A:$B,2,FALSE))</f>
        <v/>
      </c>
      <c r="BH365" s="8"/>
      <c r="BJ365" s="10"/>
      <c r="BK365" s="8" t="str">
        <f>IF(BL365="","",VLOOKUP(BL365,引用表合并!$A:$B,2,FALSE))</f>
        <v/>
      </c>
      <c r="BL365" s="8"/>
      <c r="BN365" s="10"/>
    </row>
    <row r="366" spans="1:66" x14ac:dyDescent="0.15">
      <c r="A366" s="8">
        <v>901001</v>
      </c>
      <c r="B366" s="18" t="str">
        <f>"任务:"&amp;VLOOKUP(A366,CHOOSE({1,2},[4]任务经验掉落配置表!$X$3:$X$173,[4]任务经验掉落配置表!$D$3:$D$173),2,FALSE)</f>
        <v>任务:初入江湖</v>
      </c>
      <c r="C366" s="8">
        <v>0</v>
      </c>
      <c r="D366" s="8">
        <f t="shared" si="63"/>
        <v>0</v>
      </c>
      <c r="E366" s="16">
        <f t="shared" si="64"/>
        <v>0</v>
      </c>
      <c r="F366" s="16">
        <f t="shared" si="65"/>
        <v>0</v>
      </c>
      <c r="G366" s="8" t="str">
        <f>IF(H366="","",VLOOKUP(H366,引用表合并!$A:$B,2,FALSE))</f>
        <v/>
      </c>
      <c r="K366" s="8" t="str">
        <f>IF(L366="","",VLOOKUP(L366,引用表合并!$A:$B,2,FALSE))</f>
        <v/>
      </c>
      <c r="L366" s="8"/>
      <c r="M366" s="8"/>
      <c r="O366" s="8" t="str">
        <f>IF(P366="","",VLOOKUP(P366,引用表合并!$A:$B,2,FALSE))</f>
        <v/>
      </c>
      <c r="P366" s="8"/>
      <c r="Q366" s="8"/>
      <c r="S366" s="8" t="str">
        <f>IF(T366="","",VLOOKUP(T366,引用表合并!$A:$B,2,FALSE))</f>
        <v/>
      </c>
      <c r="T366" s="8"/>
      <c r="U366" s="8"/>
      <c r="W366" s="8" t="str">
        <f>IF(X366="","",VLOOKUP(X366,引用表合并!$A:$B,2,FALSE))</f>
        <v/>
      </c>
      <c r="X366" s="8"/>
      <c r="Y366" s="8"/>
      <c r="AA366" s="8" t="str">
        <f>IF(AB366="","",VLOOKUP(AB366,引用表合并!$A:$B,2,FALSE))</f>
        <v/>
      </c>
      <c r="AB366" s="8"/>
      <c r="AC366" s="8"/>
      <c r="AE366" s="8" t="str">
        <f>IF(AF366="","",VLOOKUP(AF366,引用表合并!$A:$B,2,FALSE))</f>
        <v/>
      </c>
      <c r="AF366" s="8"/>
      <c r="AG366" s="8"/>
      <c r="AI366" s="8" t="str">
        <f>IF(AJ366="","",VLOOKUP(AJ366,引用表合并!$A:$B,2,FALSE))</f>
        <v/>
      </c>
      <c r="AJ366" s="8"/>
      <c r="AK366" s="8"/>
      <c r="AM366" s="8" t="str">
        <f>IF(AN366="","",VLOOKUP(AN366,引用表合并!$A:$B,2,FALSE))</f>
        <v/>
      </c>
      <c r="AN366" s="8"/>
      <c r="AO366" s="8"/>
      <c r="AQ366" s="8" t="str">
        <f>IF(AR366="","",VLOOKUP(AR366,引用表合并!$A:$B,2,FALSE))</f>
        <v/>
      </c>
      <c r="AR366" s="8"/>
      <c r="AS366" s="8"/>
      <c r="AU366" s="8" t="str">
        <f>IF(AV366="","",VLOOKUP(AV366,引用表合并!$A:$B,2,FALSE))</f>
        <v/>
      </c>
      <c r="AV366" s="8"/>
      <c r="AW366" s="8"/>
      <c r="AY366" s="8" t="str">
        <f>IF(AZ366="","",VLOOKUP(AZ366,引用表合并!$A:$B,2,FALSE))</f>
        <v/>
      </c>
      <c r="AZ366" s="8"/>
      <c r="BA366" s="8"/>
      <c r="BC366" s="8" t="str">
        <f>IF(BD366="","",VLOOKUP(BD366,引用表合并!$A:$B,2,FALSE))</f>
        <v/>
      </c>
      <c r="BD366" s="8"/>
      <c r="BF366" s="10"/>
      <c r="BG366" s="8" t="str">
        <f>IF(BH366="","",VLOOKUP(BH366,引用表合并!$A:$B,2,FALSE))</f>
        <v/>
      </c>
      <c r="BH366" s="8"/>
      <c r="BJ366" s="10"/>
      <c r="BK366" s="8" t="str">
        <f>IF(BL366="","",VLOOKUP(BL366,引用表合并!$A:$B,2,FALSE))</f>
        <v/>
      </c>
      <c r="BL366" s="8"/>
      <c r="BN366" s="10"/>
    </row>
    <row r="367" spans="1:66" x14ac:dyDescent="0.15">
      <c r="A367" s="8">
        <v>901002</v>
      </c>
      <c r="B367" s="18" t="str">
        <f>"任务:"&amp;VLOOKUP(A367,CHOOSE({1,2},[4]任务经验掉落配置表!$X$3:$X$173,[4]任务经验掉落配置表!$D$3:$D$173),2,FALSE)</f>
        <v>任务:必备之物</v>
      </c>
      <c r="C367" s="8">
        <v>0</v>
      </c>
      <c r="D367" s="8">
        <f t="shared" si="63"/>
        <v>0</v>
      </c>
      <c r="E367" s="16">
        <f t="shared" si="64"/>
        <v>0</v>
      </c>
      <c r="F367" s="16">
        <f t="shared" si="65"/>
        <v>0</v>
      </c>
      <c r="G367" s="8" t="str">
        <f>IF(H367="","",VLOOKUP(H367,引用表合并!$A:$B,2,FALSE))</f>
        <v/>
      </c>
      <c r="K367" s="8" t="str">
        <f>IF(L367="","",VLOOKUP(L367,引用表合并!$A:$B,2,FALSE))</f>
        <v/>
      </c>
      <c r="L367" s="8"/>
      <c r="M367" s="8"/>
      <c r="O367" s="8" t="str">
        <f>IF(P367="","",VLOOKUP(P367,引用表合并!$A:$B,2,FALSE))</f>
        <v/>
      </c>
      <c r="P367" s="8"/>
      <c r="Q367" s="8"/>
      <c r="S367" s="8" t="str">
        <f>IF(T367="","",VLOOKUP(T367,引用表合并!$A:$B,2,FALSE))</f>
        <v/>
      </c>
      <c r="T367" s="8"/>
      <c r="U367" s="8"/>
      <c r="W367" s="8" t="str">
        <f>IF(X367="","",VLOOKUP(X367,引用表合并!$A:$B,2,FALSE))</f>
        <v/>
      </c>
      <c r="X367" s="8"/>
      <c r="Y367" s="8"/>
      <c r="AA367" s="8" t="str">
        <f>IF(AB367="","",VLOOKUP(AB367,引用表合并!$A:$B,2,FALSE))</f>
        <v/>
      </c>
      <c r="AB367" s="8"/>
      <c r="AC367" s="8"/>
      <c r="AE367" s="8" t="str">
        <f>IF(AF367="","",VLOOKUP(AF367,引用表合并!$A:$B,2,FALSE))</f>
        <v/>
      </c>
      <c r="AF367" s="8"/>
      <c r="AG367" s="8"/>
      <c r="AI367" s="8" t="str">
        <f>IF(AJ367="","",VLOOKUP(AJ367,引用表合并!$A:$B,2,FALSE))</f>
        <v/>
      </c>
      <c r="AJ367" s="8"/>
      <c r="AK367" s="8"/>
      <c r="AM367" s="8" t="str">
        <f>IF(AN367="","",VLOOKUP(AN367,引用表合并!$A:$B,2,FALSE))</f>
        <v/>
      </c>
      <c r="AN367" s="8"/>
      <c r="AO367" s="8"/>
      <c r="AQ367" s="8" t="str">
        <f>IF(AR367="","",VLOOKUP(AR367,引用表合并!$A:$B,2,FALSE))</f>
        <v/>
      </c>
      <c r="AR367" s="8"/>
      <c r="AS367" s="8"/>
      <c r="AU367" s="8" t="str">
        <f>IF(AV367="","",VLOOKUP(AV367,引用表合并!$A:$B,2,FALSE))</f>
        <v/>
      </c>
      <c r="AV367" s="8"/>
      <c r="AW367" s="8"/>
      <c r="AY367" s="8" t="str">
        <f>IF(AZ367="","",VLOOKUP(AZ367,引用表合并!$A:$B,2,FALSE))</f>
        <v/>
      </c>
      <c r="AZ367" s="8"/>
      <c r="BA367" s="8"/>
      <c r="BC367" s="8" t="str">
        <f>IF(BD367="","",VLOOKUP(BD367,引用表合并!$A:$B,2,FALSE))</f>
        <v/>
      </c>
      <c r="BD367" s="8"/>
      <c r="BF367" s="10"/>
      <c r="BG367" s="8" t="str">
        <f>IF(BH367="","",VLOOKUP(BH367,引用表合并!$A:$B,2,FALSE))</f>
        <v/>
      </c>
      <c r="BH367" s="8"/>
      <c r="BJ367" s="10"/>
      <c r="BK367" s="8" t="str">
        <f>IF(BL367="","",VLOOKUP(BL367,引用表合并!$A:$B,2,FALSE))</f>
        <v/>
      </c>
      <c r="BL367" s="8"/>
      <c r="BN367" s="10"/>
    </row>
    <row r="368" spans="1:66" x14ac:dyDescent="0.15">
      <c r="A368" s="8">
        <v>901003</v>
      </c>
      <c r="B368" s="18" t="str">
        <f>"任务:"&amp;VLOOKUP(A368,CHOOSE({1,2},[4]任务经验掉落配置表!$X$3:$X$173,[4]任务经验掉落配置表!$D$3:$D$173),2,FALSE)</f>
        <v>任务:勇闯西贡</v>
      </c>
      <c r="C368" s="8">
        <v>0</v>
      </c>
      <c r="D368" s="8">
        <f t="shared" si="63"/>
        <v>1</v>
      </c>
      <c r="E368" s="16">
        <f t="shared" si="64"/>
        <v>1</v>
      </c>
      <c r="F368" s="16">
        <f t="shared" si="65"/>
        <v>1</v>
      </c>
      <c r="G368" s="8" t="str">
        <f>IF(H368="","",VLOOKUP(H368,引用表合并!$A:$B,2,FALSE))</f>
        <v>染血长裤</v>
      </c>
      <c r="H368" s="8">
        <v>52002</v>
      </c>
      <c r="I368" s="8">
        <v>1</v>
      </c>
      <c r="J368" s="10">
        <v>10000</v>
      </c>
      <c r="K368" s="8" t="str">
        <f>IF(L368="","",VLOOKUP(L368,引用表合并!$A:$B,2,FALSE))</f>
        <v/>
      </c>
      <c r="L368" s="8"/>
      <c r="M368" s="8"/>
      <c r="O368" s="8" t="str">
        <f>IF(P368="","",VLOOKUP(P368,引用表合并!$A:$B,2,FALSE))</f>
        <v/>
      </c>
      <c r="P368" s="8"/>
      <c r="Q368" s="8"/>
      <c r="S368" s="8" t="str">
        <f>IF(T368="","",VLOOKUP(T368,引用表合并!$A:$B,2,FALSE))</f>
        <v/>
      </c>
      <c r="T368" s="8"/>
      <c r="U368" s="8"/>
      <c r="W368" s="8" t="str">
        <f>IF(X368="","",VLOOKUP(X368,引用表合并!$A:$B,2,FALSE))</f>
        <v/>
      </c>
      <c r="X368" s="8"/>
      <c r="Y368" s="8"/>
      <c r="AA368" s="8" t="str">
        <f>IF(AB368="","",VLOOKUP(AB368,引用表合并!$A:$B,2,FALSE))</f>
        <v/>
      </c>
      <c r="AB368" s="8"/>
      <c r="AC368" s="8"/>
      <c r="AE368" s="8" t="str">
        <f>IF(AF368="","",VLOOKUP(AF368,引用表合并!$A:$B,2,FALSE))</f>
        <v/>
      </c>
      <c r="AF368" s="8"/>
      <c r="AG368" s="8"/>
      <c r="AI368" s="8" t="str">
        <f>IF(AJ368="","",VLOOKUP(AJ368,引用表合并!$A:$B,2,FALSE))</f>
        <v/>
      </c>
      <c r="AJ368" s="8"/>
      <c r="AK368" s="8"/>
      <c r="AM368" s="8" t="str">
        <f>IF(AN368="","",VLOOKUP(AN368,引用表合并!$A:$B,2,FALSE))</f>
        <v/>
      </c>
      <c r="AN368" s="8"/>
      <c r="AO368" s="8"/>
      <c r="AQ368" s="8" t="str">
        <f>IF(AR368="","",VLOOKUP(AR368,引用表合并!$A:$B,2,FALSE))</f>
        <v/>
      </c>
      <c r="AR368" s="8"/>
      <c r="AS368" s="8"/>
      <c r="AU368" s="8" t="str">
        <f>IF(AV368="","",VLOOKUP(AV368,引用表合并!$A:$B,2,FALSE))</f>
        <v/>
      </c>
      <c r="AV368" s="8"/>
      <c r="AW368" s="8"/>
      <c r="AY368" s="8" t="str">
        <f>IF(AZ368="","",VLOOKUP(AZ368,引用表合并!$A:$B,2,FALSE))</f>
        <v/>
      </c>
      <c r="AZ368" s="8"/>
      <c r="BA368" s="8"/>
      <c r="BC368" s="8" t="str">
        <f>IF(BD368="","",VLOOKUP(BD368,引用表合并!$A:$B,2,FALSE))</f>
        <v/>
      </c>
      <c r="BD368" s="8"/>
      <c r="BF368" s="10"/>
      <c r="BG368" s="8" t="str">
        <f>IF(BH368="","",VLOOKUP(BH368,引用表合并!$A:$B,2,FALSE))</f>
        <v/>
      </c>
      <c r="BH368" s="8"/>
      <c r="BJ368" s="10"/>
      <c r="BK368" s="8" t="str">
        <f>IF(BL368="","",VLOOKUP(BL368,引用表合并!$A:$B,2,FALSE))</f>
        <v/>
      </c>
      <c r="BL368" s="8"/>
      <c r="BN368" s="10"/>
    </row>
    <row r="369" spans="1:66" x14ac:dyDescent="0.15">
      <c r="A369" s="8">
        <v>901004</v>
      </c>
      <c r="B369" s="18" t="str">
        <f>"任务:"&amp;VLOOKUP(A369,CHOOSE({1,2},[4]任务经验掉落配置表!$X$3:$X$173,[4]任务经验掉落配置表!$D$3:$D$173),2,FALSE)</f>
        <v>任务:习得技能</v>
      </c>
      <c r="C369" s="8">
        <v>0</v>
      </c>
      <c r="D369" s="8">
        <f t="shared" si="63"/>
        <v>0</v>
      </c>
      <c r="E369" s="16">
        <f t="shared" si="64"/>
        <v>0</v>
      </c>
      <c r="F369" s="16">
        <f t="shared" si="65"/>
        <v>0</v>
      </c>
      <c r="G369" s="8" t="str">
        <f>IF(H369="","",VLOOKUP(H369,引用表合并!$A:$B,2,FALSE))</f>
        <v/>
      </c>
      <c r="K369" s="8" t="str">
        <f>IF(L369="","",VLOOKUP(L369,引用表合并!$A:$B,2,FALSE))</f>
        <v/>
      </c>
      <c r="L369" s="8"/>
      <c r="M369" s="8"/>
      <c r="O369" s="8" t="str">
        <f>IF(P369="","",VLOOKUP(P369,引用表合并!$A:$B,2,FALSE))</f>
        <v/>
      </c>
      <c r="P369" s="8"/>
      <c r="Q369" s="8"/>
      <c r="S369" s="8" t="str">
        <f>IF(T369="","",VLOOKUP(T369,引用表合并!$A:$B,2,FALSE))</f>
        <v/>
      </c>
      <c r="T369" s="8"/>
      <c r="U369" s="8"/>
      <c r="W369" s="8" t="str">
        <f>IF(X369="","",VLOOKUP(X369,引用表合并!$A:$B,2,FALSE))</f>
        <v/>
      </c>
      <c r="X369" s="8"/>
      <c r="Y369" s="8"/>
      <c r="AA369" s="8" t="str">
        <f>IF(AB369="","",VLOOKUP(AB369,引用表合并!$A:$B,2,FALSE))</f>
        <v/>
      </c>
      <c r="AB369" s="8"/>
      <c r="AC369" s="8"/>
      <c r="AE369" s="8" t="str">
        <f>IF(AF369="","",VLOOKUP(AF369,引用表合并!$A:$B,2,FALSE))</f>
        <v/>
      </c>
      <c r="AF369" s="8"/>
      <c r="AG369" s="8"/>
      <c r="AI369" s="8" t="str">
        <f>IF(AJ369="","",VLOOKUP(AJ369,引用表合并!$A:$B,2,FALSE))</f>
        <v/>
      </c>
      <c r="AJ369" s="8"/>
      <c r="AK369" s="8"/>
      <c r="AM369" s="8" t="str">
        <f>IF(AN369="","",VLOOKUP(AN369,引用表合并!$A:$B,2,FALSE))</f>
        <v/>
      </c>
      <c r="AN369" s="8"/>
      <c r="AO369" s="8"/>
      <c r="AQ369" s="8" t="str">
        <f>IF(AR369="","",VLOOKUP(AR369,引用表合并!$A:$B,2,FALSE))</f>
        <v/>
      </c>
      <c r="AR369" s="8"/>
      <c r="AS369" s="8"/>
      <c r="AU369" s="8" t="str">
        <f>IF(AV369="","",VLOOKUP(AV369,引用表合并!$A:$B,2,FALSE))</f>
        <v/>
      </c>
      <c r="AV369" s="8"/>
      <c r="AW369" s="8"/>
      <c r="AY369" s="8" t="str">
        <f>IF(AZ369="","",VLOOKUP(AZ369,引用表合并!$A:$B,2,FALSE))</f>
        <v/>
      </c>
      <c r="AZ369" s="8"/>
      <c r="BA369" s="8"/>
      <c r="BC369" s="8" t="str">
        <f>IF(BD369="","",VLOOKUP(BD369,引用表合并!$A:$B,2,FALSE))</f>
        <v/>
      </c>
      <c r="BD369" s="8"/>
      <c r="BF369" s="10"/>
      <c r="BG369" s="8" t="str">
        <f>IF(BH369="","",VLOOKUP(BH369,引用表合并!$A:$B,2,FALSE))</f>
        <v/>
      </c>
      <c r="BH369" s="8"/>
      <c r="BJ369" s="10"/>
      <c r="BK369" s="8" t="str">
        <f>IF(BL369="","",VLOOKUP(BL369,引用表合并!$A:$B,2,FALSE))</f>
        <v/>
      </c>
      <c r="BL369" s="8"/>
      <c r="BN369" s="10"/>
    </row>
    <row r="370" spans="1:66" x14ac:dyDescent="0.15">
      <c r="A370" s="8">
        <v>901005</v>
      </c>
      <c r="B370" s="18" t="str">
        <f>"任务:"&amp;VLOOKUP(A370,CHOOSE({1,2},[4]任务经验掉落配置表!$X$3:$X$173,[4]任务经验掉落配置表!$D$3:$D$173),2,FALSE)</f>
        <v>任务:召见</v>
      </c>
      <c r="C370" s="8">
        <v>0</v>
      </c>
      <c r="D370" s="8">
        <f t="shared" si="63"/>
        <v>1</v>
      </c>
      <c r="E370" s="16">
        <f t="shared" si="64"/>
        <v>1</v>
      </c>
      <c r="F370" s="16">
        <f t="shared" si="65"/>
        <v>1</v>
      </c>
      <c r="G370" s="8" t="str">
        <f>IF(H370="","",VLOOKUP(H370,引用表合并!$A:$B,2,FALSE))</f>
        <v>染血战衣</v>
      </c>
      <c r="H370" s="8">
        <v>51002</v>
      </c>
      <c r="I370" s="8">
        <v>1</v>
      </c>
      <c r="J370" s="10">
        <v>10000</v>
      </c>
      <c r="K370" s="8" t="str">
        <f>IF(L370="","",VLOOKUP(L370,引用表合并!$A:$B,2,FALSE))</f>
        <v/>
      </c>
      <c r="L370" s="8"/>
      <c r="M370" s="8"/>
      <c r="O370" s="8" t="str">
        <f>IF(P370="","",VLOOKUP(P370,引用表合并!$A:$B,2,FALSE))</f>
        <v/>
      </c>
      <c r="P370" s="8"/>
      <c r="Q370" s="8"/>
      <c r="S370" s="8" t="str">
        <f>IF(T370="","",VLOOKUP(T370,引用表合并!$A:$B,2,FALSE))</f>
        <v/>
      </c>
      <c r="T370" s="8"/>
      <c r="U370" s="8"/>
      <c r="W370" s="8" t="str">
        <f>IF(X370="","",VLOOKUP(X370,引用表合并!$A:$B,2,FALSE))</f>
        <v/>
      </c>
      <c r="X370" s="8"/>
      <c r="Y370" s="8"/>
      <c r="AA370" s="8" t="str">
        <f>IF(AB370="","",VLOOKUP(AB370,引用表合并!$A:$B,2,FALSE))</f>
        <v/>
      </c>
      <c r="AB370" s="8"/>
      <c r="AC370" s="8"/>
      <c r="AE370" s="8" t="str">
        <f>IF(AF370="","",VLOOKUP(AF370,引用表合并!$A:$B,2,FALSE))</f>
        <v/>
      </c>
      <c r="AF370" s="8"/>
      <c r="AG370" s="8"/>
      <c r="AI370" s="8" t="str">
        <f>IF(AJ370="","",VLOOKUP(AJ370,引用表合并!$A:$B,2,FALSE))</f>
        <v/>
      </c>
      <c r="AJ370" s="8"/>
      <c r="AK370" s="8"/>
      <c r="AM370" s="8" t="str">
        <f>IF(AN370="","",VLOOKUP(AN370,引用表合并!$A:$B,2,FALSE))</f>
        <v/>
      </c>
      <c r="AN370" s="8"/>
      <c r="AO370" s="8"/>
      <c r="AQ370" s="8" t="str">
        <f>IF(AR370="","",VLOOKUP(AR370,引用表合并!$A:$B,2,FALSE))</f>
        <v/>
      </c>
      <c r="AR370" s="8"/>
      <c r="AS370" s="8"/>
      <c r="AU370" s="8" t="str">
        <f>IF(AV370="","",VLOOKUP(AV370,引用表合并!$A:$B,2,FALSE))</f>
        <v/>
      </c>
      <c r="AV370" s="8"/>
      <c r="AW370" s="8"/>
      <c r="AY370" s="8" t="str">
        <f>IF(AZ370="","",VLOOKUP(AZ370,引用表合并!$A:$B,2,FALSE))</f>
        <v/>
      </c>
      <c r="AZ370" s="8"/>
      <c r="BA370" s="8"/>
      <c r="BC370" s="8" t="str">
        <f>IF(BD370="","",VLOOKUP(BD370,引用表合并!$A:$B,2,FALSE))</f>
        <v/>
      </c>
      <c r="BD370" s="8"/>
      <c r="BF370" s="10"/>
      <c r="BG370" s="8" t="str">
        <f>IF(BH370="","",VLOOKUP(BH370,引用表合并!$A:$B,2,FALSE))</f>
        <v/>
      </c>
      <c r="BH370" s="8"/>
      <c r="BJ370" s="10"/>
      <c r="BK370" s="8" t="str">
        <f>IF(BL370="","",VLOOKUP(BL370,引用表合并!$A:$B,2,FALSE))</f>
        <v/>
      </c>
      <c r="BL370" s="8"/>
      <c r="BN370" s="10"/>
    </row>
    <row r="371" spans="1:66" x14ac:dyDescent="0.15">
      <c r="A371" s="8">
        <v>901006</v>
      </c>
      <c r="B371" s="18" t="str">
        <f>"任务:"&amp;VLOOKUP(A371,CHOOSE({1,2},[4]任务经验掉落配置表!$X$3:$X$173,[4]任务经验掉落配置表!$D$3:$D$173),2,FALSE)</f>
        <v>任务:戏逗小结巴</v>
      </c>
      <c r="C371" s="8">
        <v>0</v>
      </c>
      <c r="D371" s="8">
        <f t="shared" si="63"/>
        <v>1</v>
      </c>
      <c r="E371" s="16">
        <f t="shared" si="64"/>
        <v>1</v>
      </c>
      <c r="F371" s="16">
        <f t="shared" si="65"/>
        <v>1</v>
      </c>
      <c r="G371" s="8" t="str">
        <f>IF(H371="","",VLOOKUP(H371,引用表合并!$A:$B,2,FALSE))</f>
        <v>染血腰带</v>
      </c>
      <c r="H371" s="8">
        <v>54002</v>
      </c>
      <c r="I371" s="8">
        <v>1</v>
      </c>
      <c r="J371" s="10">
        <v>10000</v>
      </c>
      <c r="K371" s="8" t="str">
        <f>IF(L371="","",VLOOKUP(L371,引用表合并!$A:$B,2,FALSE))</f>
        <v/>
      </c>
      <c r="L371" s="8"/>
      <c r="M371" s="8"/>
      <c r="O371" s="8" t="str">
        <f>IF(P371="","",VLOOKUP(P371,引用表合并!$A:$B,2,FALSE))</f>
        <v/>
      </c>
      <c r="P371" s="8"/>
      <c r="Q371" s="8"/>
      <c r="S371" s="8" t="str">
        <f>IF(T371="","",VLOOKUP(T371,引用表合并!$A:$B,2,FALSE))</f>
        <v/>
      </c>
      <c r="T371" s="8"/>
      <c r="U371" s="8"/>
      <c r="W371" s="8" t="str">
        <f>IF(X371="","",VLOOKUP(X371,引用表合并!$A:$B,2,FALSE))</f>
        <v/>
      </c>
      <c r="X371" s="8"/>
      <c r="Y371" s="8"/>
      <c r="AA371" s="8" t="str">
        <f>IF(AB371="","",VLOOKUP(AB371,引用表合并!$A:$B,2,FALSE))</f>
        <v/>
      </c>
      <c r="AB371" s="8"/>
      <c r="AC371" s="8"/>
      <c r="AE371" s="8" t="str">
        <f>IF(AF371="","",VLOOKUP(AF371,引用表合并!$A:$B,2,FALSE))</f>
        <v/>
      </c>
      <c r="AF371" s="8"/>
      <c r="AG371" s="8"/>
      <c r="AI371" s="8" t="str">
        <f>IF(AJ371="","",VLOOKUP(AJ371,引用表合并!$A:$B,2,FALSE))</f>
        <v/>
      </c>
      <c r="AJ371" s="8"/>
      <c r="AK371" s="8"/>
      <c r="AM371" s="8" t="str">
        <f>IF(AN371="","",VLOOKUP(AN371,引用表合并!$A:$B,2,FALSE))</f>
        <v/>
      </c>
      <c r="AN371" s="8"/>
      <c r="AO371" s="8"/>
      <c r="AQ371" s="8" t="str">
        <f>IF(AR371="","",VLOOKUP(AR371,引用表合并!$A:$B,2,FALSE))</f>
        <v/>
      </c>
      <c r="AR371" s="8"/>
      <c r="AS371" s="8"/>
      <c r="AU371" s="8" t="str">
        <f>IF(AV371="","",VLOOKUP(AV371,引用表合并!$A:$B,2,FALSE))</f>
        <v/>
      </c>
      <c r="AV371" s="8"/>
      <c r="AW371" s="8"/>
      <c r="AY371" s="8" t="str">
        <f>IF(AZ371="","",VLOOKUP(AZ371,引用表合并!$A:$B,2,FALSE))</f>
        <v/>
      </c>
      <c r="AZ371" s="8"/>
      <c r="BA371" s="8"/>
      <c r="BC371" s="8" t="str">
        <f>IF(BD371="","",VLOOKUP(BD371,引用表合并!$A:$B,2,FALSE))</f>
        <v/>
      </c>
      <c r="BD371" s="8"/>
      <c r="BF371" s="10"/>
      <c r="BG371" s="8" t="str">
        <f>IF(BH371="","",VLOOKUP(BH371,引用表合并!$A:$B,2,FALSE))</f>
        <v/>
      </c>
      <c r="BH371" s="8"/>
      <c r="BJ371" s="10"/>
      <c r="BK371" s="8" t="str">
        <f>IF(BL371="","",VLOOKUP(BL371,引用表合并!$A:$B,2,FALSE))</f>
        <v/>
      </c>
      <c r="BL371" s="8"/>
      <c r="BN371" s="10"/>
    </row>
    <row r="372" spans="1:66" x14ac:dyDescent="0.15">
      <c r="A372" s="8">
        <v>901008</v>
      </c>
      <c r="B372" s="18" t="str">
        <f>"任务:"&amp;VLOOKUP(A372,CHOOSE({1,2},[4]任务经验掉落配置表!$X$3:$X$173,[4]任务经验掉落配置表!$D$3:$D$173),2,FALSE)</f>
        <v>任务:陷阱</v>
      </c>
      <c r="C372" s="8">
        <v>0</v>
      </c>
      <c r="D372" s="8">
        <f t="shared" si="63"/>
        <v>1</v>
      </c>
      <c r="E372" s="16">
        <f t="shared" si="64"/>
        <v>1</v>
      </c>
      <c r="F372" s="16">
        <f t="shared" si="65"/>
        <v>1</v>
      </c>
      <c r="G372" s="8" t="str">
        <f>IF(H372="","",VLOOKUP(H372,引用表合并!$A:$B,2,FALSE))</f>
        <v>染血项链</v>
      </c>
      <c r="H372" s="8">
        <v>53002</v>
      </c>
      <c r="I372" s="8">
        <v>1</v>
      </c>
      <c r="J372" s="10">
        <v>10000</v>
      </c>
      <c r="K372" s="8" t="str">
        <f>IF(L372="","",VLOOKUP(L372,引用表合并!$A:$B,2,FALSE))</f>
        <v/>
      </c>
      <c r="L372" s="8"/>
      <c r="M372" s="8"/>
      <c r="O372" s="8" t="str">
        <f>IF(P372="","",VLOOKUP(P372,引用表合并!$A:$B,2,FALSE))</f>
        <v/>
      </c>
      <c r="P372" s="8"/>
      <c r="Q372" s="8"/>
      <c r="S372" s="8" t="str">
        <f>IF(T372="","",VLOOKUP(T372,引用表合并!$A:$B,2,FALSE))</f>
        <v/>
      </c>
      <c r="T372" s="8"/>
      <c r="U372" s="8"/>
      <c r="W372" s="8" t="str">
        <f>IF(X372="","",VLOOKUP(X372,引用表合并!$A:$B,2,FALSE))</f>
        <v/>
      </c>
      <c r="X372" s="8"/>
      <c r="Y372" s="8"/>
      <c r="AA372" s="8" t="str">
        <f>IF(AB372="","",VLOOKUP(AB372,引用表合并!$A:$B,2,FALSE))</f>
        <v/>
      </c>
      <c r="AB372" s="8"/>
      <c r="AC372" s="8"/>
      <c r="AE372" s="8" t="str">
        <f>IF(AF372="","",VLOOKUP(AF372,引用表合并!$A:$B,2,FALSE))</f>
        <v/>
      </c>
      <c r="AF372" s="8"/>
      <c r="AG372" s="8"/>
      <c r="AI372" s="8" t="str">
        <f>IF(AJ372="","",VLOOKUP(AJ372,引用表合并!$A:$B,2,FALSE))</f>
        <v/>
      </c>
      <c r="AJ372" s="8"/>
      <c r="AK372" s="8"/>
      <c r="AM372" s="8" t="str">
        <f>IF(AN372="","",VLOOKUP(AN372,引用表合并!$A:$B,2,FALSE))</f>
        <v/>
      </c>
      <c r="AN372" s="8"/>
      <c r="AO372" s="8"/>
      <c r="AQ372" s="8" t="str">
        <f>IF(AR372="","",VLOOKUP(AR372,引用表合并!$A:$B,2,FALSE))</f>
        <v/>
      </c>
      <c r="AR372" s="8"/>
      <c r="AS372" s="8"/>
      <c r="AU372" s="8" t="str">
        <f>IF(AV372="","",VLOOKUP(AV372,引用表合并!$A:$B,2,FALSE))</f>
        <v/>
      </c>
      <c r="AV372" s="8"/>
      <c r="AW372" s="8"/>
      <c r="AY372" s="8" t="str">
        <f>IF(AZ372="","",VLOOKUP(AZ372,引用表合并!$A:$B,2,FALSE))</f>
        <v/>
      </c>
      <c r="AZ372" s="8"/>
      <c r="BA372" s="8"/>
      <c r="BC372" s="8" t="str">
        <f>IF(BD372="","",VLOOKUP(BD372,引用表合并!$A:$B,2,FALSE))</f>
        <v/>
      </c>
      <c r="BD372" s="8"/>
      <c r="BF372" s="10"/>
      <c r="BG372" s="8" t="str">
        <f>IF(BH372="","",VLOOKUP(BH372,引用表合并!$A:$B,2,FALSE))</f>
        <v/>
      </c>
      <c r="BH372" s="8"/>
      <c r="BJ372" s="10"/>
      <c r="BK372" s="8" t="str">
        <f>IF(BL372="","",VLOOKUP(BL372,引用表合并!$A:$B,2,FALSE))</f>
        <v/>
      </c>
      <c r="BL372" s="8"/>
      <c r="BN372" s="10"/>
    </row>
    <row r="373" spans="1:66" x14ac:dyDescent="0.15">
      <c r="A373" s="8">
        <v>901010</v>
      </c>
      <c r="B373" s="18" t="str">
        <f>"任务:"&amp;VLOOKUP(A373,CHOOSE({1,2},[4]任务经验掉落配置表!$X$3:$X$173,[4]任务经验掉落配置表!$D$3:$D$173),2,FALSE)</f>
        <v>任务:追查线索</v>
      </c>
      <c r="C373" s="8">
        <v>0</v>
      </c>
      <c r="D373" s="8">
        <f t="shared" si="63"/>
        <v>0</v>
      </c>
      <c r="E373" s="16">
        <f t="shared" si="64"/>
        <v>0</v>
      </c>
      <c r="F373" s="16">
        <f t="shared" si="65"/>
        <v>0</v>
      </c>
      <c r="G373" s="8" t="str">
        <f>IF(H373="","",VLOOKUP(H373,引用表合并!$A:$B,2,FALSE))</f>
        <v/>
      </c>
      <c r="K373" s="8" t="str">
        <f>IF(L373="","",VLOOKUP(L373,引用表合并!$A:$B,2,FALSE))</f>
        <v/>
      </c>
      <c r="L373" s="8"/>
      <c r="M373" s="8"/>
      <c r="O373" s="8" t="str">
        <f>IF(P373="","",VLOOKUP(P373,引用表合并!$A:$B,2,FALSE))</f>
        <v/>
      </c>
      <c r="P373" s="8"/>
      <c r="Q373" s="8"/>
      <c r="S373" s="8" t="str">
        <f>IF(T373="","",VLOOKUP(T373,引用表合并!$A:$B,2,FALSE))</f>
        <v/>
      </c>
      <c r="T373" s="8"/>
      <c r="U373" s="8"/>
      <c r="W373" s="8" t="str">
        <f>IF(X373="","",VLOOKUP(X373,引用表合并!$A:$B,2,FALSE))</f>
        <v/>
      </c>
      <c r="X373" s="8"/>
      <c r="Y373" s="8"/>
      <c r="AA373" s="8" t="str">
        <f>IF(AB373="","",VLOOKUP(AB373,引用表合并!$A:$B,2,FALSE))</f>
        <v/>
      </c>
      <c r="AB373" s="8"/>
      <c r="AC373" s="8"/>
      <c r="AE373" s="8" t="str">
        <f>IF(AF373="","",VLOOKUP(AF373,引用表合并!$A:$B,2,FALSE))</f>
        <v/>
      </c>
      <c r="AF373" s="8"/>
      <c r="AG373" s="8"/>
      <c r="AI373" s="8" t="str">
        <f>IF(AJ373="","",VLOOKUP(AJ373,引用表合并!$A:$B,2,FALSE))</f>
        <v/>
      </c>
      <c r="AJ373" s="8"/>
      <c r="AK373" s="8"/>
      <c r="AM373" s="8" t="str">
        <f>IF(AN373="","",VLOOKUP(AN373,引用表合并!$A:$B,2,FALSE))</f>
        <v/>
      </c>
      <c r="AN373" s="8"/>
      <c r="AO373" s="8"/>
      <c r="AQ373" s="8" t="str">
        <f>IF(AR373="","",VLOOKUP(AR373,引用表合并!$A:$B,2,FALSE))</f>
        <v/>
      </c>
      <c r="AR373" s="8"/>
      <c r="AS373" s="8"/>
      <c r="AU373" s="8" t="str">
        <f>IF(AV373="","",VLOOKUP(AV373,引用表合并!$A:$B,2,FALSE))</f>
        <v/>
      </c>
      <c r="AV373" s="8"/>
      <c r="AW373" s="8"/>
      <c r="AY373" s="8" t="str">
        <f>IF(AZ373="","",VLOOKUP(AZ373,引用表合并!$A:$B,2,FALSE))</f>
        <v/>
      </c>
      <c r="AZ373" s="8"/>
      <c r="BA373" s="8"/>
      <c r="BC373" s="8" t="str">
        <f>IF(BD373="","",VLOOKUP(BD373,引用表合并!$A:$B,2,FALSE))</f>
        <v/>
      </c>
      <c r="BD373" s="8"/>
      <c r="BF373" s="10"/>
      <c r="BG373" s="8" t="str">
        <f>IF(BH373="","",VLOOKUP(BH373,引用表合并!$A:$B,2,FALSE))</f>
        <v/>
      </c>
      <c r="BH373" s="8"/>
      <c r="BJ373" s="10"/>
      <c r="BK373" s="8" t="str">
        <f>IF(BL373="","",VLOOKUP(BL373,引用表合并!$A:$B,2,FALSE))</f>
        <v/>
      </c>
      <c r="BL373" s="8"/>
      <c r="BN373" s="10"/>
    </row>
    <row r="374" spans="1:66" x14ac:dyDescent="0.15">
      <c r="A374" s="8">
        <v>901011</v>
      </c>
      <c r="B374" s="18" t="str">
        <f>"任务:"&amp;VLOOKUP(A374,CHOOSE({1,2},[4]任务经验掉落配置表!$X$3:$X$173,[4]任务经验掉落配置表!$D$3:$D$173),2,FALSE)</f>
        <v>任务:B哥遇害</v>
      </c>
      <c r="C374" s="8">
        <v>0</v>
      </c>
      <c r="D374" s="8">
        <f t="shared" si="63"/>
        <v>1</v>
      </c>
      <c r="E374" s="16">
        <f t="shared" si="64"/>
        <v>1</v>
      </c>
      <c r="F374" s="16">
        <f t="shared" si="65"/>
        <v>1</v>
      </c>
      <c r="G374" s="8" t="str">
        <f>IF(H374="","",VLOOKUP(H374,引用表合并!$A:$B,2,FALSE))</f>
        <v>染血长靴</v>
      </c>
      <c r="H374" s="8">
        <v>55002</v>
      </c>
      <c r="I374" s="8">
        <v>1</v>
      </c>
      <c r="J374" s="10">
        <v>10000</v>
      </c>
      <c r="K374" s="8" t="str">
        <f>IF(L374="","",VLOOKUP(L374,引用表合并!$A:$B,2,FALSE))</f>
        <v/>
      </c>
      <c r="L374" s="8"/>
      <c r="M374" s="8"/>
      <c r="O374" s="8" t="str">
        <f>IF(P374="","",VLOOKUP(P374,引用表合并!$A:$B,2,FALSE))</f>
        <v/>
      </c>
      <c r="P374" s="8"/>
      <c r="Q374" s="8"/>
      <c r="S374" s="8" t="str">
        <f>IF(T374="","",VLOOKUP(T374,引用表合并!$A:$B,2,FALSE))</f>
        <v/>
      </c>
      <c r="T374" s="8"/>
      <c r="U374" s="8"/>
      <c r="W374" s="8" t="str">
        <f>IF(X374="","",VLOOKUP(X374,引用表合并!$A:$B,2,FALSE))</f>
        <v/>
      </c>
      <c r="X374" s="8"/>
      <c r="Y374" s="8"/>
      <c r="AA374" s="8" t="str">
        <f>IF(AB374="","",VLOOKUP(AB374,引用表合并!$A:$B,2,FALSE))</f>
        <v/>
      </c>
      <c r="AB374" s="8"/>
      <c r="AC374" s="8"/>
      <c r="AE374" s="8" t="str">
        <f>IF(AF374="","",VLOOKUP(AF374,引用表合并!$A:$B,2,FALSE))</f>
        <v/>
      </c>
      <c r="AF374" s="8"/>
      <c r="AG374" s="8"/>
      <c r="AI374" s="8" t="str">
        <f>IF(AJ374="","",VLOOKUP(AJ374,引用表合并!$A:$B,2,FALSE))</f>
        <v/>
      </c>
      <c r="AJ374" s="8"/>
      <c r="AK374" s="8"/>
      <c r="AM374" s="8" t="str">
        <f>IF(AN374="","",VLOOKUP(AN374,引用表合并!$A:$B,2,FALSE))</f>
        <v/>
      </c>
      <c r="AN374" s="8"/>
      <c r="AO374" s="8"/>
      <c r="AQ374" s="8" t="str">
        <f>IF(AR374="","",VLOOKUP(AR374,引用表合并!$A:$B,2,FALSE))</f>
        <v/>
      </c>
      <c r="AR374" s="8"/>
      <c r="AS374" s="8"/>
      <c r="AU374" s="8" t="str">
        <f>IF(AV374="","",VLOOKUP(AV374,引用表合并!$A:$B,2,FALSE))</f>
        <v/>
      </c>
      <c r="AV374" s="8"/>
      <c r="AW374" s="8"/>
      <c r="AY374" s="8" t="str">
        <f>IF(AZ374="","",VLOOKUP(AZ374,引用表合并!$A:$B,2,FALSE))</f>
        <v/>
      </c>
      <c r="AZ374" s="8"/>
      <c r="BA374" s="8"/>
      <c r="BC374" s="8" t="str">
        <f>IF(BD374="","",VLOOKUP(BD374,引用表合并!$A:$B,2,FALSE))</f>
        <v/>
      </c>
      <c r="BD374" s="8"/>
      <c r="BF374" s="10"/>
      <c r="BG374" s="8" t="str">
        <f>IF(BH374="","",VLOOKUP(BH374,引用表合并!$A:$B,2,FALSE))</f>
        <v/>
      </c>
      <c r="BH374" s="8"/>
      <c r="BJ374" s="10"/>
      <c r="BK374" s="8" t="str">
        <f>IF(BL374="","",VLOOKUP(BL374,引用表合并!$A:$B,2,FALSE))</f>
        <v/>
      </c>
      <c r="BL374" s="8"/>
      <c r="BN374" s="10"/>
    </row>
    <row r="375" spans="1:66" x14ac:dyDescent="0.15">
      <c r="A375" s="8">
        <v>901012</v>
      </c>
      <c r="B375" s="18" t="str">
        <f>"任务:"&amp;VLOOKUP(A375,CHOOSE({1,2},[4]任务经验掉落配置表!$X$3:$X$173,[4]任务经验掉落配置表!$D$3:$D$173),2,FALSE)</f>
        <v>任务:截杀靓坤</v>
      </c>
      <c r="C375" s="8">
        <v>0</v>
      </c>
      <c r="D375" s="8">
        <f t="shared" si="63"/>
        <v>1</v>
      </c>
      <c r="E375" s="16">
        <f t="shared" si="64"/>
        <v>1</v>
      </c>
      <c r="F375" s="16">
        <f t="shared" si="65"/>
        <v>1</v>
      </c>
      <c r="G375" s="8" t="str">
        <f>IF(H375="","",VLOOKUP(H375,引用表合并!$A:$B,2,FALSE))</f>
        <v>洪兴新星</v>
      </c>
      <c r="H375" s="8">
        <v>83003</v>
      </c>
      <c r="I375" s="8">
        <v>1</v>
      </c>
      <c r="J375" s="10">
        <v>10000</v>
      </c>
      <c r="K375" s="8" t="str">
        <f>IF(L375="","",VLOOKUP(L375,引用表合并!$A:$B,2,FALSE))</f>
        <v/>
      </c>
      <c r="L375" s="8"/>
      <c r="M375" s="8"/>
      <c r="O375" s="8" t="str">
        <f>IF(P375="","",VLOOKUP(P375,引用表合并!$A:$B,2,FALSE))</f>
        <v/>
      </c>
      <c r="P375" s="8"/>
      <c r="Q375" s="8"/>
      <c r="S375" s="8" t="str">
        <f>IF(T375="","",VLOOKUP(T375,引用表合并!$A:$B,2,FALSE))</f>
        <v/>
      </c>
      <c r="T375" s="8"/>
      <c r="U375" s="8"/>
      <c r="W375" s="8" t="str">
        <f>IF(X375="","",VLOOKUP(X375,引用表合并!$A:$B,2,FALSE))</f>
        <v/>
      </c>
      <c r="X375" s="8"/>
      <c r="Y375" s="8"/>
      <c r="AA375" s="8" t="str">
        <f>IF(AB375="","",VLOOKUP(AB375,引用表合并!$A:$B,2,FALSE))</f>
        <v/>
      </c>
      <c r="AB375" s="8"/>
      <c r="AC375" s="8"/>
      <c r="AE375" s="8" t="str">
        <f>IF(AF375="","",VLOOKUP(AF375,引用表合并!$A:$B,2,FALSE))</f>
        <v/>
      </c>
      <c r="AF375" s="8"/>
      <c r="AG375" s="8"/>
      <c r="AI375" s="8" t="str">
        <f>IF(AJ375="","",VLOOKUP(AJ375,引用表合并!$A:$B,2,FALSE))</f>
        <v/>
      </c>
      <c r="AJ375" s="8"/>
      <c r="AK375" s="8"/>
      <c r="AM375" s="8" t="str">
        <f>IF(AN375="","",VLOOKUP(AN375,引用表合并!$A:$B,2,FALSE))</f>
        <v/>
      </c>
      <c r="AN375" s="8"/>
      <c r="AO375" s="8"/>
      <c r="AQ375" s="8" t="str">
        <f>IF(AR375="","",VLOOKUP(AR375,引用表合并!$A:$B,2,FALSE))</f>
        <v/>
      </c>
      <c r="AR375" s="8"/>
      <c r="AS375" s="8"/>
      <c r="AU375" s="8" t="str">
        <f>IF(AV375="","",VLOOKUP(AV375,引用表合并!$A:$B,2,FALSE))</f>
        <v/>
      </c>
      <c r="AV375" s="8"/>
      <c r="AW375" s="8"/>
      <c r="AY375" s="8" t="str">
        <f>IF(AZ375="","",VLOOKUP(AZ375,引用表合并!$A:$B,2,FALSE))</f>
        <v/>
      </c>
      <c r="AZ375" s="8"/>
      <c r="BA375" s="8"/>
      <c r="BC375" s="8" t="str">
        <f>IF(BD375="","",VLOOKUP(BD375,引用表合并!$A:$B,2,FALSE))</f>
        <v/>
      </c>
      <c r="BD375" s="8"/>
      <c r="BF375" s="10"/>
      <c r="BG375" s="8" t="str">
        <f>IF(BH375="","",VLOOKUP(BH375,引用表合并!$A:$B,2,FALSE))</f>
        <v/>
      </c>
      <c r="BH375" s="8"/>
      <c r="BJ375" s="10"/>
      <c r="BK375" s="8" t="str">
        <f>IF(BL375="","",VLOOKUP(BL375,引用表合并!$A:$B,2,FALSE))</f>
        <v/>
      </c>
      <c r="BL375" s="8"/>
      <c r="BN375" s="10"/>
    </row>
    <row r="376" spans="1:66" x14ac:dyDescent="0.15">
      <c r="A376" s="8">
        <v>901013</v>
      </c>
      <c r="B376" s="18" t="str">
        <f>"任务:"&amp;VLOOKUP(A376,CHOOSE({1,2},[4]任务经验掉落配置表!$X$3:$X$173,[4]任务经验掉落配置表!$D$3:$D$173),2,FALSE)</f>
        <v>任务:猛龙过江</v>
      </c>
      <c r="C376" s="8">
        <v>0</v>
      </c>
      <c r="D376" s="8">
        <f t="shared" si="63"/>
        <v>2</v>
      </c>
      <c r="E376" s="16">
        <f t="shared" si="64"/>
        <v>2</v>
      </c>
      <c r="F376" s="16">
        <f t="shared" si="65"/>
        <v>2</v>
      </c>
      <c r="G376" s="8" t="str">
        <f>IF(H376="","",VLOOKUP(H376,引用表合并!$A:$B,2,FALSE))</f>
        <v>幸运戒指</v>
      </c>
      <c r="H376" s="8">
        <v>92131</v>
      </c>
      <c r="I376" s="8">
        <v>1</v>
      </c>
      <c r="J376" s="10">
        <v>10000</v>
      </c>
      <c r="K376" s="8" t="str">
        <f>IF(L376="","",VLOOKUP(L376,引用表合并!$A:$B,2,FALSE))</f>
        <v>马仔经验药水</v>
      </c>
      <c r="L376" s="8">
        <v>91100</v>
      </c>
      <c r="M376" s="8">
        <v>5</v>
      </c>
      <c r="N376" s="10">
        <v>10000</v>
      </c>
      <c r="O376" s="8" t="str">
        <f>IF(P376="","",VLOOKUP(P376,引用表合并!$A:$B,2,FALSE))</f>
        <v/>
      </c>
      <c r="P376" s="8"/>
      <c r="Q376" s="8"/>
      <c r="S376" s="8" t="str">
        <f>IF(T376="","",VLOOKUP(T376,引用表合并!$A:$B,2,FALSE))</f>
        <v/>
      </c>
      <c r="T376" s="8"/>
      <c r="U376" s="8"/>
      <c r="W376" s="8" t="str">
        <f>IF(X376="","",VLOOKUP(X376,引用表合并!$A:$B,2,FALSE))</f>
        <v/>
      </c>
      <c r="X376" s="8"/>
      <c r="Y376" s="8"/>
      <c r="AA376" s="8" t="str">
        <f>IF(AB376="","",VLOOKUP(AB376,引用表合并!$A:$B,2,FALSE))</f>
        <v/>
      </c>
      <c r="AB376" s="8"/>
      <c r="AC376" s="8"/>
      <c r="AE376" s="8" t="str">
        <f>IF(AF376="","",VLOOKUP(AF376,引用表合并!$A:$B,2,FALSE))</f>
        <v/>
      </c>
      <c r="AF376" s="8"/>
      <c r="AG376" s="8"/>
      <c r="AI376" s="8" t="str">
        <f>IF(AJ376="","",VLOOKUP(AJ376,引用表合并!$A:$B,2,FALSE))</f>
        <v/>
      </c>
      <c r="AJ376" s="8"/>
      <c r="AK376" s="8"/>
      <c r="AM376" s="8" t="str">
        <f>IF(AN376="","",VLOOKUP(AN376,引用表合并!$A:$B,2,FALSE))</f>
        <v/>
      </c>
      <c r="AN376" s="8"/>
      <c r="AO376" s="8"/>
      <c r="AQ376" s="8" t="str">
        <f>IF(AR376="","",VLOOKUP(AR376,引用表合并!$A:$B,2,FALSE))</f>
        <v/>
      </c>
      <c r="AR376" s="8"/>
      <c r="AS376" s="8"/>
      <c r="AU376" s="8" t="str">
        <f>IF(AV376="","",VLOOKUP(AV376,引用表合并!$A:$B,2,FALSE))</f>
        <v/>
      </c>
      <c r="AV376" s="8"/>
      <c r="AW376" s="8"/>
      <c r="AY376" s="8" t="str">
        <f>IF(AZ376="","",VLOOKUP(AZ376,引用表合并!$A:$B,2,FALSE))</f>
        <v/>
      </c>
      <c r="AZ376" s="8"/>
      <c r="BA376" s="8"/>
      <c r="BC376" s="8" t="str">
        <f>IF(BD376="","",VLOOKUP(BD376,引用表合并!$A:$B,2,FALSE))</f>
        <v/>
      </c>
      <c r="BD376" s="8"/>
      <c r="BF376" s="10"/>
      <c r="BG376" s="8" t="str">
        <f>IF(BH376="","",VLOOKUP(BH376,引用表合并!$A:$B,2,FALSE))</f>
        <v/>
      </c>
      <c r="BH376" s="8"/>
      <c r="BJ376" s="10"/>
      <c r="BK376" s="8" t="str">
        <f>IF(BL376="","",VLOOKUP(BL376,引用表合并!$A:$B,2,FALSE))</f>
        <v/>
      </c>
      <c r="BL376" s="8"/>
      <c r="BN376" s="10"/>
    </row>
    <row r="377" spans="1:66" x14ac:dyDescent="0.15">
      <c r="A377" s="8">
        <v>901014</v>
      </c>
      <c r="B377" s="18" t="str">
        <f>"任务:"&amp;VLOOKUP(A377,CHOOSE({1,2},[4]任务经验掉落配置表!$X$3:$X$173,[4]任务经验掉落配置表!$D$3:$D$173),2,FALSE)</f>
        <v>任务:傲气冲天</v>
      </c>
      <c r="C377" s="8">
        <v>0</v>
      </c>
      <c r="D377" s="8">
        <f t="shared" si="63"/>
        <v>0</v>
      </c>
      <c r="E377" s="16">
        <f t="shared" si="64"/>
        <v>0</v>
      </c>
      <c r="F377" s="16">
        <f t="shared" si="65"/>
        <v>0</v>
      </c>
      <c r="G377" s="8" t="str">
        <f>IF(H377="","",VLOOKUP(H377,引用表合并!$A:$B,2,FALSE))</f>
        <v/>
      </c>
      <c r="K377" s="8" t="str">
        <f>IF(L377="","",VLOOKUP(L377,引用表合并!$A:$B,2,FALSE))</f>
        <v/>
      </c>
      <c r="L377" s="8"/>
      <c r="M377" s="8"/>
      <c r="O377" s="8" t="str">
        <f>IF(P377="","",VLOOKUP(P377,引用表合并!$A:$B,2,FALSE))</f>
        <v/>
      </c>
      <c r="P377" s="8"/>
      <c r="Q377" s="8"/>
      <c r="S377" s="8" t="str">
        <f>IF(T377="","",VLOOKUP(T377,引用表合并!$A:$B,2,FALSE))</f>
        <v/>
      </c>
      <c r="T377" s="8"/>
      <c r="U377" s="8"/>
      <c r="W377" s="8" t="str">
        <f>IF(X377="","",VLOOKUP(X377,引用表合并!$A:$B,2,FALSE))</f>
        <v/>
      </c>
      <c r="X377" s="8"/>
      <c r="Y377" s="8"/>
      <c r="AA377" s="8" t="str">
        <f>IF(AB377="","",VLOOKUP(AB377,引用表合并!$A:$B,2,FALSE))</f>
        <v/>
      </c>
      <c r="AB377" s="8"/>
      <c r="AC377" s="8"/>
      <c r="AE377" s="8" t="str">
        <f>IF(AF377="","",VLOOKUP(AF377,引用表合并!$A:$B,2,FALSE))</f>
        <v/>
      </c>
      <c r="AF377" s="8"/>
      <c r="AG377" s="8"/>
      <c r="AI377" s="8" t="str">
        <f>IF(AJ377="","",VLOOKUP(AJ377,引用表合并!$A:$B,2,FALSE))</f>
        <v/>
      </c>
      <c r="AJ377" s="8"/>
      <c r="AK377" s="8"/>
      <c r="AM377" s="8" t="str">
        <f>IF(AN377="","",VLOOKUP(AN377,引用表合并!$A:$B,2,FALSE))</f>
        <v/>
      </c>
      <c r="AN377" s="8"/>
      <c r="AO377" s="8"/>
      <c r="AQ377" s="8" t="str">
        <f>IF(AR377="","",VLOOKUP(AR377,引用表合并!$A:$B,2,FALSE))</f>
        <v/>
      </c>
      <c r="AR377" s="8"/>
      <c r="AS377" s="8"/>
      <c r="AU377" s="8" t="str">
        <f>IF(AV377="","",VLOOKUP(AV377,引用表合并!$A:$B,2,FALSE))</f>
        <v/>
      </c>
      <c r="AV377" s="8"/>
      <c r="AW377" s="8"/>
      <c r="AY377" s="8" t="str">
        <f>IF(AZ377="","",VLOOKUP(AZ377,引用表合并!$A:$B,2,FALSE))</f>
        <v/>
      </c>
      <c r="AZ377" s="8"/>
      <c r="BA377" s="8"/>
      <c r="BC377" s="8" t="str">
        <f>IF(BD377="","",VLOOKUP(BD377,引用表合并!$A:$B,2,FALSE))</f>
        <v/>
      </c>
      <c r="BD377" s="8"/>
      <c r="BF377" s="10"/>
      <c r="BG377" s="8" t="str">
        <f>IF(BH377="","",VLOOKUP(BH377,引用表合并!$A:$B,2,FALSE))</f>
        <v/>
      </c>
      <c r="BH377" s="8"/>
      <c r="BJ377" s="10"/>
      <c r="BK377" s="8" t="str">
        <f>IF(BL377="","",VLOOKUP(BL377,引用表合并!$A:$B,2,FALSE))</f>
        <v/>
      </c>
      <c r="BL377" s="8"/>
      <c r="BN377" s="10"/>
    </row>
    <row r="378" spans="1:66" x14ac:dyDescent="0.15">
      <c r="A378" s="8">
        <v>901015</v>
      </c>
      <c r="B378" s="18" t="str">
        <f>"任务:"&amp;VLOOKUP(A378,CHOOSE({1,2},[4]任务经验掉落配置表!$X$3:$X$173,[4]任务经验掉落配置表!$D$3:$D$173),2,FALSE)</f>
        <v>任务:伏击张议员</v>
      </c>
      <c r="C378" s="8">
        <v>0</v>
      </c>
      <c r="D378" s="8">
        <f t="shared" si="63"/>
        <v>0</v>
      </c>
      <c r="E378" s="16">
        <f t="shared" si="64"/>
        <v>0</v>
      </c>
      <c r="F378" s="16">
        <f t="shared" si="65"/>
        <v>0</v>
      </c>
      <c r="G378" s="8" t="str">
        <f>IF(H378="","",VLOOKUP(H378,引用表合并!$A:$B,2,FALSE))</f>
        <v/>
      </c>
      <c r="K378" s="8" t="str">
        <f>IF(L378="","",VLOOKUP(L378,引用表合并!$A:$B,2,FALSE))</f>
        <v/>
      </c>
      <c r="L378" s="8"/>
      <c r="M378" s="8"/>
      <c r="O378" s="8" t="str">
        <f>IF(P378="","",VLOOKUP(P378,引用表合并!$A:$B,2,FALSE))</f>
        <v/>
      </c>
      <c r="P378" s="8"/>
      <c r="Q378" s="8"/>
      <c r="S378" s="8" t="str">
        <f>IF(T378="","",VLOOKUP(T378,引用表合并!$A:$B,2,FALSE))</f>
        <v/>
      </c>
      <c r="T378" s="8"/>
      <c r="U378" s="8"/>
      <c r="W378" s="8" t="str">
        <f>IF(X378="","",VLOOKUP(X378,引用表合并!$A:$B,2,FALSE))</f>
        <v/>
      </c>
      <c r="X378" s="8"/>
      <c r="Y378" s="8"/>
      <c r="AA378" s="8" t="str">
        <f>IF(AB378="","",VLOOKUP(AB378,引用表合并!$A:$B,2,FALSE))</f>
        <v/>
      </c>
      <c r="AB378" s="8"/>
      <c r="AC378" s="8"/>
      <c r="AE378" s="8" t="str">
        <f>IF(AF378="","",VLOOKUP(AF378,引用表合并!$A:$B,2,FALSE))</f>
        <v/>
      </c>
      <c r="AF378" s="8"/>
      <c r="AG378" s="8"/>
      <c r="AI378" s="8" t="str">
        <f>IF(AJ378="","",VLOOKUP(AJ378,引用表合并!$A:$B,2,FALSE))</f>
        <v/>
      </c>
      <c r="AJ378" s="8"/>
      <c r="AK378" s="8"/>
      <c r="AM378" s="8" t="str">
        <f>IF(AN378="","",VLOOKUP(AN378,引用表合并!$A:$B,2,FALSE))</f>
        <v/>
      </c>
      <c r="AN378" s="8"/>
      <c r="AO378" s="8"/>
      <c r="AQ378" s="8" t="str">
        <f>IF(AR378="","",VLOOKUP(AR378,引用表合并!$A:$B,2,FALSE))</f>
        <v/>
      </c>
      <c r="AR378" s="8"/>
      <c r="AS378" s="8"/>
      <c r="AU378" s="8" t="str">
        <f>IF(AV378="","",VLOOKUP(AV378,引用表合并!$A:$B,2,FALSE))</f>
        <v/>
      </c>
      <c r="AV378" s="8"/>
      <c r="AW378" s="8"/>
      <c r="AY378" s="8" t="str">
        <f>IF(AZ378="","",VLOOKUP(AZ378,引用表合并!$A:$B,2,FALSE))</f>
        <v/>
      </c>
      <c r="AZ378" s="8"/>
      <c r="BA378" s="8"/>
      <c r="BC378" s="8" t="str">
        <f>IF(BD378="","",VLOOKUP(BD378,引用表合并!$A:$B,2,FALSE))</f>
        <v/>
      </c>
      <c r="BD378" s="8"/>
      <c r="BF378" s="10"/>
      <c r="BG378" s="8" t="str">
        <f>IF(BH378="","",VLOOKUP(BH378,引用表合并!$A:$B,2,FALSE))</f>
        <v/>
      </c>
      <c r="BH378" s="8"/>
      <c r="BJ378" s="10"/>
      <c r="BK378" s="8" t="str">
        <f>IF(BL378="","",VLOOKUP(BL378,引用表合并!$A:$B,2,FALSE))</f>
        <v/>
      </c>
      <c r="BL378" s="8"/>
      <c r="BN378" s="10"/>
    </row>
    <row r="379" spans="1:66" x14ac:dyDescent="0.15">
      <c r="A379" s="8">
        <v>901016</v>
      </c>
      <c r="B379" s="18" t="str">
        <f>"任务:"&amp;VLOOKUP(A379,CHOOSE({1,2},[4]任务经验掉落配置表!$X$3:$X$173,[4]任务经验掉落配置表!$D$3:$D$173),2,FALSE)</f>
        <v>任务:阴云密布</v>
      </c>
      <c r="C379" s="8">
        <v>0</v>
      </c>
      <c r="D379" s="8">
        <f t="shared" si="63"/>
        <v>0</v>
      </c>
      <c r="E379" s="16">
        <f t="shared" si="64"/>
        <v>0</v>
      </c>
      <c r="F379" s="16">
        <f t="shared" si="65"/>
        <v>0</v>
      </c>
      <c r="G379" s="8" t="str">
        <f>IF(H379="","",VLOOKUP(H379,引用表合并!$A:$B,2,FALSE))</f>
        <v/>
      </c>
      <c r="K379" s="8" t="str">
        <f>IF(L379="","",VLOOKUP(L379,引用表合并!$A:$B,2,FALSE))</f>
        <v/>
      </c>
      <c r="L379" s="8"/>
      <c r="M379" s="8"/>
      <c r="O379" s="8" t="str">
        <f>IF(P379="","",VLOOKUP(P379,引用表合并!$A:$B,2,FALSE))</f>
        <v/>
      </c>
      <c r="P379" s="8"/>
      <c r="Q379" s="8"/>
      <c r="S379" s="8" t="str">
        <f>IF(T379="","",VLOOKUP(T379,引用表合并!$A:$B,2,FALSE))</f>
        <v/>
      </c>
      <c r="T379" s="8"/>
      <c r="U379" s="8"/>
      <c r="W379" s="8" t="str">
        <f>IF(X379="","",VLOOKUP(X379,引用表合并!$A:$B,2,FALSE))</f>
        <v/>
      </c>
      <c r="X379" s="8"/>
      <c r="Y379" s="8"/>
      <c r="AA379" s="8" t="str">
        <f>IF(AB379="","",VLOOKUP(AB379,引用表合并!$A:$B,2,FALSE))</f>
        <v/>
      </c>
      <c r="AB379" s="8"/>
      <c r="AC379" s="8"/>
      <c r="AE379" s="8" t="str">
        <f>IF(AF379="","",VLOOKUP(AF379,引用表合并!$A:$B,2,FALSE))</f>
        <v/>
      </c>
      <c r="AF379" s="8"/>
      <c r="AG379" s="8"/>
      <c r="AI379" s="8" t="str">
        <f>IF(AJ379="","",VLOOKUP(AJ379,引用表合并!$A:$B,2,FALSE))</f>
        <v/>
      </c>
      <c r="AJ379" s="8"/>
      <c r="AK379" s="8"/>
      <c r="AM379" s="8" t="str">
        <f>IF(AN379="","",VLOOKUP(AN379,引用表合并!$A:$B,2,FALSE))</f>
        <v/>
      </c>
      <c r="AN379" s="8"/>
      <c r="AO379" s="8"/>
      <c r="AQ379" s="8" t="str">
        <f>IF(AR379="","",VLOOKUP(AR379,引用表合并!$A:$B,2,FALSE))</f>
        <v/>
      </c>
      <c r="AR379" s="8"/>
      <c r="AS379" s="8"/>
      <c r="AU379" s="8" t="str">
        <f>IF(AV379="","",VLOOKUP(AV379,引用表合并!$A:$B,2,FALSE))</f>
        <v/>
      </c>
      <c r="AV379" s="8"/>
      <c r="AW379" s="8"/>
      <c r="AY379" s="8" t="str">
        <f>IF(AZ379="","",VLOOKUP(AZ379,引用表合并!$A:$B,2,FALSE))</f>
        <v/>
      </c>
      <c r="AZ379" s="8"/>
      <c r="BA379" s="8"/>
      <c r="BC379" s="8" t="str">
        <f>IF(BD379="","",VLOOKUP(BD379,引用表合并!$A:$B,2,FALSE))</f>
        <v/>
      </c>
      <c r="BD379" s="8"/>
      <c r="BF379" s="10"/>
      <c r="BG379" s="8" t="str">
        <f>IF(BH379="","",VLOOKUP(BH379,引用表合并!$A:$B,2,FALSE))</f>
        <v/>
      </c>
      <c r="BH379" s="8"/>
      <c r="BJ379" s="10"/>
      <c r="BK379" s="8" t="str">
        <f>IF(BL379="","",VLOOKUP(BL379,引用表合并!$A:$B,2,FALSE))</f>
        <v/>
      </c>
      <c r="BL379" s="8"/>
      <c r="BN379" s="10"/>
    </row>
    <row r="380" spans="1:66" x14ac:dyDescent="0.15">
      <c r="A380" s="8">
        <v>901017</v>
      </c>
      <c r="B380" s="18" t="str">
        <f>"任务:"&amp;VLOOKUP(A380,CHOOSE({1,2},[4]任务经验掉落配置表!$X$3:$X$173,[4]任务经验掉落配置表!$D$3:$D$173),2,FALSE)</f>
        <v>任务:蒋生遇雷功</v>
      </c>
      <c r="C380" s="8">
        <v>0</v>
      </c>
      <c r="D380" s="8">
        <f t="shared" si="63"/>
        <v>1</v>
      </c>
      <c r="E380" s="16">
        <f t="shared" si="64"/>
        <v>1</v>
      </c>
      <c r="F380" s="16">
        <f t="shared" si="65"/>
        <v>1</v>
      </c>
      <c r="G380" s="8" t="str">
        <f>IF(H380="","",VLOOKUP(H380,引用表合并!$A:$B,2,FALSE))</f>
        <v>野性长裤</v>
      </c>
      <c r="H380" s="8">
        <v>52104</v>
      </c>
      <c r="I380" s="8">
        <v>1</v>
      </c>
      <c r="J380" s="10">
        <v>10000</v>
      </c>
      <c r="K380" s="8" t="str">
        <f>IF(L380="","",VLOOKUP(L380,引用表合并!$A:$B,2,FALSE))</f>
        <v/>
      </c>
      <c r="L380" s="8"/>
      <c r="M380" s="8"/>
      <c r="O380" s="8" t="str">
        <f>IF(P380="","",VLOOKUP(P380,引用表合并!$A:$B,2,FALSE))</f>
        <v/>
      </c>
      <c r="P380" s="8"/>
      <c r="Q380" s="8"/>
      <c r="S380" s="8" t="str">
        <f>IF(T380="","",VLOOKUP(T380,引用表合并!$A:$B,2,FALSE))</f>
        <v/>
      </c>
      <c r="T380" s="8"/>
      <c r="U380" s="8"/>
      <c r="W380" s="8" t="str">
        <f>IF(X380="","",VLOOKUP(X380,引用表合并!$A:$B,2,FALSE))</f>
        <v/>
      </c>
      <c r="X380" s="8"/>
      <c r="Y380" s="8"/>
      <c r="AA380" s="8" t="str">
        <f>IF(AB380="","",VLOOKUP(AB380,引用表合并!$A:$B,2,FALSE))</f>
        <v/>
      </c>
      <c r="AB380" s="8"/>
      <c r="AC380" s="8"/>
      <c r="AE380" s="8" t="str">
        <f>IF(AF380="","",VLOOKUP(AF380,引用表合并!$A:$B,2,FALSE))</f>
        <v/>
      </c>
      <c r="AF380" s="8"/>
      <c r="AG380" s="8"/>
      <c r="AI380" s="8" t="str">
        <f>IF(AJ380="","",VLOOKUP(AJ380,引用表合并!$A:$B,2,FALSE))</f>
        <v/>
      </c>
      <c r="AJ380" s="8"/>
      <c r="AK380" s="8"/>
      <c r="AM380" s="8" t="str">
        <f>IF(AN380="","",VLOOKUP(AN380,引用表合并!$A:$B,2,FALSE))</f>
        <v/>
      </c>
      <c r="AN380" s="8"/>
      <c r="AO380" s="8"/>
      <c r="AQ380" s="8" t="str">
        <f>IF(AR380="","",VLOOKUP(AR380,引用表合并!$A:$B,2,FALSE))</f>
        <v/>
      </c>
      <c r="AR380" s="8"/>
      <c r="AS380" s="8"/>
      <c r="AU380" s="8" t="str">
        <f>IF(AV380="","",VLOOKUP(AV380,引用表合并!$A:$B,2,FALSE))</f>
        <v/>
      </c>
      <c r="AV380" s="8"/>
      <c r="AW380" s="8"/>
      <c r="AY380" s="8" t="str">
        <f>IF(AZ380="","",VLOOKUP(AZ380,引用表合并!$A:$B,2,FALSE))</f>
        <v/>
      </c>
      <c r="AZ380" s="8"/>
      <c r="BA380" s="8"/>
      <c r="BC380" s="8" t="str">
        <f>IF(BD380="","",VLOOKUP(BD380,引用表合并!$A:$B,2,FALSE))</f>
        <v/>
      </c>
      <c r="BD380" s="8"/>
      <c r="BF380" s="10"/>
      <c r="BG380" s="8" t="str">
        <f>IF(BH380="","",VLOOKUP(BH380,引用表合并!$A:$B,2,FALSE))</f>
        <v/>
      </c>
      <c r="BH380" s="8"/>
      <c r="BJ380" s="10"/>
      <c r="BK380" s="8" t="str">
        <f>IF(BL380="","",VLOOKUP(BL380,引用表合并!$A:$B,2,FALSE))</f>
        <v/>
      </c>
      <c r="BL380" s="8"/>
      <c r="BN380" s="10"/>
    </row>
    <row r="381" spans="1:66" x14ac:dyDescent="0.15">
      <c r="A381" s="8">
        <v>901018</v>
      </c>
      <c r="B381" s="18" t="str">
        <f>"任务:"&amp;VLOOKUP(A381,CHOOSE({1,2},[4]任务经验掉落配置表!$X$3:$X$173,[4]任务经验掉落配置表!$D$3:$D$173),2,FALSE)</f>
        <v>任务:重返洪兴</v>
      </c>
      <c r="C381" s="8">
        <v>0</v>
      </c>
      <c r="D381" s="8">
        <f t="shared" si="63"/>
        <v>1</v>
      </c>
      <c r="E381" s="16">
        <f t="shared" si="64"/>
        <v>1</v>
      </c>
      <c r="F381" s="16">
        <f t="shared" si="65"/>
        <v>1</v>
      </c>
      <c r="G381" s="8" t="str">
        <f>IF(H381="","",VLOOKUP(H381,引用表合并!$A:$B,2,FALSE))</f>
        <v>野性战衣</v>
      </c>
      <c r="H381" s="8">
        <v>51104</v>
      </c>
      <c r="I381" s="8">
        <v>1</v>
      </c>
      <c r="J381" s="10">
        <v>10000</v>
      </c>
      <c r="K381" s="8" t="str">
        <f>IF(L381="","",VLOOKUP(L381,引用表合并!$A:$B,2,FALSE))</f>
        <v/>
      </c>
      <c r="L381" s="8"/>
      <c r="M381" s="8"/>
      <c r="O381" s="8" t="str">
        <f>IF(P381="","",VLOOKUP(P381,引用表合并!$A:$B,2,FALSE))</f>
        <v/>
      </c>
      <c r="P381" s="8"/>
      <c r="Q381" s="8"/>
      <c r="S381" s="8" t="str">
        <f>IF(T381="","",VLOOKUP(T381,引用表合并!$A:$B,2,FALSE))</f>
        <v/>
      </c>
      <c r="T381" s="8"/>
      <c r="U381" s="8"/>
      <c r="W381" s="8" t="str">
        <f>IF(X381="","",VLOOKUP(X381,引用表合并!$A:$B,2,FALSE))</f>
        <v/>
      </c>
      <c r="X381" s="8"/>
      <c r="Y381" s="8"/>
      <c r="AA381" s="8" t="str">
        <f>IF(AB381="","",VLOOKUP(AB381,引用表合并!$A:$B,2,FALSE))</f>
        <v/>
      </c>
      <c r="AB381" s="8"/>
      <c r="AC381" s="8"/>
      <c r="AE381" s="8" t="str">
        <f>IF(AF381="","",VLOOKUP(AF381,引用表合并!$A:$B,2,FALSE))</f>
        <v/>
      </c>
      <c r="AF381" s="8"/>
      <c r="AG381" s="8"/>
      <c r="AI381" s="8" t="str">
        <f>IF(AJ381="","",VLOOKUP(AJ381,引用表合并!$A:$B,2,FALSE))</f>
        <v/>
      </c>
      <c r="AJ381" s="8"/>
      <c r="AK381" s="8"/>
      <c r="AM381" s="8" t="str">
        <f>IF(AN381="","",VLOOKUP(AN381,引用表合并!$A:$B,2,FALSE))</f>
        <v/>
      </c>
      <c r="AN381" s="8"/>
      <c r="AO381" s="8"/>
      <c r="AQ381" s="8" t="str">
        <f>IF(AR381="","",VLOOKUP(AR381,引用表合并!$A:$B,2,FALSE))</f>
        <v/>
      </c>
      <c r="AR381" s="8"/>
      <c r="AS381" s="8"/>
      <c r="AU381" s="8" t="str">
        <f>IF(AV381="","",VLOOKUP(AV381,引用表合并!$A:$B,2,FALSE))</f>
        <v/>
      </c>
      <c r="AV381" s="8"/>
      <c r="AW381" s="8"/>
      <c r="AY381" s="8" t="str">
        <f>IF(AZ381="","",VLOOKUP(AZ381,引用表合并!$A:$B,2,FALSE))</f>
        <v/>
      </c>
      <c r="AZ381" s="8"/>
      <c r="BA381" s="8"/>
      <c r="BC381" s="8" t="str">
        <f>IF(BD381="","",VLOOKUP(BD381,引用表合并!$A:$B,2,FALSE))</f>
        <v/>
      </c>
      <c r="BD381" s="8"/>
      <c r="BF381" s="10"/>
      <c r="BG381" s="8" t="str">
        <f>IF(BH381="","",VLOOKUP(BH381,引用表合并!$A:$B,2,FALSE))</f>
        <v/>
      </c>
      <c r="BH381" s="8"/>
      <c r="BJ381" s="10"/>
      <c r="BK381" s="8" t="str">
        <f>IF(BL381="","",VLOOKUP(BL381,引用表合并!$A:$B,2,FALSE))</f>
        <v/>
      </c>
      <c r="BL381" s="8"/>
      <c r="BN381" s="10"/>
    </row>
    <row r="382" spans="1:66" x14ac:dyDescent="0.15">
      <c r="A382" s="8">
        <v>901019</v>
      </c>
      <c r="B382" s="18" t="str">
        <f>"任务:"&amp;VLOOKUP(A382,CHOOSE({1,2},[4]任务经验掉落配置表!$X$3:$X$173,[4]任务经验掉落配置表!$D$3:$D$173),2,FALSE)</f>
        <v>任务:以武服人</v>
      </c>
      <c r="C382" s="8">
        <v>0</v>
      </c>
      <c r="D382" s="8">
        <f t="shared" si="63"/>
        <v>1</v>
      </c>
      <c r="E382" s="16">
        <f t="shared" si="64"/>
        <v>1</v>
      </c>
      <c r="F382" s="16">
        <f t="shared" si="65"/>
        <v>1</v>
      </c>
      <c r="G382" s="8" t="str">
        <f>IF(H382="","",VLOOKUP(H382,引用表合并!$A:$B,2,FALSE))</f>
        <v>野性腰带</v>
      </c>
      <c r="H382" s="8">
        <v>54104</v>
      </c>
      <c r="I382" s="8">
        <v>1</v>
      </c>
      <c r="J382" s="10">
        <v>10000</v>
      </c>
      <c r="K382" s="8" t="str">
        <f>IF(L382="","",VLOOKUP(L382,引用表合并!$A:$B,2,FALSE))</f>
        <v/>
      </c>
      <c r="L382" s="8"/>
      <c r="M382" s="8"/>
      <c r="O382" s="8" t="str">
        <f>IF(P382="","",VLOOKUP(P382,引用表合并!$A:$B,2,FALSE))</f>
        <v/>
      </c>
      <c r="P382" s="8"/>
      <c r="Q382" s="8"/>
      <c r="S382" s="8" t="str">
        <f>IF(T382="","",VLOOKUP(T382,引用表合并!$A:$B,2,FALSE))</f>
        <v/>
      </c>
      <c r="T382" s="8"/>
      <c r="U382" s="8"/>
      <c r="W382" s="8" t="str">
        <f>IF(X382="","",VLOOKUP(X382,引用表合并!$A:$B,2,FALSE))</f>
        <v/>
      </c>
      <c r="X382" s="8"/>
      <c r="Y382" s="8"/>
      <c r="AA382" s="8" t="str">
        <f>IF(AB382="","",VLOOKUP(AB382,引用表合并!$A:$B,2,FALSE))</f>
        <v/>
      </c>
      <c r="AB382" s="8"/>
      <c r="AC382" s="8"/>
      <c r="AE382" s="8" t="str">
        <f>IF(AF382="","",VLOOKUP(AF382,引用表合并!$A:$B,2,FALSE))</f>
        <v/>
      </c>
      <c r="AF382" s="8"/>
      <c r="AG382" s="8"/>
      <c r="AI382" s="8" t="str">
        <f>IF(AJ382="","",VLOOKUP(AJ382,引用表合并!$A:$B,2,FALSE))</f>
        <v/>
      </c>
      <c r="AJ382" s="8"/>
      <c r="AK382" s="8"/>
      <c r="AM382" s="8" t="str">
        <f>IF(AN382="","",VLOOKUP(AN382,引用表合并!$A:$B,2,FALSE))</f>
        <v/>
      </c>
      <c r="AN382" s="8"/>
      <c r="AO382" s="8"/>
      <c r="AQ382" s="8" t="str">
        <f>IF(AR382="","",VLOOKUP(AR382,引用表合并!$A:$B,2,FALSE))</f>
        <v/>
      </c>
      <c r="AR382" s="8"/>
      <c r="AS382" s="8"/>
      <c r="AU382" s="8" t="str">
        <f>IF(AV382="","",VLOOKUP(AV382,引用表合并!$A:$B,2,FALSE))</f>
        <v/>
      </c>
      <c r="AV382" s="8"/>
      <c r="AW382" s="8"/>
      <c r="AY382" s="8" t="str">
        <f>IF(AZ382="","",VLOOKUP(AZ382,引用表合并!$A:$B,2,FALSE))</f>
        <v/>
      </c>
      <c r="AZ382" s="8"/>
      <c r="BA382" s="8"/>
      <c r="BC382" s="8" t="str">
        <f>IF(BD382="","",VLOOKUP(BD382,引用表合并!$A:$B,2,FALSE))</f>
        <v/>
      </c>
      <c r="BD382" s="8"/>
      <c r="BF382" s="10"/>
      <c r="BG382" s="8" t="str">
        <f>IF(BH382="","",VLOOKUP(BH382,引用表合并!$A:$B,2,FALSE))</f>
        <v/>
      </c>
      <c r="BH382" s="8"/>
      <c r="BJ382" s="10"/>
      <c r="BK382" s="8" t="str">
        <f>IF(BL382="","",VLOOKUP(BL382,引用表合并!$A:$B,2,FALSE))</f>
        <v/>
      </c>
      <c r="BL382" s="8"/>
      <c r="BN382" s="10"/>
    </row>
    <row r="383" spans="1:66" x14ac:dyDescent="0.15">
      <c r="A383" s="8">
        <v>901020</v>
      </c>
      <c r="B383" s="18" t="str">
        <f>"任务:"&amp;VLOOKUP(A383,CHOOSE({1,2},[4]任务经验掉落配置表!$X$3:$X$173,[4]任务经验掉落配置表!$D$3:$D$173),2,FALSE)</f>
        <v>任务:和谈</v>
      </c>
      <c r="C383" s="8">
        <v>0</v>
      </c>
      <c r="D383" s="8">
        <f t="shared" si="63"/>
        <v>1</v>
      </c>
      <c r="E383" s="16">
        <f t="shared" si="64"/>
        <v>1</v>
      </c>
      <c r="F383" s="16">
        <f t="shared" si="65"/>
        <v>1</v>
      </c>
      <c r="G383" s="8" t="str">
        <f>IF(H383="","",VLOOKUP(H383,引用表合并!$A:$B,2,FALSE))</f>
        <v>野性长靴</v>
      </c>
      <c r="H383" s="8">
        <v>55104</v>
      </c>
      <c r="I383" s="8">
        <v>1</v>
      </c>
      <c r="J383" s="10">
        <v>10000</v>
      </c>
      <c r="K383" s="8" t="str">
        <f>IF(L383="","",VLOOKUP(L383,引用表合并!$A:$B,2,FALSE))</f>
        <v/>
      </c>
      <c r="L383" s="8"/>
      <c r="M383" s="8"/>
      <c r="O383" s="8" t="str">
        <f>IF(P383="","",VLOOKUP(P383,引用表合并!$A:$B,2,FALSE))</f>
        <v/>
      </c>
      <c r="P383" s="8"/>
      <c r="Q383" s="8"/>
      <c r="S383" s="8" t="str">
        <f>IF(T383="","",VLOOKUP(T383,引用表合并!$A:$B,2,FALSE))</f>
        <v/>
      </c>
      <c r="T383" s="8"/>
      <c r="U383" s="8"/>
      <c r="W383" s="8" t="str">
        <f>IF(X383="","",VLOOKUP(X383,引用表合并!$A:$B,2,FALSE))</f>
        <v/>
      </c>
      <c r="X383" s="8"/>
      <c r="Y383" s="8"/>
      <c r="AA383" s="8" t="str">
        <f>IF(AB383="","",VLOOKUP(AB383,引用表合并!$A:$B,2,FALSE))</f>
        <v/>
      </c>
      <c r="AB383" s="8"/>
      <c r="AC383" s="8"/>
      <c r="AE383" s="8" t="str">
        <f>IF(AF383="","",VLOOKUP(AF383,引用表合并!$A:$B,2,FALSE))</f>
        <v/>
      </c>
      <c r="AF383" s="8"/>
      <c r="AG383" s="8"/>
      <c r="AI383" s="8" t="str">
        <f>IF(AJ383="","",VLOOKUP(AJ383,引用表合并!$A:$B,2,FALSE))</f>
        <v/>
      </c>
      <c r="AJ383" s="8"/>
      <c r="AK383" s="8"/>
      <c r="AM383" s="8" t="str">
        <f>IF(AN383="","",VLOOKUP(AN383,引用表合并!$A:$B,2,FALSE))</f>
        <v/>
      </c>
      <c r="AN383" s="8"/>
      <c r="AO383" s="8"/>
      <c r="AQ383" s="8" t="str">
        <f>IF(AR383="","",VLOOKUP(AR383,引用表合并!$A:$B,2,FALSE))</f>
        <v/>
      </c>
      <c r="AR383" s="8"/>
      <c r="AS383" s="8"/>
      <c r="AU383" s="8" t="str">
        <f>IF(AV383="","",VLOOKUP(AV383,引用表合并!$A:$B,2,FALSE))</f>
        <v/>
      </c>
      <c r="AV383" s="8"/>
      <c r="AW383" s="8"/>
      <c r="AY383" s="8" t="str">
        <f>IF(AZ383="","",VLOOKUP(AZ383,引用表合并!$A:$B,2,FALSE))</f>
        <v/>
      </c>
      <c r="AZ383" s="8"/>
      <c r="BA383" s="8"/>
      <c r="BC383" s="8" t="str">
        <f>IF(BD383="","",VLOOKUP(BD383,引用表合并!$A:$B,2,FALSE))</f>
        <v/>
      </c>
      <c r="BD383" s="8"/>
      <c r="BF383" s="10"/>
      <c r="BG383" s="8" t="str">
        <f>IF(BH383="","",VLOOKUP(BH383,引用表合并!$A:$B,2,FALSE))</f>
        <v/>
      </c>
      <c r="BH383" s="8"/>
      <c r="BJ383" s="10"/>
      <c r="BK383" s="8" t="str">
        <f>IF(BL383="","",VLOOKUP(BL383,引用表合并!$A:$B,2,FALSE))</f>
        <v/>
      </c>
      <c r="BL383" s="8"/>
      <c r="BN383" s="10"/>
    </row>
    <row r="384" spans="1:66" x14ac:dyDescent="0.15">
      <c r="A384" s="8">
        <v>901021</v>
      </c>
      <c r="B384" s="18" t="str">
        <f>"任务:"&amp;VLOOKUP(A384,CHOOSE({1,2},[4]任务经验掉落配置表!$X$3:$X$173,[4]任务经验掉落配置表!$D$3:$D$173),2,FALSE)</f>
        <v>任务:遭遇诬陷</v>
      </c>
      <c r="C384" s="8">
        <v>0</v>
      </c>
      <c r="D384" s="8">
        <f t="shared" si="63"/>
        <v>0</v>
      </c>
      <c r="E384" s="16">
        <f t="shared" si="64"/>
        <v>0</v>
      </c>
      <c r="F384" s="16">
        <f t="shared" si="65"/>
        <v>0</v>
      </c>
      <c r="G384" s="8" t="str">
        <f>IF(H384="","",VLOOKUP(H384,引用表合并!$A:$B,2,FALSE))</f>
        <v/>
      </c>
      <c r="K384" s="8" t="str">
        <f>IF(L384="","",VLOOKUP(L384,引用表合并!$A:$B,2,FALSE))</f>
        <v/>
      </c>
      <c r="L384" s="8"/>
      <c r="M384" s="8"/>
      <c r="O384" s="8" t="str">
        <f>IF(P384="","",VLOOKUP(P384,引用表合并!$A:$B,2,FALSE))</f>
        <v/>
      </c>
      <c r="P384" s="8"/>
      <c r="Q384" s="8"/>
      <c r="S384" s="8" t="str">
        <f>IF(T384="","",VLOOKUP(T384,引用表合并!$A:$B,2,FALSE))</f>
        <v/>
      </c>
      <c r="T384" s="8"/>
      <c r="U384" s="8"/>
      <c r="W384" s="8" t="str">
        <f>IF(X384="","",VLOOKUP(X384,引用表合并!$A:$B,2,FALSE))</f>
        <v/>
      </c>
      <c r="X384" s="8"/>
      <c r="Y384" s="8"/>
      <c r="AA384" s="8" t="str">
        <f>IF(AB384="","",VLOOKUP(AB384,引用表合并!$A:$B,2,FALSE))</f>
        <v/>
      </c>
      <c r="AB384" s="8"/>
      <c r="AC384" s="8"/>
      <c r="AE384" s="8" t="str">
        <f>IF(AF384="","",VLOOKUP(AF384,引用表合并!$A:$B,2,FALSE))</f>
        <v/>
      </c>
      <c r="AF384" s="8"/>
      <c r="AG384" s="8"/>
      <c r="AI384" s="8" t="str">
        <f>IF(AJ384="","",VLOOKUP(AJ384,引用表合并!$A:$B,2,FALSE))</f>
        <v/>
      </c>
      <c r="AJ384" s="8"/>
      <c r="AK384" s="8"/>
      <c r="AM384" s="8" t="str">
        <f>IF(AN384="","",VLOOKUP(AN384,引用表合并!$A:$B,2,FALSE))</f>
        <v/>
      </c>
      <c r="AN384" s="8"/>
      <c r="AO384" s="8"/>
      <c r="AQ384" s="8" t="str">
        <f>IF(AR384="","",VLOOKUP(AR384,引用表合并!$A:$B,2,FALSE))</f>
        <v/>
      </c>
      <c r="AR384" s="8"/>
      <c r="AS384" s="8"/>
      <c r="AU384" s="8" t="str">
        <f>IF(AV384="","",VLOOKUP(AV384,引用表合并!$A:$B,2,FALSE))</f>
        <v/>
      </c>
      <c r="AV384" s="8"/>
      <c r="AW384" s="8"/>
      <c r="AY384" s="8" t="str">
        <f>IF(AZ384="","",VLOOKUP(AZ384,引用表合并!$A:$B,2,FALSE))</f>
        <v/>
      </c>
      <c r="AZ384" s="8"/>
      <c r="BA384" s="8"/>
      <c r="BC384" s="8" t="str">
        <f>IF(BD384="","",VLOOKUP(BD384,引用表合并!$A:$B,2,FALSE))</f>
        <v/>
      </c>
      <c r="BD384" s="8"/>
      <c r="BF384" s="10"/>
      <c r="BG384" s="8" t="str">
        <f>IF(BH384="","",VLOOKUP(BH384,引用表合并!$A:$B,2,FALSE))</f>
        <v/>
      </c>
      <c r="BH384" s="8"/>
      <c r="BJ384" s="10"/>
      <c r="BK384" s="8" t="str">
        <f>IF(BL384="","",VLOOKUP(BL384,引用表合并!$A:$B,2,FALSE))</f>
        <v/>
      </c>
      <c r="BL384" s="8"/>
      <c r="BN384" s="10"/>
    </row>
    <row r="385" spans="1:66" x14ac:dyDescent="0.15">
      <c r="A385" s="8">
        <v>901022</v>
      </c>
      <c r="B385" s="18" t="str">
        <f>"任务:"&amp;VLOOKUP(A385,CHOOSE({1,2},[4]任务经验掉落配置表!$X$3:$X$173,[4]任务经验掉落配置表!$D$3:$D$173),2,FALSE)</f>
        <v>任务:力破阴谋</v>
      </c>
      <c r="C385" s="8">
        <v>0</v>
      </c>
      <c r="D385" s="8">
        <f t="shared" si="63"/>
        <v>0</v>
      </c>
      <c r="E385" s="16">
        <f t="shared" si="64"/>
        <v>0</v>
      </c>
      <c r="F385" s="16">
        <f t="shared" si="65"/>
        <v>0</v>
      </c>
      <c r="G385" s="8" t="str">
        <f>IF(H385="","",VLOOKUP(H385,引用表合并!$A:$B,2,FALSE))</f>
        <v/>
      </c>
      <c r="K385" s="8" t="str">
        <f>IF(L385="","",VLOOKUP(L385,引用表合并!$A:$B,2,FALSE))</f>
        <v/>
      </c>
      <c r="L385" s="8"/>
      <c r="M385" s="8"/>
      <c r="O385" s="8" t="str">
        <f>IF(P385="","",VLOOKUP(P385,引用表合并!$A:$B,2,FALSE))</f>
        <v/>
      </c>
      <c r="P385" s="8"/>
      <c r="Q385" s="8"/>
      <c r="S385" s="8" t="str">
        <f>IF(T385="","",VLOOKUP(T385,引用表合并!$A:$B,2,FALSE))</f>
        <v/>
      </c>
      <c r="T385" s="8"/>
      <c r="U385" s="8"/>
      <c r="W385" s="8" t="str">
        <f>IF(X385="","",VLOOKUP(X385,引用表合并!$A:$B,2,FALSE))</f>
        <v/>
      </c>
      <c r="X385" s="8"/>
      <c r="Y385" s="8"/>
      <c r="AA385" s="8" t="str">
        <f>IF(AB385="","",VLOOKUP(AB385,引用表合并!$A:$B,2,FALSE))</f>
        <v/>
      </c>
      <c r="AB385" s="8"/>
      <c r="AC385" s="8"/>
      <c r="AE385" s="8" t="str">
        <f>IF(AF385="","",VLOOKUP(AF385,引用表合并!$A:$B,2,FALSE))</f>
        <v/>
      </c>
      <c r="AF385" s="8"/>
      <c r="AG385" s="8"/>
      <c r="AI385" s="8" t="str">
        <f>IF(AJ385="","",VLOOKUP(AJ385,引用表合并!$A:$B,2,FALSE))</f>
        <v/>
      </c>
      <c r="AJ385" s="8"/>
      <c r="AK385" s="8"/>
      <c r="AM385" s="8" t="str">
        <f>IF(AN385="","",VLOOKUP(AN385,引用表合并!$A:$B,2,FALSE))</f>
        <v/>
      </c>
      <c r="AN385" s="8"/>
      <c r="AO385" s="8"/>
      <c r="AQ385" s="8" t="str">
        <f>IF(AR385="","",VLOOKUP(AR385,引用表合并!$A:$B,2,FALSE))</f>
        <v/>
      </c>
      <c r="AR385" s="8"/>
      <c r="AS385" s="8"/>
      <c r="AU385" s="8" t="str">
        <f>IF(AV385="","",VLOOKUP(AV385,引用表合并!$A:$B,2,FALSE))</f>
        <v/>
      </c>
      <c r="AV385" s="8"/>
      <c r="AW385" s="8"/>
      <c r="AY385" s="8" t="str">
        <f>IF(AZ385="","",VLOOKUP(AZ385,引用表合并!$A:$B,2,FALSE))</f>
        <v/>
      </c>
      <c r="AZ385" s="8"/>
      <c r="BA385" s="8"/>
      <c r="BC385" s="8" t="str">
        <f>IF(BD385="","",VLOOKUP(BD385,引用表合并!$A:$B,2,FALSE))</f>
        <v/>
      </c>
      <c r="BD385" s="8"/>
      <c r="BF385" s="10"/>
      <c r="BG385" s="8" t="str">
        <f>IF(BH385="","",VLOOKUP(BH385,引用表合并!$A:$B,2,FALSE))</f>
        <v/>
      </c>
      <c r="BH385" s="8"/>
      <c r="BJ385" s="10"/>
      <c r="BK385" s="8" t="str">
        <f>IF(BL385="","",VLOOKUP(BL385,引用表合并!$A:$B,2,FALSE))</f>
        <v/>
      </c>
      <c r="BL385" s="8"/>
      <c r="BN385" s="10"/>
    </row>
    <row r="386" spans="1:66" x14ac:dyDescent="0.15">
      <c r="A386" s="8">
        <v>901023</v>
      </c>
      <c r="B386" s="18" t="str">
        <f>"任务:"&amp;VLOOKUP(A386,CHOOSE({1,2},[4]任务经验掉落配置表!$X$3:$X$173,[4]任务经验掉落配置表!$D$3:$D$173),2,FALSE)</f>
        <v>任务:暂别山鸡</v>
      </c>
      <c r="C386" s="8">
        <v>0</v>
      </c>
      <c r="D386" s="8">
        <f t="shared" si="63"/>
        <v>0</v>
      </c>
      <c r="E386" s="16">
        <f t="shared" si="64"/>
        <v>0</v>
      </c>
      <c r="F386" s="16">
        <f t="shared" si="65"/>
        <v>0</v>
      </c>
      <c r="G386" s="8" t="str">
        <f>IF(H386="","",VLOOKUP(H386,引用表合并!$A:$B,2,FALSE))</f>
        <v/>
      </c>
      <c r="K386" s="8" t="str">
        <f>IF(L386="","",VLOOKUP(L386,引用表合并!$A:$B,2,FALSE))</f>
        <v/>
      </c>
      <c r="L386" s="8"/>
      <c r="M386" s="8"/>
      <c r="O386" s="8" t="str">
        <f>IF(P386="","",VLOOKUP(P386,引用表合并!$A:$B,2,FALSE))</f>
        <v/>
      </c>
      <c r="P386" s="8"/>
      <c r="Q386" s="8"/>
      <c r="S386" s="8" t="str">
        <f>IF(T386="","",VLOOKUP(T386,引用表合并!$A:$B,2,FALSE))</f>
        <v/>
      </c>
      <c r="T386" s="8"/>
      <c r="U386" s="8"/>
      <c r="W386" s="8" t="str">
        <f>IF(X386="","",VLOOKUP(X386,引用表合并!$A:$B,2,FALSE))</f>
        <v/>
      </c>
      <c r="X386" s="8"/>
      <c r="Y386" s="8"/>
      <c r="AA386" s="8" t="str">
        <f>IF(AB386="","",VLOOKUP(AB386,引用表合并!$A:$B,2,FALSE))</f>
        <v/>
      </c>
      <c r="AB386" s="8"/>
      <c r="AC386" s="8"/>
      <c r="AE386" s="8" t="str">
        <f>IF(AF386="","",VLOOKUP(AF386,引用表合并!$A:$B,2,FALSE))</f>
        <v/>
      </c>
      <c r="AF386" s="8"/>
      <c r="AG386" s="8"/>
      <c r="AI386" s="8" t="str">
        <f>IF(AJ386="","",VLOOKUP(AJ386,引用表合并!$A:$B,2,FALSE))</f>
        <v/>
      </c>
      <c r="AJ386" s="8"/>
      <c r="AK386" s="8"/>
      <c r="AM386" s="8" t="str">
        <f>IF(AN386="","",VLOOKUP(AN386,引用表合并!$A:$B,2,FALSE))</f>
        <v/>
      </c>
      <c r="AN386" s="8"/>
      <c r="AO386" s="8"/>
      <c r="AQ386" s="8" t="str">
        <f>IF(AR386="","",VLOOKUP(AR386,引用表合并!$A:$B,2,FALSE))</f>
        <v/>
      </c>
      <c r="AR386" s="8"/>
      <c r="AS386" s="8"/>
      <c r="AU386" s="8" t="str">
        <f>IF(AV386="","",VLOOKUP(AV386,引用表合并!$A:$B,2,FALSE))</f>
        <v/>
      </c>
      <c r="AV386" s="8"/>
      <c r="AW386" s="8"/>
      <c r="AY386" s="8" t="str">
        <f>IF(AZ386="","",VLOOKUP(AZ386,引用表合并!$A:$B,2,FALSE))</f>
        <v/>
      </c>
      <c r="AZ386" s="8"/>
      <c r="BA386" s="8"/>
      <c r="BC386" s="8" t="str">
        <f>IF(BD386="","",VLOOKUP(BD386,引用表合并!$A:$B,2,FALSE))</f>
        <v/>
      </c>
      <c r="BD386" s="8"/>
      <c r="BF386" s="10"/>
      <c r="BG386" s="8" t="str">
        <f>IF(BH386="","",VLOOKUP(BH386,引用表合并!$A:$B,2,FALSE))</f>
        <v/>
      </c>
      <c r="BH386" s="8"/>
      <c r="BJ386" s="10"/>
      <c r="BK386" s="8" t="str">
        <f>IF(BL386="","",VLOOKUP(BL386,引用表合并!$A:$B,2,FALSE))</f>
        <v/>
      </c>
      <c r="BL386" s="8"/>
      <c r="BN386" s="10"/>
    </row>
    <row r="387" spans="1:66" x14ac:dyDescent="0.15">
      <c r="A387" s="8">
        <v>901024</v>
      </c>
      <c r="B387" s="18" t="str">
        <f>"任务:"&amp;VLOOKUP(A387,CHOOSE({1,2},[4]任务经验掉落配置表!$X$3:$X$173,[4]任务经验掉落配置表!$D$3:$D$173),2,FALSE)</f>
        <v>任务:风起云涌</v>
      </c>
      <c r="C387" s="8">
        <v>0</v>
      </c>
      <c r="D387" s="8">
        <f t="shared" si="63"/>
        <v>0</v>
      </c>
      <c r="E387" s="16">
        <f t="shared" si="64"/>
        <v>0</v>
      </c>
      <c r="F387" s="16">
        <f t="shared" si="65"/>
        <v>0</v>
      </c>
      <c r="G387" s="8" t="str">
        <f>IF(H387="","",VLOOKUP(H387,引用表合并!$A:$B,2,FALSE))</f>
        <v/>
      </c>
      <c r="K387" s="8" t="str">
        <f>IF(L387="","",VLOOKUP(L387,引用表合并!$A:$B,2,FALSE))</f>
        <v/>
      </c>
      <c r="L387" s="8"/>
      <c r="M387" s="8"/>
      <c r="O387" s="8" t="str">
        <f>IF(P387="","",VLOOKUP(P387,引用表合并!$A:$B,2,FALSE))</f>
        <v/>
      </c>
      <c r="P387" s="8"/>
      <c r="Q387" s="8"/>
      <c r="S387" s="8" t="str">
        <f>IF(T387="","",VLOOKUP(T387,引用表合并!$A:$B,2,FALSE))</f>
        <v/>
      </c>
      <c r="T387" s="8"/>
      <c r="U387" s="8"/>
      <c r="W387" s="8" t="str">
        <f>IF(X387="","",VLOOKUP(X387,引用表合并!$A:$B,2,FALSE))</f>
        <v/>
      </c>
      <c r="X387" s="8"/>
      <c r="Y387" s="8"/>
      <c r="AA387" s="8" t="str">
        <f>IF(AB387="","",VLOOKUP(AB387,引用表合并!$A:$B,2,FALSE))</f>
        <v/>
      </c>
      <c r="AB387" s="8"/>
      <c r="AC387" s="8"/>
      <c r="AE387" s="8" t="str">
        <f>IF(AF387="","",VLOOKUP(AF387,引用表合并!$A:$B,2,FALSE))</f>
        <v/>
      </c>
      <c r="AF387" s="8"/>
      <c r="AG387" s="8"/>
      <c r="AI387" s="8" t="str">
        <f>IF(AJ387="","",VLOOKUP(AJ387,引用表合并!$A:$B,2,FALSE))</f>
        <v/>
      </c>
      <c r="AJ387" s="8"/>
      <c r="AK387" s="8"/>
      <c r="AM387" s="8" t="str">
        <f>IF(AN387="","",VLOOKUP(AN387,引用表合并!$A:$B,2,FALSE))</f>
        <v/>
      </c>
      <c r="AN387" s="8"/>
      <c r="AO387" s="8"/>
      <c r="AQ387" s="8" t="str">
        <f>IF(AR387="","",VLOOKUP(AR387,引用表合并!$A:$B,2,FALSE))</f>
        <v/>
      </c>
      <c r="AR387" s="8"/>
      <c r="AS387" s="8"/>
      <c r="AU387" s="8" t="str">
        <f>IF(AV387="","",VLOOKUP(AV387,引用表合并!$A:$B,2,FALSE))</f>
        <v/>
      </c>
      <c r="AV387" s="8"/>
      <c r="AW387" s="8"/>
      <c r="AY387" s="8" t="str">
        <f>IF(AZ387="","",VLOOKUP(AZ387,引用表合并!$A:$B,2,FALSE))</f>
        <v/>
      </c>
      <c r="AZ387" s="8"/>
      <c r="BA387" s="8"/>
      <c r="BC387" s="8" t="str">
        <f>IF(BD387="","",VLOOKUP(BD387,引用表合并!$A:$B,2,FALSE))</f>
        <v/>
      </c>
      <c r="BD387" s="8"/>
      <c r="BF387" s="10"/>
      <c r="BG387" s="8" t="str">
        <f>IF(BH387="","",VLOOKUP(BH387,引用表合并!$A:$B,2,FALSE))</f>
        <v/>
      </c>
      <c r="BH387" s="8"/>
      <c r="BJ387" s="10"/>
      <c r="BK387" s="8" t="str">
        <f>IF(BL387="","",VLOOKUP(BL387,引用表合并!$A:$B,2,FALSE))</f>
        <v/>
      </c>
      <c r="BL387" s="8"/>
      <c r="BN387" s="10"/>
    </row>
    <row r="388" spans="1:66" x14ac:dyDescent="0.15">
      <c r="A388" s="8">
        <v>901025</v>
      </c>
      <c r="B388" s="18" t="str">
        <f>"任务:"&amp;VLOOKUP(A388,CHOOSE({1,2},[4]任务经验掉落配置表!$X$3:$X$173,[4]任务经验掉落配置表!$D$3:$D$173),2,FALSE)</f>
        <v>任务:宴会波澜</v>
      </c>
      <c r="C388" s="8">
        <v>0</v>
      </c>
      <c r="D388" s="8">
        <f t="shared" si="63"/>
        <v>0</v>
      </c>
      <c r="E388" s="16">
        <f t="shared" si="64"/>
        <v>0</v>
      </c>
      <c r="F388" s="16">
        <f t="shared" si="65"/>
        <v>0</v>
      </c>
      <c r="G388" s="8" t="str">
        <f>IF(H388="","",VLOOKUP(H388,引用表合并!$A:$B,2,FALSE))</f>
        <v/>
      </c>
      <c r="K388" s="8" t="str">
        <f>IF(L388="","",VLOOKUP(L388,引用表合并!$A:$B,2,FALSE))</f>
        <v/>
      </c>
      <c r="L388" s="8"/>
      <c r="M388" s="8"/>
      <c r="O388" s="8" t="str">
        <f>IF(P388="","",VLOOKUP(P388,引用表合并!$A:$B,2,FALSE))</f>
        <v/>
      </c>
      <c r="P388" s="8"/>
      <c r="Q388" s="8"/>
      <c r="S388" s="8" t="str">
        <f>IF(T388="","",VLOOKUP(T388,引用表合并!$A:$B,2,FALSE))</f>
        <v/>
      </c>
      <c r="T388" s="8"/>
      <c r="U388" s="8"/>
      <c r="W388" s="8" t="str">
        <f>IF(X388="","",VLOOKUP(X388,引用表合并!$A:$B,2,FALSE))</f>
        <v/>
      </c>
      <c r="X388" s="8"/>
      <c r="Y388" s="8"/>
      <c r="AA388" s="8" t="str">
        <f>IF(AB388="","",VLOOKUP(AB388,引用表合并!$A:$B,2,FALSE))</f>
        <v/>
      </c>
      <c r="AB388" s="8"/>
      <c r="AC388" s="8"/>
      <c r="AE388" s="8" t="str">
        <f>IF(AF388="","",VLOOKUP(AF388,引用表合并!$A:$B,2,FALSE))</f>
        <v/>
      </c>
      <c r="AF388" s="8"/>
      <c r="AG388" s="8"/>
      <c r="AI388" s="8" t="str">
        <f>IF(AJ388="","",VLOOKUP(AJ388,引用表合并!$A:$B,2,FALSE))</f>
        <v/>
      </c>
      <c r="AJ388" s="8"/>
      <c r="AK388" s="8"/>
      <c r="AM388" s="8" t="str">
        <f>IF(AN388="","",VLOOKUP(AN388,引用表合并!$A:$B,2,FALSE))</f>
        <v/>
      </c>
      <c r="AN388" s="8"/>
      <c r="AO388" s="8"/>
      <c r="AQ388" s="8" t="str">
        <f>IF(AR388="","",VLOOKUP(AR388,引用表合并!$A:$B,2,FALSE))</f>
        <v/>
      </c>
      <c r="AR388" s="8"/>
      <c r="AS388" s="8"/>
      <c r="AU388" s="8" t="str">
        <f>IF(AV388="","",VLOOKUP(AV388,引用表合并!$A:$B,2,FALSE))</f>
        <v/>
      </c>
      <c r="AV388" s="8"/>
      <c r="AW388" s="8"/>
      <c r="AY388" s="8" t="str">
        <f>IF(AZ388="","",VLOOKUP(AZ388,引用表合并!$A:$B,2,FALSE))</f>
        <v/>
      </c>
      <c r="AZ388" s="8"/>
      <c r="BA388" s="8"/>
      <c r="BC388" s="8" t="str">
        <f>IF(BD388="","",VLOOKUP(BD388,引用表合并!$A:$B,2,FALSE))</f>
        <v/>
      </c>
      <c r="BD388" s="8"/>
      <c r="BF388" s="10"/>
      <c r="BG388" s="8" t="str">
        <f>IF(BH388="","",VLOOKUP(BH388,引用表合并!$A:$B,2,FALSE))</f>
        <v/>
      </c>
      <c r="BH388" s="8"/>
      <c r="BJ388" s="10"/>
      <c r="BK388" s="8" t="str">
        <f>IF(BL388="","",VLOOKUP(BL388,引用表合并!$A:$B,2,FALSE))</f>
        <v/>
      </c>
      <c r="BL388" s="8"/>
      <c r="BN388" s="10"/>
    </row>
    <row r="389" spans="1:66" x14ac:dyDescent="0.15">
      <c r="A389" s="8">
        <v>901026</v>
      </c>
      <c r="B389" s="18" t="str">
        <f>"任务:"&amp;VLOOKUP(A389,CHOOSE({1,2},[4]任务经验掉落配置表!$X$3:$X$173,[4]任务经验掉落配置表!$D$3:$D$173),2,FALSE)</f>
        <v>任务:调查酒吧</v>
      </c>
      <c r="C389" s="8">
        <v>0</v>
      </c>
      <c r="D389" s="8">
        <f t="shared" si="63"/>
        <v>0</v>
      </c>
      <c r="E389" s="16">
        <f t="shared" si="64"/>
        <v>0</v>
      </c>
      <c r="F389" s="16">
        <f t="shared" si="65"/>
        <v>0</v>
      </c>
      <c r="G389" s="8" t="str">
        <f>IF(H389="","",VLOOKUP(H389,引用表合并!$A:$B,2,FALSE))</f>
        <v/>
      </c>
      <c r="K389" s="8" t="str">
        <f>IF(L389="","",VLOOKUP(L389,引用表合并!$A:$B,2,FALSE))</f>
        <v/>
      </c>
      <c r="L389" s="8"/>
      <c r="M389" s="8"/>
      <c r="O389" s="8" t="str">
        <f>IF(P389="","",VLOOKUP(P389,引用表合并!$A:$B,2,FALSE))</f>
        <v/>
      </c>
      <c r="P389" s="8"/>
      <c r="Q389" s="8"/>
      <c r="S389" s="8" t="str">
        <f>IF(T389="","",VLOOKUP(T389,引用表合并!$A:$B,2,FALSE))</f>
        <v/>
      </c>
      <c r="T389" s="8"/>
      <c r="U389" s="8"/>
      <c r="W389" s="8" t="str">
        <f>IF(X389="","",VLOOKUP(X389,引用表合并!$A:$B,2,FALSE))</f>
        <v/>
      </c>
      <c r="X389" s="8"/>
      <c r="Y389" s="8"/>
      <c r="AA389" s="8" t="str">
        <f>IF(AB389="","",VLOOKUP(AB389,引用表合并!$A:$B,2,FALSE))</f>
        <v/>
      </c>
      <c r="AB389" s="8"/>
      <c r="AC389" s="8"/>
      <c r="AE389" s="8" t="str">
        <f>IF(AF389="","",VLOOKUP(AF389,引用表合并!$A:$B,2,FALSE))</f>
        <v/>
      </c>
      <c r="AF389" s="8"/>
      <c r="AG389" s="8"/>
      <c r="AI389" s="8" t="str">
        <f>IF(AJ389="","",VLOOKUP(AJ389,引用表合并!$A:$B,2,FALSE))</f>
        <v/>
      </c>
      <c r="AJ389" s="8"/>
      <c r="AK389" s="8"/>
      <c r="AM389" s="8" t="str">
        <f>IF(AN389="","",VLOOKUP(AN389,引用表合并!$A:$B,2,FALSE))</f>
        <v/>
      </c>
      <c r="AN389" s="8"/>
      <c r="AO389" s="8"/>
      <c r="AQ389" s="8" t="str">
        <f>IF(AR389="","",VLOOKUP(AR389,引用表合并!$A:$B,2,FALSE))</f>
        <v/>
      </c>
      <c r="AR389" s="8"/>
      <c r="AS389" s="8"/>
      <c r="AU389" s="8" t="str">
        <f>IF(AV389="","",VLOOKUP(AV389,引用表合并!$A:$B,2,FALSE))</f>
        <v/>
      </c>
      <c r="AV389" s="8"/>
      <c r="AW389" s="8"/>
      <c r="AY389" s="8" t="str">
        <f>IF(AZ389="","",VLOOKUP(AZ389,引用表合并!$A:$B,2,FALSE))</f>
        <v/>
      </c>
      <c r="AZ389" s="8"/>
      <c r="BA389" s="8"/>
      <c r="BC389" s="8" t="str">
        <f>IF(BD389="","",VLOOKUP(BD389,引用表合并!$A:$B,2,FALSE))</f>
        <v/>
      </c>
      <c r="BD389" s="8"/>
      <c r="BF389" s="10"/>
      <c r="BG389" s="8" t="str">
        <f>IF(BH389="","",VLOOKUP(BH389,引用表合并!$A:$B,2,FALSE))</f>
        <v/>
      </c>
      <c r="BH389" s="8"/>
      <c r="BJ389" s="10"/>
      <c r="BK389" s="8" t="str">
        <f>IF(BL389="","",VLOOKUP(BL389,引用表合并!$A:$B,2,FALSE))</f>
        <v/>
      </c>
      <c r="BL389" s="8"/>
      <c r="BN389" s="10"/>
    </row>
    <row r="390" spans="1:66" x14ac:dyDescent="0.15">
      <c r="A390" s="8">
        <v>901027</v>
      </c>
      <c r="B390" s="18" t="str">
        <f>"任务:"&amp;VLOOKUP(A390,CHOOSE({1,2},[4]任务经验掉落配置表!$X$3:$X$173,[4]任务经验掉落配置表!$D$3:$D$173),2,FALSE)</f>
        <v>任务:痛打笑面虎</v>
      </c>
      <c r="C390" s="8">
        <v>0</v>
      </c>
      <c r="D390" s="8">
        <f t="shared" si="63"/>
        <v>0</v>
      </c>
      <c r="E390" s="16">
        <f t="shared" si="64"/>
        <v>0</v>
      </c>
      <c r="F390" s="16">
        <f t="shared" si="65"/>
        <v>0</v>
      </c>
      <c r="G390" s="8" t="str">
        <f>IF(H390="","",VLOOKUP(H390,引用表合并!$A:$B,2,FALSE))</f>
        <v/>
      </c>
      <c r="K390" s="8" t="str">
        <f>IF(L390="","",VLOOKUP(L390,引用表合并!$A:$B,2,FALSE))</f>
        <v/>
      </c>
      <c r="L390" s="8"/>
      <c r="M390" s="8"/>
      <c r="O390" s="8" t="str">
        <f>IF(P390="","",VLOOKUP(P390,引用表合并!$A:$B,2,FALSE))</f>
        <v/>
      </c>
      <c r="P390" s="8"/>
      <c r="Q390" s="8"/>
      <c r="S390" s="8" t="str">
        <f>IF(T390="","",VLOOKUP(T390,引用表合并!$A:$B,2,FALSE))</f>
        <v/>
      </c>
      <c r="T390" s="8"/>
      <c r="U390" s="8"/>
      <c r="W390" s="8" t="str">
        <f>IF(X390="","",VLOOKUP(X390,引用表合并!$A:$B,2,FALSE))</f>
        <v/>
      </c>
      <c r="X390" s="8"/>
      <c r="Y390" s="8"/>
      <c r="AA390" s="8" t="str">
        <f>IF(AB390="","",VLOOKUP(AB390,引用表合并!$A:$B,2,FALSE))</f>
        <v/>
      </c>
      <c r="AB390" s="8"/>
      <c r="AC390" s="8"/>
      <c r="AE390" s="8" t="str">
        <f>IF(AF390="","",VLOOKUP(AF390,引用表合并!$A:$B,2,FALSE))</f>
        <v/>
      </c>
      <c r="AF390" s="8"/>
      <c r="AG390" s="8"/>
      <c r="AI390" s="8" t="str">
        <f>IF(AJ390="","",VLOOKUP(AJ390,引用表合并!$A:$B,2,FALSE))</f>
        <v/>
      </c>
      <c r="AJ390" s="8"/>
      <c r="AK390" s="8"/>
      <c r="AM390" s="8" t="str">
        <f>IF(AN390="","",VLOOKUP(AN390,引用表合并!$A:$B,2,FALSE))</f>
        <v/>
      </c>
      <c r="AN390" s="8"/>
      <c r="AO390" s="8"/>
      <c r="AQ390" s="8" t="str">
        <f>IF(AR390="","",VLOOKUP(AR390,引用表合并!$A:$B,2,FALSE))</f>
        <v/>
      </c>
      <c r="AR390" s="8"/>
      <c r="AS390" s="8"/>
      <c r="AU390" s="8" t="str">
        <f>IF(AV390="","",VLOOKUP(AV390,引用表合并!$A:$B,2,FALSE))</f>
        <v/>
      </c>
      <c r="AV390" s="8"/>
      <c r="AW390" s="8"/>
      <c r="AY390" s="8" t="str">
        <f>IF(AZ390="","",VLOOKUP(AZ390,引用表合并!$A:$B,2,FALSE))</f>
        <v/>
      </c>
      <c r="AZ390" s="8"/>
      <c r="BA390" s="8"/>
      <c r="BC390" s="8" t="str">
        <f>IF(BD390="","",VLOOKUP(BD390,引用表合并!$A:$B,2,FALSE))</f>
        <v/>
      </c>
      <c r="BD390" s="8"/>
      <c r="BF390" s="10"/>
      <c r="BG390" s="8" t="str">
        <f>IF(BH390="","",VLOOKUP(BH390,引用表合并!$A:$B,2,FALSE))</f>
        <v/>
      </c>
      <c r="BH390" s="8"/>
      <c r="BJ390" s="10"/>
      <c r="BK390" s="8" t="str">
        <f>IF(BL390="","",VLOOKUP(BL390,引用表合并!$A:$B,2,FALSE))</f>
        <v/>
      </c>
      <c r="BL390" s="8"/>
      <c r="BN390" s="10"/>
    </row>
    <row r="391" spans="1:66" x14ac:dyDescent="0.15">
      <c r="A391" s="8">
        <v>901028</v>
      </c>
      <c r="B391" s="18" t="str">
        <f>"任务:"&amp;VLOOKUP(A391,CHOOSE({1,2},[4]任务经验掉落配置表!$X$3:$X$173,[4]任务经验掉落配置表!$D$3:$D$173),2,FALSE)</f>
        <v>任务:护卫蒋生</v>
      </c>
      <c r="C391" s="8">
        <v>0</v>
      </c>
      <c r="D391" s="8">
        <f t="shared" si="63"/>
        <v>0</v>
      </c>
      <c r="E391" s="16">
        <f t="shared" si="64"/>
        <v>0</v>
      </c>
      <c r="F391" s="16">
        <f t="shared" si="65"/>
        <v>0</v>
      </c>
      <c r="G391" s="8" t="str">
        <f>IF(H391="","",VLOOKUP(H391,引用表合并!$A:$B,2,FALSE))</f>
        <v/>
      </c>
      <c r="K391" s="8" t="str">
        <f>IF(L391="","",VLOOKUP(L391,引用表合并!$A:$B,2,FALSE))</f>
        <v/>
      </c>
      <c r="L391" s="8"/>
      <c r="M391" s="8"/>
      <c r="O391" s="8" t="str">
        <f>IF(P391="","",VLOOKUP(P391,引用表合并!$A:$B,2,FALSE))</f>
        <v/>
      </c>
      <c r="P391" s="8"/>
      <c r="Q391" s="8"/>
      <c r="S391" s="8" t="str">
        <f>IF(T391="","",VLOOKUP(T391,引用表合并!$A:$B,2,FALSE))</f>
        <v/>
      </c>
      <c r="T391" s="8"/>
      <c r="U391" s="8"/>
      <c r="W391" s="8" t="str">
        <f>IF(X391="","",VLOOKUP(X391,引用表合并!$A:$B,2,FALSE))</f>
        <v/>
      </c>
      <c r="X391" s="8"/>
      <c r="Y391" s="8"/>
      <c r="AA391" s="8" t="str">
        <f>IF(AB391="","",VLOOKUP(AB391,引用表合并!$A:$B,2,FALSE))</f>
        <v/>
      </c>
      <c r="AB391" s="8"/>
      <c r="AC391" s="8"/>
      <c r="AE391" s="8" t="str">
        <f>IF(AF391="","",VLOOKUP(AF391,引用表合并!$A:$B,2,FALSE))</f>
        <v/>
      </c>
      <c r="AF391" s="8"/>
      <c r="AG391" s="8"/>
      <c r="AI391" s="8" t="str">
        <f>IF(AJ391="","",VLOOKUP(AJ391,引用表合并!$A:$B,2,FALSE))</f>
        <v/>
      </c>
      <c r="AJ391" s="8"/>
      <c r="AK391" s="8"/>
      <c r="AM391" s="8" t="str">
        <f>IF(AN391="","",VLOOKUP(AN391,引用表合并!$A:$B,2,FALSE))</f>
        <v/>
      </c>
      <c r="AN391" s="8"/>
      <c r="AO391" s="8"/>
      <c r="AQ391" s="8" t="str">
        <f>IF(AR391="","",VLOOKUP(AR391,引用表合并!$A:$B,2,FALSE))</f>
        <v/>
      </c>
      <c r="AR391" s="8"/>
      <c r="AS391" s="8"/>
      <c r="AU391" s="8" t="str">
        <f>IF(AV391="","",VLOOKUP(AV391,引用表合并!$A:$B,2,FALSE))</f>
        <v/>
      </c>
      <c r="AV391" s="8"/>
      <c r="AW391" s="8"/>
      <c r="AY391" s="8" t="str">
        <f>IF(AZ391="","",VLOOKUP(AZ391,引用表合并!$A:$B,2,FALSE))</f>
        <v/>
      </c>
      <c r="AZ391" s="8"/>
      <c r="BA391" s="8"/>
      <c r="BC391" s="8" t="str">
        <f>IF(BD391="","",VLOOKUP(BD391,引用表合并!$A:$B,2,FALSE))</f>
        <v/>
      </c>
      <c r="BD391" s="8"/>
      <c r="BF391" s="10"/>
      <c r="BG391" s="8" t="str">
        <f>IF(BH391="","",VLOOKUP(BH391,引用表合并!$A:$B,2,FALSE))</f>
        <v/>
      </c>
      <c r="BH391" s="8"/>
      <c r="BJ391" s="10"/>
      <c r="BK391" s="8" t="str">
        <f>IF(BL391="","",VLOOKUP(BL391,引用表合并!$A:$B,2,FALSE))</f>
        <v/>
      </c>
      <c r="BL391" s="8"/>
      <c r="BN391" s="10"/>
    </row>
    <row r="392" spans="1:66" x14ac:dyDescent="0.15">
      <c r="A392" s="8">
        <v>901029</v>
      </c>
      <c r="B392" s="18" t="str">
        <f>"任务:"&amp;VLOOKUP(A392,CHOOSE({1,2},[4]任务经验掉落配置表!$X$3:$X$173,[4]任务经验掉落配置表!$D$3:$D$173),2,FALSE)</f>
        <v>任务:蒋生遭袭</v>
      </c>
      <c r="C392" s="8">
        <v>0</v>
      </c>
      <c r="D392" s="8">
        <f t="shared" ref="D392:D465" si="66">E392</f>
        <v>0</v>
      </c>
      <c r="E392" s="16">
        <f t="shared" si="64"/>
        <v>0</v>
      </c>
      <c r="F392" s="16">
        <f t="shared" si="65"/>
        <v>0</v>
      </c>
      <c r="G392" s="8" t="str">
        <f>IF(H392="","",VLOOKUP(H392,引用表合并!$A:$B,2,FALSE))</f>
        <v/>
      </c>
      <c r="K392" s="8" t="str">
        <f>IF(L392="","",VLOOKUP(L392,引用表合并!$A:$B,2,FALSE))</f>
        <v/>
      </c>
      <c r="L392" s="8"/>
      <c r="M392" s="8"/>
      <c r="O392" s="8" t="str">
        <f>IF(P392="","",VLOOKUP(P392,引用表合并!$A:$B,2,FALSE))</f>
        <v/>
      </c>
      <c r="P392" s="8"/>
      <c r="Q392" s="8"/>
      <c r="S392" s="8" t="str">
        <f>IF(T392="","",VLOOKUP(T392,引用表合并!$A:$B,2,FALSE))</f>
        <v/>
      </c>
      <c r="T392" s="8"/>
      <c r="U392" s="8"/>
      <c r="W392" s="8" t="str">
        <f>IF(X392="","",VLOOKUP(X392,引用表合并!$A:$B,2,FALSE))</f>
        <v/>
      </c>
      <c r="X392" s="8"/>
      <c r="Y392" s="8"/>
      <c r="AA392" s="8" t="str">
        <f>IF(AB392="","",VLOOKUP(AB392,引用表合并!$A:$B,2,FALSE))</f>
        <v/>
      </c>
      <c r="AB392" s="8"/>
      <c r="AC392" s="8"/>
      <c r="AE392" s="8" t="str">
        <f>IF(AF392="","",VLOOKUP(AF392,引用表合并!$A:$B,2,FALSE))</f>
        <v/>
      </c>
      <c r="AF392" s="8"/>
      <c r="AG392" s="8"/>
      <c r="AI392" s="8" t="str">
        <f>IF(AJ392="","",VLOOKUP(AJ392,引用表合并!$A:$B,2,FALSE))</f>
        <v/>
      </c>
      <c r="AJ392" s="8"/>
      <c r="AK392" s="8"/>
      <c r="AM392" s="8" t="str">
        <f>IF(AN392="","",VLOOKUP(AN392,引用表合并!$A:$B,2,FALSE))</f>
        <v/>
      </c>
      <c r="AN392" s="8"/>
      <c r="AO392" s="8"/>
      <c r="AQ392" s="8" t="str">
        <f>IF(AR392="","",VLOOKUP(AR392,引用表合并!$A:$B,2,FALSE))</f>
        <v/>
      </c>
      <c r="AR392" s="8"/>
      <c r="AS392" s="8"/>
      <c r="AU392" s="8" t="str">
        <f>IF(AV392="","",VLOOKUP(AV392,引用表合并!$A:$B,2,FALSE))</f>
        <v/>
      </c>
      <c r="AV392" s="8"/>
      <c r="AW392" s="8"/>
      <c r="AY392" s="8" t="str">
        <f>IF(AZ392="","",VLOOKUP(AZ392,引用表合并!$A:$B,2,FALSE))</f>
        <v/>
      </c>
      <c r="AZ392" s="8"/>
      <c r="BA392" s="8"/>
      <c r="BC392" s="8" t="str">
        <f>IF(BD392="","",VLOOKUP(BD392,引用表合并!$A:$B,2,FALSE))</f>
        <v/>
      </c>
      <c r="BD392" s="8"/>
      <c r="BF392" s="10"/>
      <c r="BG392" s="8" t="str">
        <f>IF(BH392="","",VLOOKUP(BH392,引用表合并!$A:$B,2,FALSE))</f>
        <v/>
      </c>
      <c r="BH392" s="8"/>
      <c r="BJ392" s="10"/>
      <c r="BK392" s="8" t="str">
        <f>IF(BL392="","",VLOOKUP(BL392,引用表合并!$A:$B,2,FALSE))</f>
        <v/>
      </c>
      <c r="BL392" s="8"/>
      <c r="BN392" s="10"/>
    </row>
    <row r="393" spans="1:66" x14ac:dyDescent="0.15">
      <c r="A393" s="8">
        <v>901030</v>
      </c>
      <c r="B393" s="18" t="str">
        <f>"任务:"&amp;VLOOKUP(A393,CHOOSE({1,2},[4]任务经验掉落配置表!$X$3:$X$173,[4]任务经验掉落配置表!$D$3:$D$173),2,FALSE)</f>
        <v>任务:突围</v>
      </c>
      <c r="C393" s="8">
        <v>0</v>
      </c>
      <c r="D393" s="8">
        <f t="shared" si="66"/>
        <v>0</v>
      </c>
      <c r="E393" s="16">
        <f t="shared" si="64"/>
        <v>0</v>
      </c>
      <c r="F393" s="16">
        <f t="shared" si="65"/>
        <v>0</v>
      </c>
      <c r="G393" s="8" t="str">
        <f>IF(H393="","",VLOOKUP(H393,引用表合并!$A:$B,2,FALSE))</f>
        <v/>
      </c>
      <c r="K393" s="8" t="str">
        <f>IF(L393="","",VLOOKUP(L393,引用表合并!$A:$B,2,FALSE))</f>
        <v/>
      </c>
      <c r="L393" s="8"/>
      <c r="M393" s="8"/>
      <c r="O393" s="8" t="str">
        <f>IF(P393="","",VLOOKUP(P393,引用表合并!$A:$B,2,FALSE))</f>
        <v/>
      </c>
      <c r="P393" s="8"/>
      <c r="Q393" s="8"/>
      <c r="S393" s="8" t="str">
        <f>IF(T393="","",VLOOKUP(T393,引用表合并!$A:$B,2,FALSE))</f>
        <v/>
      </c>
      <c r="T393" s="8"/>
      <c r="U393" s="8"/>
      <c r="W393" s="8" t="str">
        <f>IF(X393="","",VLOOKUP(X393,引用表合并!$A:$B,2,FALSE))</f>
        <v/>
      </c>
      <c r="X393" s="8"/>
      <c r="Y393" s="8"/>
      <c r="AA393" s="8" t="str">
        <f>IF(AB393="","",VLOOKUP(AB393,引用表合并!$A:$B,2,FALSE))</f>
        <v/>
      </c>
      <c r="AB393" s="8"/>
      <c r="AC393" s="8"/>
      <c r="AE393" s="8" t="str">
        <f>IF(AF393="","",VLOOKUP(AF393,引用表合并!$A:$B,2,FALSE))</f>
        <v/>
      </c>
      <c r="AF393" s="8"/>
      <c r="AG393" s="8"/>
      <c r="AI393" s="8" t="str">
        <f>IF(AJ393="","",VLOOKUP(AJ393,引用表合并!$A:$B,2,FALSE))</f>
        <v/>
      </c>
      <c r="AJ393" s="8"/>
      <c r="AK393" s="8"/>
      <c r="AM393" s="8" t="str">
        <f>IF(AN393="","",VLOOKUP(AN393,引用表合并!$A:$B,2,FALSE))</f>
        <v/>
      </c>
      <c r="AN393" s="8"/>
      <c r="AO393" s="8"/>
      <c r="AQ393" s="8" t="str">
        <f>IF(AR393="","",VLOOKUP(AR393,引用表合并!$A:$B,2,FALSE))</f>
        <v/>
      </c>
      <c r="AR393" s="8"/>
      <c r="AS393" s="8"/>
      <c r="AU393" s="8" t="str">
        <f>IF(AV393="","",VLOOKUP(AV393,引用表合并!$A:$B,2,FALSE))</f>
        <v/>
      </c>
      <c r="AV393" s="8"/>
      <c r="AW393" s="8"/>
      <c r="AY393" s="8" t="str">
        <f>IF(AZ393="","",VLOOKUP(AZ393,引用表合并!$A:$B,2,FALSE))</f>
        <v/>
      </c>
      <c r="AZ393" s="8"/>
      <c r="BA393" s="8"/>
      <c r="BC393" s="8" t="str">
        <f>IF(BD393="","",VLOOKUP(BD393,引用表合并!$A:$B,2,FALSE))</f>
        <v/>
      </c>
      <c r="BD393" s="8"/>
      <c r="BF393" s="10"/>
      <c r="BG393" s="8" t="str">
        <f>IF(BH393="","",VLOOKUP(BH393,引用表合并!$A:$B,2,FALSE))</f>
        <v/>
      </c>
      <c r="BH393" s="8"/>
      <c r="BJ393" s="10"/>
      <c r="BK393" s="8" t="str">
        <f>IF(BL393="","",VLOOKUP(BL393,引用表合并!$A:$B,2,FALSE))</f>
        <v/>
      </c>
      <c r="BL393" s="8"/>
      <c r="BN393" s="10"/>
    </row>
    <row r="394" spans="1:66" x14ac:dyDescent="0.15">
      <c r="A394" s="8">
        <v>901031</v>
      </c>
      <c r="B394" s="18" t="str">
        <f>"任务:"&amp;VLOOKUP(A394,CHOOSE({1,2},[4]任务经验掉落配置表!$X$3:$X$173,[4]任务经验掉落配置表!$D$3:$D$173),2,FALSE)</f>
        <v>任务:营救准备</v>
      </c>
      <c r="C394" s="8">
        <v>0</v>
      </c>
      <c r="D394" s="8">
        <f t="shared" si="66"/>
        <v>0</v>
      </c>
      <c r="E394" s="16">
        <f t="shared" si="64"/>
        <v>0</v>
      </c>
      <c r="F394" s="16">
        <f t="shared" si="65"/>
        <v>0</v>
      </c>
      <c r="G394" s="8" t="str">
        <f>IF(H394="","",VLOOKUP(H394,引用表合并!$A:$B,2,FALSE))</f>
        <v/>
      </c>
      <c r="K394" s="8" t="str">
        <f>IF(L394="","",VLOOKUP(L394,引用表合并!$A:$B,2,FALSE))</f>
        <v/>
      </c>
      <c r="L394" s="8"/>
      <c r="M394" s="8"/>
      <c r="O394" s="8" t="str">
        <f>IF(P394="","",VLOOKUP(P394,引用表合并!$A:$B,2,FALSE))</f>
        <v/>
      </c>
      <c r="P394" s="8"/>
      <c r="Q394" s="8"/>
      <c r="S394" s="8" t="str">
        <f>IF(T394="","",VLOOKUP(T394,引用表合并!$A:$B,2,FALSE))</f>
        <v/>
      </c>
      <c r="T394" s="8"/>
      <c r="U394" s="8"/>
      <c r="W394" s="8" t="str">
        <f>IF(X394="","",VLOOKUP(X394,引用表合并!$A:$B,2,FALSE))</f>
        <v/>
      </c>
      <c r="X394" s="8"/>
      <c r="Y394" s="8"/>
      <c r="AA394" s="8" t="str">
        <f>IF(AB394="","",VLOOKUP(AB394,引用表合并!$A:$B,2,FALSE))</f>
        <v/>
      </c>
      <c r="AB394" s="8"/>
      <c r="AC394" s="8"/>
      <c r="AE394" s="8" t="str">
        <f>IF(AF394="","",VLOOKUP(AF394,引用表合并!$A:$B,2,FALSE))</f>
        <v/>
      </c>
      <c r="AF394" s="8"/>
      <c r="AG394" s="8"/>
      <c r="AI394" s="8" t="str">
        <f>IF(AJ394="","",VLOOKUP(AJ394,引用表合并!$A:$B,2,FALSE))</f>
        <v/>
      </c>
      <c r="AJ394" s="8"/>
      <c r="AK394" s="8"/>
      <c r="AM394" s="8" t="str">
        <f>IF(AN394="","",VLOOKUP(AN394,引用表合并!$A:$B,2,FALSE))</f>
        <v/>
      </c>
      <c r="AN394" s="8"/>
      <c r="AO394" s="8"/>
      <c r="AQ394" s="8" t="str">
        <f>IF(AR394="","",VLOOKUP(AR394,引用表合并!$A:$B,2,FALSE))</f>
        <v/>
      </c>
      <c r="AR394" s="8"/>
      <c r="AS394" s="8"/>
      <c r="AU394" s="8" t="str">
        <f>IF(AV394="","",VLOOKUP(AV394,引用表合并!$A:$B,2,FALSE))</f>
        <v/>
      </c>
      <c r="AV394" s="8"/>
      <c r="AW394" s="8"/>
      <c r="AY394" s="8" t="str">
        <f>IF(AZ394="","",VLOOKUP(AZ394,引用表合并!$A:$B,2,FALSE))</f>
        <v/>
      </c>
      <c r="AZ394" s="8"/>
      <c r="BA394" s="8"/>
      <c r="BC394" s="8" t="str">
        <f>IF(BD394="","",VLOOKUP(BD394,引用表合并!$A:$B,2,FALSE))</f>
        <v/>
      </c>
      <c r="BD394" s="8"/>
      <c r="BF394" s="10"/>
      <c r="BG394" s="8" t="str">
        <f>IF(BH394="","",VLOOKUP(BH394,引用表合并!$A:$B,2,FALSE))</f>
        <v/>
      </c>
      <c r="BH394" s="8"/>
      <c r="BJ394" s="10"/>
      <c r="BK394" s="8" t="str">
        <f>IF(BL394="","",VLOOKUP(BL394,引用表合并!$A:$B,2,FALSE))</f>
        <v/>
      </c>
      <c r="BL394" s="8"/>
      <c r="BN394" s="10"/>
    </row>
    <row r="395" spans="1:66" x14ac:dyDescent="0.15">
      <c r="A395" s="8">
        <v>901032</v>
      </c>
      <c r="B395" s="18" t="str">
        <f>"任务:"&amp;VLOOKUP(A395,CHOOSE({1,2},[4]任务经验掉落配置表!$X$3:$X$173,[4]任务经验掉落配置表!$D$3:$D$173),2,FALSE)</f>
        <v>任务:生死相随</v>
      </c>
      <c r="C395" s="8">
        <v>0</v>
      </c>
      <c r="D395" s="8">
        <f t="shared" si="66"/>
        <v>0</v>
      </c>
      <c r="E395" s="16">
        <f t="shared" si="64"/>
        <v>0</v>
      </c>
      <c r="F395" s="16">
        <f t="shared" si="65"/>
        <v>0</v>
      </c>
      <c r="G395" s="8" t="str">
        <f>IF(H395="","",VLOOKUP(H395,引用表合并!$A:$B,2,FALSE))</f>
        <v/>
      </c>
      <c r="K395" s="8" t="str">
        <f>IF(L395="","",VLOOKUP(L395,引用表合并!$A:$B,2,FALSE))</f>
        <v/>
      </c>
      <c r="L395" s="8"/>
      <c r="M395" s="8"/>
      <c r="O395" s="8" t="str">
        <f>IF(P395="","",VLOOKUP(P395,引用表合并!$A:$B,2,FALSE))</f>
        <v/>
      </c>
      <c r="P395" s="8"/>
      <c r="Q395" s="8"/>
      <c r="S395" s="8" t="str">
        <f>IF(T395="","",VLOOKUP(T395,引用表合并!$A:$B,2,FALSE))</f>
        <v/>
      </c>
      <c r="T395" s="8"/>
      <c r="U395" s="8"/>
      <c r="W395" s="8" t="str">
        <f>IF(X395="","",VLOOKUP(X395,引用表合并!$A:$B,2,FALSE))</f>
        <v/>
      </c>
      <c r="X395" s="8"/>
      <c r="Y395" s="8"/>
      <c r="AA395" s="8" t="str">
        <f>IF(AB395="","",VLOOKUP(AB395,引用表合并!$A:$B,2,FALSE))</f>
        <v/>
      </c>
      <c r="AB395" s="8"/>
      <c r="AC395" s="8"/>
      <c r="AE395" s="8" t="str">
        <f>IF(AF395="","",VLOOKUP(AF395,引用表合并!$A:$B,2,FALSE))</f>
        <v/>
      </c>
      <c r="AF395" s="8"/>
      <c r="AG395" s="8"/>
      <c r="AI395" s="8" t="str">
        <f>IF(AJ395="","",VLOOKUP(AJ395,引用表合并!$A:$B,2,FALSE))</f>
        <v/>
      </c>
      <c r="AJ395" s="8"/>
      <c r="AK395" s="8"/>
      <c r="AM395" s="8" t="str">
        <f>IF(AN395="","",VLOOKUP(AN395,引用表合并!$A:$B,2,FALSE))</f>
        <v/>
      </c>
      <c r="AN395" s="8"/>
      <c r="AO395" s="8"/>
      <c r="AQ395" s="8" t="str">
        <f>IF(AR395="","",VLOOKUP(AR395,引用表合并!$A:$B,2,FALSE))</f>
        <v/>
      </c>
      <c r="AR395" s="8"/>
      <c r="AS395" s="8"/>
      <c r="AU395" s="8" t="str">
        <f>IF(AV395="","",VLOOKUP(AV395,引用表合并!$A:$B,2,FALSE))</f>
        <v/>
      </c>
      <c r="AV395" s="8"/>
      <c r="AW395" s="8"/>
      <c r="AY395" s="8" t="str">
        <f>IF(AZ395="","",VLOOKUP(AZ395,引用表合并!$A:$B,2,FALSE))</f>
        <v/>
      </c>
      <c r="AZ395" s="8"/>
      <c r="BA395" s="8"/>
      <c r="BC395" s="8" t="str">
        <f>IF(BD395="","",VLOOKUP(BD395,引用表合并!$A:$B,2,FALSE))</f>
        <v/>
      </c>
      <c r="BD395" s="8"/>
      <c r="BF395" s="10"/>
      <c r="BG395" s="8" t="str">
        <f>IF(BH395="","",VLOOKUP(BH395,引用表合并!$A:$B,2,FALSE))</f>
        <v/>
      </c>
      <c r="BH395" s="8"/>
      <c r="BJ395" s="10"/>
      <c r="BK395" s="8" t="str">
        <f>IF(BL395="","",VLOOKUP(BL395,引用表合并!$A:$B,2,FALSE))</f>
        <v/>
      </c>
      <c r="BL395" s="8"/>
      <c r="BN395" s="10"/>
    </row>
    <row r="396" spans="1:66" x14ac:dyDescent="0.15">
      <c r="A396" s="8">
        <v>901033</v>
      </c>
      <c r="B396" s="18" t="str">
        <f>"任务:"&amp;VLOOKUP(A396,CHOOSE({1,2},[4]任务经验掉落配置表!$X$3:$X$173,[4]任务经验掉落配置表!$D$3:$D$173),2,FALSE)</f>
        <v>任务:双虎覆灭</v>
      </c>
      <c r="C396" s="8">
        <v>0</v>
      </c>
      <c r="D396" s="8">
        <f t="shared" si="66"/>
        <v>1</v>
      </c>
      <c r="E396" s="16">
        <f t="shared" si="64"/>
        <v>1</v>
      </c>
      <c r="F396" s="16">
        <f t="shared" si="65"/>
        <v>1</v>
      </c>
      <c r="G396" s="8" t="str">
        <f>IF(H396="","",VLOOKUP(H396,引用表合并!$A:$B,2,FALSE))</f>
        <v>洪兴打仔</v>
      </c>
      <c r="H396" s="8">
        <v>83004</v>
      </c>
      <c r="I396" s="8">
        <v>1</v>
      </c>
      <c r="J396" s="10">
        <v>10000</v>
      </c>
      <c r="K396" s="8" t="str">
        <f>IF(L396="","",VLOOKUP(L396,引用表合并!$A:$B,2,FALSE))</f>
        <v/>
      </c>
      <c r="L396" s="8"/>
      <c r="M396" s="8"/>
      <c r="O396" s="8" t="str">
        <f>IF(P396="","",VLOOKUP(P396,引用表合并!$A:$B,2,FALSE))</f>
        <v/>
      </c>
      <c r="P396" s="8"/>
      <c r="Q396" s="8"/>
      <c r="S396" s="8" t="str">
        <f>IF(T396="","",VLOOKUP(T396,引用表合并!$A:$B,2,FALSE))</f>
        <v/>
      </c>
      <c r="T396" s="8"/>
      <c r="U396" s="8"/>
      <c r="W396" s="8" t="str">
        <f>IF(X396="","",VLOOKUP(X396,引用表合并!$A:$B,2,FALSE))</f>
        <v/>
      </c>
      <c r="X396" s="8"/>
      <c r="Y396" s="8"/>
      <c r="AA396" s="8" t="str">
        <f>IF(AB396="","",VLOOKUP(AB396,引用表合并!$A:$B,2,FALSE))</f>
        <v/>
      </c>
      <c r="AB396" s="8"/>
      <c r="AC396" s="8"/>
      <c r="AE396" s="8" t="str">
        <f>IF(AF396="","",VLOOKUP(AF396,引用表合并!$A:$B,2,FALSE))</f>
        <v/>
      </c>
      <c r="AF396" s="8"/>
      <c r="AG396" s="8"/>
      <c r="AI396" s="8" t="str">
        <f>IF(AJ396="","",VLOOKUP(AJ396,引用表合并!$A:$B,2,FALSE))</f>
        <v/>
      </c>
      <c r="AJ396" s="8"/>
      <c r="AK396" s="8"/>
      <c r="AM396" s="8" t="str">
        <f>IF(AN396="","",VLOOKUP(AN396,引用表合并!$A:$B,2,FALSE))</f>
        <v/>
      </c>
      <c r="AN396" s="8"/>
      <c r="AO396" s="8"/>
      <c r="AQ396" s="8" t="str">
        <f>IF(AR396="","",VLOOKUP(AR396,引用表合并!$A:$B,2,FALSE))</f>
        <v/>
      </c>
      <c r="AR396" s="8"/>
      <c r="AS396" s="8"/>
      <c r="AU396" s="8" t="str">
        <f>IF(AV396="","",VLOOKUP(AV396,引用表合并!$A:$B,2,FALSE))</f>
        <v/>
      </c>
      <c r="AV396" s="8"/>
      <c r="AW396" s="8"/>
      <c r="AY396" s="8" t="str">
        <f>IF(AZ396="","",VLOOKUP(AZ396,引用表合并!$A:$B,2,FALSE))</f>
        <v/>
      </c>
      <c r="AZ396" s="8"/>
      <c r="BA396" s="8"/>
      <c r="BC396" s="8" t="str">
        <f>IF(BD396="","",VLOOKUP(BD396,引用表合并!$A:$B,2,FALSE))</f>
        <v/>
      </c>
      <c r="BD396" s="8"/>
      <c r="BF396" s="10"/>
      <c r="BG396" s="8" t="str">
        <f>IF(BH396="","",VLOOKUP(BH396,引用表合并!$A:$B,2,FALSE))</f>
        <v/>
      </c>
      <c r="BH396" s="8"/>
      <c r="BJ396" s="10"/>
      <c r="BK396" s="8" t="str">
        <f>IF(BL396="","",VLOOKUP(BL396,引用表合并!$A:$B,2,FALSE))</f>
        <v/>
      </c>
      <c r="BL396" s="8"/>
      <c r="BN396" s="10"/>
    </row>
    <row r="397" spans="1:66" x14ac:dyDescent="0.15">
      <c r="A397" s="8">
        <v>901034</v>
      </c>
      <c r="B397" s="18" t="str">
        <f>"任务:"&amp;VLOOKUP(A397,CHOOSE({1,2},[4]任务经验掉落配置表!$X$3:$X$173,[4]任务经验掉落配置表!$D$3:$D$173),2,FALSE)</f>
        <v>任务:探望浩南</v>
      </c>
      <c r="C397" s="8">
        <v>0</v>
      </c>
      <c r="D397" s="8">
        <f t="shared" si="66"/>
        <v>0</v>
      </c>
      <c r="E397" s="16">
        <f t="shared" si="64"/>
        <v>0</v>
      </c>
      <c r="F397" s="16">
        <f t="shared" si="65"/>
        <v>0</v>
      </c>
      <c r="G397" s="8" t="str">
        <f>IF(H397="","",VLOOKUP(H397,引用表合并!$A:$B,2,FALSE))</f>
        <v/>
      </c>
      <c r="K397" s="8" t="str">
        <f>IF(L397="","",VLOOKUP(L397,引用表合并!$A:$B,2,FALSE))</f>
        <v/>
      </c>
      <c r="L397" s="8"/>
      <c r="M397" s="8"/>
      <c r="O397" s="8" t="str">
        <f>IF(P397="","",VLOOKUP(P397,引用表合并!$A:$B,2,FALSE))</f>
        <v/>
      </c>
      <c r="P397" s="8"/>
      <c r="Q397" s="8"/>
      <c r="S397" s="8" t="str">
        <f>IF(T397="","",VLOOKUP(T397,引用表合并!$A:$B,2,FALSE))</f>
        <v/>
      </c>
      <c r="T397" s="8"/>
      <c r="U397" s="8"/>
      <c r="W397" s="8" t="str">
        <f>IF(X397="","",VLOOKUP(X397,引用表合并!$A:$B,2,FALSE))</f>
        <v/>
      </c>
      <c r="X397" s="8"/>
      <c r="Y397" s="8"/>
      <c r="AA397" s="8" t="str">
        <f>IF(AB397="","",VLOOKUP(AB397,引用表合并!$A:$B,2,FALSE))</f>
        <v/>
      </c>
      <c r="AB397" s="8"/>
      <c r="AC397" s="8"/>
      <c r="AE397" s="8" t="str">
        <f>IF(AF397="","",VLOOKUP(AF397,引用表合并!$A:$B,2,FALSE))</f>
        <v/>
      </c>
      <c r="AF397" s="8"/>
      <c r="AG397" s="8"/>
      <c r="AI397" s="8" t="str">
        <f>IF(AJ397="","",VLOOKUP(AJ397,引用表合并!$A:$B,2,FALSE))</f>
        <v/>
      </c>
      <c r="AJ397" s="8"/>
      <c r="AK397" s="8"/>
      <c r="AM397" s="8" t="str">
        <f>IF(AN397="","",VLOOKUP(AN397,引用表合并!$A:$B,2,FALSE))</f>
        <v/>
      </c>
      <c r="AN397" s="8"/>
      <c r="AO397" s="8"/>
      <c r="AQ397" s="8" t="str">
        <f>IF(AR397="","",VLOOKUP(AR397,引用表合并!$A:$B,2,FALSE))</f>
        <v/>
      </c>
      <c r="AR397" s="8"/>
      <c r="AS397" s="8"/>
      <c r="AU397" s="8" t="str">
        <f>IF(AV397="","",VLOOKUP(AV397,引用表合并!$A:$B,2,FALSE))</f>
        <v/>
      </c>
      <c r="AV397" s="8"/>
      <c r="AW397" s="8"/>
      <c r="AY397" s="8" t="str">
        <f>IF(AZ397="","",VLOOKUP(AZ397,引用表合并!$A:$B,2,FALSE))</f>
        <v/>
      </c>
      <c r="AZ397" s="8"/>
      <c r="BA397" s="8"/>
      <c r="BC397" s="8" t="str">
        <f>IF(BD397="","",VLOOKUP(BD397,引用表合并!$A:$B,2,FALSE))</f>
        <v/>
      </c>
      <c r="BD397" s="8"/>
      <c r="BF397" s="10"/>
      <c r="BG397" s="8" t="str">
        <f>IF(BH397="","",VLOOKUP(BH397,引用表合并!$A:$B,2,FALSE))</f>
        <v/>
      </c>
      <c r="BH397" s="8"/>
      <c r="BJ397" s="10"/>
      <c r="BK397" s="8" t="str">
        <f>IF(BL397="","",VLOOKUP(BL397,引用表合并!$A:$B,2,FALSE))</f>
        <v/>
      </c>
      <c r="BL397" s="8"/>
      <c r="BN397" s="10"/>
    </row>
    <row r="398" spans="1:66" x14ac:dyDescent="0.15">
      <c r="A398" s="8">
        <v>901035</v>
      </c>
      <c r="B398" s="18" t="str">
        <f>"任务:"&amp;VLOOKUP(A398,CHOOSE({1,2},[4]任务经验掉落配置表!$X$3:$X$173,[4]任务经验掉落配置表!$D$3:$D$173),2,FALSE)</f>
        <v>任务:龙头更替</v>
      </c>
      <c r="C398" s="8">
        <v>0</v>
      </c>
      <c r="D398" s="8">
        <f t="shared" si="66"/>
        <v>0</v>
      </c>
      <c r="E398" s="16">
        <f t="shared" si="64"/>
        <v>0</v>
      </c>
      <c r="F398" s="16">
        <f t="shared" si="65"/>
        <v>0</v>
      </c>
      <c r="G398" s="8" t="str">
        <f>IF(H398="","",VLOOKUP(H398,引用表合并!$A:$B,2,FALSE))</f>
        <v/>
      </c>
      <c r="K398" s="8" t="str">
        <f>IF(L398="","",VLOOKUP(L398,引用表合并!$A:$B,2,FALSE))</f>
        <v/>
      </c>
      <c r="L398" s="8"/>
      <c r="M398" s="8"/>
      <c r="O398" s="8" t="str">
        <f>IF(P398="","",VLOOKUP(P398,引用表合并!$A:$B,2,FALSE))</f>
        <v/>
      </c>
      <c r="P398" s="8"/>
      <c r="Q398" s="8"/>
      <c r="S398" s="8" t="str">
        <f>IF(T398="","",VLOOKUP(T398,引用表合并!$A:$B,2,FALSE))</f>
        <v/>
      </c>
      <c r="T398" s="8"/>
      <c r="U398" s="8"/>
      <c r="W398" s="8" t="str">
        <f>IF(X398="","",VLOOKUP(X398,引用表合并!$A:$B,2,FALSE))</f>
        <v/>
      </c>
      <c r="X398" s="8"/>
      <c r="Y398" s="8"/>
      <c r="AA398" s="8" t="str">
        <f>IF(AB398="","",VLOOKUP(AB398,引用表合并!$A:$B,2,FALSE))</f>
        <v/>
      </c>
      <c r="AB398" s="8"/>
      <c r="AC398" s="8"/>
      <c r="AE398" s="8" t="str">
        <f>IF(AF398="","",VLOOKUP(AF398,引用表合并!$A:$B,2,FALSE))</f>
        <v/>
      </c>
      <c r="AF398" s="8"/>
      <c r="AG398" s="8"/>
      <c r="AI398" s="8" t="str">
        <f>IF(AJ398="","",VLOOKUP(AJ398,引用表合并!$A:$B,2,FALSE))</f>
        <v/>
      </c>
      <c r="AJ398" s="8"/>
      <c r="AK398" s="8"/>
      <c r="AM398" s="8" t="str">
        <f>IF(AN398="","",VLOOKUP(AN398,引用表合并!$A:$B,2,FALSE))</f>
        <v/>
      </c>
      <c r="AN398" s="8"/>
      <c r="AO398" s="8"/>
      <c r="AQ398" s="8" t="str">
        <f>IF(AR398="","",VLOOKUP(AR398,引用表合并!$A:$B,2,FALSE))</f>
        <v/>
      </c>
      <c r="AR398" s="8"/>
      <c r="AS398" s="8"/>
      <c r="AU398" s="8" t="str">
        <f>IF(AV398="","",VLOOKUP(AV398,引用表合并!$A:$B,2,FALSE))</f>
        <v/>
      </c>
      <c r="AV398" s="8"/>
      <c r="AW398" s="8"/>
      <c r="AY398" s="8" t="str">
        <f>IF(AZ398="","",VLOOKUP(AZ398,引用表合并!$A:$B,2,FALSE))</f>
        <v/>
      </c>
      <c r="AZ398" s="8"/>
      <c r="BA398" s="8"/>
      <c r="BC398" s="8" t="str">
        <f>IF(BD398="","",VLOOKUP(BD398,引用表合并!$A:$B,2,FALSE))</f>
        <v/>
      </c>
      <c r="BD398" s="8"/>
      <c r="BF398" s="10"/>
      <c r="BG398" s="8" t="str">
        <f>IF(BH398="","",VLOOKUP(BH398,引用表合并!$A:$B,2,FALSE))</f>
        <v/>
      </c>
      <c r="BH398" s="8"/>
      <c r="BJ398" s="10"/>
      <c r="BK398" s="8" t="str">
        <f>IF(BL398="","",VLOOKUP(BL398,引用表合并!$A:$B,2,FALSE))</f>
        <v/>
      </c>
      <c r="BL398" s="8"/>
      <c r="BN398" s="10"/>
    </row>
    <row r="399" spans="1:66" x14ac:dyDescent="0.15">
      <c r="A399" s="8">
        <v>901036</v>
      </c>
      <c r="B399" s="18" t="str">
        <f>"任务:"&amp;VLOOKUP(A399,CHOOSE({1,2},[4]任务经验掉落配置表!$X$3:$X$173,[4]任务经验掉落配置表!$D$3:$D$173),2,FALSE)</f>
        <v>任务:趁虚而入</v>
      </c>
      <c r="C399" s="8">
        <v>0</v>
      </c>
      <c r="D399" s="8">
        <f t="shared" si="66"/>
        <v>0</v>
      </c>
      <c r="E399" s="16">
        <f t="shared" si="64"/>
        <v>0</v>
      </c>
      <c r="F399" s="16">
        <f t="shared" si="65"/>
        <v>0</v>
      </c>
      <c r="G399" s="8" t="str">
        <f>IF(H399="","",VLOOKUP(H399,引用表合并!$A:$B,2,FALSE))</f>
        <v/>
      </c>
      <c r="K399" s="8" t="str">
        <f>IF(L399="","",VLOOKUP(L399,引用表合并!$A:$B,2,FALSE))</f>
        <v/>
      </c>
      <c r="L399" s="8"/>
      <c r="M399" s="8"/>
      <c r="O399" s="8" t="str">
        <f>IF(P399="","",VLOOKUP(P399,引用表合并!$A:$B,2,FALSE))</f>
        <v/>
      </c>
      <c r="P399" s="8"/>
      <c r="Q399" s="8"/>
      <c r="S399" s="8" t="str">
        <f>IF(T399="","",VLOOKUP(T399,引用表合并!$A:$B,2,FALSE))</f>
        <v/>
      </c>
      <c r="T399" s="8"/>
      <c r="U399" s="8"/>
      <c r="W399" s="8" t="str">
        <f>IF(X399="","",VLOOKUP(X399,引用表合并!$A:$B,2,FALSE))</f>
        <v/>
      </c>
      <c r="X399" s="8"/>
      <c r="Y399" s="8"/>
      <c r="AA399" s="8" t="str">
        <f>IF(AB399="","",VLOOKUP(AB399,引用表合并!$A:$B,2,FALSE))</f>
        <v/>
      </c>
      <c r="AB399" s="8"/>
      <c r="AC399" s="8"/>
      <c r="AE399" s="8" t="str">
        <f>IF(AF399="","",VLOOKUP(AF399,引用表合并!$A:$B,2,FALSE))</f>
        <v/>
      </c>
      <c r="AF399" s="8"/>
      <c r="AG399" s="8"/>
      <c r="AI399" s="8" t="str">
        <f>IF(AJ399="","",VLOOKUP(AJ399,引用表合并!$A:$B,2,FALSE))</f>
        <v/>
      </c>
      <c r="AJ399" s="8"/>
      <c r="AK399" s="8"/>
      <c r="AM399" s="8" t="str">
        <f>IF(AN399="","",VLOOKUP(AN399,引用表合并!$A:$B,2,FALSE))</f>
        <v/>
      </c>
      <c r="AN399" s="8"/>
      <c r="AO399" s="8"/>
      <c r="AQ399" s="8" t="str">
        <f>IF(AR399="","",VLOOKUP(AR399,引用表合并!$A:$B,2,FALSE))</f>
        <v/>
      </c>
      <c r="AR399" s="8"/>
      <c r="AS399" s="8"/>
      <c r="AU399" s="8" t="str">
        <f>IF(AV399="","",VLOOKUP(AV399,引用表合并!$A:$B,2,FALSE))</f>
        <v/>
      </c>
      <c r="AV399" s="8"/>
      <c r="AW399" s="8"/>
      <c r="AY399" s="8" t="str">
        <f>IF(AZ399="","",VLOOKUP(AZ399,引用表合并!$A:$B,2,FALSE))</f>
        <v/>
      </c>
      <c r="AZ399" s="8"/>
      <c r="BA399" s="8"/>
      <c r="BC399" s="8" t="str">
        <f>IF(BD399="","",VLOOKUP(BD399,引用表合并!$A:$B,2,FALSE))</f>
        <v/>
      </c>
      <c r="BD399" s="8"/>
      <c r="BF399" s="10"/>
      <c r="BG399" s="8" t="str">
        <f>IF(BH399="","",VLOOKUP(BH399,引用表合并!$A:$B,2,FALSE))</f>
        <v/>
      </c>
      <c r="BH399" s="8"/>
      <c r="BJ399" s="10"/>
      <c r="BK399" s="8" t="str">
        <f>IF(BL399="","",VLOOKUP(BL399,引用表合并!$A:$B,2,FALSE))</f>
        <v/>
      </c>
      <c r="BL399" s="8"/>
      <c r="BN399" s="10"/>
    </row>
    <row r="400" spans="1:66" x14ac:dyDescent="0.15">
      <c r="A400" s="8">
        <v>901037</v>
      </c>
      <c r="B400" s="18" t="str">
        <f>"任务:"&amp;VLOOKUP(A400,CHOOSE({1,2},[4]任务经验掉落配置表!$X$3:$X$173,[4]任务经验掉落配置表!$D$3:$D$173),2,FALSE)</f>
        <v>任务:屯门之位</v>
      </c>
      <c r="C400" s="8">
        <v>0</v>
      </c>
      <c r="D400" s="8">
        <f t="shared" si="66"/>
        <v>0</v>
      </c>
      <c r="E400" s="16">
        <f t="shared" si="64"/>
        <v>0</v>
      </c>
      <c r="F400" s="16">
        <f t="shared" si="65"/>
        <v>0</v>
      </c>
      <c r="G400" s="8" t="str">
        <f>IF(H400="","",VLOOKUP(H400,引用表合并!$A:$B,2,FALSE))</f>
        <v/>
      </c>
      <c r="H400" s="17"/>
      <c r="K400" s="8" t="str">
        <f>IF(L400="","",VLOOKUP(L400,引用表合并!$A:$B,2,FALSE))</f>
        <v/>
      </c>
      <c r="L400" s="8"/>
      <c r="M400" s="8"/>
      <c r="O400" s="8" t="str">
        <f>IF(P400="","",VLOOKUP(P400,引用表合并!$A:$B,2,FALSE))</f>
        <v/>
      </c>
      <c r="P400" s="8"/>
      <c r="Q400" s="8"/>
      <c r="S400" s="8" t="str">
        <f>IF(T400="","",VLOOKUP(T400,引用表合并!$A:$B,2,FALSE))</f>
        <v/>
      </c>
      <c r="T400" s="8"/>
      <c r="U400" s="8"/>
      <c r="W400" s="8" t="str">
        <f>IF(X400="","",VLOOKUP(X400,引用表合并!$A:$B,2,FALSE))</f>
        <v/>
      </c>
      <c r="X400" s="8"/>
      <c r="Y400" s="8"/>
      <c r="AA400" s="8" t="str">
        <f>IF(AB400="","",VLOOKUP(AB400,引用表合并!$A:$B,2,FALSE))</f>
        <v/>
      </c>
      <c r="AB400" s="8"/>
      <c r="AC400" s="8"/>
      <c r="AE400" s="8" t="str">
        <f>IF(AF400="","",VLOOKUP(AF400,引用表合并!$A:$B,2,FALSE))</f>
        <v/>
      </c>
      <c r="AF400" s="8"/>
      <c r="AG400" s="8"/>
      <c r="AI400" s="8" t="str">
        <f>IF(AJ400="","",VLOOKUP(AJ400,引用表合并!$A:$B,2,FALSE))</f>
        <v/>
      </c>
      <c r="AJ400" s="8"/>
      <c r="AK400" s="8"/>
      <c r="AM400" s="8" t="str">
        <f>IF(AN400="","",VLOOKUP(AN400,引用表合并!$A:$B,2,FALSE))</f>
        <v/>
      </c>
      <c r="AN400" s="8"/>
      <c r="AO400" s="8"/>
      <c r="AQ400" s="8" t="str">
        <f>IF(AR400="","",VLOOKUP(AR400,引用表合并!$A:$B,2,FALSE))</f>
        <v/>
      </c>
      <c r="AR400" s="8"/>
      <c r="AS400" s="8"/>
      <c r="AU400" s="8" t="str">
        <f>IF(AV400="","",VLOOKUP(AV400,引用表合并!$A:$B,2,FALSE))</f>
        <v/>
      </c>
      <c r="AV400" s="8"/>
      <c r="AW400" s="8"/>
      <c r="AY400" s="8" t="str">
        <f>IF(AZ400="","",VLOOKUP(AZ400,引用表合并!$A:$B,2,FALSE))</f>
        <v/>
      </c>
      <c r="AZ400" s="8"/>
      <c r="BA400" s="8"/>
      <c r="BC400" s="8" t="str">
        <f>IF(BD400="","",VLOOKUP(BD400,引用表合并!$A:$B,2,FALSE))</f>
        <v/>
      </c>
      <c r="BD400" s="8"/>
      <c r="BF400" s="10"/>
      <c r="BG400" s="8" t="str">
        <f>IF(BH400="","",VLOOKUP(BH400,引用表合并!$A:$B,2,FALSE))</f>
        <v/>
      </c>
      <c r="BH400" s="8"/>
      <c r="BJ400" s="10"/>
      <c r="BK400" s="8" t="str">
        <f>IF(BL400="","",VLOOKUP(BL400,引用表合并!$A:$B,2,FALSE))</f>
        <v/>
      </c>
      <c r="BL400" s="8"/>
      <c r="BN400" s="10"/>
    </row>
    <row r="401" spans="1:66" x14ac:dyDescent="0.15">
      <c r="A401" s="8">
        <v>901038</v>
      </c>
      <c r="B401" s="18" t="str">
        <f>"任务:"&amp;VLOOKUP(A401,CHOOSE({1,2},[4]任务经验掉落配置表!$X$3:$X$173,[4]任务经验掉落配置表!$D$3:$D$173),2,FALSE)</f>
        <v>任务:竞争</v>
      </c>
      <c r="C401" s="8">
        <v>0</v>
      </c>
      <c r="D401" s="8">
        <f t="shared" si="66"/>
        <v>0</v>
      </c>
      <c r="E401" s="16">
        <f t="shared" si="64"/>
        <v>0</v>
      </c>
      <c r="F401" s="16">
        <f t="shared" si="65"/>
        <v>0</v>
      </c>
      <c r="G401" s="8" t="str">
        <f>IF(H401="","",VLOOKUP(H401,引用表合并!$A:$B,2,FALSE))</f>
        <v/>
      </c>
      <c r="H401" s="17"/>
      <c r="K401" s="8" t="str">
        <f>IF(L401="","",VLOOKUP(L401,引用表合并!$A:$B,2,FALSE))</f>
        <v/>
      </c>
      <c r="L401" s="8"/>
      <c r="M401" s="8"/>
      <c r="O401" s="8" t="str">
        <f>IF(P401="","",VLOOKUP(P401,引用表合并!$A:$B,2,FALSE))</f>
        <v/>
      </c>
      <c r="P401" s="8"/>
      <c r="Q401" s="8"/>
      <c r="S401" s="8" t="str">
        <f>IF(T401="","",VLOOKUP(T401,引用表合并!$A:$B,2,FALSE))</f>
        <v/>
      </c>
      <c r="T401" s="8"/>
      <c r="U401" s="8"/>
      <c r="W401" s="8" t="str">
        <f>IF(X401="","",VLOOKUP(X401,引用表合并!$A:$B,2,FALSE))</f>
        <v/>
      </c>
      <c r="X401" s="8"/>
      <c r="Y401" s="8"/>
      <c r="AA401" s="8" t="str">
        <f>IF(AB401="","",VLOOKUP(AB401,引用表合并!$A:$B,2,FALSE))</f>
        <v/>
      </c>
      <c r="AB401" s="8"/>
      <c r="AC401" s="8"/>
      <c r="AE401" s="8" t="str">
        <f>IF(AF401="","",VLOOKUP(AF401,引用表合并!$A:$B,2,FALSE))</f>
        <v/>
      </c>
      <c r="AF401" s="8"/>
      <c r="AG401" s="8"/>
      <c r="AI401" s="8" t="str">
        <f>IF(AJ401="","",VLOOKUP(AJ401,引用表合并!$A:$B,2,FALSE))</f>
        <v/>
      </c>
      <c r="AJ401" s="8"/>
      <c r="AK401" s="8"/>
      <c r="AM401" s="8" t="str">
        <f>IF(AN401="","",VLOOKUP(AN401,引用表合并!$A:$B,2,FALSE))</f>
        <v/>
      </c>
      <c r="AN401" s="8"/>
      <c r="AO401" s="8"/>
      <c r="AQ401" s="8" t="str">
        <f>IF(AR401="","",VLOOKUP(AR401,引用表合并!$A:$B,2,FALSE))</f>
        <v/>
      </c>
      <c r="AR401" s="8"/>
      <c r="AS401" s="8"/>
      <c r="AU401" s="8" t="str">
        <f>IF(AV401="","",VLOOKUP(AV401,引用表合并!$A:$B,2,FALSE))</f>
        <v/>
      </c>
      <c r="AV401" s="8"/>
      <c r="AW401" s="8"/>
      <c r="AY401" s="8" t="str">
        <f>IF(AZ401="","",VLOOKUP(AZ401,引用表合并!$A:$B,2,FALSE))</f>
        <v/>
      </c>
      <c r="AZ401" s="8"/>
      <c r="BA401" s="8"/>
      <c r="BC401" s="8" t="str">
        <f>IF(BD401="","",VLOOKUP(BD401,引用表合并!$A:$B,2,FALSE))</f>
        <v/>
      </c>
      <c r="BD401" s="8"/>
      <c r="BF401" s="10"/>
      <c r="BG401" s="8" t="str">
        <f>IF(BH401="","",VLOOKUP(BH401,引用表合并!$A:$B,2,FALSE))</f>
        <v/>
      </c>
      <c r="BH401" s="8"/>
      <c r="BJ401" s="10"/>
      <c r="BK401" s="8" t="str">
        <f>IF(BL401="","",VLOOKUP(BL401,引用表合并!$A:$B,2,FALSE))</f>
        <v/>
      </c>
      <c r="BL401" s="8"/>
      <c r="BN401" s="10"/>
    </row>
    <row r="402" spans="1:66" x14ac:dyDescent="0.15">
      <c r="A402" s="8">
        <v>901039</v>
      </c>
      <c r="B402" s="18" t="str">
        <f>"任务:"&amp;VLOOKUP(A402,CHOOSE({1,2},[4]任务经验掉落配置表!$X$3:$X$173,[4]任务经验掉落配置表!$D$3:$D$173),2,FALSE)</f>
        <v>任务:协助山鸡</v>
      </c>
      <c r="C402" s="8">
        <v>0</v>
      </c>
      <c r="D402" s="8">
        <f t="shared" si="66"/>
        <v>0</v>
      </c>
      <c r="E402" s="16">
        <f t="shared" si="64"/>
        <v>0</v>
      </c>
      <c r="F402" s="16">
        <f t="shared" si="65"/>
        <v>0</v>
      </c>
      <c r="G402" s="8" t="str">
        <f>IF(H402="","",VLOOKUP(H402,引用表合并!$A:$B,2,FALSE))</f>
        <v/>
      </c>
      <c r="H402" s="17"/>
      <c r="K402" s="8" t="str">
        <f>IF(L402="","",VLOOKUP(L402,引用表合并!$A:$B,2,FALSE))</f>
        <v/>
      </c>
      <c r="L402" s="8"/>
      <c r="M402" s="8"/>
      <c r="O402" s="8" t="str">
        <f>IF(P402="","",VLOOKUP(P402,引用表合并!$A:$B,2,FALSE))</f>
        <v/>
      </c>
      <c r="P402" s="8"/>
      <c r="Q402" s="8"/>
      <c r="S402" s="8" t="str">
        <f>IF(T402="","",VLOOKUP(T402,引用表合并!$A:$B,2,FALSE))</f>
        <v/>
      </c>
      <c r="T402" s="8"/>
      <c r="U402" s="8"/>
      <c r="W402" s="8" t="str">
        <f>IF(X402="","",VLOOKUP(X402,引用表合并!$A:$B,2,FALSE))</f>
        <v/>
      </c>
      <c r="X402" s="8"/>
      <c r="Y402" s="8"/>
      <c r="AA402" s="8" t="str">
        <f>IF(AB402="","",VLOOKUP(AB402,引用表合并!$A:$B,2,FALSE))</f>
        <v/>
      </c>
      <c r="AB402" s="8"/>
      <c r="AC402" s="8"/>
      <c r="AE402" s="8" t="str">
        <f>IF(AF402="","",VLOOKUP(AF402,引用表合并!$A:$B,2,FALSE))</f>
        <v/>
      </c>
      <c r="AF402" s="8"/>
      <c r="AG402" s="8"/>
      <c r="AI402" s="8" t="str">
        <f>IF(AJ402="","",VLOOKUP(AJ402,引用表合并!$A:$B,2,FALSE))</f>
        <v/>
      </c>
      <c r="AJ402" s="8"/>
      <c r="AK402" s="8"/>
      <c r="AM402" s="8" t="str">
        <f>IF(AN402="","",VLOOKUP(AN402,引用表合并!$A:$B,2,FALSE))</f>
        <v/>
      </c>
      <c r="AN402" s="8"/>
      <c r="AO402" s="8"/>
      <c r="AQ402" s="8" t="str">
        <f>IF(AR402="","",VLOOKUP(AR402,引用表合并!$A:$B,2,FALSE))</f>
        <v/>
      </c>
      <c r="AR402" s="8"/>
      <c r="AS402" s="8"/>
      <c r="AU402" s="8" t="str">
        <f>IF(AV402="","",VLOOKUP(AV402,引用表合并!$A:$B,2,FALSE))</f>
        <v/>
      </c>
      <c r="AV402" s="8"/>
      <c r="AW402" s="8"/>
      <c r="AY402" s="8" t="str">
        <f>IF(AZ402="","",VLOOKUP(AZ402,引用表合并!$A:$B,2,FALSE))</f>
        <v/>
      </c>
      <c r="AZ402" s="8"/>
      <c r="BA402" s="8"/>
      <c r="BC402" s="8" t="str">
        <f>IF(BD402="","",VLOOKUP(BD402,引用表合并!$A:$B,2,FALSE))</f>
        <v/>
      </c>
      <c r="BD402" s="8"/>
      <c r="BF402" s="10"/>
      <c r="BG402" s="8" t="str">
        <f>IF(BH402="","",VLOOKUP(BH402,引用表合并!$A:$B,2,FALSE))</f>
        <v/>
      </c>
      <c r="BH402" s="8"/>
      <c r="BJ402" s="10"/>
      <c r="BK402" s="8" t="str">
        <f>IF(BL402="","",VLOOKUP(BL402,引用表合并!$A:$B,2,FALSE))</f>
        <v/>
      </c>
      <c r="BL402" s="8"/>
      <c r="BN402" s="10"/>
    </row>
    <row r="403" spans="1:66" x14ac:dyDescent="0.15">
      <c r="A403" s="8">
        <v>901040</v>
      </c>
      <c r="B403" s="18" t="str">
        <f>"任务:"&amp;VLOOKUP(A403,CHOOSE({1,2},[4]任务经验掉落配置表!$X$3:$X$173,[4]任务经验掉落配置表!$D$3:$D$173),2,FALSE)</f>
        <v>任务:街头激斗</v>
      </c>
      <c r="C403" s="8">
        <v>0</v>
      </c>
      <c r="D403" s="8">
        <f t="shared" si="66"/>
        <v>0</v>
      </c>
      <c r="E403" s="16">
        <f t="shared" si="64"/>
        <v>0</v>
      </c>
      <c r="F403" s="16">
        <f t="shared" si="65"/>
        <v>0</v>
      </c>
      <c r="G403" s="8" t="str">
        <f>IF(H403="","",VLOOKUP(H403,引用表合并!$A:$B,2,FALSE))</f>
        <v/>
      </c>
      <c r="K403" s="8" t="str">
        <f>IF(L403="","",VLOOKUP(L403,引用表合并!$A:$B,2,FALSE))</f>
        <v/>
      </c>
      <c r="L403" s="8"/>
      <c r="M403" s="8"/>
      <c r="O403" s="8" t="str">
        <f>IF(P403="","",VLOOKUP(P403,引用表合并!$A:$B,2,FALSE))</f>
        <v/>
      </c>
      <c r="P403" s="8"/>
      <c r="Q403" s="8"/>
      <c r="S403" s="8" t="str">
        <f>IF(T403="","",VLOOKUP(T403,引用表合并!$A:$B,2,FALSE))</f>
        <v/>
      </c>
      <c r="T403" s="8"/>
      <c r="U403" s="8"/>
      <c r="W403" s="8" t="str">
        <f>IF(X403="","",VLOOKUP(X403,引用表合并!$A:$B,2,FALSE))</f>
        <v/>
      </c>
      <c r="X403" s="8"/>
      <c r="Y403" s="8"/>
      <c r="AA403" s="8" t="str">
        <f>IF(AB403="","",VLOOKUP(AB403,引用表合并!$A:$B,2,FALSE))</f>
        <v/>
      </c>
      <c r="AB403" s="8"/>
      <c r="AC403" s="8"/>
      <c r="AE403" s="8" t="str">
        <f>IF(AF403="","",VLOOKUP(AF403,引用表合并!$A:$B,2,FALSE))</f>
        <v/>
      </c>
      <c r="AF403" s="8"/>
      <c r="AG403" s="8"/>
      <c r="AI403" s="8" t="str">
        <f>IF(AJ403="","",VLOOKUP(AJ403,引用表合并!$A:$B,2,FALSE))</f>
        <v/>
      </c>
      <c r="AJ403" s="8"/>
      <c r="AK403" s="8"/>
      <c r="AM403" s="8" t="str">
        <f>IF(AN403="","",VLOOKUP(AN403,引用表合并!$A:$B,2,FALSE))</f>
        <v/>
      </c>
      <c r="AN403" s="8"/>
      <c r="AO403" s="8"/>
      <c r="AQ403" s="8" t="str">
        <f>IF(AR403="","",VLOOKUP(AR403,引用表合并!$A:$B,2,FALSE))</f>
        <v/>
      </c>
      <c r="AR403" s="8"/>
      <c r="AS403" s="8"/>
      <c r="AU403" s="8" t="str">
        <f>IF(AV403="","",VLOOKUP(AV403,引用表合并!$A:$B,2,FALSE))</f>
        <v/>
      </c>
      <c r="AV403" s="8"/>
      <c r="AW403" s="8"/>
      <c r="AY403" s="8" t="str">
        <f>IF(AZ403="","",VLOOKUP(AZ403,引用表合并!$A:$B,2,FALSE))</f>
        <v/>
      </c>
      <c r="AZ403" s="8"/>
      <c r="BA403" s="8"/>
      <c r="BC403" s="8" t="str">
        <f>IF(BD403="","",VLOOKUP(BD403,引用表合并!$A:$B,2,FALSE))</f>
        <v/>
      </c>
      <c r="BD403" s="8"/>
      <c r="BF403" s="10"/>
      <c r="BG403" s="8" t="str">
        <f>IF(BH403="","",VLOOKUP(BH403,引用表合并!$A:$B,2,FALSE))</f>
        <v/>
      </c>
      <c r="BH403" s="8"/>
      <c r="BJ403" s="10"/>
      <c r="BK403" s="8" t="str">
        <f>IF(BL403="","",VLOOKUP(BL403,引用表合并!$A:$B,2,FALSE))</f>
        <v/>
      </c>
      <c r="BL403" s="8"/>
      <c r="BN403" s="10"/>
    </row>
    <row r="404" spans="1:66" x14ac:dyDescent="0.15">
      <c r="A404" s="8">
        <v>901041</v>
      </c>
      <c r="B404" s="18" t="str">
        <f>"任务:"&amp;VLOOKUP(A404,CHOOSE({1,2},[4]任务经验掉落配置表!$X$3:$X$173,[4]任务经验掉落配置表!$D$3:$D$173),2,FALSE)</f>
        <v>任务:马失前蹄</v>
      </c>
      <c r="C404" s="8">
        <v>0</v>
      </c>
      <c r="D404" s="8">
        <f t="shared" si="66"/>
        <v>0</v>
      </c>
      <c r="E404" s="16">
        <f t="shared" ref="E404:E467" si="67">COUNTIF(G404:FJ404,"&gt;0")/3</f>
        <v>0</v>
      </c>
      <c r="F404" s="16">
        <f t="shared" si="65"/>
        <v>0</v>
      </c>
      <c r="G404" s="8" t="str">
        <f>IF(H404="","",VLOOKUP(H404,引用表合并!$A:$B,2,FALSE))</f>
        <v/>
      </c>
      <c r="K404" s="8" t="str">
        <f>IF(L404="","",VLOOKUP(L404,引用表合并!$A:$B,2,FALSE))</f>
        <v/>
      </c>
      <c r="L404" s="8"/>
      <c r="M404" s="8"/>
      <c r="O404" s="8" t="str">
        <f>IF(P404="","",VLOOKUP(P404,引用表合并!$A:$B,2,FALSE))</f>
        <v/>
      </c>
      <c r="P404" s="8"/>
      <c r="Q404" s="8"/>
      <c r="S404" s="8" t="str">
        <f>IF(T404="","",VLOOKUP(T404,引用表合并!$A:$B,2,FALSE))</f>
        <v/>
      </c>
      <c r="T404" s="8"/>
      <c r="U404" s="8"/>
      <c r="W404" s="8" t="str">
        <f>IF(X404="","",VLOOKUP(X404,引用表合并!$A:$B,2,FALSE))</f>
        <v/>
      </c>
      <c r="X404" s="8"/>
      <c r="Y404" s="8"/>
      <c r="AA404" s="8" t="str">
        <f>IF(AB404="","",VLOOKUP(AB404,引用表合并!$A:$B,2,FALSE))</f>
        <v/>
      </c>
      <c r="AB404" s="8"/>
      <c r="AC404" s="8"/>
      <c r="AE404" s="8" t="str">
        <f>IF(AF404="","",VLOOKUP(AF404,引用表合并!$A:$B,2,FALSE))</f>
        <v/>
      </c>
      <c r="AF404" s="8"/>
      <c r="AG404" s="8"/>
      <c r="AI404" s="8" t="str">
        <f>IF(AJ404="","",VLOOKUP(AJ404,引用表合并!$A:$B,2,FALSE))</f>
        <v/>
      </c>
      <c r="AJ404" s="8"/>
      <c r="AK404" s="8"/>
      <c r="AM404" s="8" t="str">
        <f>IF(AN404="","",VLOOKUP(AN404,引用表合并!$A:$B,2,FALSE))</f>
        <v/>
      </c>
      <c r="AN404" s="8"/>
      <c r="AO404" s="8"/>
      <c r="AQ404" s="8" t="str">
        <f>IF(AR404="","",VLOOKUP(AR404,引用表合并!$A:$B,2,FALSE))</f>
        <v/>
      </c>
      <c r="AR404" s="8"/>
      <c r="AS404" s="8"/>
      <c r="AU404" s="8" t="str">
        <f>IF(AV404="","",VLOOKUP(AV404,引用表合并!$A:$B,2,FALSE))</f>
        <v/>
      </c>
      <c r="AV404" s="8"/>
      <c r="AW404" s="8"/>
      <c r="AY404" s="8" t="str">
        <f>IF(AZ404="","",VLOOKUP(AZ404,引用表合并!$A:$B,2,FALSE))</f>
        <v/>
      </c>
      <c r="AZ404" s="8"/>
      <c r="BA404" s="8"/>
      <c r="BC404" s="8" t="str">
        <f>IF(BD404="","",VLOOKUP(BD404,引用表合并!$A:$B,2,FALSE))</f>
        <v/>
      </c>
      <c r="BD404" s="8"/>
      <c r="BF404" s="10"/>
      <c r="BG404" s="8" t="str">
        <f>IF(BH404="","",VLOOKUP(BH404,引用表合并!$A:$B,2,FALSE))</f>
        <v/>
      </c>
      <c r="BH404" s="8"/>
      <c r="BJ404" s="10"/>
      <c r="BK404" s="8" t="str">
        <f>IF(BL404="","",VLOOKUP(BL404,引用表合并!$A:$B,2,FALSE))</f>
        <v/>
      </c>
      <c r="BL404" s="8"/>
      <c r="BN404" s="10"/>
    </row>
    <row r="405" spans="1:66" x14ac:dyDescent="0.15">
      <c r="A405" s="8">
        <v>901042</v>
      </c>
      <c r="B405" s="18" t="str">
        <f>"任务:"&amp;VLOOKUP(A405,CHOOSE({1,2},[4]任务经验掉落配置表!$X$3:$X$173,[4]任务经验掉落配置表!$D$3:$D$173),2,FALSE)</f>
        <v>任务:营救大天二</v>
      </c>
      <c r="C405" s="8">
        <v>0</v>
      </c>
      <c r="D405" s="8">
        <f t="shared" si="66"/>
        <v>1</v>
      </c>
      <c r="E405" s="16">
        <f t="shared" si="67"/>
        <v>1</v>
      </c>
      <c r="F405" s="16">
        <f t="shared" si="65"/>
        <v>1</v>
      </c>
      <c r="G405" s="8" t="str">
        <f>IF(H405="","",VLOOKUP(H405,引用表合并!$A:$B,2,FALSE))</f>
        <v>初级升星石</v>
      </c>
      <c r="H405" s="8">
        <v>70101</v>
      </c>
      <c r="I405" s="8">
        <v>12</v>
      </c>
      <c r="J405" s="10">
        <v>10000</v>
      </c>
      <c r="K405" s="8" t="str">
        <f>IF(L405="","",VLOOKUP(L405,引用表合并!$A:$B,2,FALSE))</f>
        <v/>
      </c>
      <c r="L405" s="8"/>
      <c r="M405" s="8"/>
      <c r="O405" s="8" t="str">
        <f>IF(P405="","",VLOOKUP(P405,引用表合并!$A:$B,2,FALSE))</f>
        <v/>
      </c>
      <c r="P405" s="8"/>
      <c r="Q405" s="8"/>
      <c r="S405" s="8" t="str">
        <f>IF(T405="","",VLOOKUP(T405,引用表合并!$A:$B,2,FALSE))</f>
        <v/>
      </c>
      <c r="T405" s="8"/>
      <c r="U405" s="8"/>
      <c r="W405" s="8" t="str">
        <f>IF(X405="","",VLOOKUP(X405,引用表合并!$A:$B,2,FALSE))</f>
        <v/>
      </c>
      <c r="X405" s="8"/>
      <c r="Y405" s="8"/>
      <c r="AA405" s="8" t="str">
        <f>IF(AB405="","",VLOOKUP(AB405,引用表合并!$A:$B,2,FALSE))</f>
        <v/>
      </c>
      <c r="AB405" s="8"/>
      <c r="AC405" s="8"/>
      <c r="AE405" s="8" t="str">
        <f>IF(AF405="","",VLOOKUP(AF405,引用表合并!$A:$B,2,FALSE))</f>
        <v/>
      </c>
      <c r="AF405" s="8"/>
      <c r="AG405" s="8"/>
      <c r="AI405" s="8" t="str">
        <f>IF(AJ405="","",VLOOKUP(AJ405,引用表合并!$A:$B,2,FALSE))</f>
        <v/>
      </c>
      <c r="AJ405" s="8"/>
      <c r="AK405" s="8"/>
      <c r="AM405" s="8" t="str">
        <f>IF(AN405="","",VLOOKUP(AN405,引用表合并!$A:$B,2,FALSE))</f>
        <v/>
      </c>
      <c r="AN405" s="8"/>
      <c r="AO405" s="8"/>
      <c r="AQ405" s="8" t="str">
        <f>IF(AR405="","",VLOOKUP(AR405,引用表合并!$A:$B,2,FALSE))</f>
        <v/>
      </c>
      <c r="AR405" s="8"/>
      <c r="AS405" s="8"/>
      <c r="AU405" s="8" t="str">
        <f>IF(AV405="","",VLOOKUP(AV405,引用表合并!$A:$B,2,FALSE))</f>
        <v/>
      </c>
      <c r="AV405" s="8"/>
      <c r="AW405" s="8"/>
      <c r="AY405" s="8" t="str">
        <f>IF(AZ405="","",VLOOKUP(AZ405,引用表合并!$A:$B,2,FALSE))</f>
        <v/>
      </c>
      <c r="AZ405" s="8"/>
      <c r="BA405" s="8"/>
      <c r="BC405" s="8" t="str">
        <f>IF(BD405="","",VLOOKUP(BD405,引用表合并!$A:$B,2,FALSE))</f>
        <v/>
      </c>
      <c r="BD405" s="8"/>
      <c r="BF405" s="10"/>
      <c r="BG405" s="8" t="str">
        <f>IF(BH405="","",VLOOKUP(BH405,引用表合并!$A:$B,2,FALSE))</f>
        <v/>
      </c>
      <c r="BH405" s="8"/>
      <c r="BJ405" s="10"/>
      <c r="BK405" s="8" t="str">
        <f>IF(BL405="","",VLOOKUP(BL405,引用表合并!$A:$B,2,FALSE))</f>
        <v/>
      </c>
      <c r="BL405" s="8"/>
      <c r="BN405" s="10"/>
    </row>
    <row r="406" spans="1:66" x14ac:dyDescent="0.15">
      <c r="A406" s="8">
        <v>901043</v>
      </c>
      <c r="B406" s="18" t="str">
        <f>"任务:"&amp;VLOOKUP(A406,CHOOSE({1,2},[4]任务经验掉落配置表!$X$3:$X$173,[4]任务经验掉落配置表!$D$3:$D$173),2,FALSE)</f>
        <v>任务:痛失战友</v>
      </c>
      <c r="C406" s="8">
        <v>0</v>
      </c>
      <c r="D406" s="8">
        <f t="shared" si="66"/>
        <v>0</v>
      </c>
      <c r="E406" s="16">
        <f t="shared" si="67"/>
        <v>0</v>
      </c>
      <c r="F406" s="16">
        <f t="shared" si="65"/>
        <v>0</v>
      </c>
      <c r="G406" s="8" t="str">
        <f>IF(H406="","",VLOOKUP(H406,引用表合并!$A:$B,2,FALSE))</f>
        <v/>
      </c>
      <c r="K406" s="8" t="str">
        <f>IF(L406="","",VLOOKUP(L406,引用表合并!$A:$B,2,FALSE))</f>
        <v/>
      </c>
      <c r="L406" s="8"/>
      <c r="M406" s="8"/>
      <c r="O406" s="8" t="str">
        <f>IF(P406="","",VLOOKUP(P406,引用表合并!$A:$B,2,FALSE))</f>
        <v/>
      </c>
      <c r="P406" s="8"/>
      <c r="Q406" s="8"/>
      <c r="S406" s="8" t="str">
        <f>IF(T406="","",VLOOKUP(T406,引用表合并!$A:$B,2,FALSE))</f>
        <v/>
      </c>
      <c r="T406" s="8"/>
      <c r="U406" s="8"/>
      <c r="W406" s="8" t="str">
        <f>IF(X406="","",VLOOKUP(X406,引用表合并!$A:$B,2,FALSE))</f>
        <v/>
      </c>
      <c r="X406" s="8"/>
      <c r="Y406" s="8"/>
      <c r="AA406" s="8" t="str">
        <f>IF(AB406="","",VLOOKUP(AB406,引用表合并!$A:$B,2,FALSE))</f>
        <v/>
      </c>
      <c r="AB406" s="8"/>
      <c r="AC406" s="8"/>
      <c r="AE406" s="8" t="str">
        <f>IF(AF406="","",VLOOKUP(AF406,引用表合并!$A:$B,2,FALSE))</f>
        <v/>
      </c>
      <c r="AF406" s="8"/>
      <c r="AG406" s="8"/>
      <c r="AI406" s="8" t="str">
        <f>IF(AJ406="","",VLOOKUP(AJ406,引用表合并!$A:$B,2,FALSE))</f>
        <v/>
      </c>
      <c r="AJ406" s="8"/>
      <c r="AK406" s="8"/>
      <c r="AM406" s="8" t="str">
        <f>IF(AN406="","",VLOOKUP(AN406,引用表合并!$A:$B,2,FALSE))</f>
        <v/>
      </c>
      <c r="AN406" s="8"/>
      <c r="AO406" s="8"/>
      <c r="AQ406" s="8" t="str">
        <f>IF(AR406="","",VLOOKUP(AR406,引用表合并!$A:$B,2,FALSE))</f>
        <v/>
      </c>
      <c r="AR406" s="8"/>
      <c r="AS406" s="8"/>
      <c r="AU406" s="8" t="str">
        <f>IF(AV406="","",VLOOKUP(AV406,引用表合并!$A:$B,2,FALSE))</f>
        <v/>
      </c>
      <c r="AV406" s="8"/>
      <c r="AW406" s="8"/>
      <c r="AY406" s="8" t="str">
        <f>IF(AZ406="","",VLOOKUP(AZ406,引用表合并!$A:$B,2,FALSE))</f>
        <v/>
      </c>
      <c r="AZ406" s="8"/>
      <c r="BA406" s="8"/>
      <c r="BC406" s="8" t="str">
        <f>IF(BD406="","",VLOOKUP(BD406,引用表合并!$A:$B,2,FALSE))</f>
        <v/>
      </c>
      <c r="BD406" s="8"/>
      <c r="BF406" s="10"/>
      <c r="BG406" s="8" t="str">
        <f>IF(BH406="","",VLOOKUP(BH406,引用表合并!$A:$B,2,FALSE))</f>
        <v/>
      </c>
      <c r="BH406" s="8"/>
      <c r="BJ406" s="10"/>
      <c r="BK406" s="8" t="str">
        <f>IF(BL406="","",VLOOKUP(BL406,引用表合并!$A:$B,2,FALSE))</f>
        <v/>
      </c>
      <c r="BL406" s="8"/>
      <c r="BN406" s="10"/>
    </row>
    <row r="407" spans="1:66" x14ac:dyDescent="0.15">
      <c r="A407" s="8">
        <v>901044</v>
      </c>
      <c r="B407" s="18" t="str">
        <f>"任务:"&amp;VLOOKUP(A407,CHOOSE({1,2},[4]任务经验掉落配置表!$X$3:$X$173,[4]任务经验掉落配置表!$D$3:$D$173),2,FALSE)</f>
        <v>任务:一决雌雄</v>
      </c>
      <c r="C407" s="8">
        <v>0</v>
      </c>
      <c r="D407" s="8">
        <f t="shared" si="66"/>
        <v>0</v>
      </c>
      <c r="E407" s="16">
        <f t="shared" si="67"/>
        <v>0</v>
      </c>
      <c r="F407" s="16">
        <f t="shared" si="65"/>
        <v>0</v>
      </c>
      <c r="G407" s="8" t="str">
        <f>IF(H407="","",VLOOKUP(H407,引用表合并!$A:$B,2,FALSE))</f>
        <v/>
      </c>
      <c r="K407" s="8" t="str">
        <f>IF(L407="","",VLOOKUP(L407,引用表合并!$A:$B,2,FALSE))</f>
        <v/>
      </c>
      <c r="L407" s="8"/>
      <c r="M407" s="8"/>
      <c r="O407" s="8" t="str">
        <f>IF(P407="","",VLOOKUP(P407,引用表合并!$A:$B,2,FALSE))</f>
        <v/>
      </c>
      <c r="P407" s="8"/>
      <c r="Q407" s="8"/>
      <c r="S407" s="8" t="str">
        <f>IF(T407="","",VLOOKUP(T407,引用表合并!$A:$B,2,FALSE))</f>
        <v/>
      </c>
      <c r="T407" s="8"/>
      <c r="U407" s="8"/>
      <c r="W407" s="8" t="str">
        <f>IF(X407="","",VLOOKUP(X407,引用表合并!$A:$B,2,FALSE))</f>
        <v/>
      </c>
      <c r="X407" s="8"/>
      <c r="Y407" s="8"/>
      <c r="AA407" s="8" t="str">
        <f>IF(AB407="","",VLOOKUP(AB407,引用表合并!$A:$B,2,FALSE))</f>
        <v/>
      </c>
      <c r="AB407" s="8"/>
      <c r="AC407" s="8"/>
      <c r="AE407" s="8" t="str">
        <f>IF(AF407="","",VLOOKUP(AF407,引用表合并!$A:$B,2,FALSE))</f>
        <v/>
      </c>
      <c r="AF407" s="8"/>
      <c r="AG407" s="8"/>
      <c r="AI407" s="8" t="str">
        <f>IF(AJ407="","",VLOOKUP(AJ407,引用表合并!$A:$B,2,FALSE))</f>
        <v/>
      </c>
      <c r="AJ407" s="8"/>
      <c r="AK407" s="8"/>
      <c r="AM407" s="8" t="str">
        <f>IF(AN407="","",VLOOKUP(AN407,引用表合并!$A:$B,2,FALSE))</f>
        <v/>
      </c>
      <c r="AN407" s="8"/>
      <c r="AO407" s="8"/>
      <c r="AQ407" s="8" t="str">
        <f>IF(AR407="","",VLOOKUP(AR407,引用表合并!$A:$B,2,FALSE))</f>
        <v/>
      </c>
      <c r="AR407" s="8"/>
      <c r="AS407" s="8"/>
      <c r="AU407" s="8" t="str">
        <f>IF(AV407="","",VLOOKUP(AV407,引用表合并!$A:$B,2,FALSE))</f>
        <v/>
      </c>
      <c r="AV407" s="8"/>
      <c r="AW407" s="8"/>
      <c r="AY407" s="8" t="str">
        <f>IF(AZ407="","",VLOOKUP(AZ407,引用表合并!$A:$B,2,FALSE))</f>
        <v/>
      </c>
      <c r="AZ407" s="8"/>
      <c r="BA407" s="8"/>
      <c r="BC407" s="8" t="str">
        <f>IF(BD407="","",VLOOKUP(BD407,引用表合并!$A:$B,2,FALSE))</f>
        <v/>
      </c>
      <c r="BD407" s="8"/>
      <c r="BF407" s="10"/>
      <c r="BG407" s="8" t="str">
        <f>IF(BH407="","",VLOOKUP(BH407,引用表合并!$A:$B,2,FALSE))</f>
        <v/>
      </c>
      <c r="BH407" s="8"/>
      <c r="BJ407" s="10"/>
      <c r="BK407" s="8" t="str">
        <f>IF(BL407="","",VLOOKUP(BL407,引用表合并!$A:$B,2,FALSE))</f>
        <v/>
      </c>
      <c r="BL407" s="8"/>
      <c r="BN407" s="10"/>
    </row>
    <row r="408" spans="1:66" x14ac:dyDescent="0.15">
      <c r="A408" s="8">
        <v>901045</v>
      </c>
      <c r="B408" s="18" t="str">
        <f>"任务:"&amp;VLOOKUP(A408,CHOOSE({1,2},[4]任务经验掉落配置表!$X$3:$X$173,[4]任务经验掉落配置表!$D$3:$D$173),2,FALSE)</f>
        <v>任务:成长</v>
      </c>
      <c r="C408" s="8">
        <v>0</v>
      </c>
      <c r="D408" s="8">
        <f t="shared" si="66"/>
        <v>0</v>
      </c>
      <c r="E408" s="16">
        <f t="shared" si="67"/>
        <v>0</v>
      </c>
      <c r="F408" s="16">
        <f t="shared" si="65"/>
        <v>0</v>
      </c>
      <c r="G408" s="8" t="str">
        <f>IF(H408="","",VLOOKUP(H408,引用表合并!$A:$B,2,FALSE))</f>
        <v/>
      </c>
      <c r="K408" s="8" t="str">
        <f>IF(L408="","",VLOOKUP(L408,引用表合并!$A:$B,2,FALSE))</f>
        <v/>
      </c>
      <c r="L408" s="8"/>
      <c r="M408" s="8"/>
      <c r="O408" s="8" t="str">
        <f>IF(P408="","",VLOOKUP(P408,引用表合并!$A:$B,2,FALSE))</f>
        <v/>
      </c>
      <c r="P408" s="8"/>
      <c r="Q408" s="8"/>
      <c r="S408" s="8" t="str">
        <f>IF(T408="","",VLOOKUP(T408,引用表合并!$A:$B,2,FALSE))</f>
        <v/>
      </c>
      <c r="T408" s="8"/>
      <c r="U408" s="8"/>
      <c r="W408" s="8" t="str">
        <f>IF(X408="","",VLOOKUP(X408,引用表合并!$A:$B,2,FALSE))</f>
        <v/>
      </c>
      <c r="X408" s="8"/>
      <c r="Y408" s="8"/>
      <c r="AA408" s="8" t="str">
        <f>IF(AB408="","",VLOOKUP(AB408,引用表合并!$A:$B,2,FALSE))</f>
        <v/>
      </c>
      <c r="AB408" s="8"/>
      <c r="AC408" s="8"/>
      <c r="AE408" s="8" t="str">
        <f>IF(AF408="","",VLOOKUP(AF408,引用表合并!$A:$B,2,FALSE))</f>
        <v/>
      </c>
      <c r="AF408" s="8"/>
      <c r="AG408" s="8"/>
      <c r="AI408" s="8" t="str">
        <f>IF(AJ408="","",VLOOKUP(AJ408,引用表合并!$A:$B,2,FALSE))</f>
        <v/>
      </c>
      <c r="AJ408" s="8"/>
      <c r="AK408" s="8"/>
      <c r="AM408" s="8" t="str">
        <f>IF(AN408="","",VLOOKUP(AN408,引用表合并!$A:$B,2,FALSE))</f>
        <v/>
      </c>
      <c r="AN408" s="8"/>
      <c r="AO408" s="8"/>
      <c r="AQ408" s="8" t="str">
        <f>IF(AR408="","",VLOOKUP(AR408,引用表合并!$A:$B,2,FALSE))</f>
        <v/>
      </c>
      <c r="AR408" s="8"/>
      <c r="AS408" s="8"/>
      <c r="AU408" s="8" t="str">
        <f>IF(AV408="","",VLOOKUP(AV408,引用表合并!$A:$B,2,FALSE))</f>
        <v/>
      </c>
      <c r="AV408" s="8"/>
      <c r="AW408" s="8"/>
      <c r="AY408" s="8" t="str">
        <f>IF(AZ408="","",VLOOKUP(AZ408,引用表合并!$A:$B,2,FALSE))</f>
        <v/>
      </c>
      <c r="AZ408" s="8"/>
      <c r="BA408" s="8"/>
      <c r="BC408" s="8" t="str">
        <f>IF(BD408="","",VLOOKUP(BD408,引用表合并!$A:$B,2,FALSE))</f>
        <v/>
      </c>
      <c r="BD408" s="8"/>
      <c r="BF408" s="10"/>
      <c r="BG408" s="8" t="str">
        <f>IF(BH408="","",VLOOKUP(BH408,引用表合并!$A:$B,2,FALSE))</f>
        <v/>
      </c>
      <c r="BH408" s="8"/>
      <c r="BJ408" s="10"/>
      <c r="BK408" s="8" t="str">
        <f>IF(BL408="","",VLOOKUP(BL408,引用表合并!$A:$B,2,FALSE))</f>
        <v/>
      </c>
      <c r="BL408" s="8"/>
      <c r="BN408" s="10"/>
    </row>
    <row r="409" spans="1:66" x14ac:dyDescent="0.15">
      <c r="A409" s="8">
        <v>901046</v>
      </c>
      <c r="B409" s="18" t="str">
        <f>"任务:"&amp;VLOOKUP(A409,CHOOSE({1,2},[4]任务经验掉落配置表!$X$3:$X$173,[4]任务经验掉落配置表!$D$3:$D$173),2,FALSE)</f>
        <v>任务:风起铜锣湾</v>
      </c>
      <c r="C409" s="8">
        <v>0</v>
      </c>
      <c r="D409" s="8">
        <f t="shared" si="66"/>
        <v>0</v>
      </c>
      <c r="E409" s="16">
        <f t="shared" si="67"/>
        <v>0</v>
      </c>
      <c r="F409" s="16">
        <f t="shared" si="65"/>
        <v>0</v>
      </c>
      <c r="G409" s="8" t="str">
        <f>IF(H409="","",VLOOKUP(H409,引用表合并!$A:$B,2,FALSE))</f>
        <v/>
      </c>
      <c r="K409" s="8" t="str">
        <f>IF(L409="","",VLOOKUP(L409,引用表合并!$A:$B,2,FALSE))</f>
        <v/>
      </c>
      <c r="L409" s="8"/>
      <c r="M409" s="8"/>
      <c r="O409" s="8" t="str">
        <f>IF(P409="","",VLOOKUP(P409,引用表合并!$A:$B,2,FALSE))</f>
        <v/>
      </c>
      <c r="P409" s="8"/>
      <c r="Q409" s="8"/>
      <c r="S409" s="8" t="str">
        <f>IF(T409="","",VLOOKUP(T409,引用表合并!$A:$B,2,FALSE))</f>
        <v/>
      </c>
      <c r="T409" s="8"/>
      <c r="U409" s="8"/>
      <c r="W409" s="8" t="str">
        <f>IF(X409="","",VLOOKUP(X409,引用表合并!$A:$B,2,FALSE))</f>
        <v/>
      </c>
      <c r="X409" s="8"/>
      <c r="Y409" s="8"/>
      <c r="AA409" s="8" t="str">
        <f>IF(AB409="","",VLOOKUP(AB409,引用表合并!$A:$B,2,FALSE))</f>
        <v/>
      </c>
      <c r="AB409" s="8"/>
      <c r="AC409" s="8"/>
      <c r="AE409" s="8" t="str">
        <f>IF(AF409="","",VLOOKUP(AF409,引用表合并!$A:$B,2,FALSE))</f>
        <v/>
      </c>
      <c r="AF409" s="8"/>
      <c r="AG409" s="8"/>
      <c r="AI409" s="8" t="str">
        <f>IF(AJ409="","",VLOOKUP(AJ409,引用表合并!$A:$B,2,FALSE))</f>
        <v/>
      </c>
      <c r="AJ409" s="8"/>
      <c r="AK409" s="8"/>
      <c r="AM409" s="8" t="str">
        <f>IF(AN409="","",VLOOKUP(AN409,引用表合并!$A:$B,2,FALSE))</f>
        <v/>
      </c>
      <c r="AN409" s="8"/>
      <c r="AO409" s="8"/>
      <c r="AQ409" s="8" t="str">
        <f>IF(AR409="","",VLOOKUP(AR409,引用表合并!$A:$B,2,FALSE))</f>
        <v/>
      </c>
      <c r="AR409" s="8"/>
      <c r="AS409" s="8"/>
      <c r="AU409" s="8" t="str">
        <f>IF(AV409="","",VLOOKUP(AV409,引用表合并!$A:$B,2,FALSE))</f>
        <v/>
      </c>
      <c r="AV409" s="8"/>
      <c r="AW409" s="8"/>
      <c r="AY409" s="8" t="str">
        <f>IF(AZ409="","",VLOOKUP(AZ409,引用表合并!$A:$B,2,FALSE))</f>
        <v/>
      </c>
      <c r="AZ409" s="8"/>
      <c r="BA409" s="8"/>
      <c r="BC409" s="8" t="str">
        <f>IF(BD409="","",VLOOKUP(BD409,引用表合并!$A:$B,2,FALSE))</f>
        <v/>
      </c>
      <c r="BD409" s="8"/>
      <c r="BF409" s="10"/>
      <c r="BG409" s="8" t="str">
        <f>IF(BH409="","",VLOOKUP(BH409,引用表合并!$A:$B,2,FALSE))</f>
        <v/>
      </c>
      <c r="BH409" s="8"/>
      <c r="BJ409" s="10"/>
      <c r="BK409" s="8" t="str">
        <f>IF(BL409="","",VLOOKUP(BL409,引用表合并!$A:$B,2,FALSE))</f>
        <v/>
      </c>
      <c r="BL409" s="8"/>
      <c r="BN409" s="10"/>
    </row>
    <row r="410" spans="1:66" x14ac:dyDescent="0.15">
      <c r="A410" s="8">
        <v>901047</v>
      </c>
      <c r="B410" s="18" t="str">
        <f>"任务:"&amp;VLOOKUP(A410,CHOOSE({1,2},[4]任务经验掉落配置表!$X$3:$X$173,[4]任务经验掉落配置表!$D$3:$D$173),2,FALSE)</f>
        <v>任务:前哨战</v>
      </c>
      <c r="C410" s="8">
        <v>0</v>
      </c>
      <c r="D410" s="8">
        <f t="shared" si="66"/>
        <v>0</v>
      </c>
      <c r="E410" s="16">
        <f t="shared" si="67"/>
        <v>0</v>
      </c>
      <c r="F410" s="16">
        <f t="shared" si="65"/>
        <v>0</v>
      </c>
      <c r="G410" s="8" t="str">
        <f>IF(H410="","",VLOOKUP(H410,引用表合并!$A:$B,2,FALSE))</f>
        <v/>
      </c>
      <c r="K410" s="8" t="str">
        <f>IF(L410="","",VLOOKUP(L410,引用表合并!$A:$B,2,FALSE))</f>
        <v/>
      </c>
      <c r="L410" s="8"/>
      <c r="M410" s="8"/>
      <c r="O410" s="8" t="str">
        <f>IF(P410="","",VLOOKUP(P410,引用表合并!$A:$B,2,FALSE))</f>
        <v/>
      </c>
      <c r="P410" s="8"/>
      <c r="Q410" s="8"/>
      <c r="S410" s="8" t="str">
        <f>IF(T410="","",VLOOKUP(T410,引用表合并!$A:$B,2,FALSE))</f>
        <v/>
      </c>
      <c r="T410" s="8"/>
      <c r="U410" s="8"/>
      <c r="W410" s="8" t="str">
        <f>IF(X410="","",VLOOKUP(X410,引用表合并!$A:$B,2,FALSE))</f>
        <v/>
      </c>
      <c r="X410" s="8"/>
      <c r="Y410" s="8"/>
      <c r="AA410" s="8" t="str">
        <f>IF(AB410="","",VLOOKUP(AB410,引用表合并!$A:$B,2,FALSE))</f>
        <v/>
      </c>
      <c r="AB410" s="8"/>
      <c r="AC410" s="8"/>
      <c r="AE410" s="8" t="str">
        <f>IF(AF410="","",VLOOKUP(AF410,引用表合并!$A:$B,2,FALSE))</f>
        <v/>
      </c>
      <c r="AF410" s="8"/>
      <c r="AG410" s="8"/>
      <c r="AI410" s="8" t="str">
        <f>IF(AJ410="","",VLOOKUP(AJ410,引用表合并!$A:$B,2,FALSE))</f>
        <v/>
      </c>
      <c r="AJ410" s="8"/>
      <c r="AK410" s="8"/>
      <c r="AM410" s="8" t="str">
        <f>IF(AN410="","",VLOOKUP(AN410,引用表合并!$A:$B,2,FALSE))</f>
        <v/>
      </c>
      <c r="AN410" s="8"/>
      <c r="AO410" s="8"/>
      <c r="AQ410" s="8" t="str">
        <f>IF(AR410="","",VLOOKUP(AR410,引用表合并!$A:$B,2,FALSE))</f>
        <v/>
      </c>
      <c r="AR410" s="8"/>
      <c r="AS410" s="8"/>
      <c r="AU410" s="8" t="str">
        <f>IF(AV410="","",VLOOKUP(AV410,引用表合并!$A:$B,2,FALSE))</f>
        <v/>
      </c>
      <c r="AV410" s="8"/>
      <c r="AW410" s="8"/>
      <c r="AY410" s="8" t="str">
        <f>IF(AZ410="","",VLOOKUP(AZ410,引用表合并!$A:$B,2,FALSE))</f>
        <v/>
      </c>
      <c r="AZ410" s="8"/>
      <c r="BA410" s="8"/>
      <c r="BC410" s="8" t="str">
        <f>IF(BD410="","",VLOOKUP(BD410,引用表合并!$A:$B,2,FALSE))</f>
        <v/>
      </c>
      <c r="BD410" s="8"/>
      <c r="BF410" s="10"/>
      <c r="BG410" s="8" t="str">
        <f>IF(BH410="","",VLOOKUP(BH410,引用表合并!$A:$B,2,FALSE))</f>
        <v/>
      </c>
      <c r="BH410" s="8"/>
      <c r="BJ410" s="10"/>
      <c r="BK410" s="8" t="str">
        <f>IF(BL410="","",VLOOKUP(BL410,引用表合并!$A:$B,2,FALSE))</f>
        <v/>
      </c>
      <c r="BL410" s="8"/>
      <c r="BN410" s="10"/>
    </row>
    <row r="411" spans="1:66" x14ac:dyDescent="0.15">
      <c r="A411" s="8">
        <v>901048</v>
      </c>
      <c r="B411" s="18" t="str">
        <f>"任务:"&amp;VLOOKUP(A411,CHOOSE({1,2},[4]任务经验掉落配置表!$X$3:$X$173,[4]任务经验掉落配置表!$D$3:$D$173),2,FALSE)</f>
        <v>任务:禁止通行</v>
      </c>
      <c r="C411" s="8">
        <v>0</v>
      </c>
      <c r="D411" s="8">
        <f t="shared" si="66"/>
        <v>0</v>
      </c>
      <c r="E411" s="16">
        <f t="shared" si="67"/>
        <v>0</v>
      </c>
      <c r="F411" s="16">
        <f t="shared" si="65"/>
        <v>0</v>
      </c>
      <c r="G411" s="8" t="str">
        <f>IF(H411="","",VLOOKUP(H411,引用表合并!$A:$B,2,FALSE))</f>
        <v/>
      </c>
      <c r="K411" s="8" t="str">
        <f>IF(L411="","",VLOOKUP(L411,引用表合并!$A:$B,2,FALSE))</f>
        <v/>
      </c>
      <c r="L411" s="8"/>
      <c r="M411" s="8"/>
      <c r="O411" s="8" t="str">
        <f>IF(P411="","",VLOOKUP(P411,引用表合并!$A:$B,2,FALSE))</f>
        <v/>
      </c>
      <c r="P411" s="8"/>
      <c r="Q411" s="8"/>
      <c r="S411" s="8" t="str">
        <f>IF(T411="","",VLOOKUP(T411,引用表合并!$A:$B,2,FALSE))</f>
        <v/>
      </c>
      <c r="T411" s="8"/>
      <c r="U411" s="8"/>
      <c r="W411" s="8" t="str">
        <f>IF(X411="","",VLOOKUP(X411,引用表合并!$A:$B,2,FALSE))</f>
        <v/>
      </c>
      <c r="X411" s="8"/>
      <c r="Y411" s="8"/>
      <c r="AA411" s="8" t="str">
        <f>IF(AB411="","",VLOOKUP(AB411,引用表合并!$A:$B,2,FALSE))</f>
        <v/>
      </c>
      <c r="AB411" s="8"/>
      <c r="AC411" s="8"/>
      <c r="AE411" s="8" t="str">
        <f>IF(AF411="","",VLOOKUP(AF411,引用表合并!$A:$B,2,FALSE))</f>
        <v/>
      </c>
      <c r="AF411" s="8"/>
      <c r="AG411" s="8"/>
      <c r="AI411" s="8" t="str">
        <f>IF(AJ411="","",VLOOKUP(AJ411,引用表合并!$A:$B,2,FALSE))</f>
        <v/>
      </c>
      <c r="AJ411" s="8"/>
      <c r="AK411" s="8"/>
      <c r="AM411" s="8" t="str">
        <f>IF(AN411="","",VLOOKUP(AN411,引用表合并!$A:$B,2,FALSE))</f>
        <v/>
      </c>
      <c r="AN411" s="8"/>
      <c r="AO411" s="8"/>
      <c r="AQ411" s="8" t="str">
        <f>IF(AR411="","",VLOOKUP(AR411,引用表合并!$A:$B,2,FALSE))</f>
        <v/>
      </c>
      <c r="AR411" s="8"/>
      <c r="AS411" s="8"/>
      <c r="AU411" s="8" t="str">
        <f>IF(AV411="","",VLOOKUP(AV411,引用表合并!$A:$B,2,FALSE))</f>
        <v/>
      </c>
      <c r="AV411" s="8"/>
      <c r="AW411" s="8"/>
      <c r="AY411" s="8" t="str">
        <f>IF(AZ411="","",VLOOKUP(AZ411,引用表合并!$A:$B,2,FALSE))</f>
        <v/>
      </c>
      <c r="AZ411" s="8"/>
      <c r="BA411" s="8"/>
      <c r="BC411" s="8" t="str">
        <f>IF(BD411="","",VLOOKUP(BD411,引用表合并!$A:$B,2,FALSE))</f>
        <v/>
      </c>
      <c r="BD411" s="8"/>
      <c r="BF411" s="10"/>
      <c r="BG411" s="8" t="str">
        <f>IF(BH411="","",VLOOKUP(BH411,引用表合并!$A:$B,2,FALSE))</f>
        <v/>
      </c>
      <c r="BH411" s="8"/>
      <c r="BJ411" s="10"/>
      <c r="BK411" s="8" t="str">
        <f>IF(BL411="","",VLOOKUP(BL411,引用表合并!$A:$B,2,FALSE))</f>
        <v/>
      </c>
      <c r="BL411" s="8"/>
      <c r="BN411" s="10"/>
    </row>
    <row r="412" spans="1:66" x14ac:dyDescent="0.15">
      <c r="A412" s="8">
        <v>901049</v>
      </c>
      <c r="B412" s="18" t="str">
        <f>"任务:"&amp;VLOOKUP(A412,CHOOSE({1,2},[4]任务经验掉落配置表!$X$3:$X$173,[4]任务经验掉落配置表!$D$3:$D$173),2,FALSE)</f>
        <v>任务:联络十三妹</v>
      </c>
      <c r="C412" s="8">
        <v>0</v>
      </c>
      <c r="D412" s="8">
        <f t="shared" si="66"/>
        <v>0</v>
      </c>
      <c r="E412" s="16">
        <f t="shared" si="67"/>
        <v>0</v>
      </c>
      <c r="F412" s="16">
        <f t="shared" si="65"/>
        <v>0</v>
      </c>
      <c r="G412" s="8" t="str">
        <f>IF(H412="","",VLOOKUP(H412,引用表合并!$A:$B,2,FALSE))</f>
        <v/>
      </c>
      <c r="K412" s="8" t="str">
        <f>IF(L412="","",VLOOKUP(L412,引用表合并!$A:$B,2,FALSE))</f>
        <v/>
      </c>
      <c r="L412" s="8"/>
      <c r="M412" s="8"/>
      <c r="O412" s="8" t="str">
        <f>IF(P412="","",VLOOKUP(P412,引用表合并!$A:$B,2,FALSE))</f>
        <v/>
      </c>
      <c r="P412" s="8"/>
      <c r="Q412" s="8"/>
      <c r="S412" s="8" t="str">
        <f>IF(T412="","",VLOOKUP(T412,引用表合并!$A:$B,2,FALSE))</f>
        <v/>
      </c>
      <c r="T412" s="8"/>
      <c r="U412" s="8"/>
      <c r="W412" s="8" t="str">
        <f>IF(X412="","",VLOOKUP(X412,引用表合并!$A:$B,2,FALSE))</f>
        <v/>
      </c>
      <c r="X412" s="8"/>
      <c r="Y412" s="8"/>
      <c r="AA412" s="8" t="str">
        <f>IF(AB412="","",VLOOKUP(AB412,引用表合并!$A:$B,2,FALSE))</f>
        <v/>
      </c>
      <c r="AB412" s="8"/>
      <c r="AC412" s="8"/>
      <c r="AE412" s="8" t="str">
        <f>IF(AF412="","",VLOOKUP(AF412,引用表合并!$A:$B,2,FALSE))</f>
        <v/>
      </c>
      <c r="AF412" s="8"/>
      <c r="AG412" s="8"/>
      <c r="AI412" s="8" t="str">
        <f>IF(AJ412="","",VLOOKUP(AJ412,引用表合并!$A:$B,2,FALSE))</f>
        <v/>
      </c>
      <c r="AJ412" s="8"/>
      <c r="AK412" s="8"/>
      <c r="AM412" s="8" t="str">
        <f>IF(AN412="","",VLOOKUP(AN412,引用表合并!$A:$B,2,FALSE))</f>
        <v/>
      </c>
      <c r="AN412" s="8"/>
      <c r="AO412" s="8"/>
      <c r="AQ412" s="8" t="str">
        <f>IF(AR412="","",VLOOKUP(AR412,引用表合并!$A:$B,2,FALSE))</f>
        <v/>
      </c>
      <c r="AR412" s="8"/>
      <c r="AS412" s="8"/>
      <c r="AU412" s="8" t="str">
        <f>IF(AV412="","",VLOOKUP(AV412,引用表合并!$A:$B,2,FALSE))</f>
        <v/>
      </c>
      <c r="AV412" s="8"/>
      <c r="AW412" s="8"/>
      <c r="AY412" s="8" t="str">
        <f>IF(AZ412="","",VLOOKUP(AZ412,引用表合并!$A:$B,2,FALSE))</f>
        <v/>
      </c>
      <c r="AZ412" s="8"/>
      <c r="BA412" s="8"/>
      <c r="BC412" s="8" t="str">
        <f>IF(BD412="","",VLOOKUP(BD412,引用表合并!$A:$B,2,FALSE))</f>
        <v/>
      </c>
      <c r="BD412" s="8"/>
      <c r="BF412" s="10"/>
      <c r="BG412" s="8" t="str">
        <f>IF(BH412="","",VLOOKUP(BH412,引用表合并!$A:$B,2,FALSE))</f>
        <v/>
      </c>
      <c r="BH412" s="8"/>
      <c r="BJ412" s="10"/>
      <c r="BK412" s="8" t="str">
        <f>IF(BL412="","",VLOOKUP(BL412,引用表合并!$A:$B,2,FALSE))</f>
        <v/>
      </c>
      <c r="BL412" s="8"/>
      <c r="BN412" s="10"/>
    </row>
    <row r="413" spans="1:66" x14ac:dyDescent="0.15">
      <c r="A413" s="8">
        <v>901050</v>
      </c>
      <c r="B413" s="18" t="str">
        <f>"任务:"&amp;VLOOKUP(A413,CHOOSE({1,2},[4]任务经验掉落配置表!$X$3:$X$173,[4]任务经验掉落配置表!$D$3:$D$173),2,FALSE)</f>
        <v>任务:冲突</v>
      </c>
      <c r="C413" s="8">
        <v>0</v>
      </c>
      <c r="D413" s="8">
        <f t="shared" si="66"/>
        <v>0</v>
      </c>
      <c r="E413" s="16">
        <f t="shared" si="67"/>
        <v>0</v>
      </c>
      <c r="F413" s="16">
        <f t="shared" si="65"/>
        <v>0</v>
      </c>
      <c r="G413" s="8" t="str">
        <f>IF(H413="","",VLOOKUP(H413,引用表合并!$A:$B,2,FALSE))</f>
        <v/>
      </c>
      <c r="K413" s="8" t="str">
        <f>IF(L413="","",VLOOKUP(L413,引用表合并!$A:$B,2,FALSE))</f>
        <v/>
      </c>
      <c r="L413" s="8"/>
      <c r="M413" s="8"/>
      <c r="O413" s="8" t="str">
        <f>IF(P413="","",VLOOKUP(P413,引用表合并!$A:$B,2,FALSE))</f>
        <v/>
      </c>
      <c r="P413" s="8"/>
      <c r="Q413" s="8"/>
      <c r="S413" s="8" t="str">
        <f>IF(T413="","",VLOOKUP(T413,引用表合并!$A:$B,2,FALSE))</f>
        <v/>
      </c>
      <c r="T413" s="8"/>
      <c r="U413" s="8"/>
      <c r="W413" s="8" t="str">
        <f>IF(X413="","",VLOOKUP(X413,引用表合并!$A:$B,2,FALSE))</f>
        <v/>
      </c>
      <c r="X413" s="8"/>
      <c r="Y413" s="8"/>
      <c r="AA413" s="8" t="str">
        <f>IF(AB413="","",VLOOKUP(AB413,引用表合并!$A:$B,2,FALSE))</f>
        <v/>
      </c>
      <c r="AB413" s="8"/>
      <c r="AC413" s="8"/>
      <c r="AE413" s="8" t="str">
        <f>IF(AF413="","",VLOOKUP(AF413,引用表合并!$A:$B,2,FALSE))</f>
        <v/>
      </c>
      <c r="AF413" s="8"/>
      <c r="AG413" s="8"/>
      <c r="AI413" s="8" t="str">
        <f>IF(AJ413="","",VLOOKUP(AJ413,引用表合并!$A:$B,2,FALSE))</f>
        <v/>
      </c>
      <c r="AJ413" s="8"/>
      <c r="AK413" s="8"/>
      <c r="AM413" s="8" t="str">
        <f>IF(AN413="","",VLOOKUP(AN413,引用表合并!$A:$B,2,FALSE))</f>
        <v/>
      </c>
      <c r="AN413" s="8"/>
      <c r="AO413" s="8"/>
      <c r="AQ413" s="8" t="str">
        <f>IF(AR413="","",VLOOKUP(AR413,引用表合并!$A:$B,2,FALSE))</f>
        <v/>
      </c>
      <c r="AR413" s="8"/>
      <c r="AS413" s="8"/>
      <c r="AU413" s="8" t="str">
        <f>IF(AV413="","",VLOOKUP(AV413,引用表合并!$A:$B,2,FALSE))</f>
        <v/>
      </c>
      <c r="AV413" s="8"/>
      <c r="AW413" s="8"/>
      <c r="AY413" s="8" t="str">
        <f>IF(AZ413="","",VLOOKUP(AZ413,引用表合并!$A:$B,2,FALSE))</f>
        <v/>
      </c>
      <c r="AZ413" s="8"/>
      <c r="BA413" s="8"/>
      <c r="BC413" s="8" t="str">
        <f>IF(BD413="","",VLOOKUP(BD413,引用表合并!$A:$B,2,FALSE))</f>
        <v/>
      </c>
      <c r="BD413" s="8"/>
      <c r="BF413" s="10"/>
      <c r="BG413" s="8" t="str">
        <f>IF(BH413="","",VLOOKUP(BH413,引用表合并!$A:$B,2,FALSE))</f>
        <v/>
      </c>
      <c r="BH413" s="8"/>
      <c r="BJ413" s="10"/>
      <c r="BK413" s="8" t="str">
        <f>IF(BL413="","",VLOOKUP(BL413,引用表合并!$A:$B,2,FALSE))</f>
        <v/>
      </c>
      <c r="BL413" s="8"/>
      <c r="BN413" s="10"/>
    </row>
    <row r="414" spans="1:66" x14ac:dyDescent="0.15">
      <c r="A414" s="8">
        <v>901051</v>
      </c>
      <c r="B414" s="18" t="str">
        <f>"任务:"&amp;VLOOKUP(A414,CHOOSE({1,2},[4]任务经验掉落配置表!$X$3:$X$173,[4]任务经验掉落配置表!$D$3:$D$173),2,FALSE)</f>
        <v>任务:战书</v>
      </c>
      <c r="C414" s="8">
        <v>0</v>
      </c>
      <c r="D414" s="8">
        <f t="shared" si="66"/>
        <v>1</v>
      </c>
      <c r="E414" s="16">
        <f t="shared" si="67"/>
        <v>1</v>
      </c>
      <c r="F414" s="16">
        <f t="shared" si="65"/>
        <v>1</v>
      </c>
      <c r="G414" s="8" t="str">
        <f>IF(H414="","",VLOOKUP(H414,引用表合并!$A:$B,2,FALSE))</f>
        <v>初级升星石</v>
      </c>
      <c r="H414" s="8">
        <v>70101</v>
      </c>
      <c r="I414" s="8">
        <v>12</v>
      </c>
      <c r="J414" s="10">
        <v>10000</v>
      </c>
      <c r="K414" s="8" t="str">
        <f>IF(L414="","",VLOOKUP(L414,引用表合并!$A:$B,2,FALSE))</f>
        <v/>
      </c>
      <c r="L414" s="8"/>
      <c r="M414" s="8"/>
      <c r="O414" s="8" t="str">
        <f>IF(P414="","",VLOOKUP(P414,引用表合并!$A:$B,2,FALSE))</f>
        <v/>
      </c>
      <c r="P414" s="8"/>
      <c r="Q414" s="8"/>
      <c r="S414" s="8" t="str">
        <f>IF(T414="","",VLOOKUP(T414,引用表合并!$A:$B,2,FALSE))</f>
        <v/>
      </c>
      <c r="T414" s="8"/>
      <c r="U414" s="8"/>
      <c r="W414" s="8" t="str">
        <f>IF(X414="","",VLOOKUP(X414,引用表合并!$A:$B,2,FALSE))</f>
        <v/>
      </c>
      <c r="X414" s="8"/>
      <c r="Y414" s="8"/>
      <c r="AA414" s="8" t="str">
        <f>IF(AB414="","",VLOOKUP(AB414,引用表合并!$A:$B,2,FALSE))</f>
        <v/>
      </c>
      <c r="AB414" s="8"/>
      <c r="AC414" s="8"/>
      <c r="AE414" s="8" t="str">
        <f>IF(AF414="","",VLOOKUP(AF414,引用表合并!$A:$B,2,FALSE))</f>
        <v/>
      </c>
      <c r="AF414" s="8"/>
      <c r="AG414" s="8"/>
      <c r="AI414" s="8" t="str">
        <f>IF(AJ414="","",VLOOKUP(AJ414,引用表合并!$A:$B,2,FALSE))</f>
        <v/>
      </c>
      <c r="AJ414" s="8"/>
      <c r="AK414" s="8"/>
      <c r="AM414" s="8" t="str">
        <f>IF(AN414="","",VLOOKUP(AN414,引用表合并!$A:$B,2,FALSE))</f>
        <v/>
      </c>
      <c r="AN414" s="8"/>
      <c r="AO414" s="8"/>
      <c r="AQ414" s="8" t="str">
        <f>IF(AR414="","",VLOOKUP(AR414,引用表合并!$A:$B,2,FALSE))</f>
        <v/>
      </c>
      <c r="AR414" s="8"/>
      <c r="AS414" s="8"/>
      <c r="AU414" s="8" t="str">
        <f>IF(AV414="","",VLOOKUP(AV414,引用表合并!$A:$B,2,FALSE))</f>
        <v/>
      </c>
      <c r="AV414" s="8"/>
      <c r="AW414" s="8"/>
      <c r="AY414" s="8" t="str">
        <f>IF(AZ414="","",VLOOKUP(AZ414,引用表合并!$A:$B,2,FALSE))</f>
        <v/>
      </c>
      <c r="AZ414" s="8"/>
      <c r="BA414" s="8"/>
      <c r="BC414" s="8" t="str">
        <f>IF(BD414="","",VLOOKUP(BD414,引用表合并!$A:$B,2,FALSE))</f>
        <v/>
      </c>
      <c r="BD414" s="8"/>
      <c r="BF414" s="10"/>
      <c r="BG414" s="8" t="str">
        <f>IF(BH414="","",VLOOKUP(BH414,引用表合并!$A:$B,2,FALSE))</f>
        <v/>
      </c>
      <c r="BH414" s="8"/>
      <c r="BJ414" s="10"/>
      <c r="BK414" s="8" t="str">
        <f>IF(BL414="","",VLOOKUP(BL414,引用表合并!$A:$B,2,FALSE))</f>
        <v/>
      </c>
      <c r="BL414" s="8"/>
      <c r="BN414" s="10"/>
    </row>
    <row r="415" spans="1:66" x14ac:dyDescent="0.15">
      <c r="A415" s="8">
        <v>901052</v>
      </c>
      <c r="B415" s="18" t="str">
        <f>"任务:"&amp;VLOOKUP(A415,CHOOSE({1,2},[4]任务经验掉落配置表!$X$3:$X$173,[4]任务经验掉落配置表!$D$3:$D$173),2,FALSE)</f>
        <v>任务:应战</v>
      </c>
      <c r="C415" s="8">
        <v>0</v>
      </c>
      <c r="D415" s="8">
        <f t="shared" si="66"/>
        <v>0</v>
      </c>
      <c r="E415" s="16">
        <f t="shared" si="67"/>
        <v>0</v>
      </c>
      <c r="F415" s="16">
        <f t="shared" si="65"/>
        <v>0</v>
      </c>
      <c r="G415" s="8" t="str">
        <f>IF(H415="","",VLOOKUP(H415,引用表合并!$A:$B,2,FALSE))</f>
        <v/>
      </c>
      <c r="K415" s="8" t="str">
        <f>IF(L415="","",VLOOKUP(L415,引用表合并!$A:$B,2,FALSE))</f>
        <v/>
      </c>
      <c r="L415" s="8"/>
      <c r="M415" s="8"/>
      <c r="O415" s="8" t="str">
        <f>IF(P415="","",VLOOKUP(P415,引用表合并!$A:$B,2,FALSE))</f>
        <v/>
      </c>
      <c r="P415" s="8"/>
      <c r="Q415" s="8"/>
      <c r="S415" s="8" t="str">
        <f>IF(T415="","",VLOOKUP(T415,引用表合并!$A:$B,2,FALSE))</f>
        <v/>
      </c>
      <c r="T415" s="8"/>
      <c r="U415" s="8"/>
      <c r="W415" s="8" t="str">
        <f>IF(X415="","",VLOOKUP(X415,引用表合并!$A:$B,2,FALSE))</f>
        <v/>
      </c>
      <c r="X415" s="8"/>
      <c r="Y415" s="8"/>
      <c r="AA415" s="8" t="str">
        <f>IF(AB415="","",VLOOKUP(AB415,引用表合并!$A:$B,2,FALSE))</f>
        <v/>
      </c>
      <c r="AB415" s="8"/>
      <c r="AC415" s="8"/>
      <c r="AE415" s="8" t="str">
        <f>IF(AF415="","",VLOOKUP(AF415,引用表合并!$A:$B,2,FALSE))</f>
        <v/>
      </c>
      <c r="AF415" s="8"/>
      <c r="AG415" s="8"/>
      <c r="AI415" s="8" t="str">
        <f>IF(AJ415="","",VLOOKUP(AJ415,引用表合并!$A:$B,2,FALSE))</f>
        <v/>
      </c>
      <c r="AJ415" s="8"/>
      <c r="AK415" s="8"/>
      <c r="AM415" s="8" t="str">
        <f>IF(AN415="","",VLOOKUP(AN415,引用表合并!$A:$B,2,FALSE))</f>
        <v/>
      </c>
      <c r="AN415" s="8"/>
      <c r="AO415" s="8"/>
      <c r="AQ415" s="8" t="str">
        <f>IF(AR415="","",VLOOKUP(AR415,引用表合并!$A:$B,2,FALSE))</f>
        <v/>
      </c>
      <c r="AR415" s="8"/>
      <c r="AS415" s="8"/>
      <c r="AU415" s="8" t="str">
        <f>IF(AV415="","",VLOOKUP(AV415,引用表合并!$A:$B,2,FALSE))</f>
        <v/>
      </c>
      <c r="AV415" s="8"/>
      <c r="AW415" s="8"/>
      <c r="AY415" s="8" t="str">
        <f>IF(AZ415="","",VLOOKUP(AZ415,引用表合并!$A:$B,2,FALSE))</f>
        <v/>
      </c>
      <c r="AZ415" s="8"/>
      <c r="BA415" s="8"/>
      <c r="BC415" s="8" t="str">
        <f>IF(BD415="","",VLOOKUP(BD415,引用表合并!$A:$B,2,FALSE))</f>
        <v/>
      </c>
      <c r="BD415" s="8"/>
      <c r="BF415" s="10"/>
      <c r="BG415" s="8" t="str">
        <f>IF(BH415="","",VLOOKUP(BH415,引用表合并!$A:$B,2,FALSE))</f>
        <v/>
      </c>
      <c r="BH415" s="8"/>
      <c r="BJ415" s="10"/>
      <c r="BK415" s="8" t="str">
        <f>IF(BL415="","",VLOOKUP(BL415,引用表合并!$A:$B,2,FALSE))</f>
        <v/>
      </c>
      <c r="BL415" s="8"/>
      <c r="BN415" s="10"/>
    </row>
    <row r="416" spans="1:66" x14ac:dyDescent="0.15">
      <c r="A416" s="8">
        <v>901053</v>
      </c>
      <c r="B416" s="18" t="str">
        <f>"任务:"&amp;VLOOKUP(A416,CHOOSE({1,2},[4]任务经验掉落配置表!$X$3:$X$173,[4]任务经验掉落配置表!$D$3:$D$173),2,FALSE)</f>
        <v>任务:力克强敌</v>
      </c>
      <c r="C416" s="8">
        <v>0</v>
      </c>
      <c r="D416" s="8">
        <f t="shared" si="66"/>
        <v>0</v>
      </c>
      <c r="E416" s="16">
        <f t="shared" si="67"/>
        <v>0</v>
      </c>
      <c r="F416" s="16">
        <f t="shared" si="65"/>
        <v>0</v>
      </c>
      <c r="G416" s="8" t="str">
        <f>IF(H416="","",VLOOKUP(H416,引用表合并!$A:$B,2,FALSE))</f>
        <v/>
      </c>
      <c r="K416" s="8" t="str">
        <f>IF(L416="","",VLOOKUP(L416,引用表合并!$A:$B,2,FALSE))</f>
        <v/>
      </c>
      <c r="L416" s="8"/>
      <c r="M416" s="8"/>
      <c r="O416" s="8" t="str">
        <f>IF(P416="","",VLOOKUP(P416,引用表合并!$A:$B,2,FALSE))</f>
        <v/>
      </c>
      <c r="P416" s="8"/>
      <c r="Q416" s="8"/>
      <c r="S416" s="8" t="str">
        <f>IF(T416="","",VLOOKUP(T416,引用表合并!$A:$B,2,FALSE))</f>
        <v/>
      </c>
      <c r="T416" s="8"/>
      <c r="U416" s="8"/>
      <c r="W416" s="8" t="str">
        <f>IF(X416="","",VLOOKUP(X416,引用表合并!$A:$B,2,FALSE))</f>
        <v/>
      </c>
      <c r="X416" s="8"/>
      <c r="Y416" s="8"/>
      <c r="AA416" s="8" t="str">
        <f>IF(AB416="","",VLOOKUP(AB416,引用表合并!$A:$B,2,FALSE))</f>
        <v/>
      </c>
      <c r="AB416" s="8"/>
      <c r="AC416" s="8"/>
      <c r="AE416" s="8" t="str">
        <f>IF(AF416="","",VLOOKUP(AF416,引用表合并!$A:$B,2,FALSE))</f>
        <v/>
      </c>
      <c r="AF416" s="8"/>
      <c r="AG416" s="8"/>
      <c r="AI416" s="8" t="str">
        <f>IF(AJ416="","",VLOOKUP(AJ416,引用表合并!$A:$B,2,FALSE))</f>
        <v/>
      </c>
      <c r="AJ416" s="8"/>
      <c r="AK416" s="8"/>
      <c r="AM416" s="8" t="str">
        <f>IF(AN416="","",VLOOKUP(AN416,引用表合并!$A:$B,2,FALSE))</f>
        <v/>
      </c>
      <c r="AN416" s="8"/>
      <c r="AO416" s="8"/>
      <c r="AQ416" s="8" t="str">
        <f>IF(AR416="","",VLOOKUP(AR416,引用表合并!$A:$B,2,FALSE))</f>
        <v/>
      </c>
      <c r="AR416" s="8"/>
      <c r="AS416" s="8"/>
      <c r="AU416" s="8" t="str">
        <f>IF(AV416="","",VLOOKUP(AV416,引用表合并!$A:$B,2,FALSE))</f>
        <v/>
      </c>
      <c r="AV416" s="8"/>
      <c r="AW416" s="8"/>
      <c r="AY416" s="8" t="str">
        <f>IF(AZ416="","",VLOOKUP(AZ416,引用表合并!$A:$B,2,FALSE))</f>
        <v/>
      </c>
      <c r="AZ416" s="8"/>
      <c r="BA416" s="8"/>
      <c r="BC416" s="8" t="str">
        <f>IF(BD416="","",VLOOKUP(BD416,引用表合并!$A:$B,2,FALSE))</f>
        <v/>
      </c>
      <c r="BD416" s="8"/>
      <c r="BF416" s="10"/>
      <c r="BG416" s="8" t="str">
        <f>IF(BH416="","",VLOOKUP(BH416,引用表合并!$A:$B,2,FALSE))</f>
        <v/>
      </c>
      <c r="BH416" s="8"/>
      <c r="BJ416" s="10"/>
      <c r="BK416" s="8" t="str">
        <f>IF(BL416="","",VLOOKUP(BL416,引用表合并!$A:$B,2,FALSE))</f>
        <v/>
      </c>
      <c r="BL416" s="8"/>
      <c r="BN416" s="10"/>
    </row>
    <row r="417" spans="1:66" x14ac:dyDescent="0.15">
      <c r="A417" s="8">
        <v>901054</v>
      </c>
      <c r="B417" s="18" t="str">
        <f>"任务:"&amp;VLOOKUP(A417,CHOOSE({1,2},[4]任务经验掉落配置表!$X$3:$X$173,[4]任务经验掉落配置表!$D$3:$D$173),2,FALSE)</f>
        <v>任务:龙争虎斗</v>
      </c>
      <c r="C417" s="8">
        <v>0</v>
      </c>
      <c r="D417" s="8">
        <f t="shared" si="66"/>
        <v>1</v>
      </c>
      <c r="E417" s="16">
        <f t="shared" si="67"/>
        <v>1</v>
      </c>
      <c r="F417" s="16">
        <f t="shared" si="65"/>
        <v>1</v>
      </c>
      <c r="G417" s="8" t="str">
        <f>IF(H417="","",VLOOKUP(H417,引用表合并!$A:$B,2,FALSE))</f>
        <v>扛把子</v>
      </c>
      <c r="H417" s="8">
        <v>83005</v>
      </c>
      <c r="I417" s="8">
        <v>1</v>
      </c>
      <c r="J417" s="10">
        <v>10000</v>
      </c>
      <c r="K417" s="8" t="str">
        <f>IF(L417="","",VLOOKUP(L417,引用表合并!$A:$B,2,FALSE))</f>
        <v/>
      </c>
      <c r="L417" s="8"/>
      <c r="M417" s="8"/>
      <c r="O417" s="8" t="str">
        <f>IF(P417="","",VLOOKUP(P417,引用表合并!$A:$B,2,FALSE))</f>
        <v/>
      </c>
      <c r="P417" s="8"/>
      <c r="Q417" s="8"/>
      <c r="S417" s="8" t="str">
        <f>IF(T417="","",VLOOKUP(T417,引用表合并!$A:$B,2,FALSE))</f>
        <v/>
      </c>
      <c r="T417" s="8"/>
      <c r="U417" s="8"/>
      <c r="W417" s="8" t="str">
        <f>IF(X417="","",VLOOKUP(X417,引用表合并!$A:$B,2,FALSE))</f>
        <v/>
      </c>
      <c r="X417" s="8"/>
      <c r="Y417" s="8"/>
      <c r="AA417" s="8" t="str">
        <f>IF(AB417="","",VLOOKUP(AB417,引用表合并!$A:$B,2,FALSE))</f>
        <v/>
      </c>
      <c r="AB417" s="8"/>
      <c r="AC417" s="8"/>
      <c r="AE417" s="8" t="str">
        <f>IF(AF417="","",VLOOKUP(AF417,引用表合并!$A:$B,2,FALSE))</f>
        <v/>
      </c>
      <c r="AF417" s="8"/>
      <c r="AG417" s="8"/>
      <c r="AI417" s="8" t="str">
        <f>IF(AJ417="","",VLOOKUP(AJ417,引用表合并!$A:$B,2,FALSE))</f>
        <v/>
      </c>
      <c r="AJ417" s="8"/>
      <c r="AK417" s="8"/>
      <c r="AM417" s="8" t="str">
        <f>IF(AN417="","",VLOOKUP(AN417,引用表合并!$A:$B,2,FALSE))</f>
        <v/>
      </c>
      <c r="AN417" s="8"/>
      <c r="AO417" s="8"/>
      <c r="AQ417" s="8" t="str">
        <f>IF(AR417="","",VLOOKUP(AR417,引用表合并!$A:$B,2,FALSE))</f>
        <v/>
      </c>
      <c r="AR417" s="8"/>
      <c r="AS417" s="8"/>
      <c r="AU417" s="8" t="str">
        <f>IF(AV417="","",VLOOKUP(AV417,引用表合并!$A:$B,2,FALSE))</f>
        <v/>
      </c>
      <c r="AV417" s="8"/>
      <c r="AW417" s="8"/>
      <c r="AY417" s="8" t="str">
        <f>IF(AZ417="","",VLOOKUP(AZ417,引用表合并!$A:$B,2,FALSE))</f>
        <v/>
      </c>
      <c r="AZ417" s="8"/>
      <c r="BA417" s="8"/>
      <c r="BC417" s="8" t="str">
        <f>IF(BD417="","",VLOOKUP(BD417,引用表合并!$A:$B,2,FALSE))</f>
        <v/>
      </c>
      <c r="BD417" s="8"/>
      <c r="BF417" s="10"/>
      <c r="BG417" s="8" t="str">
        <f>IF(BH417="","",VLOOKUP(BH417,引用表合并!$A:$B,2,FALSE))</f>
        <v/>
      </c>
      <c r="BH417" s="8"/>
      <c r="BJ417" s="10"/>
      <c r="BK417" s="8" t="str">
        <f>IF(BL417="","",VLOOKUP(BL417,引用表合并!$A:$B,2,FALSE))</f>
        <v/>
      </c>
      <c r="BL417" s="8"/>
      <c r="BN417" s="10"/>
    </row>
    <row r="418" spans="1:66" x14ac:dyDescent="0.15">
      <c r="A418" s="8">
        <v>901055</v>
      </c>
      <c r="B418" s="18" t="str">
        <f>"任务:"&amp;VLOOKUP(A418,CHOOSE({1,2},[4]任务经验掉落配置表!$X$3:$X$173,[4]任务经验掉落配置表!$D$3:$D$173),2,FALSE)</f>
        <v>任务:山鸡大婚</v>
      </c>
      <c r="C418" s="8">
        <v>0</v>
      </c>
      <c r="D418" s="8">
        <f t="shared" si="66"/>
        <v>0</v>
      </c>
      <c r="E418" s="16">
        <f t="shared" si="67"/>
        <v>0</v>
      </c>
      <c r="F418" s="16">
        <f t="shared" si="65"/>
        <v>0</v>
      </c>
      <c r="G418" s="8" t="str">
        <f>IF(H418="","",VLOOKUP(H418,引用表合并!$A:$B,2,FALSE))</f>
        <v/>
      </c>
      <c r="K418" s="8" t="str">
        <f>IF(L418="","",VLOOKUP(L418,引用表合并!$A:$B,2,FALSE))</f>
        <v/>
      </c>
      <c r="L418" s="8"/>
      <c r="M418" s="8"/>
      <c r="O418" s="8" t="str">
        <f>IF(P418="","",VLOOKUP(P418,引用表合并!$A:$B,2,FALSE))</f>
        <v/>
      </c>
      <c r="P418" s="8"/>
      <c r="Q418" s="8"/>
      <c r="S418" s="8" t="str">
        <f>IF(T418="","",VLOOKUP(T418,引用表合并!$A:$B,2,FALSE))</f>
        <v/>
      </c>
      <c r="T418" s="8"/>
      <c r="U418" s="8"/>
      <c r="W418" s="8" t="str">
        <f>IF(X418="","",VLOOKUP(X418,引用表合并!$A:$B,2,FALSE))</f>
        <v/>
      </c>
      <c r="X418" s="8"/>
      <c r="Y418" s="8"/>
      <c r="AA418" s="8" t="str">
        <f>IF(AB418="","",VLOOKUP(AB418,引用表合并!$A:$B,2,FALSE))</f>
        <v/>
      </c>
      <c r="AB418" s="8"/>
      <c r="AC418" s="8"/>
      <c r="AE418" s="8" t="str">
        <f>IF(AF418="","",VLOOKUP(AF418,引用表合并!$A:$B,2,FALSE))</f>
        <v/>
      </c>
      <c r="AF418" s="8"/>
      <c r="AG418" s="8"/>
      <c r="AI418" s="8" t="str">
        <f>IF(AJ418="","",VLOOKUP(AJ418,引用表合并!$A:$B,2,FALSE))</f>
        <v/>
      </c>
      <c r="AJ418" s="8"/>
      <c r="AK418" s="8"/>
      <c r="AM418" s="8" t="str">
        <f>IF(AN418="","",VLOOKUP(AN418,引用表合并!$A:$B,2,FALSE))</f>
        <v/>
      </c>
      <c r="AN418" s="8"/>
      <c r="AO418" s="8"/>
      <c r="AQ418" s="8" t="str">
        <f>IF(AR418="","",VLOOKUP(AR418,引用表合并!$A:$B,2,FALSE))</f>
        <v/>
      </c>
      <c r="AR418" s="8"/>
      <c r="AS418" s="8"/>
      <c r="AU418" s="8" t="str">
        <f>IF(AV418="","",VLOOKUP(AV418,引用表合并!$A:$B,2,FALSE))</f>
        <v/>
      </c>
      <c r="AV418" s="8"/>
      <c r="AW418" s="8"/>
      <c r="AY418" s="8" t="str">
        <f>IF(AZ418="","",VLOOKUP(AZ418,引用表合并!$A:$B,2,FALSE))</f>
        <v/>
      </c>
      <c r="AZ418" s="8"/>
      <c r="BA418" s="8"/>
      <c r="BC418" s="8" t="str">
        <f>IF(BD418="","",VLOOKUP(BD418,引用表合并!$A:$B,2,FALSE))</f>
        <v/>
      </c>
      <c r="BD418" s="8"/>
      <c r="BF418" s="10"/>
      <c r="BG418" s="8" t="str">
        <f>IF(BH418="","",VLOOKUP(BH418,引用表合并!$A:$B,2,FALSE))</f>
        <v/>
      </c>
      <c r="BH418" s="8"/>
      <c r="BJ418" s="10"/>
      <c r="BK418" s="8" t="str">
        <f>IF(BL418="","",VLOOKUP(BL418,引用表合并!$A:$B,2,FALSE))</f>
        <v/>
      </c>
      <c r="BL418" s="8"/>
      <c r="BN418" s="10"/>
    </row>
    <row r="419" spans="1:66" x14ac:dyDescent="0.15">
      <c r="A419" s="8">
        <v>901056</v>
      </c>
      <c r="B419" s="18" t="str">
        <f>"任务:"&amp;VLOOKUP(A419,CHOOSE({1,2},[4]任务经验掉落配置表!$X$3:$X$173,[4]任务经验掉落配置表!$D$3:$D$173),2,FALSE)</f>
        <v>任务:远渡重洋</v>
      </c>
      <c r="C419" s="8">
        <v>0</v>
      </c>
      <c r="D419" s="8">
        <f t="shared" si="66"/>
        <v>0</v>
      </c>
      <c r="E419" s="16">
        <f t="shared" si="67"/>
        <v>0</v>
      </c>
      <c r="F419" s="16">
        <f t="shared" si="65"/>
        <v>0</v>
      </c>
      <c r="G419" s="8" t="str">
        <f>IF(H419="","",VLOOKUP(H419,引用表合并!$A:$B,2,FALSE))</f>
        <v/>
      </c>
      <c r="K419" s="8" t="str">
        <f>IF(L419="","",VLOOKUP(L419,引用表合并!$A:$B,2,FALSE))</f>
        <v/>
      </c>
      <c r="L419" s="8"/>
      <c r="M419" s="8"/>
      <c r="O419" s="8" t="str">
        <f>IF(P419="","",VLOOKUP(P419,引用表合并!$A:$B,2,FALSE))</f>
        <v/>
      </c>
      <c r="P419" s="8"/>
      <c r="Q419" s="8"/>
      <c r="S419" s="8" t="str">
        <f>IF(T419="","",VLOOKUP(T419,引用表合并!$A:$B,2,FALSE))</f>
        <v/>
      </c>
      <c r="T419" s="8"/>
      <c r="U419" s="8"/>
      <c r="W419" s="8" t="str">
        <f>IF(X419="","",VLOOKUP(X419,引用表合并!$A:$B,2,FALSE))</f>
        <v/>
      </c>
      <c r="X419" s="8"/>
      <c r="Y419" s="8"/>
      <c r="AA419" s="8" t="str">
        <f>IF(AB419="","",VLOOKUP(AB419,引用表合并!$A:$B,2,FALSE))</f>
        <v/>
      </c>
      <c r="AB419" s="8"/>
      <c r="AC419" s="8"/>
      <c r="AE419" s="8" t="str">
        <f>IF(AF419="","",VLOOKUP(AF419,引用表合并!$A:$B,2,FALSE))</f>
        <v/>
      </c>
      <c r="AF419" s="8"/>
      <c r="AG419" s="8"/>
      <c r="AI419" s="8" t="str">
        <f>IF(AJ419="","",VLOOKUP(AJ419,引用表合并!$A:$B,2,FALSE))</f>
        <v/>
      </c>
      <c r="AJ419" s="8"/>
      <c r="AK419" s="8"/>
      <c r="AM419" s="8" t="str">
        <f>IF(AN419="","",VLOOKUP(AN419,引用表合并!$A:$B,2,FALSE))</f>
        <v/>
      </c>
      <c r="AN419" s="8"/>
      <c r="AO419" s="8"/>
      <c r="AQ419" s="8" t="str">
        <f>IF(AR419="","",VLOOKUP(AR419,引用表合并!$A:$B,2,FALSE))</f>
        <v/>
      </c>
      <c r="AR419" s="8"/>
      <c r="AS419" s="8"/>
      <c r="AU419" s="8" t="str">
        <f>IF(AV419="","",VLOOKUP(AV419,引用表合并!$A:$B,2,FALSE))</f>
        <v/>
      </c>
      <c r="AV419" s="8"/>
      <c r="AW419" s="8"/>
      <c r="AY419" s="8" t="str">
        <f>IF(AZ419="","",VLOOKUP(AZ419,引用表合并!$A:$B,2,FALSE))</f>
        <v/>
      </c>
      <c r="AZ419" s="8"/>
      <c r="BA419" s="8"/>
      <c r="BC419" s="8" t="str">
        <f>IF(BD419="","",VLOOKUP(BD419,引用表合并!$A:$B,2,FALSE))</f>
        <v/>
      </c>
      <c r="BD419" s="8"/>
      <c r="BF419" s="10"/>
      <c r="BG419" s="8" t="str">
        <f>IF(BH419="","",VLOOKUP(BH419,引用表合并!$A:$B,2,FALSE))</f>
        <v/>
      </c>
      <c r="BH419" s="8"/>
      <c r="BJ419" s="10"/>
      <c r="BK419" s="8" t="str">
        <f>IF(BL419="","",VLOOKUP(BL419,引用表合并!$A:$B,2,FALSE))</f>
        <v/>
      </c>
      <c r="BL419" s="8"/>
      <c r="BN419" s="10"/>
    </row>
    <row r="420" spans="1:66" x14ac:dyDescent="0.15">
      <c r="A420" s="8">
        <v>901057</v>
      </c>
      <c r="B420" s="18" t="str">
        <f>"任务:"&amp;VLOOKUP(A420,CHOOSE({1,2},[4]任务经验掉落配置表!$X$3:$X$173,[4]任务经验掉落配置表!$D$3:$D$173),2,FALSE)</f>
        <v>任务:神秘访客</v>
      </c>
      <c r="C420" s="8">
        <v>0</v>
      </c>
      <c r="D420" s="8">
        <f t="shared" si="66"/>
        <v>0</v>
      </c>
      <c r="E420" s="16">
        <f t="shared" si="67"/>
        <v>0</v>
      </c>
      <c r="F420" s="16">
        <f t="shared" ref="F420:F483" si="68">E420</f>
        <v>0</v>
      </c>
      <c r="G420" s="8" t="str">
        <f>IF(H420="","",VLOOKUP(H420,引用表合并!$A:$B,2,FALSE))</f>
        <v/>
      </c>
      <c r="K420" s="8" t="str">
        <f>IF(L420="","",VLOOKUP(L420,引用表合并!$A:$B,2,FALSE))</f>
        <v/>
      </c>
      <c r="L420" s="8"/>
      <c r="M420" s="8"/>
      <c r="O420" s="8" t="str">
        <f>IF(P420="","",VLOOKUP(P420,引用表合并!$A:$B,2,FALSE))</f>
        <v/>
      </c>
      <c r="P420" s="8"/>
      <c r="Q420" s="8"/>
      <c r="S420" s="8" t="str">
        <f>IF(T420="","",VLOOKUP(T420,引用表合并!$A:$B,2,FALSE))</f>
        <v/>
      </c>
      <c r="T420" s="8"/>
      <c r="U420" s="8"/>
      <c r="W420" s="8" t="str">
        <f>IF(X420="","",VLOOKUP(X420,引用表合并!$A:$B,2,FALSE))</f>
        <v/>
      </c>
      <c r="X420" s="8"/>
      <c r="Y420" s="8"/>
      <c r="AA420" s="8" t="str">
        <f>IF(AB420="","",VLOOKUP(AB420,引用表合并!$A:$B,2,FALSE))</f>
        <v/>
      </c>
      <c r="AB420" s="8"/>
      <c r="AC420" s="8"/>
      <c r="AE420" s="8" t="str">
        <f>IF(AF420="","",VLOOKUP(AF420,引用表合并!$A:$B,2,FALSE))</f>
        <v/>
      </c>
      <c r="AF420" s="8"/>
      <c r="AG420" s="8"/>
      <c r="AI420" s="8" t="str">
        <f>IF(AJ420="","",VLOOKUP(AJ420,引用表合并!$A:$B,2,FALSE))</f>
        <v/>
      </c>
      <c r="AJ420" s="8"/>
      <c r="AK420" s="8"/>
      <c r="AM420" s="8" t="str">
        <f>IF(AN420="","",VLOOKUP(AN420,引用表合并!$A:$B,2,FALSE))</f>
        <v/>
      </c>
      <c r="AN420" s="8"/>
      <c r="AO420" s="8"/>
      <c r="AQ420" s="8" t="str">
        <f>IF(AR420="","",VLOOKUP(AR420,引用表合并!$A:$B,2,FALSE))</f>
        <v/>
      </c>
      <c r="AR420" s="8"/>
      <c r="AS420" s="8"/>
      <c r="AU420" s="8" t="str">
        <f>IF(AV420="","",VLOOKUP(AV420,引用表合并!$A:$B,2,FALSE))</f>
        <v/>
      </c>
      <c r="AV420" s="8"/>
      <c r="AW420" s="8"/>
      <c r="AY420" s="8" t="str">
        <f>IF(AZ420="","",VLOOKUP(AZ420,引用表合并!$A:$B,2,FALSE))</f>
        <v/>
      </c>
      <c r="AZ420" s="8"/>
      <c r="BA420" s="8"/>
      <c r="BC420" s="8" t="str">
        <f>IF(BD420="","",VLOOKUP(BD420,引用表合并!$A:$B,2,FALSE))</f>
        <v/>
      </c>
      <c r="BD420" s="8"/>
      <c r="BF420" s="10"/>
      <c r="BG420" s="8" t="str">
        <f>IF(BH420="","",VLOOKUP(BH420,引用表合并!$A:$B,2,FALSE))</f>
        <v/>
      </c>
      <c r="BH420" s="8"/>
      <c r="BJ420" s="10"/>
      <c r="BK420" s="8" t="str">
        <f>IF(BL420="","",VLOOKUP(BL420,引用表合并!$A:$B,2,FALSE))</f>
        <v/>
      </c>
      <c r="BL420" s="8"/>
      <c r="BN420" s="10"/>
    </row>
    <row r="421" spans="1:66" x14ac:dyDescent="0.15">
      <c r="A421" s="8">
        <v>901058</v>
      </c>
      <c r="B421" s="18" t="str">
        <f>"任务:"&amp;VLOOKUP(A421,CHOOSE({1,2},[4]任务经验掉落配置表!$X$3:$X$173,[4]任务经验掉落配置表!$D$3:$D$173),2,FALSE)</f>
        <v>任务:阴谋</v>
      </c>
      <c r="C421" s="8">
        <v>0</v>
      </c>
      <c r="D421" s="8">
        <f t="shared" si="66"/>
        <v>0</v>
      </c>
      <c r="E421" s="16">
        <f t="shared" si="67"/>
        <v>0</v>
      </c>
      <c r="F421" s="16">
        <f t="shared" si="68"/>
        <v>0</v>
      </c>
      <c r="G421" s="8" t="str">
        <f>IF(H421="","",VLOOKUP(H421,引用表合并!$A:$B,2,FALSE))</f>
        <v/>
      </c>
      <c r="K421" s="8" t="str">
        <f>IF(L421="","",VLOOKUP(L421,引用表合并!$A:$B,2,FALSE))</f>
        <v/>
      </c>
      <c r="L421" s="8"/>
      <c r="M421" s="8"/>
      <c r="O421" s="8" t="str">
        <f>IF(P421="","",VLOOKUP(P421,引用表合并!$A:$B,2,FALSE))</f>
        <v/>
      </c>
      <c r="P421" s="8"/>
      <c r="Q421" s="8"/>
      <c r="S421" s="8" t="str">
        <f>IF(T421="","",VLOOKUP(T421,引用表合并!$A:$B,2,FALSE))</f>
        <v/>
      </c>
      <c r="T421" s="8"/>
      <c r="U421" s="8"/>
      <c r="W421" s="8" t="str">
        <f>IF(X421="","",VLOOKUP(X421,引用表合并!$A:$B,2,FALSE))</f>
        <v/>
      </c>
      <c r="X421" s="8"/>
      <c r="Y421" s="8"/>
      <c r="AA421" s="8" t="str">
        <f>IF(AB421="","",VLOOKUP(AB421,引用表合并!$A:$B,2,FALSE))</f>
        <v/>
      </c>
      <c r="AB421" s="8"/>
      <c r="AC421" s="8"/>
      <c r="AE421" s="8" t="str">
        <f>IF(AF421="","",VLOOKUP(AF421,引用表合并!$A:$B,2,FALSE))</f>
        <v/>
      </c>
      <c r="AF421" s="8"/>
      <c r="AG421" s="8"/>
      <c r="AI421" s="8" t="str">
        <f>IF(AJ421="","",VLOOKUP(AJ421,引用表合并!$A:$B,2,FALSE))</f>
        <v/>
      </c>
      <c r="AJ421" s="8"/>
      <c r="AK421" s="8"/>
      <c r="AM421" s="8" t="str">
        <f>IF(AN421="","",VLOOKUP(AN421,引用表合并!$A:$B,2,FALSE))</f>
        <v/>
      </c>
      <c r="AN421" s="8"/>
      <c r="AO421" s="8"/>
      <c r="AQ421" s="8" t="str">
        <f>IF(AR421="","",VLOOKUP(AR421,引用表合并!$A:$B,2,FALSE))</f>
        <v/>
      </c>
      <c r="AR421" s="8"/>
      <c r="AS421" s="8"/>
      <c r="AU421" s="8" t="str">
        <f>IF(AV421="","",VLOOKUP(AV421,引用表合并!$A:$B,2,FALSE))</f>
        <v/>
      </c>
      <c r="AV421" s="8"/>
      <c r="AW421" s="8"/>
      <c r="AY421" s="8" t="str">
        <f>IF(AZ421="","",VLOOKUP(AZ421,引用表合并!$A:$B,2,FALSE))</f>
        <v/>
      </c>
      <c r="AZ421" s="8"/>
      <c r="BA421" s="8"/>
      <c r="BC421" s="8" t="str">
        <f>IF(BD421="","",VLOOKUP(BD421,引用表合并!$A:$B,2,FALSE))</f>
        <v/>
      </c>
      <c r="BD421" s="8"/>
      <c r="BF421" s="10"/>
      <c r="BG421" s="8" t="str">
        <f>IF(BH421="","",VLOOKUP(BH421,引用表合并!$A:$B,2,FALSE))</f>
        <v/>
      </c>
      <c r="BH421" s="8"/>
      <c r="BJ421" s="10"/>
      <c r="BK421" s="8" t="str">
        <f>IF(BL421="","",VLOOKUP(BL421,引用表合并!$A:$B,2,FALSE))</f>
        <v/>
      </c>
      <c r="BL421" s="8"/>
      <c r="BN421" s="10"/>
    </row>
    <row r="422" spans="1:66" x14ac:dyDescent="0.15">
      <c r="A422" s="8">
        <v>901059</v>
      </c>
      <c r="B422" s="18" t="str">
        <f>"任务:"&amp;VLOOKUP(A422,CHOOSE({1,2},[4]任务经验掉落配置表!$X$3:$X$173,[4]任务经验掉落配置表!$D$3:$D$173),2,FALSE)</f>
        <v>任务:协力合作</v>
      </c>
      <c r="C422" s="8">
        <v>0</v>
      </c>
      <c r="D422" s="8">
        <f t="shared" si="66"/>
        <v>0</v>
      </c>
      <c r="E422" s="16">
        <f t="shared" si="67"/>
        <v>0</v>
      </c>
      <c r="F422" s="16">
        <f t="shared" si="68"/>
        <v>0</v>
      </c>
      <c r="G422" s="8" t="str">
        <f>IF(H422="","",VLOOKUP(H422,引用表合并!$A:$B,2,FALSE))</f>
        <v/>
      </c>
      <c r="K422" s="8" t="str">
        <f>IF(L422="","",VLOOKUP(L422,引用表合并!$A:$B,2,FALSE))</f>
        <v/>
      </c>
      <c r="L422" s="8"/>
      <c r="M422" s="8"/>
      <c r="O422" s="8" t="str">
        <f>IF(P422="","",VLOOKUP(P422,引用表合并!$A:$B,2,FALSE))</f>
        <v/>
      </c>
      <c r="P422" s="8"/>
      <c r="Q422" s="8"/>
      <c r="S422" s="8" t="str">
        <f>IF(T422="","",VLOOKUP(T422,引用表合并!$A:$B,2,FALSE))</f>
        <v/>
      </c>
      <c r="T422" s="8"/>
      <c r="U422" s="8"/>
      <c r="W422" s="8" t="str">
        <f>IF(X422="","",VLOOKUP(X422,引用表合并!$A:$B,2,FALSE))</f>
        <v/>
      </c>
      <c r="X422" s="8"/>
      <c r="Y422" s="8"/>
      <c r="AA422" s="8" t="str">
        <f>IF(AB422="","",VLOOKUP(AB422,引用表合并!$A:$B,2,FALSE))</f>
        <v/>
      </c>
      <c r="AB422" s="8"/>
      <c r="AC422" s="8"/>
      <c r="AE422" s="8" t="str">
        <f>IF(AF422="","",VLOOKUP(AF422,引用表合并!$A:$B,2,FALSE))</f>
        <v/>
      </c>
      <c r="AF422" s="8"/>
      <c r="AG422" s="8"/>
      <c r="AI422" s="8" t="str">
        <f>IF(AJ422="","",VLOOKUP(AJ422,引用表合并!$A:$B,2,FALSE))</f>
        <v/>
      </c>
      <c r="AJ422" s="8"/>
      <c r="AK422" s="8"/>
      <c r="AM422" s="8" t="str">
        <f>IF(AN422="","",VLOOKUP(AN422,引用表合并!$A:$B,2,FALSE))</f>
        <v/>
      </c>
      <c r="AN422" s="8"/>
      <c r="AO422" s="8"/>
      <c r="AQ422" s="8" t="str">
        <f>IF(AR422="","",VLOOKUP(AR422,引用表合并!$A:$B,2,FALSE))</f>
        <v/>
      </c>
      <c r="AR422" s="8"/>
      <c r="AS422" s="8"/>
      <c r="AU422" s="8" t="str">
        <f>IF(AV422="","",VLOOKUP(AV422,引用表合并!$A:$B,2,FALSE))</f>
        <v/>
      </c>
      <c r="AV422" s="8"/>
      <c r="AW422" s="8"/>
      <c r="AY422" s="8" t="str">
        <f>IF(AZ422="","",VLOOKUP(AZ422,引用表合并!$A:$B,2,FALSE))</f>
        <v/>
      </c>
      <c r="AZ422" s="8"/>
      <c r="BA422" s="8"/>
      <c r="BC422" s="8" t="str">
        <f>IF(BD422="","",VLOOKUP(BD422,引用表合并!$A:$B,2,FALSE))</f>
        <v/>
      </c>
      <c r="BD422" s="8"/>
      <c r="BF422" s="10"/>
      <c r="BG422" s="8" t="str">
        <f>IF(BH422="","",VLOOKUP(BH422,引用表合并!$A:$B,2,FALSE))</f>
        <v/>
      </c>
      <c r="BH422" s="8"/>
      <c r="BJ422" s="10"/>
      <c r="BK422" s="8" t="str">
        <f>IF(BL422="","",VLOOKUP(BL422,引用表合并!$A:$B,2,FALSE))</f>
        <v/>
      </c>
      <c r="BL422" s="8"/>
      <c r="BN422" s="10"/>
    </row>
    <row r="423" spans="1:66" x14ac:dyDescent="0.15">
      <c r="A423" s="8">
        <v>901060</v>
      </c>
      <c r="B423" s="18" t="str">
        <f>"任务:"&amp;VLOOKUP(A423,CHOOSE({1,2},[4]任务经验掉落配置表!$X$3:$X$173,[4]任务经验掉落配置表!$D$3:$D$173),2,FALSE)</f>
        <v>任务:突破点</v>
      </c>
      <c r="C423" s="8">
        <v>0</v>
      </c>
      <c r="D423" s="8">
        <f t="shared" si="66"/>
        <v>0</v>
      </c>
      <c r="E423" s="16">
        <f t="shared" si="67"/>
        <v>0</v>
      </c>
      <c r="F423" s="16">
        <f t="shared" si="68"/>
        <v>0</v>
      </c>
      <c r="G423" s="8" t="str">
        <f>IF(H423="","",VLOOKUP(H423,引用表合并!$A:$B,2,FALSE))</f>
        <v/>
      </c>
      <c r="K423" s="8" t="str">
        <f>IF(L423="","",VLOOKUP(L423,引用表合并!$A:$B,2,FALSE))</f>
        <v/>
      </c>
      <c r="L423" s="8"/>
      <c r="M423" s="8"/>
      <c r="O423" s="8" t="str">
        <f>IF(P423="","",VLOOKUP(P423,引用表合并!$A:$B,2,FALSE))</f>
        <v/>
      </c>
      <c r="P423" s="8"/>
      <c r="Q423" s="8"/>
      <c r="S423" s="8" t="str">
        <f>IF(T423="","",VLOOKUP(T423,引用表合并!$A:$B,2,FALSE))</f>
        <v/>
      </c>
      <c r="T423" s="8"/>
      <c r="U423" s="8"/>
      <c r="W423" s="8" t="str">
        <f>IF(X423="","",VLOOKUP(X423,引用表合并!$A:$B,2,FALSE))</f>
        <v/>
      </c>
      <c r="X423" s="8"/>
      <c r="Y423" s="8"/>
      <c r="AA423" s="8" t="str">
        <f>IF(AB423="","",VLOOKUP(AB423,引用表合并!$A:$B,2,FALSE))</f>
        <v/>
      </c>
      <c r="AB423" s="8"/>
      <c r="AC423" s="8"/>
      <c r="AE423" s="8" t="str">
        <f>IF(AF423="","",VLOOKUP(AF423,引用表合并!$A:$B,2,FALSE))</f>
        <v/>
      </c>
      <c r="AF423" s="8"/>
      <c r="AG423" s="8"/>
      <c r="AI423" s="8" t="str">
        <f>IF(AJ423="","",VLOOKUP(AJ423,引用表合并!$A:$B,2,FALSE))</f>
        <v/>
      </c>
      <c r="AJ423" s="8"/>
      <c r="AK423" s="8"/>
      <c r="AM423" s="8" t="str">
        <f>IF(AN423="","",VLOOKUP(AN423,引用表合并!$A:$B,2,FALSE))</f>
        <v/>
      </c>
      <c r="AN423" s="8"/>
      <c r="AO423" s="8"/>
      <c r="AQ423" s="8" t="str">
        <f>IF(AR423="","",VLOOKUP(AR423,引用表合并!$A:$B,2,FALSE))</f>
        <v/>
      </c>
      <c r="AR423" s="8"/>
      <c r="AS423" s="8"/>
      <c r="AU423" s="8" t="str">
        <f>IF(AV423="","",VLOOKUP(AV423,引用表合并!$A:$B,2,FALSE))</f>
        <v/>
      </c>
      <c r="AV423" s="8"/>
      <c r="AW423" s="8"/>
      <c r="AY423" s="8" t="str">
        <f>IF(AZ423="","",VLOOKUP(AZ423,引用表合并!$A:$B,2,FALSE))</f>
        <v/>
      </c>
      <c r="AZ423" s="8"/>
      <c r="BA423" s="8"/>
      <c r="BC423" s="8" t="str">
        <f>IF(BD423="","",VLOOKUP(BD423,引用表合并!$A:$B,2,FALSE))</f>
        <v/>
      </c>
      <c r="BD423" s="8"/>
      <c r="BF423" s="10"/>
      <c r="BG423" s="8" t="str">
        <f>IF(BH423="","",VLOOKUP(BH423,引用表合并!$A:$B,2,FALSE))</f>
        <v/>
      </c>
      <c r="BH423" s="8"/>
      <c r="BJ423" s="10"/>
      <c r="BK423" s="8" t="str">
        <f>IF(BL423="","",VLOOKUP(BL423,引用表合并!$A:$B,2,FALSE))</f>
        <v/>
      </c>
      <c r="BL423" s="8"/>
      <c r="BN423" s="10"/>
    </row>
    <row r="424" spans="1:66" x14ac:dyDescent="0.15">
      <c r="A424" s="8">
        <v>901061</v>
      </c>
      <c r="B424" s="18" t="str">
        <f>"任务:"&amp;VLOOKUP(A424,CHOOSE({1,2},[4]任务经验掉落配置表!$X$3:$X$173,[4]任务经验掉落配置表!$D$3:$D$173),2,FALSE)</f>
        <v>任务:强者之战</v>
      </c>
      <c r="C424" s="8">
        <v>0</v>
      </c>
      <c r="D424" s="8">
        <f t="shared" si="66"/>
        <v>0</v>
      </c>
      <c r="E424" s="16">
        <f t="shared" si="67"/>
        <v>0</v>
      </c>
      <c r="F424" s="16">
        <f t="shared" si="68"/>
        <v>0</v>
      </c>
      <c r="G424" s="8" t="str">
        <f>IF(H424="","",VLOOKUP(H424,引用表合并!$A:$B,2,FALSE))</f>
        <v/>
      </c>
      <c r="K424" s="8" t="str">
        <f>IF(L424="","",VLOOKUP(L424,引用表合并!$A:$B,2,FALSE))</f>
        <v/>
      </c>
      <c r="L424" s="8"/>
      <c r="M424" s="8"/>
      <c r="O424" s="8" t="str">
        <f>IF(P424="","",VLOOKUP(P424,引用表合并!$A:$B,2,FALSE))</f>
        <v/>
      </c>
      <c r="P424" s="8"/>
      <c r="Q424" s="8"/>
      <c r="S424" s="8" t="str">
        <f>IF(T424="","",VLOOKUP(T424,引用表合并!$A:$B,2,FALSE))</f>
        <v/>
      </c>
      <c r="T424" s="8"/>
      <c r="U424" s="8"/>
      <c r="W424" s="8" t="str">
        <f>IF(X424="","",VLOOKUP(X424,引用表合并!$A:$B,2,FALSE))</f>
        <v/>
      </c>
      <c r="X424" s="8"/>
      <c r="Y424" s="8"/>
      <c r="AA424" s="8" t="str">
        <f>IF(AB424="","",VLOOKUP(AB424,引用表合并!$A:$B,2,FALSE))</f>
        <v/>
      </c>
      <c r="AB424" s="8"/>
      <c r="AC424" s="8"/>
      <c r="AE424" s="8" t="str">
        <f>IF(AF424="","",VLOOKUP(AF424,引用表合并!$A:$B,2,FALSE))</f>
        <v/>
      </c>
      <c r="AF424" s="8"/>
      <c r="AG424" s="8"/>
      <c r="AI424" s="8" t="str">
        <f>IF(AJ424="","",VLOOKUP(AJ424,引用表合并!$A:$B,2,FALSE))</f>
        <v/>
      </c>
      <c r="AJ424" s="8"/>
      <c r="AK424" s="8"/>
      <c r="AM424" s="8" t="str">
        <f>IF(AN424="","",VLOOKUP(AN424,引用表合并!$A:$B,2,FALSE))</f>
        <v/>
      </c>
      <c r="AN424" s="8"/>
      <c r="AO424" s="8"/>
      <c r="AQ424" s="8" t="str">
        <f>IF(AR424="","",VLOOKUP(AR424,引用表合并!$A:$B,2,FALSE))</f>
        <v/>
      </c>
      <c r="AR424" s="8"/>
      <c r="AS424" s="8"/>
      <c r="AU424" s="8" t="str">
        <f>IF(AV424="","",VLOOKUP(AV424,引用表合并!$A:$B,2,FALSE))</f>
        <v/>
      </c>
      <c r="AV424" s="8"/>
      <c r="AW424" s="8"/>
      <c r="AY424" s="8" t="str">
        <f>IF(AZ424="","",VLOOKUP(AZ424,引用表合并!$A:$B,2,FALSE))</f>
        <v/>
      </c>
      <c r="AZ424" s="8"/>
      <c r="BA424" s="8"/>
      <c r="BC424" s="8" t="str">
        <f>IF(BD424="","",VLOOKUP(BD424,引用表合并!$A:$B,2,FALSE))</f>
        <v/>
      </c>
      <c r="BD424" s="8"/>
      <c r="BF424" s="10"/>
      <c r="BG424" s="8" t="str">
        <f>IF(BH424="","",VLOOKUP(BH424,引用表合并!$A:$B,2,FALSE))</f>
        <v/>
      </c>
      <c r="BH424" s="8"/>
      <c r="BJ424" s="10"/>
      <c r="BK424" s="8" t="str">
        <f>IF(BL424="","",VLOOKUP(BL424,引用表合并!$A:$B,2,FALSE))</f>
        <v/>
      </c>
      <c r="BL424" s="8"/>
      <c r="BN424" s="10"/>
    </row>
    <row r="425" spans="1:66" x14ac:dyDescent="0.15">
      <c r="A425" s="8">
        <v>901062</v>
      </c>
      <c r="B425" s="18" t="str">
        <f>"任务:"&amp;VLOOKUP(A425,CHOOSE({1,2},[4]任务经验掉落配置表!$X$3:$X$173,[4]任务经验掉落配置表!$D$3:$D$173),2,FALSE)</f>
        <v>任务:阔别重逢</v>
      </c>
      <c r="C425" s="8">
        <v>0</v>
      </c>
      <c r="D425" s="8">
        <f t="shared" si="66"/>
        <v>0</v>
      </c>
      <c r="E425" s="16">
        <f t="shared" si="67"/>
        <v>0</v>
      </c>
      <c r="F425" s="16">
        <f t="shared" si="68"/>
        <v>0</v>
      </c>
      <c r="G425" s="8" t="str">
        <f>IF(H425="","",VLOOKUP(H425,引用表合并!$A:$B,2,FALSE))</f>
        <v/>
      </c>
      <c r="K425" s="8" t="str">
        <f>IF(L425="","",VLOOKUP(L425,引用表合并!$A:$B,2,FALSE))</f>
        <v/>
      </c>
      <c r="L425" s="8"/>
      <c r="M425" s="8"/>
      <c r="O425" s="8" t="str">
        <f>IF(P425="","",VLOOKUP(P425,引用表合并!$A:$B,2,FALSE))</f>
        <v/>
      </c>
      <c r="P425" s="8"/>
      <c r="Q425" s="8"/>
      <c r="S425" s="8" t="str">
        <f>IF(T425="","",VLOOKUP(T425,引用表合并!$A:$B,2,FALSE))</f>
        <v/>
      </c>
      <c r="T425" s="8"/>
      <c r="U425" s="8"/>
      <c r="W425" s="8" t="str">
        <f>IF(X425="","",VLOOKUP(X425,引用表合并!$A:$B,2,FALSE))</f>
        <v/>
      </c>
      <c r="X425" s="8"/>
      <c r="Y425" s="8"/>
      <c r="AA425" s="8" t="str">
        <f>IF(AB425="","",VLOOKUP(AB425,引用表合并!$A:$B,2,FALSE))</f>
        <v/>
      </c>
      <c r="AB425" s="8"/>
      <c r="AC425" s="8"/>
      <c r="AE425" s="8" t="str">
        <f>IF(AF425="","",VLOOKUP(AF425,引用表合并!$A:$B,2,FALSE))</f>
        <v/>
      </c>
      <c r="AF425" s="8"/>
      <c r="AG425" s="8"/>
      <c r="AI425" s="8" t="str">
        <f>IF(AJ425="","",VLOOKUP(AJ425,引用表合并!$A:$B,2,FALSE))</f>
        <v/>
      </c>
      <c r="AJ425" s="8"/>
      <c r="AK425" s="8"/>
      <c r="AM425" s="8" t="str">
        <f>IF(AN425="","",VLOOKUP(AN425,引用表合并!$A:$B,2,FALSE))</f>
        <v/>
      </c>
      <c r="AN425" s="8"/>
      <c r="AO425" s="8"/>
      <c r="AQ425" s="8" t="str">
        <f>IF(AR425="","",VLOOKUP(AR425,引用表合并!$A:$B,2,FALSE))</f>
        <v/>
      </c>
      <c r="AR425" s="8"/>
      <c r="AS425" s="8"/>
      <c r="AU425" s="8" t="str">
        <f>IF(AV425="","",VLOOKUP(AV425,引用表合并!$A:$B,2,FALSE))</f>
        <v/>
      </c>
      <c r="AV425" s="8"/>
      <c r="AW425" s="8"/>
      <c r="AY425" s="8" t="str">
        <f>IF(AZ425="","",VLOOKUP(AZ425,引用表合并!$A:$B,2,FALSE))</f>
        <v/>
      </c>
      <c r="AZ425" s="8"/>
      <c r="BA425" s="8"/>
      <c r="BC425" s="8" t="str">
        <f>IF(BD425="","",VLOOKUP(BD425,引用表合并!$A:$B,2,FALSE))</f>
        <v/>
      </c>
      <c r="BD425" s="8"/>
      <c r="BF425" s="10"/>
      <c r="BG425" s="8" t="str">
        <f>IF(BH425="","",VLOOKUP(BH425,引用表合并!$A:$B,2,FALSE))</f>
        <v/>
      </c>
      <c r="BH425" s="8"/>
      <c r="BJ425" s="10"/>
      <c r="BK425" s="8" t="str">
        <f>IF(BL425="","",VLOOKUP(BL425,引用表合并!$A:$B,2,FALSE))</f>
        <v/>
      </c>
      <c r="BL425" s="8"/>
      <c r="BN425" s="10"/>
    </row>
    <row r="426" spans="1:66" x14ac:dyDescent="0.15">
      <c r="A426" s="8">
        <v>901063</v>
      </c>
      <c r="B426" s="18" t="str">
        <f>"任务:"&amp;VLOOKUP(A426,CHOOSE({1,2},[4]任务经验掉落配置表!$X$3:$X$173,[4]任务经验掉落配置表!$D$3:$D$173),2,FALSE)</f>
        <v>任务:风暴前夕</v>
      </c>
      <c r="C426" s="8">
        <v>0</v>
      </c>
      <c r="D426" s="8">
        <f t="shared" si="66"/>
        <v>0</v>
      </c>
      <c r="E426" s="16">
        <f t="shared" si="67"/>
        <v>0</v>
      </c>
      <c r="F426" s="16">
        <f t="shared" si="68"/>
        <v>0</v>
      </c>
      <c r="G426" s="8" t="str">
        <f>IF(H426="","",VLOOKUP(H426,引用表合并!$A:$B,2,FALSE))</f>
        <v/>
      </c>
      <c r="K426" s="8" t="str">
        <f>IF(L426="","",VLOOKUP(L426,引用表合并!$A:$B,2,FALSE))</f>
        <v/>
      </c>
      <c r="L426" s="8"/>
      <c r="M426" s="8"/>
      <c r="O426" s="8" t="str">
        <f>IF(P426="","",VLOOKUP(P426,引用表合并!$A:$B,2,FALSE))</f>
        <v/>
      </c>
      <c r="P426" s="8"/>
      <c r="Q426" s="8"/>
      <c r="S426" s="8" t="str">
        <f>IF(T426="","",VLOOKUP(T426,引用表合并!$A:$B,2,FALSE))</f>
        <v/>
      </c>
      <c r="T426" s="8"/>
      <c r="U426" s="8"/>
      <c r="W426" s="8" t="str">
        <f>IF(X426="","",VLOOKUP(X426,引用表合并!$A:$B,2,FALSE))</f>
        <v/>
      </c>
      <c r="X426" s="8"/>
      <c r="Y426" s="8"/>
      <c r="AA426" s="8" t="str">
        <f>IF(AB426="","",VLOOKUP(AB426,引用表合并!$A:$B,2,FALSE))</f>
        <v/>
      </c>
      <c r="AB426" s="8"/>
      <c r="AC426" s="8"/>
      <c r="AE426" s="8" t="str">
        <f>IF(AF426="","",VLOOKUP(AF426,引用表合并!$A:$B,2,FALSE))</f>
        <v/>
      </c>
      <c r="AF426" s="8"/>
      <c r="AG426" s="8"/>
      <c r="AI426" s="8" t="str">
        <f>IF(AJ426="","",VLOOKUP(AJ426,引用表合并!$A:$B,2,FALSE))</f>
        <v/>
      </c>
      <c r="AJ426" s="8"/>
      <c r="AK426" s="8"/>
      <c r="AM426" s="8" t="str">
        <f>IF(AN426="","",VLOOKUP(AN426,引用表合并!$A:$B,2,FALSE))</f>
        <v/>
      </c>
      <c r="AN426" s="8"/>
      <c r="AO426" s="8"/>
      <c r="AQ426" s="8" t="str">
        <f>IF(AR426="","",VLOOKUP(AR426,引用表合并!$A:$B,2,FALSE))</f>
        <v/>
      </c>
      <c r="AR426" s="8"/>
      <c r="AS426" s="8"/>
      <c r="AU426" s="8" t="str">
        <f>IF(AV426="","",VLOOKUP(AV426,引用表合并!$A:$B,2,FALSE))</f>
        <v/>
      </c>
      <c r="AV426" s="8"/>
      <c r="AW426" s="8"/>
      <c r="AY426" s="8" t="str">
        <f>IF(AZ426="","",VLOOKUP(AZ426,引用表合并!$A:$B,2,FALSE))</f>
        <v/>
      </c>
      <c r="AZ426" s="8"/>
      <c r="BA426" s="8"/>
      <c r="BC426" s="8" t="str">
        <f>IF(BD426="","",VLOOKUP(BD426,引用表合并!$A:$B,2,FALSE))</f>
        <v/>
      </c>
      <c r="BD426" s="8"/>
      <c r="BF426" s="10"/>
      <c r="BG426" s="8" t="str">
        <f>IF(BH426="","",VLOOKUP(BH426,引用表合并!$A:$B,2,FALSE))</f>
        <v/>
      </c>
      <c r="BH426" s="8"/>
      <c r="BJ426" s="10"/>
      <c r="BK426" s="8" t="str">
        <f>IF(BL426="","",VLOOKUP(BL426,引用表合并!$A:$B,2,FALSE))</f>
        <v/>
      </c>
      <c r="BL426" s="8"/>
      <c r="BN426" s="10"/>
    </row>
    <row r="427" spans="1:66" x14ac:dyDescent="0.15">
      <c r="A427" s="8">
        <v>901064</v>
      </c>
      <c r="B427" s="18" t="str">
        <f>"任务:"&amp;VLOOKUP(A427,CHOOSE({1,2},[4]任务经验掉落配置表!$X$3:$X$173,[4]任务经验掉落配置表!$D$3:$D$173),2,FALSE)</f>
        <v>任务:讨伐</v>
      </c>
      <c r="C427" s="8">
        <v>0</v>
      </c>
      <c r="D427" s="8">
        <f t="shared" si="66"/>
        <v>0</v>
      </c>
      <c r="E427" s="16">
        <f t="shared" si="67"/>
        <v>0</v>
      </c>
      <c r="F427" s="16">
        <f t="shared" si="68"/>
        <v>0</v>
      </c>
      <c r="G427" s="8" t="str">
        <f>IF(H427="","",VLOOKUP(H427,引用表合并!$A:$B,2,FALSE))</f>
        <v/>
      </c>
      <c r="K427" s="8" t="str">
        <f>IF(L427="","",VLOOKUP(L427,引用表合并!$A:$B,2,FALSE))</f>
        <v/>
      </c>
      <c r="L427" s="8"/>
      <c r="M427" s="8"/>
      <c r="O427" s="8" t="str">
        <f>IF(P427="","",VLOOKUP(P427,引用表合并!$A:$B,2,FALSE))</f>
        <v/>
      </c>
      <c r="P427" s="8"/>
      <c r="Q427" s="8"/>
      <c r="S427" s="8" t="str">
        <f>IF(T427="","",VLOOKUP(T427,引用表合并!$A:$B,2,FALSE))</f>
        <v/>
      </c>
      <c r="T427" s="8"/>
      <c r="U427" s="8"/>
      <c r="W427" s="8" t="str">
        <f>IF(X427="","",VLOOKUP(X427,引用表合并!$A:$B,2,FALSE))</f>
        <v/>
      </c>
      <c r="X427" s="8"/>
      <c r="Y427" s="8"/>
      <c r="AA427" s="8" t="str">
        <f>IF(AB427="","",VLOOKUP(AB427,引用表合并!$A:$B,2,FALSE))</f>
        <v/>
      </c>
      <c r="AB427" s="8"/>
      <c r="AC427" s="8"/>
      <c r="AE427" s="8" t="str">
        <f>IF(AF427="","",VLOOKUP(AF427,引用表合并!$A:$B,2,FALSE))</f>
        <v/>
      </c>
      <c r="AF427" s="8"/>
      <c r="AG427" s="8"/>
      <c r="AI427" s="8" t="str">
        <f>IF(AJ427="","",VLOOKUP(AJ427,引用表合并!$A:$B,2,FALSE))</f>
        <v/>
      </c>
      <c r="AJ427" s="8"/>
      <c r="AK427" s="8"/>
      <c r="AM427" s="8" t="str">
        <f>IF(AN427="","",VLOOKUP(AN427,引用表合并!$A:$B,2,FALSE))</f>
        <v/>
      </c>
      <c r="AN427" s="8"/>
      <c r="AO427" s="8"/>
      <c r="AQ427" s="8" t="str">
        <f>IF(AR427="","",VLOOKUP(AR427,引用表合并!$A:$B,2,FALSE))</f>
        <v/>
      </c>
      <c r="AR427" s="8"/>
      <c r="AS427" s="8"/>
      <c r="AU427" s="8" t="str">
        <f>IF(AV427="","",VLOOKUP(AV427,引用表合并!$A:$B,2,FALSE))</f>
        <v/>
      </c>
      <c r="AV427" s="8"/>
      <c r="AW427" s="8"/>
      <c r="AY427" s="8" t="str">
        <f>IF(AZ427="","",VLOOKUP(AZ427,引用表合并!$A:$B,2,FALSE))</f>
        <v/>
      </c>
      <c r="AZ427" s="8"/>
      <c r="BA427" s="8"/>
      <c r="BC427" s="8" t="str">
        <f>IF(BD427="","",VLOOKUP(BD427,引用表合并!$A:$B,2,FALSE))</f>
        <v/>
      </c>
      <c r="BD427" s="8"/>
      <c r="BF427" s="10"/>
      <c r="BG427" s="8" t="str">
        <f>IF(BH427="","",VLOOKUP(BH427,引用表合并!$A:$B,2,FALSE))</f>
        <v/>
      </c>
      <c r="BH427" s="8"/>
      <c r="BJ427" s="10"/>
      <c r="BK427" s="8" t="str">
        <f>IF(BL427="","",VLOOKUP(BL427,引用表合并!$A:$B,2,FALSE))</f>
        <v/>
      </c>
      <c r="BL427" s="8"/>
      <c r="BN427" s="10"/>
    </row>
    <row r="428" spans="1:66" x14ac:dyDescent="0.15">
      <c r="A428" s="8">
        <v>901065</v>
      </c>
      <c r="B428" s="18" t="str">
        <f>"任务:"&amp;VLOOKUP(A428,CHOOSE({1,2},[4]任务经验掉落配置表!$X$3:$X$173,[4]任务经验掉落配置表!$D$3:$D$173),2,FALSE)</f>
        <v>任务:僵局</v>
      </c>
      <c r="C428" s="8">
        <v>0</v>
      </c>
      <c r="D428" s="8">
        <f t="shared" si="66"/>
        <v>0</v>
      </c>
      <c r="E428" s="16">
        <f t="shared" si="67"/>
        <v>0</v>
      </c>
      <c r="F428" s="16">
        <f t="shared" si="68"/>
        <v>0</v>
      </c>
      <c r="G428" s="8" t="str">
        <f>IF(H428="","",VLOOKUP(H428,引用表合并!$A:$B,2,FALSE))</f>
        <v/>
      </c>
      <c r="K428" s="8" t="str">
        <f>IF(L428="","",VLOOKUP(L428,引用表合并!$A:$B,2,FALSE))</f>
        <v/>
      </c>
      <c r="L428" s="8"/>
      <c r="M428" s="8"/>
      <c r="O428" s="8" t="str">
        <f>IF(P428="","",VLOOKUP(P428,引用表合并!$A:$B,2,FALSE))</f>
        <v/>
      </c>
      <c r="P428" s="8"/>
      <c r="Q428" s="8"/>
      <c r="S428" s="8" t="str">
        <f>IF(T428="","",VLOOKUP(T428,引用表合并!$A:$B,2,FALSE))</f>
        <v/>
      </c>
      <c r="T428" s="8"/>
      <c r="U428" s="8"/>
      <c r="W428" s="8" t="str">
        <f>IF(X428="","",VLOOKUP(X428,引用表合并!$A:$B,2,FALSE))</f>
        <v/>
      </c>
      <c r="X428" s="8"/>
      <c r="Y428" s="8"/>
      <c r="AA428" s="8" t="str">
        <f>IF(AB428="","",VLOOKUP(AB428,引用表合并!$A:$B,2,FALSE))</f>
        <v/>
      </c>
      <c r="AB428" s="8"/>
      <c r="AC428" s="8"/>
      <c r="AE428" s="8" t="str">
        <f>IF(AF428="","",VLOOKUP(AF428,引用表合并!$A:$B,2,FALSE))</f>
        <v/>
      </c>
      <c r="AF428" s="8"/>
      <c r="AG428" s="8"/>
      <c r="AI428" s="8" t="str">
        <f>IF(AJ428="","",VLOOKUP(AJ428,引用表合并!$A:$B,2,FALSE))</f>
        <v/>
      </c>
      <c r="AJ428" s="8"/>
      <c r="AK428" s="8"/>
      <c r="AM428" s="8" t="str">
        <f>IF(AN428="","",VLOOKUP(AN428,引用表合并!$A:$B,2,FALSE))</f>
        <v/>
      </c>
      <c r="AN428" s="8"/>
      <c r="AO428" s="8"/>
      <c r="AQ428" s="8" t="str">
        <f>IF(AR428="","",VLOOKUP(AR428,引用表合并!$A:$B,2,FALSE))</f>
        <v/>
      </c>
      <c r="AR428" s="8"/>
      <c r="AS428" s="8"/>
      <c r="AU428" s="8" t="str">
        <f>IF(AV428="","",VLOOKUP(AV428,引用表合并!$A:$B,2,FALSE))</f>
        <v/>
      </c>
      <c r="AV428" s="8"/>
      <c r="AW428" s="8"/>
      <c r="AY428" s="8" t="str">
        <f>IF(AZ428="","",VLOOKUP(AZ428,引用表合并!$A:$B,2,FALSE))</f>
        <v/>
      </c>
      <c r="AZ428" s="8"/>
      <c r="BA428" s="8"/>
      <c r="BC428" s="8" t="str">
        <f>IF(BD428="","",VLOOKUP(BD428,引用表合并!$A:$B,2,FALSE))</f>
        <v/>
      </c>
      <c r="BD428" s="8"/>
      <c r="BF428" s="10"/>
      <c r="BG428" s="8" t="str">
        <f>IF(BH428="","",VLOOKUP(BH428,引用表合并!$A:$B,2,FALSE))</f>
        <v/>
      </c>
      <c r="BH428" s="8"/>
      <c r="BJ428" s="10"/>
      <c r="BK428" s="8" t="str">
        <f>IF(BL428="","",VLOOKUP(BL428,引用表合并!$A:$B,2,FALSE))</f>
        <v/>
      </c>
      <c r="BL428" s="8"/>
      <c r="BN428" s="10"/>
    </row>
    <row r="429" spans="1:66" x14ac:dyDescent="0.15">
      <c r="A429" s="8">
        <v>901066</v>
      </c>
      <c r="B429" s="18" t="str">
        <f>"任务:"&amp;VLOOKUP(A429,CHOOSE({1,2},[4]任务经验掉落配置表!$X$3:$X$173,[4]任务经验掉落配置表!$D$3:$D$173),2,FALSE)</f>
        <v>任务:深入虎穴</v>
      </c>
      <c r="C429" s="8">
        <v>0</v>
      </c>
      <c r="D429" s="8">
        <f t="shared" si="66"/>
        <v>0</v>
      </c>
      <c r="E429" s="16">
        <f t="shared" si="67"/>
        <v>0</v>
      </c>
      <c r="F429" s="16">
        <f t="shared" si="68"/>
        <v>0</v>
      </c>
      <c r="G429" s="8" t="str">
        <f>IF(H429="","",VLOOKUP(H429,引用表合并!$A:$B,2,FALSE))</f>
        <v/>
      </c>
      <c r="K429" s="8" t="str">
        <f>IF(L429="","",VLOOKUP(L429,引用表合并!$A:$B,2,FALSE))</f>
        <v/>
      </c>
      <c r="L429" s="8"/>
      <c r="M429" s="8"/>
      <c r="O429" s="8" t="str">
        <f>IF(P429="","",VLOOKUP(P429,引用表合并!$A:$B,2,FALSE))</f>
        <v/>
      </c>
      <c r="P429" s="8"/>
      <c r="Q429" s="8"/>
      <c r="S429" s="8" t="str">
        <f>IF(T429="","",VLOOKUP(T429,引用表合并!$A:$B,2,FALSE))</f>
        <v/>
      </c>
      <c r="T429" s="8"/>
      <c r="U429" s="8"/>
      <c r="W429" s="8" t="str">
        <f>IF(X429="","",VLOOKUP(X429,引用表合并!$A:$B,2,FALSE))</f>
        <v/>
      </c>
      <c r="X429" s="8"/>
      <c r="Y429" s="8"/>
      <c r="AA429" s="8" t="str">
        <f>IF(AB429="","",VLOOKUP(AB429,引用表合并!$A:$B,2,FALSE))</f>
        <v/>
      </c>
      <c r="AB429" s="8"/>
      <c r="AC429" s="8"/>
      <c r="AE429" s="8" t="str">
        <f>IF(AF429="","",VLOOKUP(AF429,引用表合并!$A:$B,2,FALSE))</f>
        <v/>
      </c>
      <c r="AF429" s="8"/>
      <c r="AG429" s="8"/>
      <c r="AI429" s="8" t="str">
        <f>IF(AJ429="","",VLOOKUP(AJ429,引用表合并!$A:$B,2,FALSE))</f>
        <v/>
      </c>
      <c r="AJ429" s="8"/>
      <c r="AK429" s="8"/>
      <c r="AM429" s="8" t="str">
        <f>IF(AN429="","",VLOOKUP(AN429,引用表合并!$A:$B,2,FALSE))</f>
        <v/>
      </c>
      <c r="AN429" s="8"/>
      <c r="AO429" s="8"/>
      <c r="AQ429" s="8" t="str">
        <f>IF(AR429="","",VLOOKUP(AR429,引用表合并!$A:$B,2,FALSE))</f>
        <v/>
      </c>
      <c r="AR429" s="8"/>
      <c r="AS429" s="8"/>
      <c r="AU429" s="8" t="str">
        <f>IF(AV429="","",VLOOKUP(AV429,引用表合并!$A:$B,2,FALSE))</f>
        <v/>
      </c>
      <c r="AV429" s="8"/>
      <c r="AW429" s="8"/>
      <c r="AY429" s="8" t="str">
        <f>IF(AZ429="","",VLOOKUP(AZ429,引用表合并!$A:$B,2,FALSE))</f>
        <v/>
      </c>
      <c r="AZ429" s="8"/>
      <c r="BA429" s="8"/>
      <c r="BC429" s="8" t="str">
        <f>IF(BD429="","",VLOOKUP(BD429,引用表合并!$A:$B,2,FALSE))</f>
        <v/>
      </c>
      <c r="BD429" s="8"/>
      <c r="BF429" s="10"/>
      <c r="BG429" s="8" t="str">
        <f>IF(BH429="","",VLOOKUP(BH429,引用表合并!$A:$B,2,FALSE))</f>
        <v/>
      </c>
      <c r="BH429" s="8"/>
      <c r="BJ429" s="10"/>
      <c r="BK429" s="8" t="str">
        <f>IF(BL429="","",VLOOKUP(BL429,引用表合并!$A:$B,2,FALSE))</f>
        <v/>
      </c>
      <c r="BL429" s="8"/>
      <c r="BN429" s="10"/>
    </row>
    <row r="430" spans="1:66" x14ac:dyDescent="0.15">
      <c r="A430" s="8">
        <v>901067</v>
      </c>
      <c r="B430" s="18" t="str">
        <f>"任务:"&amp;VLOOKUP(A430,CHOOSE({1,2},[4]任务经验掉落配置表!$X$3:$X$173,[4]任务经验掉落配置表!$D$3:$D$173),2,FALSE)</f>
        <v>任务:激战东京1</v>
      </c>
      <c r="C430" s="8">
        <v>0</v>
      </c>
      <c r="D430" s="8">
        <f t="shared" si="66"/>
        <v>0</v>
      </c>
      <c r="E430" s="16">
        <f t="shared" si="67"/>
        <v>0</v>
      </c>
      <c r="F430" s="16">
        <f t="shared" si="68"/>
        <v>0</v>
      </c>
      <c r="G430" s="8" t="str">
        <f>IF(H430="","",VLOOKUP(H430,引用表合并!$A:$B,2,FALSE))</f>
        <v/>
      </c>
      <c r="K430" s="8" t="str">
        <f>IF(L430="","",VLOOKUP(L430,引用表合并!$A:$B,2,FALSE))</f>
        <v/>
      </c>
      <c r="L430" s="8"/>
      <c r="M430" s="8"/>
      <c r="O430" s="8" t="str">
        <f>IF(P430="","",VLOOKUP(P430,引用表合并!$A:$B,2,FALSE))</f>
        <v/>
      </c>
      <c r="P430" s="8"/>
      <c r="Q430" s="8"/>
      <c r="S430" s="8" t="str">
        <f>IF(T430="","",VLOOKUP(T430,引用表合并!$A:$B,2,FALSE))</f>
        <v/>
      </c>
      <c r="T430" s="8"/>
      <c r="U430" s="8"/>
      <c r="W430" s="8" t="str">
        <f>IF(X430="","",VLOOKUP(X430,引用表合并!$A:$B,2,FALSE))</f>
        <v/>
      </c>
      <c r="X430" s="8"/>
      <c r="Y430" s="8"/>
      <c r="AA430" s="8" t="str">
        <f>IF(AB430="","",VLOOKUP(AB430,引用表合并!$A:$B,2,FALSE))</f>
        <v/>
      </c>
      <c r="AB430" s="8"/>
      <c r="AC430" s="8"/>
      <c r="AE430" s="8" t="str">
        <f>IF(AF430="","",VLOOKUP(AF430,引用表合并!$A:$B,2,FALSE))</f>
        <v/>
      </c>
      <c r="AF430" s="8"/>
      <c r="AG430" s="8"/>
      <c r="AI430" s="8" t="str">
        <f>IF(AJ430="","",VLOOKUP(AJ430,引用表合并!$A:$B,2,FALSE))</f>
        <v/>
      </c>
      <c r="AJ430" s="8"/>
      <c r="AK430" s="8"/>
      <c r="AM430" s="8" t="str">
        <f>IF(AN430="","",VLOOKUP(AN430,引用表合并!$A:$B,2,FALSE))</f>
        <v/>
      </c>
      <c r="AN430" s="8"/>
      <c r="AO430" s="8"/>
      <c r="AQ430" s="8" t="str">
        <f>IF(AR430="","",VLOOKUP(AR430,引用表合并!$A:$B,2,FALSE))</f>
        <v/>
      </c>
      <c r="AR430" s="8"/>
      <c r="AS430" s="8"/>
      <c r="AU430" s="8" t="str">
        <f>IF(AV430="","",VLOOKUP(AV430,引用表合并!$A:$B,2,FALSE))</f>
        <v/>
      </c>
      <c r="AV430" s="8"/>
      <c r="AW430" s="8"/>
      <c r="AY430" s="8" t="str">
        <f>IF(AZ430="","",VLOOKUP(AZ430,引用表合并!$A:$B,2,FALSE))</f>
        <v/>
      </c>
      <c r="AZ430" s="8"/>
      <c r="BA430" s="8"/>
      <c r="BC430" s="8" t="str">
        <f>IF(BD430="","",VLOOKUP(BD430,引用表合并!$A:$B,2,FALSE))</f>
        <v/>
      </c>
      <c r="BD430" s="8"/>
      <c r="BF430" s="10"/>
      <c r="BG430" s="8" t="str">
        <f>IF(BH430="","",VLOOKUP(BH430,引用表合并!$A:$B,2,FALSE))</f>
        <v/>
      </c>
      <c r="BH430" s="8"/>
      <c r="BJ430" s="10"/>
      <c r="BK430" s="8" t="str">
        <f>IF(BL430="","",VLOOKUP(BL430,引用表合并!$A:$B,2,FALSE))</f>
        <v/>
      </c>
      <c r="BL430" s="8"/>
      <c r="BN430" s="10"/>
    </row>
    <row r="431" spans="1:66" x14ac:dyDescent="0.15">
      <c r="A431" s="8">
        <v>901068</v>
      </c>
      <c r="B431" s="18" t="str">
        <f>"任务:"&amp;VLOOKUP(A431,CHOOSE({1,2},[4]任务经验掉落配置表!$X$3:$X$173,[4]任务经验掉落配置表!$D$3:$D$173),2,FALSE)</f>
        <v>任务:激战东京2</v>
      </c>
      <c r="C431" s="8">
        <v>0</v>
      </c>
      <c r="D431" s="8">
        <f t="shared" si="66"/>
        <v>0</v>
      </c>
      <c r="E431" s="16">
        <f t="shared" si="67"/>
        <v>0</v>
      </c>
      <c r="F431" s="16">
        <f t="shared" si="68"/>
        <v>0</v>
      </c>
      <c r="G431" s="8" t="str">
        <f>IF(H431="","",VLOOKUP(H431,引用表合并!$A:$B,2,FALSE))</f>
        <v/>
      </c>
      <c r="K431" s="8" t="str">
        <f>IF(L431="","",VLOOKUP(L431,引用表合并!$A:$B,2,FALSE))</f>
        <v/>
      </c>
      <c r="L431" s="8"/>
      <c r="M431" s="8"/>
      <c r="O431" s="8" t="str">
        <f>IF(P431="","",VLOOKUP(P431,引用表合并!$A:$B,2,FALSE))</f>
        <v/>
      </c>
      <c r="P431" s="8"/>
      <c r="Q431" s="8"/>
      <c r="S431" s="8" t="str">
        <f>IF(T431="","",VLOOKUP(T431,引用表合并!$A:$B,2,FALSE))</f>
        <v/>
      </c>
      <c r="T431" s="8"/>
      <c r="U431" s="8"/>
      <c r="W431" s="8" t="str">
        <f>IF(X431="","",VLOOKUP(X431,引用表合并!$A:$B,2,FALSE))</f>
        <v/>
      </c>
      <c r="X431" s="8"/>
      <c r="Y431" s="8"/>
      <c r="AA431" s="8" t="str">
        <f>IF(AB431="","",VLOOKUP(AB431,引用表合并!$A:$B,2,FALSE))</f>
        <v/>
      </c>
      <c r="AB431" s="8"/>
      <c r="AC431" s="8"/>
      <c r="AE431" s="8" t="str">
        <f>IF(AF431="","",VLOOKUP(AF431,引用表合并!$A:$B,2,FALSE))</f>
        <v/>
      </c>
      <c r="AF431" s="8"/>
      <c r="AG431" s="8"/>
      <c r="AI431" s="8" t="str">
        <f>IF(AJ431="","",VLOOKUP(AJ431,引用表合并!$A:$B,2,FALSE))</f>
        <v/>
      </c>
      <c r="AJ431" s="8"/>
      <c r="AK431" s="8"/>
      <c r="AM431" s="8" t="str">
        <f>IF(AN431="","",VLOOKUP(AN431,引用表合并!$A:$B,2,FALSE))</f>
        <v/>
      </c>
      <c r="AN431" s="8"/>
      <c r="AO431" s="8"/>
      <c r="AQ431" s="8" t="str">
        <f>IF(AR431="","",VLOOKUP(AR431,引用表合并!$A:$B,2,FALSE))</f>
        <v/>
      </c>
      <c r="AR431" s="8"/>
      <c r="AS431" s="8"/>
      <c r="AU431" s="8" t="str">
        <f>IF(AV431="","",VLOOKUP(AV431,引用表合并!$A:$B,2,FALSE))</f>
        <v/>
      </c>
      <c r="AV431" s="8"/>
      <c r="AW431" s="8"/>
      <c r="AY431" s="8" t="str">
        <f>IF(AZ431="","",VLOOKUP(AZ431,引用表合并!$A:$B,2,FALSE))</f>
        <v/>
      </c>
      <c r="AZ431" s="8"/>
      <c r="BA431" s="8"/>
      <c r="BC431" s="8" t="str">
        <f>IF(BD431="","",VLOOKUP(BD431,引用表合并!$A:$B,2,FALSE))</f>
        <v/>
      </c>
      <c r="BD431" s="8"/>
      <c r="BF431" s="10"/>
      <c r="BG431" s="8" t="str">
        <f>IF(BH431="","",VLOOKUP(BH431,引用表合并!$A:$B,2,FALSE))</f>
        <v/>
      </c>
      <c r="BH431" s="8"/>
      <c r="BJ431" s="10"/>
      <c r="BK431" s="8" t="str">
        <f>IF(BL431="","",VLOOKUP(BL431,引用表合并!$A:$B,2,FALSE))</f>
        <v/>
      </c>
      <c r="BL431" s="8"/>
      <c r="BN431" s="10"/>
    </row>
    <row r="432" spans="1:66" x14ac:dyDescent="0.15">
      <c r="A432" s="8">
        <v>901069</v>
      </c>
      <c r="B432" s="18" t="str">
        <f>"任务:"&amp;VLOOKUP(A432,CHOOSE({1,2},[4]任务经验掉落配置表!$X$3:$X$173,[4]任务经验掉落配置表!$D$3:$D$173),2,FALSE)</f>
        <v>任务:激战东京3</v>
      </c>
      <c r="C432" s="8">
        <v>0</v>
      </c>
      <c r="D432" s="8">
        <f t="shared" si="66"/>
        <v>0</v>
      </c>
      <c r="E432" s="16">
        <f t="shared" si="67"/>
        <v>0</v>
      </c>
      <c r="F432" s="16">
        <f t="shared" si="68"/>
        <v>0</v>
      </c>
      <c r="G432" s="8" t="str">
        <f>IF(H432="","",VLOOKUP(H432,引用表合并!$A:$B,2,FALSE))</f>
        <v/>
      </c>
      <c r="K432" s="8" t="str">
        <f>IF(L432="","",VLOOKUP(L432,引用表合并!$A:$B,2,FALSE))</f>
        <v/>
      </c>
      <c r="L432" s="8"/>
      <c r="M432" s="8"/>
      <c r="O432" s="8" t="str">
        <f>IF(P432="","",VLOOKUP(P432,引用表合并!$A:$B,2,FALSE))</f>
        <v/>
      </c>
      <c r="P432" s="8"/>
      <c r="Q432" s="8"/>
      <c r="S432" s="8" t="str">
        <f>IF(T432="","",VLOOKUP(T432,引用表合并!$A:$B,2,FALSE))</f>
        <v/>
      </c>
      <c r="T432" s="8"/>
      <c r="U432" s="8"/>
      <c r="W432" s="8" t="str">
        <f>IF(X432="","",VLOOKUP(X432,引用表合并!$A:$B,2,FALSE))</f>
        <v/>
      </c>
      <c r="X432" s="8"/>
      <c r="Y432" s="8"/>
      <c r="AA432" s="8" t="str">
        <f>IF(AB432="","",VLOOKUP(AB432,引用表合并!$A:$B,2,FALSE))</f>
        <v/>
      </c>
      <c r="AB432" s="8"/>
      <c r="AC432" s="8"/>
      <c r="AE432" s="8" t="str">
        <f>IF(AF432="","",VLOOKUP(AF432,引用表合并!$A:$B,2,FALSE))</f>
        <v/>
      </c>
      <c r="AF432" s="8"/>
      <c r="AG432" s="8"/>
      <c r="AI432" s="8" t="str">
        <f>IF(AJ432="","",VLOOKUP(AJ432,引用表合并!$A:$B,2,FALSE))</f>
        <v/>
      </c>
      <c r="AJ432" s="8"/>
      <c r="AK432" s="8"/>
      <c r="AM432" s="8" t="str">
        <f>IF(AN432="","",VLOOKUP(AN432,引用表合并!$A:$B,2,FALSE))</f>
        <v/>
      </c>
      <c r="AN432" s="8"/>
      <c r="AO432" s="8"/>
      <c r="AQ432" s="8" t="str">
        <f>IF(AR432="","",VLOOKUP(AR432,引用表合并!$A:$B,2,FALSE))</f>
        <v/>
      </c>
      <c r="AR432" s="8"/>
      <c r="AS432" s="8"/>
      <c r="AU432" s="8" t="str">
        <f>IF(AV432="","",VLOOKUP(AV432,引用表合并!$A:$B,2,FALSE))</f>
        <v/>
      </c>
      <c r="AV432" s="8"/>
      <c r="AW432" s="8"/>
      <c r="AY432" s="8" t="str">
        <f>IF(AZ432="","",VLOOKUP(AZ432,引用表合并!$A:$B,2,FALSE))</f>
        <v/>
      </c>
      <c r="AZ432" s="8"/>
      <c r="BA432" s="8"/>
      <c r="BC432" s="8" t="str">
        <f>IF(BD432="","",VLOOKUP(BD432,引用表合并!$A:$B,2,FALSE))</f>
        <v/>
      </c>
      <c r="BD432" s="8"/>
      <c r="BF432" s="10"/>
      <c r="BG432" s="8" t="str">
        <f>IF(BH432="","",VLOOKUP(BH432,引用表合并!$A:$B,2,FALSE))</f>
        <v/>
      </c>
      <c r="BH432" s="8"/>
      <c r="BJ432" s="10"/>
      <c r="BK432" s="8" t="str">
        <f>IF(BL432="","",VLOOKUP(BL432,引用表合并!$A:$B,2,FALSE))</f>
        <v/>
      </c>
      <c r="BL432" s="8"/>
      <c r="BN432" s="10"/>
    </row>
    <row r="433" spans="1:66" x14ac:dyDescent="0.15">
      <c r="A433" s="8">
        <v>901070</v>
      </c>
      <c r="B433" s="18" t="str">
        <f>"任务:"&amp;VLOOKUP(A433,CHOOSE({1,2},[4]任务经验掉落配置表!$X$3:$X$173,[4]任务经验掉落配置表!$D$3:$D$173),2,FALSE)</f>
        <v>任务:激战东京4</v>
      </c>
      <c r="C433" s="8">
        <v>0</v>
      </c>
      <c r="D433" s="8">
        <f t="shared" si="66"/>
        <v>0</v>
      </c>
      <c r="E433" s="16">
        <f t="shared" si="67"/>
        <v>0</v>
      </c>
      <c r="F433" s="16">
        <f t="shared" si="68"/>
        <v>0</v>
      </c>
      <c r="G433" s="8" t="str">
        <f>IF(H433="","",VLOOKUP(H433,引用表合并!$A:$B,2,FALSE))</f>
        <v/>
      </c>
      <c r="K433" s="8" t="str">
        <f>IF(L433="","",VLOOKUP(L433,引用表合并!$A:$B,2,FALSE))</f>
        <v/>
      </c>
      <c r="L433" s="8"/>
      <c r="M433" s="8"/>
      <c r="O433" s="8" t="str">
        <f>IF(P433="","",VLOOKUP(P433,引用表合并!$A:$B,2,FALSE))</f>
        <v/>
      </c>
      <c r="P433" s="8"/>
      <c r="Q433" s="8"/>
      <c r="S433" s="8" t="str">
        <f>IF(T433="","",VLOOKUP(T433,引用表合并!$A:$B,2,FALSE))</f>
        <v/>
      </c>
      <c r="T433" s="8"/>
      <c r="U433" s="8"/>
      <c r="W433" s="8" t="str">
        <f>IF(X433="","",VLOOKUP(X433,引用表合并!$A:$B,2,FALSE))</f>
        <v/>
      </c>
      <c r="X433" s="8"/>
      <c r="Y433" s="8"/>
      <c r="AA433" s="8" t="str">
        <f>IF(AB433="","",VLOOKUP(AB433,引用表合并!$A:$B,2,FALSE))</f>
        <v/>
      </c>
      <c r="AB433" s="8"/>
      <c r="AC433" s="8"/>
      <c r="AE433" s="8" t="str">
        <f>IF(AF433="","",VLOOKUP(AF433,引用表合并!$A:$B,2,FALSE))</f>
        <v/>
      </c>
      <c r="AF433" s="8"/>
      <c r="AG433" s="8"/>
      <c r="AI433" s="8" t="str">
        <f>IF(AJ433="","",VLOOKUP(AJ433,引用表合并!$A:$B,2,FALSE))</f>
        <v/>
      </c>
      <c r="AJ433" s="8"/>
      <c r="AK433" s="8"/>
      <c r="AM433" s="8" t="str">
        <f>IF(AN433="","",VLOOKUP(AN433,引用表合并!$A:$B,2,FALSE))</f>
        <v/>
      </c>
      <c r="AN433" s="8"/>
      <c r="AO433" s="8"/>
      <c r="AQ433" s="8" t="str">
        <f>IF(AR433="","",VLOOKUP(AR433,引用表合并!$A:$B,2,FALSE))</f>
        <v/>
      </c>
      <c r="AR433" s="8"/>
      <c r="AS433" s="8"/>
      <c r="AU433" s="8" t="str">
        <f>IF(AV433="","",VLOOKUP(AV433,引用表合并!$A:$B,2,FALSE))</f>
        <v/>
      </c>
      <c r="AV433" s="8"/>
      <c r="AW433" s="8"/>
      <c r="AY433" s="8" t="str">
        <f>IF(AZ433="","",VLOOKUP(AZ433,引用表合并!$A:$B,2,FALSE))</f>
        <v/>
      </c>
      <c r="AZ433" s="8"/>
      <c r="BA433" s="8"/>
      <c r="BC433" s="8" t="str">
        <f>IF(BD433="","",VLOOKUP(BD433,引用表合并!$A:$B,2,FALSE))</f>
        <v/>
      </c>
      <c r="BD433" s="8"/>
      <c r="BF433" s="10"/>
      <c r="BG433" s="8" t="str">
        <f>IF(BH433="","",VLOOKUP(BH433,引用表合并!$A:$B,2,FALSE))</f>
        <v/>
      </c>
      <c r="BH433" s="8"/>
      <c r="BJ433" s="10"/>
      <c r="BK433" s="8" t="str">
        <f>IF(BL433="","",VLOOKUP(BL433,引用表合并!$A:$B,2,FALSE))</f>
        <v/>
      </c>
      <c r="BL433" s="8"/>
      <c r="BN433" s="10"/>
    </row>
    <row r="434" spans="1:66" x14ac:dyDescent="0.15">
      <c r="A434" s="8">
        <v>901071</v>
      </c>
      <c r="B434" s="18" t="str">
        <f>"任务:"&amp;VLOOKUP(A434,CHOOSE({1,2},[4]任务经验掉落配置表!$X$3:$X$173,[4]任务经验掉落配置表!$D$3:$D$173),2,FALSE)</f>
        <v>任务:蓄势待发</v>
      </c>
      <c r="C434" s="8">
        <v>0</v>
      </c>
      <c r="D434" s="8">
        <f t="shared" si="66"/>
        <v>0</v>
      </c>
      <c r="E434" s="16">
        <f t="shared" si="67"/>
        <v>0</v>
      </c>
      <c r="F434" s="16">
        <f t="shared" si="68"/>
        <v>0</v>
      </c>
      <c r="G434" s="8" t="str">
        <f>IF(H434="","",VLOOKUP(H434,引用表合并!$A:$B,2,FALSE))</f>
        <v/>
      </c>
      <c r="K434" s="8" t="str">
        <f>IF(L434="","",VLOOKUP(L434,引用表合并!$A:$B,2,FALSE))</f>
        <v/>
      </c>
      <c r="L434" s="8"/>
      <c r="M434" s="8"/>
      <c r="O434" s="8" t="str">
        <f>IF(P434="","",VLOOKUP(P434,引用表合并!$A:$B,2,FALSE))</f>
        <v/>
      </c>
      <c r="P434" s="8"/>
      <c r="Q434" s="8"/>
      <c r="S434" s="8" t="str">
        <f>IF(T434="","",VLOOKUP(T434,引用表合并!$A:$B,2,FALSE))</f>
        <v/>
      </c>
      <c r="T434" s="8"/>
      <c r="U434" s="8"/>
      <c r="W434" s="8" t="str">
        <f>IF(X434="","",VLOOKUP(X434,引用表合并!$A:$B,2,FALSE))</f>
        <v/>
      </c>
      <c r="X434" s="8"/>
      <c r="Y434" s="8"/>
      <c r="AA434" s="8" t="str">
        <f>IF(AB434="","",VLOOKUP(AB434,引用表合并!$A:$B,2,FALSE))</f>
        <v/>
      </c>
      <c r="AB434" s="8"/>
      <c r="AC434" s="8"/>
      <c r="AE434" s="8" t="str">
        <f>IF(AF434="","",VLOOKUP(AF434,引用表合并!$A:$B,2,FALSE))</f>
        <v/>
      </c>
      <c r="AF434" s="8"/>
      <c r="AG434" s="8"/>
      <c r="AI434" s="8" t="str">
        <f>IF(AJ434="","",VLOOKUP(AJ434,引用表合并!$A:$B,2,FALSE))</f>
        <v/>
      </c>
      <c r="AJ434" s="8"/>
      <c r="AK434" s="8"/>
      <c r="AM434" s="8" t="str">
        <f>IF(AN434="","",VLOOKUP(AN434,引用表合并!$A:$B,2,FALSE))</f>
        <v/>
      </c>
      <c r="AN434" s="8"/>
      <c r="AO434" s="8"/>
      <c r="AQ434" s="8" t="str">
        <f>IF(AR434="","",VLOOKUP(AR434,引用表合并!$A:$B,2,FALSE))</f>
        <v/>
      </c>
      <c r="AR434" s="8"/>
      <c r="AS434" s="8"/>
      <c r="AU434" s="8" t="str">
        <f>IF(AV434="","",VLOOKUP(AV434,引用表合并!$A:$B,2,FALSE))</f>
        <v/>
      </c>
      <c r="AV434" s="8"/>
      <c r="AW434" s="8"/>
      <c r="AY434" s="8" t="str">
        <f>IF(AZ434="","",VLOOKUP(AZ434,引用表合并!$A:$B,2,FALSE))</f>
        <v/>
      </c>
      <c r="AZ434" s="8"/>
      <c r="BA434" s="8"/>
      <c r="BC434" s="8" t="str">
        <f>IF(BD434="","",VLOOKUP(BD434,引用表合并!$A:$B,2,FALSE))</f>
        <v/>
      </c>
      <c r="BD434" s="8"/>
      <c r="BF434" s="10"/>
      <c r="BG434" s="8" t="str">
        <f>IF(BH434="","",VLOOKUP(BH434,引用表合并!$A:$B,2,FALSE))</f>
        <v/>
      </c>
      <c r="BH434" s="8"/>
      <c r="BJ434" s="10"/>
      <c r="BK434" s="8" t="str">
        <f>IF(BL434="","",VLOOKUP(BL434,引用表合并!$A:$B,2,FALSE))</f>
        <v/>
      </c>
      <c r="BL434" s="8"/>
      <c r="BN434" s="10"/>
    </row>
    <row r="435" spans="1:66" x14ac:dyDescent="0.15">
      <c r="A435" s="8">
        <v>901072</v>
      </c>
      <c r="B435" s="18" t="str">
        <f>"任务:"&amp;VLOOKUP(A435,CHOOSE({1,2},[4]任务经验掉落配置表!$X$3:$X$173,[4]任务经验掉落配置表!$D$3:$D$173),2,FALSE)</f>
        <v>任务:渔翁得利</v>
      </c>
      <c r="C435" s="8">
        <v>0</v>
      </c>
      <c r="D435" s="8">
        <f t="shared" si="66"/>
        <v>0</v>
      </c>
      <c r="E435" s="16">
        <f t="shared" si="67"/>
        <v>0</v>
      </c>
      <c r="F435" s="16">
        <f t="shared" si="68"/>
        <v>0</v>
      </c>
      <c r="G435" s="8" t="str">
        <f>IF(H435="","",VLOOKUP(H435,引用表合并!$A:$B,2,FALSE))</f>
        <v/>
      </c>
      <c r="K435" s="8" t="str">
        <f>IF(L435="","",VLOOKUP(L435,引用表合并!$A:$B,2,FALSE))</f>
        <v/>
      </c>
      <c r="L435" s="8"/>
      <c r="M435" s="8"/>
      <c r="O435" s="8" t="str">
        <f>IF(P435="","",VLOOKUP(P435,引用表合并!$A:$B,2,FALSE))</f>
        <v/>
      </c>
      <c r="P435" s="8"/>
      <c r="Q435" s="8"/>
      <c r="S435" s="8" t="str">
        <f>IF(T435="","",VLOOKUP(T435,引用表合并!$A:$B,2,FALSE))</f>
        <v/>
      </c>
      <c r="T435" s="8"/>
      <c r="U435" s="8"/>
      <c r="W435" s="8" t="str">
        <f>IF(X435="","",VLOOKUP(X435,引用表合并!$A:$B,2,FALSE))</f>
        <v/>
      </c>
      <c r="X435" s="8"/>
      <c r="Y435" s="8"/>
      <c r="AA435" s="8" t="str">
        <f>IF(AB435="","",VLOOKUP(AB435,引用表合并!$A:$B,2,FALSE))</f>
        <v/>
      </c>
      <c r="AB435" s="8"/>
      <c r="AC435" s="8"/>
      <c r="AE435" s="8" t="str">
        <f>IF(AF435="","",VLOOKUP(AF435,引用表合并!$A:$B,2,FALSE))</f>
        <v/>
      </c>
      <c r="AF435" s="8"/>
      <c r="AG435" s="8"/>
      <c r="AI435" s="8" t="str">
        <f>IF(AJ435="","",VLOOKUP(AJ435,引用表合并!$A:$B,2,FALSE))</f>
        <v/>
      </c>
      <c r="AJ435" s="8"/>
      <c r="AK435" s="8"/>
      <c r="AM435" s="8" t="str">
        <f>IF(AN435="","",VLOOKUP(AN435,引用表合并!$A:$B,2,FALSE))</f>
        <v/>
      </c>
      <c r="AN435" s="8"/>
      <c r="AO435" s="8"/>
      <c r="AQ435" s="8" t="str">
        <f>IF(AR435="","",VLOOKUP(AR435,引用表合并!$A:$B,2,FALSE))</f>
        <v/>
      </c>
      <c r="AR435" s="8"/>
      <c r="AS435" s="8"/>
      <c r="AU435" s="8" t="str">
        <f>IF(AV435="","",VLOOKUP(AV435,引用表合并!$A:$B,2,FALSE))</f>
        <v/>
      </c>
      <c r="AV435" s="8"/>
      <c r="AW435" s="8"/>
      <c r="AY435" s="8" t="str">
        <f>IF(AZ435="","",VLOOKUP(AZ435,引用表合并!$A:$B,2,FALSE))</f>
        <v/>
      </c>
      <c r="AZ435" s="8"/>
      <c r="BA435" s="8"/>
      <c r="BC435" s="8" t="str">
        <f>IF(BD435="","",VLOOKUP(BD435,引用表合并!$A:$B,2,FALSE))</f>
        <v/>
      </c>
      <c r="BD435" s="8"/>
      <c r="BF435" s="10"/>
      <c r="BG435" s="8" t="str">
        <f>IF(BH435="","",VLOOKUP(BH435,引用表合并!$A:$B,2,FALSE))</f>
        <v/>
      </c>
      <c r="BH435" s="8"/>
      <c r="BJ435" s="10"/>
      <c r="BK435" s="8" t="str">
        <f>IF(BL435="","",VLOOKUP(BL435,引用表合并!$A:$B,2,FALSE))</f>
        <v/>
      </c>
      <c r="BL435" s="8"/>
      <c r="BN435" s="10"/>
    </row>
    <row r="436" spans="1:66" x14ac:dyDescent="0.15">
      <c r="A436" s="8">
        <v>901073</v>
      </c>
      <c r="B436" s="18" t="str">
        <f>"任务:"&amp;VLOOKUP(A436,CHOOSE({1,2},[4]任务经验掉落配置表!$X$3:$X$173,[4]任务经验掉落配置表!$D$3:$D$173),2,FALSE)</f>
        <v>任务:破晓</v>
      </c>
      <c r="C436" s="8">
        <v>0</v>
      </c>
      <c r="D436" s="8">
        <f t="shared" si="66"/>
        <v>1</v>
      </c>
      <c r="E436" s="16">
        <f t="shared" si="67"/>
        <v>1</v>
      </c>
      <c r="F436" s="16">
        <f t="shared" si="68"/>
        <v>1</v>
      </c>
      <c r="G436" s="8" t="str">
        <f>IF(H436="","",VLOOKUP(H436,引用表合并!$A:$B,2,FALSE))</f>
        <v>二路元帅</v>
      </c>
      <c r="H436" s="8">
        <v>83006</v>
      </c>
      <c r="I436" s="8">
        <v>1</v>
      </c>
      <c r="J436" s="10">
        <v>10000</v>
      </c>
      <c r="K436" s="8" t="str">
        <f>IF(L436="","",VLOOKUP(L436,引用表合并!$A:$B,2,FALSE))</f>
        <v/>
      </c>
      <c r="L436" s="8"/>
      <c r="M436" s="8"/>
      <c r="O436" s="8" t="str">
        <f>IF(P436="","",VLOOKUP(P436,引用表合并!$A:$B,2,FALSE))</f>
        <v/>
      </c>
      <c r="P436" s="8"/>
      <c r="Q436" s="8"/>
      <c r="S436" s="8" t="str">
        <f>IF(T436="","",VLOOKUP(T436,引用表合并!$A:$B,2,FALSE))</f>
        <v/>
      </c>
      <c r="T436" s="8"/>
      <c r="U436" s="8"/>
      <c r="W436" s="8" t="str">
        <f>IF(X436="","",VLOOKUP(X436,引用表合并!$A:$B,2,FALSE))</f>
        <v/>
      </c>
      <c r="X436" s="8"/>
      <c r="Y436" s="8"/>
      <c r="AA436" s="8" t="str">
        <f>IF(AB436="","",VLOOKUP(AB436,引用表合并!$A:$B,2,FALSE))</f>
        <v/>
      </c>
      <c r="AB436" s="8"/>
      <c r="AC436" s="8"/>
      <c r="AE436" s="8" t="str">
        <f>IF(AF436="","",VLOOKUP(AF436,引用表合并!$A:$B,2,FALSE))</f>
        <v/>
      </c>
      <c r="AF436" s="8"/>
      <c r="AG436" s="8"/>
      <c r="AI436" s="8" t="str">
        <f>IF(AJ436="","",VLOOKUP(AJ436,引用表合并!$A:$B,2,FALSE))</f>
        <v/>
      </c>
      <c r="AJ436" s="8"/>
      <c r="AK436" s="8"/>
      <c r="AM436" s="8" t="str">
        <f>IF(AN436="","",VLOOKUP(AN436,引用表合并!$A:$B,2,FALSE))</f>
        <v/>
      </c>
      <c r="AN436" s="8"/>
      <c r="AO436" s="8"/>
      <c r="AQ436" s="8" t="str">
        <f>IF(AR436="","",VLOOKUP(AR436,引用表合并!$A:$B,2,FALSE))</f>
        <v/>
      </c>
      <c r="AR436" s="8"/>
      <c r="AS436" s="8"/>
      <c r="AU436" s="8" t="str">
        <f>IF(AV436="","",VLOOKUP(AV436,引用表合并!$A:$B,2,FALSE))</f>
        <v/>
      </c>
      <c r="AV436" s="8"/>
      <c r="AW436" s="8"/>
      <c r="AY436" s="8" t="str">
        <f>IF(AZ436="","",VLOOKUP(AZ436,引用表合并!$A:$B,2,FALSE))</f>
        <v/>
      </c>
      <c r="AZ436" s="8"/>
      <c r="BA436" s="8"/>
      <c r="BC436" s="8" t="str">
        <f>IF(BD436="","",VLOOKUP(BD436,引用表合并!$A:$B,2,FALSE))</f>
        <v/>
      </c>
      <c r="BD436" s="8"/>
      <c r="BF436" s="10"/>
      <c r="BG436" s="8" t="str">
        <f>IF(BH436="","",VLOOKUP(BH436,引用表合并!$A:$B,2,FALSE))</f>
        <v/>
      </c>
      <c r="BH436" s="8"/>
      <c r="BJ436" s="10"/>
      <c r="BK436" s="8" t="str">
        <f>IF(BL436="","",VLOOKUP(BL436,引用表合并!$A:$B,2,FALSE))</f>
        <v/>
      </c>
      <c r="BL436" s="8"/>
      <c r="BN436" s="10"/>
    </row>
    <row r="437" spans="1:66" x14ac:dyDescent="0.15">
      <c r="A437" s="8">
        <v>901074</v>
      </c>
      <c r="B437" s="18" t="str">
        <f>"任务:"&amp;VLOOKUP(A437,CHOOSE({1,2},[4]任务经验掉落配置表!$X$3:$X$173,[4]任务经验掉落配置表!$D$3:$D$173),2,FALSE)</f>
        <v>任务:再相会</v>
      </c>
      <c r="C437" s="8">
        <v>0</v>
      </c>
      <c r="D437" s="8">
        <f t="shared" si="66"/>
        <v>0</v>
      </c>
      <c r="E437" s="16">
        <f t="shared" si="67"/>
        <v>0</v>
      </c>
      <c r="F437" s="16">
        <f t="shared" si="68"/>
        <v>0</v>
      </c>
      <c r="G437" s="8" t="str">
        <f>IF(H437="","",VLOOKUP(H437,引用表合并!$A:$B,2,FALSE))</f>
        <v/>
      </c>
      <c r="K437" s="8" t="str">
        <f>IF(L437="","",VLOOKUP(L437,引用表合并!$A:$B,2,FALSE))</f>
        <v/>
      </c>
      <c r="L437" s="8"/>
      <c r="M437" s="8"/>
      <c r="O437" s="8" t="str">
        <f>IF(P437="","",VLOOKUP(P437,引用表合并!$A:$B,2,FALSE))</f>
        <v/>
      </c>
      <c r="P437" s="8"/>
      <c r="Q437" s="8"/>
      <c r="S437" s="8" t="str">
        <f>IF(T437="","",VLOOKUP(T437,引用表合并!$A:$B,2,FALSE))</f>
        <v/>
      </c>
      <c r="T437" s="8"/>
      <c r="U437" s="8"/>
      <c r="W437" s="8" t="str">
        <f>IF(X437="","",VLOOKUP(X437,引用表合并!$A:$B,2,FALSE))</f>
        <v/>
      </c>
      <c r="X437" s="8"/>
      <c r="Y437" s="8"/>
      <c r="AA437" s="8" t="str">
        <f>IF(AB437="","",VLOOKUP(AB437,引用表合并!$A:$B,2,FALSE))</f>
        <v/>
      </c>
      <c r="AB437" s="8"/>
      <c r="AC437" s="8"/>
      <c r="AE437" s="8" t="str">
        <f>IF(AF437="","",VLOOKUP(AF437,引用表合并!$A:$B,2,FALSE))</f>
        <v/>
      </c>
      <c r="AF437" s="8"/>
      <c r="AG437" s="8"/>
      <c r="AI437" s="8" t="str">
        <f>IF(AJ437="","",VLOOKUP(AJ437,引用表合并!$A:$B,2,FALSE))</f>
        <v/>
      </c>
      <c r="AJ437" s="8"/>
      <c r="AK437" s="8"/>
      <c r="AM437" s="8" t="str">
        <f>IF(AN437="","",VLOOKUP(AN437,引用表合并!$A:$B,2,FALSE))</f>
        <v/>
      </c>
      <c r="AN437" s="8"/>
      <c r="AO437" s="8"/>
      <c r="AQ437" s="8" t="str">
        <f>IF(AR437="","",VLOOKUP(AR437,引用表合并!$A:$B,2,FALSE))</f>
        <v/>
      </c>
      <c r="AR437" s="8"/>
      <c r="AS437" s="8"/>
      <c r="AU437" s="8" t="str">
        <f>IF(AV437="","",VLOOKUP(AV437,引用表合并!$A:$B,2,FALSE))</f>
        <v/>
      </c>
      <c r="AV437" s="8"/>
      <c r="AW437" s="8"/>
      <c r="AY437" s="8" t="str">
        <f>IF(AZ437="","",VLOOKUP(AZ437,引用表合并!$A:$B,2,FALSE))</f>
        <v/>
      </c>
      <c r="AZ437" s="8"/>
      <c r="BA437" s="8"/>
      <c r="BC437" s="8" t="str">
        <f>IF(BD437="","",VLOOKUP(BD437,引用表合并!$A:$B,2,FALSE))</f>
        <v/>
      </c>
      <c r="BD437" s="8"/>
      <c r="BF437" s="10"/>
      <c r="BG437" s="8" t="str">
        <f>IF(BH437="","",VLOOKUP(BH437,引用表合并!$A:$B,2,FALSE))</f>
        <v/>
      </c>
      <c r="BH437" s="8"/>
      <c r="BJ437" s="10"/>
      <c r="BK437" s="8" t="str">
        <f>IF(BL437="","",VLOOKUP(BL437,引用表合并!$A:$B,2,FALSE))</f>
        <v/>
      </c>
      <c r="BL437" s="8"/>
      <c r="BN437" s="10"/>
    </row>
    <row r="438" spans="1:66" x14ac:dyDescent="0.15">
      <c r="A438" s="8">
        <v>901075</v>
      </c>
      <c r="B438" s="18" t="str">
        <f>"任务:"&amp;VLOOKUP(A438,CHOOSE({1,2},[4]任务经验掉落配置表!$X$3:$X$173,[4]任务经验掉落配置表!$D$3:$D$173),2,FALSE)</f>
        <v>任务:宿敌逆袭</v>
      </c>
      <c r="C438" s="8">
        <v>0</v>
      </c>
      <c r="D438" s="8">
        <f t="shared" si="66"/>
        <v>0</v>
      </c>
      <c r="E438" s="16">
        <f t="shared" si="67"/>
        <v>0</v>
      </c>
      <c r="F438" s="16">
        <f t="shared" si="68"/>
        <v>0</v>
      </c>
      <c r="G438" s="8" t="str">
        <f>IF(H438="","",VLOOKUP(H438,引用表合并!$A:$B,2,FALSE))</f>
        <v/>
      </c>
      <c r="K438" s="8" t="str">
        <f>IF(L438="","",VLOOKUP(L438,引用表合并!$A:$B,2,FALSE))</f>
        <v/>
      </c>
      <c r="L438" s="8"/>
      <c r="M438" s="8"/>
      <c r="O438" s="8" t="str">
        <f>IF(P438="","",VLOOKUP(P438,引用表合并!$A:$B,2,FALSE))</f>
        <v/>
      </c>
      <c r="P438" s="8"/>
      <c r="Q438" s="8"/>
      <c r="S438" s="8" t="str">
        <f>IF(T438="","",VLOOKUP(T438,引用表合并!$A:$B,2,FALSE))</f>
        <v/>
      </c>
      <c r="T438" s="8"/>
      <c r="U438" s="8"/>
      <c r="W438" s="8" t="str">
        <f>IF(X438="","",VLOOKUP(X438,引用表合并!$A:$B,2,FALSE))</f>
        <v/>
      </c>
      <c r="X438" s="8"/>
      <c r="Y438" s="8"/>
      <c r="AA438" s="8" t="str">
        <f>IF(AB438="","",VLOOKUP(AB438,引用表合并!$A:$B,2,FALSE))</f>
        <v/>
      </c>
      <c r="AB438" s="8"/>
      <c r="AC438" s="8"/>
      <c r="AE438" s="8" t="str">
        <f>IF(AF438="","",VLOOKUP(AF438,引用表合并!$A:$B,2,FALSE))</f>
        <v/>
      </c>
      <c r="AF438" s="8"/>
      <c r="AG438" s="8"/>
      <c r="AI438" s="8" t="str">
        <f>IF(AJ438="","",VLOOKUP(AJ438,引用表合并!$A:$B,2,FALSE))</f>
        <v/>
      </c>
      <c r="AJ438" s="8"/>
      <c r="AK438" s="8"/>
      <c r="AM438" s="8" t="str">
        <f>IF(AN438="","",VLOOKUP(AN438,引用表合并!$A:$B,2,FALSE))</f>
        <v/>
      </c>
      <c r="AN438" s="8"/>
      <c r="AO438" s="8"/>
      <c r="AQ438" s="8" t="str">
        <f>IF(AR438="","",VLOOKUP(AR438,引用表合并!$A:$B,2,FALSE))</f>
        <v/>
      </c>
      <c r="AR438" s="8"/>
      <c r="AS438" s="8"/>
      <c r="AU438" s="8" t="str">
        <f>IF(AV438="","",VLOOKUP(AV438,引用表合并!$A:$B,2,FALSE))</f>
        <v/>
      </c>
      <c r="AV438" s="8"/>
      <c r="AW438" s="8"/>
      <c r="AY438" s="8" t="str">
        <f>IF(AZ438="","",VLOOKUP(AZ438,引用表合并!$A:$B,2,FALSE))</f>
        <v/>
      </c>
      <c r="AZ438" s="8"/>
      <c r="BA438" s="8"/>
      <c r="BC438" s="8" t="str">
        <f>IF(BD438="","",VLOOKUP(BD438,引用表合并!$A:$B,2,FALSE))</f>
        <v/>
      </c>
      <c r="BD438" s="8"/>
      <c r="BF438" s="10"/>
      <c r="BG438" s="8" t="str">
        <f>IF(BH438="","",VLOOKUP(BH438,引用表合并!$A:$B,2,FALSE))</f>
        <v/>
      </c>
      <c r="BH438" s="8"/>
      <c r="BJ438" s="10"/>
      <c r="BK438" s="8" t="str">
        <f>IF(BL438="","",VLOOKUP(BL438,引用表合并!$A:$B,2,FALSE))</f>
        <v/>
      </c>
      <c r="BL438" s="8"/>
      <c r="BN438" s="10"/>
    </row>
    <row r="439" spans="1:66" x14ac:dyDescent="0.15">
      <c r="A439" s="8">
        <v>901076</v>
      </c>
      <c r="B439" s="18" t="str">
        <f>"任务:"&amp;VLOOKUP(A439,CHOOSE({1,2},[4]任务经验掉落配置表!$X$3:$X$173,[4]任务经验掉落配置表!$D$3:$D$173),2,FALSE)</f>
        <v>任务:冤家路窄</v>
      </c>
      <c r="C439" s="8">
        <v>0</v>
      </c>
      <c r="D439" s="8">
        <f t="shared" si="66"/>
        <v>0</v>
      </c>
      <c r="E439" s="16">
        <f t="shared" si="67"/>
        <v>0</v>
      </c>
      <c r="F439" s="16">
        <f t="shared" si="68"/>
        <v>0</v>
      </c>
      <c r="G439" s="8" t="str">
        <f>IF(H439="","",VLOOKUP(H439,引用表合并!$A:$B,2,FALSE))</f>
        <v/>
      </c>
      <c r="K439" s="8" t="str">
        <f>IF(L439="","",VLOOKUP(L439,引用表合并!$A:$B,2,FALSE))</f>
        <v/>
      </c>
      <c r="L439" s="8"/>
      <c r="M439" s="8"/>
      <c r="O439" s="8" t="str">
        <f>IF(P439="","",VLOOKUP(P439,引用表合并!$A:$B,2,FALSE))</f>
        <v/>
      </c>
      <c r="P439" s="8"/>
      <c r="Q439" s="8"/>
      <c r="S439" s="8" t="str">
        <f>IF(T439="","",VLOOKUP(T439,引用表合并!$A:$B,2,FALSE))</f>
        <v/>
      </c>
      <c r="T439" s="8"/>
      <c r="U439" s="8"/>
      <c r="W439" s="8" t="str">
        <f>IF(X439="","",VLOOKUP(X439,引用表合并!$A:$B,2,FALSE))</f>
        <v/>
      </c>
      <c r="X439" s="8"/>
      <c r="Y439" s="8"/>
      <c r="AA439" s="8" t="str">
        <f>IF(AB439="","",VLOOKUP(AB439,引用表合并!$A:$B,2,FALSE))</f>
        <v/>
      </c>
      <c r="AB439" s="8"/>
      <c r="AC439" s="8"/>
      <c r="AE439" s="8" t="str">
        <f>IF(AF439="","",VLOOKUP(AF439,引用表合并!$A:$B,2,FALSE))</f>
        <v/>
      </c>
      <c r="AF439" s="8"/>
      <c r="AG439" s="8"/>
      <c r="AI439" s="8" t="str">
        <f>IF(AJ439="","",VLOOKUP(AJ439,引用表合并!$A:$B,2,FALSE))</f>
        <v/>
      </c>
      <c r="AJ439" s="8"/>
      <c r="AK439" s="8"/>
      <c r="AM439" s="8" t="str">
        <f>IF(AN439="","",VLOOKUP(AN439,引用表合并!$A:$B,2,FALSE))</f>
        <v/>
      </c>
      <c r="AN439" s="8"/>
      <c r="AO439" s="8"/>
      <c r="AQ439" s="8" t="str">
        <f>IF(AR439="","",VLOOKUP(AR439,引用表合并!$A:$B,2,FALSE))</f>
        <v/>
      </c>
      <c r="AR439" s="8"/>
      <c r="AS439" s="8"/>
      <c r="AU439" s="8" t="str">
        <f>IF(AV439="","",VLOOKUP(AV439,引用表合并!$A:$B,2,FALSE))</f>
        <v/>
      </c>
      <c r="AV439" s="8"/>
      <c r="AW439" s="8"/>
      <c r="AY439" s="8" t="str">
        <f>IF(AZ439="","",VLOOKUP(AZ439,引用表合并!$A:$B,2,FALSE))</f>
        <v/>
      </c>
      <c r="AZ439" s="8"/>
      <c r="BA439" s="8"/>
      <c r="BC439" s="8" t="str">
        <f>IF(BD439="","",VLOOKUP(BD439,引用表合并!$A:$B,2,FALSE))</f>
        <v/>
      </c>
      <c r="BD439" s="8"/>
      <c r="BF439" s="10"/>
      <c r="BG439" s="8" t="str">
        <f>IF(BH439="","",VLOOKUP(BH439,引用表合并!$A:$B,2,FALSE))</f>
        <v/>
      </c>
      <c r="BH439" s="8"/>
      <c r="BJ439" s="10"/>
      <c r="BK439" s="8" t="str">
        <f>IF(BL439="","",VLOOKUP(BL439,引用表合并!$A:$B,2,FALSE))</f>
        <v/>
      </c>
      <c r="BL439" s="8"/>
      <c r="BN439" s="10"/>
    </row>
    <row r="440" spans="1:66" x14ac:dyDescent="0.15">
      <c r="A440" s="8">
        <v>901077</v>
      </c>
      <c r="B440" s="18" t="str">
        <f>"任务:"&amp;VLOOKUP(A440,CHOOSE({1,2},[4]任务经验掉落配置表!$X$3:$X$173,[4]任务经验掉落配置表!$D$3:$D$173),2,FALSE)</f>
        <v>任务:强敌涌现</v>
      </c>
      <c r="C440" s="8">
        <v>0</v>
      </c>
      <c r="D440" s="8">
        <f t="shared" si="66"/>
        <v>0</v>
      </c>
      <c r="E440" s="16">
        <f t="shared" si="67"/>
        <v>0</v>
      </c>
      <c r="F440" s="16">
        <f t="shared" si="68"/>
        <v>0</v>
      </c>
      <c r="G440" s="8" t="str">
        <f>IF(H440="","",VLOOKUP(H440,引用表合并!$A:$B,2,FALSE))</f>
        <v/>
      </c>
      <c r="K440" s="8" t="str">
        <f>IF(L440="","",VLOOKUP(L440,引用表合并!$A:$B,2,FALSE))</f>
        <v/>
      </c>
      <c r="L440" s="8"/>
      <c r="M440" s="8"/>
      <c r="O440" s="8" t="str">
        <f>IF(P440="","",VLOOKUP(P440,引用表合并!$A:$B,2,FALSE))</f>
        <v/>
      </c>
      <c r="P440" s="8"/>
      <c r="Q440" s="8"/>
      <c r="S440" s="8" t="str">
        <f>IF(T440="","",VLOOKUP(T440,引用表合并!$A:$B,2,FALSE))</f>
        <v/>
      </c>
      <c r="T440" s="8"/>
      <c r="U440" s="8"/>
      <c r="W440" s="8" t="str">
        <f>IF(X440="","",VLOOKUP(X440,引用表合并!$A:$B,2,FALSE))</f>
        <v/>
      </c>
      <c r="X440" s="8"/>
      <c r="Y440" s="8"/>
      <c r="AA440" s="8" t="str">
        <f>IF(AB440="","",VLOOKUP(AB440,引用表合并!$A:$B,2,FALSE))</f>
        <v/>
      </c>
      <c r="AB440" s="8"/>
      <c r="AC440" s="8"/>
      <c r="AE440" s="8" t="str">
        <f>IF(AF440="","",VLOOKUP(AF440,引用表合并!$A:$B,2,FALSE))</f>
        <v/>
      </c>
      <c r="AF440" s="8"/>
      <c r="AG440" s="8"/>
      <c r="AI440" s="8" t="str">
        <f>IF(AJ440="","",VLOOKUP(AJ440,引用表合并!$A:$B,2,FALSE))</f>
        <v/>
      </c>
      <c r="AJ440" s="8"/>
      <c r="AK440" s="8"/>
      <c r="AM440" s="8" t="str">
        <f>IF(AN440="","",VLOOKUP(AN440,引用表合并!$A:$B,2,FALSE))</f>
        <v/>
      </c>
      <c r="AN440" s="8"/>
      <c r="AO440" s="8"/>
      <c r="AQ440" s="8" t="str">
        <f>IF(AR440="","",VLOOKUP(AR440,引用表合并!$A:$B,2,FALSE))</f>
        <v/>
      </c>
      <c r="AR440" s="8"/>
      <c r="AS440" s="8"/>
      <c r="AU440" s="8" t="str">
        <f>IF(AV440="","",VLOOKUP(AV440,引用表合并!$A:$B,2,FALSE))</f>
        <v/>
      </c>
      <c r="AV440" s="8"/>
      <c r="AW440" s="8"/>
      <c r="AY440" s="8" t="str">
        <f>IF(AZ440="","",VLOOKUP(AZ440,引用表合并!$A:$B,2,FALSE))</f>
        <v/>
      </c>
      <c r="AZ440" s="8"/>
      <c r="BA440" s="8"/>
      <c r="BC440" s="8" t="str">
        <f>IF(BD440="","",VLOOKUP(BD440,引用表合并!$A:$B,2,FALSE))</f>
        <v/>
      </c>
      <c r="BD440" s="8"/>
      <c r="BF440" s="10"/>
      <c r="BG440" s="8" t="str">
        <f>IF(BH440="","",VLOOKUP(BH440,引用表合并!$A:$B,2,FALSE))</f>
        <v/>
      </c>
      <c r="BH440" s="8"/>
      <c r="BJ440" s="10"/>
      <c r="BK440" s="8" t="str">
        <f>IF(BL440="","",VLOOKUP(BL440,引用表合并!$A:$B,2,FALSE))</f>
        <v/>
      </c>
      <c r="BL440" s="8"/>
      <c r="BN440" s="10"/>
    </row>
    <row r="441" spans="1:66" x14ac:dyDescent="0.15">
      <c r="A441" s="8">
        <v>901078</v>
      </c>
      <c r="B441" s="18" t="str">
        <f>"任务:"&amp;VLOOKUP(A441,CHOOSE({1,2},[4]任务经验掉落配置表!$X$3:$X$173,[4]任务经验掉落配置表!$D$3:$D$173),2,FALSE)</f>
        <v>任务:再会浩南</v>
      </c>
      <c r="C441" s="8">
        <v>0</v>
      </c>
      <c r="D441" s="8">
        <f t="shared" si="66"/>
        <v>0</v>
      </c>
      <c r="E441" s="16">
        <f t="shared" si="67"/>
        <v>0</v>
      </c>
      <c r="F441" s="16">
        <f t="shared" si="68"/>
        <v>0</v>
      </c>
      <c r="G441" s="8" t="str">
        <f>IF(H441="","",VLOOKUP(H441,引用表合并!$A:$B,2,FALSE))</f>
        <v/>
      </c>
      <c r="K441" s="8" t="str">
        <f>IF(L441="","",VLOOKUP(L441,引用表合并!$A:$B,2,FALSE))</f>
        <v/>
      </c>
      <c r="L441" s="8"/>
      <c r="M441" s="8"/>
      <c r="O441" s="8" t="str">
        <f>IF(P441="","",VLOOKUP(P441,引用表合并!$A:$B,2,FALSE))</f>
        <v/>
      </c>
      <c r="P441" s="8"/>
      <c r="Q441" s="8"/>
      <c r="S441" s="8" t="str">
        <f>IF(T441="","",VLOOKUP(T441,引用表合并!$A:$B,2,FALSE))</f>
        <v/>
      </c>
      <c r="T441" s="8"/>
      <c r="U441" s="8"/>
      <c r="W441" s="8" t="str">
        <f>IF(X441="","",VLOOKUP(X441,引用表合并!$A:$B,2,FALSE))</f>
        <v/>
      </c>
      <c r="X441" s="8"/>
      <c r="Y441" s="8"/>
      <c r="AA441" s="8" t="str">
        <f>IF(AB441="","",VLOOKUP(AB441,引用表合并!$A:$B,2,FALSE))</f>
        <v/>
      </c>
      <c r="AB441" s="8"/>
      <c r="AC441" s="8"/>
      <c r="AE441" s="8" t="str">
        <f>IF(AF441="","",VLOOKUP(AF441,引用表合并!$A:$B,2,FALSE))</f>
        <v/>
      </c>
      <c r="AF441" s="8"/>
      <c r="AG441" s="8"/>
      <c r="AI441" s="8" t="str">
        <f>IF(AJ441="","",VLOOKUP(AJ441,引用表合并!$A:$B,2,FALSE))</f>
        <v/>
      </c>
      <c r="AJ441" s="8"/>
      <c r="AK441" s="8"/>
      <c r="AM441" s="8" t="str">
        <f>IF(AN441="","",VLOOKUP(AN441,引用表合并!$A:$B,2,FALSE))</f>
        <v/>
      </c>
      <c r="AN441" s="8"/>
      <c r="AO441" s="8"/>
      <c r="AQ441" s="8" t="str">
        <f>IF(AR441="","",VLOOKUP(AR441,引用表合并!$A:$B,2,FALSE))</f>
        <v/>
      </c>
      <c r="AR441" s="8"/>
      <c r="AS441" s="8"/>
      <c r="AU441" s="8" t="str">
        <f>IF(AV441="","",VLOOKUP(AV441,引用表合并!$A:$B,2,FALSE))</f>
        <v/>
      </c>
      <c r="AV441" s="8"/>
      <c r="AW441" s="8"/>
      <c r="AY441" s="8" t="str">
        <f>IF(AZ441="","",VLOOKUP(AZ441,引用表合并!$A:$B,2,FALSE))</f>
        <v/>
      </c>
      <c r="AZ441" s="8"/>
      <c r="BA441" s="8"/>
      <c r="BC441" s="8" t="str">
        <f>IF(BD441="","",VLOOKUP(BD441,引用表合并!$A:$B,2,FALSE))</f>
        <v/>
      </c>
      <c r="BD441" s="8"/>
      <c r="BF441" s="10"/>
      <c r="BG441" s="8" t="str">
        <f>IF(BH441="","",VLOOKUP(BH441,引用表合并!$A:$B,2,FALSE))</f>
        <v/>
      </c>
      <c r="BH441" s="8"/>
      <c r="BJ441" s="10"/>
      <c r="BK441" s="8" t="str">
        <f>IF(BL441="","",VLOOKUP(BL441,引用表合并!$A:$B,2,FALSE))</f>
        <v/>
      </c>
      <c r="BL441" s="8"/>
      <c r="BN441" s="10"/>
    </row>
    <row r="442" spans="1:66" x14ac:dyDescent="0.15">
      <c r="A442" s="8">
        <v>901079</v>
      </c>
      <c r="B442" s="18" t="str">
        <f>"任务:"&amp;VLOOKUP(A442,CHOOSE({1,2},[4]任务经验掉落配置表!$X$3:$X$173,[4]任务经验掉落配置表!$D$3:$D$173),2,FALSE)</f>
        <v>任务:携手抗敌</v>
      </c>
      <c r="C442" s="8">
        <v>0</v>
      </c>
      <c r="D442" s="8">
        <f t="shared" si="66"/>
        <v>0</v>
      </c>
      <c r="E442" s="16">
        <f t="shared" si="67"/>
        <v>0</v>
      </c>
      <c r="F442" s="16">
        <f t="shared" si="68"/>
        <v>0</v>
      </c>
      <c r="G442" s="8" t="str">
        <f>IF(H442="","",VLOOKUP(H442,引用表合并!$A:$B,2,FALSE))</f>
        <v/>
      </c>
      <c r="K442" s="8" t="str">
        <f>IF(L442="","",VLOOKUP(L442,引用表合并!$A:$B,2,FALSE))</f>
        <v/>
      </c>
      <c r="L442" s="8"/>
      <c r="M442" s="8"/>
      <c r="O442" s="8" t="str">
        <f>IF(P442="","",VLOOKUP(P442,引用表合并!$A:$B,2,FALSE))</f>
        <v/>
      </c>
      <c r="P442" s="8"/>
      <c r="Q442" s="8"/>
      <c r="S442" s="8" t="str">
        <f>IF(T442="","",VLOOKUP(T442,引用表合并!$A:$B,2,FALSE))</f>
        <v/>
      </c>
      <c r="T442" s="8"/>
      <c r="U442" s="8"/>
      <c r="W442" s="8" t="str">
        <f>IF(X442="","",VLOOKUP(X442,引用表合并!$A:$B,2,FALSE))</f>
        <v/>
      </c>
      <c r="X442" s="8"/>
      <c r="Y442" s="8"/>
      <c r="AA442" s="8" t="str">
        <f>IF(AB442="","",VLOOKUP(AB442,引用表合并!$A:$B,2,FALSE))</f>
        <v/>
      </c>
      <c r="AB442" s="8"/>
      <c r="AC442" s="8"/>
      <c r="AE442" s="8" t="str">
        <f>IF(AF442="","",VLOOKUP(AF442,引用表合并!$A:$B,2,FALSE))</f>
        <v/>
      </c>
      <c r="AF442" s="8"/>
      <c r="AG442" s="8"/>
      <c r="AI442" s="8" t="str">
        <f>IF(AJ442="","",VLOOKUP(AJ442,引用表合并!$A:$B,2,FALSE))</f>
        <v/>
      </c>
      <c r="AJ442" s="8"/>
      <c r="AK442" s="8"/>
      <c r="AM442" s="8" t="str">
        <f>IF(AN442="","",VLOOKUP(AN442,引用表合并!$A:$B,2,FALSE))</f>
        <v/>
      </c>
      <c r="AN442" s="8"/>
      <c r="AO442" s="8"/>
      <c r="AQ442" s="8" t="str">
        <f>IF(AR442="","",VLOOKUP(AR442,引用表合并!$A:$B,2,FALSE))</f>
        <v/>
      </c>
      <c r="AR442" s="8"/>
      <c r="AS442" s="8"/>
      <c r="AU442" s="8" t="str">
        <f>IF(AV442="","",VLOOKUP(AV442,引用表合并!$A:$B,2,FALSE))</f>
        <v/>
      </c>
      <c r="AV442" s="8"/>
      <c r="AW442" s="8"/>
      <c r="AY442" s="8" t="str">
        <f>IF(AZ442="","",VLOOKUP(AZ442,引用表合并!$A:$B,2,FALSE))</f>
        <v/>
      </c>
      <c r="AZ442" s="8"/>
      <c r="BA442" s="8"/>
      <c r="BC442" s="8" t="str">
        <f>IF(BD442="","",VLOOKUP(BD442,引用表合并!$A:$B,2,FALSE))</f>
        <v/>
      </c>
      <c r="BD442" s="8"/>
      <c r="BF442" s="10"/>
      <c r="BG442" s="8" t="str">
        <f>IF(BH442="","",VLOOKUP(BH442,引用表合并!$A:$B,2,FALSE))</f>
        <v/>
      </c>
      <c r="BH442" s="8"/>
      <c r="BJ442" s="10"/>
      <c r="BK442" s="8" t="str">
        <f>IF(BL442="","",VLOOKUP(BL442,引用表合并!$A:$B,2,FALSE))</f>
        <v/>
      </c>
      <c r="BL442" s="8"/>
      <c r="BN442" s="10"/>
    </row>
    <row r="443" spans="1:66" x14ac:dyDescent="0.15">
      <c r="A443" s="8">
        <v>901080</v>
      </c>
      <c r="B443" s="18" t="str">
        <f>"任务:"&amp;VLOOKUP(A443,CHOOSE({1,2},[4]任务经验掉落配置表!$X$3:$X$173,[4]任务经验掉落配置表!$D$3:$D$173),2,FALSE)</f>
        <v>任务:友情岁月</v>
      </c>
      <c r="C443" s="8">
        <v>0</v>
      </c>
      <c r="D443" s="8">
        <f t="shared" si="66"/>
        <v>0</v>
      </c>
      <c r="E443" s="16">
        <f t="shared" si="67"/>
        <v>0</v>
      </c>
      <c r="F443" s="16">
        <f t="shared" si="68"/>
        <v>0</v>
      </c>
      <c r="G443" s="8" t="str">
        <f>IF(H443="","",VLOOKUP(H443,引用表合并!$A:$B,2,FALSE))</f>
        <v/>
      </c>
      <c r="K443" s="8" t="str">
        <f>IF(L443="","",VLOOKUP(L443,引用表合并!$A:$B,2,FALSE))</f>
        <v/>
      </c>
      <c r="L443" s="8"/>
      <c r="M443" s="8"/>
      <c r="O443" s="8" t="str">
        <f>IF(P443="","",VLOOKUP(P443,引用表合并!$A:$B,2,FALSE))</f>
        <v/>
      </c>
      <c r="P443" s="8"/>
      <c r="Q443" s="8"/>
      <c r="S443" s="8" t="str">
        <f>IF(T443="","",VLOOKUP(T443,引用表合并!$A:$B,2,FALSE))</f>
        <v/>
      </c>
      <c r="T443" s="8"/>
      <c r="U443" s="8"/>
      <c r="W443" s="8" t="str">
        <f>IF(X443="","",VLOOKUP(X443,引用表合并!$A:$B,2,FALSE))</f>
        <v/>
      </c>
      <c r="X443" s="8"/>
      <c r="Y443" s="8"/>
      <c r="AA443" s="8" t="str">
        <f>IF(AB443="","",VLOOKUP(AB443,引用表合并!$A:$B,2,FALSE))</f>
        <v/>
      </c>
      <c r="AB443" s="8"/>
      <c r="AC443" s="8"/>
      <c r="AE443" s="8" t="str">
        <f>IF(AF443="","",VLOOKUP(AF443,引用表合并!$A:$B,2,FALSE))</f>
        <v/>
      </c>
      <c r="AF443" s="8"/>
      <c r="AG443" s="8"/>
      <c r="AI443" s="8" t="str">
        <f>IF(AJ443="","",VLOOKUP(AJ443,引用表合并!$A:$B,2,FALSE))</f>
        <v/>
      </c>
      <c r="AJ443" s="8"/>
      <c r="AK443" s="8"/>
      <c r="AM443" s="8" t="str">
        <f>IF(AN443="","",VLOOKUP(AN443,引用表合并!$A:$B,2,FALSE))</f>
        <v/>
      </c>
      <c r="AN443" s="8"/>
      <c r="AO443" s="8"/>
      <c r="AQ443" s="8" t="str">
        <f>IF(AR443="","",VLOOKUP(AR443,引用表合并!$A:$B,2,FALSE))</f>
        <v/>
      </c>
      <c r="AR443" s="8"/>
      <c r="AS443" s="8"/>
      <c r="AU443" s="8" t="str">
        <f>IF(AV443="","",VLOOKUP(AV443,引用表合并!$A:$B,2,FALSE))</f>
        <v/>
      </c>
      <c r="AV443" s="8"/>
      <c r="AW443" s="8"/>
      <c r="AY443" s="8" t="str">
        <f>IF(AZ443="","",VLOOKUP(AZ443,引用表合并!$A:$B,2,FALSE))</f>
        <v/>
      </c>
      <c r="AZ443" s="8"/>
      <c r="BA443" s="8"/>
      <c r="BC443" s="8" t="str">
        <f>IF(BD443="","",VLOOKUP(BD443,引用表合并!$A:$B,2,FALSE))</f>
        <v/>
      </c>
      <c r="BD443" s="8"/>
      <c r="BF443" s="10"/>
      <c r="BG443" s="8" t="str">
        <f>IF(BH443="","",VLOOKUP(BH443,引用表合并!$A:$B,2,FALSE))</f>
        <v/>
      </c>
      <c r="BH443" s="8"/>
      <c r="BJ443" s="10"/>
      <c r="BK443" s="8" t="str">
        <f>IF(BL443="","",VLOOKUP(BL443,引用表合并!$A:$B,2,FALSE))</f>
        <v/>
      </c>
      <c r="BL443" s="8"/>
      <c r="BN443" s="10"/>
    </row>
    <row r="444" spans="1:66" x14ac:dyDescent="0.15">
      <c r="A444" s="8">
        <v>901081</v>
      </c>
      <c r="B444" s="18" t="str">
        <f>"任务:"&amp;VLOOKUP(A444,CHOOSE({1,2},[4]任务经验掉落配置表!$X$3:$X$173,[4]任务经验掉落配置表!$D$3:$D$173),2,FALSE)</f>
        <v>任务:血战宝岛</v>
      </c>
      <c r="C444" s="8">
        <v>0</v>
      </c>
      <c r="D444" s="8">
        <f t="shared" si="66"/>
        <v>0</v>
      </c>
      <c r="E444" s="16">
        <f t="shared" si="67"/>
        <v>0</v>
      </c>
      <c r="F444" s="16">
        <f t="shared" si="68"/>
        <v>0</v>
      </c>
      <c r="G444" s="8" t="str">
        <f>IF(H444="","",VLOOKUP(H444,引用表合并!$A:$B,2,FALSE))</f>
        <v/>
      </c>
      <c r="K444" s="8" t="str">
        <f>IF(L444="","",VLOOKUP(L444,引用表合并!$A:$B,2,FALSE))</f>
        <v/>
      </c>
      <c r="L444" s="8"/>
      <c r="M444" s="8"/>
      <c r="O444" s="8" t="str">
        <f>IF(P444="","",VLOOKUP(P444,引用表合并!$A:$B,2,FALSE))</f>
        <v/>
      </c>
      <c r="P444" s="8"/>
      <c r="Q444" s="8"/>
      <c r="S444" s="8" t="str">
        <f>IF(T444="","",VLOOKUP(T444,引用表合并!$A:$B,2,FALSE))</f>
        <v/>
      </c>
      <c r="T444" s="8"/>
      <c r="U444" s="8"/>
      <c r="W444" s="8" t="str">
        <f>IF(X444="","",VLOOKUP(X444,引用表合并!$A:$B,2,FALSE))</f>
        <v/>
      </c>
      <c r="X444" s="8"/>
      <c r="Y444" s="8"/>
      <c r="AA444" s="8" t="str">
        <f>IF(AB444="","",VLOOKUP(AB444,引用表合并!$A:$B,2,FALSE))</f>
        <v/>
      </c>
      <c r="AB444" s="8"/>
      <c r="AC444" s="8"/>
      <c r="AE444" s="8" t="str">
        <f>IF(AF444="","",VLOOKUP(AF444,引用表合并!$A:$B,2,FALSE))</f>
        <v/>
      </c>
      <c r="AF444" s="8"/>
      <c r="AG444" s="8"/>
      <c r="AI444" s="8" t="str">
        <f>IF(AJ444="","",VLOOKUP(AJ444,引用表合并!$A:$B,2,FALSE))</f>
        <v/>
      </c>
      <c r="AJ444" s="8"/>
      <c r="AK444" s="8"/>
      <c r="AM444" s="8" t="str">
        <f>IF(AN444="","",VLOOKUP(AN444,引用表合并!$A:$B,2,FALSE))</f>
        <v/>
      </c>
      <c r="AN444" s="8"/>
      <c r="AO444" s="8"/>
      <c r="AQ444" s="8" t="str">
        <f>IF(AR444="","",VLOOKUP(AR444,引用表合并!$A:$B,2,FALSE))</f>
        <v/>
      </c>
      <c r="AR444" s="8"/>
      <c r="AS444" s="8"/>
      <c r="AU444" s="8" t="str">
        <f>IF(AV444="","",VLOOKUP(AV444,引用表合并!$A:$B,2,FALSE))</f>
        <v/>
      </c>
      <c r="AV444" s="8"/>
      <c r="AW444" s="8"/>
      <c r="AY444" s="8" t="str">
        <f>IF(AZ444="","",VLOOKUP(AZ444,引用表合并!$A:$B,2,FALSE))</f>
        <v/>
      </c>
      <c r="AZ444" s="8"/>
      <c r="BA444" s="8"/>
      <c r="BC444" s="8" t="str">
        <f>IF(BD444="","",VLOOKUP(BD444,引用表合并!$A:$B,2,FALSE))</f>
        <v/>
      </c>
      <c r="BD444" s="8"/>
      <c r="BF444" s="10"/>
      <c r="BG444" s="8" t="str">
        <f>IF(BH444="","",VLOOKUP(BH444,引用表合并!$A:$B,2,FALSE))</f>
        <v/>
      </c>
      <c r="BH444" s="8"/>
      <c r="BJ444" s="10"/>
      <c r="BK444" s="8" t="str">
        <f>IF(BL444="","",VLOOKUP(BL444,引用表合并!$A:$B,2,FALSE))</f>
        <v/>
      </c>
      <c r="BL444" s="8"/>
      <c r="BN444" s="10"/>
    </row>
    <row r="445" spans="1:66" x14ac:dyDescent="0.15">
      <c r="A445" s="8">
        <v>902201</v>
      </c>
      <c r="B445" s="18" t="str">
        <f>"任务:"&amp;VLOOKUP(A445,CHOOSE({1,2},[4]任务经验掉落配置表!$X$3:$X$173,[4]任务经验掉落配置表!$D$3:$D$173),2,FALSE)</f>
        <v>任务:精英副本</v>
      </c>
      <c r="C445" s="8">
        <v>0</v>
      </c>
      <c r="D445" s="8">
        <f t="shared" si="66"/>
        <v>1</v>
      </c>
      <c r="E445" s="16">
        <f t="shared" si="67"/>
        <v>1</v>
      </c>
      <c r="F445" s="16">
        <f t="shared" si="68"/>
        <v>1</v>
      </c>
      <c r="G445" s="8" t="str">
        <f>IF(H445="","",VLOOKUP(H445,引用表合并!$A:$B,2,FALSE))</f>
        <v>马仔经验药水</v>
      </c>
      <c r="H445" s="8">
        <v>91100</v>
      </c>
      <c r="I445" s="8">
        <v>5</v>
      </c>
      <c r="J445" s="10">
        <v>10000</v>
      </c>
      <c r="K445" s="8" t="str">
        <f>IF(L445="","",VLOOKUP(L445,引用表合并!$A:$B,2,FALSE))</f>
        <v/>
      </c>
      <c r="L445" s="8"/>
      <c r="M445" s="8"/>
      <c r="O445" s="8" t="str">
        <f>IF(P445="","",VLOOKUP(P445,引用表合并!$A:$B,2,FALSE))</f>
        <v/>
      </c>
      <c r="P445" s="8"/>
      <c r="Q445" s="8"/>
      <c r="S445" s="8" t="str">
        <f>IF(T445="","",VLOOKUP(T445,引用表合并!$A:$B,2,FALSE))</f>
        <v/>
      </c>
      <c r="T445" s="8"/>
      <c r="U445" s="8"/>
      <c r="W445" s="8" t="str">
        <f>IF(X445="","",VLOOKUP(X445,引用表合并!$A:$B,2,FALSE))</f>
        <v/>
      </c>
      <c r="X445" s="8"/>
      <c r="Y445" s="8"/>
      <c r="AA445" s="8" t="str">
        <f>IF(AB445="","",VLOOKUP(AB445,引用表合并!$A:$B,2,FALSE))</f>
        <v/>
      </c>
      <c r="AB445" s="8"/>
      <c r="AC445" s="8"/>
      <c r="AE445" s="8" t="str">
        <f>IF(AF445="","",VLOOKUP(AF445,引用表合并!$A:$B,2,FALSE))</f>
        <v/>
      </c>
      <c r="AF445" s="8"/>
      <c r="AG445" s="8"/>
      <c r="AI445" s="8" t="str">
        <f>IF(AJ445="","",VLOOKUP(AJ445,引用表合并!$A:$B,2,FALSE))</f>
        <v/>
      </c>
      <c r="AJ445" s="8"/>
      <c r="AK445" s="8"/>
      <c r="AM445" s="8" t="str">
        <f>IF(AN445="","",VLOOKUP(AN445,引用表合并!$A:$B,2,FALSE))</f>
        <v/>
      </c>
      <c r="AN445" s="8"/>
      <c r="AO445" s="8"/>
      <c r="AQ445" s="8" t="str">
        <f>IF(AR445="","",VLOOKUP(AR445,引用表合并!$A:$B,2,FALSE))</f>
        <v/>
      </c>
      <c r="AR445" s="8"/>
      <c r="AS445" s="8"/>
      <c r="AU445" s="8" t="str">
        <f>IF(AV445="","",VLOOKUP(AV445,引用表合并!$A:$B,2,FALSE))</f>
        <v/>
      </c>
      <c r="AV445" s="8"/>
      <c r="AW445" s="8"/>
      <c r="AY445" s="8" t="str">
        <f>IF(AZ445="","",VLOOKUP(AZ445,引用表合并!$A:$B,2,FALSE))</f>
        <v/>
      </c>
      <c r="AZ445" s="8"/>
      <c r="BA445" s="8"/>
      <c r="BC445" s="8" t="str">
        <f>IF(BD445="","",VLOOKUP(BD445,引用表合并!$A:$B,2,FALSE))</f>
        <v/>
      </c>
      <c r="BD445" s="8"/>
      <c r="BF445" s="10"/>
      <c r="BG445" s="8" t="str">
        <f>IF(BH445="","",VLOOKUP(BH445,引用表合并!$A:$B,2,FALSE))</f>
        <v/>
      </c>
      <c r="BH445" s="8"/>
      <c r="BJ445" s="10"/>
      <c r="BK445" s="8" t="str">
        <f>IF(BL445="","",VLOOKUP(BL445,引用表合并!$A:$B,2,FALSE))</f>
        <v/>
      </c>
      <c r="BL445" s="8"/>
      <c r="BN445" s="10"/>
    </row>
    <row r="446" spans="1:66" x14ac:dyDescent="0.15">
      <c r="A446" s="8">
        <v>903001</v>
      </c>
      <c r="B446" s="18" t="str">
        <f>"任务:"&amp;VLOOKUP(A446,CHOOSE({1,2},[4]任务经验掉落配置表!$X$3:$X$173,[4]任务经验掉落配置表!$D$3:$D$173),2,FALSE)</f>
        <v>任务:狩猎巴闭</v>
      </c>
      <c r="C446" s="8">
        <v>1</v>
      </c>
      <c r="D446" s="8">
        <f t="shared" si="66"/>
        <v>3</v>
      </c>
      <c r="E446" s="16">
        <f t="shared" si="67"/>
        <v>3</v>
      </c>
      <c r="F446" s="16">
        <f t="shared" si="68"/>
        <v>3</v>
      </c>
      <c r="G446" s="8" t="str">
        <f>IF(H446="","",VLOOKUP(H446,引用表合并!$A:$B,2,FALSE))</f>
        <v>新手之剑</v>
      </c>
      <c r="H446" s="8">
        <v>10001</v>
      </c>
      <c r="I446" s="8">
        <v>1</v>
      </c>
      <c r="J446" s="10">
        <v>10000</v>
      </c>
      <c r="K446" s="8" t="str">
        <f>IF(L446="","",VLOOKUP(L446,引用表合并!$A:$B,2,FALSE))</f>
        <v>新手之拳</v>
      </c>
      <c r="L446" s="8">
        <v>20001</v>
      </c>
      <c r="M446" s="8">
        <v>1</v>
      </c>
      <c r="N446" s="10">
        <v>10000</v>
      </c>
      <c r="O446" s="8" t="str">
        <f>IF(P446="","",VLOOKUP(P446,引用表合并!$A:$B,2,FALSE))</f>
        <v>新手之枪</v>
      </c>
      <c r="P446" s="8">
        <v>30001</v>
      </c>
      <c r="Q446" s="8">
        <v>1</v>
      </c>
      <c r="R446" s="10">
        <v>10000</v>
      </c>
      <c r="S446" s="8" t="str">
        <f>IF(T446="","",VLOOKUP(T446,引用表合并!$A:$B,2,FALSE))</f>
        <v/>
      </c>
      <c r="T446" s="8"/>
      <c r="U446" s="8"/>
      <c r="W446" s="8" t="str">
        <f>IF(X446="","",VLOOKUP(X446,引用表合并!$A:$B,2,FALSE))</f>
        <v/>
      </c>
      <c r="X446" s="8"/>
      <c r="Y446" s="8"/>
      <c r="AA446" s="8" t="str">
        <f>IF(AB446="","",VLOOKUP(AB446,引用表合并!$A:$B,2,FALSE))</f>
        <v/>
      </c>
      <c r="AB446" s="8"/>
      <c r="AC446" s="8"/>
      <c r="AE446" s="8" t="str">
        <f>IF(AF446="","",VLOOKUP(AF446,引用表合并!$A:$B,2,FALSE))</f>
        <v/>
      </c>
      <c r="AF446" s="8"/>
      <c r="AG446" s="8"/>
      <c r="AI446" s="8" t="str">
        <f>IF(AJ446="","",VLOOKUP(AJ446,引用表合并!$A:$B,2,FALSE))</f>
        <v/>
      </c>
      <c r="AJ446" s="8"/>
      <c r="AK446" s="8"/>
      <c r="AM446" s="8" t="str">
        <f>IF(AN446="","",VLOOKUP(AN446,引用表合并!$A:$B,2,FALSE))</f>
        <v/>
      </c>
      <c r="AN446" s="8"/>
      <c r="AO446" s="8"/>
      <c r="AQ446" s="8" t="str">
        <f>IF(AR446="","",VLOOKUP(AR446,引用表合并!$A:$B,2,FALSE))</f>
        <v/>
      </c>
      <c r="AR446" s="8"/>
      <c r="AS446" s="8"/>
      <c r="AU446" s="8" t="str">
        <f>IF(AV446="","",VLOOKUP(AV446,引用表合并!$A:$B,2,FALSE))</f>
        <v/>
      </c>
      <c r="AV446" s="8"/>
      <c r="AW446" s="8"/>
      <c r="AY446" s="8" t="str">
        <f>IF(AZ446="","",VLOOKUP(AZ446,引用表合并!$A:$B,2,FALSE))</f>
        <v/>
      </c>
      <c r="AZ446" s="8"/>
      <c r="BA446" s="8"/>
      <c r="BC446" s="8" t="str">
        <f>IF(BD446="","",VLOOKUP(BD446,引用表合并!$A:$B,2,FALSE))</f>
        <v/>
      </c>
      <c r="BD446" s="8"/>
      <c r="BF446" s="10"/>
      <c r="BG446" s="8" t="str">
        <f>IF(BH446="","",VLOOKUP(BH446,引用表合并!$A:$B,2,FALSE))</f>
        <v/>
      </c>
      <c r="BH446" s="8"/>
      <c r="BJ446" s="10"/>
      <c r="BK446" s="8" t="str">
        <f>IF(BL446="","",VLOOKUP(BL446,引用表合并!$A:$B,2,FALSE))</f>
        <v/>
      </c>
      <c r="BL446" s="8"/>
      <c r="BN446" s="10"/>
    </row>
    <row r="447" spans="1:66" x14ac:dyDescent="0.15">
      <c r="A447" s="8">
        <v>903003</v>
      </c>
      <c r="B447" s="18" t="str">
        <f>"任务:"&amp;VLOOKUP(A447,CHOOSE({1,2},[4]任务经验掉落配置表!$X$3:$X$173,[4]任务经验掉落配置表!$D$3:$D$173),2,FALSE)</f>
        <v>任务:实力检测</v>
      </c>
      <c r="C447" s="8">
        <v>0</v>
      </c>
      <c r="D447" s="8">
        <f t="shared" si="66"/>
        <v>0</v>
      </c>
      <c r="E447" s="16">
        <f t="shared" si="67"/>
        <v>0</v>
      </c>
      <c r="F447" s="16">
        <f t="shared" si="68"/>
        <v>0</v>
      </c>
      <c r="G447" s="8" t="str">
        <f>IF(H447="","",VLOOKUP(H447,引用表合并!$A:$B,2,FALSE))</f>
        <v/>
      </c>
      <c r="K447" s="8" t="str">
        <f>IF(L447="","",VLOOKUP(L447,引用表合并!$A:$B,2,FALSE))</f>
        <v/>
      </c>
      <c r="L447" s="8"/>
      <c r="M447" s="8"/>
      <c r="O447" s="8" t="str">
        <f>IF(P447="","",VLOOKUP(P447,引用表合并!$A:$B,2,FALSE))</f>
        <v/>
      </c>
      <c r="P447" s="8"/>
      <c r="Q447" s="8"/>
      <c r="S447" s="8" t="str">
        <f>IF(T447="","",VLOOKUP(T447,引用表合并!$A:$B,2,FALSE))</f>
        <v/>
      </c>
      <c r="T447" s="8"/>
      <c r="U447" s="8"/>
      <c r="W447" s="8" t="str">
        <f>IF(X447="","",VLOOKUP(X447,引用表合并!$A:$B,2,FALSE))</f>
        <v/>
      </c>
      <c r="X447" s="8"/>
      <c r="Y447" s="8"/>
      <c r="AA447" s="8" t="str">
        <f>IF(AB447="","",VLOOKUP(AB447,引用表合并!$A:$B,2,FALSE))</f>
        <v/>
      </c>
      <c r="AB447" s="8"/>
      <c r="AC447" s="8"/>
      <c r="AE447" s="8" t="str">
        <f>IF(AF447="","",VLOOKUP(AF447,引用表合并!$A:$B,2,FALSE))</f>
        <v/>
      </c>
      <c r="AF447" s="8"/>
      <c r="AG447" s="8"/>
      <c r="AI447" s="8" t="str">
        <f>IF(AJ447="","",VLOOKUP(AJ447,引用表合并!$A:$B,2,FALSE))</f>
        <v/>
      </c>
      <c r="AJ447" s="8"/>
      <c r="AK447" s="8"/>
      <c r="AM447" s="8" t="str">
        <f>IF(AN447="","",VLOOKUP(AN447,引用表合并!$A:$B,2,FALSE))</f>
        <v/>
      </c>
      <c r="AN447" s="8"/>
      <c r="AO447" s="8"/>
      <c r="AQ447" s="8" t="str">
        <f>IF(AR447="","",VLOOKUP(AR447,引用表合并!$A:$B,2,FALSE))</f>
        <v/>
      </c>
      <c r="AR447" s="8"/>
      <c r="AS447" s="8"/>
      <c r="AU447" s="8" t="str">
        <f>IF(AV447="","",VLOOKUP(AV447,引用表合并!$A:$B,2,FALSE))</f>
        <v/>
      </c>
      <c r="AV447" s="8"/>
      <c r="AW447" s="8"/>
      <c r="AY447" s="8" t="str">
        <f>IF(AZ447="","",VLOOKUP(AZ447,引用表合并!$A:$B,2,FALSE))</f>
        <v/>
      </c>
      <c r="AZ447" s="8"/>
      <c r="BA447" s="8"/>
      <c r="BC447" s="8" t="str">
        <f>IF(BD447="","",VLOOKUP(BD447,引用表合并!$A:$B,2,FALSE))</f>
        <v/>
      </c>
      <c r="BD447" s="8"/>
      <c r="BF447" s="10"/>
      <c r="BG447" s="8" t="str">
        <f>IF(BH447="","",VLOOKUP(BH447,引用表合并!$A:$B,2,FALSE))</f>
        <v/>
      </c>
      <c r="BH447" s="8"/>
      <c r="BJ447" s="10"/>
      <c r="BK447" s="8" t="str">
        <f>IF(BL447="","",VLOOKUP(BL447,引用表合并!$A:$B,2,FALSE))</f>
        <v/>
      </c>
      <c r="BL447" s="8"/>
      <c r="BN447" s="10"/>
    </row>
    <row r="448" spans="1:66" x14ac:dyDescent="0.15">
      <c r="A448" s="8">
        <v>903004</v>
      </c>
      <c r="B448" s="18" t="str">
        <f>"任务:"&amp;VLOOKUP(A448,CHOOSE({1,2},[4]任务经验掉落配置表!$X$3:$X$173,[4]任务经验掉落配置表!$D$3:$D$173),2,FALSE)</f>
        <v>任务:联络蒋生</v>
      </c>
      <c r="C448" s="8">
        <v>0</v>
      </c>
      <c r="D448" s="8">
        <f t="shared" ref="D448:D456" si="69">E448</f>
        <v>0</v>
      </c>
      <c r="E448" s="16">
        <f t="shared" si="67"/>
        <v>0</v>
      </c>
      <c r="F448" s="16">
        <f t="shared" si="68"/>
        <v>0</v>
      </c>
      <c r="G448" s="8" t="str">
        <f>IF(H448="","",VLOOKUP(H448,引用表合并!$A:$B,2,FALSE))</f>
        <v/>
      </c>
      <c r="K448" s="8" t="str">
        <f>IF(L448="","",VLOOKUP(L448,引用表合并!$A:$B,2,FALSE))</f>
        <v/>
      </c>
      <c r="L448" s="8"/>
      <c r="M448" s="8"/>
      <c r="O448" s="8" t="str">
        <f>IF(P448="","",VLOOKUP(P448,引用表合并!$A:$B,2,FALSE))</f>
        <v/>
      </c>
      <c r="P448" s="8"/>
      <c r="Q448" s="8"/>
      <c r="S448" s="8" t="str">
        <f>IF(T448="","",VLOOKUP(T448,引用表合并!$A:$B,2,FALSE))</f>
        <v/>
      </c>
      <c r="T448" s="8"/>
      <c r="U448" s="8"/>
      <c r="W448" s="8" t="str">
        <f>IF(X448="","",VLOOKUP(X448,引用表合并!$A:$B,2,FALSE))</f>
        <v/>
      </c>
      <c r="X448" s="8"/>
      <c r="Y448" s="8"/>
      <c r="AA448" s="8" t="str">
        <f>IF(AB448="","",VLOOKUP(AB448,引用表合并!$A:$B,2,FALSE))</f>
        <v/>
      </c>
      <c r="AB448" s="8"/>
      <c r="AC448" s="8"/>
      <c r="AE448" s="8" t="str">
        <f>IF(AF448="","",VLOOKUP(AF448,引用表合并!$A:$B,2,FALSE))</f>
        <v/>
      </c>
      <c r="AF448" s="8"/>
      <c r="AG448" s="8"/>
      <c r="AI448" s="8" t="str">
        <f>IF(AJ448="","",VLOOKUP(AJ448,引用表合并!$A:$B,2,FALSE))</f>
        <v/>
      </c>
      <c r="AJ448" s="8"/>
      <c r="AK448" s="8"/>
      <c r="AM448" s="8" t="str">
        <f>IF(AN448="","",VLOOKUP(AN448,引用表合并!$A:$B,2,FALSE))</f>
        <v/>
      </c>
      <c r="AN448" s="8"/>
      <c r="AO448" s="8"/>
      <c r="AQ448" s="8" t="str">
        <f>IF(AR448="","",VLOOKUP(AR448,引用表合并!$A:$B,2,FALSE))</f>
        <v/>
      </c>
      <c r="AR448" s="8"/>
      <c r="AS448" s="8"/>
      <c r="AU448" s="8" t="str">
        <f>IF(AV448="","",VLOOKUP(AV448,引用表合并!$A:$B,2,FALSE))</f>
        <v/>
      </c>
      <c r="AV448" s="8"/>
      <c r="AW448" s="8"/>
      <c r="AY448" s="8" t="str">
        <f>IF(AZ448="","",VLOOKUP(AZ448,引用表合并!$A:$B,2,FALSE))</f>
        <v/>
      </c>
      <c r="AZ448" s="8"/>
      <c r="BA448" s="8"/>
      <c r="BC448" s="8" t="str">
        <f>IF(BD448="","",VLOOKUP(BD448,引用表合并!$A:$B,2,FALSE))</f>
        <v/>
      </c>
      <c r="BD448" s="8"/>
      <c r="BF448" s="10"/>
      <c r="BG448" s="8" t="str">
        <f>IF(BH448="","",VLOOKUP(BH448,引用表合并!$A:$B,2,FALSE))</f>
        <v/>
      </c>
      <c r="BH448" s="8"/>
      <c r="BJ448" s="10"/>
      <c r="BK448" s="8" t="str">
        <f>IF(BL448="","",VLOOKUP(BL448,引用表合并!$A:$B,2,FALSE))</f>
        <v/>
      </c>
      <c r="BL448" s="8"/>
      <c r="BN448" s="10"/>
    </row>
    <row r="449" spans="1:66" x14ac:dyDescent="0.15">
      <c r="A449" s="8">
        <v>903005</v>
      </c>
      <c r="B449" s="18" t="str">
        <f>"任务:"&amp;VLOOKUP(A449,CHOOSE({1,2},[4]任务经验掉落配置表!$X$3:$X$173,[4]任务经验掉落配置表!$D$3:$D$173),2,FALSE)</f>
        <v>任务:正面交锋</v>
      </c>
      <c r="C449" s="8">
        <v>0</v>
      </c>
      <c r="D449" s="8">
        <f t="shared" si="69"/>
        <v>0</v>
      </c>
      <c r="E449" s="16">
        <f t="shared" si="67"/>
        <v>0</v>
      </c>
      <c r="F449" s="16">
        <f t="shared" si="68"/>
        <v>0</v>
      </c>
      <c r="G449" s="8" t="str">
        <f>IF(H449="","",VLOOKUP(H449,引用表合并!$A:$B,2,FALSE))</f>
        <v/>
      </c>
      <c r="K449" s="8" t="str">
        <f>IF(L449="","",VLOOKUP(L449,引用表合并!$A:$B,2,FALSE))</f>
        <v/>
      </c>
      <c r="L449" s="8"/>
      <c r="M449" s="8"/>
      <c r="O449" s="8" t="str">
        <f>IF(P449="","",VLOOKUP(P449,引用表合并!$A:$B,2,FALSE))</f>
        <v/>
      </c>
      <c r="P449" s="8"/>
      <c r="Q449" s="8"/>
      <c r="S449" s="8" t="str">
        <f>IF(T449="","",VLOOKUP(T449,引用表合并!$A:$B,2,FALSE))</f>
        <v/>
      </c>
      <c r="T449" s="8"/>
      <c r="U449" s="8"/>
      <c r="W449" s="8" t="str">
        <f>IF(X449="","",VLOOKUP(X449,引用表合并!$A:$B,2,FALSE))</f>
        <v/>
      </c>
      <c r="X449" s="8"/>
      <c r="Y449" s="8"/>
      <c r="AA449" s="8" t="str">
        <f>IF(AB449="","",VLOOKUP(AB449,引用表合并!$A:$B,2,FALSE))</f>
        <v/>
      </c>
      <c r="AB449" s="8"/>
      <c r="AC449" s="8"/>
      <c r="AE449" s="8" t="str">
        <f>IF(AF449="","",VLOOKUP(AF449,引用表合并!$A:$B,2,FALSE))</f>
        <v/>
      </c>
      <c r="AF449" s="8"/>
      <c r="AG449" s="8"/>
      <c r="AI449" s="8" t="str">
        <f>IF(AJ449="","",VLOOKUP(AJ449,引用表合并!$A:$B,2,FALSE))</f>
        <v/>
      </c>
      <c r="AJ449" s="8"/>
      <c r="AK449" s="8"/>
      <c r="AM449" s="8" t="str">
        <f>IF(AN449="","",VLOOKUP(AN449,引用表合并!$A:$B,2,FALSE))</f>
        <v/>
      </c>
      <c r="AN449" s="8"/>
      <c r="AO449" s="8"/>
      <c r="AQ449" s="8" t="str">
        <f>IF(AR449="","",VLOOKUP(AR449,引用表合并!$A:$B,2,FALSE))</f>
        <v/>
      </c>
      <c r="AR449" s="8"/>
      <c r="AS449" s="8"/>
      <c r="AU449" s="8" t="str">
        <f>IF(AV449="","",VLOOKUP(AV449,引用表合并!$A:$B,2,FALSE))</f>
        <v/>
      </c>
      <c r="AV449" s="8"/>
      <c r="AW449" s="8"/>
      <c r="AY449" s="8" t="str">
        <f>IF(AZ449="","",VLOOKUP(AZ449,引用表合并!$A:$B,2,FALSE))</f>
        <v/>
      </c>
      <c r="AZ449" s="8"/>
      <c r="BA449" s="8"/>
      <c r="BC449" s="8" t="str">
        <f>IF(BD449="","",VLOOKUP(BD449,引用表合并!$A:$B,2,FALSE))</f>
        <v/>
      </c>
      <c r="BD449" s="8"/>
      <c r="BF449" s="10"/>
      <c r="BG449" s="8" t="str">
        <f>IF(BH449="","",VLOOKUP(BH449,引用表合并!$A:$B,2,FALSE))</f>
        <v/>
      </c>
      <c r="BH449" s="8"/>
      <c r="BJ449" s="10"/>
      <c r="BK449" s="8" t="str">
        <f>IF(BL449="","",VLOOKUP(BL449,引用表合并!$A:$B,2,FALSE))</f>
        <v/>
      </c>
      <c r="BL449" s="8"/>
      <c r="BN449" s="10"/>
    </row>
    <row r="450" spans="1:66" x14ac:dyDescent="0.15">
      <c r="A450" s="8">
        <v>903006</v>
      </c>
      <c r="B450" s="18" t="str">
        <f>"任务:"&amp;VLOOKUP(A450,CHOOSE({1,2},[4]任务经验掉落配置表!$X$3:$X$173,[4]任务经验掉落配置表!$D$3:$D$173),2,FALSE)</f>
        <v>任务:愈战愈勇</v>
      </c>
      <c r="C450" s="8">
        <v>0</v>
      </c>
      <c r="D450" s="8">
        <f t="shared" si="69"/>
        <v>0</v>
      </c>
      <c r="E450" s="16">
        <f t="shared" si="67"/>
        <v>0</v>
      </c>
      <c r="F450" s="16">
        <f t="shared" si="68"/>
        <v>0</v>
      </c>
      <c r="G450" s="8" t="str">
        <f>IF(H450="","",VLOOKUP(H450,引用表合并!$A:$B,2,FALSE))</f>
        <v/>
      </c>
      <c r="K450" s="8" t="str">
        <f>IF(L450="","",VLOOKUP(L450,引用表合并!$A:$B,2,FALSE))</f>
        <v/>
      </c>
      <c r="L450" s="8"/>
      <c r="M450" s="8"/>
      <c r="O450" s="8" t="str">
        <f>IF(P450="","",VLOOKUP(P450,引用表合并!$A:$B,2,FALSE))</f>
        <v/>
      </c>
      <c r="P450" s="8"/>
      <c r="Q450" s="8"/>
      <c r="S450" s="8" t="str">
        <f>IF(T450="","",VLOOKUP(T450,引用表合并!$A:$B,2,FALSE))</f>
        <v/>
      </c>
      <c r="T450" s="8"/>
      <c r="U450" s="8"/>
      <c r="W450" s="8" t="str">
        <f>IF(X450="","",VLOOKUP(X450,引用表合并!$A:$B,2,FALSE))</f>
        <v/>
      </c>
      <c r="X450" s="8"/>
      <c r="Y450" s="8"/>
      <c r="AA450" s="8" t="str">
        <f>IF(AB450="","",VLOOKUP(AB450,引用表合并!$A:$B,2,FALSE))</f>
        <v/>
      </c>
      <c r="AB450" s="8"/>
      <c r="AC450" s="8"/>
      <c r="AE450" s="8" t="str">
        <f>IF(AF450="","",VLOOKUP(AF450,引用表合并!$A:$B,2,FALSE))</f>
        <v/>
      </c>
      <c r="AF450" s="8"/>
      <c r="AG450" s="8"/>
      <c r="AI450" s="8" t="str">
        <f>IF(AJ450="","",VLOOKUP(AJ450,引用表合并!$A:$B,2,FALSE))</f>
        <v/>
      </c>
      <c r="AJ450" s="8"/>
      <c r="AK450" s="8"/>
      <c r="AM450" s="8" t="str">
        <f>IF(AN450="","",VLOOKUP(AN450,引用表合并!$A:$B,2,FALSE))</f>
        <v/>
      </c>
      <c r="AN450" s="8"/>
      <c r="AO450" s="8"/>
      <c r="AQ450" s="8" t="str">
        <f>IF(AR450="","",VLOOKUP(AR450,引用表合并!$A:$B,2,FALSE))</f>
        <v/>
      </c>
      <c r="AR450" s="8"/>
      <c r="AS450" s="8"/>
      <c r="AU450" s="8" t="str">
        <f>IF(AV450="","",VLOOKUP(AV450,引用表合并!$A:$B,2,FALSE))</f>
        <v/>
      </c>
      <c r="AV450" s="8"/>
      <c r="AW450" s="8"/>
      <c r="AY450" s="8" t="str">
        <f>IF(AZ450="","",VLOOKUP(AZ450,引用表合并!$A:$B,2,FALSE))</f>
        <v/>
      </c>
      <c r="AZ450" s="8"/>
      <c r="BA450" s="8"/>
      <c r="BC450" s="8" t="str">
        <f>IF(BD450="","",VLOOKUP(BD450,引用表合并!$A:$B,2,FALSE))</f>
        <v/>
      </c>
      <c r="BD450" s="8"/>
      <c r="BF450" s="10"/>
      <c r="BG450" s="8" t="str">
        <f>IF(BH450="","",VLOOKUP(BH450,引用表合并!$A:$B,2,FALSE))</f>
        <v/>
      </c>
      <c r="BH450" s="8"/>
      <c r="BJ450" s="10"/>
      <c r="BK450" s="8" t="str">
        <f>IF(BL450="","",VLOOKUP(BL450,引用表合并!$A:$B,2,FALSE))</f>
        <v/>
      </c>
      <c r="BL450" s="8"/>
      <c r="BN450" s="10"/>
    </row>
    <row r="451" spans="1:66" x14ac:dyDescent="0.15">
      <c r="A451" s="8">
        <v>903007</v>
      </c>
      <c r="B451" s="18" t="str">
        <f>"任务:"&amp;VLOOKUP(A451,CHOOSE({1,2},[4]任务经验掉落配置表!$X$3:$X$173,[4]任务经验掉落配置表!$D$3:$D$173),2,FALSE)</f>
        <v>任务:恶战</v>
      </c>
      <c r="C451" s="8">
        <v>0</v>
      </c>
      <c r="D451" s="8">
        <f t="shared" si="69"/>
        <v>0</v>
      </c>
      <c r="E451" s="16">
        <f t="shared" si="67"/>
        <v>0</v>
      </c>
      <c r="F451" s="16">
        <f t="shared" si="68"/>
        <v>0</v>
      </c>
      <c r="G451" s="8" t="str">
        <f>IF(H451="","",VLOOKUP(H451,引用表合并!$A:$B,2,FALSE))</f>
        <v/>
      </c>
      <c r="K451" s="8" t="str">
        <f>IF(L451="","",VLOOKUP(L451,引用表合并!$A:$B,2,FALSE))</f>
        <v/>
      </c>
      <c r="L451" s="8"/>
      <c r="M451" s="8"/>
      <c r="O451" s="8" t="str">
        <f>IF(P451="","",VLOOKUP(P451,引用表合并!$A:$B,2,FALSE))</f>
        <v/>
      </c>
      <c r="P451" s="8"/>
      <c r="Q451" s="8"/>
      <c r="S451" s="8" t="str">
        <f>IF(T451="","",VLOOKUP(T451,引用表合并!$A:$B,2,FALSE))</f>
        <v/>
      </c>
      <c r="T451" s="8"/>
      <c r="U451" s="8"/>
      <c r="W451" s="8" t="str">
        <f>IF(X451="","",VLOOKUP(X451,引用表合并!$A:$B,2,FALSE))</f>
        <v/>
      </c>
      <c r="X451" s="8"/>
      <c r="Y451" s="8"/>
      <c r="AA451" s="8" t="str">
        <f>IF(AB451="","",VLOOKUP(AB451,引用表合并!$A:$B,2,FALSE))</f>
        <v/>
      </c>
      <c r="AB451" s="8"/>
      <c r="AC451" s="8"/>
      <c r="AE451" s="8" t="str">
        <f>IF(AF451="","",VLOOKUP(AF451,引用表合并!$A:$B,2,FALSE))</f>
        <v/>
      </c>
      <c r="AF451" s="8"/>
      <c r="AG451" s="8"/>
      <c r="AI451" s="8" t="str">
        <f>IF(AJ451="","",VLOOKUP(AJ451,引用表合并!$A:$B,2,FALSE))</f>
        <v/>
      </c>
      <c r="AJ451" s="8"/>
      <c r="AK451" s="8"/>
      <c r="AM451" s="8" t="str">
        <f>IF(AN451="","",VLOOKUP(AN451,引用表合并!$A:$B,2,FALSE))</f>
        <v/>
      </c>
      <c r="AN451" s="8"/>
      <c r="AO451" s="8"/>
      <c r="AQ451" s="8" t="str">
        <f>IF(AR451="","",VLOOKUP(AR451,引用表合并!$A:$B,2,FALSE))</f>
        <v/>
      </c>
      <c r="AR451" s="8"/>
      <c r="AS451" s="8"/>
      <c r="AU451" s="8" t="str">
        <f>IF(AV451="","",VLOOKUP(AV451,引用表合并!$A:$B,2,FALSE))</f>
        <v/>
      </c>
      <c r="AV451" s="8"/>
      <c r="AW451" s="8"/>
      <c r="AY451" s="8" t="str">
        <f>IF(AZ451="","",VLOOKUP(AZ451,引用表合并!$A:$B,2,FALSE))</f>
        <v/>
      </c>
      <c r="AZ451" s="8"/>
      <c r="BA451" s="8"/>
      <c r="BC451" s="8" t="str">
        <f>IF(BD451="","",VLOOKUP(BD451,引用表合并!$A:$B,2,FALSE))</f>
        <v/>
      </c>
      <c r="BD451" s="8"/>
      <c r="BF451" s="10"/>
      <c r="BG451" s="8" t="str">
        <f>IF(BH451="","",VLOOKUP(BH451,引用表合并!$A:$B,2,FALSE))</f>
        <v/>
      </c>
      <c r="BH451" s="8"/>
      <c r="BJ451" s="10"/>
      <c r="BK451" s="8" t="str">
        <f>IF(BL451="","",VLOOKUP(BL451,引用表合并!$A:$B,2,FALSE))</f>
        <v/>
      </c>
      <c r="BL451" s="8"/>
      <c r="BN451" s="10"/>
    </row>
    <row r="452" spans="1:66" x14ac:dyDescent="0.15">
      <c r="A452" s="8">
        <v>903008</v>
      </c>
      <c r="B452" s="18" t="str">
        <f>"任务:"&amp;VLOOKUP(A452,CHOOSE({1,2},[4]任务经验掉落配置表!$X$3:$X$173,[4]任务经验掉落配置表!$D$3:$D$173),2,FALSE)</f>
        <v>任务:战况升级</v>
      </c>
      <c r="C452" s="8">
        <v>0</v>
      </c>
      <c r="D452" s="8">
        <f t="shared" si="69"/>
        <v>0</v>
      </c>
      <c r="E452" s="16">
        <f t="shared" si="67"/>
        <v>0</v>
      </c>
      <c r="F452" s="16">
        <f t="shared" si="68"/>
        <v>0</v>
      </c>
      <c r="G452" s="8" t="str">
        <f>IF(H452="","",VLOOKUP(H452,引用表合并!$A:$B,2,FALSE))</f>
        <v/>
      </c>
      <c r="K452" s="8" t="str">
        <f>IF(L452="","",VLOOKUP(L452,引用表合并!$A:$B,2,FALSE))</f>
        <v/>
      </c>
      <c r="L452" s="8"/>
      <c r="M452" s="8"/>
      <c r="O452" s="8" t="str">
        <f>IF(P452="","",VLOOKUP(P452,引用表合并!$A:$B,2,FALSE))</f>
        <v/>
      </c>
      <c r="P452" s="8"/>
      <c r="Q452" s="8"/>
      <c r="S452" s="8" t="str">
        <f>IF(T452="","",VLOOKUP(T452,引用表合并!$A:$B,2,FALSE))</f>
        <v/>
      </c>
      <c r="T452" s="8"/>
      <c r="U452" s="8"/>
      <c r="W452" s="8" t="str">
        <f>IF(X452="","",VLOOKUP(X452,引用表合并!$A:$B,2,FALSE))</f>
        <v/>
      </c>
      <c r="X452" s="8"/>
      <c r="Y452" s="8"/>
      <c r="AA452" s="8" t="str">
        <f>IF(AB452="","",VLOOKUP(AB452,引用表合并!$A:$B,2,FALSE))</f>
        <v/>
      </c>
      <c r="AB452" s="8"/>
      <c r="AC452" s="8"/>
      <c r="AE452" s="8" t="str">
        <f>IF(AF452="","",VLOOKUP(AF452,引用表合并!$A:$B,2,FALSE))</f>
        <v/>
      </c>
      <c r="AF452" s="8"/>
      <c r="AG452" s="8"/>
      <c r="AI452" s="8" t="str">
        <f>IF(AJ452="","",VLOOKUP(AJ452,引用表合并!$A:$B,2,FALSE))</f>
        <v/>
      </c>
      <c r="AJ452" s="8"/>
      <c r="AK452" s="8"/>
      <c r="AM452" s="8" t="str">
        <f>IF(AN452="","",VLOOKUP(AN452,引用表合并!$A:$B,2,FALSE))</f>
        <v/>
      </c>
      <c r="AN452" s="8"/>
      <c r="AO452" s="8"/>
      <c r="AQ452" s="8" t="str">
        <f>IF(AR452="","",VLOOKUP(AR452,引用表合并!$A:$B,2,FALSE))</f>
        <v/>
      </c>
      <c r="AR452" s="8"/>
      <c r="AS452" s="8"/>
      <c r="AU452" s="8" t="str">
        <f>IF(AV452="","",VLOOKUP(AV452,引用表合并!$A:$B,2,FALSE))</f>
        <v/>
      </c>
      <c r="AV452" s="8"/>
      <c r="AW452" s="8"/>
      <c r="AY452" s="8" t="str">
        <f>IF(AZ452="","",VLOOKUP(AZ452,引用表合并!$A:$B,2,FALSE))</f>
        <v/>
      </c>
      <c r="AZ452" s="8"/>
      <c r="BA452" s="8"/>
      <c r="BC452" s="8" t="str">
        <f>IF(BD452="","",VLOOKUP(BD452,引用表合并!$A:$B,2,FALSE))</f>
        <v/>
      </c>
      <c r="BD452" s="8"/>
      <c r="BF452" s="10"/>
      <c r="BG452" s="8" t="str">
        <f>IF(BH452="","",VLOOKUP(BH452,引用表合并!$A:$B,2,FALSE))</f>
        <v/>
      </c>
      <c r="BH452" s="8"/>
      <c r="BJ452" s="10"/>
      <c r="BK452" s="8" t="str">
        <f>IF(BL452="","",VLOOKUP(BL452,引用表合并!$A:$B,2,FALSE))</f>
        <v/>
      </c>
      <c r="BL452" s="8"/>
      <c r="BN452" s="10"/>
    </row>
    <row r="453" spans="1:66" x14ac:dyDescent="0.15">
      <c r="A453" s="8">
        <v>903009</v>
      </c>
      <c r="B453" s="18" t="str">
        <f>"任务:"&amp;VLOOKUP(A453,CHOOSE({1,2},[4]任务经验掉落配置表!$X$3:$X$173,[4]任务经验掉落配置表!$D$3:$D$173),2,FALSE)</f>
        <v>任务:罪恶之巢</v>
      </c>
      <c r="C453" s="8">
        <v>0</v>
      </c>
      <c r="D453" s="8">
        <f t="shared" si="69"/>
        <v>0</v>
      </c>
      <c r="E453" s="16">
        <f t="shared" si="67"/>
        <v>0</v>
      </c>
      <c r="F453" s="16">
        <f t="shared" si="68"/>
        <v>0</v>
      </c>
      <c r="G453" s="8" t="str">
        <f>IF(H453="","",VLOOKUP(H453,引用表合并!$A:$B,2,FALSE))</f>
        <v/>
      </c>
      <c r="K453" s="8" t="str">
        <f>IF(L453="","",VLOOKUP(L453,引用表合并!$A:$B,2,FALSE))</f>
        <v/>
      </c>
      <c r="L453" s="8"/>
      <c r="M453" s="8"/>
      <c r="O453" s="8" t="str">
        <f>IF(P453="","",VLOOKUP(P453,引用表合并!$A:$B,2,FALSE))</f>
        <v/>
      </c>
      <c r="P453" s="8"/>
      <c r="Q453" s="8"/>
      <c r="S453" s="8" t="str">
        <f>IF(T453="","",VLOOKUP(T453,引用表合并!$A:$B,2,FALSE))</f>
        <v/>
      </c>
      <c r="T453" s="8"/>
      <c r="U453" s="8"/>
      <c r="W453" s="8" t="str">
        <f>IF(X453="","",VLOOKUP(X453,引用表合并!$A:$B,2,FALSE))</f>
        <v/>
      </c>
      <c r="X453" s="8"/>
      <c r="Y453" s="8"/>
      <c r="AA453" s="8" t="str">
        <f>IF(AB453="","",VLOOKUP(AB453,引用表合并!$A:$B,2,FALSE))</f>
        <v/>
      </c>
      <c r="AB453" s="8"/>
      <c r="AC453" s="8"/>
      <c r="AE453" s="8" t="str">
        <f>IF(AF453="","",VLOOKUP(AF453,引用表合并!$A:$B,2,FALSE))</f>
        <v/>
      </c>
      <c r="AF453" s="8"/>
      <c r="AG453" s="8"/>
      <c r="AI453" s="8" t="str">
        <f>IF(AJ453="","",VLOOKUP(AJ453,引用表合并!$A:$B,2,FALSE))</f>
        <v/>
      </c>
      <c r="AJ453" s="8"/>
      <c r="AK453" s="8"/>
      <c r="AM453" s="8" t="str">
        <f>IF(AN453="","",VLOOKUP(AN453,引用表合并!$A:$B,2,FALSE))</f>
        <v/>
      </c>
      <c r="AN453" s="8"/>
      <c r="AO453" s="8"/>
      <c r="AQ453" s="8" t="str">
        <f>IF(AR453="","",VLOOKUP(AR453,引用表合并!$A:$B,2,FALSE))</f>
        <v/>
      </c>
      <c r="AR453" s="8"/>
      <c r="AS453" s="8"/>
      <c r="AU453" s="8" t="str">
        <f>IF(AV453="","",VLOOKUP(AV453,引用表合并!$A:$B,2,FALSE))</f>
        <v/>
      </c>
      <c r="AV453" s="8"/>
      <c r="AW453" s="8"/>
      <c r="AY453" s="8" t="str">
        <f>IF(AZ453="","",VLOOKUP(AZ453,引用表合并!$A:$B,2,FALSE))</f>
        <v/>
      </c>
      <c r="AZ453" s="8"/>
      <c r="BA453" s="8"/>
      <c r="BC453" s="8" t="str">
        <f>IF(BD453="","",VLOOKUP(BD453,引用表合并!$A:$B,2,FALSE))</f>
        <v/>
      </c>
      <c r="BD453" s="8"/>
      <c r="BF453" s="10"/>
      <c r="BG453" s="8" t="str">
        <f>IF(BH453="","",VLOOKUP(BH453,引用表合并!$A:$B,2,FALSE))</f>
        <v/>
      </c>
      <c r="BH453" s="8"/>
      <c r="BJ453" s="10"/>
      <c r="BK453" s="8" t="str">
        <f>IF(BL453="","",VLOOKUP(BL453,引用表合并!$A:$B,2,FALSE))</f>
        <v/>
      </c>
      <c r="BL453" s="8"/>
      <c r="BN453" s="10"/>
    </row>
    <row r="454" spans="1:66" x14ac:dyDescent="0.15">
      <c r="A454" s="8">
        <v>903010</v>
      </c>
      <c r="B454" s="18" t="str">
        <f>"任务:"&amp;VLOOKUP(A454,CHOOSE({1,2},[4]任务经验掉落配置表!$X$3:$X$173,[4]任务经验掉落配置表!$D$3:$D$173),2,FALSE)</f>
        <v>任务:斩破黑暗</v>
      </c>
      <c r="C454" s="8">
        <v>0</v>
      </c>
      <c r="D454" s="8">
        <f t="shared" si="69"/>
        <v>0</v>
      </c>
      <c r="E454" s="16">
        <f t="shared" si="67"/>
        <v>0</v>
      </c>
      <c r="F454" s="16">
        <f t="shared" si="68"/>
        <v>0</v>
      </c>
      <c r="G454" s="8" t="str">
        <f>IF(H454="","",VLOOKUP(H454,引用表合并!$A:$B,2,FALSE))</f>
        <v/>
      </c>
      <c r="K454" s="8" t="str">
        <f>IF(L454="","",VLOOKUP(L454,引用表合并!$A:$B,2,FALSE))</f>
        <v/>
      </c>
      <c r="L454" s="8"/>
      <c r="M454" s="8"/>
      <c r="O454" s="8" t="str">
        <f>IF(P454="","",VLOOKUP(P454,引用表合并!$A:$B,2,FALSE))</f>
        <v/>
      </c>
      <c r="P454" s="8"/>
      <c r="Q454" s="8"/>
      <c r="S454" s="8" t="str">
        <f>IF(T454="","",VLOOKUP(T454,引用表合并!$A:$B,2,FALSE))</f>
        <v/>
      </c>
      <c r="T454" s="8"/>
      <c r="U454" s="8"/>
      <c r="W454" s="8" t="str">
        <f>IF(X454="","",VLOOKUP(X454,引用表合并!$A:$B,2,FALSE))</f>
        <v/>
      </c>
      <c r="X454" s="8"/>
      <c r="Y454" s="8"/>
      <c r="AA454" s="8" t="str">
        <f>IF(AB454="","",VLOOKUP(AB454,引用表合并!$A:$B,2,FALSE))</f>
        <v/>
      </c>
      <c r="AB454" s="8"/>
      <c r="AC454" s="8"/>
      <c r="AE454" s="8" t="str">
        <f>IF(AF454="","",VLOOKUP(AF454,引用表合并!$A:$B,2,FALSE))</f>
        <v/>
      </c>
      <c r="AF454" s="8"/>
      <c r="AG454" s="8"/>
      <c r="AI454" s="8" t="str">
        <f>IF(AJ454="","",VLOOKUP(AJ454,引用表合并!$A:$B,2,FALSE))</f>
        <v/>
      </c>
      <c r="AJ454" s="8"/>
      <c r="AK454" s="8"/>
      <c r="AM454" s="8" t="str">
        <f>IF(AN454="","",VLOOKUP(AN454,引用表合并!$A:$B,2,FALSE))</f>
        <v/>
      </c>
      <c r="AN454" s="8"/>
      <c r="AO454" s="8"/>
      <c r="AQ454" s="8" t="str">
        <f>IF(AR454="","",VLOOKUP(AR454,引用表合并!$A:$B,2,FALSE))</f>
        <v/>
      </c>
      <c r="AR454" s="8"/>
      <c r="AS454" s="8"/>
      <c r="AU454" s="8" t="str">
        <f>IF(AV454="","",VLOOKUP(AV454,引用表合并!$A:$B,2,FALSE))</f>
        <v/>
      </c>
      <c r="AV454" s="8"/>
      <c r="AW454" s="8"/>
      <c r="AY454" s="8" t="str">
        <f>IF(AZ454="","",VLOOKUP(AZ454,引用表合并!$A:$B,2,FALSE))</f>
        <v/>
      </c>
      <c r="AZ454" s="8"/>
      <c r="BA454" s="8"/>
      <c r="BC454" s="8" t="str">
        <f>IF(BD454="","",VLOOKUP(BD454,引用表合并!$A:$B,2,FALSE))</f>
        <v/>
      </c>
      <c r="BD454" s="8"/>
      <c r="BF454" s="10"/>
      <c r="BG454" s="8" t="str">
        <f>IF(BH454="","",VLOOKUP(BH454,引用表合并!$A:$B,2,FALSE))</f>
        <v/>
      </c>
      <c r="BH454" s="8"/>
      <c r="BJ454" s="10"/>
      <c r="BK454" s="8" t="str">
        <f>IF(BL454="","",VLOOKUP(BL454,引用表合并!$A:$B,2,FALSE))</f>
        <v/>
      </c>
      <c r="BL454" s="8"/>
      <c r="BN454" s="10"/>
    </row>
    <row r="455" spans="1:66" x14ac:dyDescent="0.15">
      <c r="A455" s="8">
        <v>903011</v>
      </c>
      <c r="B455" s="18" t="str">
        <f>"任务:"&amp;VLOOKUP(A455,CHOOSE({1,2},[4]任务经验掉落配置表!$X$3:$X$173,[4]任务经验掉落配置表!$D$3:$D$173),2,FALSE)</f>
        <v>任务:自甘堕落</v>
      </c>
      <c r="C455" s="8">
        <v>0</v>
      </c>
      <c r="D455" s="8">
        <f t="shared" si="69"/>
        <v>0</v>
      </c>
      <c r="E455" s="16">
        <f t="shared" si="67"/>
        <v>0</v>
      </c>
      <c r="F455" s="16">
        <f t="shared" si="68"/>
        <v>0</v>
      </c>
      <c r="G455" s="8" t="str">
        <f>IF(H455="","",VLOOKUP(H455,引用表合并!$A:$B,2,FALSE))</f>
        <v/>
      </c>
      <c r="K455" s="8" t="str">
        <f>IF(L455="","",VLOOKUP(L455,引用表合并!$A:$B,2,FALSE))</f>
        <v/>
      </c>
      <c r="L455" s="8"/>
      <c r="M455" s="8"/>
      <c r="O455" s="8" t="str">
        <f>IF(P455="","",VLOOKUP(P455,引用表合并!$A:$B,2,FALSE))</f>
        <v/>
      </c>
      <c r="P455" s="8"/>
      <c r="Q455" s="8"/>
      <c r="S455" s="8" t="str">
        <f>IF(T455="","",VLOOKUP(T455,引用表合并!$A:$B,2,FALSE))</f>
        <v/>
      </c>
      <c r="T455" s="8"/>
      <c r="U455" s="8"/>
      <c r="W455" s="8" t="str">
        <f>IF(X455="","",VLOOKUP(X455,引用表合并!$A:$B,2,FALSE))</f>
        <v/>
      </c>
      <c r="X455" s="8"/>
      <c r="Y455" s="8"/>
      <c r="AA455" s="8" t="str">
        <f>IF(AB455="","",VLOOKUP(AB455,引用表合并!$A:$B,2,FALSE))</f>
        <v/>
      </c>
      <c r="AB455" s="8"/>
      <c r="AC455" s="8"/>
      <c r="AE455" s="8" t="str">
        <f>IF(AF455="","",VLOOKUP(AF455,引用表合并!$A:$B,2,FALSE))</f>
        <v/>
      </c>
      <c r="AF455" s="8"/>
      <c r="AG455" s="8"/>
      <c r="AI455" s="8" t="str">
        <f>IF(AJ455="","",VLOOKUP(AJ455,引用表合并!$A:$B,2,FALSE))</f>
        <v/>
      </c>
      <c r="AJ455" s="8"/>
      <c r="AK455" s="8"/>
      <c r="AM455" s="8" t="str">
        <f>IF(AN455="","",VLOOKUP(AN455,引用表合并!$A:$B,2,FALSE))</f>
        <v/>
      </c>
      <c r="AN455" s="8"/>
      <c r="AO455" s="8"/>
      <c r="AQ455" s="8" t="str">
        <f>IF(AR455="","",VLOOKUP(AR455,引用表合并!$A:$B,2,FALSE))</f>
        <v/>
      </c>
      <c r="AR455" s="8"/>
      <c r="AS455" s="8"/>
      <c r="AU455" s="8" t="str">
        <f>IF(AV455="","",VLOOKUP(AV455,引用表合并!$A:$B,2,FALSE))</f>
        <v/>
      </c>
      <c r="AV455" s="8"/>
      <c r="AW455" s="8"/>
      <c r="AY455" s="8" t="str">
        <f>IF(AZ455="","",VLOOKUP(AZ455,引用表合并!$A:$B,2,FALSE))</f>
        <v/>
      </c>
      <c r="AZ455" s="8"/>
      <c r="BA455" s="8"/>
      <c r="BC455" s="8" t="str">
        <f>IF(BD455="","",VLOOKUP(BD455,引用表合并!$A:$B,2,FALSE))</f>
        <v/>
      </c>
      <c r="BD455" s="8"/>
      <c r="BF455" s="10"/>
      <c r="BG455" s="8" t="str">
        <f>IF(BH455="","",VLOOKUP(BH455,引用表合并!$A:$B,2,FALSE))</f>
        <v/>
      </c>
      <c r="BH455" s="8"/>
      <c r="BJ455" s="10"/>
      <c r="BK455" s="8" t="str">
        <f>IF(BL455="","",VLOOKUP(BL455,引用表合并!$A:$B,2,FALSE))</f>
        <v/>
      </c>
      <c r="BL455" s="8"/>
      <c r="BN455" s="10"/>
    </row>
    <row r="456" spans="1:66" x14ac:dyDescent="0.15">
      <c r="A456" s="8">
        <v>903012</v>
      </c>
      <c r="B456" s="18" t="str">
        <f>"任务:"&amp;VLOOKUP(A456,CHOOSE({1,2},[4]任务经验掉落配置表!$X$3:$X$173,[4]任务经验掉落配置表!$D$3:$D$173),2,FALSE)</f>
        <v>任务:阴魂不散</v>
      </c>
      <c r="C456" s="8">
        <v>0</v>
      </c>
      <c r="D456" s="8">
        <f t="shared" si="69"/>
        <v>0</v>
      </c>
      <c r="E456" s="16">
        <f t="shared" si="67"/>
        <v>0</v>
      </c>
      <c r="F456" s="16">
        <f t="shared" si="68"/>
        <v>0</v>
      </c>
      <c r="G456" s="8" t="str">
        <f>IF(H456="","",VLOOKUP(H456,引用表合并!$A:$B,2,FALSE))</f>
        <v/>
      </c>
      <c r="K456" s="8" t="str">
        <f>IF(L456="","",VLOOKUP(L456,引用表合并!$A:$B,2,FALSE))</f>
        <v/>
      </c>
      <c r="L456" s="8"/>
      <c r="M456" s="8"/>
      <c r="O456" s="8" t="str">
        <f>IF(P456="","",VLOOKUP(P456,引用表合并!$A:$B,2,FALSE))</f>
        <v/>
      </c>
      <c r="P456" s="8"/>
      <c r="Q456" s="8"/>
      <c r="S456" s="8" t="str">
        <f>IF(T456="","",VLOOKUP(T456,引用表合并!$A:$B,2,FALSE))</f>
        <v/>
      </c>
      <c r="T456" s="8"/>
      <c r="U456" s="8"/>
      <c r="W456" s="8" t="str">
        <f>IF(X456="","",VLOOKUP(X456,引用表合并!$A:$B,2,FALSE))</f>
        <v/>
      </c>
      <c r="X456" s="8"/>
      <c r="Y456" s="8"/>
      <c r="AA456" s="8" t="str">
        <f>IF(AB456="","",VLOOKUP(AB456,引用表合并!$A:$B,2,FALSE))</f>
        <v/>
      </c>
      <c r="AB456" s="8"/>
      <c r="AC456" s="8"/>
      <c r="AE456" s="8" t="str">
        <f>IF(AF456="","",VLOOKUP(AF456,引用表合并!$A:$B,2,FALSE))</f>
        <v/>
      </c>
      <c r="AF456" s="8"/>
      <c r="AG456" s="8"/>
      <c r="AI456" s="8" t="str">
        <f>IF(AJ456="","",VLOOKUP(AJ456,引用表合并!$A:$B,2,FALSE))</f>
        <v/>
      </c>
      <c r="AJ456" s="8"/>
      <c r="AK456" s="8"/>
      <c r="AM456" s="8" t="str">
        <f>IF(AN456="","",VLOOKUP(AN456,引用表合并!$A:$B,2,FALSE))</f>
        <v/>
      </c>
      <c r="AN456" s="8"/>
      <c r="AO456" s="8"/>
      <c r="AQ456" s="8" t="str">
        <f>IF(AR456="","",VLOOKUP(AR456,引用表合并!$A:$B,2,FALSE))</f>
        <v/>
      </c>
      <c r="AR456" s="8"/>
      <c r="AS456" s="8"/>
      <c r="AU456" s="8" t="str">
        <f>IF(AV456="","",VLOOKUP(AV456,引用表合并!$A:$B,2,FALSE))</f>
        <v/>
      </c>
      <c r="AV456" s="8"/>
      <c r="AW456" s="8"/>
      <c r="AY456" s="8" t="str">
        <f>IF(AZ456="","",VLOOKUP(AZ456,引用表合并!$A:$B,2,FALSE))</f>
        <v/>
      </c>
      <c r="AZ456" s="8"/>
      <c r="BA456" s="8"/>
      <c r="BC456" s="8" t="str">
        <f>IF(BD456="","",VLOOKUP(BD456,引用表合并!$A:$B,2,FALSE))</f>
        <v/>
      </c>
      <c r="BD456" s="8"/>
      <c r="BF456" s="10"/>
      <c r="BG456" s="8" t="str">
        <f>IF(BH456="","",VLOOKUP(BH456,引用表合并!$A:$B,2,FALSE))</f>
        <v/>
      </c>
      <c r="BH456" s="8"/>
      <c r="BJ456" s="10"/>
      <c r="BK456" s="8" t="str">
        <f>IF(BL456="","",VLOOKUP(BL456,引用表合并!$A:$B,2,FALSE))</f>
        <v/>
      </c>
      <c r="BL456" s="8"/>
      <c r="BN456" s="10"/>
    </row>
    <row r="457" spans="1:66" x14ac:dyDescent="0.15">
      <c r="A457" s="8">
        <v>903013</v>
      </c>
      <c r="B457" s="18" t="str">
        <f>"任务:"&amp;VLOOKUP(A457,CHOOSE({1,2},[4]任务经验掉落配置表!$X$3:$X$173,[4]任务经验掉落配置表!$D$3:$D$173),2,FALSE)</f>
        <v>任务:意外强敌</v>
      </c>
      <c r="C457" s="8">
        <v>0</v>
      </c>
      <c r="D457" s="8">
        <f t="shared" ref="D457" si="70">E457</f>
        <v>0</v>
      </c>
      <c r="E457" s="16">
        <f t="shared" si="67"/>
        <v>0</v>
      </c>
      <c r="F457" s="16">
        <f t="shared" si="68"/>
        <v>0</v>
      </c>
      <c r="G457" s="8" t="str">
        <f>IF(H457="","",VLOOKUP(H457,引用表合并!$A:$B,2,FALSE))</f>
        <v/>
      </c>
      <c r="K457" s="8" t="str">
        <f>IF(L457="","",VLOOKUP(L457,引用表合并!$A:$B,2,FALSE))</f>
        <v/>
      </c>
      <c r="L457" s="8"/>
      <c r="M457" s="8"/>
      <c r="O457" s="8" t="str">
        <f>IF(P457="","",VLOOKUP(P457,引用表合并!$A:$B,2,FALSE))</f>
        <v/>
      </c>
      <c r="P457" s="8"/>
      <c r="Q457" s="8"/>
      <c r="S457" s="8" t="str">
        <f>IF(T457="","",VLOOKUP(T457,引用表合并!$A:$B,2,FALSE))</f>
        <v/>
      </c>
      <c r="T457" s="8"/>
      <c r="U457" s="8"/>
      <c r="W457" s="8" t="str">
        <f>IF(X457="","",VLOOKUP(X457,引用表合并!$A:$B,2,FALSE))</f>
        <v/>
      </c>
      <c r="X457" s="8"/>
      <c r="Y457" s="8"/>
      <c r="AA457" s="8" t="str">
        <f>IF(AB457="","",VLOOKUP(AB457,引用表合并!$A:$B,2,FALSE))</f>
        <v/>
      </c>
      <c r="AB457" s="8"/>
      <c r="AC457" s="8"/>
      <c r="AE457" s="8" t="str">
        <f>IF(AF457="","",VLOOKUP(AF457,引用表合并!$A:$B,2,FALSE))</f>
        <v/>
      </c>
      <c r="AF457" s="8"/>
      <c r="AG457" s="8"/>
      <c r="AI457" s="8" t="str">
        <f>IF(AJ457="","",VLOOKUP(AJ457,引用表合并!$A:$B,2,FALSE))</f>
        <v/>
      </c>
      <c r="AJ457" s="8"/>
      <c r="AK457" s="8"/>
      <c r="AM457" s="8" t="str">
        <f>IF(AN457="","",VLOOKUP(AN457,引用表合并!$A:$B,2,FALSE))</f>
        <v/>
      </c>
      <c r="AN457" s="8"/>
      <c r="AO457" s="8"/>
      <c r="AQ457" s="8" t="str">
        <f>IF(AR457="","",VLOOKUP(AR457,引用表合并!$A:$B,2,FALSE))</f>
        <v/>
      </c>
      <c r="AR457" s="8"/>
      <c r="AS457" s="8"/>
      <c r="AU457" s="8" t="str">
        <f>IF(AV457="","",VLOOKUP(AV457,引用表合并!$A:$B,2,FALSE))</f>
        <v/>
      </c>
      <c r="AV457" s="8"/>
      <c r="AW457" s="8"/>
      <c r="AY457" s="8" t="str">
        <f>IF(AZ457="","",VLOOKUP(AZ457,引用表合并!$A:$B,2,FALSE))</f>
        <v/>
      </c>
      <c r="AZ457" s="8"/>
      <c r="BA457" s="8"/>
      <c r="BC457" s="8" t="str">
        <f>IF(BD457="","",VLOOKUP(BD457,引用表合并!$A:$B,2,FALSE))</f>
        <v/>
      </c>
      <c r="BD457" s="8"/>
      <c r="BF457" s="10"/>
      <c r="BG457" s="8" t="str">
        <f>IF(BH457="","",VLOOKUP(BH457,引用表合并!$A:$B,2,FALSE))</f>
        <v/>
      </c>
      <c r="BH457" s="8"/>
      <c r="BJ457" s="10"/>
      <c r="BK457" s="8" t="str">
        <f>IF(BL457="","",VLOOKUP(BL457,引用表合并!$A:$B,2,FALSE))</f>
        <v/>
      </c>
      <c r="BL457" s="8"/>
      <c r="BN457" s="10"/>
    </row>
    <row r="458" spans="1:66" x14ac:dyDescent="0.15">
      <c r="A458" s="8">
        <v>909999</v>
      </c>
      <c r="B458" s="18" t="str">
        <f>"任务:"&amp;VLOOKUP(A458,CHOOSE({1,2},[4]任务经验掉落配置表!$X$3:$X$173,[4]任务经验掉落配置表!$D$3:$D$173),2,FALSE)</f>
        <v>任务:最后主线</v>
      </c>
      <c r="C458" s="8">
        <v>0</v>
      </c>
      <c r="D458" s="8">
        <f t="shared" si="66"/>
        <v>0</v>
      </c>
      <c r="E458" s="16">
        <f t="shared" si="67"/>
        <v>0</v>
      </c>
      <c r="F458" s="16">
        <f t="shared" si="68"/>
        <v>0</v>
      </c>
      <c r="G458" s="8" t="str">
        <f>IF(H458="","",VLOOKUP(H458,引用表合并!$A:$B,2,FALSE))</f>
        <v/>
      </c>
      <c r="K458" s="8" t="str">
        <f>IF(L458="","",VLOOKUP(L458,引用表合并!$A:$B,2,FALSE))</f>
        <v/>
      </c>
      <c r="L458" s="8"/>
      <c r="M458" s="8"/>
      <c r="O458" s="8" t="str">
        <f>IF(P458="","",VLOOKUP(P458,引用表合并!$A:$B,2,FALSE))</f>
        <v/>
      </c>
      <c r="P458" s="8"/>
      <c r="Q458" s="8"/>
      <c r="S458" s="8" t="str">
        <f>IF(T458="","",VLOOKUP(T458,引用表合并!$A:$B,2,FALSE))</f>
        <v/>
      </c>
      <c r="T458" s="8"/>
      <c r="U458" s="8"/>
      <c r="W458" s="8" t="str">
        <f>IF(X458="","",VLOOKUP(X458,引用表合并!$A:$B,2,FALSE))</f>
        <v/>
      </c>
      <c r="X458" s="8"/>
      <c r="Y458" s="8"/>
      <c r="AA458" s="8" t="str">
        <f>IF(AB458="","",VLOOKUP(AB458,引用表合并!$A:$B,2,FALSE))</f>
        <v/>
      </c>
      <c r="AB458" s="8"/>
      <c r="AC458" s="8"/>
      <c r="AE458" s="8" t="str">
        <f>IF(AF458="","",VLOOKUP(AF458,引用表合并!$A:$B,2,FALSE))</f>
        <v/>
      </c>
      <c r="AF458" s="8"/>
      <c r="AG458" s="8"/>
      <c r="AI458" s="8" t="str">
        <f>IF(AJ458="","",VLOOKUP(AJ458,引用表合并!$A:$B,2,FALSE))</f>
        <v/>
      </c>
      <c r="AJ458" s="8"/>
      <c r="AK458" s="8"/>
      <c r="AM458" s="8" t="str">
        <f>IF(AN458="","",VLOOKUP(AN458,引用表合并!$A:$B,2,FALSE))</f>
        <v/>
      </c>
      <c r="AN458" s="8"/>
      <c r="AO458" s="8"/>
      <c r="AQ458" s="8" t="str">
        <f>IF(AR458="","",VLOOKUP(AR458,引用表合并!$A:$B,2,FALSE))</f>
        <v/>
      </c>
      <c r="AR458" s="8"/>
      <c r="AS458" s="8"/>
      <c r="AU458" s="8" t="str">
        <f>IF(AV458="","",VLOOKUP(AV458,引用表合并!$A:$B,2,FALSE))</f>
        <v/>
      </c>
      <c r="AV458" s="8"/>
      <c r="AW458" s="8"/>
      <c r="AY458" s="8" t="str">
        <f>IF(AZ458="","",VLOOKUP(AZ458,引用表合并!$A:$B,2,FALSE))</f>
        <v/>
      </c>
      <c r="AZ458" s="8"/>
      <c r="BA458" s="8"/>
      <c r="BC458" s="8" t="str">
        <f>IF(BD458="","",VLOOKUP(BD458,引用表合并!$A:$B,2,FALSE))</f>
        <v/>
      </c>
      <c r="BD458" s="8"/>
      <c r="BF458" s="10"/>
      <c r="BG458" s="8" t="str">
        <f>IF(BH458="","",VLOOKUP(BH458,引用表合并!$A:$B,2,FALSE))</f>
        <v/>
      </c>
      <c r="BH458" s="8"/>
      <c r="BJ458" s="10"/>
      <c r="BK458" s="8" t="str">
        <f>IF(BL458="","",VLOOKUP(BL458,引用表合并!$A:$B,2,FALSE))</f>
        <v/>
      </c>
      <c r="BL458" s="8"/>
      <c r="BN458" s="10"/>
    </row>
    <row r="459" spans="1:66" x14ac:dyDescent="0.15">
      <c r="A459" s="8">
        <v>910001</v>
      </c>
      <c r="B459" s="18" t="str">
        <f>"任务:"&amp;VLOOKUP(A459,CHOOSE({1,2},[4]任务经验掉落配置表!$X$3:$X$173,[4]任务经验掉落配置表!$D$3:$D$173),2,FALSE)</f>
        <v>任务:精英巴闭</v>
      </c>
      <c r="C459" s="8">
        <v>0</v>
      </c>
      <c r="D459" s="8">
        <f t="shared" si="66"/>
        <v>0</v>
      </c>
      <c r="E459" s="16">
        <f t="shared" si="67"/>
        <v>0</v>
      </c>
      <c r="F459" s="16">
        <f t="shared" si="68"/>
        <v>0</v>
      </c>
      <c r="G459" s="8" t="str">
        <f>IF(H459="","",VLOOKUP(H459,引用表合并!$A:$B,2,FALSE))</f>
        <v/>
      </c>
      <c r="K459" s="8" t="str">
        <f>IF(L459="","",VLOOKUP(L459,引用表合并!$A:$B,2,FALSE))</f>
        <v/>
      </c>
      <c r="L459" s="8"/>
      <c r="M459" s="8"/>
      <c r="O459" s="8" t="str">
        <f>IF(P459="","",VLOOKUP(P459,引用表合并!$A:$B,2,FALSE))</f>
        <v/>
      </c>
      <c r="P459" s="8"/>
      <c r="Q459" s="8"/>
      <c r="S459" s="8" t="str">
        <f>IF(T459="","",VLOOKUP(T459,引用表合并!$A:$B,2,FALSE))</f>
        <v/>
      </c>
      <c r="T459" s="8"/>
      <c r="U459" s="8"/>
      <c r="W459" s="8" t="str">
        <f>IF(X459="","",VLOOKUP(X459,引用表合并!$A:$B,2,FALSE))</f>
        <v/>
      </c>
      <c r="X459" s="8"/>
      <c r="Y459" s="8"/>
      <c r="AA459" s="8" t="str">
        <f>IF(AB459="","",VLOOKUP(AB459,引用表合并!$A:$B,2,FALSE))</f>
        <v/>
      </c>
      <c r="AB459" s="8"/>
      <c r="AC459" s="8"/>
      <c r="AE459" s="8" t="str">
        <f>IF(AF459="","",VLOOKUP(AF459,引用表合并!$A:$B,2,FALSE))</f>
        <v/>
      </c>
      <c r="AF459" s="8"/>
      <c r="AG459" s="8"/>
      <c r="AI459" s="8" t="str">
        <f>IF(AJ459="","",VLOOKUP(AJ459,引用表合并!$A:$B,2,FALSE))</f>
        <v/>
      </c>
      <c r="AJ459" s="8"/>
      <c r="AK459" s="8"/>
      <c r="AM459" s="8" t="str">
        <f>IF(AN459="","",VLOOKUP(AN459,引用表合并!$A:$B,2,FALSE))</f>
        <v/>
      </c>
      <c r="AN459" s="8"/>
      <c r="AO459" s="8"/>
      <c r="AQ459" s="8" t="str">
        <f>IF(AR459="","",VLOOKUP(AR459,引用表合并!$A:$B,2,FALSE))</f>
        <v/>
      </c>
      <c r="AR459" s="8"/>
      <c r="AS459" s="8"/>
      <c r="AU459" s="8" t="str">
        <f>IF(AV459="","",VLOOKUP(AV459,引用表合并!$A:$B,2,FALSE))</f>
        <v/>
      </c>
      <c r="AV459" s="8"/>
      <c r="AW459" s="8"/>
      <c r="AY459" s="8" t="str">
        <f>IF(AZ459="","",VLOOKUP(AZ459,引用表合并!$A:$B,2,FALSE))</f>
        <v/>
      </c>
      <c r="AZ459" s="8"/>
      <c r="BA459" s="8"/>
      <c r="BC459" s="8" t="str">
        <f>IF(BD459="","",VLOOKUP(BD459,引用表合并!$A:$B,2,FALSE))</f>
        <v/>
      </c>
      <c r="BD459" s="8"/>
      <c r="BF459" s="10"/>
      <c r="BG459" s="8" t="str">
        <f>IF(BH459="","",VLOOKUP(BH459,引用表合并!$A:$B,2,FALSE))</f>
        <v/>
      </c>
      <c r="BH459" s="8"/>
      <c r="BJ459" s="10"/>
      <c r="BK459" s="8" t="str">
        <f>IF(BL459="","",VLOOKUP(BL459,引用表合并!$A:$B,2,FALSE))</f>
        <v/>
      </c>
      <c r="BL459" s="8"/>
      <c r="BN459" s="10"/>
    </row>
    <row r="460" spans="1:66" x14ac:dyDescent="0.15">
      <c r="A460" s="8">
        <v>910002</v>
      </c>
      <c r="B460" s="18" t="str">
        <f>"任务:"&amp;VLOOKUP(A460,CHOOSE({1,2},[4]任务经验掉落配置表!$X$3:$X$173,[4]任务经验掉落配置表!$D$3:$D$173),2,FALSE)</f>
        <v>任务:精英大傻保镖</v>
      </c>
      <c r="C460" s="8">
        <v>0</v>
      </c>
      <c r="D460" s="8">
        <f t="shared" si="66"/>
        <v>0</v>
      </c>
      <c r="E460" s="16">
        <f t="shared" si="67"/>
        <v>0</v>
      </c>
      <c r="F460" s="16">
        <f t="shared" si="68"/>
        <v>0</v>
      </c>
      <c r="G460" s="8" t="str">
        <f>IF(H460="","",VLOOKUP(H460,引用表合并!$A:$B,2,FALSE))</f>
        <v/>
      </c>
      <c r="K460" s="8" t="str">
        <f>IF(L460="","",VLOOKUP(L460,引用表合并!$A:$B,2,FALSE))</f>
        <v/>
      </c>
      <c r="L460" s="8"/>
      <c r="M460" s="8"/>
      <c r="O460" s="8" t="str">
        <f>IF(P460="","",VLOOKUP(P460,引用表合并!$A:$B,2,FALSE))</f>
        <v/>
      </c>
      <c r="P460" s="8"/>
      <c r="Q460" s="8"/>
      <c r="S460" s="8" t="str">
        <f>IF(T460="","",VLOOKUP(T460,引用表合并!$A:$B,2,FALSE))</f>
        <v/>
      </c>
      <c r="T460" s="8"/>
      <c r="U460" s="8"/>
      <c r="W460" s="8" t="str">
        <f>IF(X460="","",VLOOKUP(X460,引用表合并!$A:$B,2,FALSE))</f>
        <v/>
      </c>
      <c r="X460" s="8"/>
      <c r="Y460" s="8"/>
      <c r="AA460" s="8" t="str">
        <f>IF(AB460="","",VLOOKUP(AB460,引用表合并!$A:$B,2,FALSE))</f>
        <v/>
      </c>
      <c r="AB460" s="8"/>
      <c r="AC460" s="8"/>
      <c r="AE460" s="8" t="str">
        <f>IF(AF460="","",VLOOKUP(AF460,引用表合并!$A:$B,2,FALSE))</f>
        <v/>
      </c>
      <c r="AF460" s="8"/>
      <c r="AG460" s="8"/>
      <c r="AI460" s="8" t="str">
        <f>IF(AJ460="","",VLOOKUP(AJ460,引用表合并!$A:$B,2,FALSE))</f>
        <v/>
      </c>
      <c r="AJ460" s="8"/>
      <c r="AK460" s="8"/>
      <c r="AM460" s="8" t="str">
        <f>IF(AN460="","",VLOOKUP(AN460,引用表合并!$A:$B,2,FALSE))</f>
        <v/>
      </c>
      <c r="AN460" s="8"/>
      <c r="AO460" s="8"/>
      <c r="AQ460" s="8" t="str">
        <f>IF(AR460="","",VLOOKUP(AR460,引用表合并!$A:$B,2,FALSE))</f>
        <v/>
      </c>
      <c r="AR460" s="8"/>
      <c r="AS460" s="8"/>
      <c r="AU460" s="8" t="str">
        <f>IF(AV460="","",VLOOKUP(AV460,引用表合并!$A:$B,2,FALSE))</f>
        <v/>
      </c>
      <c r="AV460" s="8"/>
      <c r="AW460" s="8"/>
      <c r="AY460" s="8" t="str">
        <f>IF(AZ460="","",VLOOKUP(AZ460,引用表合并!$A:$B,2,FALSE))</f>
        <v/>
      </c>
      <c r="AZ460" s="8"/>
      <c r="BA460" s="8"/>
      <c r="BC460" s="8" t="str">
        <f>IF(BD460="","",VLOOKUP(BD460,引用表合并!$A:$B,2,FALSE))</f>
        <v/>
      </c>
      <c r="BD460" s="8"/>
      <c r="BF460" s="10"/>
      <c r="BG460" s="8" t="str">
        <f>IF(BH460="","",VLOOKUP(BH460,引用表合并!$A:$B,2,FALSE))</f>
        <v/>
      </c>
      <c r="BH460" s="8"/>
      <c r="BJ460" s="10"/>
      <c r="BK460" s="8" t="str">
        <f>IF(BL460="","",VLOOKUP(BL460,引用表合并!$A:$B,2,FALSE))</f>
        <v/>
      </c>
      <c r="BL460" s="8"/>
      <c r="BN460" s="10"/>
    </row>
    <row r="461" spans="1:66" x14ac:dyDescent="0.15">
      <c r="A461" s="8">
        <v>910003</v>
      </c>
      <c r="B461" s="18" t="str">
        <f>"任务:"&amp;VLOOKUP(A461,CHOOSE({1,2},[4]任务经验掉落配置表!$X$3:$X$173,[4]任务经验掉落配置表!$D$3:$D$173),2,FALSE)</f>
        <v>任务:精英偷车贼</v>
      </c>
      <c r="C461" s="8">
        <v>0</v>
      </c>
      <c r="D461" s="8">
        <f t="shared" si="66"/>
        <v>0</v>
      </c>
      <c r="E461" s="16">
        <f t="shared" si="67"/>
        <v>0</v>
      </c>
      <c r="F461" s="16">
        <f t="shared" si="68"/>
        <v>0</v>
      </c>
      <c r="G461" s="8" t="str">
        <f>IF(H461="","",VLOOKUP(H461,引用表合并!$A:$B,2,FALSE))</f>
        <v/>
      </c>
      <c r="K461" s="8" t="str">
        <f>IF(L461="","",VLOOKUP(L461,引用表合并!$A:$B,2,FALSE))</f>
        <v/>
      </c>
      <c r="L461" s="8"/>
      <c r="M461" s="8"/>
      <c r="O461" s="8" t="str">
        <f>IF(P461="","",VLOOKUP(P461,引用表合并!$A:$B,2,FALSE))</f>
        <v/>
      </c>
      <c r="P461" s="8"/>
      <c r="Q461" s="8"/>
      <c r="S461" s="8" t="str">
        <f>IF(T461="","",VLOOKUP(T461,引用表合并!$A:$B,2,FALSE))</f>
        <v/>
      </c>
      <c r="T461" s="8"/>
      <c r="U461" s="8"/>
      <c r="W461" s="8" t="str">
        <f>IF(X461="","",VLOOKUP(X461,引用表合并!$A:$B,2,FALSE))</f>
        <v/>
      </c>
      <c r="X461" s="8"/>
      <c r="Y461" s="8"/>
      <c r="AA461" s="8" t="str">
        <f>IF(AB461="","",VLOOKUP(AB461,引用表合并!$A:$B,2,FALSE))</f>
        <v/>
      </c>
      <c r="AB461" s="8"/>
      <c r="AC461" s="8"/>
      <c r="AE461" s="8" t="str">
        <f>IF(AF461="","",VLOOKUP(AF461,引用表合并!$A:$B,2,FALSE))</f>
        <v/>
      </c>
      <c r="AF461" s="8"/>
      <c r="AG461" s="8"/>
      <c r="AI461" s="8" t="str">
        <f>IF(AJ461="","",VLOOKUP(AJ461,引用表合并!$A:$B,2,FALSE))</f>
        <v/>
      </c>
      <c r="AJ461" s="8"/>
      <c r="AK461" s="8"/>
      <c r="AM461" s="8" t="str">
        <f>IF(AN461="","",VLOOKUP(AN461,引用表合并!$A:$B,2,FALSE))</f>
        <v/>
      </c>
      <c r="AN461" s="8"/>
      <c r="AO461" s="8"/>
      <c r="AQ461" s="8" t="str">
        <f>IF(AR461="","",VLOOKUP(AR461,引用表合并!$A:$B,2,FALSE))</f>
        <v/>
      </c>
      <c r="AR461" s="8"/>
      <c r="AS461" s="8"/>
      <c r="AU461" s="8" t="str">
        <f>IF(AV461="","",VLOOKUP(AV461,引用表合并!$A:$B,2,FALSE))</f>
        <v/>
      </c>
      <c r="AV461" s="8"/>
      <c r="AW461" s="8"/>
      <c r="AY461" s="8" t="str">
        <f>IF(AZ461="","",VLOOKUP(AZ461,引用表合并!$A:$B,2,FALSE))</f>
        <v/>
      </c>
      <c r="AZ461" s="8"/>
      <c r="BA461" s="8"/>
      <c r="BC461" s="8" t="str">
        <f>IF(BD461="","",VLOOKUP(BD461,引用表合并!$A:$B,2,FALSE))</f>
        <v/>
      </c>
      <c r="BD461" s="8"/>
      <c r="BF461" s="10"/>
      <c r="BG461" s="8" t="str">
        <f>IF(BH461="","",VLOOKUP(BH461,引用表合并!$A:$B,2,FALSE))</f>
        <v/>
      </c>
      <c r="BH461" s="8"/>
      <c r="BJ461" s="10"/>
      <c r="BK461" s="8" t="str">
        <f>IF(BL461="","",VLOOKUP(BL461,引用表合并!$A:$B,2,FALSE))</f>
        <v/>
      </c>
      <c r="BL461" s="8"/>
      <c r="BN461" s="10"/>
    </row>
    <row r="462" spans="1:66" x14ac:dyDescent="0.15">
      <c r="A462" s="8">
        <v>910004</v>
      </c>
      <c r="B462" s="18" t="str">
        <f>"任务:"&amp;VLOOKUP(A462,CHOOSE({1,2},[4]任务经验掉落配置表!$X$3:$X$173,[4]任务经验掉落配置表!$D$3:$D$173),2,FALSE)</f>
        <v>任务:精英丧彪手下</v>
      </c>
      <c r="C462" s="8">
        <v>0</v>
      </c>
      <c r="D462" s="8">
        <f t="shared" si="66"/>
        <v>0</v>
      </c>
      <c r="E462" s="16">
        <f t="shared" si="67"/>
        <v>0</v>
      </c>
      <c r="F462" s="16">
        <f t="shared" si="68"/>
        <v>0</v>
      </c>
      <c r="G462" s="8" t="str">
        <f>IF(H462="","",VLOOKUP(H462,引用表合并!$A:$B,2,FALSE))</f>
        <v/>
      </c>
      <c r="K462" s="8" t="str">
        <f>IF(L462="","",VLOOKUP(L462,引用表合并!$A:$B,2,FALSE))</f>
        <v/>
      </c>
      <c r="L462" s="8"/>
      <c r="M462" s="8"/>
      <c r="O462" s="8" t="str">
        <f>IF(P462="","",VLOOKUP(P462,引用表合并!$A:$B,2,FALSE))</f>
        <v/>
      </c>
      <c r="P462" s="8"/>
      <c r="Q462" s="8"/>
      <c r="S462" s="8" t="str">
        <f>IF(T462="","",VLOOKUP(T462,引用表合并!$A:$B,2,FALSE))</f>
        <v/>
      </c>
      <c r="T462" s="8"/>
      <c r="U462" s="8"/>
      <c r="W462" s="8" t="str">
        <f>IF(X462="","",VLOOKUP(X462,引用表合并!$A:$B,2,FALSE))</f>
        <v/>
      </c>
      <c r="X462" s="8"/>
      <c r="Y462" s="8"/>
      <c r="AA462" s="8" t="str">
        <f>IF(AB462="","",VLOOKUP(AB462,引用表合并!$A:$B,2,FALSE))</f>
        <v/>
      </c>
      <c r="AB462" s="8"/>
      <c r="AC462" s="8"/>
      <c r="AE462" s="8" t="str">
        <f>IF(AF462="","",VLOOKUP(AF462,引用表合并!$A:$B,2,FALSE))</f>
        <v/>
      </c>
      <c r="AF462" s="8"/>
      <c r="AG462" s="8"/>
      <c r="AI462" s="8" t="str">
        <f>IF(AJ462="","",VLOOKUP(AJ462,引用表合并!$A:$B,2,FALSE))</f>
        <v/>
      </c>
      <c r="AJ462" s="8"/>
      <c r="AK462" s="8"/>
      <c r="AM462" s="8" t="str">
        <f>IF(AN462="","",VLOOKUP(AN462,引用表合并!$A:$B,2,FALSE))</f>
        <v/>
      </c>
      <c r="AN462" s="8"/>
      <c r="AO462" s="8"/>
      <c r="AQ462" s="8" t="str">
        <f>IF(AR462="","",VLOOKUP(AR462,引用表合并!$A:$B,2,FALSE))</f>
        <v/>
      </c>
      <c r="AR462" s="8"/>
      <c r="AS462" s="8"/>
      <c r="AU462" s="8" t="str">
        <f>IF(AV462="","",VLOOKUP(AV462,引用表合并!$A:$B,2,FALSE))</f>
        <v/>
      </c>
      <c r="AV462" s="8"/>
      <c r="AW462" s="8"/>
      <c r="AY462" s="8" t="str">
        <f>IF(AZ462="","",VLOOKUP(AZ462,引用表合并!$A:$B,2,FALSE))</f>
        <v/>
      </c>
      <c r="AZ462" s="8"/>
      <c r="BA462" s="8"/>
      <c r="BC462" s="8" t="str">
        <f>IF(BD462="","",VLOOKUP(BD462,引用表合并!$A:$B,2,FALSE))</f>
        <v/>
      </c>
      <c r="BD462" s="8"/>
      <c r="BF462" s="10"/>
      <c r="BG462" s="8" t="str">
        <f>IF(BH462="","",VLOOKUP(BH462,引用表合并!$A:$B,2,FALSE))</f>
        <v/>
      </c>
      <c r="BH462" s="8"/>
      <c r="BJ462" s="10"/>
      <c r="BK462" s="8" t="str">
        <f>IF(BL462="","",VLOOKUP(BL462,引用表合并!$A:$B,2,FALSE))</f>
        <v/>
      </c>
      <c r="BL462" s="8"/>
      <c r="BN462" s="10"/>
    </row>
    <row r="463" spans="1:66" x14ac:dyDescent="0.15">
      <c r="A463" s="8">
        <v>910005</v>
      </c>
      <c r="B463" s="18" t="str">
        <f>"任务:"&amp;VLOOKUP(A463,CHOOSE({1,2},[4]任务经验掉落配置表!$X$3:$X$173,[4]任务经验掉落配置表!$D$3:$D$173),2,FALSE)</f>
        <v>任务:精英丧彪</v>
      </c>
      <c r="C463" s="8">
        <v>0</v>
      </c>
      <c r="D463" s="8">
        <f t="shared" si="66"/>
        <v>0</v>
      </c>
      <c r="E463" s="16">
        <f t="shared" si="67"/>
        <v>0</v>
      </c>
      <c r="F463" s="16">
        <f t="shared" si="68"/>
        <v>0</v>
      </c>
      <c r="G463" s="8" t="str">
        <f>IF(H463="","",VLOOKUP(H463,引用表合并!$A:$B,2,FALSE))</f>
        <v/>
      </c>
      <c r="K463" s="8" t="str">
        <f>IF(L463="","",VLOOKUP(L463,引用表合并!$A:$B,2,FALSE))</f>
        <v/>
      </c>
      <c r="L463" s="8"/>
      <c r="M463" s="8"/>
      <c r="O463" s="8" t="str">
        <f>IF(P463="","",VLOOKUP(P463,引用表合并!$A:$B,2,FALSE))</f>
        <v/>
      </c>
      <c r="P463" s="8"/>
      <c r="Q463" s="8"/>
      <c r="S463" s="8" t="str">
        <f>IF(T463="","",VLOOKUP(T463,引用表合并!$A:$B,2,FALSE))</f>
        <v/>
      </c>
      <c r="T463" s="8"/>
      <c r="U463" s="8"/>
      <c r="W463" s="8" t="str">
        <f>IF(X463="","",VLOOKUP(X463,引用表合并!$A:$B,2,FALSE))</f>
        <v/>
      </c>
      <c r="X463" s="8"/>
      <c r="Y463" s="8"/>
      <c r="AA463" s="8" t="str">
        <f>IF(AB463="","",VLOOKUP(AB463,引用表合并!$A:$B,2,FALSE))</f>
        <v/>
      </c>
      <c r="AB463" s="8"/>
      <c r="AC463" s="8"/>
      <c r="AE463" s="8" t="str">
        <f>IF(AF463="","",VLOOKUP(AF463,引用表合并!$A:$B,2,FALSE))</f>
        <v/>
      </c>
      <c r="AF463" s="8"/>
      <c r="AG463" s="8"/>
      <c r="AI463" s="8" t="str">
        <f>IF(AJ463="","",VLOOKUP(AJ463,引用表合并!$A:$B,2,FALSE))</f>
        <v/>
      </c>
      <c r="AJ463" s="8"/>
      <c r="AK463" s="8"/>
      <c r="AM463" s="8" t="str">
        <f>IF(AN463="","",VLOOKUP(AN463,引用表合并!$A:$B,2,FALSE))</f>
        <v/>
      </c>
      <c r="AN463" s="8"/>
      <c r="AO463" s="8"/>
      <c r="AQ463" s="8" t="str">
        <f>IF(AR463="","",VLOOKUP(AR463,引用表合并!$A:$B,2,FALSE))</f>
        <v/>
      </c>
      <c r="AR463" s="8"/>
      <c r="AS463" s="8"/>
      <c r="AU463" s="8" t="str">
        <f>IF(AV463="","",VLOOKUP(AV463,引用表合并!$A:$B,2,FALSE))</f>
        <v/>
      </c>
      <c r="AV463" s="8"/>
      <c r="AW463" s="8"/>
      <c r="AY463" s="8" t="str">
        <f>IF(AZ463="","",VLOOKUP(AZ463,引用表合并!$A:$B,2,FALSE))</f>
        <v/>
      </c>
      <c r="AZ463" s="8"/>
      <c r="BA463" s="8"/>
      <c r="BC463" s="8" t="str">
        <f>IF(BD463="","",VLOOKUP(BD463,引用表合并!$A:$B,2,FALSE))</f>
        <v/>
      </c>
      <c r="BD463" s="8"/>
      <c r="BF463" s="10"/>
      <c r="BG463" s="8" t="str">
        <f>IF(BH463="","",VLOOKUP(BH463,引用表合并!$A:$B,2,FALSE))</f>
        <v/>
      </c>
      <c r="BH463" s="8"/>
      <c r="BJ463" s="10"/>
      <c r="BK463" s="8" t="str">
        <f>IF(BL463="","",VLOOKUP(BL463,引用表合并!$A:$B,2,FALSE))</f>
        <v/>
      </c>
      <c r="BL463" s="8"/>
      <c r="BN463" s="10"/>
    </row>
    <row r="464" spans="1:66" x14ac:dyDescent="0.15">
      <c r="A464" s="8">
        <v>910006</v>
      </c>
      <c r="B464" s="18" t="str">
        <f>"任务:"&amp;VLOOKUP(A464,CHOOSE({1,2},[4]任务经验掉落配置表!$X$3:$X$173,[4]任务经验掉落配置表!$D$3:$D$173),2,FALSE)</f>
        <v>任务:精英拦截者</v>
      </c>
      <c r="C464" s="8">
        <v>0</v>
      </c>
      <c r="D464" s="8">
        <f t="shared" si="66"/>
        <v>0</v>
      </c>
      <c r="E464" s="16">
        <f t="shared" si="67"/>
        <v>0</v>
      </c>
      <c r="F464" s="16">
        <f t="shared" si="68"/>
        <v>0</v>
      </c>
      <c r="G464" s="8" t="str">
        <f>IF(H464="","",VLOOKUP(H464,引用表合并!$A:$B,2,FALSE))</f>
        <v/>
      </c>
      <c r="K464" s="8" t="str">
        <f>IF(L464="","",VLOOKUP(L464,引用表合并!$A:$B,2,FALSE))</f>
        <v/>
      </c>
      <c r="L464" s="8"/>
      <c r="M464" s="8"/>
      <c r="O464" s="8" t="str">
        <f>IF(P464="","",VLOOKUP(P464,引用表合并!$A:$B,2,FALSE))</f>
        <v/>
      </c>
      <c r="P464" s="8"/>
      <c r="Q464" s="8"/>
      <c r="S464" s="8" t="str">
        <f>IF(T464="","",VLOOKUP(T464,引用表合并!$A:$B,2,FALSE))</f>
        <v/>
      </c>
      <c r="T464" s="8"/>
      <c r="U464" s="8"/>
      <c r="W464" s="8" t="str">
        <f>IF(X464="","",VLOOKUP(X464,引用表合并!$A:$B,2,FALSE))</f>
        <v/>
      </c>
      <c r="X464" s="8"/>
      <c r="Y464" s="8"/>
      <c r="AA464" s="8" t="str">
        <f>IF(AB464="","",VLOOKUP(AB464,引用表合并!$A:$B,2,FALSE))</f>
        <v/>
      </c>
      <c r="AB464" s="8"/>
      <c r="AC464" s="8"/>
      <c r="AE464" s="8" t="str">
        <f>IF(AF464="","",VLOOKUP(AF464,引用表合并!$A:$B,2,FALSE))</f>
        <v/>
      </c>
      <c r="AF464" s="8"/>
      <c r="AG464" s="8"/>
      <c r="AI464" s="8" t="str">
        <f>IF(AJ464="","",VLOOKUP(AJ464,引用表合并!$A:$B,2,FALSE))</f>
        <v/>
      </c>
      <c r="AJ464" s="8"/>
      <c r="AK464" s="8"/>
      <c r="AM464" s="8" t="str">
        <f>IF(AN464="","",VLOOKUP(AN464,引用表合并!$A:$B,2,FALSE))</f>
        <v/>
      </c>
      <c r="AN464" s="8"/>
      <c r="AO464" s="8"/>
      <c r="AQ464" s="8" t="str">
        <f>IF(AR464="","",VLOOKUP(AR464,引用表合并!$A:$B,2,FALSE))</f>
        <v/>
      </c>
      <c r="AR464" s="8"/>
      <c r="AS464" s="8"/>
      <c r="AU464" s="8" t="str">
        <f>IF(AV464="","",VLOOKUP(AV464,引用表合并!$A:$B,2,FALSE))</f>
        <v/>
      </c>
      <c r="AV464" s="8"/>
      <c r="AW464" s="8"/>
      <c r="AY464" s="8" t="str">
        <f>IF(AZ464="","",VLOOKUP(AZ464,引用表合并!$A:$B,2,FALSE))</f>
        <v/>
      </c>
      <c r="AZ464" s="8"/>
      <c r="BA464" s="8"/>
      <c r="BC464" s="8" t="str">
        <f>IF(BD464="","",VLOOKUP(BD464,引用表合并!$A:$B,2,FALSE))</f>
        <v/>
      </c>
      <c r="BD464" s="8"/>
      <c r="BF464" s="10"/>
      <c r="BG464" s="8" t="str">
        <f>IF(BH464="","",VLOOKUP(BH464,引用表合并!$A:$B,2,FALSE))</f>
        <v/>
      </c>
      <c r="BH464" s="8"/>
      <c r="BJ464" s="10"/>
      <c r="BK464" s="8" t="str">
        <f>IF(BL464="","",VLOOKUP(BL464,引用表合并!$A:$B,2,FALSE))</f>
        <v/>
      </c>
      <c r="BL464" s="8"/>
      <c r="BN464" s="10"/>
    </row>
    <row r="465" spans="1:66" x14ac:dyDescent="0.15">
      <c r="A465" s="8">
        <v>910007</v>
      </c>
      <c r="B465" s="18" t="str">
        <f>"任务:"&amp;VLOOKUP(A465,CHOOSE({1,2},[4]任务经验掉落配置表!$X$3:$X$173,[4]任务经验掉落配置表!$D$3:$D$173),2,FALSE)</f>
        <v>任务:精英靓坤手下</v>
      </c>
      <c r="C465" s="8">
        <v>0</v>
      </c>
      <c r="D465" s="8">
        <f t="shared" si="66"/>
        <v>0</v>
      </c>
      <c r="E465" s="16">
        <f t="shared" si="67"/>
        <v>0</v>
      </c>
      <c r="F465" s="16">
        <f t="shared" si="68"/>
        <v>0</v>
      </c>
      <c r="G465" s="8" t="str">
        <f>IF(H465="","",VLOOKUP(H465,引用表合并!$A:$B,2,FALSE))</f>
        <v/>
      </c>
      <c r="K465" s="8" t="str">
        <f>IF(L465="","",VLOOKUP(L465,引用表合并!$A:$B,2,FALSE))</f>
        <v/>
      </c>
      <c r="L465" s="8"/>
      <c r="M465" s="8"/>
      <c r="O465" s="8" t="str">
        <f>IF(P465="","",VLOOKUP(P465,引用表合并!$A:$B,2,FALSE))</f>
        <v/>
      </c>
      <c r="P465" s="8"/>
      <c r="Q465" s="8"/>
      <c r="S465" s="8" t="str">
        <f>IF(T465="","",VLOOKUP(T465,引用表合并!$A:$B,2,FALSE))</f>
        <v/>
      </c>
      <c r="T465" s="8"/>
      <c r="U465" s="8"/>
      <c r="W465" s="8" t="str">
        <f>IF(X465="","",VLOOKUP(X465,引用表合并!$A:$B,2,FALSE))</f>
        <v/>
      </c>
      <c r="X465" s="8"/>
      <c r="Y465" s="8"/>
      <c r="AA465" s="8" t="str">
        <f>IF(AB465="","",VLOOKUP(AB465,引用表合并!$A:$B,2,FALSE))</f>
        <v/>
      </c>
      <c r="AB465" s="8"/>
      <c r="AC465" s="8"/>
      <c r="AE465" s="8" t="str">
        <f>IF(AF465="","",VLOOKUP(AF465,引用表合并!$A:$B,2,FALSE))</f>
        <v/>
      </c>
      <c r="AF465" s="8"/>
      <c r="AG465" s="8"/>
      <c r="AI465" s="8" t="str">
        <f>IF(AJ465="","",VLOOKUP(AJ465,引用表合并!$A:$B,2,FALSE))</f>
        <v/>
      </c>
      <c r="AJ465" s="8"/>
      <c r="AK465" s="8"/>
      <c r="AM465" s="8" t="str">
        <f>IF(AN465="","",VLOOKUP(AN465,引用表合并!$A:$B,2,FALSE))</f>
        <v/>
      </c>
      <c r="AN465" s="8"/>
      <c r="AO465" s="8"/>
      <c r="AQ465" s="8" t="str">
        <f>IF(AR465="","",VLOOKUP(AR465,引用表合并!$A:$B,2,FALSE))</f>
        <v/>
      </c>
      <c r="AR465" s="8"/>
      <c r="AS465" s="8"/>
      <c r="AU465" s="8" t="str">
        <f>IF(AV465="","",VLOOKUP(AV465,引用表合并!$A:$B,2,FALSE))</f>
        <v/>
      </c>
      <c r="AV465" s="8"/>
      <c r="AW465" s="8"/>
      <c r="AY465" s="8" t="str">
        <f>IF(AZ465="","",VLOOKUP(AZ465,引用表合并!$A:$B,2,FALSE))</f>
        <v/>
      </c>
      <c r="AZ465" s="8"/>
      <c r="BA465" s="8"/>
      <c r="BC465" s="8" t="str">
        <f>IF(BD465="","",VLOOKUP(BD465,引用表合并!$A:$B,2,FALSE))</f>
        <v/>
      </c>
      <c r="BD465" s="8"/>
      <c r="BF465" s="10"/>
      <c r="BG465" s="8" t="str">
        <f>IF(BH465="","",VLOOKUP(BH465,引用表合并!$A:$B,2,FALSE))</f>
        <v/>
      </c>
      <c r="BH465" s="8"/>
      <c r="BJ465" s="10"/>
      <c r="BK465" s="8" t="str">
        <f>IF(BL465="","",VLOOKUP(BL465,引用表合并!$A:$B,2,FALSE))</f>
        <v/>
      </c>
      <c r="BL465" s="8"/>
      <c r="BN465" s="10"/>
    </row>
    <row r="466" spans="1:66" x14ac:dyDescent="0.15">
      <c r="A466" s="8">
        <v>910008</v>
      </c>
      <c r="B466" s="18" t="str">
        <f>"任务:"&amp;VLOOKUP(A466,CHOOSE({1,2},[4]任务经验掉落配置表!$X$3:$X$173,[4]任务经验掉落配置表!$D$3:$D$173),2,FALSE)</f>
        <v>任务:精英阿强</v>
      </c>
      <c r="C466" s="8">
        <v>0</v>
      </c>
      <c r="D466" s="8">
        <f t="shared" ref="D466:D567" si="71">E466</f>
        <v>0</v>
      </c>
      <c r="E466" s="16">
        <f t="shared" si="67"/>
        <v>0</v>
      </c>
      <c r="F466" s="16">
        <f t="shared" si="68"/>
        <v>0</v>
      </c>
      <c r="G466" s="8" t="str">
        <f>IF(H466="","",VLOOKUP(H466,引用表合并!$A:$B,2,FALSE))</f>
        <v/>
      </c>
      <c r="K466" s="8" t="str">
        <f>IF(L466="","",VLOOKUP(L466,引用表合并!$A:$B,2,FALSE))</f>
        <v/>
      </c>
      <c r="L466" s="8"/>
      <c r="M466" s="8"/>
      <c r="O466" s="8" t="str">
        <f>IF(P466="","",VLOOKUP(P466,引用表合并!$A:$B,2,FALSE))</f>
        <v/>
      </c>
      <c r="P466" s="8"/>
      <c r="Q466" s="8"/>
      <c r="S466" s="8" t="str">
        <f>IF(T466="","",VLOOKUP(T466,引用表合并!$A:$B,2,FALSE))</f>
        <v/>
      </c>
      <c r="T466" s="8"/>
      <c r="U466" s="8"/>
      <c r="W466" s="8" t="str">
        <f>IF(X466="","",VLOOKUP(X466,引用表合并!$A:$B,2,FALSE))</f>
        <v/>
      </c>
      <c r="X466" s="8"/>
      <c r="Y466" s="8"/>
      <c r="AA466" s="8" t="str">
        <f>IF(AB466="","",VLOOKUP(AB466,引用表合并!$A:$B,2,FALSE))</f>
        <v/>
      </c>
      <c r="AB466" s="8"/>
      <c r="AC466" s="8"/>
      <c r="AE466" s="8" t="str">
        <f>IF(AF466="","",VLOOKUP(AF466,引用表合并!$A:$B,2,FALSE))</f>
        <v/>
      </c>
      <c r="AF466" s="8"/>
      <c r="AG466" s="8"/>
      <c r="AI466" s="8" t="str">
        <f>IF(AJ466="","",VLOOKUP(AJ466,引用表合并!$A:$B,2,FALSE))</f>
        <v/>
      </c>
      <c r="AJ466" s="8"/>
      <c r="AK466" s="8"/>
      <c r="AM466" s="8" t="str">
        <f>IF(AN466="","",VLOOKUP(AN466,引用表合并!$A:$B,2,FALSE))</f>
        <v/>
      </c>
      <c r="AN466" s="8"/>
      <c r="AO466" s="8"/>
      <c r="AQ466" s="8" t="str">
        <f>IF(AR466="","",VLOOKUP(AR466,引用表合并!$A:$B,2,FALSE))</f>
        <v/>
      </c>
      <c r="AR466" s="8"/>
      <c r="AS466" s="8"/>
      <c r="AU466" s="8" t="str">
        <f>IF(AV466="","",VLOOKUP(AV466,引用表合并!$A:$B,2,FALSE))</f>
        <v/>
      </c>
      <c r="AV466" s="8"/>
      <c r="AW466" s="8"/>
      <c r="AY466" s="8" t="str">
        <f>IF(AZ466="","",VLOOKUP(AZ466,引用表合并!$A:$B,2,FALSE))</f>
        <v/>
      </c>
      <c r="AZ466" s="8"/>
      <c r="BA466" s="8"/>
      <c r="BC466" s="8" t="str">
        <f>IF(BD466="","",VLOOKUP(BD466,引用表合并!$A:$B,2,FALSE))</f>
        <v/>
      </c>
      <c r="BD466" s="8"/>
      <c r="BF466" s="10"/>
      <c r="BG466" s="8" t="str">
        <f>IF(BH466="","",VLOOKUP(BH466,引用表合并!$A:$B,2,FALSE))</f>
        <v/>
      </c>
      <c r="BH466" s="8"/>
      <c r="BJ466" s="10"/>
      <c r="BK466" s="8" t="str">
        <f>IF(BL466="","",VLOOKUP(BL466,引用表合并!$A:$B,2,FALSE))</f>
        <v/>
      </c>
      <c r="BL466" s="8"/>
      <c r="BN466" s="10"/>
    </row>
    <row r="467" spans="1:66" x14ac:dyDescent="0.15">
      <c r="A467" s="8">
        <v>910009</v>
      </c>
      <c r="B467" s="18" t="str">
        <f>"任务:"&amp;VLOOKUP(A467,CHOOSE({1,2},[4]任务经验掉落配置表!$X$3:$X$173,[4]任务经验掉落配置表!$D$3:$D$173),2,FALSE)</f>
        <v>任务:精英靓坤</v>
      </c>
      <c r="C467" s="8">
        <v>0</v>
      </c>
      <c r="D467" s="8">
        <f t="shared" si="71"/>
        <v>0</v>
      </c>
      <c r="E467" s="16">
        <f t="shared" si="67"/>
        <v>0</v>
      </c>
      <c r="F467" s="16">
        <f t="shared" si="68"/>
        <v>0</v>
      </c>
      <c r="G467" s="8" t="str">
        <f>IF(H467="","",VLOOKUP(H467,引用表合并!$A:$B,2,FALSE))</f>
        <v/>
      </c>
      <c r="K467" s="8" t="str">
        <f>IF(L467="","",VLOOKUP(L467,引用表合并!$A:$B,2,FALSE))</f>
        <v/>
      </c>
      <c r="L467" s="8"/>
      <c r="M467" s="8"/>
      <c r="O467" s="8" t="str">
        <f>IF(P467="","",VLOOKUP(P467,引用表合并!$A:$B,2,FALSE))</f>
        <v/>
      </c>
      <c r="P467" s="8"/>
      <c r="Q467" s="8"/>
      <c r="S467" s="8" t="str">
        <f>IF(T467="","",VLOOKUP(T467,引用表合并!$A:$B,2,FALSE))</f>
        <v/>
      </c>
      <c r="T467" s="8"/>
      <c r="U467" s="8"/>
      <c r="W467" s="8" t="str">
        <f>IF(X467="","",VLOOKUP(X467,引用表合并!$A:$B,2,FALSE))</f>
        <v/>
      </c>
      <c r="X467" s="8"/>
      <c r="Y467" s="8"/>
      <c r="AA467" s="8" t="str">
        <f>IF(AB467="","",VLOOKUP(AB467,引用表合并!$A:$B,2,FALSE))</f>
        <v/>
      </c>
      <c r="AB467" s="8"/>
      <c r="AC467" s="8"/>
      <c r="AE467" s="8" t="str">
        <f>IF(AF467="","",VLOOKUP(AF467,引用表合并!$A:$B,2,FALSE))</f>
        <v/>
      </c>
      <c r="AF467" s="8"/>
      <c r="AG467" s="8"/>
      <c r="AI467" s="8" t="str">
        <f>IF(AJ467="","",VLOOKUP(AJ467,引用表合并!$A:$B,2,FALSE))</f>
        <v/>
      </c>
      <c r="AJ467" s="8"/>
      <c r="AK467" s="8"/>
      <c r="AM467" s="8" t="str">
        <f>IF(AN467="","",VLOOKUP(AN467,引用表合并!$A:$B,2,FALSE))</f>
        <v/>
      </c>
      <c r="AN467" s="8"/>
      <c r="AO467" s="8"/>
      <c r="AQ467" s="8" t="str">
        <f>IF(AR467="","",VLOOKUP(AR467,引用表合并!$A:$B,2,FALSE))</f>
        <v/>
      </c>
      <c r="AR467" s="8"/>
      <c r="AS467" s="8"/>
      <c r="AU467" s="8" t="str">
        <f>IF(AV467="","",VLOOKUP(AV467,引用表合并!$A:$B,2,FALSE))</f>
        <v/>
      </c>
      <c r="AV467" s="8"/>
      <c r="AW467" s="8"/>
      <c r="AY467" s="8" t="str">
        <f>IF(AZ467="","",VLOOKUP(AZ467,引用表合并!$A:$B,2,FALSE))</f>
        <v/>
      </c>
      <c r="AZ467" s="8"/>
      <c r="BA467" s="8"/>
      <c r="BC467" s="8" t="str">
        <f>IF(BD467="","",VLOOKUP(BD467,引用表合并!$A:$B,2,FALSE))</f>
        <v/>
      </c>
      <c r="BD467" s="8"/>
      <c r="BF467" s="10"/>
      <c r="BG467" s="8" t="str">
        <f>IF(BH467="","",VLOOKUP(BH467,引用表合并!$A:$B,2,FALSE))</f>
        <v/>
      </c>
      <c r="BH467" s="8"/>
      <c r="BJ467" s="10"/>
      <c r="BK467" s="8" t="str">
        <f>IF(BL467="","",VLOOKUP(BL467,引用表合并!$A:$B,2,FALSE))</f>
        <v/>
      </c>
      <c r="BL467" s="8"/>
      <c r="BN467" s="10"/>
    </row>
    <row r="468" spans="1:66" x14ac:dyDescent="0.15">
      <c r="A468" s="8">
        <v>910010</v>
      </c>
      <c r="B468" s="18" t="str">
        <f>"任务:"&amp;VLOOKUP(A468,CHOOSE({1,2},[4]任务经验掉落配置表!$X$3:$X$173,[4]任务经验掉落配置表!$D$3:$D$173),2,FALSE)</f>
        <v>任务:精英议员保镖</v>
      </c>
      <c r="C468" s="8">
        <v>0</v>
      </c>
      <c r="D468" s="8">
        <f t="shared" si="71"/>
        <v>0</v>
      </c>
      <c r="E468" s="16">
        <f t="shared" ref="E468:E531" si="72">COUNTIF(G468:FJ468,"&gt;0")/3</f>
        <v>0</v>
      </c>
      <c r="F468" s="16">
        <f t="shared" si="68"/>
        <v>0</v>
      </c>
      <c r="G468" s="8" t="str">
        <f>IF(H468="","",VLOOKUP(H468,引用表合并!$A:$B,2,FALSE))</f>
        <v/>
      </c>
      <c r="K468" s="8" t="str">
        <f>IF(L468="","",VLOOKUP(L468,引用表合并!$A:$B,2,FALSE))</f>
        <v/>
      </c>
      <c r="L468" s="8"/>
      <c r="M468" s="8"/>
      <c r="O468" s="8" t="str">
        <f>IF(P468="","",VLOOKUP(P468,引用表合并!$A:$B,2,FALSE))</f>
        <v/>
      </c>
      <c r="P468" s="8"/>
      <c r="Q468" s="8"/>
      <c r="S468" s="8" t="str">
        <f>IF(T468="","",VLOOKUP(T468,引用表合并!$A:$B,2,FALSE))</f>
        <v/>
      </c>
      <c r="T468" s="8"/>
      <c r="U468" s="8"/>
      <c r="W468" s="8" t="str">
        <f>IF(X468="","",VLOOKUP(X468,引用表合并!$A:$B,2,FALSE))</f>
        <v/>
      </c>
      <c r="X468" s="8"/>
      <c r="Y468" s="8"/>
      <c r="AA468" s="8" t="str">
        <f>IF(AB468="","",VLOOKUP(AB468,引用表合并!$A:$B,2,FALSE))</f>
        <v/>
      </c>
      <c r="AB468" s="8"/>
      <c r="AC468" s="8"/>
      <c r="AE468" s="8" t="str">
        <f>IF(AF468="","",VLOOKUP(AF468,引用表合并!$A:$B,2,FALSE))</f>
        <v/>
      </c>
      <c r="AF468" s="8"/>
      <c r="AG468" s="8"/>
      <c r="AI468" s="8" t="str">
        <f>IF(AJ468="","",VLOOKUP(AJ468,引用表合并!$A:$B,2,FALSE))</f>
        <v/>
      </c>
      <c r="AJ468" s="8"/>
      <c r="AK468" s="8"/>
      <c r="AM468" s="8" t="str">
        <f>IF(AN468="","",VLOOKUP(AN468,引用表合并!$A:$B,2,FALSE))</f>
        <v/>
      </c>
      <c r="AN468" s="8"/>
      <c r="AO468" s="8"/>
      <c r="AQ468" s="8" t="str">
        <f>IF(AR468="","",VLOOKUP(AR468,引用表合并!$A:$B,2,FALSE))</f>
        <v/>
      </c>
      <c r="AR468" s="8"/>
      <c r="AS468" s="8"/>
      <c r="AU468" s="8" t="str">
        <f>IF(AV468="","",VLOOKUP(AV468,引用表合并!$A:$B,2,FALSE))</f>
        <v/>
      </c>
      <c r="AV468" s="8"/>
      <c r="AW468" s="8"/>
      <c r="AY468" s="8" t="str">
        <f>IF(AZ468="","",VLOOKUP(AZ468,引用表合并!$A:$B,2,FALSE))</f>
        <v/>
      </c>
      <c r="AZ468" s="8"/>
      <c r="BA468" s="8"/>
      <c r="BC468" s="8" t="str">
        <f>IF(BD468="","",VLOOKUP(BD468,引用表合并!$A:$B,2,FALSE))</f>
        <v/>
      </c>
      <c r="BD468" s="8"/>
      <c r="BF468" s="10"/>
      <c r="BG468" s="8" t="str">
        <f>IF(BH468="","",VLOOKUP(BH468,引用表合并!$A:$B,2,FALSE))</f>
        <v/>
      </c>
      <c r="BH468" s="8"/>
      <c r="BJ468" s="10"/>
      <c r="BK468" s="8" t="str">
        <f>IF(BL468="","",VLOOKUP(BL468,引用表合并!$A:$B,2,FALSE))</f>
        <v/>
      </c>
      <c r="BL468" s="8"/>
      <c r="BN468" s="10"/>
    </row>
    <row r="469" spans="1:66" x14ac:dyDescent="0.15">
      <c r="A469" s="8">
        <v>910011</v>
      </c>
      <c r="B469" s="18" t="str">
        <f>"任务:"&amp;VLOOKUP(A469,CHOOSE({1,2},[4]任务经验掉落配置表!$X$3:$X$173,[4]任务经验掉落配置表!$D$3:$D$173),2,FALSE)</f>
        <v>任务:精英张议员</v>
      </c>
      <c r="C469" s="8">
        <v>0</v>
      </c>
      <c r="D469" s="8">
        <f t="shared" si="71"/>
        <v>0</v>
      </c>
      <c r="E469" s="16">
        <f t="shared" si="72"/>
        <v>0</v>
      </c>
      <c r="F469" s="16">
        <f t="shared" si="68"/>
        <v>0</v>
      </c>
      <c r="G469" s="8" t="str">
        <f>IF(H469="","",VLOOKUP(H469,引用表合并!$A:$B,2,FALSE))</f>
        <v/>
      </c>
      <c r="K469" s="8" t="str">
        <f>IF(L469="","",VLOOKUP(L469,引用表合并!$A:$B,2,FALSE))</f>
        <v/>
      </c>
      <c r="L469" s="8"/>
      <c r="M469" s="8"/>
      <c r="O469" s="8" t="str">
        <f>IF(P469="","",VLOOKUP(P469,引用表合并!$A:$B,2,FALSE))</f>
        <v/>
      </c>
      <c r="P469" s="8"/>
      <c r="Q469" s="8"/>
      <c r="S469" s="8" t="str">
        <f>IF(T469="","",VLOOKUP(T469,引用表合并!$A:$B,2,FALSE))</f>
        <v/>
      </c>
      <c r="T469" s="8"/>
      <c r="U469" s="8"/>
      <c r="W469" s="8" t="str">
        <f>IF(X469="","",VLOOKUP(X469,引用表合并!$A:$B,2,FALSE))</f>
        <v/>
      </c>
      <c r="X469" s="8"/>
      <c r="Y469" s="8"/>
      <c r="AA469" s="8" t="str">
        <f>IF(AB469="","",VLOOKUP(AB469,引用表合并!$A:$B,2,FALSE))</f>
        <v/>
      </c>
      <c r="AB469" s="8"/>
      <c r="AC469" s="8"/>
      <c r="AE469" s="8" t="str">
        <f>IF(AF469="","",VLOOKUP(AF469,引用表合并!$A:$B,2,FALSE))</f>
        <v/>
      </c>
      <c r="AF469" s="8"/>
      <c r="AG469" s="8"/>
      <c r="AI469" s="8" t="str">
        <f>IF(AJ469="","",VLOOKUP(AJ469,引用表合并!$A:$B,2,FALSE))</f>
        <v/>
      </c>
      <c r="AJ469" s="8"/>
      <c r="AK469" s="8"/>
      <c r="AM469" s="8" t="str">
        <f>IF(AN469="","",VLOOKUP(AN469,引用表合并!$A:$B,2,FALSE))</f>
        <v/>
      </c>
      <c r="AN469" s="8"/>
      <c r="AO469" s="8"/>
      <c r="AQ469" s="8" t="str">
        <f>IF(AR469="","",VLOOKUP(AR469,引用表合并!$A:$B,2,FALSE))</f>
        <v/>
      </c>
      <c r="AR469" s="8"/>
      <c r="AS469" s="8"/>
      <c r="AU469" s="8" t="str">
        <f>IF(AV469="","",VLOOKUP(AV469,引用表合并!$A:$B,2,FALSE))</f>
        <v/>
      </c>
      <c r="AV469" s="8"/>
      <c r="AW469" s="8"/>
      <c r="AY469" s="8" t="str">
        <f>IF(AZ469="","",VLOOKUP(AZ469,引用表合并!$A:$B,2,FALSE))</f>
        <v/>
      </c>
      <c r="AZ469" s="8"/>
      <c r="BA469" s="8"/>
      <c r="BC469" s="8" t="str">
        <f>IF(BD469="","",VLOOKUP(BD469,引用表合并!$A:$B,2,FALSE))</f>
        <v/>
      </c>
      <c r="BD469" s="8"/>
      <c r="BF469" s="10"/>
      <c r="BG469" s="8" t="str">
        <f>IF(BH469="","",VLOOKUP(BH469,引用表合并!$A:$B,2,FALSE))</f>
        <v/>
      </c>
      <c r="BH469" s="8"/>
      <c r="BJ469" s="10"/>
      <c r="BK469" s="8" t="str">
        <f>IF(BL469="","",VLOOKUP(BL469,引用表合并!$A:$B,2,FALSE))</f>
        <v/>
      </c>
      <c r="BL469" s="8"/>
      <c r="BN469" s="10"/>
    </row>
    <row r="470" spans="1:66" x14ac:dyDescent="0.15">
      <c r="A470" s="8">
        <v>910012</v>
      </c>
      <c r="B470" s="18" t="str">
        <f>"任务:"&amp;VLOOKUP(A470,CHOOSE({1,2},[4]任务经验掉落配置表!$X$3:$X$173,[4]任务经验掉落配置表!$D$3:$D$173),2,FALSE)</f>
        <v>任务:精英枪手</v>
      </c>
      <c r="C470" s="8">
        <v>0</v>
      </c>
      <c r="D470" s="8">
        <f t="shared" si="71"/>
        <v>0</v>
      </c>
      <c r="E470" s="16">
        <f t="shared" si="72"/>
        <v>0</v>
      </c>
      <c r="F470" s="16">
        <f t="shared" si="68"/>
        <v>0</v>
      </c>
      <c r="G470" s="8" t="str">
        <f>IF(H470="","",VLOOKUP(H470,引用表合并!$A:$B,2,FALSE))</f>
        <v/>
      </c>
      <c r="K470" s="8" t="str">
        <f>IF(L470="","",VLOOKUP(L470,引用表合并!$A:$B,2,FALSE))</f>
        <v/>
      </c>
      <c r="L470" s="8"/>
      <c r="M470" s="8"/>
      <c r="O470" s="8" t="str">
        <f>IF(P470="","",VLOOKUP(P470,引用表合并!$A:$B,2,FALSE))</f>
        <v/>
      </c>
      <c r="P470" s="8"/>
      <c r="Q470" s="8"/>
      <c r="S470" s="8" t="str">
        <f>IF(T470="","",VLOOKUP(T470,引用表合并!$A:$B,2,FALSE))</f>
        <v/>
      </c>
      <c r="T470" s="8"/>
      <c r="U470" s="8"/>
      <c r="W470" s="8" t="str">
        <f>IF(X470="","",VLOOKUP(X470,引用表合并!$A:$B,2,FALSE))</f>
        <v/>
      </c>
      <c r="X470" s="8"/>
      <c r="Y470" s="8"/>
      <c r="AA470" s="8" t="str">
        <f>IF(AB470="","",VLOOKUP(AB470,引用表合并!$A:$B,2,FALSE))</f>
        <v/>
      </c>
      <c r="AB470" s="8"/>
      <c r="AC470" s="8"/>
      <c r="AE470" s="8" t="str">
        <f>IF(AF470="","",VLOOKUP(AF470,引用表合并!$A:$B,2,FALSE))</f>
        <v/>
      </c>
      <c r="AF470" s="8"/>
      <c r="AG470" s="8"/>
      <c r="AI470" s="8" t="str">
        <f>IF(AJ470="","",VLOOKUP(AJ470,引用表合并!$A:$B,2,FALSE))</f>
        <v/>
      </c>
      <c r="AJ470" s="8"/>
      <c r="AK470" s="8"/>
      <c r="AM470" s="8" t="str">
        <f>IF(AN470="","",VLOOKUP(AN470,引用表合并!$A:$B,2,FALSE))</f>
        <v/>
      </c>
      <c r="AN470" s="8"/>
      <c r="AO470" s="8"/>
      <c r="AQ470" s="8" t="str">
        <f>IF(AR470="","",VLOOKUP(AR470,引用表合并!$A:$B,2,FALSE))</f>
        <v/>
      </c>
      <c r="AR470" s="8"/>
      <c r="AS470" s="8"/>
      <c r="AU470" s="8" t="str">
        <f>IF(AV470="","",VLOOKUP(AV470,引用表合并!$A:$B,2,FALSE))</f>
        <v/>
      </c>
      <c r="AV470" s="8"/>
      <c r="AW470" s="8"/>
      <c r="AY470" s="8" t="str">
        <f>IF(AZ470="","",VLOOKUP(AZ470,引用表合并!$A:$B,2,FALSE))</f>
        <v/>
      </c>
      <c r="AZ470" s="8"/>
      <c r="BA470" s="8"/>
      <c r="BC470" s="8" t="str">
        <f>IF(BD470="","",VLOOKUP(BD470,引用表合并!$A:$B,2,FALSE))</f>
        <v/>
      </c>
      <c r="BD470" s="8"/>
      <c r="BF470" s="10"/>
      <c r="BG470" s="8" t="str">
        <f>IF(BH470="","",VLOOKUP(BH470,引用表合并!$A:$B,2,FALSE))</f>
        <v/>
      </c>
      <c r="BH470" s="8"/>
      <c r="BJ470" s="10"/>
      <c r="BK470" s="8" t="str">
        <f>IF(BL470="","",VLOOKUP(BL470,引用表合并!$A:$B,2,FALSE))</f>
        <v/>
      </c>
      <c r="BL470" s="8"/>
      <c r="BN470" s="10"/>
    </row>
    <row r="471" spans="1:66" x14ac:dyDescent="0.15">
      <c r="A471" s="8">
        <v>910013</v>
      </c>
      <c r="B471" s="18" t="str">
        <f>"任务:"&amp;VLOOKUP(A471,CHOOSE({1,2},[4]任务经验掉落配置表!$X$3:$X$173,[4]任务经验掉落配置表!$D$3:$D$173),2,FALSE)</f>
        <v>任务:精英大飞手下</v>
      </c>
      <c r="C471" s="8">
        <v>0</v>
      </c>
      <c r="D471" s="8">
        <f t="shared" si="71"/>
        <v>0</v>
      </c>
      <c r="E471" s="16">
        <f t="shared" si="72"/>
        <v>0</v>
      </c>
      <c r="F471" s="16">
        <f t="shared" si="68"/>
        <v>0</v>
      </c>
      <c r="G471" s="8" t="str">
        <f>IF(H471="","",VLOOKUP(H471,引用表合并!$A:$B,2,FALSE))</f>
        <v/>
      </c>
      <c r="K471" s="8" t="str">
        <f>IF(L471="","",VLOOKUP(L471,引用表合并!$A:$B,2,FALSE))</f>
        <v/>
      </c>
      <c r="L471" s="8"/>
      <c r="M471" s="8"/>
      <c r="O471" s="8" t="str">
        <f>IF(P471="","",VLOOKUP(P471,引用表合并!$A:$B,2,FALSE))</f>
        <v/>
      </c>
      <c r="P471" s="8"/>
      <c r="Q471" s="8"/>
      <c r="S471" s="8" t="str">
        <f>IF(T471="","",VLOOKUP(T471,引用表合并!$A:$B,2,FALSE))</f>
        <v/>
      </c>
      <c r="T471" s="8"/>
      <c r="U471" s="8"/>
      <c r="W471" s="8" t="str">
        <f>IF(X471="","",VLOOKUP(X471,引用表合并!$A:$B,2,FALSE))</f>
        <v/>
      </c>
      <c r="X471" s="8"/>
      <c r="Y471" s="8"/>
      <c r="AA471" s="8" t="str">
        <f>IF(AB471="","",VLOOKUP(AB471,引用表合并!$A:$B,2,FALSE))</f>
        <v/>
      </c>
      <c r="AB471" s="8"/>
      <c r="AC471" s="8"/>
      <c r="AE471" s="8" t="str">
        <f>IF(AF471="","",VLOOKUP(AF471,引用表合并!$A:$B,2,FALSE))</f>
        <v/>
      </c>
      <c r="AF471" s="8"/>
      <c r="AG471" s="8"/>
      <c r="AI471" s="8" t="str">
        <f>IF(AJ471="","",VLOOKUP(AJ471,引用表合并!$A:$B,2,FALSE))</f>
        <v/>
      </c>
      <c r="AJ471" s="8"/>
      <c r="AK471" s="8"/>
      <c r="AM471" s="8" t="str">
        <f>IF(AN471="","",VLOOKUP(AN471,引用表合并!$A:$B,2,FALSE))</f>
        <v/>
      </c>
      <c r="AN471" s="8"/>
      <c r="AO471" s="8"/>
      <c r="AQ471" s="8" t="str">
        <f>IF(AR471="","",VLOOKUP(AR471,引用表合并!$A:$B,2,FALSE))</f>
        <v/>
      </c>
      <c r="AR471" s="8"/>
      <c r="AS471" s="8"/>
      <c r="AU471" s="8" t="str">
        <f>IF(AV471="","",VLOOKUP(AV471,引用表合并!$A:$B,2,FALSE))</f>
        <v/>
      </c>
      <c r="AV471" s="8"/>
      <c r="AW471" s="8"/>
      <c r="AY471" s="8" t="str">
        <f>IF(AZ471="","",VLOOKUP(AZ471,引用表合并!$A:$B,2,FALSE))</f>
        <v/>
      </c>
      <c r="AZ471" s="8"/>
      <c r="BA471" s="8"/>
      <c r="BC471" s="8" t="str">
        <f>IF(BD471="","",VLOOKUP(BD471,引用表合并!$A:$B,2,FALSE))</f>
        <v/>
      </c>
      <c r="BD471" s="8"/>
      <c r="BF471" s="10"/>
      <c r="BG471" s="8" t="str">
        <f>IF(BH471="","",VLOOKUP(BH471,引用表合并!$A:$B,2,FALSE))</f>
        <v/>
      </c>
      <c r="BH471" s="8"/>
      <c r="BJ471" s="10"/>
      <c r="BK471" s="8" t="str">
        <f>IF(BL471="","",VLOOKUP(BL471,引用表合并!$A:$B,2,FALSE))</f>
        <v/>
      </c>
      <c r="BL471" s="8"/>
      <c r="BN471" s="10"/>
    </row>
    <row r="472" spans="1:66" x14ac:dyDescent="0.15">
      <c r="A472" s="8">
        <v>910014</v>
      </c>
      <c r="B472" s="18" t="str">
        <f>"任务:"&amp;VLOOKUP(A472,CHOOSE({1,2},[4]任务经验掉落配置表!$X$3:$X$173,[4]任务经验掉落配置表!$D$3:$D$173),2,FALSE)</f>
        <v>任务:精英大飞弟子</v>
      </c>
      <c r="C472" s="8">
        <v>0</v>
      </c>
      <c r="D472" s="8">
        <f t="shared" si="71"/>
        <v>0</v>
      </c>
      <c r="E472" s="16">
        <f t="shared" si="72"/>
        <v>0</v>
      </c>
      <c r="F472" s="16">
        <f t="shared" si="68"/>
        <v>0</v>
      </c>
      <c r="G472" s="8" t="str">
        <f>IF(H472="","",VLOOKUP(H472,引用表合并!$A:$B,2,FALSE))</f>
        <v/>
      </c>
      <c r="K472" s="8" t="str">
        <f>IF(L472="","",VLOOKUP(L472,引用表合并!$A:$B,2,FALSE))</f>
        <v/>
      </c>
      <c r="L472" s="8"/>
      <c r="M472" s="8"/>
      <c r="O472" s="8" t="str">
        <f>IF(P472="","",VLOOKUP(P472,引用表合并!$A:$B,2,FALSE))</f>
        <v/>
      </c>
      <c r="P472" s="8"/>
      <c r="Q472" s="8"/>
      <c r="S472" s="8" t="str">
        <f>IF(T472="","",VLOOKUP(T472,引用表合并!$A:$B,2,FALSE))</f>
        <v/>
      </c>
      <c r="T472" s="8"/>
      <c r="U472" s="8"/>
      <c r="W472" s="8" t="str">
        <f>IF(X472="","",VLOOKUP(X472,引用表合并!$A:$B,2,FALSE))</f>
        <v/>
      </c>
      <c r="X472" s="8"/>
      <c r="Y472" s="8"/>
      <c r="AA472" s="8" t="str">
        <f>IF(AB472="","",VLOOKUP(AB472,引用表合并!$A:$B,2,FALSE))</f>
        <v/>
      </c>
      <c r="AB472" s="8"/>
      <c r="AC472" s="8"/>
      <c r="AE472" s="8" t="str">
        <f>IF(AF472="","",VLOOKUP(AF472,引用表合并!$A:$B,2,FALSE))</f>
        <v/>
      </c>
      <c r="AF472" s="8"/>
      <c r="AG472" s="8"/>
      <c r="AI472" s="8" t="str">
        <f>IF(AJ472="","",VLOOKUP(AJ472,引用表合并!$A:$B,2,FALSE))</f>
        <v/>
      </c>
      <c r="AJ472" s="8"/>
      <c r="AK472" s="8"/>
      <c r="AM472" s="8" t="str">
        <f>IF(AN472="","",VLOOKUP(AN472,引用表合并!$A:$B,2,FALSE))</f>
        <v/>
      </c>
      <c r="AN472" s="8"/>
      <c r="AO472" s="8"/>
      <c r="AQ472" s="8" t="str">
        <f>IF(AR472="","",VLOOKUP(AR472,引用表合并!$A:$B,2,FALSE))</f>
        <v/>
      </c>
      <c r="AR472" s="8"/>
      <c r="AS472" s="8"/>
      <c r="AU472" s="8" t="str">
        <f>IF(AV472="","",VLOOKUP(AV472,引用表合并!$A:$B,2,FALSE))</f>
        <v/>
      </c>
      <c r="AV472" s="8"/>
      <c r="AW472" s="8"/>
      <c r="AY472" s="8" t="str">
        <f>IF(AZ472="","",VLOOKUP(AZ472,引用表合并!$A:$B,2,FALSE))</f>
        <v/>
      </c>
      <c r="AZ472" s="8"/>
      <c r="BA472" s="8"/>
      <c r="BC472" s="8" t="str">
        <f>IF(BD472="","",VLOOKUP(BD472,引用表合并!$A:$B,2,FALSE))</f>
        <v/>
      </c>
      <c r="BD472" s="8"/>
      <c r="BF472" s="10"/>
      <c r="BG472" s="8" t="str">
        <f>IF(BH472="","",VLOOKUP(BH472,引用表合并!$A:$B,2,FALSE))</f>
        <v/>
      </c>
      <c r="BH472" s="8"/>
      <c r="BJ472" s="10"/>
      <c r="BK472" s="8" t="str">
        <f>IF(BL472="","",VLOOKUP(BL472,引用表合并!$A:$B,2,FALSE))</f>
        <v/>
      </c>
      <c r="BL472" s="8"/>
      <c r="BN472" s="10"/>
    </row>
    <row r="473" spans="1:66" x14ac:dyDescent="0.15">
      <c r="A473" s="8">
        <v>910015</v>
      </c>
      <c r="B473" s="18" t="str">
        <f>"任务:"&amp;VLOOKUP(A473,CHOOSE({1,2},[4]任务经验掉落配置表!$X$3:$X$173,[4]任务经验掉落配置表!$D$3:$D$173),2,FALSE)</f>
        <v>任务:精英追踪者</v>
      </c>
      <c r="C473" s="8">
        <v>0</v>
      </c>
      <c r="D473" s="8">
        <f t="shared" si="71"/>
        <v>0</v>
      </c>
      <c r="E473" s="16">
        <f t="shared" si="72"/>
        <v>0</v>
      </c>
      <c r="F473" s="16">
        <f t="shared" si="68"/>
        <v>0</v>
      </c>
      <c r="G473" s="8" t="str">
        <f>IF(H473="","",VLOOKUP(H473,引用表合并!$A:$B,2,FALSE))</f>
        <v/>
      </c>
      <c r="K473" s="8" t="str">
        <f>IF(L473="","",VLOOKUP(L473,引用表合并!$A:$B,2,FALSE))</f>
        <v/>
      </c>
      <c r="L473" s="8"/>
      <c r="M473" s="8"/>
      <c r="O473" s="8" t="str">
        <f>IF(P473="","",VLOOKUP(P473,引用表合并!$A:$B,2,FALSE))</f>
        <v/>
      </c>
      <c r="P473" s="8"/>
      <c r="Q473" s="8"/>
      <c r="S473" s="8" t="str">
        <f>IF(T473="","",VLOOKUP(T473,引用表合并!$A:$B,2,FALSE))</f>
        <v/>
      </c>
      <c r="T473" s="8"/>
      <c r="U473" s="8"/>
      <c r="W473" s="8" t="str">
        <f>IF(X473="","",VLOOKUP(X473,引用表合并!$A:$B,2,FALSE))</f>
        <v/>
      </c>
      <c r="X473" s="8"/>
      <c r="Y473" s="8"/>
      <c r="AA473" s="8" t="str">
        <f>IF(AB473="","",VLOOKUP(AB473,引用表合并!$A:$B,2,FALSE))</f>
        <v/>
      </c>
      <c r="AB473" s="8"/>
      <c r="AC473" s="8"/>
      <c r="AE473" s="8" t="str">
        <f>IF(AF473="","",VLOOKUP(AF473,引用表合并!$A:$B,2,FALSE))</f>
        <v/>
      </c>
      <c r="AF473" s="8"/>
      <c r="AG473" s="8"/>
      <c r="AI473" s="8" t="str">
        <f>IF(AJ473="","",VLOOKUP(AJ473,引用表合并!$A:$B,2,FALSE))</f>
        <v/>
      </c>
      <c r="AJ473" s="8"/>
      <c r="AK473" s="8"/>
      <c r="AM473" s="8" t="str">
        <f>IF(AN473="","",VLOOKUP(AN473,引用表合并!$A:$B,2,FALSE))</f>
        <v/>
      </c>
      <c r="AN473" s="8"/>
      <c r="AO473" s="8"/>
      <c r="AQ473" s="8" t="str">
        <f>IF(AR473="","",VLOOKUP(AR473,引用表合并!$A:$B,2,FALSE))</f>
        <v/>
      </c>
      <c r="AR473" s="8"/>
      <c r="AS473" s="8"/>
      <c r="AU473" s="8" t="str">
        <f>IF(AV473="","",VLOOKUP(AV473,引用表合并!$A:$B,2,FALSE))</f>
        <v/>
      </c>
      <c r="AV473" s="8"/>
      <c r="AW473" s="8"/>
      <c r="AY473" s="8" t="str">
        <f>IF(AZ473="","",VLOOKUP(AZ473,引用表合并!$A:$B,2,FALSE))</f>
        <v/>
      </c>
      <c r="AZ473" s="8"/>
      <c r="BA473" s="8"/>
      <c r="BC473" s="8" t="str">
        <f>IF(BD473="","",VLOOKUP(BD473,引用表合并!$A:$B,2,FALSE))</f>
        <v/>
      </c>
      <c r="BD473" s="8"/>
      <c r="BF473" s="10"/>
      <c r="BG473" s="8" t="str">
        <f>IF(BH473="","",VLOOKUP(BH473,引用表合并!$A:$B,2,FALSE))</f>
        <v/>
      </c>
      <c r="BH473" s="8"/>
      <c r="BJ473" s="10"/>
      <c r="BK473" s="8" t="str">
        <f>IF(BL473="","",VLOOKUP(BL473,引用表合并!$A:$B,2,FALSE))</f>
        <v/>
      </c>
      <c r="BL473" s="8"/>
      <c r="BN473" s="10"/>
    </row>
    <row r="474" spans="1:66" x14ac:dyDescent="0.15">
      <c r="A474" s="8">
        <v>910016</v>
      </c>
      <c r="B474" s="18" t="str">
        <f>"任务:"&amp;VLOOKUP(A474,CHOOSE({1,2},[4]任务经验掉落配置表!$X$3:$X$173,[4]任务经验掉落配置表!$D$3:$D$173),2,FALSE)</f>
        <v>任务:精英雷公保镖</v>
      </c>
      <c r="C474" s="8">
        <v>0</v>
      </c>
      <c r="D474" s="8">
        <f t="shared" si="71"/>
        <v>0</v>
      </c>
      <c r="E474" s="16">
        <f t="shared" si="72"/>
        <v>0</v>
      </c>
      <c r="F474" s="16">
        <f t="shared" si="68"/>
        <v>0</v>
      </c>
      <c r="G474" s="8" t="str">
        <f>IF(H474="","",VLOOKUP(H474,引用表合并!$A:$B,2,FALSE))</f>
        <v/>
      </c>
      <c r="K474" s="8" t="str">
        <f>IF(L474="","",VLOOKUP(L474,引用表合并!$A:$B,2,FALSE))</f>
        <v/>
      </c>
      <c r="L474" s="8"/>
      <c r="M474" s="8"/>
      <c r="O474" s="8" t="str">
        <f>IF(P474="","",VLOOKUP(P474,引用表合并!$A:$B,2,FALSE))</f>
        <v/>
      </c>
      <c r="P474" s="8"/>
      <c r="Q474" s="8"/>
      <c r="S474" s="8" t="str">
        <f>IF(T474="","",VLOOKUP(T474,引用表合并!$A:$B,2,FALSE))</f>
        <v/>
      </c>
      <c r="T474" s="8"/>
      <c r="U474" s="8"/>
      <c r="W474" s="8" t="str">
        <f>IF(X474="","",VLOOKUP(X474,引用表合并!$A:$B,2,FALSE))</f>
        <v/>
      </c>
      <c r="X474" s="8"/>
      <c r="Y474" s="8"/>
      <c r="AA474" s="8" t="str">
        <f>IF(AB474="","",VLOOKUP(AB474,引用表合并!$A:$B,2,FALSE))</f>
        <v/>
      </c>
      <c r="AB474" s="8"/>
      <c r="AC474" s="8"/>
      <c r="AE474" s="8" t="str">
        <f>IF(AF474="","",VLOOKUP(AF474,引用表合并!$A:$B,2,FALSE))</f>
        <v/>
      </c>
      <c r="AF474" s="8"/>
      <c r="AG474" s="8"/>
      <c r="AI474" s="8" t="str">
        <f>IF(AJ474="","",VLOOKUP(AJ474,引用表合并!$A:$B,2,FALSE))</f>
        <v/>
      </c>
      <c r="AJ474" s="8"/>
      <c r="AK474" s="8"/>
      <c r="AM474" s="8" t="str">
        <f>IF(AN474="","",VLOOKUP(AN474,引用表合并!$A:$B,2,FALSE))</f>
        <v/>
      </c>
      <c r="AN474" s="8"/>
      <c r="AO474" s="8"/>
      <c r="AQ474" s="8" t="str">
        <f>IF(AR474="","",VLOOKUP(AR474,引用表合并!$A:$B,2,FALSE))</f>
        <v/>
      </c>
      <c r="AR474" s="8"/>
      <c r="AS474" s="8"/>
      <c r="AU474" s="8" t="str">
        <f>IF(AV474="","",VLOOKUP(AV474,引用表合并!$A:$B,2,FALSE))</f>
        <v/>
      </c>
      <c r="AV474" s="8"/>
      <c r="AW474" s="8"/>
      <c r="AY474" s="8" t="str">
        <f>IF(AZ474="","",VLOOKUP(AZ474,引用表合并!$A:$B,2,FALSE))</f>
        <v/>
      </c>
      <c r="AZ474" s="8"/>
      <c r="BA474" s="8"/>
      <c r="BC474" s="8" t="str">
        <f>IF(BD474="","",VLOOKUP(BD474,引用表合并!$A:$B,2,FALSE))</f>
        <v/>
      </c>
      <c r="BD474" s="8"/>
      <c r="BF474" s="10"/>
      <c r="BG474" s="8" t="str">
        <f>IF(BH474="","",VLOOKUP(BH474,引用表合并!$A:$B,2,FALSE))</f>
        <v/>
      </c>
      <c r="BH474" s="8"/>
      <c r="BJ474" s="10"/>
      <c r="BK474" s="8" t="str">
        <f>IF(BL474="","",VLOOKUP(BL474,引用表合并!$A:$B,2,FALSE))</f>
        <v/>
      </c>
      <c r="BL474" s="8"/>
      <c r="BN474" s="10"/>
    </row>
    <row r="475" spans="1:66" x14ac:dyDescent="0.15">
      <c r="A475" s="8">
        <v>910017</v>
      </c>
      <c r="B475" s="18" t="str">
        <f>"任务:"&amp;VLOOKUP(A475,CHOOSE({1,2},[4]任务经验掉落配置表!$X$3:$X$173,[4]任务经验掉落配置表!$D$3:$D$173),2,FALSE)</f>
        <v>任务:精英赌场警卫</v>
      </c>
      <c r="C475" s="8">
        <v>0</v>
      </c>
      <c r="D475" s="8">
        <f t="shared" si="71"/>
        <v>0</v>
      </c>
      <c r="E475" s="16">
        <f t="shared" si="72"/>
        <v>0</v>
      </c>
      <c r="F475" s="16">
        <f t="shared" si="68"/>
        <v>0</v>
      </c>
      <c r="G475" s="8" t="str">
        <f>IF(H475="","",VLOOKUP(H475,引用表合并!$A:$B,2,FALSE))</f>
        <v/>
      </c>
      <c r="K475" s="8" t="str">
        <f>IF(L475="","",VLOOKUP(L475,引用表合并!$A:$B,2,FALSE))</f>
        <v/>
      </c>
      <c r="L475" s="8"/>
      <c r="M475" s="8"/>
      <c r="O475" s="8" t="str">
        <f>IF(P475="","",VLOOKUP(P475,引用表合并!$A:$B,2,FALSE))</f>
        <v/>
      </c>
      <c r="P475" s="8"/>
      <c r="Q475" s="8"/>
      <c r="S475" s="8" t="str">
        <f>IF(T475="","",VLOOKUP(T475,引用表合并!$A:$B,2,FALSE))</f>
        <v/>
      </c>
      <c r="T475" s="8"/>
      <c r="U475" s="8"/>
      <c r="W475" s="8" t="str">
        <f>IF(X475="","",VLOOKUP(X475,引用表合并!$A:$B,2,FALSE))</f>
        <v/>
      </c>
      <c r="X475" s="8"/>
      <c r="Y475" s="8"/>
      <c r="AA475" s="8" t="str">
        <f>IF(AB475="","",VLOOKUP(AB475,引用表合并!$A:$B,2,FALSE))</f>
        <v/>
      </c>
      <c r="AB475" s="8"/>
      <c r="AC475" s="8"/>
      <c r="AE475" s="8" t="str">
        <f>IF(AF475="","",VLOOKUP(AF475,引用表合并!$A:$B,2,FALSE))</f>
        <v/>
      </c>
      <c r="AF475" s="8"/>
      <c r="AG475" s="8"/>
      <c r="AI475" s="8" t="str">
        <f>IF(AJ475="","",VLOOKUP(AJ475,引用表合并!$A:$B,2,FALSE))</f>
        <v/>
      </c>
      <c r="AJ475" s="8"/>
      <c r="AK475" s="8"/>
      <c r="AM475" s="8" t="str">
        <f>IF(AN475="","",VLOOKUP(AN475,引用表合并!$A:$B,2,FALSE))</f>
        <v/>
      </c>
      <c r="AN475" s="8"/>
      <c r="AO475" s="8"/>
      <c r="AQ475" s="8" t="str">
        <f>IF(AR475="","",VLOOKUP(AR475,引用表合并!$A:$B,2,FALSE))</f>
        <v/>
      </c>
      <c r="AR475" s="8"/>
      <c r="AS475" s="8"/>
      <c r="AU475" s="8" t="str">
        <f>IF(AV475="","",VLOOKUP(AV475,引用表合并!$A:$B,2,FALSE))</f>
        <v/>
      </c>
      <c r="AV475" s="8"/>
      <c r="AW475" s="8"/>
      <c r="AY475" s="8" t="str">
        <f>IF(AZ475="","",VLOOKUP(AZ475,引用表合并!$A:$B,2,FALSE))</f>
        <v/>
      </c>
      <c r="AZ475" s="8"/>
      <c r="BA475" s="8"/>
      <c r="BC475" s="8" t="str">
        <f>IF(BD475="","",VLOOKUP(BD475,引用表合并!$A:$B,2,FALSE))</f>
        <v/>
      </c>
      <c r="BD475" s="8"/>
      <c r="BF475" s="10"/>
      <c r="BG475" s="8" t="str">
        <f>IF(BH475="","",VLOOKUP(BH475,引用表合并!$A:$B,2,FALSE))</f>
        <v/>
      </c>
      <c r="BH475" s="8"/>
      <c r="BJ475" s="10"/>
      <c r="BK475" s="8" t="str">
        <f>IF(BL475="","",VLOOKUP(BL475,引用表合并!$A:$B,2,FALSE))</f>
        <v/>
      </c>
      <c r="BL475" s="8"/>
      <c r="BN475" s="10"/>
    </row>
    <row r="476" spans="1:66" x14ac:dyDescent="0.15">
      <c r="A476" s="8">
        <v>910018</v>
      </c>
      <c r="B476" s="18" t="str">
        <f>"任务:"&amp;VLOOKUP(A476,CHOOSE({1,2},[4]任务经验掉落配置表!$X$3:$X$173,[4]任务经验掉落配置表!$D$3:$D$173),2,FALSE)</f>
        <v>任务:精英丁瑶护卫</v>
      </c>
      <c r="C476" s="8">
        <v>0</v>
      </c>
      <c r="D476" s="8">
        <f t="shared" si="71"/>
        <v>0</v>
      </c>
      <c r="E476" s="16">
        <f t="shared" si="72"/>
        <v>0</v>
      </c>
      <c r="F476" s="16">
        <f t="shared" si="68"/>
        <v>0</v>
      </c>
      <c r="G476" s="8" t="str">
        <f>IF(H476="","",VLOOKUP(H476,引用表合并!$A:$B,2,FALSE))</f>
        <v/>
      </c>
      <c r="K476" s="8" t="str">
        <f>IF(L476="","",VLOOKUP(L476,引用表合并!$A:$B,2,FALSE))</f>
        <v/>
      </c>
      <c r="L476" s="8"/>
      <c r="M476" s="8"/>
      <c r="O476" s="8" t="str">
        <f>IF(P476="","",VLOOKUP(P476,引用表合并!$A:$B,2,FALSE))</f>
        <v/>
      </c>
      <c r="P476" s="8"/>
      <c r="Q476" s="8"/>
      <c r="S476" s="8" t="str">
        <f>IF(T476="","",VLOOKUP(T476,引用表合并!$A:$B,2,FALSE))</f>
        <v/>
      </c>
      <c r="T476" s="8"/>
      <c r="U476" s="8"/>
      <c r="W476" s="8" t="str">
        <f>IF(X476="","",VLOOKUP(X476,引用表合并!$A:$B,2,FALSE))</f>
        <v/>
      </c>
      <c r="X476" s="8"/>
      <c r="Y476" s="8"/>
      <c r="AA476" s="8" t="str">
        <f>IF(AB476="","",VLOOKUP(AB476,引用表合并!$A:$B,2,FALSE))</f>
        <v/>
      </c>
      <c r="AB476" s="8"/>
      <c r="AC476" s="8"/>
      <c r="AE476" s="8" t="str">
        <f>IF(AF476="","",VLOOKUP(AF476,引用表合并!$A:$B,2,FALSE))</f>
        <v/>
      </c>
      <c r="AF476" s="8"/>
      <c r="AG476" s="8"/>
      <c r="AI476" s="8" t="str">
        <f>IF(AJ476="","",VLOOKUP(AJ476,引用表合并!$A:$B,2,FALSE))</f>
        <v/>
      </c>
      <c r="AJ476" s="8"/>
      <c r="AK476" s="8"/>
      <c r="AM476" s="8" t="str">
        <f>IF(AN476="","",VLOOKUP(AN476,引用表合并!$A:$B,2,FALSE))</f>
        <v/>
      </c>
      <c r="AN476" s="8"/>
      <c r="AO476" s="8"/>
      <c r="AQ476" s="8" t="str">
        <f>IF(AR476="","",VLOOKUP(AR476,引用表合并!$A:$B,2,FALSE))</f>
        <v/>
      </c>
      <c r="AR476" s="8"/>
      <c r="AS476" s="8"/>
      <c r="AU476" s="8" t="str">
        <f>IF(AV476="","",VLOOKUP(AV476,引用表合并!$A:$B,2,FALSE))</f>
        <v/>
      </c>
      <c r="AV476" s="8"/>
      <c r="AW476" s="8"/>
      <c r="AY476" s="8" t="str">
        <f>IF(AZ476="","",VLOOKUP(AZ476,引用表合并!$A:$B,2,FALSE))</f>
        <v/>
      </c>
      <c r="AZ476" s="8"/>
      <c r="BA476" s="8"/>
      <c r="BC476" s="8" t="str">
        <f>IF(BD476="","",VLOOKUP(BD476,引用表合并!$A:$B,2,FALSE))</f>
        <v/>
      </c>
      <c r="BD476" s="8"/>
      <c r="BF476" s="10"/>
      <c r="BG476" s="8" t="str">
        <f>IF(BH476="","",VLOOKUP(BH476,引用表合并!$A:$B,2,FALSE))</f>
        <v/>
      </c>
      <c r="BH476" s="8"/>
      <c r="BJ476" s="10"/>
      <c r="BK476" s="8" t="str">
        <f>IF(BL476="","",VLOOKUP(BL476,引用表合并!$A:$B,2,FALSE))</f>
        <v/>
      </c>
      <c r="BL476" s="8"/>
      <c r="BN476" s="10"/>
    </row>
    <row r="477" spans="1:66" x14ac:dyDescent="0.15">
      <c r="A477" s="8">
        <v>910019</v>
      </c>
      <c r="B477" s="18" t="str">
        <f>"任务:"&amp;VLOOKUP(A477,CHOOSE({1,2},[4]任务经验掉落配置表!$X$3:$X$173,[4]任务经验掉落配置表!$D$3:$D$173),2,FALSE)</f>
        <v>任务:精英乌鸦手下</v>
      </c>
      <c r="C477" s="8">
        <v>0</v>
      </c>
      <c r="D477" s="8">
        <f t="shared" si="71"/>
        <v>0</v>
      </c>
      <c r="E477" s="16">
        <f t="shared" si="72"/>
        <v>0</v>
      </c>
      <c r="F477" s="16">
        <f t="shared" si="68"/>
        <v>0</v>
      </c>
      <c r="G477" s="8" t="str">
        <f>IF(H477="","",VLOOKUP(H477,引用表合并!$A:$B,2,FALSE))</f>
        <v/>
      </c>
      <c r="K477" s="8" t="str">
        <f>IF(L477="","",VLOOKUP(L477,引用表合并!$A:$B,2,FALSE))</f>
        <v/>
      </c>
      <c r="L477" s="8"/>
      <c r="M477" s="8"/>
      <c r="O477" s="8" t="str">
        <f>IF(P477="","",VLOOKUP(P477,引用表合并!$A:$B,2,FALSE))</f>
        <v/>
      </c>
      <c r="P477" s="8"/>
      <c r="Q477" s="8"/>
      <c r="S477" s="8" t="str">
        <f>IF(T477="","",VLOOKUP(T477,引用表合并!$A:$B,2,FALSE))</f>
        <v/>
      </c>
      <c r="T477" s="8"/>
      <c r="U477" s="8"/>
      <c r="W477" s="8" t="str">
        <f>IF(X477="","",VLOOKUP(X477,引用表合并!$A:$B,2,FALSE))</f>
        <v/>
      </c>
      <c r="X477" s="8"/>
      <c r="Y477" s="8"/>
      <c r="AA477" s="8" t="str">
        <f>IF(AB477="","",VLOOKUP(AB477,引用表合并!$A:$B,2,FALSE))</f>
        <v/>
      </c>
      <c r="AB477" s="8"/>
      <c r="AC477" s="8"/>
      <c r="AE477" s="8" t="str">
        <f>IF(AF477="","",VLOOKUP(AF477,引用表合并!$A:$B,2,FALSE))</f>
        <v/>
      </c>
      <c r="AF477" s="8"/>
      <c r="AG477" s="8"/>
      <c r="AI477" s="8" t="str">
        <f>IF(AJ477="","",VLOOKUP(AJ477,引用表合并!$A:$B,2,FALSE))</f>
        <v/>
      </c>
      <c r="AJ477" s="8"/>
      <c r="AK477" s="8"/>
      <c r="AM477" s="8" t="str">
        <f>IF(AN477="","",VLOOKUP(AN477,引用表合并!$A:$B,2,FALSE))</f>
        <v/>
      </c>
      <c r="AN477" s="8"/>
      <c r="AO477" s="8"/>
      <c r="AQ477" s="8" t="str">
        <f>IF(AR477="","",VLOOKUP(AR477,引用表合并!$A:$B,2,FALSE))</f>
        <v/>
      </c>
      <c r="AR477" s="8"/>
      <c r="AS477" s="8"/>
      <c r="AU477" s="8" t="str">
        <f>IF(AV477="","",VLOOKUP(AV477,引用表合并!$A:$B,2,FALSE))</f>
        <v/>
      </c>
      <c r="AV477" s="8"/>
      <c r="AW477" s="8"/>
      <c r="AY477" s="8" t="str">
        <f>IF(AZ477="","",VLOOKUP(AZ477,引用表合并!$A:$B,2,FALSE))</f>
        <v/>
      </c>
      <c r="AZ477" s="8"/>
      <c r="BA477" s="8"/>
      <c r="BC477" s="8" t="str">
        <f>IF(BD477="","",VLOOKUP(BD477,引用表合并!$A:$B,2,FALSE))</f>
        <v/>
      </c>
      <c r="BD477" s="8"/>
      <c r="BF477" s="10"/>
      <c r="BG477" s="8" t="str">
        <f>IF(BH477="","",VLOOKUP(BH477,引用表合并!$A:$B,2,FALSE))</f>
        <v/>
      </c>
      <c r="BH477" s="8"/>
      <c r="BJ477" s="10"/>
      <c r="BK477" s="8" t="str">
        <f>IF(BL477="","",VLOOKUP(BL477,引用表合并!$A:$B,2,FALSE))</f>
        <v/>
      </c>
      <c r="BL477" s="8"/>
      <c r="BN477" s="10"/>
    </row>
    <row r="478" spans="1:66" x14ac:dyDescent="0.15">
      <c r="A478" s="8">
        <v>910020</v>
      </c>
      <c r="B478" s="18" t="str">
        <f>"任务:"&amp;VLOOKUP(A478,CHOOSE({1,2},[4]任务经验掉落配置表!$X$3:$X$173,[4]任务经验掉落配置表!$D$3:$D$173),2,FALSE)</f>
        <v>任务:精英笑面虎</v>
      </c>
      <c r="C478" s="8">
        <v>0</v>
      </c>
      <c r="D478" s="8">
        <f t="shared" si="71"/>
        <v>0</v>
      </c>
      <c r="E478" s="16">
        <f t="shared" si="72"/>
        <v>0</v>
      </c>
      <c r="F478" s="16">
        <f t="shared" si="68"/>
        <v>0</v>
      </c>
      <c r="G478" s="8" t="str">
        <f>IF(H478="","",VLOOKUP(H478,引用表合并!$A:$B,2,FALSE))</f>
        <v/>
      </c>
      <c r="K478" s="8" t="str">
        <f>IF(L478="","",VLOOKUP(L478,引用表合并!$A:$B,2,FALSE))</f>
        <v/>
      </c>
      <c r="L478" s="8"/>
      <c r="M478" s="8"/>
      <c r="O478" s="8" t="str">
        <f>IF(P478="","",VLOOKUP(P478,引用表合并!$A:$B,2,FALSE))</f>
        <v/>
      </c>
      <c r="P478" s="8"/>
      <c r="Q478" s="8"/>
      <c r="S478" s="8" t="str">
        <f>IF(T478="","",VLOOKUP(T478,引用表合并!$A:$B,2,FALSE))</f>
        <v/>
      </c>
      <c r="T478" s="8"/>
      <c r="U478" s="8"/>
      <c r="W478" s="8" t="str">
        <f>IF(X478="","",VLOOKUP(X478,引用表合并!$A:$B,2,FALSE))</f>
        <v/>
      </c>
      <c r="X478" s="8"/>
      <c r="Y478" s="8"/>
      <c r="AA478" s="8" t="str">
        <f>IF(AB478="","",VLOOKUP(AB478,引用表合并!$A:$B,2,FALSE))</f>
        <v/>
      </c>
      <c r="AB478" s="8"/>
      <c r="AC478" s="8"/>
      <c r="AE478" s="8" t="str">
        <f>IF(AF478="","",VLOOKUP(AF478,引用表合并!$A:$B,2,FALSE))</f>
        <v/>
      </c>
      <c r="AF478" s="8"/>
      <c r="AG478" s="8"/>
      <c r="AI478" s="8" t="str">
        <f>IF(AJ478="","",VLOOKUP(AJ478,引用表合并!$A:$B,2,FALSE))</f>
        <v/>
      </c>
      <c r="AJ478" s="8"/>
      <c r="AK478" s="8"/>
      <c r="AM478" s="8" t="str">
        <f>IF(AN478="","",VLOOKUP(AN478,引用表合并!$A:$B,2,FALSE))</f>
        <v/>
      </c>
      <c r="AN478" s="8"/>
      <c r="AO478" s="8"/>
      <c r="AQ478" s="8" t="str">
        <f>IF(AR478="","",VLOOKUP(AR478,引用表合并!$A:$B,2,FALSE))</f>
        <v/>
      </c>
      <c r="AR478" s="8"/>
      <c r="AS478" s="8"/>
      <c r="AU478" s="8" t="str">
        <f>IF(AV478="","",VLOOKUP(AV478,引用表合并!$A:$B,2,FALSE))</f>
        <v/>
      </c>
      <c r="AV478" s="8"/>
      <c r="AW478" s="8"/>
      <c r="AY478" s="8" t="str">
        <f>IF(AZ478="","",VLOOKUP(AZ478,引用表合并!$A:$B,2,FALSE))</f>
        <v/>
      </c>
      <c r="AZ478" s="8"/>
      <c r="BA478" s="8"/>
      <c r="BC478" s="8" t="str">
        <f>IF(BD478="","",VLOOKUP(BD478,引用表合并!$A:$B,2,FALSE))</f>
        <v/>
      </c>
      <c r="BD478" s="8"/>
      <c r="BF478" s="10"/>
      <c r="BG478" s="8" t="str">
        <f>IF(BH478="","",VLOOKUP(BH478,引用表合并!$A:$B,2,FALSE))</f>
        <v/>
      </c>
      <c r="BH478" s="8"/>
      <c r="BJ478" s="10"/>
      <c r="BK478" s="8" t="str">
        <f>IF(BL478="","",VLOOKUP(BL478,引用表合并!$A:$B,2,FALSE))</f>
        <v/>
      </c>
      <c r="BL478" s="8"/>
      <c r="BN478" s="10"/>
    </row>
    <row r="479" spans="1:66" x14ac:dyDescent="0.15">
      <c r="A479" s="8">
        <v>910021</v>
      </c>
      <c r="B479" s="18" t="str">
        <f>"任务:"&amp;VLOOKUP(A479,CHOOSE({1,2},[4]任务经验掉落配置表!$X$3:$X$173,[4]任务经验掉落配置表!$D$3:$D$173),2,FALSE)</f>
        <v>任务:精英东星杀手</v>
      </c>
      <c r="C479" s="8">
        <v>0</v>
      </c>
      <c r="D479" s="8">
        <f t="shared" si="71"/>
        <v>0</v>
      </c>
      <c r="E479" s="16">
        <f t="shared" si="72"/>
        <v>0</v>
      </c>
      <c r="F479" s="16">
        <f t="shared" si="68"/>
        <v>0</v>
      </c>
      <c r="G479" s="8" t="str">
        <f>IF(H479="","",VLOOKUP(H479,引用表合并!$A:$B,2,FALSE))</f>
        <v/>
      </c>
      <c r="K479" s="8" t="str">
        <f>IF(L479="","",VLOOKUP(L479,引用表合并!$A:$B,2,FALSE))</f>
        <v/>
      </c>
      <c r="L479" s="8"/>
      <c r="M479" s="8"/>
      <c r="O479" s="8" t="str">
        <f>IF(P479="","",VLOOKUP(P479,引用表合并!$A:$B,2,FALSE))</f>
        <v/>
      </c>
      <c r="P479" s="8"/>
      <c r="Q479" s="8"/>
      <c r="S479" s="8" t="str">
        <f>IF(T479="","",VLOOKUP(T479,引用表合并!$A:$B,2,FALSE))</f>
        <v/>
      </c>
      <c r="T479" s="8"/>
      <c r="U479" s="8"/>
      <c r="W479" s="8" t="str">
        <f>IF(X479="","",VLOOKUP(X479,引用表合并!$A:$B,2,FALSE))</f>
        <v/>
      </c>
      <c r="X479" s="8"/>
      <c r="Y479" s="8"/>
      <c r="AA479" s="8" t="str">
        <f>IF(AB479="","",VLOOKUP(AB479,引用表合并!$A:$B,2,FALSE))</f>
        <v/>
      </c>
      <c r="AB479" s="8"/>
      <c r="AC479" s="8"/>
      <c r="AE479" s="8" t="str">
        <f>IF(AF479="","",VLOOKUP(AF479,引用表合并!$A:$B,2,FALSE))</f>
        <v/>
      </c>
      <c r="AF479" s="8"/>
      <c r="AG479" s="8"/>
      <c r="AI479" s="8" t="str">
        <f>IF(AJ479="","",VLOOKUP(AJ479,引用表合并!$A:$B,2,FALSE))</f>
        <v/>
      </c>
      <c r="AJ479" s="8"/>
      <c r="AK479" s="8"/>
      <c r="AM479" s="8" t="str">
        <f>IF(AN479="","",VLOOKUP(AN479,引用表合并!$A:$B,2,FALSE))</f>
        <v/>
      </c>
      <c r="AN479" s="8"/>
      <c r="AO479" s="8"/>
      <c r="AQ479" s="8" t="str">
        <f>IF(AR479="","",VLOOKUP(AR479,引用表合并!$A:$B,2,FALSE))</f>
        <v/>
      </c>
      <c r="AR479" s="8"/>
      <c r="AS479" s="8"/>
      <c r="AU479" s="8" t="str">
        <f>IF(AV479="","",VLOOKUP(AV479,引用表合并!$A:$B,2,FALSE))</f>
        <v/>
      </c>
      <c r="AV479" s="8"/>
      <c r="AW479" s="8"/>
      <c r="AY479" s="8" t="str">
        <f>IF(AZ479="","",VLOOKUP(AZ479,引用表合并!$A:$B,2,FALSE))</f>
        <v/>
      </c>
      <c r="AZ479" s="8"/>
      <c r="BA479" s="8"/>
      <c r="BC479" s="8" t="str">
        <f>IF(BD479="","",VLOOKUP(BD479,引用表合并!$A:$B,2,FALSE))</f>
        <v/>
      </c>
      <c r="BD479" s="8"/>
      <c r="BF479" s="10"/>
      <c r="BG479" s="8" t="str">
        <f>IF(BH479="","",VLOOKUP(BH479,引用表合并!$A:$B,2,FALSE))</f>
        <v/>
      </c>
      <c r="BH479" s="8"/>
      <c r="BJ479" s="10"/>
      <c r="BK479" s="8" t="str">
        <f>IF(BL479="","",VLOOKUP(BL479,引用表合并!$A:$B,2,FALSE))</f>
        <v/>
      </c>
      <c r="BL479" s="8"/>
      <c r="BN479" s="10"/>
    </row>
    <row r="480" spans="1:66" x14ac:dyDescent="0.15">
      <c r="A480" s="8">
        <v>910022</v>
      </c>
      <c r="B480" s="18" t="str">
        <f>"任务:"&amp;VLOOKUP(A480,CHOOSE({1,2},[4]任务经验掉落配置表!$X$3:$X$173,[4]任务经验掉落配置表!$D$3:$D$173),2,FALSE)</f>
        <v>任务:精英赏金猎手</v>
      </c>
      <c r="C480" s="8">
        <v>0</v>
      </c>
      <c r="D480" s="8">
        <f t="shared" si="71"/>
        <v>0</v>
      </c>
      <c r="E480" s="16">
        <f t="shared" si="72"/>
        <v>0</v>
      </c>
      <c r="F480" s="16">
        <f t="shared" si="68"/>
        <v>0</v>
      </c>
      <c r="G480" s="8" t="str">
        <f>IF(H480="","",VLOOKUP(H480,引用表合并!$A:$B,2,FALSE))</f>
        <v/>
      </c>
      <c r="K480" s="8" t="str">
        <f>IF(L480="","",VLOOKUP(L480,引用表合并!$A:$B,2,FALSE))</f>
        <v/>
      </c>
      <c r="L480" s="8"/>
      <c r="M480" s="8"/>
      <c r="O480" s="8" t="str">
        <f>IF(P480="","",VLOOKUP(P480,引用表合并!$A:$B,2,FALSE))</f>
        <v/>
      </c>
      <c r="P480" s="8"/>
      <c r="Q480" s="8"/>
      <c r="S480" s="8" t="str">
        <f>IF(T480="","",VLOOKUP(T480,引用表合并!$A:$B,2,FALSE))</f>
        <v/>
      </c>
      <c r="T480" s="8"/>
      <c r="U480" s="8"/>
      <c r="W480" s="8" t="str">
        <f>IF(X480="","",VLOOKUP(X480,引用表合并!$A:$B,2,FALSE))</f>
        <v/>
      </c>
      <c r="X480" s="8"/>
      <c r="Y480" s="8"/>
      <c r="AA480" s="8" t="str">
        <f>IF(AB480="","",VLOOKUP(AB480,引用表合并!$A:$B,2,FALSE))</f>
        <v/>
      </c>
      <c r="AB480" s="8"/>
      <c r="AC480" s="8"/>
      <c r="AE480" s="8" t="str">
        <f>IF(AF480="","",VLOOKUP(AF480,引用表合并!$A:$B,2,FALSE))</f>
        <v/>
      </c>
      <c r="AF480" s="8"/>
      <c r="AG480" s="8"/>
      <c r="AI480" s="8" t="str">
        <f>IF(AJ480="","",VLOOKUP(AJ480,引用表合并!$A:$B,2,FALSE))</f>
        <v/>
      </c>
      <c r="AJ480" s="8"/>
      <c r="AK480" s="8"/>
      <c r="AM480" s="8" t="str">
        <f>IF(AN480="","",VLOOKUP(AN480,引用表合并!$A:$B,2,FALSE))</f>
        <v/>
      </c>
      <c r="AN480" s="8"/>
      <c r="AO480" s="8"/>
      <c r="AQ480" s="8" t="str">
        <f>IF(AR480="","",VLOOKUP(AR480,引用表合并!$A:$B,2,FALSE))</f>
        <v/>
      </c>
      <c r="AR480" s="8"/>
      <c r="AS480" s="8"/>
      <c r="AU480" s="8" t="str">
        <f>IF(AV480="","",VLOOKUP(AV480,引用表合并!$A:$B,2,FALSE))</f>
        <v/>
      </c>
      <c r="AV480" s="8"/>
      <c r="AW480" s="8"/>
      <c r="AY480" s="8" t="str">
        <f>IF(AZ480="","",VLOOKUP(AZ480,引用表合并!$A:$B,2,FALSE))</f>
        <v/>
      </c>
      <c r="AZ480" s="8"/>
      <c r="BA480" s="8"/>
      <c r="BC480" s="8" t="str">
        <f>IF(BD480="","",VLOOKUP(BD480,引用表合并!$A:$B,2,FALSE))</f>
        <v/>
      </c>
      <c r="BD480" s="8"/>
      <c r="BF480" s="10"/>
      <c r="BG480" s="8" t="str">
        <f>IF(BH480="","",VLOOKUP(BH480,引用表合并!$A:$B,2,FALSE))</f>
        <v/>
      </c>
      <c r="BH480" s="8"/>
      <c r="BJ480" s="10"/>
      <c r="BK480" s="8" t="str">
        <f>IF(BL480="","",VLOOKUP(BL480,引用表合并!$A:$B,2,FALSE))</f>
        <v/>
      </c>
      <c r="BL480" s="8"/>
      <c r="BN480" s="10"/>
    </row>
    <row r="481" spans="1:66" x14ac:dyDescent="0.15">
      <c r="A481" s="8">
        <v>910023</v>
      </c>
      <c r="B481" s="18" t="str">
        <f>"任务:"&amp;VLOOKUP(A481,CHOOSE({1,2},[4]任务经验掉落配置表!$X$3:$X$173,[4]任务经验掉落配置表!$D$3:$D$173),2,FALSE)</f>
        <v>任务:精英追杀者</v>
      </c>
      <c r="C481" s="8">
        <v>0</v>
      </c>
      <c r="D481" s="8">
        <f t="shared" si="71"/>
        <v>0</v>
      </c>
      <c r="E481" s="16">
        <f t="shared" si="72"/>
        <v>0</v>
      </c>
      <c r="F481" s="16">
        <f t="shared" si="68"/>
        <v>0</v>
      </c>
      <c r="G481" s="8" t="str">
        <f>IF(H481="","",VLOOKUP(H481,引用表合并!$A:$B,2,FALSE))</f>
        <v/>
      </c>
      <c r="K481" s="8" t="str">
        <f>IF(L481="","",VLOOKUP(L481,引用表合并!$A:$B,2,FALSE))</f>
        <v/>
      </c>
      <c r="L481" s="8"/>
      <c r="M481" s="8"/>
      <c r="O481" s="8" t="str">
        <f>IF(P481="","",VLOOKUP(P481,引用表合并!$A:$B,2,FALSE))</f>
        <v/>
      </c>
      <c r="P481" s="8"/>
      <c r="Q481" s="8"/>
      <c r="S481" s="8" t="str">
        <f>IF(T481="","",VLOOKUP(T481,引用表合并!$A:$B,2,FALSE))</f>
        <v/>
      </c>
      <c r="T481" s="8"/>
      <c r="U481" s="8"/>
      <c r="W481" s="8" t="str">
        <f>IF(X481="","",VLOOKUP(X481,引用表合并!$A:$B,2,FALSE))</f>
        <v/>
      </c>
      <c r="X481" s="8"/>
      <c r="Y481" s="8"/>
      <c r="AA481" s="8" t="str">
        <f>IF(AB481="","",VLOOKUP(AB481,引用表合并!$A:$B,2,FALSE))</f>
        <v/>
      </c>
      <c r="AB481" s="8"/>
      <c r="AC481" s="8"/>
      <c r="AE481" s="8" t="str">
        <f>IF(AF481="","",VLOOKUP(AF481,引用表合并!$A:$B,2,FALSE))</f>
        <v/>
      </c>
      <c r="AF481" s="8"/>
      <c r="AG481" s="8"/>
      <c r="AI481" s="8" t="str">
        <f>IF(AJ481="","",VLOOKUP(AJ481,引用表合并!$A:$B,2,FALSE))</f>
        <v/>
      </c>
      <c r="AJ481" s="8"/>
      <c r="AK481" s="8"/>
      <c r="AM481" s="8" t="str">
        <f>IF(AN481="","",VLOOKUP(AN481,引用表合并!$A:$B,2,FALSE))</f>
        <v/>
      </c>
      <c r="AN481" s="8"/>
      <c r="AO481" s="8"/>
      <c r="AQ481" s="8" t="str">
        <f>IF(AR481="","",VLOOKUP(AR481,引用表合并!$A:$B,2,FALSE))</f>
        <v/>
      </c>
      <c r="AR481" s="8"/>
      <c r="AS481" s="8"/>
      <c r="AU481" s="8" t="str">
        <f>IF(AV481="","",VLOOKUP(AV481,引用表合并!$A:$B,2,FALSE))</f>
        <v/>
      </c>
      <c r="AV481" s="8"/>
      <c r="AW481" s="8"/>
      <c r="AY481" s="8" t="str">
        <f>IF(AZ481="","",VLOOKUP(AZ481,引用表合并!$A:$B,2,FALSE))</f>
        <v/>
      </c>
      <c r="AZ481" s="8"/>
      <c r="BA481" s="8"/>
      <c r="BC481" s="8" t="str">
        <f>IF(BD481="","",VLOOKUP(BD481,引用表合并!$A:$B,2,FALSE))</f>
        <v/>
      </c>
      <c r="BD481" s="8"/>
      <c r="BF481" s="10"/>
      <c r="BG481" s="8" t="str">
        <f>IF(BH481="","",VLOOKUP(BH481,引用表合并!$A:$B,2,FALSE))</f>
        <v/>
      </c>
      <c r="BH481" s="8"/>
      <c r="BJ481" s="10"/>
      <c r="BK481" s="8" t="str">
        <f>IF(BL481="","",VLOOKUP(BL481,引用表合并!$A:$B,2,FALSE))</f>
        <v/>
      </c>
      <c r="BL481" s="8"/>
      <c r="BN481" s="10"/>
    </row>
    <row r="482" spans="1:66" x14ac:dyDescent="0.15">
      <c r="A482" s="8">
        <v>910024</v>
      </c>
      <c r="B482" s="18" t="str">
        <f>"任务:"&amp;VLOOKUP(A482,CHOOSE({1,2},[4]任务经验掉落配置表!$X$3:$X$173,[4]任务经验掉落配置表!$D$3:$D$173),2,FALSE)</f>
        <v>任务:精英弹药守卫</v>
      </c>
      <c r="C482" s="8">
        <v>0</v>
      </c>
      <c r="D482" s="8">
        <f t="shared" si="71"/>
        <v>0</v>
      </c>
      <c r="E482" s="16">
        <f t="shared" si="72"/>
        <v>0</v>
      </c>
      <c r="F482" s="16">
        <f t="shared" si="68"/>
        <v>0</v>
      </c>
      <c r="G482" s="8" t="str">
        <f>IF(H482="","",VLOOKUP(H482,引用表合并!$A:$B,2,FALSE))</f>
        <v/>
      </c>
      <c r="K482" s="8" t="str">
        <f>IF(L482="","",VLOOKUP(L482,引用表合并!$A:$B,2,FALSE))</f>
        <v/>
      </c>
      <c r="L482" s="8"/>
      <c r="M482" s="8"/>
      <c r="O482" s="8" t="str">
        <f>IF(P482="","",VLOOKUP(P482,引用表合并!$A:$B,2,FALSE))</f>
        <v/>
      </c>
      <c r="P482" s="8"/>
      <c r="Q482" s="8"/>
      <c r="S482" s="8" t="str">
        <f>IF(T482="","",VLOOKUP(T482,引用表合并!$A:$B,2,FALSE))</f>
        <v/>
      </c>
      <c r="T482" s="8"/>
      <c r="U482" s="8"/>
      <c r="W482" s="8" t="str">
        <f>IF(X482="","",VLOOKUP(X482,引用表合并!$A:$B,2,FALSE))</f>
        <v/>
      </c>
      <c r="X482" s="8"/>
      <c r="Y482" s="8"/>
      <c r="AA482" s="8" t="str">
        <f>IF(AB482="","",VLOOKUP(AB482,引用表合并!$A:$B,2,FALSE))</f>
        <v/>
      </c>
      <c r="AB482" s="8"/>
      <c r="AC482" s="8"/>
      <c r="AE482" s="8" t="str">
        <f>IF(AF482="","",VLOOKUP(AF482,引用表合并!$A:$B,2,FALSE))</f>
        <v/>
      </c>
      <c r="AF482" s="8"/>
      <c r="AG482" s="8"/>
      <c r="AI482" s="8" t="str">
        <f>IF(AJ482="","",VLOOKUP(AJ482,引用表合并!$A:$B,2,FALSE))</f>
        <v/>
      </c>
      <c r="AJ482" s="8"/>
      <c r="AK482" s="8"/>
      <c r="AM482" s="8" t="str">
        <f>IF(AN482="","",VLOOKUP(AN482,引用表合并!$A:$B,2,FALSE))</f>
        <v/>
      </c>
      <c r="AN482" s="8"/>
      <c r="AO482" s="8"/>
      <c r="AQ482" s="8" t="str">
        <f>IF(AR482="","",VLOOKUP(AR482,引用表合并!$A:$B,2,FALSE))</f>
        <v/>
      </c>
      <c r="AR482" s="8"/>
      <c r="AS482" s="8"/>
      <c r="AU482" s="8" t="str">
        <f>IF(AV482="","",VLOOKUP(AV482,引用表合并!$A:$B,2,FALSE))</f>
        <v/>
      </c>
      <c r="AV482" s="8"/>
      <c r="AW482" s="8"/>
      <c r="AY482" s="8" t="str">
        <f>IF(AZ482="","",VLOOKUP(AZ482,引用表合并!$A:$B,2,FALSE))</f>
        <v/>
      </c>
      <c r="AZ482" s="8"/>
      <c r="BA482" s="8"/>
      <c r="BC482" s="8" t="str">
        <f>IF(BD482="","",VLOOKUP(BD482,引用表合并!$A:$B,2,FALSE))</f>
        <v/>
      </c>
      <c r="BD482" s="8"/>
      <c r="BF482" s="10"/>
      <c r="BG482" s="8" t="str">
        <f>IF(BH482="","",VLOOKUP(BH482,引用表合并!$A:$B,2,FALSE))</f>
        <v/>
      </c>
      <c r="BH482" s="8"/>
      <c r="BJ482" s="10"/>
      <c r="BK482" s="8" t="str">
        <f>IF(BL482="","",VLOOKUP(BL482,引用表合并!$A:$B,2,FALSE))</f>
        <v/>
      </c>
      <c r="BL482" s="8"/>
      <c r="BN482" s="10"/>
    </row>
    <row r="483" spans="1:66" x14ac:dyDescent="0.15">
      <c r="A483" s="8">
        <v>910025</v>
      </c>
      <c r="B483" s="18" t="str">
        <f>"任务:"&amp;VLOOKUP(A483,CHOOSE({1,2},[4]任务经验掉落配置表!$X$3:$X$173,[4]任务经验掉落配置表!$D$3:$D$173),2,FALSE)</f>
        <v>任务:精英人质看守</v>
      </c>
      <c r="C483" s="8">
        <v>0</v>
      </c>
      <c r="D483" s="8">
        <f t="shared" si="71"/>
        <v>0</v>
      </c>
      <c r="E483" s="16">
        <f t="shared" si="72"/>
        <v>0</v>
      </c>
      <c r="F483" s="16">
        <f t="shared" si="68"/>
        <v>0</v>
      </c>
      <c r="G483" s="8" t="str">
        <f>IF(H483="","",VLOOKUP(H483,引用表合并!$A:$B,2,FALSE))</f>
        <v/>
      </c>
      <c r="K483" s="8" t="str">
        <f>IF(L483="","",VLOOKUP(L483,引用表合并!$A:$B,2,FALSE))</f>
        <v/>
      </c>
      <c r="L483" s="8"/>
      <c r="M483" s="8"/>
      <c r="O483" s="8" t="str">
        <f>IF(P483="","",VLOOKUP(P483,引用表合并!$A:$B,2,FALSE))</f>
        <v/>
      </c>
      <c r="P483" s="8"/>
      <c r="Q483" s="8"/>
      <c r="S483" s="8" t="str">
        <f>IF(T483="","",VLOOKUP(T483,引用表合并!$A:$B,2,FALSE))</f>
        <v/>
      </c>
      <c r="T483" s="8"/>
      <c r="U483" s="8"/>
      <c r="W483" s="8" t="str">
        <f>IF(X483="","",VLOOKUP(X483,引用表合并!$A:$B,2,FALSE))</f>
        <v/>
      </c>
      <c r="X483" s="8"/>
      <c r="Y483" s="8"/>
      <c r="AA483" s="8" t="str">
        <f>IF(AB483="","",VLOOKUP(AB483,引用表合并!$A:$B,2,FALSE))</f>
        <v/>
      </c>
      <c r="AB483" s="8"/>
      <c r="AC483" s="8"/>
      <c r="AE483" s="8" t="str">
        <f>IF(AF483="","",VLOOKUP(AF483,引用表合并!$A:$B,2,FALSE))</f>
        <v/>
      </c>
      <c r="AF483" s="8"/>
      <c r="AG483" s="8"/>
      <c r="AI483" s="8" t="str">
        <f>IF(AJ483="","",VLOOKUP(AJ483,引用表合并!$A:$B,2,FALSE))</f>
        <v/>
      </c>
      <c r="AJ483" s="8"/>
      <c r="AK483" s="8"/>
      <c r="AM483" s="8" t="str">
        <f>IF(AN483="","",VLOOKUP(AN483,引用表合并!$A:$B,2,FALSE))</f>
        <v/>
      </c>
      <c r="AN483" s="8"/>
      <c r="AO483" s="8"/>
      <c r="AQ483" s="8" t="str">
        <f>IF(AR483="","",VLOOKUP(AR483,引用表合并!$A:$B,2,FALSE))</f>
        <v/>
      </c>
      <c r="AR483" s="8"/>
      <c r="AS483" s="8"/>
      <c r="AU483" s="8" t="str">
        <f>IF(AV483="","",VLOOKUP(AV483,引用表合并!$A:$B,2,FALSE))</f>
        <v/>
      </c>
      <c r="AV483" s="8"/>
      <c r="AW483" s="8"/>
      <c r="AY483" s="8" t="str">
        <f>IF(AZ483="","",VLOOKUP(AZ483,引用表合并!$A:$B,2,FALSE))</f>
        <v/>
      </c>
      <c r="AZ483" s="8"/>
      <c r="BA483" s="8"/>
      <c r="BC483" s="8" t="str">
        <f>IF(BD483="","",VLOOKUP(BD483,引用表合并!$A:$B,2,FALSE))</f>
        <v/>
      </c>
      <c r="BD483" s="8"/>
      <c r="BF483" s="10"/>
      <c r="BG483" s="8" t="str">
        <f>IF(BH483="","",VLOOKUP(BH483,引用表合并!$A:$B,2,FALSE))</f>
        <v/>
      </c>
      <c r="BH483" s="8"/>
      <c r="BJ483" s="10"/>
      <c r="BK483" s="8" t="str">
        <f>IF(BL483="","",VLOOKUP(BL483,引用表合并!$A:$B,2,FALSE))</f>
        <v/>
      </c>
      <c r="BL483" s="8"/>
      <c r="BN483" s="10"/>
    </row>
    <row r="484" spans="1:66" x14ac:dyDescent="0.15">
      <c r="A484" s="8">
        <v>910026</v>
      </c>
      <c r="B484" s="18" t="str">
        <f>"任务:"&amp;VLOOKUP(A484,CHOOSE({1,2},[4]任务经验掉落配置表!$X$3:$X$173,[4]任务经验掉落配置表!$D$3:$D$173),2,FALSE)</f>
        <v>任务:精英乌鸦心腹</v>
      </c>
      <c r="C484" s="8">
        <v>0</v>
      </c>
      <c r="D484" s="8">
        <f t="shared" si="71"/>
        <v>0</v>
      </c>
      <c r="E484" s="16">
        <f t="shared" si="72"/>
        <v>0</v>
      </c>
      <c r="F484" s="16">
        <f t="shared" ref="F484:F562" si="73">E484</f>
        <v>0</v>
      </c>
      <c r="G484" s="8" t="str">
        <f>IF(H484="","",VLOOKUP(H484,引用表合并!$A:$B,2,FALSE))</f>
        <v/>
      </c>
      <c r="K484" s="8" t="str">
        <f>IF(L484="","",VLOOKUP(L484,引用表合并!$A:$B,2,FALSE))</f>
        <v/>
      </c>
      <c r="L484" s="8"/>
      <c r="M484" s="8"/>
      <c r="O484" s="8" t="str">
        <f>IF(P484="","",VLOOKUP(P484,引用表合并!$A:$B,2,FALSE))</f>
        <v/>
      </c>
      <c r="P484" s="8"/>
      <c r="Q484" s="8"/>
      <c r="S484" s="8" t="str">
        <f>IF(T484="","",VLOOKUP(T484,引用表合并!$A:$B,2,FALSE))</f>
        <v/>
      </c>
      <c r="T484" s="8"/>
      <c r="U484" s="8"/>
      <c r="W484" s="8" t="str">
        <f>IF(X484="","",VLOOKUP(X484,引用表合并!$A:$B,2,FALSE))</f>
        <v/>
      </c>
      <c r="X484" s="8"/>
      <c r="Y484" s="8"/>
      <c r="AA484" s="8" t="str">
        <f>IF(AB484="","",VLOOKUP(AB484,引用表合并!$A:$B,2,FALSE))</f>
        <v/>
      </c>
      <c r="AB484" s="8"/>
      <c r="AC484" s="8"/>
      <c r="AE484" s="8" t="str">
        <f>IF(AF484="","",VLOOKUP(AF484,引用表合并!$A:$B,2,FALSE))</f>
        <v/>
      </c>
      <c r="AF484" s="8"/>
      <c r="AG484" s="8"/>
      <c r="AI484" s="8" t="str">
        <f>IF(AJ484="","",VLOOKUP(AJ484,引用表合并!$A:$B,2,FALSE))</f>
        <v/>
      </c>
      <c r="AJ484" s="8"/>
      <c r="AK484" s="8"/>
      <c r="AM484" s="8" t="str">
        <f>IF(AN484="","",VLOOKUP(AN484,引用表合并!$A:$B,2,FALSE))</f>
        <v/>
      </c>
      <c r="AN484" s="8"/>
      <c r="AO484" s="8"/>
      <c r="AQ484" s="8" t="str">
        <f>IF(AR484="","",VLOOKUP(AR484,引用表合并!$A:$B,2,FALSE))</f>
        <v/>
      </c>
      <c r="AR484" s="8"/>
      <c r="AS484" s="8"/>
      <c r="AU484" s="8" t="str">
        <f>IF(AV484="","",VLOOKUP(AV484,引用表合并!$A:$B,2,FALSE))</f>
        <v/>
      </c>
      <c r="AV484" s="8"/>
      <c r="AW484" s="8"/>
      <c r="AY484" s="8" t="str">
        <f>IF(AZ484="","",VLOOKUP(AZ484,引用表合并!$A:$B,2,FALSE))</f>
        <v/>
      </c>
      <c r="AZ484" s="8"/>
      <c r="BA484" s="8"/>
      <c r="BC484" s="8" t="str">
        <f>IF(BD484="","",VLOOKUP(BD484,引用表合并!$A:$B,2,FALSE))</f>
        <v/>
      </c>
      <c r="BD484" s="8"/>
      <c r="BF484" s="10"/>
      <c r="BG484" s="8" t="str">
        <f>IF(BH484="","",VLOOKUP(BH484,引用表合并!$A:$B,2,FALSE))</f>
        <v/>
      </c>
      <c r="BH484" s="8"/>
      <c r="BJ484" s="10"/>
      <c r="BK484" s="8" t="str">
        <f>IF(BL484="","",VLOOKUP(BL484,引用表合并!$A:$B,2,FALSE))</f>
        <v/>
      </c>
      <c r="BL484" s="8"/>
      <c r="BN484" s="10"/>
    </row>
    <row r="485" spans="1:66" x14ac:dyDescent="0.15">
      <c r="A485" s="8">
        <v>910027</v>
      </c>
      <c r="B485" s="18" t="str">
        <f>"任务:"&amp;VLOOKUP(A485,CHOOSE({1,2},[4]任务经验掉落配置表!$X$3:$X$173,[4]任务经验掉落配置表!$D$3:$D$173),2,FALSE)</f>
        <v>任务:精英乌鸦</v>
      </c>
      <c r="C485" s="8">
        <v>0</v>
      </c>
      <c r="D485" s="8">
        <f t="shared" si="71"/>
        <v>0</v>
      </c>
      <c r="E485" s="16">
        <f t="shared" si="72"/>
        <v>0</v>
      </c>
      <c r="F485" s="16">
        <f t="shared" si="73"/>
        <v>0</v>
      </c>
      <c r="G485" s="8" t="str">
        <f>IF(H485="","",VLOOKUP(H485,引用表合并!$A:$B,2,FALSE))</f>
        <v/>
      </c>
      <c r="K485" s="8" t="str">
        <f>IF(L485="","",VLOOKUP(L485,引用表合并!$A:$B,2,FALSE))</f>
        <v/>
      </c>
      <c r="L485" s="8"/>
      <c r="M485" s="8"/>
      <c r="O485" s="8" t="str">
        <f>IF(P485="","",VLOOKUP(P485,引用表合并!$A:$B,2,FALSE))</f>
        <v/>
      </c>
      <c r="P485" s="8"/>
      <c r="Q485" s="8"/>
      <c r="S485" s="8" t="str">
        <f>IF(T485="","",VLOOKUP(T485,引用表合并!$A:$B,2,FALSE))</f>
        <v/>
      </c>
      <c r="T485" s="8"/>
      <c r="U485" s="8"/>
      <c r="W485" s="8" t="str">
        <f>IF(X485="","",VLOOKUP(X485,引用表合并!$A:$B,2,FALSE))</f>
        <v/>
      </c>
      <c r="X485" s="8"/>
      <c r="Y485" s="8"/>
      <c r="AA485" s="8" t="str">
        <f>IF(AB485="","",VLOOKUP(AB485,引用表合并!$A:$B,2,FALSE))</f>
        <v/>
      </c>
      <c r="AB485" s="8"/>
      <c r="AC485" s="8"/>
      <c r="AE485" s="8" t="str">
        <f>IF(AF485="","",VLOOKUP(AF485,引用表合并!$A:$B,2,FALSE))</f>
        <v/>
      </c>
      <c r="AF485" s="8"/>
      <c r="AG485" s="8"/>
      <c r="AI485" s="8" t="str">
        <f>IF(AJ485="","",VLOOKUP(AJ485,引用表合并!$A:$B,2,FALSE))</f>
        <v/>
      </c>
      <c r="AJ485" s="8"/>
      <c r="AK485" s="8"/>
      <c r="AM485" s="8" t="str">
        <f>IF(AN485="","",VLOOKUP(AN485,引用表合并!$A:$B,2,FALSE))</f>
        <v/>
      </c>
      <c r="AN485" s="8"/>
      <c r="AO485" s="8"/>
      <c r="AQ485" s="8" t="str">
        <f>IF(AR485="","",VLOOKUP(AR485,引用表合并!$A:$B,2,FALSE))</f>
        <v/>
      </c>
      <c r="AR485" s="8"/>
      <c r="AS485" s="8"/>
      <c r="AU485" s="8" t="str">
        <f>IF(AV485="","",VLOOKUP(AV485,引用表合并!$A:$B,2,FALSE))</f>
        <v/>
      </c>
      <c r="AV485" s="8"/>
      <c r="AW485" s="8"/>
      <c r="AY485" s="8" t="str">
        <f>IF(AZ485="","",VLOOKUP(AZ485,引用表合并!$A:$B,2,FALSE))</f>
        <v/>
      </c>
      <c r="AZ485" s="8"/>
      <c r="BA485" s="8"/>
      <c r="BC485" s="8" t="str">
        <f>IF(BD485="","",VLOOKUP(BD485,引用表合并!$A:$B,2,FALSE))</f>
        <v/>
      </c>
      <c r="BD485" s="8"/>
      <c r="BF485" s="10"/>
      <c r="BG485" s="8" t="str">
        <f>IF(BH485="","",VLOOKUP(BH485,引用表合并!$A:$B,2,FALSE))</f>
        <v/>
      </c>
      <c r="BH485" s="8"/>
      <c r="BJ485" s="10"/>
      <c r="BK485" s="8" t="str">
        <f>IF(BL485="","",VLOOKUP(BL485,引用表合并!$A:$B,2,FALSE))</f>
        <v/>
      </c>
      <c r="BL485" s="8"/>
      <c r="BN485" s="10"/>
    </row>
    <row r="486" spans="1:66" x14ac:dyDescent="0.15">
      <c r="A486" s="8">
        <v>910028</v>
      </c>
      <c r="B486" s="18" t="str">
        <f>"任务:"&amp;VLOOKUP(A486,CHOOSE({1,2},[4]任务经验掉落配置表!$X$3:$X$173,[4]任务经验掉落配置表!$D$3:$D$173),2,FALSE)</f>
        <v>任务:精英袭击者</v>
      </c>
      <c r="C486" s="8">
        <v>0</v>
      </c>
      <c r="D486" s="8">
        <f t="shared" si="71"/>
        <v>0</v>
      </c>
      <c r="E486" s="16">
        <f t="shared" si="72"/>
        <v>0</v>
      </c>
      <c r="F486" s="16">
        <f t="shared" si="73"/>
        <v>0</v>
      </c>
      <c r="G486" s="8" t="str">
        <f>IF(H486="","",VLOOKUP(H486,引用表合并!$A:$B,2,FALSE))</f>
        <v/>
      </c>
      <c r="K486" s="8" t="str">
        <f>IF(L486="","",VLOOKUP(L486,引用表合并!$A:$B,2,FALSE))</f>
        <v/>
      </c>
      <c r="L486" s="8"/>
      <c r="M486" s="8"/>
      <c r="O486" s="8" t="str">
        <f>IF(P486="","",VLOOKUP(P486,引用表合并!$A:$B,2,FALSE))</f>
        <v/>
      </c>
      <c r="P486" s="8"/>
      <c r="Q486" s="8"/>
      <c r="S486" s="8" t="str">
        <f>IF(T486="","",VLOOKUP(T486,引用表合并!$A:$B,2,FALSE))</f>
        <v/>
      </c>
      <c r="T486" s="8"/>
      <c r="U486" s="8"/>
      <c r="W486" s="8" t="str">
        <f>IF(X486="","",VLOOKUP(X486,引用表合并!$A:$B,2,FALSE))</f>
        <v/>
      </c>
      <c r="X486" s="8"/>
      <c r="Y486" s="8"/>
      <c r="AA486" s="8" t="str">
        <f>IF(AB486="","",VLOOKUP(AB486,引用表合并!$A:$B,2,FALSE))</f>
        <v/>
      </c>
      <c r="AB486" s="8"/>
      <c r="AC486" s="8"/>
      <c r="AE486" s="8" t="str">
        <f>IF(AF486="","",VLOOKUP(AF486,引用表合并!$A:$B,2,FALSE))</f>
        <v/>
      </c>
      <c r="AF486" s="8"/>
      <c r="AG486" s="8"/>
      <c r="AI486" s="8" t="str">
        <f>IF(AJ486="","",VLOOKUP(AJ486,引用表合并!$A:$B,2,FALSE))</f>
        <v/>
      </c>
      <c r="AJ486" s="8"/>
      <c r="AK486" s="8"/>
      <c r="AM486" s="8" t="str">
        <f>IF(AN486="","",VLOOKUP(AN486,引用表合并!$A:$B,2,FALSE))</f>
        <v/>
      </c>
      <c r="AN486" s="8"/>
      <c r="AO486" s="8"/>
      <c r="AQ486" s="8" t="str">
        <f>IF(AR486="","",VLOOKUP(AR486,引用表合并!$A:$B,2,FALSE))</f>
        <v/>
      </c>
      <c r="AR486" s="8"/>
      <c r="AS486" s="8"/>
      <c r="AU486" s="8" t="str">
        <f>IF(AV486="","",VLOOKUP(AV486,引用表合并!$A:$B,2,FALSE))</f>
        <v/>
      </c>
      <c r="AV486" s="8"/>
      <c r="AW486" s="8"/>
      <c r="AY486" s="8" t="str">
        <f>IF(AZ486="","",VLOOKUP(AZ486,引用表合并!$A:$B,2,FALSE))</f>
        <v/>
      </c>
      <c r="AZ486" s="8"/>
      <c r="BA486" s="8"/>
      <c r="BC486" s="8" t="str">
        <f>IF(BD486="","",VLOOKUP(BD486,引用表合并!$A:$B,2,FALSE))</f>
        <v/>
      </c>
      <c r="BD486" s="8"/>
      <c r="BF486" s="10"/>
      <c r="BG486" s="8" t="str">
        <f>IF(BH486="","",VLOOKUP(BH486,引用表合并!$A:$B,2,FALSE))</f>
        <v/>
      </c>
      <c r="BH486" s="8"/>
      <c r="BJ486" s="10"/>
      <c r="BK486" s="8" t="str">
        <f>IF(BL486="","",VLOOKUP(BL486,引用表合并!$A:$B,2,FALSE))</f>
        <v/>
      </c>
      <c r="BL486" s="8"/>
      <c r="BN486" s="10"/>
    </row>
    <row r="487" spans="1:66" x14ac:dyDescent="0.15">
      <c r="A487" s="8">
        <v>910029</v>
      </c>
      <c r="B487" s="18" t="str">
        <f>"任务:"&amp;VLOOKUP(A487,CHOOSE({1,2},[4]任务经验掉落配置表!$X$3:$X$173,[4]任务经验掉落配置表!$D$3:$D$173),2,FALSE)</f>
        <v>任务:精英生番手下</v>
      </c>
      <c r="C487" s="8">
        <v>0</v>
      </c>
      <c r="D487" s="8">
        <f t="shared" si="71"/>
        <v>0</v>
      </c>
      <c r="E487" s="16">
        <f t="shared" si="72"/>
        <v>0</v>
      </c>
      <c r="F487" s="16">
        <f t="shared" si="73"/>
        <v>0</v>
      </c>
      <c r="G487" s="8" t="str">
        <f>IF(H487="","",VLOOKUP(H487,引用表合并!$A:$B,2,FALSE))</f>
        <v/>
      </c>
      <c r="K487" s="8" t="str">
        <f>IF(L487="","",VLOOKUP(L487,引用表合并!$A:$B,2,FALSE))</f>
        <v/>
      </c>
      <c r="L487" s="8"/>
      <c r="M487" s="8"/>
      <c r="O487" s="8" t="str">
        <f>IF(P487="","",VLOOKUP(P487,引用表合并!$A:$B,2,FALSE))</f>
        <v/>
      </c>
      <c r="P487" s="8"/>
      <c r="Q487" s="8"/>
      <c r="S487" s="8" t="str">
        <f>IF(T487="","",VLOOKUP(T487,引用表合并!$A:$B,2,FALSE))</f>
        <v/>
      </c>
      <c r="T487" s="8"/>
      <c r="U487" s="8"/>
      <c r="W487" s="8" t="str">
        <f>IF(X487="","",VLOOKUP(X487,引用表合并!$A:$B,2,FALSE))</f>
        <v/>
      </c>
      <c r="X487" s="8"/>
      <c r="Y487" s="8"/>
      <c r="AA487" s="8" t="str">
        <f>IF(AB487="","",VLOOKUP(AB487,引用表合并!$A:$B,2,FALSE))</f>
        <v/>
      </c>
      <c r="AB487" s="8"/>
      <c r="AC487" s="8"/>
      <c r="AE487" s="8" t="str">
        <f>IF(AF487="","",VLOOKUP(AF487,引用表合并!$A:$B,2,FALSE))</f>
        <v/>
      </c>
      <c r="AF487" s="8"/>
      <c r="AG487" s="8"/>
      <c r="AI487" s="8" t="str">
        <f>IF(AJ487="","",VLOOKUP(AJ487,引用表合并!$A:$B,2,FALSE))</f>
        <v/>
      </c>
      <c r="AJ487" s="8"/>
      <c r="AK487" s="8"/>
      <c r="AM487" s="8" t="str">
        <f>IF(AN487="","",VLOOKUP(AN487,引用表合并!$A:$B,2,FALSE))</f>
        <v/>
      </c>
      <c r="AN487" s="8"/>
      <c r="AO487" s="8"/>
      <c r="AQ487" s="8" t="str">
        <f>IF(AR487="","",VLOOKUP(AR487,引用表合并!$A:$B,2,FALSE))</f>
        <v/>
      </c>
      <c r="AR487" s="8"/>
      <c r="AS487" s="8"/>
      <c r="AU487" s="8" t="str">
        <f>IF(AV487="","",VLOOKUP(AV487,引用表合并!$A:$B,2,FALSE))</f>
        <v/>
      </c>
      <c r="AV487" s="8"/>
      <c r="AW487" s="8"/>
      <c r="AY487" s="8" t="str">
        <f>IF(AZ487="","",VLOOKUP(AZ487,引用表合并!$A:$B,2,FALSE))</f>
        <v/>
      </c>
      <c r="AZ487" s="8"/>
      <c r="BA487" s="8"/>
      <c r="BC487" s="8" t="str">
        <f>IF(BD487="","",VLOOKUP(BD487,引用表合并!$A:$B,2,FALSE))</f>
        <v/>
      </c>
      <c r="BD487" s="8"/>
      <c r="BF487" s="10"/>
      <c r="BG487" s="8" t="str">
        <f>IF(BH487="","",VLOOKUP(BH487,引用表合并!$A:$B,2,FALSE))</f>
        <v/>
      </c>
      <c r="BH487" s="8"/>
      <c r="BJ487" s="10"/>
      <c r="BK487" s="8" t="str">
        <f>IF(BL487="","",VLOOKUP(BL487,引用表合并!$A:$B,2,FALSE))</f>
        <v/>
      </c>
      <c r="BL487" s="8"/>
      <c r="BN487" s="10"/>
    </row>
    <row r="488" spans="1:66" x14ac:dyDescent="0.15">
      <c r="A488" s="8">
        <v>910030</v>
      </c>
      <c r="B488" s="18" t="str">
        <f>"任务:"&amp;VLOOKUP(A488,CHOOSE({1,2},[4]任务经验掉落配置表!$X$3:$X$173,[4]任务经验掉落配置表!$D$3:$D$173),2,FALSE)</f>
        <v>任务:精英混混头目</v>
      </c>
      <c r="C488" s="8">
        <v>0</v>
      </c>
      <c r="D488" s="8">
        <f t="shared" si="71"/>
        <v>0</v>
      </c>
      <c r="E488" s="16">
        <f t="shared" si="72"/>
        <v>0</v>
      </c>
      <c r="F488" s="16">
        <f t="shared" si="73"/>
        <v>0</v>
      </c>
      <c r="G488" s="8" t="str">
        <f>IF(H488="","",VLOOKUP(H488,引用表合并!$A:$B,2,FALSE))</f>
        <v/>
      </c>
      <c r="K488" s="8" t="str">
        <f>IF(L488="","",VLOOKUP(L488,引用表合并!$A:$B,2,FALSE))</f>
        <v/>
      </c>
      <c r="L488" s="8"/>
      <c r="M488" s="8"/>
      <c r="O488" s="8" t="str">
        <f>IF(P488="","",VLOOKUP(P488,引用表合并!$A:$B,2,FALSE))</f>
        <v/>
      </c>
      <c r="P488" s="8"/>
      <c r="Q488" s="8"/>
      <c r="S488" s="8" t="str">
        <f>IF(T488="","",VLOOKUP(T488,引用表合并!$A:$B,2,FALSE))</f>
        <v/>
      </c>
      <c r="T488" s="8"/>
      <c r="U488" s="8"/>
      <c r="W488" s="8" t="str">
        <f>IF(X488="","",VLOOKUP(X488,引用表合并!$A:$B,2,FALSE))</f>
        <v/>
      </c>
      <c r="X488" s="8"/>
      <c r="Y488" s="8"/>
      <c r="AA488" s="8" t="str">
        <f>IF(AB488="","",VLOOKUP(AB488,引用表合并!$A:$B,2,FALSE))</f>
        <v/>
      </c>
      <c r="AB488" s="8"/>
      <c r="AC488" s="8"/>
      <c r="AE488" s="8" t="str">
        <f>IF(AF488="","",VLOOKUP(AF488,引用表合并!$A:$B,2,FALSE))</f>
        <v/>
      </c>
      <c r="AF488" s="8"/>
      <c r="AG488" s="8"/>
      <c r="AI488" s="8" t="str">
        <f>IF(AJ488="","",VLOOKUP(AJ488,引用表合并!$A:$B,2,FALSE))</f>
        <v/>
      </c>
      <c r="AJ488" s="8"/>
      <c r="AK488" s="8"/>
      <c r="AM488" s="8" t="str">
        <f>IF(AN488="","",VLOOKUP(AN488,引用表合并!$A:$B,2,FALSE))</f>
        <v/>
      </c>
      <c r="AN488" s="8"/>
      <c r="AO488" s="8"/>
      <c r="AQ488" s="8" t="str">
        <f>IF(AR488="","",VLOOKUP(AR488,引用表合并!$A:$B,2,FALSE))</f>
        <v/>
      </c>
      <c r="AR488" s="8"/>
      <c r="AS488" s="8"/>
      <c r="AU488" s="8" t="str">
        <f>IF(AV488="","",VLOOKUP(AV488,引用表合并!$A:$B,2,FALSE))</f>
        <v/>
      </c>
      <c r="AV488" s="8"/>
      <c r="AW488" s="8"/>
      <c r="AY488" s="8" t="str">
        <f>IF(AZ488="","",VLOOKUP(AZ488,引用表合并!$A:$B,2,FALSE))</f>
        <v/>
      </c>
      <c r="AZ488" s="8"/>
      <c r="BA488" s="8"/>
      <c r="BC488" s="8" t="str">
        <f>IF(BD488="","",VLOOKUP(BD488,引用表合并!$A:$B,2,FALSE))</f>
        <v/>
      </c>
      <c r="BD488" s="8"/>
      <c r="BF488" s="10"/>
      <c r="BG488" s="8" t="str">
        <f>IF(BH488="","",VLOOKUP(BH488,引用表合并!$A:$B,2,FALSE))</f>
        <v/>
      </c>
      <c r="BH488" s="8"/>
      <c r="BJ488" s="10"/>
      <c r="BK488" s="8" t="str">
        <f>IF(BL488="","",VLOOKUP(BL488,引用表合并!$A:$B,2,FALSE))</f>
        <v/>
      </c>
      <c r="BL488" s="8"/>
      <c r="BN488" s="10"/>
    </row>
    <row r="489" spans="1:66" x14ac:dyDescent="0.15">
      <c r="A489" s="8">
        <v>910031</v>
      </c>
      <c r="B489" s="18" t="str">
        <f>"任务:"&amp;VLOOKUP(A489,CHOOSE({1,2},[4]任务经验掉落配置表!$X$3:$X$173,[4]任务经验掉落配置表!$D$3:$D$173),2,FALSE)</f>
        <v>任务:精英黑星</v>
      </c>
      <c r="C489" s="8">
        <v>0</v>
      </c>
      <c r="D489" s="8">
        <f t="shared" si="71"/>
        <v>0</v>
      </c>
      <c r="E489" s="16">
        <f t="shared" si="72"/>
        <v>0</v>
      </c>
      <c r="F489" s="16">
        <f t="shared" si="73"/>
        <v>0</v>
      </c>
      <c r="G489" s="8" t="str">
        <f>IF(H489="","",VLOOKUP(H489,引用表合并!$A:$B,2,FALSE))</f>
        <v/>
      </c>
      <c r="K489" s="8" t="str">
        <f>IF(L489="","",VLOOKUP(L489,引用表合并!$A:$B,2,FALSE))</f>
        <v/>
      </c>
      <c r="L489" s="8"/>
      <c r="M489" s="8"/>
      <c r="O489" s="8" t="str">
        <f>IF(P489="","",VLOOKUP(P489,引用表合并!$A:$B,2,FALSE))</f>
        <v/>
      </c>
      <c r="P489" s="8"/>
      <c r="Q489" s="8"/>
      <c r="S489" s="8" t="str">
        <f>IF(T489="","",VLOOKUP(T489,引用表合并!$A:$B,2,FALSE))</f>
        <v/>
      </c>
      <c r="T489" s="8"/>
      <c r="U489" s="8"/>
      <c r="W489" s="8" t="str">
        <f>IF(X489="","",VLOOKUP(X489,引用表合并!$A:$B,2,FALSE))</f>
        <v/>
      </c>
      <c r="X489" s="8"/>
      <c r="Y489" s="8"/>
      <c r="AA489" s="8" t="str">
        <f>IF(AB489="","",VLOOKUP(AB489,引用表合并!$A:$B,2,FALSE))</f>
        <v/>
      </c>
      <c r="AB489" s="8"/>
      <c r="AC489" s="8"/>
      <c r="AE489" s="8" t="str">
        <f>IF(AF489="","",VLOOKUP(AF489,引用表合并!$A:$B,2,FALSE))</f>
        <v/>
      </c>
      <c r="AF489" s="8"/>
      <c r="AG489" s="8"/>
      <c r="AI489" s="8" t="str">
        <f>IF(AJ489="","",VLOOKUP(AJ489,引用表合并!$A:$B,2,FALSE))</f>
        <v/>
      </c>
      <c r="AJ489" s="8"/>
      <c r="AK489" s="8"/>
      <c r="AM489" s="8" t="str">
        <f>IF(AN489="","",VLOOKUP(AN489,引用表合并!$A:$B,2,FALSE))</f>
        <v/>
      </c>
      <c r="AN489" s="8"/>
      <c r="AO489" s="8"/>
      <c r="AQ489" s="8" t="str">
        <f>IF(AR489="","",VLOOKUP(AR489,引用表合并!$A:$B,2,FALSE))</f>
        <v/>
      </c>
      <c r="AR489" s="8"/>
      <c r="AS489" s="8"/>
      <c r="AU489" s="8" t="str">
        <f>IF(AV489="","",VLOOKUP(AV489,引用表合并!$A:$B,2,FALSE))</f>
        <v/>
      </c>
      <c r="AV489" s="8"/>
      <c r="AW489" s="8"/>
      <c r="AY489" s="8" t="str">
        <f>IF(AZ489="","",VLOOKUP(AZ489,引用表合并!$A:$B,2,FALSE))</f>
        <v/>
      </c>
      <c r="AZ489" s="8"/>
      <c r="BA489" s="8"/>
      <c r="BC489" s="8" t="str">
        <f>IF(BD489="","",VLOOKUP(BD489,引用表合并!$A:$B,2,FALSE))</f>
        <v/>
      </c>
      <c r="BD489" s="8"/>
      <c r="BF489" s="10"/>
      <c r="BG489" s="8" t="str">
        <f>IF(BH489="","",VLOOKUP(BH489,引用表合并!$A:$B,2,FALSE))</f>
        <v/>
      </c>
      <c r="BH489" s="8"/>
      <c r="BJ489" s="10"/>
      <c r="BK489" s="8" t="str">
        <f>IF(BL489="","",VLOOKUP(BL489,引用表合并!$A:$B,2,FALSE))</f>
        <v/>
      </c>
      <c r="BL489" s="8"/>
      <c r="BN489" s="10"/>
    </row>
    <row r="490" spans="1:66" x14ac:dyDescent="0.15">
      <c r="A490" s="8">
        <v>910032</v>
      </c>
      <c r="B490" s="18" t="str">
        <f>"任务:"&amp;VLOOKUP(A490,CHOOSE({1,2},[4]任务经验掉落配置表!$X$3:$X$173,[4]任务经验掉落配置表!$D$3:$D$173),2,FALSE)</f>
        <v>任务:精英生番</v>
      </c>
      <c r="C490" s="8">
        <v>0</v>
      </c>
      <c r="D490" s="8">
        <f t="shared" si="71"/>
        <v>0</v>
      </c>
      <c r="E490" s="16">
        <f t="shared" si="72"/>
        <v>0</v>
      </c>
      <c r="F490" s="16">
        <f t="shared" si="73"/>
        <v>0</v>
      </c>
      <c r="G490" s="8" t="str">
        <f>IF(H490="","",VLOOKUP(H490,引用表合并!$A:$B,2,FALSE))</f>
        <v/>
      </c>
      <c r="K490" s="8" t="str">
        <f>IF(L490="","",VLOOKUP(L490,引用表合并!$A:$B,2,FALSE))</f>
        <v/>
      </c>
      <c r="L490" s="8"/>
      <c r="M490" s="8"/>
      <c r="O490" s="8" t="str">
        <f>IF(P490="","",VLOOKUP(P490,引用表合并!$A:$B,2,FALSE))</f>
        <v/>
      </c>
      <c r="P490" s="8"/>
      <c r="Q490" s="8"/>
      <c r="S490" s="8" t="str">
        <f>IF(T490="","",VLOOKUP(T490,引用表合并!$A:$B,2,FALSE))</f>
        <v/>
      </c>
      <c r="T490" s="8"/>
      <c r="U490" s="8"/>
      <c r="W490" s="8" t="str">
        <f>IF(X490="","",VLOOKUP(X490,引用表合并!$A:$B,2,FALSE))</f>
        <v/>
      </c>
      <c r="X490" s="8"/>
      <c r="Y490" s="8"/>
      <c r="AA490" s="8" t="str">
        <f>IF(AB490="","",VLOOKUP(AB490,引用表合并!$A:$B,2,FALSE))</f>
        <v/>
      </c>
      <c r="AB490" s="8"/>
      <c r="AC490" s="8"/>
      <c r="AE490" s="8" t="str">
        <f>IF(AF490="","",VLOOKUP(AF490,引用表合并!$A:$B,2,FALSE))</f>
        <v/>
      </c>
      <c r="AF490" s="8"/>
      <c r="AG490" s="8"/>
      <c r="AI490" s="8" t="str">
        <f>IF(AJ490="","",VLOOKUP(AJ490,引用表合并!$A:$B,2,FALSE))</f>
        <v/>
      </c>
      <c r="AJ490" s="8"/>
      <c r="AK490" s="8"/>
      <c r="AM490" s="8" t="str">
        <f>IF(AN490="","",VLOOKUP(AN490,引用表合并!$A:$B,2,FALSE))</f>
        <v/>
      </c>
      <c r="AN490" s="8"/>
      <c r="AO490" s="8"/>
      <c r="AQ490" s="8" t="str">
        <f>IF(AR490="","",VLOOKUP(AR490,引用表合并!$A:$B,2,FALSE))</f>
        <v/>
      </c>
      <c r="AR490" s="8"/>
      <c r="AS490" s="8"/>
      <c r="AU490" s="8" t="str">
        <f>IF(AV490="","",VLOOKUP(AV490,引用表合并!$A:$B,2,FALSE))</f>
        <v/>
      </c>
      <c r="AV490" s="8"/>
      <c r="AW490" s="8"/>
      <c r="AY490" s="8" t="str">
        <f>IF(AZ490="","",VLOOKUP(AZ490,引用表合并!$A:$B,2,FALSE))</f>
        <v/>
      </c>
      <c r="AZ490" s="8"/>
      <c r="BA490" s="8"/>
      <c r="BC490" s="8" t="str">
        <f>IF(BD490="","",VLOOKUP(BD490,引用表合并!$A:$B,2,FALSE))</f>
        <v/>
      </c>
      <c r="BD490" s="8"/>
      <c r="BF490" s="10"/>
      <c r="BG490" s="8" t="str">
        <f>IF(BH490="","",VLOOKUP(BH490,引用表合并!$A:$B,2,FALSE))</f>
        <v/>
      </c>
      <c r="BH490" s="8"/>
      <c r="BJ490" s="10"/>
      <c r="BK490" s="8" t="str">
        <f>IF(BL490="","",VLOOKUP(BL490,引用表合并!$A:$B,2,FALSE))</f>
        <v/>
      </c>
      <c r="BL490" s="8"/>
      <c r="BN490" s="10"/>
    </row>
    <row r="491" spans="1:66" x14ac:dyDescent="0.15">
      <c r="A491" s="8">
        <v>910033</v>
      </c>
      <c r="B491" s="18" t="str">
        <f>"任务:"&amp;VLOOKUP(A491,CHOOSE({1,2},[4]任务经验掉落配置表!$X$3:$X$173,[4]任务经验掉落配置表!$D$3:$D$173),2,FALSE)</f>
        <v>任务:精英毒贩头目</v>
      </c>
      <c r="C491" s="8">
        <v>0</v>
      </c>
      <c r="D491" s="8">
        <f t="shared" si="71"/>
        <v>0</v>
      </c>
      <c r="E491" s="16">
        <f t="shared" si="72"/>
        <v>0</v>
      </c>
      <c r="F491" s="16">
        <f t="shared" si="73"/>
        <v>0</v>
      </c>
      <c r="G491" s="8" t="str">
        <f>IF(H491="","",VLOOKUP(H491,引用表合并!$A:$B,2,FALSE))</f>
        <v/>
      </c>
      <c r="K491" s="8" t="str">
        <f>IF(L491="","",VLOOKUP(L491,引用表合并!$A:$B,2,FALSE))</f>
        <v/>
      </c>
      <c r="L491" s="8"/>
      <c r="M491" s="8"/>
      <c r="O491" s="8" t="str">
        <f>IF(P491="","",VLOOKUP(P491,引用表合并!$A:$B,2,FALSE))</f>
        <v/>
      </c>
      <c r="P491" s="8"/>
      <c r="Q491" s="8"/>
      <c r="S491" s="8" t="str">
        <f>IF(T491="","",VLOOKUP(T491,引用表合并!$A:$B,2,FALSE))</f>
        <v/>
      </c>
      <c r="T491" s="8"/>
      <c r="U491" s="8"/>
      <c r="W491" s="8" t="str">
        <f>IF(X491="","",VLOOKUP(X491,引用表合并!$A:$B,2,FALSE))</f>
        <v/>
      </c>
      <c r="X491" s="8"/>
      <c r="Y491" s="8"/>
      <c r="AA491" s="8" t="str">
        <f>IF(AB491="","",VLOOKUP(AB491,引用表合并!$A:$B,2,FALSE))</f>
        <v/>
      </c>
      <c r="AB491" s="8"/>
      <c r="AC491" s="8"/>
      <c r="AE491" s="8" t="str">
        <f>IF(AF491="","",VLOOKUP(AF491,引用表合并!$A:$B,2,FALSE))</f>
        <v/>
      </c>
      <c r="AF491" s="8"/>
      <c r="AG491" s="8"/>
      <c r="AI491" s="8" t="str">
        <f>IF(AJ491="","",VLOOKUP(AJ491,引用表合并!$A:$B,2,FALSE))</f>
        <v/>
      </c>
      <c r="AJ491" s="8"/>
      <c r="AK491" s="8"/>
      <c r="AM491" s="8" t="str">
        <f>IF(AN491="","",VLOOKUP(AN491,引用表合并!$A:$B,2,FALSE))</f>
        <v/>
      </c>
      <c r="AN491" s="8"/>
      <c r="AO491" s="8"/>
      <c r="AQ491" s="8" t="str">
        <f>IF(AR491="","",VLOOKUP(AR491,引用表合并!$A:$B,2,FALSE))</f>
        <v/>
      </c>
      <c r="AR491" s="8"/>
      <c r="AS491" s="8"/>
      <c r="AU491" s="8" t="str">
        <f>IF(AV491="","",VLOOKUP(AV491,引用表合并!$A:$B,2,FALSE))</f>
        <v/>
      </c>
      <c r="AV491" s="8"/>
      <c r="AW491" s="8"/>
      <c r="AY491" s="8" t="str">
        <f>IF(AZ491="","",VLOOKUP(AZ491,引用表合并!$A:$B,2,FALSE))</f>
        <v/>
      </c>
      <c r="AZ491" s="8"/>
      <c r="BA491" s="8"/>
      <c r="BC491" s="8" t="str">
        <f>IF(BD491="","",VLOOKUP(BD491,引用表合并!$A:$B,2,FALSE))</f>
        <v/>
      </c>
      <c r="BD491" s="8"/>
      <c r="BF491" s="10"/>
      <c r="BG491" s="8" t="str">
        <f>IF(BH491="","",VLOOKUP(BH491,引用表合并!$A:$B,2,FALSE))</f>
        <v/>
      </c>
      <c r="BH491" s="8"/>
      <c r="BJ491" s="10"/>
      <c r="BK491" s="8" t="str">
        <f>IF(BL491="","",VLOOKUP(BL491,引用表合并!$A:$B,2,FALSE))</f>
        <v/>
      </c>
      <c r="BL491" s="8"/>
      <c r="BN491" s="10"/>
    </row>
    <row r="492" spans="1:66" x14ac:dyDescent="0.15">
      <c r="A492" s="8">
        <v>910034</v>
      </c>
      <c r="B492" s="18" t="str">
        <f>"任务:"&amp;VLOOKUP(A492,CHOOSE({1,2},[4]任务经验掉落配置表!$X$3:$X$173,[4]任务经验掉落配置表!$D$3:$D$173),2,FALSE)</f>
        <v>任务:精英耀阳手下</v>
      </c>
      <c r="C492" s="8">
        <v>0</v>
      </c>
      <c r="D492" s="8">
        <f t="shared" si="71"/>
        <v>0</v>
      </c>
      <c r="E492" s="16">
        <f t="shared" si="72"/>
        <v>0</v>
      </c>
      <c r="F492" s="16">
        <f t="shared" si="73"/>
        <v>0</v>
      </c>
      <c r="G492" s="8" t="str">
        <f>IF(H492="","",VLOOKUP(H492,引用表合并!$A:$B,2,FALSE))</f>
        <v/>
      </c>
      <c r="K492" s="8" t="str">
        <f>IF(L492="","",VLOOKUP(L492,引用表合并!$A:$B,2,FALSE))</f>
        <v/>
      </c>
      <c r="L492" s="8"/>
      <c r="M492" s="8"/>
      <c r="O492" s="8" t="str">
        <f>IF(P492="","",VLOOKUP(P492,引用表合并!$A:$B,2,FALSE))</f>
        <v/>
      </c>
      <c r="P492" s="8"/>
      <c r="Q492" s="8"/>
      <c r="S492" s="8" t="str">
        <f>IF(T492="","",VLOOKUP(T492,引用表合并!$A:$B,2,FALSE))</f>
        <v/>
      </c>
      <c r="T492" s="8"/>
      <c r="U492" s="8"/>
      <c r="W492" s="8" t="str">
        <f>IF(X492="","",VLOOKUP(X492,引用表合并!$A:$B,2,FALSE))</f>
        <v/>
      </c>
      <c r="X492" s="8"/>
      <c r="Y492" s="8"/>
      <c r="AA492" s="8" t="str">
        <f>IF(AB492="","",VLOOKUP(AB492,引用表合并!$A:$B,2,FALSE))</f>
        <v/>
      </c>
      <c r="AB492" s="8"/>
      <c r="AC492" s="8"/>
      <c r="AE492" s="8" t="str">
        <f>IF(AF492="","",VLOOKUP(AF492,引用表合并!$A:$B,2,FALSE))</f>
        <v/>
      </c>
      <c r="AF492" s="8"/>
      <c r="AG492" s="8"/>
      <c r="AI492" s="8" t="str">
        <f>IF(AJ492="","",VLOOKUP(AJ492,引用表合并!$A:$B,2,FALSE))</f>
        <v/>
      </c>
      <c r="AJ492" s="8"/>
      <c r="AK492" s="8"/>
      <c r="AM492" s="8" t="str">
        <f>IF(AN492="","",VLOOKUP(AN492,引用表合并!$A:$B,2,FALSE))</f>
        <v/>
      </c>
      <c r="AN492" s="8"/>
      <c r="AO492" s="8"/>
      <c r="AQ492" s="8" t="str">
        <f>IF(AR492="","",VLOOKUP(AR492,引用表合并!$A:$B,2,FALSE))</f>
        <v/>
      </c>
      <c r="AR492" s="8"/>
      <c r="AS492" s="8"/>
      <c r="AU492" s="8" t="str">
        <f>IF(AV492="","",VLOOKUP(AV492,引用表合并!$A:$B,2,FALSE))</f>
        <v/>
      </c>
      <c r="AV492" s="8"/>
      <c r="AW492" s="8"/>
      <c r="AY492" s="8" t="str">
        <f>IF(AZ492="","",VLOOKUP(AZ492,引用表合并!$A:$B,2,FALSE))</f>
        <v/>
      </c>
      <c r="AZ492" s="8"/>
      <c r="BA492" s="8"/>
      <c r="BC492" s="8" t="str">
        <f>IF(BD492="","",VLOOKUP(BD492,引用表合并!$A:$B,2,FALSE))</f>
        <v/>
      </c>
      <c r="BD492" s="8"/>
      <c r="BF492" s="10"/>
      <c r="BG492" s="8" t="str">
        <f>IF(BH492="","",VLOOKUP(BH492,引用表合并!$A:$B,2,FALSE))</f>
        <v/>
      </c>
      <c r="BH492" s="8"/>
      <c r="BJ492" s="10"/>
      <c r="BK492" s="8" t="str">
        <f>IF(BL492="","",VLOOKUP(BL492,引用表合并!$A:$B,2,FALSE))</f>
        <v/>
      </c>
      <c r="BL492" s="8"/>
      <c r="BN492" s="10"/>
    </row>
    <row r="493" spans="1:66" x14ac:dyDescent="0.15">
      <c r="A493" s="8">
        <v>910035</v>
      </c>
      <c r="B493" s="18" t="str">
        <f>"任务:"&amp;VLOOKUP(A493,CHOOSE({1,2},[4]任务经验掉落配置表!$X$3:$X$173,[4]任务经验掉落配置表!$D$3:$D$173),2,FALSE)</f>
        <v>任务:精英东星拳师</v>
      </c>
      <c r="C493" s="8">
        <v>0</v>
      </c>
      <c r="D493" s="8">
        <f t="shared" si="71"/>
        <v>0</v>
      </c>
      <c r="E493" s="16">
        <f t="shared" si="72"/>
        <v>0</v>
      </c>
      <c r="F493" s="16">
        <f t="shared" si="73"/>
        <v>0</v>
      </c>
      <c r="G493" s="8" t="str">
        <f>IF(H493="","",VLOOKUP(H493,引用表合并!$A:$B,2,FALSE))</f>
        <v/>
      </c>
      <c r="K493" s="8" t="str">
        <f>IF(L493="","",VLOOKUP(L493,引用表合并!$A:$B,2,FALSE))</f>
        <v/>
      </c>
      <c r="L493" s="8"/>
      <c r="M493" s="8"/>
      <c r="O493" s="8" t="str">
        <f>IF(P493="","",VLOOKUP(P493,引用表合并!$A:$B,2,FALSE))</f>
        <v/>
      </c>
      <c r="P493" s="8"/>
      <c r="Q493" s="8"/>
      <c r="S493" s="8" t="str">
        <f>IF(T493="","",VLOOKUP(T493,引用表合并!$A:$B,2,FALSE))</f>
        <v/>
      </c>
      <c r="T493" s="8"/>
      <c r="U493" s="8"/>
      <c r="W493" s="8" t="str">
        <f>IF(X493="","",VLOOKUP(X493,引用表合并!$A:$B,2,FALSE))</f>
        <v/>
      </c>
      <c r="X493" s="8"/>
      <c r="Y493" s="8"/>
      <c r="AA493" s="8" t="str">
        <f>IF(AB493="","",VLOOKUP(AB493,引用表合并!$A:$B,2,FALSE))</f>
        <v/>
      </c>
      <c r="AB493" s="8"/>
      <c r="AC493" s="8"/>
      <c r="AE493" s="8" t="str">
        <f>IF(AF493="","",VLOOKUP(AF493,引用表合并!$A:$B,2,FALSE))</f>
        <v/>
      </c>
      <c r="AF493" s="8"/>
      <c r="AG493" s="8"/>
      <c r="AI493" s="8" t="str">
        <f>IF(AJ493="","",VLOOKUP(AJ493,引用表合并!$A:$B,2,FALSE))</f>
        <v/>
      </c>
      <c r="AJ493" s="8"/>
      <c r="AK493" s="8"/>
      <c r="AM493" s="8" t="str">
        <f>IF(AN493="","",VLOOKUP(AN493,引用表合并!$A:$B,2,FALSE))</f>
        <v/>
      </c>
      <c r="AN493" s="8"/>
      <c r="AO493" s="8"/>
      <c r="AQ493" s="8" t="str">
        <f>IF(AR493="","",VLOOKUP(AR493,引用表合并!$A:$B,2,FALSE))</f>
        <v/>
      </c>
      <c r="AR493" s="8"/>
      <c r="AS493" s="8"/>
      <c r="AU493" s="8" t="str">
        <f>IF(AV493="","",VLOOKUP(AV493,引用表合并!$A:$B,2,FALSE))</f>
        <v/>
      </c>
      <c r="AV493" s="8"/>
      <c r="AW493" s="8"/>
      <c r="AY493" s="8" t="str">
        <f>IF(AZ493="","",VLOOKUP(AZ493,引用表合并!$A:$B,2,FALSE))</f>
        <v/>
      </c>
      <c r="AZ493" s="8"/>
      <c r="BA493" s="8"/>
      <c r="BC493" s="8" t="str">
        <f>IF(BD493="","",VLOOKUP(BD493,引用表合并!$A:$B,2,FALSE))</f>
        <v/>
      </c>
      <c r="BD493" s="8"/>
      <c r="BF493" s="10"/>
      <c r="BG493" s="8" t="str">
        <f>IF(BH493="","",VLOOKUP(BH493,引用表合并!$A:$B,2,FALSE))</f>
        <v/>
      </c>
      <c r="BH493" s="8"/>
      <c r="BJ493" s="10"/>
      <c r="BK493" s="8" t="str">
        <f>IF(BL493="","",VLOOKUP(BL493,引用表合并!$A:$B,2,FALSE))</f>
        <v/>
      </c>
      <c r="BL493" s="8"/>
      <c r="BN493" s="10"/>
    </row>
    <row r="494" spans="1:66" x14ac:dyDescent="0.15">
      <c r="A494" s="8">
        <v>910036</v>
      </c>
      <c r="B494" s="18" t="str">
        <f>"任务:"&amp;VLOOKUP(A494,CHOOSE({1,2},[4]任务经验掉落配置表!$X$3:$X$173,[4]任务经验掉落配置表!$D$3:$D$173),2,FALSE)</f>
        <v>任务:精英耀阳</v>
      </c>
      <c r="C494" s="8">
        <v>0</v>
      </c>
      <c r="D494" s="8">
        <f t="shared" si="71"/>
        <v>0</v>
      </c>
      <c r="E494" s="16">
        <f t="shared" si="72"/>
        <v>0</v>
      </c>
      <c r="F494" s="16">
        <f t="shared" si="73"/>
        <v>0</v>
      </c>
      <c r="G494" s="8" t="str">
        <f>IF(H494="","",VLOOKUP(H494,引用表合并!$A:$B,2,FALSE))</f>
        <v/>
      </c>
      <c r="K494" s="8" t="str">
        <f>IF(L494="","",VLOOKUP(L494,引用表合并!$A:$B,2,FALSE))</f>
        <v/>
      </c>
      <c r="L494" s="8"/>
      <c r="M494" s="8"/>
      <c r="O494" s="8" t="str">
        <f>IF(P494="","",VLOOKUP(P494,引用表合并!$A:$B,2,FALSE))</f>
        <v/>
      </c>
      <c r="P494" s="8"/>
      <c r="Q494" s="8"/>
      <c r="S494" s="8" t="str">
        <f>IF(T494="","",VLOOKUP(T494,引用表合并!$A:$B,2,FALSE))</f>
        <v/>
      </c>
      <c r="T494" s="8"/>
      <c r="U494" s="8"/>
      <c r="W494" s="8" t="str">
        <f>IF(X494="","",VLOOKUP(X494,引用表合并!$A:$B,2,FALSE))</f>
        <v/>
      </c>
      <c r="X494" s="8"/>
      <c r="Y494" s="8"/>
      <c r="AA494" s="8" t="str">
        <f>IF(AB494="","",VLOOKUP(AB494,引用表合并!$A:$B,2,FALSE))</f>
        <v/>
      </c>
      <c r="AB494" s="8"/>
      <c r="AC494" s="8"/>
      <c r="AE494" s="8" t="str">
        <f>IF(AF494="","",VLOOKUP(AF494,引用表合并!$A:$B,2,FALSE))</f>
        <v/>
      </c>
      <c r="AF494" s="8"/>
      <c r="AG494" s="8"/>
      <c r="AI494" s="8" t="str">
        <f>IF(AJ494="","",VLOOKUP(AJ494,引用表合并!$A:$B,2,FALSE))</f>
        <v/>
      </c>
      <c r="AJ494" s="8"/>
      <c r="AK494" s="8"/>
      <c r="AM494" s="8" t="str">
        <f>IF(AN494="","",VLOOKUP(AN494,引用表合并!$A:$B,2,FALSE))</f>
        <v/>
      </c>
      <c r="AN494" s="8"/>
      <c r="AO494" s="8"/>
      <c r="AQ494" s="8" t="str">
        <f>IF(AR494="","",VLOOKUP(AR494,引用表合并!$A:$B,2,FALSE))</f>
        <v/>
      </c>
      <c r="AR494" s="8"/>
      <c r="AS494" s="8"/>
      <c r="AU494" s="8" t="str">
        <f>IF(AV494="","",VLOOKUP(AV494,引用表合并!$A:$B,2,FALSE))</f>
        <v/>
      </c>
      <c r="AV494" s="8"/>
      <c r="AW494" s="8"/>
      <c r="AY494" s="8" t="str">
        <f>IF(AZ494="","",VLOOKUP(AZ494,引用表合并!$A:$B,2,FALSE))</f>
        <v/>
      </c>
      <c r="AZ494" s="8"/>
      <c r="BA494" s="8"/>
      <c r="BC494" s="8" t="str">
        <f>IF(BD494="","",VLOOKUP(BD494,引用表合并!$A:$B,2,FALSE))</f>
        <v/>
      </c>
      <c r="BD494" s="8"/>
      <c r="BF494" s="10"/>
      <c r="BG494" s="8" t="str">
        <f>IF(BH494="","",VLOOKUP(BH494,引用表合并!$A:$B,2,FALSE))</f>
        <v/>
      </c>
      <c r="BH494" s="8"/>
      <c r="BJ494" s="10"/>
      <c r="BK494" s="8" t="str">
        <f>IF(BL494="","",VLOOKUP(BL494,引用表合并!$A:$B,2,FALSE))</f>
        <v/>
      </c>
      <c r="BL494" s="8"/>
      <c r="BN494" s="10"/>
    </row>
    <row r="495" spans="1:66" x14ac:dyDescent="0.15">
      <c r="A495" s="8">
        <v>910037</v>
      </c>
      <c r="B495" s="18" t="str">
        <f>"任务:"&amp;VLOOKUP(A495,CHOOSE({1,2},[4]任务经验掉落配置表!$X$3:$X$173,[4]任务经验掉落配置表!$D$3:$D$173),2,FALSE)</f>
        <v>任务:精英司徒手下</v>
      </c>
      <c r="C495" s="8">
        <v>0</v>
      </c>
      <c r="D495" s="8">
        <f t="shared" ref="D495:D506" si="74">E495</f>
        <v>0</v>
      </c>
      <c r="E495" s="16">
        <f t="shared" si="72"/>
        <v>0</v>
      </c>
      <c r="F495" s="16">
        <f t="shared" si="73"/>
        <v>0</v>
      </c>
      <c r="G495" s="8" t="str">
        <f>IF(H495="","",VLOOKUP(H495,引用表合并!$A:$B,2,FALSE))</f>
        <v/>
      </c>
      <c r="K495" s="8" t="str">
        <f>IF(L495="","",VLOOKUP(L495,引用表合并!$A:$B,2,FALSE))</f>
        <v/>
      </c>
      <c r="L495" s="8"/>
      <c r="M495" s="8"/>
      <c r="O495" s="8" t="str">
        <f>IF(P495="","",VLOOKUP(P495,引用表合并!$A:$B,2,FALSE))</f>
        <v/>
      </c>
      <c r="P495" s="8"/>
      <c r="Q495" s="8"/>
      <c r="S495" s="8" t="str">
        <f>IF(T495="","",VLOOKUP(T495,引用表合并!$A:$B,2,FALSE))</f>
        <v/>
      </c>
      <c r="T495" s="8"/>
      <c r="U495" s="8"/>
      <c r="W495" s="8" t="str">
        <f>IF(X495="","",VLOOKUP(X495,引用表合并!$A:$B,2,FALSE))</f>
        <v/>
      </c>
      <c r="X495" s="8"/>
      <c r="Y495" s="8"/>
      <c r="AA495" s="8" t="str">
        <f>IF(AB495="","",VLOOKUP(AB495,引用表合并!$A:$B,2,FALSE))</f>
        <v/>
      </c>
      <c r="AB495" s="8"/>
      <c r="AC495" s="8"/>
      <c r="AE495" s="8" t="str">
        <f>IF(AF495="","",VLOOKUP(AF495,引用表合并!$A:$B,2,FALSE))</f>
        <v/>
      </c>
      <c r="AF495" s="8"/>
      <c r="AG495" s="8"/>
      <c r="AI495" s="8" t="str">
        <f>IF(AJ495="","",VLOOKUP(AJ495,引用表合并!$A:$B,2,FALSE))</f>
        <v/>
      </c>
      <c r="AJ495" s="8"/>
      <c r="AK495" s="8"/>
      <c r="AM495" s="8" t="str">
        <f>IF(AN495="","",VLOOKUP(AN495,引用表合并!$A:$B,2,FALSE))</f>
        <v/>
      </c>
      <c r="AN495" s="8"/>
      <c r="AO495" s="8"/>
      <c r="AQ495" s="8" t="str">
        <f>IF(AR495="","",VLOOKUP(AR495,引用表合并!$A:$B,2,FALSE))</f>
        <v/>
      </c>
      <c r="AR495" s="8"/>
      <c r="AS495" s="8"/>
      <c r="AU495" s="8" t="str">
        <f>IF(AV495="","",VLOOKUP(AV495,引用表合并!$A:$B,2,FALSE))</f>
        <v/>
      </c>
      <c r="AV495" s="8"/>
      <c r="AW495" s="8"/>
      <c r="AY495" s="8" t="str">
        <f>IF(AZ495="","",VLOOKUP(AZ495,引用表合并!$A:$B,2,FALSE))</f>
        <v/>
      </c>
      <c r="AZ495" s="8"/>
      <c r="BA495" s="8"/>
      <c r="BC495" s="8" t="str">
        <f>IF(BD495="","",VLOOKUP(BD495,引用表合并!$A:$B,2,FALSE))</f>
        <v/>
      </c>
      <c r="BD495" s="8"/>
      <c r="BF495" s="10"/>
      <c r="BG495" s="8" t="str">
        <f>IF(BH495="","",VLOOKUP(BH495,引用表合并!$A:$B,2,FALSE))</f>
        <v/>
      </c>
      <c r="BH495" s="8"/>
      <c r="BJ495" s="10"/>
      <c r="BK495" s="8" t="str">
        <f>IF(BL495="","",VLOOKUP(BL495,引用表合并!$A:$B,2,FALSE))</f>
        <v/>
      </c>
      <c r="BL495" s="8"/>
      <c r="BN495" s="10"/>
    </row>
    <row r="496" spans="1:66" x14ac:dyDescent="0.15">
      <c r="A496" s="8">
        <v>910038</v>
      </c>
      <c r="B496" s="18" t="str">
        <f>"任务:"&amp;VLOOKUP(A496,CHOOSE({1,2},[4]任务经验掉落配置表!$X$3:$X$173,[4]任务经验掉落配置表!$D$3:$D$173),2,FALSE)</f>
        <v>任务:精英破坏分子</v>
      </c>
      <c r="C496" s="8">
        <v>0</v>
      </c>
      <c r="D496" s="8">
        <f t="shared" si="74"/>
        <v>0</v>
      </c>
      <c r="E496" s="16">
        <f t="shared" si="72"/>
        <v>0</v>
      </c>
      <c r="F496" s="16">
        <f t="shared" si="73"/>
        <v>0</v>
      </c>
      <c r="G496" s="8" t="str">
        <f>IF(H496="","",VLOOKUP(H496,引用表合并!$A:$B,2,FALSE))</f>
        <v/>
      </c>
      <c r="K496" s="8" t="str">
        <f>IF(L496="","",VLOOKUP(L496,引用表合并!$A:$B,2,FALSE))</f>
        <v/>
      </c>
      <c r="L496" s="8"/>
      <c r="M496" s="8"/>
      <c r="O496" s="8" t="str">
        <f>IF(P496="","",VLOOKUP(P496,引用表合并!$A:$B,2,FALSE))</f>
        <v/>
      </c>
      <c r="P496" s="8"/>
      <c r="Q496" s="8"/>
      <c r="S496" s="8" t="str">
        <f>IF(T496="","",VLOOKUP(T496,引用表合并!$A:$B,2,FALSE))</f>
        <v/>
      </c>
      <c r="T496" s="8"/>
      <c r="U496" s="8"/>
      <c r="W496" s="8" t="str">
        <f>IF(X496="","",VLOOKUP(X496,引用表合并!$A:$B,2,FALSE))</f>
        <v/>
      </c>
      <c r="X496" s="8"/>
      <c r="Y496" s="8"/>
      <c r="AA496" s="8" t="str">
        <f>IF(AB496="","",VLOOKUP(AB496,引用表合并!$A:$B,2,FALSE))</f>
        <v/>
      </c>
      <c r="AB496" s="8"/>
      <c r="AC496" s="8"/>
      <c r="AE496" s="8" t="str">
        <f>IF(AF496="","",VLOOKUP(AF496,引用表合并!$A:$B,2,FALSE))</f>
        <v/>
      </c>
      <c r="AF496" s="8"/>
      <c r="AG496" s="8"/>
      <c r="AI496" s="8" t="str">
        <f>IF(AJ496="","",VLOOKUP(AJ496,引用表合并!$A:$B,2,FALSE))</f>
        <v/>
      </c>
      <c r="AJ496" s="8"/>
      <c r="AK496" s="8"/>
      <c r="AM496" s="8" t="str">
        <f>IF(AN496="","",VLOOKUP(AN496,引用表合并!$A:$B,2,FALSE))</f>
        <v/>
      </c>
      <c r="AN496" s="8"/>
      <c r="AO496" s="8"/>
      <c r="AQ496" s="8" t="str">
        <f>IF(AR496="","",VLOOKUP(AR496,引用表合并!$A:$B,2,FALSE))</f>
        <v/>
      </c>
      <c r="AR496" s="8"/>
      <c r="AS496" s="8"/>
      <c r="AU496" s="8" t="str">
        <f>IF(AV496="","",VLOOKUP(AV496,引用表合并!$A:$B,2,FALSE))</f>
        <v/>
      </c>
      <c r="AV496" s="8"/>
      <c r="AW496" s="8"/>
      <c r="AY496" s="8" t="str">
        <f>IF(AZ496="","",VLOOKUP(AZ496,引用表合并!$A:$B,2,FALSE))</f>
        <v/>
      </c>
      <c r="AZ496" s="8"/>
      <c r="BA496" s="8"/>
      <c r="BC496" s="8" t="str">
        <f>IF(BD496="","",VLOOKUP(BD496,引用表合并!$A:$B,2,FALSE))</f>
        <v/>
      </c>
      <c r="BD496" s="8"/>
      <c r="BF496" s="10"/>
      <c r="BG496" s="8" t="str">
        <f>IF(BH496="","",VLOOKUP(BH496,引用表合并!$A:$B,2,FALSE))</f>
        <v/>
      </c>
      <c r="BH496" s="8"/>
      <c r="BJ496" s="10"/>
      <c r="BK496" s="8" t="str">
        <f>IF(BL496="","",VLOOKUP(BL496,引用表合并!$A:$B,2,FALSE))</f>
        <v/>
      </c>
      <c r="BL496" s="8"/>
      <c r="BN496" s="10"/>
    </row>
    <row r="497" spans="1:66" x14ac:dyDescent="0.15">
      <c r="A497" s="8">
        <v>910039</v>
      </c>
      <c r="B497" s="18" t="str">
        <f>"任务:"&amp;VLOOKUP(A497,CHOOSE({1,2},[4]任务经验掉落配置表!$X$3:$X$173,[4]任务经验掉落配置表!$D$3:$D$173),2,FALSE)</f>
        <v>任务:精英地痞头目</v>
      </c>
      <c r="C497" s="8">
        <v>0</v>
      </c>
      <c r="D497" s="8">
        <f t="shared" si="74"/>
        <v>0</v>
      </c>
      <c r="E497" s="16">
        <f t="shared" si="72"/>
        <v>0</v>
      </c>
      <c r="F497" s="16">
        <f t="shared" si="73"/>
        <v>0</v>
      </c>
      <c r="G497" s="8" t="str">
        <f>IF(H497="","",VLOOKUP(H497,引用表合并!$A:$B,2,FALSE))</f>
        <v/>
      </c>
      <c r="K497" s="8" t="str">
        <f>IF(L497="","",VLOOKUP(L497,引用表合并!$A:$B,2,FALSE))</f>
        <v/>
      </c>
      <c r="L497" s="8"/>
      <c r="M497" s="8"/>
      <c r="O497" s="8" t="str">
        <f>IF(P497="","",VLOOKUP(P497,引用表合并!$A:$B,2,FALSE))</f>
        <v/>
      </c>
      <c r="P497" s="8"/>
      <c r="Q497" s="8"/>
      <c r="S497" s="8" t="str">
        <f>IF(T497="","",VLOOKUP(T497,引用表合并!$A:$B,2,FALSE))</f>
        <v/>
      </c>
      <c r="T497" s="8"/>
      <c r="U497" s="8"/>
      <c r="W497" s="8" t="str">
        <f>IF(X497="","",VLOOKUP(X497,引用表合并!$A:$B,2,FALSE))</f>
        <v/>
      </c>
      <c r="X497" s="8"/>
      <c r="Y497" s="8"/>
      <c r="AA497" s="8" t="str">
        <f>IF(AB497="","",VLOOKUP(AB497,引用表合并!$A:$B,2,FALSE))</f>
        <v/>
      </c>
      <c r="AB497" s="8"/>
      <c r="AC497" s="8"/>
      <c r="AE497" s="8" t="str">
        <f>IF(AF497="","",VLOOKUP(AF497,引用表合并!$A:$B,2,FALSE))</f>
        <v/>
      </c>
      <c r="AF497" s="8"/>
      <c r="AG497" s="8"/>
      <c r="AI497" s="8" t="str">
        <f>IF(AJ497="","",VLOOKUP(AJ497,引用表合并!$A:$B,2,FALSE))</f>
        <v/>
      </c>
      <c r="AJ497" s="8"/>
      <c r="AK497" s="8"/>
      <c r="AM497" s="8" t="str">
        <f>IF(AN497="","",VLOOKUP(AN497,引用表合并!$A:$B,2,FALSE))</f>
        <v/>
      </c>
      <c r="AN497" s="8"/>
      <c r="AO497" s="8"/>
      <c r="AQ497" s="8" t="str">
        <f>IF(AR497="","",VLOOKUP(AR497,引用表合并!$A:$B,2,FALSE))</f>
        <v/>
      </c>
      <c r="AR497" s="8"/>
      <c r="AS497" s="8"/>
      <c r="AU497" s="8" t="str">
        <f>IF(AV497="","",VLOOKUP(AV497,引用表合并!$A:$B,2,FALSE))</f>
        <v/>
      </c>
      <c r="AV497" s="8"/>
      <c r="AW497" s="8"/>
      <c r="AY497" s="8" t="str">
        <f>IF(AZ497="","",VLOOKUP(AZ497,引用表合并!$A:$B,2,FALSE))</f>
        <v/>
      </c>
      <c r="AZ497" s="8"/>
      <c r="BA497" s="8"/>
      <c r="BC497" s="8" t="str">
        <f>IF(BD497="","",VLOOKUP(BD497,引用表合并!$A:$B,2,FALSE))</f>
        <v/>
      </c>
      <c r="BD497" s="8"/>
      <c r="BF497" s="10"/>
      <c r="BG497" s="8" t="str">
        <f>IF(BH497="","",VLOOKUP(BH497,引用表合并!$A:$B,2,FALSE))</f>
        <v/>
      </c>
      <c r="BH497" s="8"/>
      <c r="BJ497" s="10"/>
      <c r="BK497" s="8" t="str">
        <f>IF(BL497="","",VLOOKUP(BL497,引用表合并!$A:$B,2,FALSE))</f>
        <v/>
      </c>
      <c r="BL497" s="8"/>
      <c r="BN497" s="10"/>
    </row>
    <row r="498" spans="1:66" x14ac:dyDescent="0.15">
      <c r="A498" s="8">
        <v>910040</v>
      </c>
      <c r="B498" s="18" t="str">
        <f>"任务:"&amp;VLOOKUP(A498,CHOOSE({1,2},[4]任务经验掉落配置表!$X$3:$X$173,[4]任务经验掉落配置表!$D$3:$D$173),2,FALSE)</f>
        <v>任务:精英外籍打手</v>
      </c>
      <c r="C498" s="8">
        <v>0</v>
      </c>
      <c r="D498" s="8">
        <f t="shared" si="74"/>
        <v>0</v>
      </c>
      <c r="E498" s="16">
        <f t="shared" si="72"/>
        <v>0</v>
      </c>
      <c r="F498" s="16">
        <f t="shared" si="73"/>
        <v>0</v>
      </c>
      <c r="G498" s="8" t="str">
        <f>IF(H498="","",VLOOKUP(H498,引用表合并!$A:$B,2,FALSE))</f>
        <v/>
      </c>
      <c r="K498" s="8" t="str">
        <f>IF(L498="","",VLOOKUP(L498,引用表合并!$A:$B,2,FALSE))</f>
        <v/>
      </c>
      <c r="L498" s="8"/>
      <c r="M498" s="8"/>
      <c r="O498" s="8" t="str">
        <f>IF(P498="","",VLOOKUP(P498,引用表合并!$A:$B,2,FALSE))</f>
        <v/>
      </c>
      <c r="P498" s="8"/>
      <c r="Q498" s="8"/>
      <c r="S498" s="8" t="str">
        <f>IF(T498="","",VLOOKUP(T498,引用表合并!$A:$B,2,FALSE))</f>
        <v/>
      </c>
      <c r="T498" s="8"/>
      <c r="U498" s="8"/>
      <c r="W498" s="8" t="str">
        <f>IF(X498="","",VLOOKUP(X498,引用表合并!$A:$B,2,FALSE))</f>
        <v/>
      </c>
      <c r="X498" s="8"/>
      <c r="Y498" s="8"/>
      <c r="AA498" s="8" t="str">
        <f>IF(AB498="","",VLOOKUP(AB498,引用表合并!$A:$B,2,FALSE))</f>
        <v/>
      </c>
      <c r="AB498" s="8"/>
      <c r="AC498" s="8"/>
      <c r="AE498" s="8" t="str">
        <f>IF(AF498="","",VLOOKUP(AF498,引用表合并!$A:$B,2,FALSE))</f>
        <v/>
      </c>
      <c r="AF498" s="8"/>
      <c r="AG498" s="8"/>
      <c r="AI498" s="8" t="str">
        <f>IF(AJ498="","",VLOOKUP(AJ498,引用表合并!$A:$B,2,FALSE))</f>
        <v/>
      </c>
      <c r="AJ498" s="8"/>
      <c r="AK498" s="8"/>
      <c r="AM498" s="8" t="str">
        <f>IF(AN498="","",VLOOKUP(AN498,引用表合并!$A:$B,2,FALSE))</f>
        <v/>
      </c>
      <c r="AN498" s="8"/>
      <c r="AO498" s="8"/>
      <c r="AQ498" s="8" t="str">
        <f>IF(AR498="","",VLOOKUP(AR498,引用表合并!$A:$B,2,FALSE))</f>
        <v/>
      </c>
      <c r="AR498" s="8"/>
      <c r="AS498" s="8"/>
      <c r="AU498" s="8" t="str">
        <f>IF(AV498="","",VLOOKUP(AV498,引用表合并!$A:$B,2,FALSE))</f>
        <v/>
      </c>
      <c r="AV498" s="8"/>
      <c r="AW498" s="8"/>
      <c r="AY498" s="8" t="str">
        <f>IF(AZ498="","",VLOOKUP(AZ498,引用表合并!$A:$B,2,FALSE))</f>
        <v/>
      </c>
      <c r="AZ498" s="8"/>
      <c r="BA498" s="8"/>
      <c r="BC498" s="8" t="str">
        <f>IF(BD498="","",VLOOKUP(BD498,引用表合并!$A:$B,2,FALSE))</f>
        <v/>
      </c>
      <c r="BD498" s="8"/>
      <c r="BF498" s="10"/>
      <c r="BG498" s="8" t="str">
        <f>IF(BH498="","",VLOOKUP(BH498,引用表合并!$A:$B,2,FALSE))</f>
        <v/>
      </c>
      <c r="BH498" s="8"/>
      <c r="BJ498" s="10"/>
      <c r="BK498" s="8" t="str">
        <f>IF(BL498="","",VLOOKUP(BL498,引用表合并!$A:$B,2,FALSE))</f>
        <v/>
      </c>
      <c r="BL498" s="8"/>
      <c r="BN498" s="10"/>
    </row>
    <row r="499" spans="1:66" x14ac:dyDescent="0.15">
      <c r="A499" s="8">
        <v>910041</v>
      </c>
      <c r="B499" s="18" t="str">
        <f>"任务:"&amp;VLOOKUP(A499,CHOOSE({1,2},[4]任务经验掉落配置表!$X$3:$X$173,[4]任务经验掉落配置表!$D$3:$D$173),2,FALSE)</f>
        <v>任务:精英长毛</v>
      </c>
      <c r="C499" s="8">
        <v>0</v>
      </c>
      <c r="D499" s="8">
        <f t="shared" si="74"/>
        <v>0</v>
      </c>
      <c r="E499" s="16">
        <f t="shared" si="72"/>
        <v>0</v>
      </c>
      <c r="F499" s="16">
        <f t="shared" si="73"/>
        <v>0</v>
      </c>
      <c r="G499" s="8" t="str">
        <f>IF(H499="","",VLOOKUP(H499,引用表合并!$A:$B,2,FALSE))</f>
        <v/>
      </c>
      <c r="K499" s="8" t="str">
        <f>IF(L499="","",VLOOKUP(L499,引用表合并!$A:$B,2,FALSE))</f>
        <v/>
      </c>
      <c r="L499" s="8"/>
      <c r="M499" s="8"/>
      <c r="O499" s="8" t="str">
        <f>IF(P499="","",VLOOKUP(P499,引用表合并!$A:$B,2,FALSE))</f>
        <v/>
      </c>
      <c r="P499" s="8"/>
      <c r="Q499" s="8"/>
      <c r="S499" s="8" t="str">
        <f>IF(T499="","",VLOOKUP(T499,引用表合并!$A:$B,2,FALSE))</f>
        <v/>
      </c>
      <c r="T499" s="8"/>
      <c r="U499" s="8"/>
      <c r="W499" s="8" t="str">
        <f>IF(X499="","",VLOOKUP(X499,引用表合并!$A:$B,2,FALSE))</f>
        <v/>
      </c>
      <c r="X499" s="8"/>
      <c r="Y499" s="8"/>
      <c r="AA499" s="8" t="str">
        <f>IF(AB499="","",VLOOKUP(AB499,引用表合并!$A:$B,2,FALSE))</f>
        <v/>
      </c>
      <c r="AB499" s="8"/>
      <c r="AC499" s="8"/>
      <c r="AE499" s="8" t="str">
        <f>IF(AF499="","",VLOOKUP(AF499,引用表合并!$A:$B,2,FALSE))</f>
        <v/>
      </c>
      <c r="AF499" s="8"/>
      <c r="AG499" s="8"/>
      <c r="AI499" s="8" t="str">
        <f>IF(AJ499="","",VLOOKUP(AJ499,引用表合并!$A:$B,2,FALSE))</f>
        <v/>
      </c>
      <c r="AJ499" s="8"/>
      <c r="AK499" s="8"/>
      <c r="AM499" s="8" t="str">
        <f>IF(AN499="","",VLOOKUP(AN499,引用表合并!$A:$B,2,FALSE))</f>
        <v/>
      </c>
      <c r="AN499" s="8"/>
      <c r="AO499" s="8"/>
      <c r="AQ499" s="8" t="str">
        <f>IF(AR499="","",VLOOKUP(AR499,引用表合并!$A:$B,2,FALSE))</f>
        <v/>
      </c>
      <c r="AR499" s="8"/>
      <c r="AS499" s="8"/>
      <c r="AU499" s="8" t="str">
        <f>IF(AV499="","",VLOOKUP(AV499,引用表合并!$A:$B,2,FALSE))</f>
        <v/>
      </c>
      <c r="AV499" s="8"/>
      <c r="AW499" s="8"/>
      <c r="AY499" s="8" t="str">
        <f>IF(AZ499="","",VLOOKUP(AZ499,引用表合并!$A:$B,2,FALSE))</f>
        <v/>
      </c>
      <c r="AZ499" s="8"/>
      <c r="BA499" s="8"/>
      <c r="BC499" s="8" t="str">
        <f>IF(BD499="","",VLOOKUP(BD499,引用表合并!$A:$B,2,FALSE))</f>
        <v/>
      </c>
      <c r="BD499" s="8"/>
      <c r="BF499" s="10"/>
      <c r="BG499" s="8" t="str">
        <f>IF(BH499="","",VLOOKUP(BH499,引用表合并!$A:$B,2,FALSE))</f>
        <v/>
      </c>
      <c r="BH499" s="8"/>
      <c r="BJ499" s="10"/>
      <c r="BK499" s="8" t="str">
        <f>IF(BL499="","",VLOOKUP(BL499,引用表合并!$A:$B,2,FALSE))</f>
        <v/>
      </c>
      <c r="BL499" s="8"/>
      <c r="BN499" s="10"/>
    </row>
    <row r="500" spans="1:66" x14ac:dyDescent="0.15">
      <c r="A500" s="8">
        <v>910042</v>
      </c>
      <c r="B500" s="18" t="str">
        <f>"任务:"&amp;VLOOKUP(A500,CHOOSE({1,2},[4]任务经验掉落配置表!$X$3:$X$173,[4]任务经验掉落配置表!$D$3:$D$173),2,FALSE)</f>
        <v>任务:精英大头仔</v>
      </c>
      <c r="C500" s="8">
        <v>0</v>
      </c>
      <c r="D500" s="8">
        <f t="shared" si="74"/>
        <v>0</v>
      </c>
      <c r="E500" s="16">
        <f t="shared" si="72"/>
        <v>0</v>
      </c>
      <c r="F500" s="16">
        <f t="shared" si="73"/>
        <v>0</v>
      </c>
      <c r="G500" s="8" t="str">
        <f>IF(H500="","",VLOOKUP(H500,引用表合并!$A:$B,2,FALSE))</f>
        <v/>
      </c>
      <c r="K500" s="8" t="str">
        <f>IF(L500="","",VLOOKUP(L500,引用表合并!$A:$B,2,FALSE))</f>
        <v/>
      </c>
      <c r="L500" s="8"/>
      <c r="M500" s="8"/>
      <c r="O500" s="8" t="str">
        <f>IF(P500="","",VLOOKUP(P500,引用表合并!$A:$B,2,FALSE))</f>
        <v/>
      </c>
      <c r="P500" s="8"/>
      <c r="Q500" s="8"/>
      <c r="S500" s="8" t="str">
        <f>IF(T500="","",VLOOKUP(T500,引用表合并!$A:$B,2,FALSE))</f>
        <v/>
      </c>
      <c r="T500" s="8"/>
      <c r="U500" s="8"/>
      <c r="W500" s="8" t="str">
        <f>IF(X500="","",VLOOKUP(X500,引用表合并!$A:$B,2,FALSE))</f>
        <v/>
      </c>
      <c r="X500" s="8"/>
      <c r="Y500" s="8"/>
      <c r="AA500" s="8" t="str">
        <f>IF(AB500="","",VLOOKUP(AB500,引用表合并!$A:$B,2,FALSE))</f>
        <v/>
      </c>
      <c r="AB500" s="8"/>
      <c r="AC500" s="8"/>
      <c r="AE500" s="8" t="str">
        <f>IF(AF500="","",VLOOKUP(AF500,引用表合并!$A:$B,2,FALSE))</f>
        <v/>
      </c>
      <c r="AF500" s="8"/>
      <c r="AG500" s="8"/>
      <c r="AI500" s="8" t="str">
        <f>IF(AJ500="","",VLOOKUP(AJ500,引用表合并!$A:$B,2,FALSE))</f>
        <v/>
      </c>
      <c r="AJ500" s="8"/>
      <c r="AK500" s="8"/>
      <c r="AM500" s="8" t="str">
        <f>IF(AN500="","",VLOOKUP(AN500,引用表合并!$A:$B,2,FALSE))</f>
        <v/>
      </c>
      <c r="AN500" s="8"/>
      <c r="AO500" s="8"/>
      <c r="AQ500" s="8" t="str">
        <f>IF(AR500="","",VLOOKUP(AR500,引用表合并!$A:$B,2,FALSE))</f>
        <v/>
      </c>
      <c r="AR500" s="8"/>
      <c r="AS500" s="8"/>
      <c r="AU500" s="8" t="str">
        <f>IF(AV500="","",VLOOKUP(AV500,引用表合并!$A:$B,2,FALSE))</f>
        <v/>
      </c>
      <c r="AV500" s="8"/>
      <c r="AW500" s="8"/>
      <c r="AY500" s="8" t="str">
        <f>IF(AZ500="","",VLOOKUP(AZ500,引用表合并!$A:$B,2,FALSE))</f>
        <v/>
      </c>
      <c r="AZ500" s="8"/>
      <c r="BA500" s="8"/>
      <c r="BC500" s="8" t="str">
        <f>IF(BD500="","",VLOOKUP(BD500,引用表合并!$A:$B,2,FALSE))</f>
        <v/>
      </c>
      <c r="BD500" s="8"/>
      <c r="BF500" s="10"/>
      <c r="BG500" s="8" t="str">
        <f>IF(BH500="","",VLOOKUP(BH500,引用表合并!$A:$B,2,FALSE))</f>
        <v/>
      </c>
      <c r="BH500" s="8"/>
      <c r="BJ500" s="10"/>
      <c r="BK500" s="8" t="str">
        <f>IF(BL500="","",VLOOKUP(BL500,引用表合并!$A:$B,2,FALSE))</f>
        <v/>
      </c>
      <c r="BL500" s="8"/>
      <c r="BN500" s="10"/>
    </row>
    <row r="501" spans="1:66" x14ac:dyDescent="0.15">
      <c r="A501" s="8">
        <v>910043</v>
      </c>
      <c r="B501" s="18" t="str">
        <f>"任务:"&amp;VLOOKUP(A501,CHOOSE({1,2},[4]任务经验掉落配置表!$X$3:$X$173,[4]任务经验掉落配置表!$D$3:$D$173),2,FALSE)</f>
        <v>任务:精英阿勇</v>
      </c>
      <c r="C501" s="8">
        <v>0</v>
      </c>
      <c r="D501" s="8">
        <f t="shared" si="74"/>
        <v>0</v>
      </c>
      <c r="E501" s="16">
        <f t="shared" si="72"/>
        <v>0</v>
      </c>
      <c r="F501" s="16">
        <f t="shared" si="73"/>
        <v>0</v>
      </c>
      <c r="G501" s="8" t="str">
        <f>IF(H501="","",VLOOKUP(H501,引用表合并!$A:$B,2,FALSE))</f>
        <v/>
      </c>
      <c r="K501" s="8" t="str">
        <f>IF(L501="","",VLOOKUP(L501,引用表合并!$A:$B,2,FALSE))</f>
        <v/>
      </c>
      <c r="L501" s="8"/>
      <c r="M501" s="8"/>
      <c r="O501" s="8" t="str">
        <f>IF(P501="","",VLOOKUP(P501,引用表合并!$A:$B,2,FALSE))</f>
        <v/>
      </c>
      <c r="P501" s="8"/>
      <c r="Q501" s="8"/>
      <c r="S501" s="8" t="str">
        <f>IF(T501="","",VLOOKUP(T501,引用表合并!$A:$B,2,FALSE))</f>
        <v/>
      </c>
      <c r="T501" s="8"/>
      <c r="U501" s="8"/>
      <c r="W501" s="8" t="str">
        <f>IF(X501="","",VLOOKUP(X501,引用表合并!$A:$B,2,FALSE))</f>
        <v/>
      </c>
      <c r="X501" s="8"/>
      <c r="Y501" s="8"/>
      <c r="AA501" s="8" t="str">
        <f>IF(AB501="","",VLOOKUP(AB501,引用表合并!$A:$B,2,FALSE))</f>
        <v/>
      </c>
      <c r="AB501" s="8"/>
      <c r="AC501" s="8"/>
      <c r="AE501" s="8" t="str">
        <f>IF(AF501="","",VLOOKUP(AF501,引用表合并!$A:$B,2,FALSE))</f>
        <v/>
      </c>
      <c r="AF501" s="8"/>
      <c r="AG501" s="8"/>
      <c r="AI501" s="8" t="str">
        <f>IF(AJ501="","",VLOOKUP(AJ501,引用表合并!$A:$B,2,FALSE))</f>
        <v/>
      </c>
      <c r="AJ501" s="8"/>
      <c r="AK501" s="8"/>
      <c r="AM501" s="8" t="str">
        <f>IF(AN501="","",VLOOKUP(AN501,引用表合并!$A:$B,2,FALSE))</f>
        <v/>
      </c>
      <c r="AN501" s="8"/>
      <c r="AO501" s="8"/>
      <c r="AQ501" s="8" t="str">
        <f>IF(AR501="","",VLOOKUP(AR501,引用表合并!$A:$B,2,FALSE))</f>
        <v/>
      </c>
      <c r="AR501" s="8"/>
      <c r="AS501" s="8"/>
      <c r="AU501" s="8" t="str">
        <f>IF(AV501="","",VLOOKUP(AV501,引用表合并!$A:$B,2,FALSE))</f>
        <v/>
      </c>
      <c r="AV501" s="8"/>
      <c r="AW501" s="8"/>
      <c r="AY501" s="8" t="str">
        <f>IF(AZ501="","",VLOOKUP(AZ501,引用表合并!$A:$B,2,FALSE))</f>
        <v/>
      </c>
      <c r="AZ501" s="8"/>
      <c r="BA501" s="8"/>
      <c r="BC501" s="8" t="str">
        <f>IF(BD501="","",VLOOKUP(BD501,引用表合并!$A:$B,2,FALSE))</f>
        <v/>
      </c>
      <c r="BD501" s="8"/>
      <c r="BF501" s="10"/>
      <c r="BG501" s="8" t="str">
        <f>IF(BH501="","",VLOOKUP(BH501,引用表合并!$A:$B,2,FALSE))</f>
        <v/>
      </c>
      <c r="BH501" s="8"/>
      <c r="BJ501" s="10"/>
      <c r="BK501" s="8" t="str">
        <f>IF(BL501="","",VLOOKUP(BL501,引用表合并!$A:$B,2,FALSE))</f>
        <v/>
      </c>
      <c r="BL501" s="8"/>
      <c r="BN501" s="10"/>
    </row>
    <row r="502" spans="1:66" x14ac:dyDescent="0.15">
      <c r="A502" s="8">
        <v>910044</v>
      </c>
      <c r="B502" s="18" t="str">
        <f>"任务:"&amp;VLOOKUP(A502,CHOOSE({1,2},[4]任务经验掉落配置表!$X$3:$X$173,[4]任务经验掉落配置表!$D$3:$D$173),2,FALSE)</f>
        <v>任务:精英非法裁判</v>
      </c>
      <c r="C502" s="8">
        <v>0</v>
      </c>
      <c r="D502" s="8">
        <f t="shared" si="74"/>
        <v>0</v>
      </c>
      <c r="E502" s="16">
        <f t="shared" si="72"/>
        <v>0</v>
      </c>
      <c r="F502" s="16">
        <f t="shared" si="73"/>
        <v>0</v>
      </c>
      <c r="G502" s="8" t="str">
        <f>IF(H502="","",VLOOKUP(H502,引用表合并!$A:$B,2,FALSE))</f>
        <v/>
      </c>
      <c r="K502" s="8" t="str">
        <f>IF(L502="","",VLOOKUP(L502,引用表合并!$A:$B,2,FALSE))</f>
        <v/>
      </c>
      <c r="L502" s="8"/>
      <c r="M502" s="8"/>
      <c r="O502" s="8" t="str">
        <f>IF(P502="","",VLOOKUP(P502,引用表合并!$A:$B,2,FALSE))</f>
        <v/>
      </c>
      <c r="P502" s="8"/>
      <c r="Q502" s="8"/>
      <c r="S502" s="8" t="str">
        <f>IF(T502="","",VLOOKUP(T502,引用表合并!$A:$B,2,FALSE))</f>
        <v/>
      </c>
      <c r="T502" s="8"/>
      <c r="U502" s="8"/>
      <c r="W502" s="8" t="str">
        <f>IF(X502="","",VLOOKUP(X502,引用表合并!$A:$B,2,FALSE))</f>
        <v/>
      </c>
      <c r="X502" s="8"/>
      <c r="Y502" s="8"/>
      <c r="AA502" s="8" t="str">
        <f>IF(AB502="","",VLOOKUP(AB502,引用表合并!$A:$B,2,FALSE))</f>
        <v/>
      </c>
      <c r="AB502" s="8"/>
      <c r="AC502" s="8"/>
      <c r="AE502" s="8" t="str">
        <f>IF(AF502="","",VLOOKUP(AF502,引用表合并!$A:$B,2,FALSE))</f>
        <v/>
      </c>
      <c r="AF502" s="8"/>
      <c r="AG502" s="8"/>
      <c r="AI502" s="8" t="str">
        <f>IF(AJ502="","",VLOOKUP(AJ502,引用表合并!$A:$B,2,FALSE))</f>
        <v/>
      </c>
      <c r="AJ502" s="8"/>
      <c r="AK502" s="8"/>
      <c r="AM502" s="8" t="str">
        <f>IF(AN502="","",VLOOKUP(AN502,引用表合并!$A:$B,2,FALSE))</f>
        <v/>
      </c>
      <c r="AN502" s="8"/>
      <c r="AO502" s="8"/>
      <c r="AQ502" s="8" t="str">
        <f>IF(AR502="","",VLOOKUP(AR502,引用表合并!$A:$B,2,FALSE))</f>
        <v/>
      </c>
      <c r="AR502" s="8"/>
      <c r="AS502" s="8"/>
      <c r="AU502" s="8" t="str">
        <f>IF(AV502="","",VLOOKUP(AV502,引用表合并!$A:$B,2,FALSE))</f>
        <v/>
      </c>
      <c r="AV502" s="8"/>
      <c r="AW502" s="8"/>
      <c r="AY502" s="8" t="str">
        <f>IF(AZ502="","",VLOOKUP(AZ502,引用表合并!$A:$B,2,FALSE))</f>
        <v/>
      </c>
      <c r="AZ502" s="8"/>
      <c r="BA502" s="8"/>
      <c r="BC502" s="8" t="str">
        <f>IF(BD502="","",VLOOKUP(BD502,引用表合并!$A:$B,2,FALSE))</f>
        <v/>
      </c>
      <c r="BD502" s="8"/>
      <c r="BF502" s="10"/>
      <c r="BG502" s="8" t="str">
        <f>IF(BH502="","",VLOOKUP(BH502,引用表合并!$A:$B,2,FALSE))</f>
        <v/>
      </c>
      <c r="BH502" s="8"/>
      <c r="BJ502" s="10"/>
      <c r="BK502" s="8" t="str">
        <f>IF(BL502="","",VLOOKUP(BL502,引用表合并!$A:$B,2,FALSE))</f>
        <v/>
      </c>
      <c r="BL502" s="8"/>
      <c r="BN502" s="10"/>
    </row>
    <row r="503" spans="1:66" x14ac:dyDescent="0.15">
      <c r="A503" s="8">
        <v>910045</v>
      </c>
      <c r="B503" s="18" t="str">
        <f>"任务:"&amp;VLOOKUP(A503,CHOOSE({1,2},[4]任务经验掉落配置表!$X$3:$X$173,[4]任务经验掉落配置表!$D$3:$D$173),2,FALSE)</f>
        <v>任务:精英司徒浩南</v>
      </c>
      <c r="C503" s="8">
        <v>0</v>
      </c>
      <c r="D503" s="8">
        <f t="shared" si="74"/>
        <v>0</v>
      </c>
      <c r="E503" s="16">
        <f t="shared" si="72"/>
        <v>0</v>
      </c>
      <c r="F503" s="16">
        <f t="shared" si="73"/>
        <v>0</v>
      </c>
      <c r="G503" s="8" t="str">
        <f>IF(H503="","",VLOOKUP(H503,引用表合并!$A:$B,2,FALSE))</f>
        <v/>
      </c>
      <c r="K503" s="8" t="str">
        <f>IF(L503="","",VLOOKUP(L503,引用表合并!$A:$B,2,FALSE))</f>
        <v/>
      </c>
      <c r="L503" s="8"/>
      <c r="M503" s="8"/>
      <c r="O503" s="8" t="str">
        <f>IF(P503="","",VLOOKUP(P503,引用表合并!$A:$B,2,FALSE))</f>
        <v/>
      </c>
      <c r="P503" s="8"/>
      <c r="Q503" s="8"/>
      <c r="S503" s="8" t="str">
        <f>IF(T503="","",VLOOKUP(T503,引用表合并!$A:$B,2,FALSE))</f>
        <v/>
      </c>
      <c r="T503" s="8"/>
      <c r="U503" s="8"/>
      <c r="W503" s="8" t="str">
        <f>IF(X503="","",VLOOKUP(X503,引用表合并!$A:$B,2,FALSE))</f>
        <v/>
      </c>
      <c r="X503" s="8"/>
      <c r="Y503" s="8"/>
      <c r="AA503" s="8" t="str">
        <f>IF(AB503="","",VLOOKUP(AB503,引用表合并!$A:$B,2,FALSE))</f>
        <v/>
      </c>
      <c r="AB503" s="8"/>
      <c r="AC503" s="8"/>
      <c r="AE503" s="8" t="str">
        <f>IF(AF503="","",VLOOKUP(AF503,引用表合并!$A:$B,2,FALSE))</f>
        <v/>
      </c>
      <c r="AF503" s="8"/>
      <c r="AG503" s="8"/>
      <c r="AI503" s="8" t="str">
        <f>IF(AJ503="","",VLOOKUP(AJ503,引用表合并!$A:$B,2,FALSE))</f>
        <v/>
      </c>
      <c r="AJ503" s="8"/>
      <c r="AK503" s="8"/>
      <c r="AM503" s="8" t="str">
        <f>IF(AN503="","",VLOOKUP(AN503,引用表合并!$A:$B,2,FALSE))</f>
        <v/>
      </c>
      <c r="AN503" s="8"/>
      <c r="AO503" s="8"/>
      <c r="AQ503" s="8" t="str">
        <f>IF(AR503="","",VLOOKUP(AR503,引用表合并!$A:$B,2,FALSE))</f>
        <v/>
      </c>
      <c r="AR503" s="8"/>
      <c r="AS503" s="8"/>
      <c r="AU503" s="8" t="str">
        <f>IF(AV503="","",VLOOKUP(AV503,引用表合并!$A:$B,2,FALSE))</f>
        <v/>
      </c>
      <c r="AV503" s="8"/>
      <c r="AW503" s="8"/>
      <c r="AY503" s="8" t="str">
        <f>IF(AZ503="","",VLOOKUP(AZ503,引用表合并!$A:$B,2,FALSE))</f>
        <v/>
      </c>
      <c r="AZ503" s="8"/>
      <c r="BA503" s="8"/>
      <c r="BC503" s="8" t="str">
        <f>IF(BD503="","",VLOOKUP(BD503,引用表合并!$A:$B,2,FALSE))</f>
        <v/>
      </c>
      <c r="BD503" s="8"/>
      <c r="BF503" s="10"/>
      <c r="BG503" s="8" t="str">
        <f>IF(BH503="","",VLOOKUP(BH503,引用表合并!$A:$B,2,FALSE))</f>
        <v/>
      </c>
      <c r="BH503" s="8"/>
      <c r="BJ503" s="10"/>
      <c r="BK503" s="8" t="str">
        <f>IF(BL503="","",VLOOKUP(BL503,引用表合并!$A:$B,2,FALSE))</f>
        <v/>
      </c>
      <c r="BL503" s="8"/>
      <c r="BN503" s="10"/>
    </row>
    <row r="504" spans="1:66" x14ac:dyDescent="0.15">
      <c r="A504" s="8">
        <v>910046</v>
      </c>
      <c r="B504" s="18" t="str">
        <f>"任务:"&amp;VLOOKUP(A504,CHOOSE({1,2},[4]任务经验掉落配置表!$X$3:$X$173,[4]任务经验掉落配置表!$D$3:$D$173),2,FALSE)</f>
        <v>任务:精英鬼冢</v>
      </c>
      <c r="C504" s="8">
        <v>0</v>
      </c>
      <c r="D504" s="8">
        <f t="shared" si="74"/>
        <v>0</v>
      </c>
      <c r="E504" s="16">
        <f t="shared" si="72"/>
        <v>0</v>
      </c>
      <c r="F504" s="16">
        <f t="shared" si="73"/>
        <v>0</v>
      </c>
      <c r="G504" s="8" t="str">
        <f>IF(H504="","",VLOOKUP(H504,引用表合并!$A:$B,2,FALSE))</f>
        <v/>
      </c>
      <c r="K504" s="8" t="str">
        <f>IF(L504="","",VLOOKUP(L504,引用表合并!$A:$B,2,FALSE))</f>
        <v/>
      </c>
      <c r="L504" s="8"/>
      <c r="M504" s="8"/>
      <c r="O504" s="8" t="str">
        <f>IF(P504="","",VLOOKUP(P504,引用表合并!$A:$B,2,FALSE))</f>
        <v/>
      </c>
      <c r="P504" s="8"/>
      <c r="Q504" s="8"/>
      <c r="S504" s="8" t="str">
        <f>IF(T504="","",VLOOKUP(T504,引用表合并!$A:$B,2,FALSE))</f>
        <v/>
      </c>
      <c r="T504" s="8"/>
      <c r="U504" s="8"/>
      <c r="W504" s="8" t="str">
        <f>IF(X504="","",VLOOKUP(X504,引用表合并!$A:$B,2,FALSE))</f>
        <v/>
      </c>
      <c r="X504" s="8"/>
      <c r="Y504" s="8"/>
      <c r="AA504" s="8" t="str">
        <f>IF(AB504="","",VLOOKUP(AB504,引用表合并!$A:$B,2,FALSE))</f>
        <v/>
      </c>
      <c r="AB504" s="8"/>
      <c r="AC504" s="8"/>
      <c r="AE504" s="8" t="str">
        <f>IF(AF504="","",VLOOKUP(AF504,引用表合并!$A:$B,2,FALSE))</f>
        <v/>
      </c>
      <c r="AF504" s="8"/>
      <c r="AG504" s="8"/>
      <c r="AI504" s="8" t="str">
        <f>IF(AJ504="","",VLOOKUP(AJ504,引用表合并!$A:$B,2,FALSE))</f>
        <v/>
      </c>
      <c r="AJ504" s="8"/>
      <c r="AK504" s="8"/>
      <c r="AM504" s="8" t="str">
        <f>IF(AN504="","",VLOOKUP(AN504,引用表合并!$A:$B,2,FALSE))</f>
        <v/>
      </c>
      <c r="AN504" s="8"/>
      <c r="AO504" s="8"/>
      <c r="AQ504" s="8" t="str">
        <f>IF(AR504="","",VLOOKUP(AR504,引用表合并!$A:$B,2,FALSE))</f>
        <v/>
      </c>
      <c r="AR504" s="8"/>
      <c r="AS504" s="8"/>
      <c r="AU504" s="8" t="str">
        <f>IF(AV504="","",VLOOKUP(AV504,引用表合并!$A:$B,2,FALSE))</f>
        <v/>
      </c>
      <c r="AV504" s="8"/>
      <c r="AW504" s="8"/>
      <c r="AY504" s="8" t="str">
        <f>IF(AZ504="","",VLOOKUP(AZ504,引用表合并!$A:$B,2,FALSE))</f>
        <v/>
      </c>
      <c r="AZ504" s="8"/>
      <c r="BA504" s="8"/>
      <c r="BC504" s="8" t="str">
        <f>IF(BD504="","",VLOOKUP(BD504,引用表合并!$A:$B,2,FALSE))</f>
        <v/>
      </c>
      <c r="BD504" s="8"/>
      <c r="BF504" s="10"/>
      <c r="BG504" s="8" t="str">
        <f>IF(BH504="","",VLOOKUP(BH504,引用表合并!$A:$B,2,FALSE))</f>
        <v/>
      </c>
      <c r="BH504" s="8"/>
      <c r="BJ504" s="10"/>
      <c r="BK504" s="8" t="str">
        <f>IF(BL504="","",VLOOKUP(BL504,引用表合并!$A:$B,2,FALSE))</f>
        <v/>
      </c>
      <c r="BL504" s="8"/>
      <c r="BN504" s="10"/>
    </row>
    <row r="505" spans="1:66" x14ac:dyDescent="0.15">
      <c r="A505" s="8">
        <v>910047</v>
      </c>
      <c r="B505" s="18" t="str">
        <f>"任务:"&amp;VLOOKUP(A505,CHOOSE({1,2},[4]任务经验掉落配置表!$X$3:$X$173,[4]任务经验掉落配置表!$D$3:$D$173),2,FALSE)</f>
        <v>任务:精英暗魔</v>
      </c>
      <c r="C505" s="8">
        <v>0</v>
      </c>
      <c r="D505" s="8">
        <f t="shared" si="74"/>
        <v>0</v>
      </c>
      <c r="E505" s="16">
        <f t="shared" si="72"/>
        <v>0</v>
      </c>
      <c r="F505" s="16">
        <f t="shared" si="73"/>
        <v>0</v>
      </c>
      <c r="G505" s="8" t="str">
        <f>IF(H505="","",VLOOKUP(H505,引用表合并!$A:$B,2,FALSE))</f>
        <v/>
      </c>
      <c r="K505" s="8" t="str">
        <f>IF(L505="","",VLOOKUP(L505,引用表合并!$A:$B,2,FALSE))</f>
        <v/>
      </c>
      <c r="L505" s="8"/>
      <c r="M505" s="8"/>
      <c r="O505" s="8" t="str">
        <f>IF(P505="","",VLOOKUP(P505,引用表合并!$A:$B,2,FALSE))</f>
        <v/>
      </c>
      <c r="P505" s="8"/>
      <c r="Q505" s="8"/>
      <c r="S505" s="8" t="str">
        <f>IF(T505="","",VLOOKUP(T505,引用表合并!$A:$B,2,FALSE))</f>
        <v/>
      </c>
      <c r="T505" s="8"/>
      <c r="U505" s="8"/>
      <c r="W505" s="8" t="str">
        <f>IF(X505="","",VLOOKUP(X505,引用表合并!$A:$B,2,FALSE))</f>
        <v/>
      </c>
      <c r="X505" s="8"/>
      <c r="Y505" s="8"/>
      <c r="AA505" s="8" t="str">
        <f>IF(AB505="","",VLOOKUP(AB505,引用表合并!$A:$B,2,FALSE))</f>
        <v/>
      </c>
      <c r="AB505" s="8"/>
      <c r="AC505" s="8"/>
      <c r="AE505" s="8" t="str">
        <f>IF(AF505="","",VLOOKUP(AF505,引用表合并!$A:$B,2,FALSE))</f>
        <v/>
      </c>
      <c r="AF505" s="8"/>
      <c r="AG505" s="8"/>
      <c r="AI505" s="8" t="str">
        <f>IF(AJ505="","",VLOOKUP(AJ505,引用表合并!$A:$B,2,FALSE))</f>
        <v/>
      </c>
      <c r="AJ505" s="8"/>
      <c r="AK505" s="8"/>
      <c r="AM505" s="8" t="str">
        <f>IF(AN505="","",VLOOKUP(AN505,引用表合并!$A:$B,2,FALSE))</f>
        <v/>
      </c>
      <c r="AN505" s="8"/>
      <c r="AO505" s="8"/>
      <c r="AQ505" s="8" t="str">
        <f>IF(AR505="","",VLOOKUP(AR505,引用表合并!$A:$B,2,FALSE))</f>
        <v/>
      </c>
      <c r="AR505" s="8"/>
      <c r="AS505" s="8"/>
      <c r="AU505" s="8" t="str">
        <f>IF(AV505="","",VLOOKUP(AV505,引用表合并!$A:$B,2,FALSE))</f>
        <v/>
      </c>
      <c r="AV505" s="8"/>
      <c r="AW505" s="8"/>
      <c r="AY505" s="8" t="str">
        <f>IF(AZ505="","",VLOOKUP(AZ505,引用表合并!$A:$B,2,FALSE))</f>
        <v/>
      </c>
      <c r="AZ505" s="8"/>
      <c r="BA505" s="8"/>
      <c r="BC505" s="8" t="str">
        <f>IF(BD505="","",VLOOKUP(BD505,引用表合并!$A:$B,2,FALSE))</f>
        <v/>
      </c>
      <c r="BD505" s="8"/>
      <c r="BF505" s="10"/>
      <c r="BG505" s="8" t="str">
        <f>IF(BH505="","",VLOOKUP(BH505,引用表合并!$A:$B,2,FALSE))</f>
        <v/>
      </c>
      <c r="BH505" s="8"/>
      <c r="BJ505" s="10"/>
      <c r="BK505" s="8" t="str">
        <f>IF(BL505="","",VLOOKUP(BL505,引用表合并!$A:$B,2,FALSE))</f>
        <v/>
      </c>
      <c r="BL505" s="8"/>
      <c r="BN505" s="10"/>
    </row>
    <row r="506" spans="1:66" x14ac:dyDescent="0.15">
      <c r="A506" s="8">
        <v>910048</v>
      </c>
      <c r="B506" s="18" t="str">
        <f>"任务:"&amp;VLOOKUP(A506,CHOOSE({1,2},[4]任务经验掉落配置表!$X$3:$X$173,[4]任务经验掉落配置表!$D$3:$D$173),2,FALSE)</f>
        <v>任务:精英血狂</v>
      </c>
      <c r="C506" s="8">
        <v>0</v>
      </c>
      <c r="D506" s="8">
        <f t="shared" si="74"/>
        <v>0</v>
      </c>
      <c r="E506" s="16">
        <f t="shared" si="72"/>
        <v>0</v>
      </c>
      <c r="F506" s="16">
        <f t="shared" si="73"/>
        <v>0</v>
      </c>
      <c r="G506" s="8" t="str">
        <f>IF(H506="","",VLOOKUP(H506,引用表合并!$A:$B,2,FALSE))</f>
        <v/>
      </c>
      <c r="K506" s="8" t="str">
        <f>IF(L506="","",VLOOKUP(L506,引用表合并!$A:$B,2,FALSE))</f>
        <v/>
      </c>
      <c r="L506" s="8"/>
      <c r="M506" s="8"/>
      <c r="O506" s="8" t="str">
        <f>IF(P506="","",VLOOKUP(P506,引用表合并!$A:$B,2,FALSE))</f>
        <v/>
      </c>
      <c r="P506" s="8"/>
      <c r="Q506" s="8"/>
      <c r="S506" s="8" t="str">
        <f>IF(T506="","",VLOOKUP(T506,引用表合并!$A:$B,2,FALSE))</f>
        <v/>
      </c>
      <c r="T506" s="8"/>
      <c r="U506" s="8"/>
      <c r="W506" s="8" t="str">
        <f>IF(X506="","",VLOOKUP(X506,引用表合并!$A:$B,2,FALSE))</f>
        <v/>
      </c>
      <c r="X506" s="8"/>
      <c r="Y506" s="8"/>
      <c r="AA506" s="8" t="str">
        <f>IF(AB506="","",VLOOKUP(AB506,引用表合并!$A:$B,2,FALSE))</f>
        <v/>
      </c>
      <c r="AB506" s="8"/>
      <c r="AC506" s="8"/>
      <c r="AE506" s="8" t="str">
        <f>IF(AF506="","",VLOOKUP(AF506,引用表合并!$A:$B,2,FALSE))</f>
        <v/>
      </c>
      <c r="AF506" s="8"/>
      <c r="AG506" s="8"/>
      <c r="AI506" s="8" t="str">
        <f>IF(AJ506="","",VLOOKUP(AJ506,引用表合并!$A:$B,2,FALSE))</f>
        <v/>
      </c>
      <c r="AJ506" s="8"/>
      <c r="AK506" s="8"/>
      <c r="AM506" s="8" t="str">
        <f>IF(AN506="","",VLOOKUP(AN506,引用表合并!$A:$B,2,FALSE))</f>
        <v/>
      </c>
      <c r="AN506" s="8"/>
      <c r="AO506" s="8"/>
      <c r="AQ506" s="8" t="str">
        <f>IF(AR506="","",VLOOKUP(AR506,引用表合并!$A:$B,2,FALSE))</f>
        <v/>
      </c>
      <c r="AR506" s="8"/>
      <c r="AS506" s="8"/>
      <c r="AU506" s="8" t="str">
        <f>IF(AV506="","",VLOOKUP(AV506,引用表合并!$A:$B,2,FALSE))</f>
        <v/>
      </c>
      <c r="AV506" s="8"/>
      <c r="AW506" s="8"/>
      <c r="AY506" s="8" t="str">
        <f>IF(AZ506="","",VLOOKUP(AZ506,引用表合并!$A:$B,2,FALSE))</f>
        <v/>
      </c>
      <c r="AZ506" s="8"/>
      <c r="BA506" s="8"/>
      <c r="BC506" s="8" t="str">
        <f>IF(BD506="","",VLOOKUP(BD506,引用表合并!$A:$B,2,FALSE))</f>
        <v/>
      </c>
      <c r="BD506" s="8"/>
      <c r="BF506" s="10"/>
      <c r="BG506" s="8" t="str">
        <f>IF(BH506="","",VLOOKUP(BH506,引用表合并!$A:$B,2,FALSE))</f>
        <v/>
      </c>
      <c r="BH506" s="8"/>
      <c r="BJ506" s="10"/>
      <c r="BK506" s="8" t="str">
        <f>IF(BL506="","",VLOOKUP(BL506,引用表合并!$A:$B,2,FALSE))</f>
        <v/>
      </c>
      <c r="BL506" s="8"/>
      <c r="BN506" s="10"/>
    </row>
    <row r="507" spans="1:66" x14ac:dyDescent="0.15">
      <c r="A507" s="8">
        <v>910049</v>
      </c>
      <c r="B507" s="18" t="str">
        <f>"任务:"&amp;VLOOKUP(A507,CHOOSE({1,2},[4]任务经验掉落配置表!$X$3:$X$173,[4]任务经验掉落配置表!$D$3:$D$173),2,FALSE)</f>
        <v>任务:精英獠牙</v>
      </c>
      <c r="C507" s="8">
        <v>0</v>
      </c>
      <c r="D507" s="8">
        <f t="shared" ref="D507:D518" si="75">E507</f>
        <v>0</v>
      </c>
      <c r="E507" s="16">
        <f t="shared" si="72"/>
        <v>0</v>
      </c>
      <c r="F507" s="16">
        <f t="shared" si="73"/>
        <v>0</v>
      </c>
      <c r="G507" s="8" t="str">
        <f>IF(H507="","",VLOOKUP(H507,引用表合并!$A:$B,2,FALSE))</f>
        <v/>
      </c>
      <c r="K507" s="8" t="str">
        <f>IF(L507="","",VLOOKUP(L507,引用表合并!$A:$B,2,FALSE))</f>
        <v/>
      </c>
      <c r="L507" s="8"/>
      <c r="M507" s="8"/>
      <c r="O507" s="8" t="str">
        <f>IF(P507="","",VLOOKUP(P507,引用表合并!$A:$B,2,FALSE))</f>
        <v/>
      </c>
      <c r="P507" s="8"/>
      <c r="Q507" s="8"/>
      <c r="S507" s="8" t="str">
        <f>IF(T507="","",VLOOKUP(T507,引用表合并!$A:$B,2,FALSE))</f>
        <v/>
      </c>
      <c r="T507" s="8"/>
      <c r="U507" s="8"/>
      <c r="W507" s="8" t="str">
        <f>IF(X507="","",VLOOKUP(X507,引用表合并!$A:$B,2,FALSE))</f>
        <v/>
      </c>
      <c r="X507" s="8"/>
      <c r="Y507" s="8"/>
      <c r="AA507" s="8" t="str">
        <f>IF(AB507="","",VLOOKUP(AB507,引用表合并!$A:$B,2,FALSE))</f>
        <v/>
      </c>
      <c r="AB507" s="8"/>
      <c r="AC507" s="8"/>
      <c r="AE507" s="8" t="str">
        <f>IF(AF507="","",VLOOKUP(AF507,引用表合并!$A:$B,2,FALSE))</f>
        <v/>
      </c>
      <c r="AF507" s="8"/>
      <c r="AG507" s="8"/>
      <c r="AI507" s="8" t="str">
        <f>IF(AJ507="","",VLOOKUP(AJ507,引用表合并!$A:$B,2,FALSE))</f>
        <v/>
      </c>
      <c r="AJ507" s="8"/>
      <c r="AK507" s="8"/>
      <c r="AM507" s="8" t="str">
        <f>IF(AN507="","",VLOOKUP(AN507,引用表合并!$A:$B,2,FALSE))</f>
        <v/>
      </c>
      <c r="AN507" s="8"/>
      <c r="AO507" s="8"/>
      <c r="AQ507" s="8" t="str">
        <f>IF(AR507="","",VLOOKUP(AR507,引用表合并!$A:$B,2,FALSE))</f>
        <v/>
      </c>
      <c r="AR507" s="8"/>
      <c r="AS507" s="8"/>
      <c r="AU507" s="8" t="str">
        <f>IF(AV507="","",VLOOKUP(AV507,引用表合并!$A:$B,2,FALSE))</f>
        <v/>
      </c>
      <c r="AV507" s="8"/>
      <c r="AW507" s="8"/>
      <c r="AY507" s="8" t="str">
        <f>IF(AZ507="","",VLOOKUP(AZ507,引用表合并!$A:$B,2,FALSE))</f>
        <v/>
      </c>
      <c r="AZ507" s="8"/>
      <c r="BA507" s="8"/>
      <c r="BC507" s="8" t="str">
        <f>IF(BD507="","",VLOOKUP(BD507,引用表合并!$A:$B,2,FALSE))</f>
        <v/>
      </c>
      <c r="BD507" s="8"/>
      <c r="BF507" s="10"/>
      <c r="BG507" s="8" t="str">
        <f>IF(BH507="","",VLOOKUP(BH507,引用表合并!$A:$B,2,FALSE))</f>
        <v/>
      </c>
      <c r="BH507" s="8"/>
      <c r="BJ507" s="10"/>
      <c r="BK507" s="8" t="str">
        <f>IF(BL507="","",VLOOKUP(BL507,引用表合并!$A:$B,2,FALSE))</f>
        <v/>
      </c>
      <c r="BL507" s="8"/>
      <c r="BN507" s="10"/>
    </row>
    <row r="508" spans="1:66" x14ac:dyDescent="0.15">
      <c r="A508" s="8">
        <v>910050</v>
      </c>
      <c r="B508" s="18" t="str">
        <f>"任务:"&amp;VLOOKUP(A508,CHOOSE({1,2},[4]任务经验掉落配置表!$X$3:$X$173,[4]任务经验掉落配置表!$D$3:$D$173),2,FALSE)</f>
        <v>任务:精英陈浩南</v>
      </c>
      <c r="C508" s="8">
        <v>0</v>
      </c>
      <c r="D508" s="8">
        <f t="shared" si="75"/>
        <v>0</v>
      </c>
      <c r="E508" s="16">
        <f t="shared" si="72"/>
        <v>0</v>
      </c>
      <c r="F508" s="16">
        <f t="shared" si="73"/>
        <v>0</v>
      </c>
      <c r="G508" s="8" t="str">
        <f>IF(H508="","",VLOOKUP(H508,引用表合并!$A:$B,2,FALSE))</f>
        <v/>
      </c>
      <c r="K508" s="8" t="str">
        <f>IF(L508="","",VLOOKUP(L508,引用表合并!$A:$B,2,FALSE))</f>
        <v/>
      </c>
      <c r="L508" s="8"/>
      <c r="M508" s="8"/>
      <c r="O508" s="8" t="str">
        <f>IF(P508="","",VLOOKUP(P508,引用表合并!$A:$B,2,FALSE))</f>
        <v/>
      </c>
      <c r="P508" s="8"/>
      <c r="Q508" s="8"/>
      <c r="S508" s="8" t="str">
        <f>IF(T508="","",VLOOKUP(T508,引用表合并!$A:$B,2,FALSE))</f>
        <v/>
      </c>
      <c r="T508" s="8"/>
      <c r="U508" s="8"/>
      <c r="W508" s="8" t="str">
        <f>IF(X508="","",VLOOKUP(X508,引用表合并!$A:$B,2,FALSE))</f>
        <v/>
      </c>
      <c r="X508" s="8"/>
      <c r="Y508" s="8"/>
      <c r="AA508" s="8" t="str">
        <f>IF(AB508="","",VLOOKUP(AB508,引用表合并!$A:$B,2,FALSE))</f>
        <v/>
      </c>
      <c r="AB508" s="8"/>
      <c r="AC508" s="8"/>
      <c r="AE508" s="8" t="str">
        <f>IF(AF508="","",VLOOKUP(AF508,引用表合并!$A:$B,2,FALSE))</f>
        <v/>
      </c>
      <c r="AF508" s="8"/>
      <c r="AG508" s="8"/>
      <c r="AI508" s="8" t="str">
        <f>IF(AJ508="","",VLOOKUP(AJ508,引用表合并!$A:$B,2,FALSE))</f>
        <v/>
      </c>
      <c r="AJ508" s="8"/>
      <c r="AK508" s="8"/>
      <c r="AM508" s="8" t="str">
        <f>IF(AN508="","",VLOOKUP(AN508,引用表合并!$A:$B,2,FALSE))</f>
        <v/>
      </c>
      <c r="AN508" s="8"/>
      <c r="AO508" s="8"/>
      <c r="AQ508" s="8" t="str">
        <f>IF(AR508="","",VLOOKUP(AR508,引用表合并!$A:$B,2,FALSE))</f>
        <v/>
      </c>
      <c r="AR508" s="8"/>
      <c r="AS508" s="8"/>
      <c r="AU508" s="8" t="str">
        <f>IF(AV508="","",VLOOKUP(AV508,引用表合并!$A:$B,2,FALSE))</f>
        <v/>
      </c>
      <c r="AV508" s="8"/>
      <c r="AW508" s="8"/>
      <c r="AY508" s="8" t="str">
        <f>IF(AZ508="","",VLOOKUP(AZ508,引用表合并!$A:$B,2,FALSE))</f>
        <v/>
      </c>
      <c r="AZ508" s="8"/>
      <c r="BA508" s="8"/>
      <c r="BC508" s="8" t="str">
        <f>IF(BD508="","",VLOOKUP(BD508,引用表合并!$A:$B,2,FALSE))</f>
        <v/>
      </c>
      <c r="BD508" s="8"/>
      <c r="BF508" s="10"/>
      <c r="BG508" s="8" t="str">
        <f>IF(BH508="","",VLOOKUP(BH508,引用表合并!$A:$B,2,FALSE))</f>
        <v/>
      </c>
      <c r="BH508" s="8"/>
      <c r="BJ508" s="10"/>
      <c r="BK508" s="8" t="str">
        <f>IF(BL508="","",VLOOKUP(BL508,引用表合并!$A:$B,2,FALSE))</f>
        <v/>
      </c>
      <c r="BL508" s="8"/>
      <c r="BN508" s="10"/>
    </row>
    <row r="509" spans="1:66" x14ac:dyDescent="0.15">
      <c r="A509" s="8">
        <v>910051</v>
      </c>
      <c r="B509" s="18" t="str">
        <f>"任务:"&amp;VLOOKUP(A509,CHOOSE({1,2},[4]任务经验掉落配置表!$X$3:$X$173,[4]任务经验掉落配置表!$D$3:$D$173),2,FALSE)</f>
        <v>任务:精英毒牙</v>
      </c>
      <c r="C509" s="8">
        <v>0</v>
      </c>
      <c r="D509" s="8">
        <f t="shared" si="75"/>
        <v>0</v>
      </c>
      <c r="E509" s="16">
        <f t="shared" si="72"/>
        <v>0</v>
      </c>
      <c r="F509" s="16">
        <f t="shared" si="73"/>
        <v>0</v>
      </c>
      <c r="G509" s="8" t="str">
        <f>IF(H509="","",VLOOKUP(H509,引用表合并!$A:$B,2,FALSE))</f>
        <v/>
      </c>
      <c r="K509" s="8" t="str">
        <f>IF(L509="","",VLOOKUP(L509,引用表合并!$A:$B,2,FALSE))</f>
        <v/>
      </c>
      <c r="L509" s="8"/>
      <c r="M509" s="8"/>
      <c r="O509" s="8" t="str">
        <f>IF(P509="","",VLOOKUP(P509,引用表合并!$A:$B,2,FALSE))</f>
        <v/>
      </c>
      <c r="P509" s="8"/>
      <c r="Q509" s="8"/>
      <c r="S509" s="8" t="str">
        <f>IF(T509="","",VLOOKUP(T509,引用表合并!$A:$B,2,FALSE))</f>
        <v/>
      </c>
      <c r="T509" s="8"/>
      <c r="U509" s="8"/>
      <c r="W509" s="8" t="str">
        <f>IF(X509="","",VLOOKUP(X509,引用表合并!$A:$B,2,FALSE))</f>
        <v/>
      </c>
      <c r="X509" s="8"/>
      <c r="Y509" s="8"/>
      <c r="AA509" s="8" t="str">
        <f>IF(AB509="","",VLOOKUP(AB509,引用表合并!$A:$B,2,FALSE))</f>
        <v/>
      </c>
      <c r="AB509" s="8"/>
      <c r="AC509" s="8"/>
      <c r="AE509" s="8" t="str">
        <f>IF(AF509="","",VLOOKUP(AF509,引用表合并!$A:$B,2,FALSE))</f>
        <v/>
      </c>
      <c r="AF509" s="8"/>
      <c r="AG509" s="8"/>
      <c r="AI509" s="8" t="str">
        <f>IF(AJ509="","",VLOOKUP(AJ509,引用表合并!$A:$B,2,FALSE))</f>
        <v/>
      </c>
      <c r="AJ509" s="8"/>
      <c r="AK509" s="8"/>
      <c r="AM509" s="8" t="str">
        <f>IF(AN509="","",VLOOKUP(AN509,引用表合并!$A:$B,2,FALSE))</f>
        <v/>
      </c>
      <c r="AN509" s="8"/>
      <c r="AO509" s="8"/>
      <c r="AQ509" s="8" t="str">
        <f>IF(AR509="","",VLOOKUP(AR509,引用表合并!$A:$B,2,FALSE))</f>
        <v/>
      </c>
      <c r="AR509" s="8"/>
      <c r="AS509" s="8"/>
      <c r="AU509" s="8" t="str">
        <f>IF(AV509="","",VLOOKUP(AV509,引用表合并!$A:$B,2,FALSE))</f>
        <v/>
      </c>
      <c r="AV509" s="8"/>
      <c r="AW509" s="8"/>
      <c r="AY509" s="8" t="str">
        <f>IF(AZ509="","",VLOOKUP(AZ509,引用表合并!$A:$B,2,FALSE))</f>
        <v/>
      </c>
      <c r="AZ509" s="8"/>
      <c r="BA509" s="8"/>
      <c r="BC509" s="8" t="str">
        <f>IF(BD509="","",VLOOKUP(BD509,引用表合并!$A:$B,2,FALSE))</f>
        <v/>
      </c>
      <c r="BD509" s="8"/>
      <c r="BF509" s="10"/>
      <c r="BG509" s="8" t="str">
        <f>IF(BH509="","",VLOOKUP(BH509,引用表合并!$A:$B,2,FALSE))</f>
        <v/>
      </c>
      <c r="BH509" s="8"/>
      <c r="BJ509" s="10"/>
      <c r="BK509" s="8" t="str">
        <f>IF(BL509="","",VLOOKUP(BL509,引用表合并!$A:$B,2,FALSE))</f>
        <v/>
      </c>
      <c r="BL509" s="8"/>
      <c r="BN509" s="10"/>
    </row>
    <row r="510" spans="1:66" x14ac:dyDescent="0.15">
      <c r="A510" s="8">
        <v>910052</v>
      </c>
      <c r="B510" s="18" t="str">
        <f>"任务:"&amp;VLOOKUP(A510,CHOOSE({1,2},[4]任务经验掉落配置表!$X$3:$X$173,[4]任务经验掉落配置表!$D$3:$D$173),2,FALSE)</f>
        <v>任务:精英织田</v>
      </c>
      <c r="C510" s="8">
        <v>0</v>
      </c>
      <c r="D510" s="8">
        <f t="shared" si="75"/>
        <v>0</v>
      </c>
      <c r="E510" s="16">
        <f t="shared" si="72"/>
        <v>0</v>
      </c>
      <c r="F510" s="16">
        <f t="shared" si="73"/>
        <v>0</v>
      </c>
      <c r="G510" s="8" t="str">
        <f>IF(H510="","",VLOOKUP(H510,引用表合并!$A:$B,2,FALSE))</f>
        <v/>
      </c>
      <c r="K510" s="8" t="str">
        <f>IF(L510="","",VLOOKUP(L510,引用表合并!$A:$B,2,FALSE))</f>
        <v/>
      </c>
      <c r="L510" s="8"/>
      <c r="M510" s="8"/>
      <c r="O510" s="8" t="str">
        <f>IF(P510="","",VLOOKUP(P510,引用表合并!$A:$B,2,FALSE))</f>
        <v/>
      </c>
      <c r="P510" s="8"/>
      <c r="Q510" s="8"/>
      <c r="S510" s="8" t="str">
        <f>IF(T510="","",VLOOKUP(T510,引用表合并!$A:$B,2,FALSE))</f>
        <v/>
      </c>
      <c r="T510" s="8"/>
      <c r="U510" s="8"/>
      <c r="W510" s="8" t="str">
        <f>IF(X510="","",VLOOKUP(X510,引用表合并!$A:$B,2,FALSE))</f>
        <v/>
      </c>
      <c r="X510" s="8"/>
      <c r="Y510" s="8"/>
      <c r="AA510" s="8" t="str">
        <f>IF(AB510="","",VLOOKUP(AB510,引用表合并!$A:$B,2,FALSE))</f>
        <v/>
      </c>
      <c r="AB510" s="8"/>
      <c r="AC510" s="8"/>
      <c r="AE510" s="8" t="str">
        <f>IF(AF510="","",VLOOKUP(AF510,引用表合并!$A:$B,2,FALSE))</f>
        <v/>
      </c>
      <c r="AF510" s="8"/>
      <c r="AG510" s="8"/>
      <c r="AI510" s="8" t="str">
        <f>IF(AJ510="","",VLOOKUP(AJ510,引用表合并!$A:$B,2,FALSE))</f>
        <v/>
      </c>
      <c r="AJ510" s="8"/>
      <c r="AK510" s="8"/>
      <c r="AM510" s="8" t="str">
        <f>IF(AN510="","",VLOOKUP(AN510,引用表合并!$A:$B,2,FALSE))</f>
        <v/>
      </c>
      <c r="AN510" s="8"/>
      <c r="AO510" s="8"/>
      <c r="AQ510" s="8" t="str">
        <f>IF(AR510="","",VLOOKUP(AR510,引用表合并!$A:$B,2,FALSE))</f>
        <v/>
      </c>
      <c r="AR510" s="8"/>
      <c r="AS510" s="8"/>
      <c r="AU510" s="8" t="str">
        <f>IF(AV510="","",VLOOKUP(AV510,引用表合并!$A:$B,2,FALSE))</f>
        <v/>
      </c>
      <c r="AV510" s="8"/>
      <c r="AW510" s="8"/>
      <c r="AY510" s="8" t="str">
        <f>IF(AZ510="","",VLOOKUP(AZ510,引用表合并!$A:$B,2,FALSE))</f>
        <v/>
      </c>
      <c r="AZ510" s="8"/>
      <c r="BA510" s="8"/>
      <c r="BC510" s="8" t="str">
        <f>IF(BD510="","",VLOOKUP(BD510,引用表合并!$A:$B,2,FALSE))</f>
        <v/>
      </c>
      <c r="BD510" s="8"/>
      <c r="BF510" s="10"/>
      <c r="BG510" s="8" t="str">
        <f>IF(BH510="","",VLOOKUP(BH510,引用表合并!$A:$B,2,FALSE))</f>
        <v/>
      </c>
      <c r="BH510" s="8"/>
      <c r="BJ510" s="10"/>
      <c r="BK510" s="8" t="str">
        <f>IF(BL510="","",VLOOKUP(BL510,引用表合并!$A:$B,2,FALSE))</f>
        <v/>
      </c>
      <c r="BL510" s="8"/>
      <c r="BN510" s="10"/>
    </row>
    <row r="511" spans="1:66" x14ac:dyDescent="0.15">
      <c r="A511" s="8">
        <v>910053</v>
      </c>
      <c r="B511" s="18" t="str">
        <f>"任务:"&amp;VLOOKUP(A511,CHOOSE({1,2},[4]任务经验掉落配置表!$X$3:$X$173,[4]任务经验掉落配置表!$D$3:$D$173),2,FALSE)</f>
        <v>任务:精英太乙部下</v>
      </c>
      <c r="C511" s="8">
        <v>0</v>
      </c>
      <c r="D511" s="8">
        <f t="shared" si="75"/>
        <v>0</v>
      </c>
      <c r="E511" s="16">
        <f t="shared" si="72"/>
        <v>0</v>
      </c>
      <c r="F511" s="16">
        <f t="shared" si="73"/>
        <v>0</v>
      </c>
      <c r="G511" s="8" t="str">
        <f>IF(H511="","",VLOOKUP(H511,引用表合并!$A:$B,2,FALSE))</f>
        <v/>
      </c>
      <c r="K511" s="8" t="str">
        <f>IF(L511="","",VLOOKUP(L511,引用表合并!$A:$B,2,FALSE))</f>
        <v/>
      </c>
      <c r="L511" s="8"/>
      <c r="M511" s="8"/>
      <c r="O511" s="8" t="str">
        <f>IF(P511="","",VLOOKUP(P511,引用表合并!$A:$B,2,FALSE))</f>
        <v/>
      </c>
      <c r="P511" s="8"/>
      <c r="Q511" s="8"/>
      <c r="S511" s="8" t="str">
        <f>IF(T511="","",VLOOKUP(T511,引用表合并!$A:$B,2,FALSE))</f>
        <v/>
      </c>
      <c r="T511" s="8"/>
      <c r="U511" s="8"/>
      <c r="W511" s="8" t="str">
        <f>IF(X511="","",VLOOKUP(X511,引用表合并!$A:$B,2,FALSE))</f>
        <v/>
      </c>
      <c r="X511" s="8"/>
      <c r="Y511" s="8"/>
      <c r="AA511" s="8" t="str">
        <f>IF(AB511="","",VLOOKUP(AB511,引用表合并!$A:$B,2,FALSE))</f>
        <v/>
      </c>
      <c r="AB511" s="8"/>
      <c r="AC511" s="8"/>
      <c r="AE511" s="8" t="str">
        <f>IF(AF511="","",VLOOKUP(AF511,引用表合并!$A:$B,2,FALSE))</f>
        <v/>
      </c>
      <c r="AF511" s="8"/>
      <c r="AG511" s="8"/>
      <c r="AI511" s="8" t="str">
        <f>IF(AJ511="","",VLOOKUP(AJ511,引用表合并!$A:$B,2,FALSE))</f>
        <v/>
      </c>
      <c r="AJ511" s="8"/>
      <c r="AK511" s="8"/>
      <c r="AM511" s="8" t="str">
        <f>IF(AN511="","",VLOOKUP(AN511,引用表合并!$A:$B,2,FALSE))</f>
        <v/>
      </c>
      <c r="AN511" s="8"/>
      <c r="AO511" s="8"/>
      <c r="AQ511" s="8" t="str">
        <f>IF(AR511="","",VLOOKUP(AR511,引用表合并!$A:$B,2,FALSE))</f>
        <v/>
      </c>
      <c r="AR511" s="8"/>
      <c r="AS511" s="8"/>
      <c r="AU511" s="8" t="str">
        <f>IF(AV511="","",VLOOKUP(AV511,引用表合并!$A:$B,2,FALSE))</f>
        <v/>
      </c>
      <c r="AV511" s="8"/>
      <c r="AW511" s="8"/>
      <c r="AY511" s="8" t="str">
        <f>IF(AZ511="","",VLOOKUP(AZ511,引用表合并!$A:$B,2,FALSE))</f>
        <v/>
      </c>
      <c r="AZ511" s="8"/>
      <c r="BA511" s="8"/>
      <c r="BC511" s="8" t="str">
        <f>IF(BD511="","",VLOOKUP(BD511,引用表合并!$A:$B,2,FALSE))</f>
        <v/>
      </c>
      <c r="BD511" s="8"/>
      <c r="BF511" s="10"/>
      <c r="BG511" s="8" t="str">
        <f>IF(BH511="","",VLOOKUP(BH511,引用表合并!$A:$B,2,FALSE))</f>
        <v/>
      </c>
      <c r="BH511" s="8"/>
      <c r="BJ511" s="10"/>
      <c r="BK511" s="8" t="str">
        <f>IF(BL511="","",VLOOKUP(BL511,引用表合并!$A:$B,2,FALSE))</f>
        <v/>
      </c>
      <c r="BL511" s="8"/>
      <c r="BN511" s="10"/>
    </row>
    <row r="512" spans="1:66" x14ac:dyDescent="0.15">
      <c r="A512" s="8">
        <v>910054</v>
      </c>
      <c r="B512" s="18" t="str">
        <f>"任务:"&amp;VLOOKUP(A512,CHOOSE({1,2},[4]任务经验掉落配置表!$X$3:$X$173,[4]任务经验掉落配置表!$D$3:$D$173),2,FALSE)</f>
        <v>任务:精英太乙</v>
      </c>
      <c r="C512" s="8">
        <v>0</v>
      </c>
      <c r="D512" s="8">
        <f t="shared" si="75"/>
        <v>0</v>
      </c>
      <c r="E512" s="16">
        <f t="shared" si="72"/>
        <v>0</v>
      </c>
      <c r="F512" s="16">
        <f t="shared" si="73"/>
        <v>0</v>
      </c>
      <c r="G512" s="8" t="str">
        <f>IF(H512="","",VLOOKUP(H512,引用表合并!$A:$B,2,FALSE))</f>
        <v/>
      </c>
      <c r="K512" s="8" t="str">
        <f>IF(L512="","",VLOOKUP(L512,引用表合并!$A:$B,2,FALSE))</f>
        <v/>
      </c>
      <c r="L512" s="8"/>
      <c r="M512" s="8"/>
      <c r="O512" s="8" t="str">
        <f>IF(P512="","",VLOOKUP(P512,引用表合并!$A:$B,2,FALSE))</f>
        <v/>
      </c>
      <c r="P512" s="8"/>
      <c r="Q512" s="8"/>
      <c r="S512" s="8" t="str">
        <f>IF(T512="","",VLOOKUP(T512,引用表合并!$A:$B,2,FALSE))</f>
        <v/>
      </c>
      <c r="T512" s="8"/>
      <c r="U512" s="8"/>
      <c r="W512" s="8" t="str">
        <f>IF(X512="","",VLOOKUP(X512,引用表合并!$A:$B,2,FALSE))</f>
        <v/>
      </c>
      <c r="X512" s="8"/>
      <c r="Y512" s="8"/>
      <c r="AA512" s="8" t="str">
        <f>IF(AB512="","",VLOOKUP(AB512,引用表合并!$A:$B,2,FALSE))</f>
        <v/>
      </c>
      <c r="AB512" s="8"/>
      <c r="AC512" s="8"/>
      <c r="AE512" s="8" t="str">
        <f>IF(AF512="","",VLOOKUP(AF512,引用表合并!$A:$B,2,FALSE))</f>
        <v/>
      </c>
      <c r="AF512" s="8"/>
      <c r="AG512" s="8"/>
      <c r="AI512" s="8" t="str">
        <f>IF(AJ512="","",VLOOKUP(AJ512,引用表合并!$A:$B,2,FALSE))</f>
        <v/>
      </c>
      <c r="AJ512" s="8"/>
      <c r="AK512" s="8"/>
      <c r="AM512" s="8" t="str">
        <f>IF(AN512="","",VLOOKUP(AN512,引用表合并!$A:$B,2,FALSE))</f>
        <v/>
      </c>
      <c r="AN512" s="8"/>
      <c r="AO512" s="8"/>
      <c r="AQ512" s="8" t="str">
        <f>IF(AR512="","",VLOOKUP(AR512,引用表合并!$A:$B,2,FALSE))</f>
        <v/>
      </c>
      <c r="AR512" s="8"/>
      <c r="AS512" s="8"/>
      <c r="AU512" s="8" t="str">
        <f>IF(AV512="","",VLOOKUP(AV512,引用表合并!$A:$B,2,FALSE))</f>
        <v/>
      </c>
      <c r="AV512" s="8"/>
      <c r="AW512" s="8"/>
      <c r="AY512" s="8" t="str">
        <f>IF(AZ512="","",VLOOKUP(AZ512,引用表合并!$A:$B,2,FALSE))</f>
        <v/>
      </c>
      <c r="AZ512" s="8"/>
      <c r="BA512" s="8"/>
      <c r="BC512" s="8" t="str">
        <f>IF(BD512="","",VLOOKUP(BD512,引用表合并!$A:$B,2,FALSE))</f>
        <v/>
      </c>
      <c r="BD512" s="8"/>
      <c r="BF512" s="10"/>
      <c r="BG512" s="8" t="str">
        <f>IF(BH512="","",VLOOKUP(BH512,引用表合并!$A:$B,2,FALSE))</f>
        <v/>
      </c>
      <c r="BH512" s="8"/>
      <c r="BJ512" s="10"/>
      <c r="BK512" s="8" t="str">
        <f>IF(BL512="","",VLOOKUP(BL512,引用表合并!$A:$B,2,FALSE))</f>
        <v/>
      </c>
      <c r="BL512" s="8"/>
      <c r="BN512" s="10"/>
    </row>
    <row r="513" spans="1:66" x14ac:dyDescent="0.15">
      <c r="A513" s="8">
        <v>910055</v>
      </c>
      <c r="B513" s="18" t="str">
        <f>"任务:"&amp;VLOOKUP(A513,CHOOSE({1,2},[4]任务经验掉落配置表!$X$3:$X$173,[4]任务经验掉落配置表!$D$3:$D$173),2,FALSE)</f>
        <v>任务:精英白虎堂</v>
      </c>
      <c r="C513" s="8">
        <v>0</v>
      </c>
      <c r="D513" s="8">
        <f t="shared" si="75"/>
        <v>0</v>
      </c>
      <c r="E513" s="16">
        <f t="shared" si="72"/>
        <v>0</v>
      </c>
      <c r="F513" s="16">
        <f t="shared" si="73"/>
        <v>0</v>
      </c>
      <c r="G513" s="8" t="str">
        <f>IF(H513="","",VLOOKUP(H513,引用表合并!$A:$B,2,FALSE))</f>
        <v/>
      </c>
      <c r="K513" s="8" t="str">
        <f>IF(L513="","",VLOOKUP(L513,引用表合并!$A:$B,2,FALSE))</f>
        <v/>
      </c>
      <c r="L513" s="8"/>
      <c r="M513" s="8"/>
      <c r="O513" s="8" t="str">
        <f>IF(P513="","",VLOOKUP(P513,引用表合并!$A:$B,2,FALSE))</f>
        <v/>
      </c>
      <c r="P513" s="8"/>
      <c r="Q513" s="8"/>
      <c r="S513" s="8" t="str">
        <f>IF(T513="","",VLOOKUP(T513,引用表合并!$A:$B,2,FALSE))</f>
        <v/>
      </c>
      <c r="T513" s="8"/>
      <c r="U513" s="8"/>
      <c r="W513" s="8" t="str">
        <f>IF(X513="","",VLOOKUP(X513,引用表合并!$A:$B,2,FALSE))</f>
        <v/>
      </c>
      <c r="X513" s="8"/>
      <c r="Y513" s="8"/>
      <c r="AA513" s="8" t="str">
        <f>IF(AB513="","",VLOOKUP(AB513,引用表合并!$A:$B,2,FALSE))</f>
        <v/>
      </c>
      <c r="AB513" s="8"/>
      <c r="AC513" s="8"/>
      <c r="AE513" s="8" t="str">
        <f>IF(AF513="","",VLOOKUP(AF513,引用表合并!$A:$B,2,FALSE))</f>
        <v/>
      </c>
      <c r="AF513" s="8"/>
      <c r="AG513" s="8"/>
      <c r="AI513" s="8" t="str">
        <f>IF(AJ513="","",VLOOKUP(AJ513,引用表合并!$A:$B,2,FALSE))</f>
        <v/>
      </c>
      <c r="AJ513" s="8"/>
      <c r="AK513" s="8"/>
      <c r="AM513" s="8" t="str">
        <f>IF(AN513="","",VLOOKUP(AN513,引用表合并!$A:$B,2,FALSE))</f>
        <v/>
      </c>
      <c r="AN513" s="8"/>
      <c r="AO513" s="8"/>
      <c r="AQ513" s="8" t="str">
        <f>IF(AR513="","",VLOOKUP(AR513,引用表合并!$A:$B,2,FALSE))</f>
        <v/>
      </c>
      <c r="AR513" s="8"/>
      <c r="AS513" s="8"/>
      <c r="AU513" s="8" t="str">
        <f>IF(AV513="","",VLOOKUP(AV513,引用表合并!$A:$B,2,FALSE))</f>
        <v/>
      </c>
      <c r="AV513" s="8"/>
      <c r="AW513" s="8"/>
      <c r="AY513" s="8" t="str">
        <f>IF(AZ513="","",VLOOKUP(AZ513,引用表合并!$A:$B,2,FALSE))</f>
        <v/>
      </c>
      <c r="AZ513" s="8"/>
      <c r="BA513" s="8"/>
      <c r="BC513" s="8" t="str">
        <f>IF(BD513="","",VLOOKUP(BD513,引用表合并!$A:$B,2,FALSE))</f>
        <v/>
      </c>
      <c r="BD513" s="8"/>
      <c r="BF513" s="10"/>
      <c r="BG513" s="8" t="str">
        <f>IF(BH513="","",VLOOKUP(BH513,引用表合并!$A:$B,2,FALSE))</f>
        <v/>
      </c>
      <c r="BH513" s="8"/>
      <c r="BJ513" s="10"/>
      <c r="BK513" s="8" t="str">
        <f>IF(BL513="","",VLOOKUP(BL513,引用表合并!$A:$B,2,FALSE))</f>
        <v/>
      </c>
      <c r="BL513" s="8"/>
      <c r="BN513" s="10"/>
    </row>
    <row r="514" spans="1:66" x14ac:dyDescent="0.15">
      <c r="A514" s="8">
        <v>910056</v>
      </c>
      <c r="B514" s="18" t="str">
        <f>"任务:"&amp;VLOOKUP(A514,CHOOSE({1,2},[4]任务经验掉落配置表!$X$3:$X$173,[4]任务经验掉落配置表!$D$3:$D$173),2,FALSE)</f>
        <v>任务:精英玄武堂</v>
      </c>
      <c r="C514" s="8">
        <v>0</v>
      </c>
      <c r="D514" s="8">
        <f t="shared" si="75"/>
        <v>0</v>
      </c>
      <c r="E514" s="16">
        <f t="shared" si="72"/>
        <v>0</v>
      </c>
      <c r="F514" s="16">
        <f t="shared" si="73"/>
        <v>0</v>
      </c>
      <c r="G514" s="8" t="str">
        <f>IF(H514="","",VLOOKUP(H514,引用表合并!$A:$B,2,FALSE))</f>
        <v/>
      </c>
      <c r="K514" s="8" t="str">
        <f>IF(L514="","",VLOOKUP(L514,引用表合并!$A:$B,2,FALSE))</f>
        <v/>
      </c>
      <c r="L514" s="8"/>
      <c r="M514" s="8"/>
      <c r="O514" s="8" t="str">
        <f>IF(P514="","",VLOOKUP(P514,引用表合并!$A:$B,2,FALSE))</f>
        <v/>
      </c>
      <c r="P514" s="8"/>
      <c r="Q514" s="8"/>
      <c r="S514" s="8" t="str">
        <f>IF(T514="","",VLOOKUP(T514,引用表合并!$A:$B,2,FALSE))</f>
        <v/>
      </c>
      <c r="T514" s="8"/>
      <c r="U514" s="8"/>
      <c r="W514" s="8" t="str">
        <f>IF(X514="","",VLOOKUP(X514,引用表合并!$A:$B,2,FALSE))</f>
        <v/>
      </c>
      <c r="X514" s="8"/>
      <c r="Y514" s="8"/>
      <c r="AA514" s="8" t="str">
        <f>IF(AB514="","",VLOOKUP(AB514,引用表合并!$A:$B,2,FALSE))</f>
        <v/>
      </c>
      <c r="AB514" s="8"/>
      <c r="AC514" s="8"/>
      <c r="AE514" s="8" t="str">
        <f>IF(AF514="","",VLOOKUP(AF514,引用表合并!$A:$B,2,FALSE))</f>
        <v/>
      </c>
      <c r="AF514" s="8"/>
      <c r="AG514" s="8"/>
      <c r="AI514" s="8" t="str">
        <f>IF(AJ514="","",VLOOKUP(AJ514,引用表合并!$A:$B,2,FALSE))</f>
        <v/>
      </c>
      <c r="AJ514" s="8"/>
      <c r="AK514" s="8"/>
      <c r="AM514" s="8" t="str">
        <f>IF(AN514="","",VLOOKUP(AN514,引用表合并!$A:$B,2,FALSE))</f>
        <v/>
      </c>
      <c r="AN514" s="8"/>
      <c r="AO514" s="8"/>
      <c r="AQ514" s="8" t="str">
        <f>IF(AR514="","",VLOOKUP(AR514,引用表合并!$A:$B,2,FALSE))</f>
        <v/>
      </c>
      <c r="AR514" s="8"/>
      <c r="AS514" s="8"/>
      <c r="AU514" s="8" t="str">
        <f>IF(AV514="","",VLOOKUP(AV514,引用表合并!$A:$B,2,FALSE))</f>
        <v/>
      </c>
      <c r="AV514" s="8"/>
      <c r="AW514" s="8"/>
      <c r="AY514" s="8" t="str">
        <f>IF(AZ514="","",VLOOKUP(AZ514,引用表合并!$A:$B,2,FALSE))</f>
        <v/>
      </c>
      <c r="AZ514" s="8"/>
      <c r="BA514" s="8"/>
      <c r="BC514" s="8" t="str">
        <f>IF(BD514="","",VLOOKUP(BD514,引用表合并!$A:$B,2,FALSE))</f>
        <v/>
      </c>
      <c r="BD514" s="8"/>
      <c r="BF514" s="10"/>
      <c r="BG514" s="8" t="str">
        <f>IF(BH514="","",VLOOKUP(BH514,引用表合并!$A:$B,2,FALSE))</f>
        <v/>
      </c>
      <c r="BH514" s="8"/>
      <c r="BJ514" s="10"/>
      <c r="BK514" s="8" t="str">
        <f>IF(BL514="","",VLOOKUP(BL514,引用表合并!$A:$B,2,FALSE))</f>
        <v/>
      </c>
      <c r="BL514" s="8"/>
      <c r="BN514" s="10"/>
    </row>
    <row r="515" spans="1:66" x14ac:dyDescent="0.15">
      <c r="A515" s="8">
        <v>910057</v>
      </c>
      <c r="B515" s="18" t="str">
        <f>"任务:"&amp;VLOOKUP(A515,CHOOSE({1,2},[4]任务经验掉落配置表!$X$3:$X$173,[4]任务经验掉落配置表!$D$3:$D$173),2,FALSE)</f>
        <v>任务:精英朱雀堂</v>
      </c>
      <c r="C515" s="8">
        <v>0</v>
      </c>
      <c r="D515" s="8">
        <f t="shared" si="75"/>
        <v>0</v>
      </c>
      <c r="E515" s="16">
        <f t="shared" si="72"/>
        <v>0</v>
      </c>
      <c r="F515" s="16">
        <f t="shared" si="73"/>
        <v>0</v>
      </c>
      <c r="G515" s="8" t="str">
        <f>IF(H515="","",VLOOKUP(H515,引用表合并!$A:$B,2,FALSE))</f>
        <v/>
      </c>
      <c r="K515" s="8" t="str">
        <f>IF(L515="","",VLOOKUP(L515,引用表合并!$A:$B,2,FALSE))</f>
        <v/>
      </c>
      <c r="L515" s="8"/>
      <c r="M515" s="8"/>
      <c r="O515" s="8" t="str">
        <f>IF(P515="","",VLOOKUP(P515,引用表合并!$A:$B,2,FALSE))</f>
        <v/>
      </c>
      <c r="P515" s="8"/>
      <c r="Q515" s="8"/>
      <c r="S515" s="8" t="str">
        <f>IF(T515="","",VLOOKUP(T515,引用表合并!$A:$B,2,FALSE))</f>
        <v/>
      </c>
      <c r="T515" s="8"/>
      <c r="U515" s="8"/>
      <c r="W515" s="8" t="str">
        <f>IF(X515="","",VLOOKUP(X515,引用表合并!$A:$B,2,FALSE))</f>
        <v/>
      </c>
      <c r="X515" s="8"/>
      <c r="Y515" s="8"/>
      <c r="AA515" s="8" t="str">
        <f>IF(AB515="","",VLOOKUP(AB515,引用表合并!$A:$B,2,FALSE))</f>
        <v/>
      </c>
      <c r="AB515" s="8"/>
      <c r="AC515" s="8"/>
      <c r="AE515" s="8" t="str">
        <f>IF(AF515="","",VLOOKUP(AF515,引用表合并!$A:$B,2,FALSE))</f>
        <v/>
      </c>
      <c r="AF515" s="8"/>
      <c r="AG515" s="8"/>
      <c r="AI515" s="8" t="str">
        <f>IF(AJ515="","",VLOOKUP(AJ515,引用表合并!$A:$B,2,FALSE))</f>
        <v/>
      </c>
      <c r="AJ515" s="8"/>
      <c r="AK515" s="8"/>
      <c r="AM515" s="8" t="str">
        <f>IF(AN515="","",VLOOKUP(AN515,引用表合并!$A:$B,2,FALSE))</f>
        <v/>
      </c>
      <c r="AN515" s="8"/>
      <c r="AO515" s="8"/>
      <c r="AQ515" s="8" t="str">
        <f>IF(AR515="","",VLOOKUP(AR515,引用表合并!$A:$B,2,FALSE))</f>
        <v/>
      </c>
      <c r="AR515" s="8"/>
      <c r="AS515" s="8"/>
      <c r="AU515" s="8" t="str">
        <f>IF(AV515="","",VLOOKUP(AV515,引用表合并!$A:$B,2,FALSE))</f>
        <v/>
      </c>
      <c r="AV515" s="8"/>
      <c r="AW515" s="8"/>
      <c r="AY515" s="8" t="str">
        <f>IF(AZ515="","",VLOOKUP(AZ515,引用表合并!$A:$B,2,FALSE))</f>
        <v/>
      </c>
      <c r="AZ515" s="8"/>
      <c r="BA515" s="8"/>
      <c r="BC515" s="8" t="str">
        <f>IF(BD515="","",VLOOKUP(BD515,引用表合并!$A:$B,2,FALSE))</f>
        <v/>
      </c>
      <c r="BD515" s="8"/>
      <c r="BF515" s="10"/>
      <c r="BG515" s="8" t="str">
        <f>IF(BH515="","",VLOOKUP(BH515,引用表合并!$A:$B,2,FALSE))</f>
        <v/>
      </c>
      <c r="BH515" s="8"/>
      <c r="BJ515" s="10"/>
      <c r="BK515" s="8" t="str">
        <f>IF(BL515="","",VLOOKUP(BL515,引用表合并!$A:$B,2,FALSE))</f>
        <v/>
      </c>
      <c r="BL515" s="8"/>
      <c r="BN515" s="10"/>
    </row>
    <row r="516" spans="1:66" x14ac:dyDescent="0.15">
      <c r="A516" s="8">
        <v>910058</v>
      </c>
      <c r="B516" s="18" t="str">
        <f>"任务:"&amp;VLOOKUP(A516,CHOOSE({1,2},[4]任务经验掉落配置表!$X$3:$X$173,[4]任务经验掉落配置表!$D$3:$D$173),2,FALSE)</f>
        <v>任务:精英青龙堂</v>
      </c>
      <c r="C516" s="8">
        <v>0</v>
      </c>
      <c r="D516" s="8">
        <f t="shared" si="75"/>
        <v>0</v>
      </c>
      <c r="E516" s="16">
        <f t="shared" si="72"/>
        <v>0</v>
      </c>
      <c r="F516" s="16">
        <f t="shared" ref="F516:F527" si="76">E516</f>
        <v>0</v>
      </c>
      <c r="G516" s="8" t="str">
        <f>IF(H516="","",VLOOKUP(H516,引用表合并!$A:$B,2,FALSE))</f>
        <v/>
      </c>
      <c r="K516" s="8" t="str">
        <f>IF(L516="","",VLOOKUP(L516,引用表合并!$A:$B,2,FALSE))</f>
        <v/>
      </c>
      <c r="L516" s="8"/>
      <c r="M516" s="8"/>
      <c r="O516" s="8" t="str">
        <f>IF(P516="","",VLOOKUP(P516,引用表合并!$A:$B,2,FALSE))</f>
        <v/>
      </c>
      <c r="P516" s="8"/>
      <c r="Q516" s="8"/>
      <c r="S516" s="8" t="str">
        <f>IF(T516="","",VLOOKUP(T516,引用表合并!$A:$B,2,FALSE))</f>
        <v/>
      </c>
      <c r="T516" s="8"/>
      <c r="U516" s="8"/>
      <c r="W516" s="8" t="str">
        <f>IF(X516="","",VLOOKUP(X516,引用表合并!$A:$B,2,FALSE))</f>
        <v/>
      </c>
      <c r="X516" s="8"/>
      <c r="Y516" s="8"/>
      <c r="AA516" s="8" t="str">
        <f>IF(AB516="","",VLOOKUP(AB516,引用表合并!$A:$B,2,FALSE))</f>
        <v/>
      </c>
      <c r="AB516" s="8"/>
      <c r="AC516" s="8"/>
      <c r="AE516" s="8" t="str">
        <f>IF(AF516="","",VLOOKUP(AF516,引用表合并!$A:$B,2,FALSE))</f>
        <v/>
      </c>
      <c r="AF516" s="8"/>
      <c r="AG516" s="8"/>
      <c r="AI516" s="8" t="str">
        <f>IF(AJ516="","",VLOOKUP(AJ516,引用表合并!$A:$B,2,FALSE))</f>
        <v/>
      </c>
      <c r="AJ516" s="8"/>
      <c r="AK516" s="8"/>
      <c r="AM516" s="8" t="str">
        <f>IF(AN516="","",VLOOKUP(AN516,引用表合并!$A:$B,2,FALSE))</f>
        <v/>
      </c>
      <c r="AN516" s="8"/>
      <c r="AO516" s="8"/>
      <c r="AQ516" s="8" t="str">
        <f>IF(AR516="","",VLOOKUP(AR516,引用表合并!$A:$B,2,FALSE))</f>
        <v/>
      </c>
      <c r="AR516" s="8"/>
      <c r="AS516" s="8"/>
      <c r="AU516" s="8" t="str">
        <f>IF(AV516="","",VLOOKUP(AV516,引用表合并!$A:$B,2,FALSE))</f>
        <v/>
      </c>
      <c r="AV516" s="8"/>
      <c r="AW516" s="8"/>
      <c r="AY516" s="8" t="str">
        <f>IF(AZ516="","",VLOOKUP(AZ516,引用表合并!$A:$B,2,FALSE))</f>
        <v/>
      </c>
      <c r="AZ516" s="8"/>
      <c r="BA516" s="8"/>
      <c r="BC516" s="8" t="str">
        <f>IF(BD516="","",VLOOKUP(BD516,引用表合并!$A:$B,2,FALSE))</f>
        <v/>
      </c>
      <c r="BD516" s="8"/>
      <c r="BF516" s="10"/>
      <c r="BG516" s="8" t="str">
        <f>IF(BH516="","",VLOOKUP(BH516,引用表合并!$A:$B,2,FALSE))</f>
        <v/>
      </c>
      <c r="BH516" s="8"/>
      <c r="BJ516" s="10"/>
      <c r="BK516" s="8" t="str">
        <f>IF(BL516="","",VLOOKUP(BL516,引用表合并!$A:$B,2,FALSE))</f>
        <v/>
      </c>
      <c r="BL516" s="8"/>
      <c r="BN516" s="10"/>
    </row>
    <row r="517" spans="1:66" x14ac:dyDescent="0.15">
      <c r="A517" s="8">
        <v>910059</v>
      </c>
      <c r="B517" s="18" t="str">
        <f>"任务:"&amp;VLOOKUP(A517,CHOOSE({1,2},[4]任务经验掉落配置表!$X$3:$X$173,[4]任务经验掉落配置表!$D$3:$D$173),2,FALSE)</f>
        <v>任务:精英佐维</v>
      </c>
      <c r="C517" s="8">
        <v>0</v>
      </c>
      <c r="D517" s="8">
        <f t="shared" si="75"/>
        <v>0</v>
      </c>
      <c r="E517" s="16">
        <f t="shared" si="72"/>
        <v>0</v>
      </c>
      <c r="F517" s="16">
        <f t="shared" si="76"/>
        <v>0</v>
      </c>
      <c r="G517" s="8" t="str">
        <f>IF(H517="","",VLOOKUP(H517,引用表合并!$A:$B,2,FALSE))</f>
        <v/>
      </c>
      <c r="K517" s="8" t="str">
        <f>IF(L517="","",VLOOKUP(L517,引用表合并!$A:$B,2,FALSE))</f>
        <v/>
      </c>
      <c r="L517" s="8"/>
      <c r="M517" s="8"/>
      <c r="O517" s="8" t="str">
        <f>IF(P517="","",VLOOKUP(P517,引用表合并!$A:$B,2,FALSE))</f>
        <v/>
      </c>
      <c r="P517" s="8"/>
      <c r="Q517" s="8"/>
      <c r="S517" s="8" t="str">
        <f>IF(T517="","",VLOOKUP(T517,引用表合并!$A:$B,2,FALSE))</f>
        <v/>
      </c>
      <c r="T517" s="8"/>
      <c r="U517" s="8"/>
      <c r="W517" s="8" t="str">
        <f>IF(X517="","",VLOOKUP(X517,引用表合并!$A:$B,2,FALSE))</f>
        <v/>
      </c>
      <c r="X517" s="8"/>
      <c r="Y517" s="8"/>
      <c r="AA517" s="8" t="str">
        <f>IF(AB517="","",VLOOKUP(AB517,引用表合并!$A:$B,2,FALSE))</f>
        <v/>
      </c>
      <c r="AB517" s="8"/>
      <c r="AC517" s="8"/>
      <c r="AE517" s="8" t="str">
        <f>IF(AF517="","",VLOOKUP(AF517,引用表合并!$A:$B,2,FALSE))</f>
        <v/>
      </c>
      <c r="AF517" s="8"/>
      <c r="AG517" s="8"/>
      <c r="AI517" s="8" t="str">
        <f>IF(AJ517="","",VLOOKUP(AJ517,引用表合并!$A:$B,2,FALSE))</f>
        <v/>
      </c>
      <c r="AJ517" s="8"/>
      <c r="AK517" s="8"/>
      <c r="AM517" s="8" t="str">
        <f>IF(AN517="","",VLOOKUP(AN517,引用表合并!$A:$B,2,FALSE))</f>
        <v/>
      </c>
      <c r="AN517" s="8"/>
      <c r="AO517" s="8"/>
      <c r="AQ517" s="8" t="str">
        <f>IF(AR517="","",VLOOKUP(AR517,引用表合并!$A:$B,2,FALSE))</f>
        <v/>
      </c>
      <c r="AR517" s="8"/>
      <c r="AS517" s="8"/>
      <c r="AU517" s="8" t="str">
        <f>IF(AV517="","",VLOOKUP(AV517,引用表合并!$A:$B,2,FALSE))</f>
        <v/>
      </c>
      <c r="AV517" s="8"/>
      <c r="AW517" s="8"/>
      <c r="AY517" s="8" t="str">
        <f>IF(AZ517="","",VLOOKUP(AZ517,引用表合并!$A:$B,2,FALSE))</f>
        <v/>
      </c>
      <c r="AZ517" s="8"/>
      <c r="BA517" s="8"/>
      <c r="BC517" s="8" t="str">
        <f>IF(BD517="","",VLOOKUP(BD517,引用表合并!$A:$B,2,FALSE))</f>
        <v/>
      </c>
      <c r="BD517" s="8"/>
      <c r="BF517" s="10"/>
      <c r="BG517" s="8" t="str">
        <f>IF(BH517="","",VLOOKUP(BH517,引用表合并!$A:$B,2,FALSE))</f>
        <v/>
      </c>
      <c r="BH517" s="8"/>
      <c r="BJ517" s="10"/>
      <c r="BK517" s="8" t="str">
        <f>IF(BL517="","",VLOOKUP(BL517,引用表合并!$A:$B,2,FALSE))</f>
        <v/>
      </c>
      <c r="BL517" s="8"/>
      <c r="BN517" s="10"/>
    </row>
    <row r="518" spans="1:66" x14ac:dyDescent="0.15">
      <c r="A518" s="8">
        <v>910060</v>
      </c>
      <c r="B518" s="18" t="str">
        <f>"任务:"&amp;VLOOKUP(A518,CHOOSE({1,2},[4]任务经验掉落配置表!$X$3:$X$173,[4]任务经验掉落配置表!$D$3:$D$173),2,FALSE)</f>
        <v>任务:精英傲虎</v>
      </c>
      <c r="C518" s="8">
        <v>0</v>
      </c>
      <c r="D518" s="8">
        <f t="shared" si="75"/>
        <v>0</v>
      </c>
      <c r="E518" s="16">
        <f t="shared" si="72"/>
        <v>0</v>
      </c>
      <c r="F518" s="16">
        <f t="shared" si="76"/>
        <v>0</v>
      </c>
      <c r="G518" s="8" t="str">
        <f>IF(H518="","",VLOOKUP(H518,引用表合并!$A:$B,2,FALSE))</f>
        <v/>
      </c>
      <c r="K518" s="8" t="str">
        <f>IF(L518="","",VLOOKUP(L518,引用表合并!$A:$B,2,FALSE))</f>
        <v/>
      </c>
      <c r="L518" s="8"/>
      <c r="M518" s="8"/>
      <c r="O518" s="8" t="str">
        <f>IF(P518="","",VLOOKUP(P518,引用表合并!$A:$B,2,FALSE))</f>
        <v/>
      </c>
      <c r="P518" s="8"/>
      <c r="Q518" s="8"/>
      <c r="S518" s="8" t="str">
        <f>IF(T518="","",VLOOKUP(T518,引用表合并!$A:$B,2,FALSE))</f>
        <v/>
      </c>
      <c r="T518" s="8"/>
      <c r="U518" s="8"/>
      <c r="W518" s="8" t="str">
        <f>IF(X518="","",VLOOKUP(X518,引用表合并!$A:$B,2,FALSE))</f>
        <v/>
      </c>
      <c r="X518" s="8"/>
      <c r="Y518" s="8"/>
      <c r="AA518" s="8" t="str">
        <f>IF(AB518="","",VLOOKUP(AB518,引用表合并!$A:$B,2,FALSE))</f>
        <v/>
      </c>
      <c r="AB518" s="8"/>
      <c r="AC518" s="8"/>
      <c r="AE518" s="8" t="str">
        <f>IF(AF518="","",VLOOKUP(AF518,引用表合并!$A:$B,2,FALSE))</f>
        <v/>
      </c>
      <c r="AF518" s="8"/>
      <c r="AG518" s="8"/>
      <c r="AI518" s="8" t="str">
        <f>IF(AJ518="","",VLOOKUP(AJ518,引用表合并!$A:$B,2,FALSE))</f>
        <v/>
      </c>
      <c r="AJ518" s="8"/>
      <c r="AK518" s="8"/>
      <c r="AM518" s="8" t="str">
        <f>IF(AN518="","",VLOOKUP(AN518,引用表合并!$A:$B,2,FALSE))</f>
        <v/>
      </c>
      <c r="AN518" s="8"/>
      <c r="AO518" s="8"/>
      <c r="AQ518" s="8" t="str">
        <f>IF(AR518="","",VLOOKUP(AR518,引用表合并!$A:$B,2,FALSE))</f>
        <v/>
      </c>
      <c r="AR518" s="8"/>
      <c r="AS518" s="8"/>
      <c r="AU518" s="8" t="str">
        <f>IF(AV518="","",VLOOKUP(AV518,引用表合并!$A:$B,2,FALSE))</f>
        <v/>
      </c>
      <c r="AV518" s="8"/>
      <c r="AW518" s="8"/>
      <c r="AY518" s="8" t="str">
        <f>IF(AZ518="","",VLOOKUP(AZ518,引用表合并!$A:$B,2,FALSE))</f>
        <v/>
      </c>
      <c r="AZ518" s="8"/>
      <c r="BA518" s="8"/>
      <c r="BC518" s="8" t="str">
        <f>IF(BD518="","",VLOOKUP(BD518,引用表合并!$A:$B,2,FALSE))</f>
        <v/>
      </c>
      <c r="BD518" s="8"/>
      <c r="BF518" s="10"/>
      <c r="BG518" s="8" t="str">
        <f>IF(BH518="","",VLOOKUP(BH518,引用表合并!$A:$B,2,FALSE))</f>
        <v/>
      </c>
      <c r="BH518" s="8"/>
      <c r="BJ518" s="10"/>
      <c r="BK518" s="8" t="str">
        <f>IF(BL518="","",VLOOKUP(BL518,引用表合并!$A:$B,2,FALSE))</f>
        <v/>
      </c>
      <c r="BL518" s="8"/>
      <c r="BN518" s="10"/>
    </row>
    <row r="519" spans="1:66" x14ac:dyDescent="0.15">
      <c r="A519" s="8">
        <v>910061</v>
      </c>
      <c r="B519" s="18" t="str">
        <f>"任务:"&amp;VLOOKUP(A519,CHOOSE({1,2},[4]任务经验掉落配置表!$X$3:$X$173,[4]任务经验掉落配置表!$D$3:$D$173),2,FALSE)</f>
        <v>任务:精英狂龙</v>
      </c>
      <c r="C519" s="8">
        <v>0</v>
      </c>
      <c r="D519" s="8">
        <f t="shared" ref="D519:D527" si="77">E519</f>
        <v>0</v>
      </c>
      <c r="E519" s="16">
        <f t="shared" si="72"/>
        <v>0</v>
      </c>
      <c r="F519" s="16">
        <f t="shared" si="76"/>
        <v>0</v>
      </c>
      <c r="G519" s="8" t="str">
        <f>IF(H519="","",VLOOKUP(H519,引用表合并!$A:$B,2,FALSE))</f>
        <v/>
      </c>
      <c r="K519" s="8" t="str">
        <f>IF(L519="","",VLOOKUP(L519,引用表合并!$A:$B,2,FALSE))</f>
        <v/>
      </c>
      <c r="L519" s="8"/>
      <c r="M519" s="8"/>
      <c r="O519" s="8" t="str">
        <f>IF(P519="","",VLOOKUP(P519,引用表合并!$A:$B,2,FALSE))</f>
        <v/>
      </c>
      <c r="P519" s="8"/>
      <c r="Q519" s="8"/>
      <c r="S519" s="8" t="str">
        <f>IF(T519="","",VLOOKUP(T519,引用表合并!$A:$B,2,FALSE))</f>
        <v/>
      </c>
      <c r="T519" s="8"/>
      <c r="U519" s="8"/>
      <c r="W519" s="8" t="str">
        <f>IF(X519="","",VLOOKUP(X519,引用表合并!$A:$B,2,FALSE))</f>
        <v/>
      </c>
      <c r="X519" s="8"/>
      <c r="Y519" s="8"/>
      <c r="AA519" s="8" t="str">
        <f>IF(AB519="","",VLOOKUP(AB519,引用表合并!$A:$B,2,FALSE))</f>
        <v/>
      </c>
      <c r="AB519" s="8"/>
      <c r="AC519" s="8"/>
      <c r="AE519" s="8" t="str">
        <f>IF(AF519="","",VLOOKUP(AF519,引用表合并!$A:$B,2,FALSE))</f>
        <v/>
      </c>
      <c r="AF519" s="8"/>
      <c r="AG519" s="8"/>
      <c r="AI519" s="8" t="str">
        <f>IF(AJ519="","",VLOOKUP(AJ519,引用表合并!$A:$B,2,FALSE))</f>
        <v/>
      </c>
      <c r="AJ519" s="8"/>
      <c r="AK519" s="8"/>
      <c r="AM519" s="8" t="str">
        <f>IF(AN519="","",VLOOKUP(AN519,引用表合并!$A:$B,2,FALSE))</f>
        <v/>
      </c>
      <c r="AN519" s="8"/>
      <c r="AO519" s="8"/>
      <c r="AQ519" s="8" t="str">
        <f>IF(AR519="","",VLOOKUP(AR519,引用表合并!$A:$B,2,FALSE))</f>
        <v/>
      </c>
      <c r="AR519" s="8"/>
      <c r="AS519" s="8"/>
      <c r="AU519" s="8" t="str">
        <f>IF(AV519="","",VLOOKUP(AV519,引用表合并!$A:$B,2,FALSE))</f>
        <v/>
      </c>
      <c r="AV519" s="8"/>
      <c r="AW519" s="8"/>
      <c r="AY519" s="8" t="str">
        <f>IF(AZ519="","",VLOOKUP(AZ519,引用表合并!$A:$B,2,FALSE))</f>
        <v/>
      </c>
      <c r="AZ519" s="8"/>
      <c r="BA519" s="8"/>
      <c r="BC519" s="8" t="str">
        <f>IF(BD519="","",VLOOKUP(BD519,引用表合并!$A:$B,2,FALSE))</f>
        <v/>
      </c>
      <c r="BD519" s="8"/>
      <c r="BF519" s="10"/>
      <c r="BG519" s="8" t="str">
        <f>IF(BH519="","",VLOOKUP(BH519,引用表合并!$A:$B,2,FALSE))</f>
        <v/>
      </c>
      <c r="BH519" s="8"/>
      <c r="BJ519" s="10"/>
      <c r="BK519" s="8" t="str">
        <f>IF(BL519="","",VLOOKUP(BL519,引用表合并!$A:$B,2,FALSE))</f>
        <v/>
      </c>
      <c r="BL519" s="8"/>
      <c r="BN519" s="10"/>
    </row>
    <row r="520" spans="1:66" x14ac:dyDescent="0.15">
      <c r="A520" s="8">
        <v>910062</v>
      </c>
      <c r="B520" s="18" t="str">
        <f>"任务:"&amp;VLOOKUP(A520,CHOOSE({1,2},[4]任务经验掉落配置表!$X$3:$X$173,[4]任务经验掉落配置表!$D$3:$D$173),2,FALSE)</f>
        <v>任务:精英山崎</v>
      </c>
      <c r="C520" s="8">
        <v>0</v>
      </c>
      <c r="D520" s="8">
        <f t="shared" si="77"/>
        <v>0</v>
      </c>
      <c r="E520" s="16">
        <f t="shared" si="72"/>
        <v>0</v>
      </c>
      <c r="F520" s="16">
        <f t="shared" si="76"/>
        <v>0</v>
      </c>
      <c r="G520" s="8" t="str">
        <f>IF(H520="","",VLOOKUP(H520,引用表合并!$A:$B,2,FALSE))</f>
        <v/>
      </c>
      <c r="K520" s="8" t="str">
        <f>IF(L520="","",VLOOKUP(L520,引用表合并!$A:$B,2,FALSE))</f>
        <v/>
      </c>
      <c r="L520" s="8"/>
      <c r="M520" s="8"/>
      <c r="O520" s="8" t="str">
        <f>IF(P520="","",VLOOKUP(P520,引用表合并!$A:$B,2,FALSE))</f>
        <v/>
      </c>
      <c r="P520" s="8"/>
      <c r="Q520" s="8"/>
      <c r="S520" s="8" t="str">
        <f>IF(T520="","",VLOOKUP(T520,引用表合并!$A:$B,2,FALSE))</f>
        <v/>
      </c>
      <c r="T520" s="8"/>
      <c r="U520" s="8"/>
      <c r="W520" s="8" t="str">
        <f>IF(X520="","",VLOOKUP(X520,引用表合并!$A:$B,2,FALSE))</f>
        <v/>
      </c>
      <c r="X520" s="8"/>
      <c r="Y520" s="8"/>
      <c r="AA520" s="8" t="str">
        <f>IF(AB520="","",VLOOKUP(AB520,引用表合并!$A:$B,2,FALSE))</f>
        <v/>
      </c>
      <c r="AB520" s="8"/>
      <c r="AC520" s="8"/>
      <c r="AE520" s="8" t="str">
        <f>IF(AF520="","",VLOOKUP(AF520,引用表合并!$A:$B,2,FALSE))</f>
        <v/>
      </c>
      <c r="AF520" s="8"/>
      <c r="AG520" s="8"/>
      <c r="AI520" s="8" t="str">
        <f>IF(AJ520="","",VLOOKUP(AJ520,引用表合并!$A:$B,2,FALSE))</f>
        <v/>
      </c>
      <c r="AJ520" s="8"/>
      <c r="AK520" s="8"/>
      <c r="AM520" s="8" t="str">
        <f>IF(AN520="","",VLOOKUP(AN520,引用表合并!$A:$B,2,FALSE))</f>
        <v/>
      </c>
      <c r="AN520" s="8"/>
      <c r="AO520" s="8"/>
      <c r="AQ520" s="8" t="str">
        <f>IF(AR520="","",VLOOKUP(AR520,引用表合并!$A:$B,2,FALSE))</f>
        <v/>
      </c>
      <c r="AR520" s="8"/>
      <c r="AS520" s="8"/>
      <c r="AU520" s="8" t="str">
        <f>IF(AV520="","",VLOOKUP(AV520,引用表合并!$A:$B,2,FALSE))</f>
        <v/>
      </c>
      <c r="AV520" s="8"/>
      <c r="AW520" s="8"/>
      <c r="AY520" s="8" t="str">
        <f>IF(AZ520="","",VLOOKUP(AZ520,引用表合并!$A:$B,2,FALSE))</f>
        <v/>
      </c>
      <c r="AZ520" s="8"/>
      <c r="BA520" s="8"/>
      <c r="BC520" s="8" t="str">
        <f>IF(BD520="","",VLOOKUP(BD520,引用表合并!$A:$B,2,FALSE))</f>
        <v/>
      </c>
      <c r="BD520" s="8"/>
      <c r="BF520" s="10"/>
      <c r="BG520" s="8" t="str">
        <f>IF(BH520="","",VLOOKUP(BH520,引用表合并!$A:$B,2,FALSE))</f>
        <v/>
      </c>
      <c r="BH520" s="8"/>
      <c r="BJ520" s="10"/>
      <c r="BK520" s="8" t="str">
        <f>IF(BL520="","",VLOOKUP(BL520,引用表合并!$A:$B,2,FALSE))</f>
        <v/>
      </c>
      <c r="BL520" s="8"/>
      <c r="BN520" s="10"/>
    </row>
    <row r="521" spans="1:66" x14ac:dyDescent="0.15">
      <c r="A521" s="8">
        <v>910063</v>
      </c>
      <c r="B521" s="18" t="str">
        <f>"任务:"&amp;VLOOKUP(A521,CHOOSE({1,2},[4]任务经验掉落配置表!$X$3:$X$173,[4]任务经验掉落配置表!$D$3:$D$173),2,FALSE)</f>
        <v>任务:精英杀手首领</v>
      </c>
      <c r="C521" s="8">
        <v>0</v>
      </c>
      <c r="D521" s="8">
        <f t="shared" si="77"/>
        <v>0</v>
      </c>
      <c r="E521" s="16">
        <f t="shared" si="72"/>
        <v>0</v>
      </c>
      <c r="F521" s="16">
        <f t="shared" si="76"/>
        <v>0</v>
      </c>
      <c r="G521" s="8" t="str">
        <f>IF(H521="","",VLOOKUP(H521,引用表合并!$A:$B,2,FALSE))</f>
        <v/>
      </c>
      <c r="K521" s="8" t="str">
        <f>IF(L521="","",VLOOKUP(L521,引用表合并!$A:$B,2,FALSE))</f>
        <v/>
      </c>
      <c r="L521" s="8"/>
      <c r="M521" s="8"/>
      <c r="O521" s="8" t="str">
        <f>IF(P521="","",VLOOKUP(P521,引用表合并!$A:$B,2,FALSE))</f>
        <v/>
      </c>
      <c r="P521" s="8"/>
      <c r="Q521" s="8"/>
      <c r="S521" s="8" t="str">
        <f>IF(T521="","",VLOOKUP(T521,引用表合并!$A:$B,2,FALSE))</f>
        <v/>
      </c>
      <c r="T521" s="8"/>
      <c r="U521" s="8"/>
      <c r="W521" s="8" t="str">
        <f>IF(X521="","",VLOOKUP(X521,引用表合并!$A:$B,2,FALSE))</f>
        <v/>
      </c>
      <c r="X521" s="8"/>
      <c r="Y521" s="8"/>
      <c r="AA521" s="8" t="str">
        <f>IF(AB521="","",VLOOKUP(AB521,引用表合并!$A:$B,2,FALSE))</f>
        <v/>
      </c>
      <c r="AB521" s="8"/>
      <c r="AC521" s="8"/>
      <c r="AE521" s="8" t="str">
        <f>IF(AF521="","",VLOOKUP(AF521,引用表合并!$A:$B,2,FALSE))</f>
        <v/>
      </c>
      <c r="AF521" s="8"/>
      <c r="AG521" s="8"/>
      <c r="AI521" s="8" t="str">
        <f>IF(AJ521="","",VLOOKUP(AJ521,引用表合并!$A:$B,2,FALSE))</f>
        <v/>
      </c>
      <c r="AJ521" s="8"/>
      <c r="AK521" s="8"/>
      <c r="AM521" s="8" t="str">
        <f>IF(AN521="","",VLOOKUP(AN521,引用表合并!$A:$B,2,FALSE))</f>
        <v/>
      </c>
      <c r="AN521" s="8"/>
      <c r="AO521" s="8"/>
      <c r="AQ521" s="8" t="str">
        <f>IF(AR521="","",VLOOKUP(AR521,引用表合并!$A:$B,2,FALSE))</f>
        <v/>
      </c>
      <c r="AR521" s="8"/>
      <c r="AS521" s="8"/>
      <c r="AU521" s="8" t="str">
        <f>IF(AV521="","",VLOOKUP(AV521,引用表合并!$A:$B,2,FALSE))</f>
        <v/>
      </c>
      <c r="AV521" s="8"/>
      <c r="AW521" s="8"/>
      <c r="AY521" s="8" t="str">
        <f>IF(AZ521="","",VLOOKUP(AZ521,引用表合并!$A:$B,2,FALSE))</f>
        <v/>
      </c>
      <c r="AZ521" s="8"/>
      <c r="BA521" s="8"/>
      <c r="BC521" s="8" t="str">
        <f>IF(BD521="","",VLOOKUP(BD521,引用表合并!$A:$B,2,FALSE))</f>
        <v/>
      </c>
      <c r="BD521" s="8"/>
      <c r="BF521" s="10"/>
      <c r="BG521" s="8" t="str">
        <f>IF(BH521="","",VLOOKUP(BH521,引用表合并!$A:$B,2,FALSE))</f>
        <v/>
      </c>
      <c r="BH521" s="8"/>
      <c r="BJ521" s="10"/>
      <c r="BK521" s="8" t="str">
        <f>IF(BL521="","",VLOOKUP(BL521,引用表合并!$A:$B,2,FALSE))</f>
        <v/>
      </c>
      <c r="BL521" s="8"/>
      <c r="BN521" s="10"/>
    </row>
    <row r="522" spans="1:66" x14ac:dyDescent="0.15">
      <c r="A522" s="8">
        <v>910064</v>
      </c>
      <c r="B522" s="18" t="str">
        <f>"任务:"&amp;VLOOKUP(A522,CHOOSE({1,2},[4]任务经验掉落配置表!$X$3:$X$173,[4]任务经验掉落配置表!$D$3:$D$173),2,FALSE)</f>
        <v>任务:精英复仇靓坤</v>
      </c>
      <c r="C522" s="8">
        <v>0</v>
      </c>
      <c r="D522" s="8">
        <f t="shared" si="77"/>
        <v>0</v>
      </c>
      <c r="E522" s="16">
        <f t="shared" si="72"/>
        <v>0</v>
      </c>
      <c r="F522" s="16">
        <f t="shared" si="76"/>
        <v>0</v>
      </c>
      <c r="G522" s="8" t="str">
        <f>IF(H522="","",VLOOKUP(H522,引用表合并!$A:$B,2,FALSE))</f>
        <v/>
      </c>
      <c r="K522" s="8" t="str">
        <f>IF(L522="","",VLOOKUP(L522,引用表合并!$A:$B,2,FALSE))</f>
        <v/>
      </c>
      <c r="L522" s="8"/>
      <c r="M522" s="8"/>
      <c r="O522" s="8" t="str">
        <f>IF(P522="","",VLOOKUP(P522,引用表合并!$A:$B,2,FALSE))</f>
        <v/>
      </c>
      <c r="P522" s="8"/>
      <c r="Q522" s="8"/>
      <c r="S522" s="8" t="str">
        <f>IF(T522="","",VLOOKUP(T522,引用表合并!$A:$B,2,FALSE))</f>
        <v/>
      </c>
      <c r="T522" s="8"/>
      <c r="U522" s="8"/>
      <c r="W522" s="8" t="str">
        <f>IF(X522="","",VLOOKUP(X522,引用表合并!$A:$B,2,FALSE))</f>
        <v/>
      </c>
      <c r="X522" s="8"/>
      <c r="Y522" s="8"/>
      <c r="AA522" s="8" t="str">
        <f>IF(AB522="","",VLOOKUP(AB522,引用表合并!$A:$B,2,FALSE))</f>
        <v/>
      </c>
      <c r="AB522" s="8"/>
      <c r="AC522" s="8"/>
      <c r="AE522" s="8" t="str">
        <f>IF(AF522="","",VLOOKUP(AF522,引用表合并!$A:$B,2,FALSE))</f>
        <v/>
      </c>
      <c r="AF522" s="8"/>
      <c r="AG522" s="8"/>
      <c r="AI522" s="8" t="str">
        <f>IF(AJ522="","",VLOOKUP(AJ522,引用表合并!$A:$B,2,FALSE))</f>
        <v/>
      </c>
      <c r="AJ522" s="8"/>
      <c r="AK522" s="8"/>
      <c r="AM522" s="8" t="str">
        <f>IF(AN522="","",VLOOKUP(AN522,引用表合并!$A:$B,2,FALSE))</f>
        <v/>
      </c>
      <c r="AN522" s="8"/>
      <c r="AO522" s="8"/>
      <c r="AQ522" s="8" t="str">
        <f>IF(AR522="","",VLOOKUP(AR522,引用表合并!$A:$B,2,FALSE))</f>
        <v/>
      </c>
      <c r="AR522" s="8"/>
      <c r="AS522" s="8"/>
      <c r="AU522" s="8" t="str">
        <f>IF(AV522="","",VLOOKUP(AV522,引用表合并!$A:$B,2,FALSE))</f>
        <v/>
      </c>
      <c r="AV522" s="8"/>
      <c r="AW522" s="8"/>
      <c r="AY522" s="8" t="str">
        <f>IF(AZ522="","",VLOOKUP(AZ522,引用表合并!$A:$B,2,FALSE))</f>
        <v/>
      </c>
      <c r="AZ522" s="8"/>
      <c r="BA522" s="8"/>
      <c r="BC522" s="8" t="str">
        <f>IF(BD522="","",VLOOKUP(BD522,引用表合并!$A:$B,2,FALSE))</f>
        <v/>
      </c>
      <c r="BD522" s="8"/>
      <c r="BF522" s="10"/>
      <c r="BG522" s="8" t="str">
        <f>IF(BH522="","",VLOOKUP(BH522,引用表合并!$A:$B,2,FALSE))</f>
        <v/>
      </c>
      <c r="BH522" s="8"/>
      <c r="BJ522" s="10"/>
      <c r="BK522" s="8" t="str">
        <f>IF(BL522="","",VLOOKUP(BL522,引用表合并!$A:$B,2,FALSE))</f>
        <v/>
      </c>
      <c r="BL522" s="8"/>
      <c r="BN522" s="10"/>
    </row>
    <row r="523" spans="1:66" x14ac:dyDescent="0.15">
      <c r="A523" s="8">
        <v>910065</v>
      </c>
      <c r="B523" s="18" t="str">
        <f>"任务:"&amp;VLOOKUP(A523,CHOOSE({1,2},[4]任务经验掉落配置表!$X$3:$X$173,[4]任务经验掉落配置表!$D$3:$D$173),2,FALSE)</f>
        <v>任务:精英复仇乌鸦</v>
      </c>
      <c r="C523" s="8">
        <v>0</v>
      </c>
      <c r="D523" s="8">
        <f t="shared" si="77"/>
        <v>0</v>
      </c>
      <c r="E523" s="16">
        <f t="shared" si="72"/>
        <v>0</v>
      </c>
      <c r="F523" s="16">
        <f t="shared" si="76"/>
        <v>0</v>
      </c>
      <c r="G523" s="8" t="str">
        <f>IF(H523="","",VLOOKUP(H523,引用表合并!$A:$B,2,FALSE))</f>
        <v/>
      </c>
      <c r="K523" s="8" t="str">
        <f>IF(L523="","",VLOOKUP(L523,引用表合并!$A:$B,2,FALSE))</f>
        <v/>
      </c>
      <c r="L523" s="8"/>
      <c r="M523" s="8"/>
      <c r="O523" s="8" t="str">
        <f>IF(P523="","",VLOOKUP(P523,引用表合并!$A:$B,2,FALSE))</f>
        <v/>
      </c>
      <c r="P523" s="8"/>
      <c r="Q523" s="8"/>
      <c r="S523" s="8" t="str">
        <f>IF(T523="","",VLOOKUP(T523,引用表合并!$A:$B,2,FALSE))</f>
        <v/>
      </c>
      <c r="T523" s="8"/>
      <c r="U523" s="8"/>
      <c r="W523" s="8" t="str">
        <f>IF(X523="","",VLOOKUP(X523,引用表合并!$A:$B,2,FALSE))</f>
        <v/>
      </c>
      <c r="X523" s="8"/>
      <c r="Y523" s="8"/>
      <c r="AA523" s="8" t="str">
        <f>IF(AB523="","",VLOOKUP(AB523,引用表合并!$A:$B,2,FALSE))</f>
        <v/>
      </c>
      <c r="AB523" s="8"/>
      <c r="AC523" s="8"/>
      <c r="AE523" s="8" t="str">
        <f>IF(AF523="","",VLOOKUP(AF523,引用表合并!$A:$B,2,FALSE))</f>
        <v/>
      </c>
      <c r="AF523" s="8"/>
      <c r="AG523" s="8"/>
      <c r="AI523" s="8" t="str">
        <f>IF(AJ523="","",VLOOKUP(AJ523,引用表合并!$A:$B,2,FALSE))</f>
        <v/>
      </c>
      <c r="AJ523" s="8"/>
      <c r="AK523" s="8"/>
      <c r="AM523" s="8" t="str">
        <f>IF(AN523="","",VLOOKUP(AN523,引用表合并!$A:$B,2,FALSE))</f>
        <v/>
      </c>
      <c r="AN523" s="8"/>
      <c r="AO523" s="8"/>
      <c r="AQ523" s="8" t="str">
        <f>IF(AR523="","",VLOOKUP(AR523,引用表合并!$A:$B,2,FALSE))</f>
        <v/>
      </c>
      <c r="AR523" s="8"/>
      <c r="AS523" s="8"/>
      <c r="AU523" s="8" t="str">
        <f>IF(AV523="","",VLOOKUP(AV523,引用表合并!$A:$B,2,FALSE))</f>
        <v/>
      </c>
      <c r="AV523" s="8"/>
      <c r="AW523" s="8"/>
      <c r="AY523" s="8" t="str">
        <f>IF(AZ523="","",VLOOKUP(AZ523,引用表合并!$A:$B,2,FALSE))</f>
        <v/>
      </c>
      <c r="AZ523" s="8"/>
      <c r="BA523" s="8"/>
      <c r="BC523" s="8" t="str">
        <f>IF(BD523="","",VLOOKUP(BD523,引用表合并!$A:$B,2,FALSE))</f>
        <v/>
      </c>
      <c r="BD523" s="8"/>
      <c r="BF523" s="10"/>
      <c r="BG523" s="8" t="str">
        <f>IF(BH523="","",VLOOKUP(BH523,引用表合并!$A:$B,2,FALSE))</f>
        <v/>
      </c>
      <c r="BH523" s="8"/>
      <c r="BJ523" s="10"/>
      <c r="BK523" s="8" t="str">
        <f>IF(BL523="","",VLOOKUP(BL523,引用表合并!$A:$B,2,FALSE))</f>
        <v/>
      </c>
      <c r="BL523" s="8"/>
      <c r="BN523" s="10"/>
    </row>
    <row r="524" spans="1:66" x14ac:dyDescent="0.15">
      <c r="A524" s="8">
        <v>910066</v>
      </c>
      <c r="B524" s="18" t="str">
        <f>"任务:"&amp;VLOOKUP(A524,CHOOSE({1,2},[4]任务经验掉落配置表!$X$3:$X$173,[4]任务经验掉落配置表!$D$3:$D$173),2,FALSE)</f>
        <v>任务:精英复仇司徒</v>
      </c>
      <c r="C524" s="8">
        <v>0</v>
      </c>
      <c r="D524" s="8">
        <f t="shared" si="77"/>
        <v>0</v>
      </c>
      <c r="E524" s="16">
        <f t="shared" si="72"/>
        <v>0</v>
      </c>
      <c r="F524" s="16">
        <f t="shared" si="76"/>
        <v>0</v>
      </c>
      <c r="G524" s="8" t="str">
        <f>IF(H524="","",VLOOKUP(H524,引用表合并!$A:$B,2,FALSE))</f>
        <v/>
      </c>
      <c r="K524" s="8" t="str">
        <f>IF(L524="","",VLOOKUP(L524,引用表合并!$A:$B,2,FALSE))</f>
        <v/>
      </c>
      <c r="L524" s="8"/>
      <c r="M524" s="8"/>
      <c r="O524" s="8" t="str">
        <f>IF(P524="","",VLOOKUP(P524,引用表合并!$A:$B,2,FALSE))</f>
        <v/>
      </c>
      <c r="P524" s="8"/>
      <c r="Q524" s="8"/>
      <c r="S524" s="8" t="str">
        <f>IF(T524="","",VLOOKUP(T524,引用表合并!$A:$B,2,FALSE))</f>
        <v/>
      </c>
      <c r="T524" s="8"/>
      <c r="U524" s="8"/>
      <c r="W524" s="8" t="str">
        <f>IF(X524="","",VLOOKUP(X524,引用表合并!$A:$B,2,FALSE))</f>
        <v/>
      </c>
      <c r="X524" s="8"/>
      <c r="Y524" s="8"/>
      <c r="AA524" s="8" t="str">
        <f>IF(AB524="","",VLOOKUP(AB524,引用表合并!$A:$B,2,FALSE))</f>
        <v/>
      </c>
      <c r="AB524" s="8"/>
      <c r="AC524" s="8"/>
      <c r="AE524" s="8" t="str">
        <f>IF(AF524="","",VLOOKUP(AF524,引用表合并!$A:$B,2,FALSE))</f>
        <v/>
      </c>
      <c r="AF524" s="8"/>
      <c r="AG524" s="8"/>
      <c r="AI524" s="8" t="str">
        <f>IF(AJ524="","",VLOOKUP(AJ524,引用表合并!$A:$B,2,FALSE))</f>
        <v/>
      </c>
      <c r="AJ524" s="8"/>
      <c r="AK524" s="8"/>
      <c r="AM524" s="8" t="str">
        <f>IF(AN524="","",VLOOKUP(AN524,引用表合并!$A:$B,2,FALSE))</f>
        <v/>
      </c>
      <c r="AN524" s="8"/>
      <c r="AO524" s="8"/>
      <c r="AQ524" s="8" t="str">
        <f>IF(AR524="","",VLOOKUP(AR524,引用表合并!$A:$B,2,FALSE))</f>
        <v/>
      </c>
      <c r="AR524" s="8"/>
      <c r="AS524" s="8"/>
      <c r="AU524" s="8" t="str">
        <f>IF(AV524="","",VLOOKUP(AV524,引用表合并!$A:$B,2,FALSE))</f>
        <v/>
      </c>
      <c r="AV524" s="8"/>
      <c r="AW524" s="8"/>
      <c r="AY524" s="8" t="str">
        <f>IF(AZ524="","",VLOOKUP(AZ524,引用表合并!$A:$B,2,FALSE))</f>
        <v/>
      </c>
      <c r="AZ524" s="8"/>
      <c r="BA524" s="8"/>
      <c r="BC524" s="8" t="str">
        <f>IF(BD524="","",VLOOKUP(BD524,引用表合并!$A:$B,2,FALSE))</f>
        <v/>
      </c>
      <c r="BD524" s="8"/>
      <c r="BF524" s="10"/>
      <c r="BG524" s="8" t="str">
        <f>IF(BH524="","",VLOOKUP(BH524,引用表合并!$A:$B,2,FALSE))</f>
        <v/>
      </c>
      <c r="BH524" s="8"/>
      <c r="BJ524" s="10"/>
      <c r="BK524" s="8" t="str">
        <f>IF(BL524="","",VLOOKUP(BL524,引用表合并!$A:$B,2,FALSE))</f>
        <v/>
      </c>
      <c r="BL524" s="8"/>
      <c r="BN524" s="10"/>
    </row>
    <row r="525" spans="1:66" x14ac:dyDescent="0.15">
      <c r="A525" s="8">
        <v>910067</v>
      </c>
      <c r="B525" s="18" t="str">
        <f>"任务:"&amp;VLOOKUP(A525,CHOOSE({1,2},[4]任务经验掉落配置表!$X$3:$X$173,[4]任务经验掉落配置表!$D$3:$D$173),2,FALSE)</f>
        <v>任务:精英生番</v>
      </c>
      <c r="C525" s="8">
        <v>0</v>
      </c>
      <c r="D525" s="8">
        <f t="shared" si="77"/>
        <v>0</v>
      </c>
      <c r="E525" s="16">
        <f t="shared" si="72"/>
        <v>0</v>
      </c>
      <c r="F525" s="16">
        <f t="shared" si="76"/>
        <v>0</v>
      </c>
      <c r="G525" s="8" t="str">
        <f>IF(H525="","",VLOOKUP(H525,引用表合并!$A:$B,2,FALSE))</f>
        <v/>
      </c>
      <c r="K525" s="8" t="str">
        <f>IF(L525="","",VLOOKUP(L525,引用表合并!$A:$B,2,FALSE))</f>
        <v/>
      </c>
      <c r="L525" s="8"/>
      <c r="M525" s="8"/>
      <c r="O525" s="8" t="str">
        <f>IF(P525="","",VLOOKUP(P525,引用表合并!$A:$B,2,FALSE))</f>
        <v/>
      </c>
      <c r="P525" s="8"/>
      <c r="Q525" s="8"/>
      <c r="S525" s="8" t="str">
        <f>IF(T525="","",VLOOKUP(T525,引用表合并!$A:$B,2,FALSE))</f>
        <v/>
      </c>
      <c r="T525" s="8"/>
      <c r="U525" s="8"/>
      <c r="W525" s="8" t="str">
        <f>IF(X525="","",VLOOKUP(X525,引用表合并!$A:$B,2,FALSE))</f>
        <v/>
      </c>
      <c r="X525" s="8"/>
      <c r="Y525" s="8"/>
      <c r="AA525" s="8" t="str">
        <f>IF(AB525="","",VLOOKUP(AB525,引用表合并!$A:$B,2,FALSE))</f>
        <v/>
      </c>
      <c r="AB525" s="8"/>
      <c r="AC525" s="8"/>
      <c r="AE525" s="8" t="str">
        <f>IF(AF525="","",VLOOKUP(AF525,引用表合并!$A:$B,2,FALSE))</f>
        <v/>
      </c>
      <c r="AF525" s="8"/>
      <c r="AG525" s="8"/>
      <c r="AI525" s="8" t="str">
        <f>IF(AJ525="","",VLOOKUP(AJ525,引用表合并!$A:$B,2,FALSE))</f>
        <v/>
      </c>
      <c r="AJ525" s="8"/>
      <c r="AK525" s="8"/>
      <c r="AM525" s="8" t="str">
        <f>IF(AN525="","",VLOOKUP(AN525,引用表合并!$A:$B,2,FALSE))</f>
        <v/>
      </c>
      <c r="AN525" s="8"/>
      <c r="AO525" s="8"/>
      <c r="AQ525" s="8" t="str">
        <f>IF(AR525="","",VLOOKUP(AR525,引用表合并!$A:$B,2,FALSE))</f>
        <v/>
      </c>
      <c r="AR525" s="8"/>
      <c r="AS525" s="8"/>
      <c r="AU525" s="8" t="str">
        <f>IF(AV525="","",VLOOKUP(AV525,引用表合并!$A:$B,2,FALSE))</f>
        <v/>
      </c>
      <c r="AV525" s="8"/>
      <c r="AW525" s="8"/>
      <c r="AY525" s="8" t="str">
        <f>IF(AZ525="","",VLOOKUP(AZ525,引用表合并!$A:$B,2,FALSE))</f>
        <v/>
      </c>
      <c r="AZ525" s="8"/>
      <c r="BA525" s="8"/>
      <c r="BC525" s="8" t="str">
        <f>IF(BD525="","",VLOOKUP(BD525,引用表合并!$A:$B,2,FALSE))</f>
        <v/>
      </c>
      <c r="BD525" s="8"/>
      <c r="BF525" s="10"/>
      <c r="BG525" s="8" t="str">
        <f>IF(BH525="","",VLOOKUP(BH525,引用表合并!$A:$B,2,FALSE))</f>
        <v/>
      </c>
      <c r="BH525" s="8"/>
      <c r="BJ525" s="10"/>
      <c r="BK525" s="8" t="str">
        <f>IF(BL525="","",VLOOKUP(BL525,引用表合并!$A:$B,2,FALSE))</f>
        <v/>
      </c>
      <c r="BL525" s="8"/>
      <c r="BN525" s="10"/>
    </row>
    <row r="526" spans="1:66" x14ac:dyDescent="0.15">
      <c r="A526" s="8">
        <v>910068</v>
      </c>
      <c r="B526" s="18" t="str">
        <f>"任务:"&amp;VLOOKUP(A526,CHOOSE({1,2},[4]任务经验掉落配置表!$X$3:$X$173,[4]任务经验掉落配置表!$D$3:$D$173),2,FALSE)</f>
        <v>任务:精英耀阳</v>
      </c>
      <c r="C526" s="8">
        <v>0</v>
      </c>
      <c r="D526" s="8">
        <f t="shared" si="77"/>
        <v>0</v>
      </c>
      <c r="E526" s="16">
        <f t="shared" si="72"/>
        <v>0</v>
      </c>
      <c r="F526" s="16">
        <f t="shared" si="76"/>
        <v>0</v>
      </c>
      <c r="G526" s="8" t="str">
        <f>IF(H526="","",VLOOKUP(H526,引用表合并!$A:$B,2,FALSE))</f>
        <v/>
      </c>
      <c r="K526" s="8" t="str">
        <f>IF(L526="","",VLOOKUP(L526,引用表合并!$A:$B,2,FALSE))</f>
        <v/>
      </c>
      <c r="L526" s="8"/>
      <c r="M526" s="8"/>
      <c r="O526" s="8" t="str">
        <f>IF(P526="","",VLOOKUP(P526,引用表合并!$A:$B,2,FALSE))</f>
        <v/>
      </c>
      <c r="P526" s="8"/>
      <c r="Q526" s="8"/>
      <c r="S526" s="8" t="str">
        <f>IF(T526="","",VLOOKUP(T526,引用表合并!$A:$B,2,FALSE))</f>
        <v/>
      </c>
      <c r="T526" s="8"/>
      <c r="U526" s="8"/>
      <c r="W526" s="8" t="str">
        <f>IF(X526="","",VLOOKUP(X526,引用表合并!$A:$B,2,FALSE))</f>
        <v/>
      </c>
      <c r="X526" s="8"/>
      <c r="Y526" s="8"/>
      <c r="AA526" s="8" t="str">
        <f>IF(AB526="","",VLOOKUP(AB526,引用表合并!$A:$B,2,FALSE))</f>
        <v/>
      </c>
      <c r="AB526" s="8"/>
      <c r="AC526" s="8"/>
      <c r="AE526" s="8" t="str">
        <f>IF(AF526="","",VLOOKUP(AF526,引用表合并!$A:$B,2,FALSE))</f>
        <v/>
      </c>
      <c r="AF526" s="8"/>
      <c r="AG526" s="8"/>
      <c r="AI526" s="8" t="str">
        <f>IF(AJ526="","",VLOOKUP(AJ526,引用表合并!$A:$B,2,FALSE))</f>
        <v/>
      </c>
      <c r="AJ526" s="8"/>
      <c r="AK526" s="8"/>
      <c r="AM526" s="8" t="str">
        <f>IF(AN526="","",VLOOKUP(AN526,引用表合并!$A:$B,2,FALSE))</f>
        <v/>
      </c>
      <c r="AN526" s="8"/>
      <c r="AO526" s="8"/>
      <c r="AQ526" s="8" t="str">
        <f>IF(AR526="","",VLOOKUP(AR526,引用表合并!$A:$B,2,FALSE))</f>
        <v/>
      </c>
      <c r="AR526" s="8"/>
      <c r="AS526" s="8"/>
      <c r="AU526" s="8" t="str">
        <f>IF(AV526="","",VLOOKUP(AV526,引用表合并!$A:$B,2,FALSE))</f>
        <v/>
      </c>
      <c r="AV526" s="8"/>
      <c r="AW526" s="8"/>
      <c r="AY526" s="8" t="str">
        <f>IF(AZ526="","",VLOOKUP(AZ526,引用表合并!$A:$B,2,FALSE))</f>
        <v/>
      </c>
      <c r="AZ526" s="8"/>
      <c r="BA526" s="8"/>
      <c r="BC526" s="8" t="str">
        <f>IF(BD526="","",VLOOKUP(BD526,引用表合并!$A:$B,2,FALSE))</f>
        <v/>
      </c>
      <c r="BD526" s="8"/>
      <c r="BF526" s="10"/>
      <c r="BG526" s="8" t="str">
        <f>IF(BH526="","",VLOOKUP(BH526,引用表合并!$A:$B,2,FALSE))</f>
        <v/>
      </c>
      <c r="BH526" s="8"/>
      <c r="BJ526" s="10"/>
      <c r="BK526" s="8" t="str">
        <f>IF(BL526="","",VLOOKUP(BL526,引用表合并!$A:$B,2,FALSE))</f>
        <v/>
      </c>
      <c r="BL526" s="8"/>
      <c r="BN526" s="10"/>
    </row>
    <row r="527" spans="1:66" x14ac:dyDescent="0.15">
      <c r="A527" s="8">
        <v>910069</v>
      </c>
      <c r="B527" s="18" t="str">
        <f>"任务:"&amp;VLOOKUP(A527,CHOOSE({1,2},[4]任务经验掉落配置表!$X$3:$X$173,[4]任务经验掉落配置表!$D$3:$D$173),2,FALSE)</f>
        <v>任务:精英赌王</v>
      </c>
      <c r="C527" s="8">
        <v>0</v>
      </c>
      <c r="D527" s="8">
        <f t="shared" si="77"/>
        <v>0</v>
      </c>
      <c r="E527" s="16">
        <f t="shared" si="72"/>
        <v>0</v>
      </c>
      <c r="F527" s="16">
        <f t="shared" si="76"/>
        <v>0</v>
      </c>
      <c r="G527" s="8" t="str">
        <f>IF(H527="","",VLOOKUP(H527,引用表合并!$A:$B,2,FALSE))</f>
        <v/>
      </c>
      <c r="K527" s="8" t="str">
        <f>IF(L527="","",VLOOKUP(L527,引用表合并!$A:$B,2,FALSE))</f>
        <v/>
      </c>
      <c r="L527" s="8"/>
      <c r="M527" s="8"/>
      <c r="O527" s="8" t="str">
        <f>IF(P527="","",VLOOKUP(P527,引用表合并!$A:$B,2,FALSE))</f>
        <v/>
      </c>
      <c r="P527" s="8"/>
      <c r="Q527" s="8"/>
      <c r="S527" s="8" t="str">
        <f>IF(T527="","",VLOOKUP(T527,引用表合并!$A:$B,2,FALSE))</f>
        <v/>
      </c>
      <c r="T527" s="8"/>
      <c r="U527" s="8"/>
      <c r="W527" s="8" t="str">
        <f>IF(X527="","",VLOOKUP(X527,引用表合并!$A:$B,2,FALSE))</f>
        <v/>
      </c>
      <c r="X527" s="8"/>
      <c r="Y527" s="8"/>
      <c r="AA527" s="8" t="str">
        <f>IF(AB527="","",VLOOKUP(AB527,引用表合并!$A:$B,2,FALSE))</f>
        <v/>
      </c>
      <c r="AB527" s="8"/>
      <c r="AC527" s="8"/>
      <c r="AE527" s="8" t="str">
        <f>IF(AF527="","",VLOOKUP(AF527,引用表合并!$A:$B,2,FALSE))</f>
        <v/>
      </c>
      <c r="AF527" s="8"/>
      <c r="AG527" s="8"/>
      <c r="AI527" s="8" t="str">
        <f>IF(AJ527="","",VLOOKUP(AJ527,引用表合并!$A:$B,2,FALSE))</f>
        <v/>
      </c>
      <c r="AJ527" s="8"/>
      <c r="AK527" s="8"/>
      <c r="AM527" s="8" t="str">
        <f>IF(AN527="","",VLOOKUP(AN527,引用表合并!$A:$B,2,FALSE))</f>
        <v/>
      </c>
      <c r="AN527" s="8"/>
      <c r="AO527" s="8"/>
      <c r="AQ527" s="8" t="str">
        <f>IF(AR527="","",VLOOKUP(AR527,引用表合并!$A:$B,2,FALSE))</f>
        <v/>
      </c>
      <c r="AR527" s="8"/>
      <c r="AS527" s="8"/>
      <c r="AU527" s="8" t="str">
        <f>IF(AV527="","",VLOOKUP(AV527,引用表合并!$A:$B,2,FALSE))</f>
        <v/>
      </c>
      <c r="AV527" s="8"/>
      <c r="AW527" s="8"/>
      <c r="AY527" s="8" t="str">
        <f>IF(AZ527="","",VLOOKUP(AZ527,引用表合并!$A:$B,2,FALSE))</f>
        <v/>
      </c>
      <c r="AZ527" s="8"/>
      <c r="BA527" s="8"/>
      <c r="BC527" s="8" t="str">
        <f>IF(BD527="","",VLOOKUP(BD527,引用表合并!$A:$B,2,FALSE))</f>
        <v/>
      </c>
      <c r="BD527" s="8"/>
      <c r="BF527" s="10"/>
      <c r="BG527" s="8" t="str">
        <f>IF(BH527="","",VLOOKUP(BH527,引用表合并!$A:$B,2,FALSE))</f>
        <v/>
      </c>
      <c r="BH527" s="8"/>
      <c r="BJ527" s="10"/>
      <c r="BK527" s="8" t="str">
        <f>IF(BL527="","",VLOOKUP(BL527,引用表合并!$A:$B,2,FALSE))</f>
        <v/>
      </c>
      <c r="BL527" s="8"/>
      <c r="BN527" s="10"/>
    </row>
    <row r="528" spans="1:66" x14ac:dyDescent="0.15">
      <c r="A528" s="8">
        <v>910070</v>
      </c>
      <c r="B528" s="18" t="str">
        <f>"任务:"&amp;VLOOKUP(A528,CHOOSE({1,2},[4]任务经验掉落配置表!$X$3:$X$173,[4]任务经验掉落配置表!$D$3:$D$173),2,FALSE)</f>
        <v>任务:精英地中海</v>
      </c>
      <c r="C528" s="8">
        <v>0</v>
      </c>
      <c r="D528" s="8">
        <f t="shared" ref="D528:D530" si="78">E528</f>
        <v>0</v>
      </c>
      <c r="E528" s="16">
        <f t="shared" si="72"/>
        <v>0</v>
      </c>
      <c r="F528" s="16">
        <f t="shared" ref="F528:F530" si="79">E528</f>
        <v>0</v>
      </c>
      <c r="G528" s="8" t="str">
        <f>IF(H528="","",VLOOKUP(H528,引用表合并!$A:$B,2,FALSE))</f>
        <v/>
      </c>
      <c r="K528" s="8" t="str">
        <f>IF(L528="","",VLOOKUP(L528,引用表合并!$A:$B,2,FALSE))</f>
        <v/>
      </c>
      <c r="L528" s="8"/>
      <c r="M528" s="8"/>
      <c r="O528" s="8" t="str">
        <f>IF(P528="","",VLOOKUP(P528,引用表合并!$A:$B,2,FALSE))</f>
        <v/>
      </c>
      <c r="P528" s="8"/>
      <c r="Q528" s="8"/>
      <c r="S528" s="8" t="str">
        <f>IF(T528="","",VLOOKUP(T528,引用表合并!$A:$B,2,FALSE))</f>
        <v/>
      </c>
      <c r="T528" s="8"/>
      <c r="U528" s="8"/>
      <c r="W528" s="8" t="str">
        <f>IF(X528="","",VLOOKUP(X528,引用表合并!$A:$B,2,FALSE))</f>
        <v/>
      </c>
      <c r="X528" s="8"/>
      <c r="Y528" s="8"/>
      <c r="AA528" s="8" t="str">
        <f>IF(AB528="","",VLOOKUP(AB528,引用表合并!$A:$B,2,FALSE))</f>
        <v/>
      </c>
      <c r="AB528" s="8"/>
      <c r="AC528" s="8"/>
      <c r="AE528" s="8" t="str">
        <f>IF(AF528="","",VLOOKUP(AF528,引用表合并!$A:$B,2,FALSE))</f>
        <v/>
      </c>
      <c r="AF528" s="8"/>
      <c r="AG528" s="8"/>
      <c r="AI528" s="8" t="str">
        <f>IF(AJ528="","",VLOOKUP(AJ528,引用表合并!$A:$B,2,FALSE))</f>
        <v/>
      </c>
      <c r="AJ528" s="8"/>
      <c r="AK528" s="8"/>
      <c r="AM528" s="8" t="str">
        <f>IF(AN528="","",VLOOKUP(AN528,引用表合并!$A:$B,2,FALSE))</f>
        <v/>
      </c>
      <c r="AN528" s="8"/>
      <c r="AO528" s="8"/>
      <c r="AQ528" s="8" t="str">
        <f>IF(AR528="","",VLOOKUP(AR528,引用表合并!$A:$B,2,FALSE))</f>
        <v/>
      </c>
      <c r="AR528" s="8"/>
      <c r="AS528" s="8"/>
      <c r="AU528" s="8" t="str">
        <f>IF(AV528="","",VLOOKUP(AV528,引用表合并!$A:$B,2,FALSE))</f>
        <v/>
      </c>
      <c r="AV528" s="8"/>
      <c r="AW528" s="8"/>
      <c r="AY528" s="8" t="str">
        <f>IF(AZ528="","",VLOOKUP(AZ528,引用表合并!$A:$B,2,FALSE))</f>
        <v/>
      </c>
      <c r="AZ528" s="8"/>
      <c r="BA528" s="8"/>
      <c r="BC528" s="8" t="str">
        <f>IF(BD528="","",VLOOKUP(BD528,引用表合并!$A:$B,2,FALSE))</f>
        <v/>
      </c>
      <c r="BD528" s="8"/>
      <c r="BF528" s="10"/>
      <c r="BG528" s="8" t="str">
        <f>IF(BH528="","",VLOOKUP(BH528,引用表合并!$A:$B,2,FALSE))</f>
        <v/>
      </c>
      <c r="BH528" s="8"/>
      <c r="BJ528" s="10"/>
      <c r="BK528" s="8" t="str">
        <f>IF(BL528="","",VLOOKUP(BL528,引用表合并!$A:$B,2,FALSE))</f>
        <v/>
      </c>
      <c r="BL528" s="8"/>
      <c r="BN528" s="10"/>
    </row>
    <row r="529" spans="1:66" x14ac:dyDescent="0.15">
      <c r="A529" s="8">
        <v>910071</v>
      </c>
      <c r="B529" s="18" t="str">
        <f>"任务:"&amp;VLOOKUP(A529,CHOOSE({1,2},[4]任务经验掉落配置表!$X$3:$X$173,[4]任务经验掉落配置表!$D$3:$D$173),2,FALSE)</f>
        <v>任务:精英山鸡</v>
      </c>
      <c r="C529" s="8">
        <v>0</v>
      </c>
      <c r="D529" s="8">
        <f t="shared" si="78"/>
        <v>0</v>
      </c>
      <c r="E529" s="16">
        <f t="shared" si="72"/>
        <v>0</v>
      </c>
      <c r="F529" s="16">
        <f t="shared" si="79"/>
        <v>0</v>
      </c>
      <c r="G529" s="8" t="str">
        <f>IF(H529="","",VLOOKUP(H529,引用表合并!$A:$B,2,FALSE))</f>
        <v/>
      </c>
      <c r="K529" s="8" t="str">
        <f>IF(L529="","",VLOOKUP(L529,引用表合并!$A:$B,2,FALSE))</f>
        <v/>
      </c>
      <c r="L529" s="8"/>
      <c r="M529" s="8"/>
      <c r="O529" s="8" t="str">
        <f>IF(P529="","",VLOOKUP(P529,引用表合并!$A:$B,2,FALSE))</f>
        <v/>
      </c>
      <c r="P529" s="8"/>
      <c r="Q529" s="8"/>
      <c r="S529" s="8" t="str">
        <f>IF(T529="","",VLOOKUP(T529,引用表合并!$A:$B,2,FALSE))</f>
        <v/>
      </c>
      <c r="T529" s="8"/>
      <c r="U529" s="8"/>
      <c r="W529" s="8" t="str">
        <f>IF(X529="","",VLOOKUP(X529,引用表合并!$A:$B,2,FALSE))</f>
        <v/>
      </c>
      <c r="X529" s="8"/>
      <c r="Y529" s="8"/>
      <c r="AA529" s="8" t="str">
        <f>IF(AB529="","",VLOOKUP(AB529,引用表合并!$A:$B,2,FALSE))</f>
        <v/>
      </c>
      <c r="AB529" s="8"/>
      <c r="AC529" s="8"/>
      <c r="AE529" s="8" t="str">
        <f>IF(AF529="","",VLOOKUP(AF529,引用表合并!$A:$B,2,FALSE))</f>
        <v/>
      </c>
      <c r="AF529" s="8"/>
      <c r="AG529" s="8"/>
      <c r="AI529" s="8" t="str">
        <f>IF(AJ529="","",VLOOKUP(AJ529,引用表合并!$A:$B,2,FALSE))</f>
        <v/>
      </c>
      <c r="AJ529" s="8"/>
      <c r="AK529" s="8"/>
      <c r="AM529" s="8" t="str">
        <f>IF(AN529="","",VLOOKUP(AN529,引用表合并!$A:$B,2,FALSE))</f>
        <v/>
      </c>
      <c r="AN529" s="8"/>
      <c r="AO529" s="8"/>
      <c r="AQ529" s="8" t="str">
        <f>IF(AR529="","",VLOOKUP(AR529,引用表合并!$A:$B,2,FALSE))</f>
        <v/>
      </c>
      <c r="AR529" s="8"/>
      <c r="AS529" s="8"/>
      <c r="AU529" s="8" t="str">
        <f>IF(AV529="","",VLOOKUP(AV529,引用表合并!$A:$B,2,FALSE))</f>
        <v/>
      </c>
      <c r="AV529" s="8"/>
      <c r="AW529" s="8"/>
      <c r="AY529" s="8" t="str">
        <f>IF(AZ529="","",VLOOKUP(AZ529,引用表合并!$A:$B,2,FALSE))</f>
        <v/>
      </c>
      <c r="AZ529" s="8"/>
      <c r="BA529" s="8"/>
      <c r="BC529" s="8" t="str">
        <f>IF(BD529="","",VLOOKUP(BD529,引用表合并!$A:$B,2,FALSE))</f>
        <v/>
      </c>
      <c r="BD529" s="8"/>
      <c r="BF529" s="10"/>
      <c r="BG529" s="8" t="str">
        <f>IF(BH529="","",VLOOKUP(BH529,引用表合并!$A:$B,2,FALSE))</f>
        <v/>
      </c>
      <c r="BH529" s="8"/>
      <c r="BJ529" s="10"/>
      <c r="BK529" s="8" t="str">
        <f>IF(BL529="","",VLOOKUP(BL529,引用表合并!$A:$B,2,FALSE))</f>
        <v/>
      </c>
      <c r="BL529" s="8"/>
      <c r="BN529" s="10"/>
    </row>
    <row r="530" spans="1:66" x14ac:dyDescent="0.15">
      <c r="A530" s="8">
        <v>910072</v>
      </c>
      <c r="B530" s="18" t="str">
        <f>"任务:"&amp;VLOOKUP(A530,CHOOSE({1,2},[4]任务经验掉落配置表!$X$3:$X$173,[4]任务经验掉落配置表!$D$3:$D$173),2,FALSE)</f>
        <v>任务:精英雷复轰</v>
      </c>
      <c r="C530" s="8">
        <v>0</v>
      </c>
      <c r="D530" s="8">
        <f t="shared" si="78"/>
        <v>0</v>
      </c>
      <c r="E530" s="16">
        <f t="shared" si="72"/>
        <v>0</v>
      </c>
      <c r="F530" s="16">
        <f t="shared" si="79"/>
        <v>0</v>
      </c>
      <c r="G530" s="8" t="str">
        <f>IF(H530="","",VLOOKUP(H530,引用表合并!$A:$B,2,FALSE))</f>
        <v/>
      </c>
      <c r="K530" s="8" t="str">
        <f>IF(L530="","",VLOOKUP(L530,引用表合并!$A:$B,2,FALSE))</f>
        <v/>
      </c>
      <c r="L530" s="8"/>
      <c r="M530" s="8"/>
      <c r="O530" s="8" t="str">
        <f>IF(P530="","",VLOOKUP(P530,引用表合并!$A:$B,2,FALSE))</f>
        <v/>
      </c>
      <c r="P530" s="8"/>
      <c r="Q530" s="8"/>
      <c r="S530" s="8" t="str">
        <f>IF(T530="","",VLOOKUP(T530,引用表合并!$A:$B,2,FALSE))</f>
        <v/>
      </c>
      <c r="T530" s="8"/>
      <c r="U530" s="8"/>
      <c r="W530" s="8" t="str">
        <f>IF(X530="","",VLOOKUP(X530,引用表合并!$A:$B,2,FALSE))</f>
        <v/>
      </c>
      <c r="X530" s="8"/>
      <c r="Y530" s="8"/>
      <c r="AA530" s="8" t="str">
        <f>IF(AB530="","",VLOOKUP(AB530,引用表合并!$A:$B,2,FALSE))</f>
        <v/>
      </c>
      <c r="AB530" s="8"/>
      <c r="AC530" s="8"/>
      <c r="AE530" s="8" t="str">
        <f>IF(AF530="","",VLOOKUP(AF530,引用表合并!$A:$B,2,FALSE))</f>
        <v/>
      </c>
      <c r="AF530" s="8"/>
      <c r="AG530" s="8"/>
      <c r="AI530" s="8" t="str">
        <f>IF(AJ530="","",VLOOKUP(AJ530,引用表合并!$A:$B,2,FALSE))</f>
        <v/>
      </c>
      <c r="AJ530" s="8"/>
      <c r="AK530" s="8"/>
      <c r="AM530" s="8" t="str">
        <f>IF(AN530="","",VLOOKUP(AN530,引用表合并!$A:$B,2,FALSE))</f>
        <v/>
      </c>
      <c r="AN530" s="8"/>
      <c r="AO530" s="8"/>
      <c r="AQ530" s="8" t="str">
        <f>IF(AR530="","",VLOOKUP(AR530,引用表合并!$A:$B,2,FALSE))</f>
        <v/>
      </c>
      <c r="AR530" s="8"/>
      <c r="AS530" s="8"/>
      <c r="AU530" s="8" t="str">
        <f>IF(AV530="","",VLOOKUP(AV530,引用表合并!$A:$B,2,FALSE))</f>
        <v/>
      </c>
      <c r="AV530" s="8"/>
      <c r="AW530" s="8"/>
      <c r="AY530" s="8" t="str">
        <f>IF(AZ530="","",VLOOKUP(AZ530,引用表合并!$A:$B,2,FALSE))</f>
        <v/>
      </c>
      <c r="AZ530" s="8"/>
      <c r="BA530" s="8"/>
      <c r="BC530" s="8" t="str">
        <f>IF(BD530="","",VLOOKUP(BD530,引用表合并!$A:$B,2,FALSE))</f>
        <v/>
      </c>
      <c r="BD530" s="8"/>
      <c r="BF530" s="10"/>
      <c r="BG530" s="8" t="str">
        <f>IF(BH530="","",VLOOKUP(BH530,引用表合并!$A:$B,2,FALSE))</f>
        <v/>
      </c>
      <c r="BH530" s="8"/>
      <c r="BJ530" s="10"/>
      <c r="BK530" s="8" t="str">
        <f>IF(BL530="","",VLOOKUP(BL530,引用表合并!$A:$B,2,FALSE))</f>
        <v/>
      </c>
      <c r="BL530" s="8"/>
      <c r="BN530" s="10"/>
    </row>
    <row r="531" spans="1:66" x14ac:dyDescent="0.15">
      <c r="A531" s="8">
        <v>805001</v>
      </c>
      <c r="B531" s="8" t="s">
        <v>742</v>
      </c>
      <c r="C531" s="8">
        <v>0</v>
      </c>
      <c r="D531" s="8">
        <f t="shared" si="71"/>
        <v>0</v>
      </c>
      <c r="E531" s="16">
        <f t="shared" si="72"/>
        <v>0</v>
      </c>
      <c r="F531" s="16">
        <f t="shared" si="73"/>
        <v>0</v>
      </c>
      <c r="G531" s="8" t="str">
        <f>IF(H531="","",VLOOKUP(H531,引用表合并!$A:$B,2,FALSE))</f>
        <v/>
      </c>
      <c r="K531" s="8" t="str">
        <f>IF(L531="","",VLOOKUP(L531,引用表合并!$A:$B,2,FALSE))</f>
        <v/>
      </c>
      <c r="L531" s="8"/>
      <c r="M531" s="8"/>
      <c r="O531" s="8" t="str">
        <f>IF(P531="","",VLOOKUP(P531,引用表合并!$A:$B,2,FALSE))</f>
        <v/>
      </c>
      <c r="P531" s="8"/>
      <c r="Q531" s="8"/>
      <c r="S531" s="8" t="str">
        <f>IF(T531="","",VLOOKUP(T531,引用表合并!$A:$B,2,FALSE))</f>
        <v/>
      </c>
      <c r="T531" s="8"/>
      <c r="U531" s="8"/>
      <c r="W531" s="8" t="str">
        <f>IF(X531="","",VLOOKUP(X531,引用表合并!$A:$B,2,FALSE))</f>
        <v/>
      </c>
      <c r="X531" s="8"/>
      <c r="Y531" s="8"/>
      <c r="AA531" s="8" t="str">
        <f>IF(AB531="","",VLOOKUP(AB531,引用表合并!$A:$B,2,FALSE))</f>
        <v/>
      </c>
      <c r="AB531" s="8"/>
      <c r="AC531" s="8"/>
      <c r="AE531" s="8" t="str">
        <f>IF(AF531="","",VLOOKUP(AF531,引用表合并!$A:$B,2,FALSE))</f>
        <v/>
      </c>
      <c r="AF531" s="8"/>
      <c r="AG531" s="8"/>
      <c r="AI531" s="8" t="str">
        <f>IF(AJ531="","",VLOOKUP(AJ531,引用表合并!$A:$B,2,FALSE))</f>
        <v/>
      </c>
      <c r="AJ531" s="8"/>
      <c r="AK531" s="8"/>
      <c r="AM531" s="8" t="str">
        <f>IF(AN531="","",VLOOKUP(AN531,引用表合并!$A:$B,2,FALSE))</f>
        <v/>
      </c>
      <c r="AN531" s="8"/>
      <c r="AO531" s="8"/>
      <c r="AQ531" s="8" t="str">
        <f>IF(AR531="","",VLOOKUP(AR531,引用表合并!$A:$B,2,FALSE))</f>
        <v/>
      </c>
      <c r="AR531" s="8"/>
      <c r="AS531" s="8"/>
      <c r="AU531" s="8" t="str">
        <f>IF(AV531="","",VLOOKUP(AV531,引用表合并!$A:$B,2,FALSE))</f>
        <v/>
      </c>
      <c r="AV531" s="8"/>
      <c r="AW531" s="8"/>
      <c r="AY531" s="8" t="str">
        <f>IF(AZ531="","",VLOOKUP(AZ531,引用表合并!$A:$B,2,FALSE))</f>
        <v/>
      </c>
      <c r="AZ531" s="8"/>
      <c r="BA531" s="8"/>
      <c r="BC531" s="8" t="str">
        <f>IF(BD531="","",VLOOKUP(BD531,引用表合并!$A:$B,2,FALSE))</f>
        <v/>
      </c>
      <c r="BD531" s="8"/>
      <c r="BF531" s="10"/>
      <c r="BG531" s="8" t="str">
        <f>IF(BH531="","",VLOOKUP(BH531,引用表合并!$A:$B,2,FALSE))</f>
        <v/>
      </c>
      <c r="BH531" s="8"/>
      <c r="BJ531" s="10"/>
      <c r="BK531" s="8" t="str">
        <f>IF(BL531="","",VLOOKUP(BL531,引用表合并!$A:$B,2,FALSE))</f>
        <v/>
      </c>
      <c r="BL531" s="8"/>
      <c r="BN531" s="10"/>
    </row>
    <row r="532" spans="1:66" x14ac:dyDescent="0.15">
      <c r="A532" s="8">
        <v>805002</v>
      </c>
      <c r="B532" s="8" t="s">
        <v>743</v>
      </c>
      <c r="C532" s="8">
        <v>0</v>
      </c>
      <c r="D532" s="8">
        <f t="shared" si="71"/>
        <v>0</v>
      </c>
      <c r="E532" s="16">
        <f t="shared" ref="E532:E595" si="80">COUNTIF(G532:FJ532,"&gt;0")/3</f>
        <v>0</v>
      </c>
      <c r="F532" s="16">
        <f t="shared" si="73"/>
        <v>0</v>
      </c>
      <c r="G532" s="8" t="str">
        <f>IF(H532="","",VLOOKUP(H532,引用表合并!$A:$B,2,FALSE))</f>
        <v/>
      </c>
      <c r="K532" s="8" t="str">
        <f>IF(L532="","",VLOOKUP(L532,引用表合并!$A:$B,2,FALSE))</f>
        <v/>
      </c>
      <c r="L532" s="8"/>
      <c r="M532" s="8"/>
      <c r="O532" s="8" t="str">
        <f>IF(P532="","",VLOOKUP(P532,引用表合并!$A:$B,2,FALSE))</f>
        <v/>
      </c>
      <c r="P532" s="8"/>
      <c r="Q532" s="8"/>
      <c r="S532" s="8" t="str">
        <f>IF(T532="","",VLOOKUP(T532,引用表合并!$A:$B,2,FALSE))</f>
        <v/>
      </c>
      <c r="T532" s="8"/>
      <c r="U532" s="8"/>
      <c r="W532" s="8" t="str">
        <f>IF(X532="","",VLOOKUP(X532,引用表合并!$A:$B,2,FALSE))</f>
        <v/>
      </c>
      <c r="X532" s="8"/>
      <c r="Y532" s="8"/>
      <c r="AA532" s="8" t="str">
        <f>IF(AB532="","",VLOOKUP(AB532,引用表合并!$A:$B,2,FALSE))</f>
        <v/>
      </c>
      <c r="AB532" s="8"/>
      <c r="AC532" s="8"/>
      <c r="AE532" s="8" t="str">
        <f>IF(AF532="","",VLOOKUP(AF532,引用表合并!$A:$B,2,FALSE))</f>
        <v/>
      </c>
      <c r="AF532" s="8"/>
      <c r="AG532" s="8"/>
      <c r="AI532" s="8" t="str">
        <f>IF(AJ532="","",VLOOKUP(AJ532,引用表合并!$A:$B,2,FALSE))</f>
        <v/>
      </c>
      <c r="AJ532" s="8"/>
      <c r="AK532" s="8"/>
      <c r="AM532" s="8" t="str">
        <f>IF(AN532="","",VLOOKUP(AN532,引用表合并!$A:$B,2,FALSE))</f>
        <v/>
      </c>
      <c r="AN532" s="8"/>
      <c r="AO532" s="8"/>
      <c r="AQ532" s="8" t="str">
        <f>IF(AR532="","",VLOOKUP(AR532,引用表合并!$A:$B,2,FALSE))</f>
        <v/>
      </c>
      <c r="AR532" s="8"/>
      <c r="AS532" s="8"/>
      <c r="AU532" s="8" t="str">
        <f>IF(AV532="","",VLOOKUP(AV532,引用表合并!$A:$B,2,FALSE))</f>
        <v/>
      </c>
      <c r="AV532" s="8"/>
      <c r="AW532" s="8"/>
      <c r="AY532" s="8" t="str">
        <f>IF(AZ532="","",VLOOKUP(AZ532,引用表合并!$A:$B,2,FALSE))</f>
        <v/>
      </c>
      <c r="AZ532" s="8"/>
      <c r="BA532" s="8"/>
      <c r="BC532" s="8" t="str">
        <f>IF(BD532="","",VLOOKUP(BD532,引用表合并!$A:$B,2,FALSE))</f>
        <v/>
      </c>
      <c r="BD532" s="8"/>
      <c r="BF532" s="10"/>
      <c r="BG532" s="8" t="str">
        <f>IF(BH532="","",VLOOKUP(BH532,引用表合并!$A:$B,2,FALSE))</f>
        <v/>
      </c>
      <c r="BH532" s="8"/>
      <c r="BJ532" s="10"/>
      <c r="BK532" s="8" t="str">
        <f>IF(BL532="","",VLOOKUP(BL532,引用表合并!$A:$B,2,FALSE))</f>
        <v/>
      </c>
      <c r="BL532" s="8"/>
      <c r="BN532" s="10"/>
    </row>
    <row r="533" spans="1:66" x14ac:dyDescent="0.15">
      <c r="A533" s="8">
        <v>805003</v>
      </c>
      <c r="B533" s="8" t="s">
        <v>744</v>
      </c>
      <c r="C533" s="8">
        <v>0</v>
      </c>
      <c r="D533" s="8">
        <f t="shared" si="71"/>
        <v>0</v>
      </c>
      <c r="E533" s="16">
        <f t="shared" si="80"/>
        <v>0</v>
      </c>
      <c r="F533" s="16">
        <f t="shared" si="73"/>
        <v>0</v>
      </c>
      <c r="G533" s="8" t="str">
        <f>IF(H533="","",VLOOKUP(H533,引用表合并!$A:$B,2,FALSE))</f>
        <v/>
      </c>
      <c r="K533" s="8" t="str">
        <f>IF(L533="","",VLOOKUP(L533,引用表合并!$A:$B,2,FALSE))</f>
        <v/>
      </c>
      <c r="L533" s="8"/>
      <c r="M533" s="8"/>
      <c r="O533" s="8" t="str">
        <f>IF(P533="","",VLOOKUP(P533,引用表合并!$A:$B,2,FALSE))</f>
        <v/>
      </c>
      <c r="P533" s="8"/>
      <c r="Q533" s="8"/>
      <c r="S533" s="8" t="str">
        <f>IF(T533="","",VLOOKUP(T533,引用表合并!$A:$B,2,FALSE))</f>
        <v/>
      </c>
      <c r="T533" s="8"/>
      <c r="U533" s="8"/>
      <c r="W533" s="8" t="str">
        <f>IF(X533="","",VLOOKUP(X533,引用表合并!$A:$B,2,FALSE))</f>
        <v/>
      </c>
      <c r="X533" s="8"/>
      <c r="Y533" s="8"/>
      <c r="AA533" s="8" t="str">
        <f>IF(AB533="","",VLOOKUP(AB533,引用表合并!$A:$B,2,FALSE))</f>
        <v/>
      </c>
      <c r="AB533" s="8"/>
      <c r="AC533" s="8"/>
      <c r="AE533" s="8" t="str">
        <f>IF(AF533="","",VLOOKUP(AF533,引用表合并!$A:$B,2,FALSE))</f>
        <v/>
      </c>
      <c r="AF533" s="8"/>
      <c r="AG533" s="8"/>
      <c r="AI533" s="8" t="str">
        <f>IF(AJ533="","",VLOOKUP(AJ533,引用表合并!$A:$B,2,FALSE))</f>
        <v/>
      </c>
      <c r="AJ533" s="8"/>
      <c r="AK533" s="8"/>
      <c r="AM533" s="8" t="str">
        <f>IF(AN533="","",VLOOKUP(AN533,引用表合并!$A:$B,2,FALSE))</f>
        <v/>
      </c>
      <c r="AN533" s="8"/>
      <c r="AO533" s="8"/>
      <c r="AQ533" s="8" t="str">
        <f>IF(AR533="","",VLOOKUP(AR533,引用表合并!$A:$B,2,FALSE))</f>
        <v/>
      </c>
      <c r="AR533" s="8"/>
      <c r="AS533" s="8"/>
      <c r="AU533" s="8" t="str">
        <f>IF(AV533="","",VLOOKUP(AV533,引用表合并!$A:$B,2,FALSE))</f>
        <v/>
      </c>
      <c r="AV533" s="8"/>
      <c r="AW533" s="8"/>
      <c r="AY533" s="8" t="str">
        <f>IF(AZ533="","",VLOOKUP(AZ533,引用表合并!$A:$B,2,FALSE))</f>
        <v/>
      </c>
      <c r="AZ533" s="8"/>
      <c r="BA533" s="8"/>
      <c r="BC533" s="8" t="str">
        <f>IF(BD533="","",VLOOKUP(BD533,引用表合并!$A:$B,2,FALSE))</f>
        <v/>
      </c>
      <c r="BD533" s="8"/>
      <c r="BF533" s="10"/>
      <c r="BG533" s="8" t="str">
        <f>IF(BH533="","",VLOOKUP(BH533,引用表合并!$A:$B,2,FALSE))</f>
        <v/>
      </c>
      <c r="BH533" s="8"/>
      <c r="BJ533" s="10"/>
      <c r="BK533" s="8" t="str">
        <f>IF(BL533="","",VLOOKUP(BL533,引用表合并!$A:$B,2,FALSE))</f>
        <v/>
      </c>
      <c r="BL533" s="8"/>
      <c r="BN533" s="10"/>
    </row>
    <row r="534" spans="1:66" x14ac:dyDescent="0.15">
      <c r="A534" s="8">
        <v>805004</v>
      </c>
      <c r="B534" s="8" t="s">
        <v>745</v>
      </c>
      <c r="C534" s="8">
        <v>0</v>
      </c>
      <c r="D534" s="8">
        <f t="shared" si="71"/>
        <v>0</v>
      </c>
      <c r="E534" s="16">
        <f t="shared" si="80"/>
        <v>0</v>
      </c>
      <c r="F534" s="16">
        <f t="shared" si="73"/>
        <v>0</v>
      </c>
      <c r="G534" s="8" t="str">
        <f>IF(H534="","",VLOOKUP(H534,引用表合并!$A:$B,2,FALSE))</f>
        <v/>
      </c>
      <c r="K534" s="8" t="str">
        <f>IF(L534="","",VLOOKUP(L534,引用表合并!$A:$B,2,FALSE))</f>
        <v/>
      </c>
      <c r="L534" s="8"/>
      <c r="M534" s="8"/>
      <c r="O534" s="8" t="str">
        <f>IF(P534="","",VLOOKUP(P534,引用表合并!$A:$B,2,FALSE))</f>
        <v/>
      </c>
      <c r="P534" s="8"/>
      <c r="Q534" s="8"/>
      <c r="S534" s="8" t="str">
        <f>IF(T534="","",VLOOKUP(T534,引用表合并!$A:$B,2,FALSE))</f>
        <v/>
      </c>
      <c r="T534" s="8"/>
      <c r="U534" s="8"/>
      <c r="W534" s="8" t="str">
        <f>IF(X534="","",VLOOKUP(X534,引用表合并!$A:$B,2,FALSE))</f>
        <v/>
      </c>
      <c r="X534" s="8"/>
      <c r="Y534" s="8"/>
      <c r="AA534" s="8" t="str">
        <f>IF(AB534="","",VLOOKUP(AB534,引用表合并!$A:$B,2,FALSE))</f>
        <v/>
      </c>
      <c r="AB534" s="8"/>
      <c r="AC534" s="8"/>
      <c r="AE534" s="8" t="str">
        <f>IF(AF534="","",VLOOKUP(AF534,引用表合并!$A:$B,2,FALSE))</f>
        <v/>
      </c>
      <c r="AF534" s="8"/>
      <c r="AG534" s="8"/>
      <c r="AI534" s="8" t="str">
        <f>IF(AJ534="","",VLOOKUP(AJ534,引用表合并!$A:$B,2,FALSE))</f>
        <v/>
      </c>
      <c r="AJ534" s="8"/>
      <c r="AK534" s="8"/>
      <c r="AM534" s="8" t="str">
        <f>IF(AN534="","",VLOOKUP(AN534,引用表合并!$A:$B,2,FALSE))</f>
        <v/>
      </c>
      <c r="AN534" s="8"/>
      <c r="AO534" s="8"/>
      <c r="AQ534" s="8" t="str">
        <f>IF(AR534="","",VLOOKUP(AR534,引用表合并!$A:$B,2,FALSE))</f>
        <v/>
      </c>
      <c r="AR534" s="8"/>
      <c r="AS534" s="8"/>
      <c r="AU534" s="8" t="str">
        <f>IF(AV534="","",VLOOKUP(AV534,引用表合并!$A:$B,2,FALSE))</f>
        <v/>
      </c>
      <c r="AV534" s="8"/>
      <c r="AW534" s="8"/>
      <c r="AY534" s="8" t="str">
        <f>IF(AZ534="","",VLOOKUP(AZ534,引用表合并!$A:$B,2,FALSE))</f>
        <v/>
      </c>
      <c r="AZ534" s="8"/>
      <c r="BA534" s="8"/>
      <c r="BC534" s="8" t="str">
        <f>IF(BD534="","",VLOOKUP(BD534,引用表合并!$A:$B,2,FALSE))</f>
        <v/>
      </c>
      <c r="BD534" s="8"/>
      <c r="BF534" s="10"/>
      <c r="BG534" s="8" t="str">
        <f>IF(BH534="","",VLOOKUP(BH534,引用表合并!$A:$B,2,FALSE))</f>
        <v/>
      </c>
      <c r="BH534" s="8"/>
      <c r="BJ534" s="10"/>
      <c r="BK534" s="8" t="str">
        <f>IF(BL534="","",VLOOKUP(BL534,引用表合并!$A:$B,2,FALSE))</f>
        <v/>
      </c>
      <c r="BL534" s="8"/>
      <c r="BN534" s="10"/>
    </row>
    <row r="535" spans="1:66" x14ac:dyDescent="0.15">
      <c r="A535" s="8">
        <v>805005</v>
      </c>
      <c r="B535" s="8" t="s">
        <v>746</v>
      </c>
      <c r="C535" s="8">
        <v>0</v>
      </c>
      <c r="D535" s="8">
        <f t="shared" si="71"/>
        <v>1</v>
      </c>
      <c r="E535" s="16">
        <f t="shared" si="80"/>
        <v>1</v>
      </c>
      <c r="F535" s="16">
        <f t="shared" si="73"/>
        <v>1</v>
      </c>
      <c r="G535" s="8" t="str">
        <f>IF(H535="","",VLOOKUP(H535,引用表合并!$A:$B,2,FALSE))</f>
        <v>寻宝券</v>
      </c>
      <c r="H535" s="8">
        <v>83304</v>
      </c>
      <c r="I535" s="8">
        <v>1</v>
      </c>
      <c r="J535" s="10">
        <v>10000</v>
      </c>
      <c r="K535" s="8" t="str">
        <f>IF(L535="","",VLOOKUP(L535,引用表合并!$A:$B,2,FALSE))</f>
        <v/>
      </c>
      <c r="L535" s="8"/>
      <c r="M535" s="8"/>
      <c r="O535" s="8" t="str">
        <f>IF(P535="","",VLOOKUP(P535,引用表合并!$A:$B,2,FALSE))</f>
        <v/>
      </c>
      <c r="P535" s="8"/>
      <c r="Q535" s="8"/>
      <c r="S535" s="8" t="str">
        <f>IF(T535="","",VLOOKUP(T535,引用表合并!$A:$B,2,FALSE))</f>
        <v/>
      </c>
      <c r="T535" s="8"/>
      <c r="U535" s="8"/>
      <c r="W535" s="8" t="str">
        <f>IF(X535="","",VLOOKUP(X535,引用表合并!$A:$B,2,FALSE))</f>
        <v/>
      </c>
      <c r="X535" s="8"/>
      <c r="Y535" s="8"/>
      <c r="AA535" s="8" t="str">
        <f>IF(AB535="","",VLOOKUP(AB535,引用表合并!$A:$B,2,FALSE))</f>
        <v/>
      </c>
      <c r="AB535" s="8"/>
      <c r="AC535" s="8"/>
      <c r="AE535" s="8" t="str">
        <f>IF(AF535="","",VLOOKUP(AF535,引用表合并!$A:$B,2,FALSE))</f>
        <v/>
      </c>
      <c r="AF535" s="8"/>
      <c r="AG535" s="8"/>
      <c r="AI535" s="8" t="str">
        <f>IF(AJ535="","",VLOOKUP(AJ535,引用表合并!$A:$B,2,FALSE))</f>
        <v/>
      </c>
      <c r="AJ535" s="8"/>
      <c r="AK535" s="8"/>
      <c r="AM535" s="8" t="str">
        <f>IF(AN535="","",VLOOKUP(AN535,引用表合并!$A:$B,2,FALSE))</f>
        <v/>
      </c>
      <c r="AN535" s="8"/>
      <c r="AO535" s="8"/>
      <c r="AQ535" s="8" t="str">
        <f>IF(AR535="","",VLOOKUP(AR535,引用表合并!$A:$B,2,FALSE))</f>
        <v/>
      </c>
      <c r="AR535" s="8"/>
      <c r="AS535" s="8"/>
      <c r="AU535" s="8" t="str">
        <f>IF(AV535="","",VLOOKUP(AV535,引用表合并!$A:$B,2,FALSE))</f>
        <v/>
      </c>
      <c r="AV535" s="8"/>
      <c r="AW535" s="8"/>
      <c r="AY535" s="8" t="str">
        <f>IF(AZ535="","",VLOOKUP(AZ535,引用表合并!$A:$B,2,FALSE))</f>
        <v/>
      </c>
      <c r="AZ535" s="8"/>
      <c r="BA535" s="8"/>
      <c r="BC535" s="8" t="str">
        <f>IF(BD535="","",VLOOKUP(BD535,引用表合并!$A:$B,2,FALSE))</f>
        <v/>
      </c>
      <c r="BD535" s="8"/>
      <c r="BF535" s="10"/>
      <c r="BG535" s="8" t="str">
        <f>IF(BH535="","",VLOOKUP(BH535,引用表合并!$A:$B,2,FALSE))</f>
        <v/>
      </c>
      <c r="BH535" s="8"/>
      <c r="BJ535" s="10"/>
      <c r="BK535" s="8" t="str">
        <f>IF(BL535="","",VLOOKUP(BL535,引用表合并!$A:$B,2,FALSE))</f>
        <v/>
      </c>
      <c r="BL535" s="8"/>
      <c r="BN535" s="10"/>
    </row>
    <row r="536" spans="1:66" x14ac:dyDescent="0.15">
      <c r="A536" s="8">
        <v>805006</v>
      </c>
      <c r="B536" s="8" t="s">
        <v>747</v>
      </c>
      <c r="C536" s="8">
        <v>0</v>
      </c>
      <c r="D536" s="8">
        <f t="shared" si="71"/>
        <v>0</v>
      </c>
      <c r="E536" s="16">
        <f t="shared" si="80"/>
        <v>0</v>
      </c>
      <c r="F536" s="16">
        <f t="shared" si="73"/>
        <v>0</v>
      </c>
      <c r="G536" s="8" t="str">
        <f>IF(H536="","",VLOOKUP(H536,引用表合并!$A:$B,2,FALSE))</f>
        <v/>
      </c>
      <c r="K536" s="8" t="str">
        <f>IF(L536="","",VLOOKUP(L536,引用表合并!$A:$B,2,FALSE))</f>
        <v/>
      </c>
      <c r="L536" s="8"/>
      <c r="M536" s="8"/>
      <c r="O536" s="8" t="str">
        <f>IF(P536="","",VLOOKUP(P536,引用表合并!$A:$B,2,FALSE))</f>
        <v/>
      </c>
      <c r="P536" s="8"/>
      <c r="Q536" s="8"/>
      <c r="S536" s="8" t="str">
        <f>IF(T536="","",VLOOKUP(T536,引用表合并!$A:$B,2,FALSE))</f>
        <v/>
      </c>
      <c r="T536" s="8"/>
      <c r="U536" s="8"/>
      <c r="W536" s="8" t="str">
        <f>IF(X536="","",VLOOKUP(X536,引用表合并!$A:$B,2,FALSE))</f>
        <v/>
      </c>
      <c r="X536" s="8"/>
      <c r="Y536" s="8"/>
      <c r="AA536" s="8" t="str">
        <f>IF(AB536="","",VLOOKUP(AB536,引用表合并!$A:$B,2,FALSE))</f>
        <v/>
      </c>
      <c r="AB536" s="8"/>
      <c r="AC536" s="8"/>
      <c r="AE536" s="8" t="str">
        <f>IF(AF536="","",VLOOKUP(AF536,引用表合并!$A:$B,2,FALSE))</f>
        <v/>
      </c>
      <c r="AF536" s="8"/>
      <c r="AG536" s="8"/>
      <c r="AI536" s="8" t="str">
        <f>IF(AJ536="","",VLOOKUP(AJ536,引用表合并!$A:$B,2,FALSE))</f>
        <v/>
      </c>
      <c r="AJ536" s="8"/>
      <c r="AK536" s="8"/>
      <c r="AM536" s="8" t="str">
        <f>IF(AN536="","",VLOOKUP(AN536,引用表合并!$A:$B,2,FALSE))</f>
        <v/>
      </c>
      <c r="AN536" s="8"/>
      <c r="AO536" s="8"/>
      <c r="AQ536" s="8" t="str">
        <f>IF(AR536="","",VLOOKUP(AR536,引用表合并!$A:$B,2,FALSE))</f>
        <v/>
      </c>
      <c r="AR536" s="8"/>
      <c r="AS536" s="8"/>
      <c r="AU536" s="8" t="str">
        <f>IF(AV536="","",VLOOKUP(AV536,引用表合并!$A:$B,2,FALSE))</f>
        <v/>
      </c>
      <c r="AV536" s="8"/>
      <c r="AW536" s="8"/>
      <c r="AY536" s="8" t="str">
        <f>IF(AZ536="","",VLOOKUP(AZ536,引用表合并!$A:$B,2,FALSE))</f>
        <v/>
      </c>
      <c r="AZ536" s="8"/>
      <c r="BA536" s="8"/>
      <c r="BC536" s="8" t="str">
        <f>IF(BD536="","",VLOOKUP(BD536,引用表合并!$A:$B,2,FALSE))</f>
        <v/>
      </c>
      <c r="BD536" s="8"/>
      <c r="BF536" s="10"/>
      <c r="BG536" s="8" t="str">
        <f>IF(BH536="","",VLOOKUP(BH536,引用表合并!$A:$B,2,FALSE))</f>
        <v/>
      </c>
      <c r="BH536" s="8"/>
      <c r="BJ536" s="10"/>
      <c r="BK536" s="8" t="str">
        <f>IF(BL536="","",VLOOKUP(BL536,引用表合并!$A:$B,2,FALSE))</f>
        <v/>
      </c>
      <c r="BL536" s="8"/>
      <c r="BN536" s="10"/>
    </row>
    <row r="537" spans="1:66" x14ac:dyDescent="0.15">
      <c r="A537" s="8">
        <v>805007</v>
      </c>
      <c r="B537" s="8" t="s">
        <v>909</v>
      </c>
      <c r="C537" s="8">
        <v>0</v>
      </c>
      <c r="D537" s="8">
        <f t="shared" si="71"/>
        <v>1</v>
      </c>
      <c r="E537" s="16">
        <f t="shared" si="80"/>
        <v>1</v>
      </c>
      <c r="F537" s="16">
        <f t="shared" si="73"/>
        <v>1</v>
      </c>
      <c r="G537" s="8" t="str">
        <f>IF(H537="","",VLOOKUP(H537,引用表合并!$A:$B,2,FALSE))</f>
        <v>寻宝券</v>
      </c>
      <c r="H537" s="8">
        <v>83304</v>
      </c>
      <c r="I537" s="8">
        <v>1</v>
      </c>
      <c r="J537" s="10">
        <v>10000</v>
      </c>
      <c r="K537" s="8" t="str">
        <f>IF(L537="","",VLOOKUP(L537,引用表合并!$A:$B,2,FALSE))</f>
        <v/>
      </c>
      <c r="L537" s="8"/>
      <c r="M537" s="8"/>
      <c r="O537" s="8" t="str">
        <f>IF(P537="","",VLOOKUP(P537,引用表合并!$A:$B,2,FALSE))</f>
        <v/>
      </c>
      <c r="P537" s="8"/>
      <c r="Q537" s="8"/>
      <c r="S537" s="8" t="str">
        <f>IF(T537="","",VLOOKUP(T537,引用表合并!$A:$B,2,FALSE))</f>
        <v/>
      </c>
      <c r="T537" s="8"/>
      <c r="U537" s="8"/>
      <c r="W537" s="8" t="str">
        <f>IF(X537="","",VLOOKUP(X537,引用表合并!$A:$B,2,FALSE))</f>
        <v/>
      </c>
      <c r="X537" s="8"/>
      <c r="Y537" s="8"/>
      <c r="AA537" s="8" t="str">
        <f>IF(AB537="","",VLOOKUP(AB537,引用表合并!$A:$B,2,FALSE))</f>
        <v/>
      </c>
      <c r="AB537" s="8"/>
      <c r="AC537" s="8"/>
      <c r="AE537" s="8" t="str">
        <f>IF(AF537="","",VLOOKUP(AF537,引用表合并!$A:$B,2,FALSE))</f>
        <v/>
      </c>
      <c r="AF537" s="8"/>
      <c r="AG537" s="8"/>
      <c r="AI537" s="8" t="str">
        <f>IF(AJ537="","",VLOOKUP(AJ537,引用表合并!$A:$B,2,FALSE))</f>
        <v/>
      </c>
      <c r="AJ537" s="8"/>
      <c r="AK537" s="8"/>
      <c r="AM537" s="8" t="str">
        <f>IF(AN537="","",VLOOKUP(AN537,引用表合并!$A:$B,2,FALSE))</f>
        <v/>
      </c>
      <c r="AN537" s="8"/>
      <c r="AO537" s="8"/>
      <c r="AQ537" s="8" t="str">
        <f>IF(AR537="","",VLOOKUP(AR537,引用表合并!$A:$B,2,FALSE))</f>
        <v/>
      </c>
      <c r="AR537" s="8"/>
      <c r="AS537" s="8"/>
      <c r="AU537" s="8" t="str">
        <f>IF(AV537="","",VLOOKUP(AV537,引用表合并!$A:$B,2,FALSE))</f>
        <v/>
      </c>
      <c r="AV537" s="8"/>
      <c r="AW537" s="8"/>
      <c r="AY537" s="8" t="str">
        <f>IF(AZ537="","",VLOOKUP(AZ537,引用表合并!$A:$B,2,FALSE))</f>
        <v/>
      </c>
      <c r="AZ537" s="8"/>
      <c r="BA537" s="8"/>
      <c r="BC537" s="8" t="str">
        <f>IF(BD537="","",VLOOKUP(BD537,引用表合并!$A:$B,2,FALSE))</f>
        <v/>
      </c>
      <c r="BD537" s="8"/>
      <c r="BF537" s="10"/>
      <c r="BG537" s="8" t="str">
        <f>IF(BH537="","",VLOOKUP(BH537,引用表合并!$A:$B,2,FALSE))</f>
        <v/>
      </c>
      <c r="BH537" s="8"/>
      <c r="BJ537" s="10"/>
      <c r="BK537" s="8" t="str">
        <f>IF(BL537="","",VLOOKUP(BL537,引用表合并!$A:$B,2,FALSE))</f>
        <v/>
      </c>
      <c r="BL537" s="8"/>
      <c r="BN537" s="10"/>
    </row>
    <row r="538" spans="1:66" x14ac:dyDescent="0.15">
      <c r="A538" s="8">
        <v>805008</v>
      </c>
      <c r="B538" s="8" t="s">
        <v>748</v>
      </c>
      <c r="C538" s="8">
        <v>0</v>
      </c>
      <c r="D538" s="8">
        <f t="shared" si="71"/>
        <v>0</v>
      </c>
      <c r="E538" s="16">
        <f t="shared" si="80"/>
        <v>0</v>
      </c>
      <c r="F538" s="16">
        <f t="shared" si="73"/>
        <v>0</v>
      </c>
      <c r="G538" s="8" t="str">
        <f>IF(H538="","",VLOOKUP(H538,引用表合并!$A:$B,2,FALSE))</f>
        <v/>
      </c>
      <c r="K538" s="8" t="str">
        <f>IF(L538="","",VLOOKUP(L538,引用表合并!$A:$B,2,FALSE))</f>
        <v/>
      </c>
      <c r="L538" s="8"/>
      <c r="M538" s="8"/>
      <c r="O538" s="8" t="str">
        <f>IF(P538="","",VLOOKUP(P538,引用表合并!$A:$B,2,FALSE))</f>
        <v/>
      </c>
      <c r="P538" s="8"/>
      <c r="Q538" s="8"/>
      <c r="S538" s="8" t="str">
        <f>IF(T538="","",VLOOKUP(T538,引用表合并!$A:$B,2,FALSE))</f>
        <v/>
      </c>
      <c r="T538" s="8"/>
      <c r="U538" s="8"/>
      <c r="W538" s="8" t="str">
        <f>IF(X538="","",VLOOKUP(X538,引用表合并!$A:$B,2,FALSE))</f>
        <v/>
      </c>
      <c r="X538" s="8"/>
      <c r="Y538" s="8"/>
      <c r="AA538" s="8" t="str">
        <f>IF(AB538="","",VLOOKUP(AB538,引用表合并!$A:$B,2,FALSE))</f>
        <v/>
      </c>
      <c r="AB538" s="8"/>
      <c r="AC538" s="8"/>
      <c r="AE538" s="8" t="str">
        <f>IF(AF538="","",VLOOKUP(AF538,引用表合并!$A:$B,2,FALSE))</f>
        <v/>
      </c>
      <c r="AF538" s="8"/>
      <c r="AG538" s="8"/>
      <c r="AI538" s="8" t="str">
        <f>IF(AJ538="","",VLOOKUP(AJ538,引用表合并!$A:$B,2,FALSE))</f>
        <v/>
      </c>
      <c r="AJ538" s="8"/>
      <c r="AK538" s="8"/>
      <c r="AM538" s="8" t="str">
        <f>IF(AN538="","",VLOOKUP(AN538,引用表合并!$A:$B,2,FALSE))</f>
        <v/>
      </c>
      <c r="AN538" s="8"/>
      <c r="AO538" s="8"/>
      <c r="AQ538" s="8" t="str">
        <f>IF(AR538="","",VLOOKUP(AR538,引用表合并!$A:$B,2,FALSE))</f>
        <v/>
      </c>
      <c r="AR538" s="8"/>
      <c r="AS538" s="8"/>
      <c r="AU538" s="8" t="str">
        <f>IF(AV538="","",VLOOKUP(AV538,引用表合并!$A:$B,2,FALSE))</f>
        <v/>
      </c>
      <c r="AV538" s="8"/>
      <c r="AW538" s="8"/>
      <c r="AY538" s="8" t="str">
        <f>IF(AZ538="","",VLOOKUP(AZ538,引用表合并!$A:$B,2,FALSE))</f>
        <v/>
      </c>
      <c r="AZ538" s="8"/>
      <c r="BA538" s="8"/>
      <c r="BC538" s="8" t="str">
        <f>IF(BD538="","",VLOOKUP(BD538,引用表合并!$A:$B,2,FALSE))</f>
        <v/>
      </c>
      <c r="BD538" s="8"/>
      <c r="BF538" s="10"/>
      <c r="BG538" s="8" t="str">
        <f>IF(BH538="","",VLOOKUP(BH538,引用表合并!$A:$B,2,FALSE))</f>
        <v/>
      </c>
      <c r="BH538" s="8"/>
      <c r="BJ538" s="10"/>
      <c r="BK538" s="8" t="str">
        <f>IF(BL538="","",VLOOKUP(BL538,引用表合并!$A:$B,2,FALSE))</f>
        <v/>
      </c>
      <c r="BL538" s="8"/>
      <c r="BN538" s="10"/>
    </row>
    <row r="539" spans="1:66" x14ac:dyDescent="0.15">
      <c r="A539" s="8">
        <v>805009</v>
      </c>
      <c r="B539" s="8" t="s">
        <v>749</v>
      </c>
      <c r="C539" s="8">
        <v>0</v>
      </c>
      <c r="D539" s="8">
        <f t="shared" si="71"/>
        <v>0</v>
      </c>
      <c r="E539" s="16">
        <f t="shared" si="80"/>
        <v>0</v>
      </c>
      <c r="F539" s="16">
        <f t="shared" si="73"/>
        <v>0</v>
      </c>
      <c r="G539" s="8" t="str">
        <f>IF(H539="","",VLOOKUP(H539,引用表合并!$A:$B,2,FALSE))</f>
        <v/>
      </c>
      <c r="K539" s="8" t="str">
        <f>IF(L539="","",VLOOKUP(L539,引用表合并!$A:$B,2,FALSE))</f>
        <v/>
      </c>
      <c r="L539" s="8"/>
      <c r="M539" s="8"/>
      <c r="O539" s="8" t="str">
        <f>IF(P539="","",VLOOKUP(P539,引用表合并!$A:$B,2,FALSE))</f>
        <v/>
      </c>
      <c r="P539" s="8"/>
      <c r="Q539" s="8"/>
      <c r="S539" s="8" t="str">
        <f>IF(T539="","",VLOOKUP(T539,引用表合并!$A:$B,2,FALSE))</f>
        <v/>
      </c>
      <c r="T539" s="8"/>
      <c r="U539" s="8"/>
      <c r="W539" s="8" t="str">
        <f>IF(X539="","",VLOOKUP(X539,引用表合并!$A:$B,2,FALSE))</f>
        <v/>
      </c>
      <c r="X539" s="8"/>
      <c r="Y539" s="8"/>
      <c r="AA539" s="8" t="str">
        <f>IF(AB539="","",VLOOKUP(AB539,引用表合并!$A:$B,2,FALSE))</f>
        <v/>
      </c>
      <c r="AB539" s="8"/>
      <c r="AC539" s="8"/>
      <c r="AE539" s="8" t="str">
        <f>IF(AF539="","",VLOOKUP(AF539,引用表合并!$A:$B,2,FALSE))</f>
        <v/>
      </c>
      <c r="AF539" s="8"/>
      <c r="AG539" s="8"/>
      <c r="AI539" s="8" t="str">
        <f>IF(AJ539="","",VLOOKUP(AJ539,引用表合并!$A:$B,2,FALSE))</f>
        <v/>
      </c>
      <c r="AJ539" s="8"/>
      <c r="AK539" s="8"/>
      <c r="AM539" s="8" t="str">
        <f>IF(AN539="","",VLOOKUP(AN539,引用表合并!$A:$B,2,FALSE))</f>
        <v/>
      </c>
      <c r="AN539" s="8"/>
      <c r="AO539" s="8"/>
      <c r="AQ539" s="8" t="str">
        <f>IF(AR539="","",VLOOKUP(AR539,引用表合并!$A:$B,2,FALSE))</f>
        <v/>
      </c>
      <c r="AR539" s="8"/>
      <c r="AS539" s="8"/>
      <c r="AU539" s="8" t="str">
        <f>IF(AV539="","",VLOOKUP(AV539,引用表合并!$A:$B,2,FALSE))</f>
        <v/>
      </c>
      <c r="AV539" s="8"/>
      <c r="AW539" s="8"/>
      <c r="AY539" s="8" t="str">
        <f>IF(AZ539="","",VLOOKUP(AZ539,引用表合并!$A:$B,2,FALSE))</f>
        <v/>
      </c>
      <c r="AZ539" s="8"/>
      <c r="BA539" s="8"/>
      <c r="BC539" s="8" t="str">
        <f>IF(BD539="","",VLOOKUP(BD539,引用表合并!$A:$B,2,FALSE))</f>
        <v/>
      </c>
      <c r="BD539" s="8"/>
      <c r="BF539" s="10"/>
      <c r="BG539" s="8" t="str">
        <f>IF(BH539="","",VLOOKUP(BH539,引用表合并!$A:$B,2,FALSE))</f>
        <v/>
      </c>
      <c r="BH539" s="8"/>
      <c r="BJ539" s="10"/>
      <c r="BK539" s="8" t="str">
        <f>IF(BL539="","",VLOOKUP(BL539,引用表合并!$A:$B,2,FALSE))</f>
        <v/>
      </c>
      <c r="BL539" s="8"/>
      <c r="BN539" s="10"/>
    </row>
    <row r="540" spans="1:66" x14ac:dyDescent="0.15">
      <c r="A540" s="8">
        <v>805010</v>
      </c>
      <c r="B540" s="8" t="s">
        <v>929</v>
      </c>
      <c r="C540" s="8">
        <v>0</v>
      </c>
      <c r="D540" s="8">
        <f t="shared" si="71"/>
        <v>0</v>
      </c>
      <c r="E540" s="16">
        <f t="shared" si="80"/>
        <v>0</v>
      </c>
      <c r="F540" s="16">
        <f t="shared" si="73"/>
        <v>0</v>
      </c>
      <c r="G540" s="8" t="str">
        <f>IF(H540="","",VLOOKUP(H540,引用表合并!$A:$B,2,FALSE))</f>
        <v/>
      </c>
      <c r="K540" s="8" t="str">
        <f>IF(L540="","",VLOOKUP(L540,引用表合并!$A:$B,2,FALSE))</f>
        <v/>
      </c>
      <c r="L540" s="8"/>
      <c r="M540" s="8"/>
      <c r="O540" s="8" t="str">
        <f>IF(P540="","",VLOOKUP(P540,引用表合并!$A:$B,2,FALSE))</f>
        <v/>
      </c>
      <c r="P540" s="8"/>
      <c r="Q540" s="8"/>
      <c r="S540" s="8" t="str">
        <f>IF(T540="","",VLOOKUP(T540,引用表合并!$A:$B,2,FALSE))</f>
        <v/>
      </c>
      <c r="T540" s="8"/>
      <c r="U540" s="8"/>
      <c r="W540" s="8" t="str">
        <f>IF(X540="","",VLOOKUP(X540,引用表合并!$A:$B,2,FALSE))</f>
        <v/>
      </c>
      <c r="X540" s="8"/>
      <c r="Y540" s="8"/>
      <c r="AA540" s="8" t="str">
        <f>IF(AB540="","",VLOOKUP(AB540,引用表合并!$A:$B,2,FALSE))</f>
        <v/>
      </c>
      <c r="AB540" s="8"/>
      <c r="AC540" s="8"/>
      <c r="AE540" s="8" t="str">
        <f>IF(AF540="","",VLOOKUP(AF540,引用表合并!$A:$B,2,FALSE))</f>
        <v/>
      </c>
      <c r="AF540" s="8"/>
      <c r="AG540" s="8"/>
      <c r="AI540" s="8" t="str">
        <f>IF(AJ540="","",VLOOKUP(AJ540,引用表合并!$A:$B,2,FALSE))</f>
        <v/>
      </c>
      <c r="AJ540" s="8"/>
      <c r="AK540" s="8"/>
      <c r="AM540" s="8" t="str">
        <f>IF(AN540="","",VLOOKUP(AN540,引用表合并!$A:$B,2,FALSE))</f>
        <v/>
      </c>
      <c r="AN540" s="8"/>
      <c r="AO540" s="8"/>
      <c r="AQ540" s="8" t="str">
        <f>IF(AR540="","",VLOOKUP(AR540,引用表合并!$A:$B,2,FALSE))</f>
        <v/>
      </c>
      <c r="AR540" s="8"/>
      <c r="AS540" s="8"/>
      <c r="AU540" s="8" t="str">
        <f>IF(AV540="","",VLOOKUP(AV540,引用表合并!$A:$B,2,FALSE))</f>
        <v/>
      </c>
      <c r="AV540" s="8"/>
      <c r="AW540" s="8"/>
      <c r="AY540" s="8" t="str">
        <f>IF(AZ540="","",VLOOKUP(AZ540,引用表合并!$A:$B,2,FALSE))</f>
        <v/>
      </c>
      <c r="AZ540" s="8"/>
      <c r="BA540" s="8"/>
      <c r="BC540" s="8" t="str">
        <f>IF(BD540="","",VLOOKUP(BD540,引用表合并!$A:$B,2,FALSE))</f>
        <v/>
      </c>
      <c r="BD540" s="8"/>
      <c r="BF540" s="10"/>
      <c r="BG540" s="8" t="str">
        <f>IF(BH540="","",VLOOKUP(BH540,引用表合并!$A:$B,2,FALSE))</f>
        <v/>
      </c>
      <c r="BH540" s="8"/>
      <c r="BJ540" s="10"/>
      <c r="BK540" s="8" t="str">
        <f>IF(BL540="","",VLOOKUP(BL540,引用表合并!$A:$B,2,FALSE))</f>
        <v/>
      </c>
      <c r="BL540" s="8"/>
      <c r="BN540" s="10"/>
    </row>
    <row r="541" spans="1:66" x14ac:dyDescent="0.15">
      <c r="A541" s="8">
        <v>805011</v>
      </c>
      <c r="B541" s="8" t="s">
        <v>930</v>
      </c>
      <c r="C541" s="8">
        <v>0</v>
      </c>
      <c r="D541" s="8">
        <f t="shared" si="71"/>
        <v>0</v>
      </c>
      <c r="E541" s="16">
        <f t="shared" si="80"/>
        <v>0</v>
      </c>
      <c r="F541" s="16">
        <f t="shared" si="73"/>
        <v>0</v>
      </c>
      <c r="G541" s="8" t="str">
        <f>IF(H541="","",VLOOKUP(H541,引用表合并!$A:$B,2,FALSE))</f>
        <v/>
      </c>
      <c r="K541" s="8" t="str">
        <f>IF(L541="","",VLOOKUP(L541,引用表合并!$A:$B,2,FALSE))</f>
        <v/>
      </c>
      <c r="L541" s="8"/>
      <c r="M541" s="8"/>
      <c r="O541" s="8" t="str">
        <f>IF(P541="","",VLOOKUP(P541,引用表合并!$A:$B,2,FALSE))</f>
        <v/>
      </c>
      <c r="P541" s="8"/>
      <c r="Q541" s="8"/>
      <c r="S541" s="8" t="str">
        <f>IF(T541="","",VLOOKUP(T541,引用表合并!$A:$B,2,FALSE))</f>
        <v/>
      </c>
      <c r="T541" s="8"/>
      <c r="U541" s="8"/>
      <c r="W541" s="8" t="str">
        <f>IF(X541="","",VLOOKUP(X541,引用表合并!$A:$B,2,FALSE))</f>
        <v/>
      </c>
      <c r="X541" s="8"/>
      <c r="Y541" s="8"/>
      <c r="AA541" s="8" t="str">
        <f>IF(AB541="","",VLOOKUP(AB541,引用表合并!$A:$B,2,FALSE))</f>
        <v/>
      </c>
      <c r="AB541" s="8"/>
      <c r="AC541" s="8"/>
      <c r="AE541" s="8" t="str">
        <f>IF(AF541="","",VLOOKUP(AF541,引用表合并!$A:$B,2,FALSE))</f>
        <v/>
      </c>
      <c r="AF541" s="8"/>
      <c r="AG541" s="8"/>
      <c r="AI541" s="8" t="str">
        <f>IF(AJ541="","",VLOOKUP(AJ541,引用表合并!$A:$B,2,FALSE))</f>
        <v/>
      </c>
      <c r="AJ541" s="8"/>
      <c r="AK541" s="8"/>
      <c r="AM541" s="8" t="str">
        <f>IF(AN541="","",VLOOKUP(AN541,引用表合并!$A:$B,2,FALSE))</f>
        <v/>
      </c>
      <c r="AN541" s="8"/>
      <c r="AO541" s="8"/>
      <c r="AQ541" s="8" t="str">
        <f>IF(AR541="","",VLOOKUP(AR541,引用表合并!$A:$B,2,FALSE))</f>
        <v/>
      </c>
      <c r="AR541" s="8"/>
      <c r="AS541" s="8"/>
      <c r="AU541" s="8" t="str">
        <f>IF(AV541="","",VLOOKUP(AV541,引用表合并!$A:$B,2,FALSE))</f>
        <v/>
      </c>
      <c r="AV541" s="8"/>
      <c r="AW541" s="8"/>
      <c r="AY541" s="8" t="str">
        <f>IF(AZ541="","",VLOOKUP(AZ541,引用表合并!$A:$B,2,FALSE))</f>
        <v/>
      </c>
      <c r="AZ541" s="8"/>
      <c r="BA541" s="8"/>
      <c r="BC541" s="8" t="str">
        <f>IF(BD541="","",VLOOKUP(BD541,引用表合并!$A:$B,2,FALSE))</f>
        <v/>
      </c>
      <c r="BD541" s="8"/>
      <c r="BF541" s="10"/>
      <c r="BG541" s="8" t="str">
        <f>IF(BH541="","",VLOOKUP(BH541,引用表合并!$A:$B,2,FALSE))</f>
        <v/>
      </c>
      <c r="BH541" s="8"/>
      <c r="BJ541" s="10"/>
      <c r="BK541" s="8" t="str">
        <f>IF(BL541="","",VLOOKUP(BL541,引用表合并!$A:$B,2,FALSE))</f>
        <v/>
      </c>
      <c r="BL541" s="8"/>
      <c r="BN541" s="10"/>
    </row>
    <row r="542" spans="1:66" x14ac:dyDescent="0.15">
      <c r="A542" s="8">
        <v>805015</v>
      </c>
      <c r="B542" s="8" t="s">
        <v>750</v>
      </c>
      <c r="C542" s="8">
        <v>0</v>
      </c>
      <c r="D542" s="8">
        <f t="shared" si="71"/>
        <v>0</v>
      </c>
      <c r="E542" s="16">
        <f t="shared" si="80"/>
        <v>0</v>
      </c>
      <c r="F542" s="16">
        <f t="shared" si="73"/>
        <v>0</v>
      </c>
      <c r="G542" s="8" t="str">
        <f>IF(H542="","",VLOOKUP(H542,引用表合并!$A:$B,2,FALSE))</f>
        <v/>
      </c>
      <c r="K542" s="8" t="str">
        <f>IF(L542="","",VLOOKUP(L542,引用表合并!$A:$B,2,FALSE))</f>
        <v/>
      </c>
      <c r="L542" s="8"/>
      <c r="M542" s="8"/>
      <c r="O542" s="8" t="str">
        <f>IF(P542="","",VLOOKUP(P542,引用表合并!$A:$B,2,FALSE))</f>
        <v/>
      </c>
      <c r="P542" s="8"/>
      <c r="Q542" s="8"/>
      <c r="S542" s="8" t="str">
        <f>IF(T542="","",VLOOKUP(T542,引用表合并!$A:$B,2,FALSE))</f>
        <v/>
      </c>
      <c r="T542" s="8"/>
      <c r="U542" s="8"/>
      <c r="W542" s="8" t="str">
        <f>IF(X542="","",VLOOKUP(X542,引用表合并!$A:$B,2,FALSE))</f>
        <v/>
      </c>
      <c r="X542" s="8"/>
      <c r="Y542" s="8"/>
      <c r="AA542" s="8" t="str">
        <f>IF(AB542="","",VLOOKUP(AB542,引用表合并!$A:$B,2,FALSE))</f>
        <v/>
      </c>
      <c r="AB542" s="8"/>
      <c r="AC542" s="8"/>
      <c r="AE542" s="8" t="str">
        <f>IF(AF542="","",VLOOKUP(AF542,引用表合并!$A:$B,2,FALSE))</f>
        <v/>
      </c>
      <c r="AF542" s="8"/>
      <c r="AG542" s="8"/>
      <c r="AI542" s="8" t="str">
        <f>IF(AJ542="","",VLOOKUP(AJ542,引用表合并!$A:$B,2,FALSE))</f>
        <v/>
      </c>
      <c r="AJ542" s="8"/>
      <c r="AK542" s="8"/>
      <c r="AM542" s="8" t="str">
        <f>IF(AN542="","",VLOOKUP(AN542,引用表合并!$A:$B,2,FALSE))</f>
        <v/>
      </c>
      <c r="AN542" s="8"/>
      <c r="AO542" s="8"/>
      <c r="AQ542" s="8" t="str">
        <f>IF(AR542="","",VLOOKUP(AR542,引用表合并!$A:$B,2,FALSE))</f>
        <v/>
      </c>
      <c r="AR542" s="8"/>
      <c r="AS542" s="8"/>
      <c r="AU542" s="8" t="str">
        <f>IF(AV542="","",VLOOKUP(AV542,引用表合并!$A:$B,2,FALSE))</f>
        <v/>
      </c>
      <c r="AV542" s="8"/>
      <c r="AW542" s="8"/>
      <c r="AY542" s="8" t="str">
        <f>IF(AZ542="","",VLOOKUP(AZ542,引用表合并!$A:$B,2,FALSE))</f>
        <v/>
      </c>
      <c r="AZ542" s="8"/>
      <c r="BA542" s="8"/>
      <c r="BC542" s="8" t="str">
        <f>IF(BD542="","",VLOOKUP(BD542,引用表合并!$A:$B,2,FALSE))</f>
        <v/>
      </c>
      <c r="BD542" s="8"/>
      <c r="BF542" s="10"/>
      <c r="BG542" s="8" t="str">
        <f>IF(BH542="","",VLOOKUP(BH542,引用表合并!$A:$B,2,FALSE))</f>
        <v/>
      </c>
      <c r="BH542" s="8"/>
      <c r="BJ542" s="10"/>
      <c r="BK542" s="8" t="str">
        <f>IF(BL542="","",VLOOKUP(BL542,引用表合并!$A:$B,2,FALSE))</f>
        <v/>
      </c>
      <c r="BL542" s="8"/>
      <c r="BN542" s="10"/>
    </row>
    <row r="543" spans="1:66" x14ac:dyDescent="0.15">
      <c r="A543" s="8">
        <v>805018</v>
      </c>
      <c r="B543" s="8" t="s">
        <v>751</v>
      </c>
      <c r="C543" s="8">
        <v>0</v>
      </c>
      <c r="D543" s="8">
        <f t="shared" si="71"/>
        <v>1</v>
      </c>
      <c r="E543" s="16">
        <f t="shared" si="80"/>
        <v>1</v>
      </c>
      <c r="F543" s="16">
        <f t="shared" si="73"/>
        <v>1</v>
      </c>
      <c r="G543" s="8" t="str">
        <f>IF(H543="","",VLOOKUP(H543,引用表合并!$A:$B,2,FALSE))</f>
        <v>寻宝券</v>
      </c>
      <c r="H543" s="8">
        <v>83304</v>
      </c>
      <c r="I543" s="8">
        <v>1</v>
      </c>
      <c r="J543" s="10">
        <v>10000</v>
      </c>
      <c r="K543" s="8" t="str">
        <f>IF(L543="","",VLOOKUP(L543,引用表合并!$A:$B,2,FALSE))</f>
        <v/>
      </c>
      <c r="L543" s="8"/>
      <c r="M543" s="8"/>
      <c r="O543" s="8" t="str">
        <f>IF(P543="","",VLOOKUP(P543,引用表合并!$A:$B,2,FALSE))</f>
        <v/>
      </c>
      <c r="P543" s="8"/>
      <c r="Q543" s="8"/>
      <c r="S543" s="8" t="str">
        <f>IF(T543="","",VLOOKUP(T543,引用表合并!$A:$B,2,FALSE))</f>
        <v/>
      </c>
      <c r="T543" s="8"/>
      <c r="U543" s="8"/>
      <c r="W543" s="8" t="str">
        <f>IF(X543="","",VLOOKUP(X543,引用表合并!$A:$B,2,FALSE))</f>
        <v/>
      </c>
      <c r="X543" s="8"/>
      <c r="Y543" s="8"/>
      <c r="AA543" s="8" t="str">
        <f>IF(AB543="","",VLOOKUP(AB543,引用表合并!$A:$B,2,FALSE))</f>
        <v/>
      </c>
      <c r="AB543" s="8"/>
      <c r="AC543" s="8"/>
      <c r="AE543" s="8" t="str">
        <f>IF(AF543="","",VLOOKUP(AF543,引用表合并!$A:$B,2,FALSE))</f>
        <v/>
      </c>
      <c r="AF543" s="8"/>
      <c r="AG543" s="8"/>
      <c r="AI543" s="8" t="str">
        <f>IF(AJ543="","",VLOOKUP(AJ543,引用表合并!$A:$B,2,FALSE))</f>
        <v/>
      </c>
      <c r="AJ543" s="8"/>
      <c r="AK543" s="8"/>
      <c r="AM543" s="8" t="str">
        <f>IF(AN543="","",VLOOKUP(AN543,引用表合并!$A:$B,2,FALSE))</f>
        <v/>
      </c>
      <c r="AN543" s="8"/>
      <c r="AO543" s="8"/>
      <c r="AQ543" s="8" t="str">
        <f>IF(AR543="","",VLOOKUP(AR543,引用表合并!$A:$B,2,FALSE))</f>
        <v/>
      </c>
      <c r="AR543" s="8"/>
      <c r="AS543" s="8"/>
      <c r="AU543" s="8" t="str">
        <f>IF(AV543="","",VLOOKUP(AV543,引用表合并!$A:$B,2,FALSE))</f>
        <v/>
      </c>
      <c r="AV543" s="8"/>
      <c r="AW543" s="8"/>
      <c r="AY543" s="8" t="str">
        <f>IF(AZ543="","",VLOOKUP(AZ543,引用表合并!$A:$B,2,FALSE))</f>
        <v/>
      </c>
      <c r="AZ543" s="8"/>
      <c r="BA543" s="8"/>
      <c r="BC543" s="8" t="str">
        <f>IF(BD543="","",VLOOKUP(BD543,引用表合并!$A:$B,2,FALSE))</f>
        <v/>
      </c>
      <c r="BD543" s="8"/>
      <c r="BF543" s="10"/>
      <c r="BG543" s="8" t="str">
        <f>IF(BH543="","",VLOOKUP(BH543,引用表合并!$A:$B,2,FALSE))</f>
        <v/>
      </c>
      <c r="BH543" s="8"/>
      <c r="BJ543" s="10"/>
      <c r="BK543" s="8" t="str">
        <f>IF(BL543="","",VLOOKUP(BL543,引用表合并!$A:$B,2,FALSE))</f>
        <v/>
      </c>
      <c r="BL543" s="8"/>
      <c r="BN543" s="10"/>
    </row>
    <row r="544" spans="1:66" x14ac:dyDescent="0.15">
      <c r="A544" s="8">
        <v>805019</v>
      </c>
      <c r="B544" s="8" t="s">
        <v>910</v>
      </c>
      <c r="C544" s="8">
        <v>0</v>
      </c>
      <c r="D544" s="8">
        <f t="shared" si="71"/>
        <v>0</v>
      </c>
      <c r="E544" s="16">
        <f t="shared" si="80"/>
        <v>0</v>
      </c>
      <c r="F544" s="16">
        <f t="shared" si="73"/>
        <v>0</v>
      </c>
      <c r="G544" s="8" t="str">
        <f>IF(H544="","",VLOOKUP(H544,引用表合并!$A:$B,2,FALSE))</f>
        <v/>
      </c>
      <c r="K544" s="8" t="str">
        <f>IF(L544="","",VLOOKUP(L544,引用表合并!$A:$B,2,FALSE))</f>
        <v/>
      </c>
      <c r="L544" s="8"/>
      <c r="M544" s="8"/>
      <c r="O544" s="8" t="str">
        <f>IF(P544="","",VLOOKUP(P544,引用表合并!$A:$B,2,FALSE))</f>
        <v/>
      </c>
      <c r="P544" s="8"/>
      <c r="Q544" s="8"/>
      <c r="S544" s="8" t="str">
        <f>IF(T544="","",VLOOKUP(T544,引用表合并!$A:$B,2,FALSE))</f>
        <v/>
      </c>
      <c r="T544" s="8"/>
      <c r="U544" s="8"/>
      <c r="W544" s="8" t="str">
        <f>IF(X544="","",VLOOKUP(X544,引用表合并!$A:$B,2,FALSE))</f>
        <v/>
      </c>
      <c r="X544" s="8"/>
      <c r="Y544" s="8"/>
      <c r="AA544" s="8" t="str">
        <f>IF(AB544="","",VLOOKUP(AB544,引用表合并!$A:$B,2,FALSE))</f>
        <v/>
      </c>
      <c r="AB544" s="8"/>
      <c r="AC544" s="8"/>
      <c r="AE544" s="8" t="str">
        <f>IF(AF544="","",VLOOKUP(AF544,引用表合并!$A:$B,2,FALSE))</f>
        <v/>
      </c>
      <c r="AF544" s="8"/>
      <c r="AG544" s="8"/>
      <c r="AI544" s="8" t="str">
        <f>IF(AJ544="","",VLOOKUP(AJ544,引用表合并!$A:$B,2,FALSE))</f>
        <v/>
      </c>
      <c r="AJ544" s="8"/>
      <c r="AK544" s="8"/>
      <c r="AM544" s="8" t="str">
        <f>IF(AN544="","",VLOOKUP(AN544,引用表合并!$A:$B,2,FALSE))</f>
        <v/>
      </c>
      <c r="AN544" s="8"/>
      <c r="AO544" s="8"/>
      <c r="AQ544" s="8" t="str">
        <f>IF(AR544="","",VLOOKUP(AR544,引用表合并!$A:$B,2,FALSE))</f>
        <v/>
      </c>
      <c r="AR544" s="8"/>
      <c r="AS544" s="8"/>
      <c r="AU544" s="8" t="str">
        <f>IF(AV544="","",VLOOKUP(AV544,引用表合并!$A:$B,2,FALSE))</f>
        <v/>
      </c>
      <c r="AV544" s="8"/>
      <c r="AW544" s="8"/>
      <c r="AY544" s="8" t="str">
        <f>IF(AZ544="","",VLOOKUP(AZ544,引用表合并!$A:$B,2,FALSE))</f>
        <v/>
      </c>
      <c r="AZ544" s="8"/>
      <c r="BA544" s="8"/>
      <c r="BC544" s="8" t="str">
        <f>IF(BD544="","",VLOOKUP(BD544,引用表合并!$A:$B,2,FALSE))</f>
        <v/>
      </c>
      <c r="BD544" s="8"/>
      <c r="BF544" s="10"/>
      <c r="BG544" s="8" t="str">
        <f>IF(BH544="","",VLOOKUP(BH544,引用表合并!$A:$B,2,FALSE))</f>
        <v/>
      </c>
      <c r="BH544" s="8"/>
      <c r="BJ544" s="10"/>
      <c r="BK544" s="8" t="str">
        <f>IF(BL544="","",VLOOKUP(BL544,引用表合并!$A:$B,2,FALSE))</f>
        <v/>
      </c>
      <c r="BL544" s="8"/>
      <c r="BN544" s="10"/>
    </row>
    <row r="545" spans="1:66" x14ac:dyDescent="0.15">
      <c r="A545" s="8">
        <v>805021</v>
      </c>
      <c r="B545" s="8" t="s">
        <v>911</v>
      </c>
      <c r="C545" s="8">
        <v>0</v>
      </c>
      <c r="D545" s="8">
        <f t="shared" si="71"/>
        <v>0</v>
      </c>
      <c r="E545" s="16">
        <f t="shared" si="80"/>
        <v>0</v>
      </c>
      <c r="F545" s="16">
        <f t="shared" si="73"/>
        <v>0</v>
      </c>
      <c r="G545" s="8" t="str">
        <f>IF(H545="","",VLOOKUP(H545,引用表合并!$A:$B,2,FALSE))</f>
        <v/>
      </c>
      <c r="K545" s="8" t="str">
        <f>IF(L545="","",VLOOKUP(L545,引用表合并!$A:$B,2,FALSE))</f>
        <v/>
      </c>
      <c r="L545" s="8"/>
      <c r="M545" s="8"/>
      <c r="O545" s="8" t="str">
        <f>IF(P545="","",VLOOKUP(P545,引用表合并!$A:$B,2,FALSE))</f>
        <v/>
      </c>
      <c r="P545" s="8"/>
      <c r="Q545" s="8"/>
      <c r="S545" s="8" t="str">
        <f>IF(T545="","",VLOOKUP(T545,引用表合并!$A:$B,2,FALSE))</f>
        <v/>
      </c>
      <c r="T545" s="8"/>
      <c r="U545" s="8"/>
      <c r="W545" s="8" t="str">
        <f>IF(X545="","",VLOOKUP(X545,引用表合并!$A:$B,2,FALSE))</f>
        <v/>
      </c>
      <c r="X545" s="8"/>
      <c r="Y545" s="8"/>
      <c r="AA545" s="8" t="str">
        <f>IF(AB545="","",VLOOKUP(AB545,引用表合并!$A:$B,2,FALSE))</f>
        <v/>
      </c>
      <c r="AB545" s="8"/>
      <c r="AC545" s="8"/>
      <c r="AE545" s="8" t="str">
        <f>IF(AF545="","",VLOOKUP(AF545,引用表合并!$A:$B,2,FALSE))</f>
        <v/>
      </c>
      <c r="AF545" s="8"/>
      <c r="AG545" s="8"/>
      <c r="AI545" s="8" t="str">
        <f>IF(AJ545="","",VLOOKUP(AJ545,引用表合并!$A:$B,2,FALSE))</f>
        <v/>
      </c>
      <c r="AJ545" s="8"/>
      <c r="AK545" s="8"/>
      <c r="AM545" s="8" t="str">
        <f>IF(AN545="","",VLOOKUP(AN545,引用表合并!$A:$B,2,FALSE))</f>
        <v/>
      </c>
      <c r="AN545" s="8"/>
      <c r="AO545" s="8"/>
      <c r="AQ545" s="8" t="str">
        <f>IF(AR545="","",VLOOKUP(AR545,引用表合并!$A:$B,2,FALSE))</f>
        <v/>
      </c>
      <c r="AR545" s="8"/>
      <c r="AS545" s="8"/>
      <c r="AU545" s="8" t="str">
        <f>IF(AV545="","",VLOOKUP(AV545,引用表合并!$A:$B,2,FALSE))</f>
        <v/>
      </c>
      <c r="AV545" s="8"/>
      <c r="AW545" s="8"/>
      <c r="AY545" s="8" t="str">
        <f>IF(AZ545="","",VLOOKUP(AZ545,引用表合并!$A:$B,2,FALSE))</f>
        <v/>
      </c>
      <c r="AZ545" s="8"/>
      <c r="BA545" s="8"/>
      <c r="BC545" s="8" t="str">
        <f>IF(BD545="","",VLOOKUP(BD545,引用表合并!$A:$B,2,FALSE))</f>
        <v/>
      </c>
      <c r="BD545" s="8"/>
      <c r="BF545" s="10"/>
      <c r="BG545" s="8" t="str">
        <f>IF(BH545="","",VLOOKUP(BH545,引用表合并!$A:$B,2,FALSE))</f>
        <v/>
      </c>
      <c r="BH545" s="8"/>
      <c r="BJ545" s="10"/>
      <c r="BK545" s="8" t="str">
        <f>IF(BL545="","",VLOOKUP(BL545,引用表合并!$A:$B,2,FALSE))</f>
        <v/>
      </c>
      <c r="BL545" s="8"/>
      <c r="BN545" s="10"/>
    </row>
    <row r="546" spans="1:66" x14ac:dyDescent="0.15">
      <c r="A546" s="8">
        <v>805022</v>
      </c>
      <c r="B546" s="8" t="s">
        <v>752</v>
      </c>
      <c r="C546" s="8">
        <v>0</v>
      </c>
      <c r="D546" s="8">
        <f t="shared" si="71"/>
        <v>0</v>
      </c>
      <c r="E546" s="16">
        <f t="shared" si="80"/>
        <v>0</v>
      </c>
      <c r="F546" s="16">
        <f t="shared" si="73"/>
        <v>0</v>
      </c>
      <c r="G546" s="8" t="str">
        <f>IF(H546="","",VLOOKUP(H546,引用表合并!$A:$B,2,FALSE))</f>
        <v/>
      </c>
      <c r="K546" s="8" t="str">
        <f>IF(L546="","",VLOOKUP(L546,引用表合并!$A:$B,2,FALSE))</f>
        <v/>
      </c>
      <c r="L546" s="8"/>
      <c r="M546" s="8"/>
      <c r="O546" s="8" t="str">
        <f>IF(P546="","",VLOOKUP(P546,引用表合并!$A:$B,2,FALSE))</f>
        <v/>
      </c>
      <c r="P546" s="8"/>
      <c r="Q546" s="8"/>
      <c r="S546" s="8" t="str">
        <f>IF(T546="","",VLOOKUP(T546,引用表合并!$A:$B,2,FALSE))</f>
        <v/>
      </c>
      <c r="T546" s="8"/>
      <c r="U546" s="8"/>
      <c r="W546" s="8" t="str">
        <f>IF(X546="","",VLOOKUP(X546,引用表合并!$A:$B,2,FALSE))</f>
        <v/>
      </c>
      <c r="X546" s="8"/>
      <c r="Y546" s="8"/>
      <c r="AA546" s="8" t="str">
        <f>IF(AB546="","",VLOOKUP(AB546,引用表合并!$A:$B,2,FALSE))</f>
        <v/>
      </c>
      <c r="AB546" s="8"/>
      <c r="AC546" s="8"/>
      <c r="AE546" s="8" t="str">
        <f>IF(AF546="","",VLOOKUP(AF546,引用表合并!$A:$B,2,FALSE))</f>
        <v/>
      </c>
      <c r="AF546" s="8"/>
      <c r="AG546" s="8"/>
      <c r="AI546" s="8" t="str">
        <f>IF(AJ546="","",VLOOKUP(AJ546,引用表合并!$A:$B,2,FALSE))</f>
        <v/>
      </c>
      <c r="AJ546" s="8"/>
      <c r="AK546" s="8"/>
      <c r="AM546" s="8" t="str">
        <f>IF(AN546="","",VLOOKUP(AN546,引用表合并!$A:$B,2,FALSE))</f>
        <v/>
      </c>
      <c r="AN546" s="8"/>
      <c r="AO546" s="8"/>
      <c r="AQ546" s="8" t="str">
        <f>IF(AR546="","",VLOOKUP(AR546,引用表合并!$A:$B,2,FALSE))</f>
        <v/>
      </c>
      <c r="AR546" s="8"/>
      <c r="AS546" s="8"/>
      <c r="AU546" s="8" t="str">
        <f>IF(AV546="","",VLOOKUP(AV546,引用表合并!$A:$B,2,FALSE))</f>
        <v/>
      </c>
      <c r="AV546" s="8"/>
      <c r="AW546" s="8"/>
      <c r="AY546" s="8" t="str">
        <f>IF(AZ546="","",VLOOKUP(AZ546,引用表合并!$A:$B,2,FALSE))</f>
        <v/>
      </c>
      <c r="AZ546" s="8"/>
      <c r="BA546" s="8"/>
      <c r="BC546" s="8" t="str">
        <f>IF(BD546="","",VLOOKUP(BD546,引用表合并!$A:$B,2,FALSE))</f>
        <v/>
      </c>
      <c r="BD546" s="8"/>
      <c r="BF546" s="10"/>
      <c r="BG546" s="8" t="str">
        <f>IF(BH546="","",VLOOKUP(BH546,引用表合并!$A:$B,2,FALSE))</f>
        <v/>
      </c>
      <c r="BH546" s="8"/>
      <c r="BJ546" s="10"/>
      <c r="BK546" s="8" t="str">
        <f>IF(BL546="","",VLOOKUP(BL546,引用表合并!$A:$B,2,FALSE))</f>
        <v/>
      </c>
      <c r="BL546" s="8"/>
      <c r="BN546" s="10"/>
    </row>
    <row r="547" spans="1:66" x14ac:dyDescent="0.15">
      <c r="A547" s="8">
        <v>805081</v>
      </c>
      <c r="B547" s="8" t="s">
        <v>753</v>
      </c>
      <c r="C547" s="8">
        <v>0</v>
      </c>
      <c r="D547" s="8">
        <f t="shared" si="71"/>
        <v>0</v>
      </c>
      <c r="E547" s="16">
        <f t="shared" si="80"/>
        <v>0</v>
      </c>
      <c r="F547" s="16">
        <f t="shared" si="73"/>
        <v>0</v>
      </c>
      <c r="G547" s="8" t="str">
        <f>IF(H547="","",VLOOKUP(H547,引用表合并!$A:$B,2,FALSE))</f>
        <v/>
      </c>
      <c r="K547" s="8" t="str">
        <f>IF(L547="","",VLOOKUP(L547,引用表合并!$A:$B,2,FALSE))</f>
        <v/>
      </c>
      <c r="L547" s="8"/>
      <c r="M547" s="8"/>
      <c r="O547" s="8" t="str">
        <f>IF(P547="","",VLOOKUP(P547,引用表合并!$A:$B,2,FALSE))</f>
        <v/>
      </c>
      <c r="P547" s="8"/>
      <c r="Q547" s="8"/>
      <c r="S547" s="8" t="str">
        <f>IF(T547="","",VLOOKUP(T547,引用表合并!$A:$B,2,FALSE))</f>
        <v/>
      </c>
      <c r="T547" s="8"/>
      <c r="U547" s="8"/>
      <c r="W547" s="8" t="str">
        <f>IF(X547="","",VLOOKUP(X547,引用表合并!$A:$B,2,FALSE))</f>
        <v/>
      </c>
      <c r="X547" s="8"/>
      <c r="Y547" s="8"/>
      <c r="AA547" s="8" t="str">
        <f>IF(AB547="","",VLOOKUP(AB547,引用表合并!$A:$B,2,FALSE))</f>
        <v/>
      </c>
      <c r="AB547" s="8"/>
      <c r="AC547" s="8"/>
      <c r="AE547" s="8" t="str">
        <f>IF(AF547="","",VLOOKUP(AF547,引用表合并!$A:$B,2,FALSE))</f>
        <v/>
      </c>
      <c r="AF547" s="8"/>
      <c r="AG547" s="8"/>
      <c r="AI547" s="8" t="str">
        <f>IF(AJ547="","",VLOOKUP(AJ547,引用表合并!$A:$B,2,FALSE))</f>
        <v/>
      </c>
      <c r="AJ547" s="8"/>
      <c r="AK547" s="8"/>
      <c r="AM547" s="8" t="str">
        <f>IF(AN547="","",VLOOKUP(AN547,引用表合并!$A:$B,2,FALSE))</f>
        <v/>
      </c>
      <c r="AN547" s="8"/>
      <c r="AO547" s="8"/>
      <c r="AQ547" s="8" t="str">
        <f>IF(AR547="","",VLOOKUP(AR547,引用表合并!$A:$B,2,FALSE))</f>
        <v/>
      </c>
      <c r="AR547" s="8"/>
      <c r="AS547" s="8"/>
      <c r="AU547" s="8" t="str">
        <f>IF(AV547="","",VLOOKUP(AV547,引用表合并!$A:$B,2,FALSE))</f>
        <v/>
      </c>
      <c r="AV547" s="8"/>
      <c r="AW547" s="8"/>
      <c r="AY547" s="8" t="str">
        <f>IF(AZ547="","",VLOOKUP(AZ547,引用表合并!$A:$B,2,FALSE))</f>
        <v/>
      </c>
      <c r="AZ547" s="8"/>
      <c r="BA547" s="8"/>
      <c r="BC547" s="8" t="str">
        <f>IF(BD547="","",VLOOKUP(BD547,引用表合并!$A:$B,2,FALSE))</f>
        <v/>
      </c>
      <c r="BD547" s="8"/>
      <c r="BF547" s="10"/>
      <c r="BG547" s="8" t="str">
        <f>IF(BH547="","",VLOOKUP(BH547,引用表合并!$A:$B,2,FALSE))</f>
        <v/>
      </c>
      <c r="BH547" s="8"/>
      <c r="BJ547" s="10"/>
      <c r="BK547" s="8" t="str">
        <f>IF(BL547="","",VLOOKUP(BL547,引用表合并!$A:$B,2,FALSE))</f>
        <v/>
      </c>
      <c r="BL547" s="8"/>
      <c r="BN547" s="10"/>
    </row>
    <row r="548" spans="1:66" x14ac:dyDescent="0.15">
      <c r="A548" s="8">
        <v>805082</v>
      </c>
      <c r="B548" s="8" t="s">
        <v>754</v>
      </c>
      <c r="C548" s="8">
        <v>0</v>
      </c>
      <c r="D548" s="8">
        <f t="shared" si="71"/>
        <v>0</v>
      </c>
      <c r="E548" s="16">
        <f t="shared" si="80"/>
        <v>0</v>
      </c>
      <c r="F548" s="16">
        <f t="shared" si="73"/>
        <v>0</v>
      </c>
      <c r="G548" s="8" t="str">
        <f>IF(H548="","",VLOOKUP(H548,引用表合并!$A:$B,2,FALSE))</f>
        <v/>
      </c>
      <c r="K548" s="8" t="str">
        <f>IF(L548="","",VLOOKUP(L548,引用表合并!$A:$B,2,FALSE))</f>
        <v/>
      </c>
      <c r="L548" s="8"/>
      <c r="M548" s="8"/>
      <c r="O548" s="8" t="str">
        <f>IF(P548="","",VLOOKUP(P548,引用表合并!$A:$B,2,FALSE))</f>
        <v/>
      </c>
      <c r="P548" s="8"/>
      <c r="Q548" s="8"/>
      <c r="S548" s="8" t="str">
        <f>IF(T548="","",VLOOKUP(T548,引用表合并!$A:$B,2,FALSE))</f>
        <v/>
      </c>
      <c r="T548" s="8"/>
      <c r="U548" s="8"/>
      <c r="W548" s="8" t="str">
        <f>IF(X548="","",VLOOKUP(X548,引用表合并!$A:$B,2,FALSE))</f>
        <v/>
      </c>
      <c r="X548" s="8"/>
      <c r="Y548" s="8"/>
      <c r="AA548" s="8" t="str">
        <f>IF(AB548="","",VLOOKUP(AB548,引用表合并!$A:$B,2,FALSE))</f>
        <v/>
      </c>
      <c r="AB548" s="8"/>
      <c r="AC548" s="8"/>
      <c r="AE548" s="8" t="str">
        <f>IF(AF548="","",VLOOKUP(AF548,引用表合并!$A:$B,2,FALSE))</f>
        <v/>
      </c>
      <c r="AF548" s="8"/>
      <c r="AG548" s="8"/>
      <c r="AI548" s="8" t="str">
        <f>IF(AJ548="","",VLOOKUP(AJ548,引用表合并!$A:$B,2,FALSE))</f>
        <v/>
      </c>
      <c r="AJ548" s="8"/>
      <c r="AK548" s="8"/>
      <c r="AM548" s="8" t="str">
        <f>IF(AN548="","",VLOOKUP(AN548,引用表合并!$A:$B,2,FALSE))</f>
        <v/>
      </c>
      <c r="AN548" s="8"/>
      <c r="AO548" s="8"/>
      <c r="AQ548" s="8" t="str">
        <f>IF(AR548="","",VLOOKUP(AR548,引用表合并!$A:$B,2,FALSE))</f>
        <v/>
      </c>
      <c r="AR548" s="8"/>
      <c r="AS548" s="8"/>
      <c r="AU548" s="8" t="str">
        <f>IF(AV548="","",VLOOKUP(AV548,引用表合并!$A:$B,2,FALSE))</f>
        <v/>
      </c>
      <c r="AV548" s="8"/>
      <c r="AW548" s="8"/>
      <c r="AY548" s="8" t="str">
        <f>IF(AZ548="","",VLOOKUP(AZ548,引用表合并!$A:$B,2,FALSE))</f>
        <v/>
      </c>
      <c r="AZ548" s="8"/>
      <c r="BA548" s="8"/>
      <c r="BC548" s="8" t="str">
        <f>IF(BD548="","",VLOOKUP(BD548,引用表合并!$A:$B,2,FALSE))</f>
        <v/>
      </c>
      <c r="BD548" s="8"/>
      <c r="BF548" s="10"/>
      <c r="BG548" s="8" t="str">
        <f>IF(BH548="","",VLOOKUP(BH548,引用表合并!$A:$B,2,FALSE))</f>
        <v/>
      </c>
      <c r="BH548" s="8"/>
      <c r="BJ548" s="10"/>
      <c r="BK548" s="8" t="str">
        <f>IF(BL548="","",VLOOKUP(BL548,引用表合并!$A:$B,2,FALSE))</f>
        <v/>
      </c>
      <c r="BL548" s="8"/>
      <c r="BN548" s="10"/>
    </row>
    <row r="549" spans="1:66" x14ac:dyDescent="0.15">
      <c r="A549" s="8">
        <v>805083</v>
      </c>
      <c r="B549" s="8" t="s">
        <v>755</v>
      </c>
      <c r="C549" s="8">
        <v>0</v>
      </c>
      <c r="D549" s="8">
        <f t="shared" si="71"/>
        <v>0</v>
      </c>
      <c r="E549" s="16">
        <f t="shared" si="80"/>
        <v>0</v>
      </c>
      <c r="F549" s="16">
        <f t="shared" si="73"/>
        <v>0</v>
      </c>
      <c r="G549" s="8" t="str">
        <f>IF(H549="","",VLOOKUP(H549,引用表合并!$A:$B,2,FALSE))</f>
        <v/>
      </c>
      <c r="K549" s="8" t="str">
        <f>IF(L549="","",VLOOKUP(L549,引用表合并!$A:$B,2,FALSE))</f>
        <v/>
      </c>
      <c r="L549" s="8"/>
      <c r="M549" s="8"/>
      <c r="O549" s="8" t="str">
        <f>IF(P549="","",VLOOKUP(P549,引用表合并!$A:$B,2,FALSE))</f>
        <v/>
      </c>
      <c r="P549" s="8"/>
      <c r="Q549" s="8"/>
      <c r="S549" s="8" t="str">
        <f>IF(T549="","",VLOOKUP(T549,引用表合并!$A:$B,2,FALSE))</f>
        <v/>
      </c>
      <c r="T549" s="8"/>
      <c r="U549" s="8"/>
      <c r="W549" s="8" t="str">
        <f>IF(X549="","",VLOOKUP(X549,引用表合并!$A:$B,2,FALSE))</f>
        <v/>
      </c>
      <c r="X549" s="8"/>
      <c r="Y549" s="8"/>
      <c r="AA549" s="8" t="str">
        <f>IF(AB549="","",VLOOKUP(AB549,引用表合并!$A:$B,2,FALSE))</f>
        <v/>
      </c>
      <c r="AB549" s="8"/>
      <c r="AC549" s="8"/>
      <c r="AE549" s="8" t="str">
        <f>IF(AF549="","",VLOOKUP(AF549,引用表合并!$A:$B,2,FALSE))</f>
        <v/>
      </c>
      <c r="AF549" s="8"/>
      <c r="AG549" s="8"/>
      <c r="AI549" s="8" t="str">
        <f>IF(AJ549="","",VLOOKUP(AJ549,引用表合并!$A:$B,2,FALSE))</f>
        <v/>
      </c>
      <c r="AJ549" s="8"/>
      <c r="AK549" s="8"/>
      <c r="AM549" s="8" t="str">
        <f>IF(AN549="","",VLOOKUP(AN549,引用表合并!$A:$B,2,FALSE))</f>
        <v/>
      </c>
      <c r="AN549" s="8"/>
      <c r="AO549" s="8"/>
      <c r="AQ549" s="8" t="str">
        <f>IF(AR549="","",VLOOKUP(AR549,引用表合并!$A:$B,2,FALSE))</f>
        <v/>
      </c>
      <c r="AR549" s="8"/>
      <c r="AS549" s="8"/>
      <c r="AU549" s="8" t="str">
        <f>IF(AV549="","",VLOOKUP(AV549,引用表合并!$A:$B,2,FALSE))</f>
        <v/>
      </c>
      <c r="AV549" s="8"/>
      <c r="AW549" s="8"/>
      <c r="AY549" s="8" t="str">
        <f>IF(AZ549="","",VLOOKUP(AZ549,引用表合并!$A:$B,2,FALSE))</f>
        <v/>
      </c>
      <c r="AZ549" s="8"/>
      <c r="BA549" s="8"/>
      <c r="BC549" s="8" t="str">
        <f>IF(BD549="","",VLOOKUP(BD549,引用表合并!$A:$B,2,FALSE))</f>
        <v/>
      </c>
      <c r="BD549" s="8"/>
      <c r="BF549" s="10"/>
      <c r="BG549" s="8" t="str">
        <f>IF(BH549="","",VLOOKUP(BH549,引用表合并!$A:$B,2,FALSE))</f>
        <v/>
      </c>
      <c r="BH549" s="8"/>
      <c r="BJ549" s="10"/>
      <c r="BK549" s="8" t="str">
        <f>IF(BL549="","",VLOOKUP(BL549,引用表合并!$A:$B,2,FALSE))</f>
        <v/>
      </c>
      <c r="BL549" s="8"/>
      <c r="BN549" s="10"/>
    </row>
    <row r="550" spans="1:66" x14ac:dyDescent="0.15">
      <c r="A550" s="8">
        <v>805030</v>
      </c>
      <c r="B550" s="8" t="s">
        <v>756</v>
      </c>
      <c r="C550" s="8">
        <v>0</v>
      </c>
      <c r="D550" s="8">
        <f t="shared" si="71"/>
        <v>1</v>
      </c>
      <c r="E550" s="16">
        <f t="shared" si="80"/>
        <v>1</v>
      </c>
      <c r="F550" s="16">
        <f t="shared" si="73"/>
        <v>1</v>
      </c>
      <c r="G550" s="8" t="str">
        <f>IF(H550="","",VLOOKUP(H550,引用表合并!$A:$B,2,FALSE))</f>
        <v>扫荡券</v>
      </c>
      <c r="H550" s="8">
        <v>83002</v>
      </c>
      <c r="I550" s="8">
        <f>[3]D_VIP对应表!$AK2</f>
        <v>1</v>
      </c>
      <c r="J550" s="10">
        <v>10000</v>
      </c>
      <c r="K550" s="8" t="str">
        <f>IF(L550="","",VLOOKUP(L550,引用表合并!$A:$B,2,FALSE))</f>
        <v/>
      </c>
      <c r="L550" s="8"/>
      <c r="M550" s="8"/>
      <c r="O550" s="8" t="str">
        <f>IF(P550="","",VLOOKUP(P550,引用表合并!$A:$B,2,FALSE))</f>
        <v/>
      </c>
      <c r="P550" s="8"/>
      <c r="Q550" s="8"/>
      <c r="S550" s="8" t="str">
        <f>IF(T550="","",VLOOKUP(T550,引用表合并!$A:$B,2,FALSE))</f>
        <v/>
      </c>
      <c r="T550" s="8"/>
      <c r="U550" s="8"/>
      <c r="W550" s="8" t="str">
        <f>IF(X550="","",VLOOKUP(X550,引用表合并!$A:$B,2,FALSE))</f>
        <v/>
      </c>
      <c r="X550" s="8"/>
      <c r="Y550" s="8"/>
      <c r="AA550" s="8" t="str">
        <f>IF(AB550="","",VLOOKUP(AB550,引用表合并!$A:$B,2,FALSE))</f>
        <v/>
      </c>
      <c r="AB550" s="8"/>
      <c r="AC550" s="8"/>
      <c r="AE550" s="8" t="str">
        <f>IF(AF550="","",VLOOKUP(AF550,引用表合并!$A:$B,2,FALSE))</f>
        <v/>
      </c>
      <c r="AF550" s="8"/>
      <c r="AG550" s="8"/>
      <c r="AI550" s="8" t="str">
        <f>IF(AJ550="","",VLOOKUP(AJ550,引用表合并!$A:$B,2,FALSE))</f>
        <v/>
      </c>
      <c r="AJ550" s="8"/>
      <c r="AK550" s="8"/>
      <c r="AM550" s="8" t="str">
        <f>IF(AN550="","",VLOOKUP(AN550,引用表合并!$A:$B,2,FALSE))</f>
        <v/>
      </c>
      <c r="AN550" s="8"/>
      <c r="AO550" s="8"/>
      <c r="AQ550" s="8" t="str">
        <f>IF(AR550="","",VLOOKUP(AR550,引用表合并!$A:$B,2,FALSE))</f>
        <v/>
      </c>
      <c r="AR550" s="8"/>
      <c r="AS550" s="8"/>
      <c r="AU550" s="8" t="str">
        <f>IF(AV550="","",VLOOKUP(AV550,引用表合并!$A:$B,2,FALSE))</f>
        <v/>
      </c>
      <c r="AV550" s="8"/>
      <c r="AW550" s="8"/>
      <c r="AY550" s="8" t="str">
        <f>IF(AZ550="","",VLOOKUP(AZ550,引用表合并!$A:$B,2,FALSE))</f>
        <v/>
      </c>
      <c r="AZ550" s="8"/>
      <c r="BA550" s="8"/>
      <c r="BC550" s="8" t="str">
        <f>IF(BD550="","",VLOOKUP(BD550,引用表合并!$A:$B,2,FALSE))</f>
        <v/>
      </c>
      <c r="BD550" s="8"/>
      <c r="BF550" s="10"/>
      <c r="BG550" s="8" t="str">
        <f>IF(BH550="","",VLOOKUP(BH550,引用表合并!$A:$B,2,FALSE))</f>
        <v/>
      </c>
      <c r="BH550" s="8"/>
      <c r="BJ550" s="10"/>
      <c r="BK550" s="8" t="str">
        <f>IF(BL550="","",VLOOKUP(BL550,引用表合并!$A:$B,2,FALSE))</f>
        <v/>
      </c>
      <c r="BL550" s="8"/>
      <c r="BN550" s="10"/>
    </row>
    <row r="551" spans="1:66" x14ac:dyDescent="0.15">
      <c r="A551" s="8">
        <v>805031</v>
      </c>
      <c r="B551" s="8" t="s">
        <v>756</v>
      </c>
      <c r="C551" s="8">
        <v>0</v>
      </c>
      <c r="D551" s="8">
        <f t="shared" si="71"/>
        <v>1</v>
      </c>
      <c r="E551" s="16">
        <f t="shared" si="80"/>
        <v>1</v>
      </c>
      <c r="F551" s="16">
        <f t="shared" si="73"/>
        <v>1</v>
      </c>
      <c r="G551" s="8" t="str">
        <f>IF(H551="","",VLOOKUP(H551,引用表合并!$A:$B,2,FALSE))</f>
        <v>扫荡券</v>
      </c>
      <c r="H551" s="8">
        <v>83002</v>
      </c>
      <c r="I551" s="8">
        <f>[3]D_VIP对应表!$AK3</f>
        <v>5</v>
      </c>
      <c r="J551" s="10">
        <v>10000</v>
      </c>
      <c r="K551" s="8" t="str">
        <f>IF(L551="","",VLOOKUP(L551,引用表合并!$A:$B,2,FALSE))</f>
        <v/>
      </c>
      <c r="L551" s="8"/>
      <c r="M551" s="8"/>
      <c r="O551" s="8" t="str">
        <f>IF(P551="","",VLOOKUP(P551,引用表合并!$A:$B,2,FALSE))</f>
        <v/>
      </c>
      <c r="P551" s="8"/>
      <c r="Q551" s="8"/>
      <c r="S551" s="8" t="str">
        <f>IF(T551="","",VLOOKUP(T551,引用表合并!$A:$B,2,FALSE))</f>
        <v/>
      </c>
      <c r="T551" s="8"/>
      <c r="U551" s="8"/>
      <c r="W551" s="8" t="str">
        <f>IF(X551="","",VLOOKUP(X551,引用表合并!$A:$B,2,FALSE))</f>
        <v/>
      </c>
      <c r="X551" s="8"/>
      <c r="Y551" s="8"/>
      <c r="AA551" s="8" t="str">
        <f>IF(AB551="","",VLOOKUP(AB551,引用表合并!$A:$B,2,FALSE))</f>
        <v/>
      </c>
      <c r="AB551" s="8"/>
      <c r="AC551" s="8"/>
      <c r="AE551" s="8" t="str">
        <f>IF(AF551="","",VLOOKUP(AF551,引用表合并!$A:$B,2,FALSE))</f>
        <v/>
      </c>
      <c r="AF551" s="8"/>
      <c r="AG551" s="8"/>
      <c r="AI551" s="8" t="str">
        <f>IF(AJ551="","",VLOOKUP(AJ551,引用表合并!$A:$B,2,FALSE))</f>
        <v/>
      </c>
      <c r="AJ551" s="8"/>
      <c r="AK551" s="8"/>
      <c r="AM551" s="8" t="str">
        <f>IF(AN551="","",VLOOKUP(AN551,引用表合并!$A:$B,2,FALSE))</f>
        <v/>
      </c>
      <c r="AN551" s="8"/>
      <c r="AO551" s="8"/>
      <c r="AQ551" s="8" t="str">
        <f>IF(AR551="","",VLOOKUP(AR551,引用表合并!$A:$B,2,FALSE))</f>
        <v/>
      </c>
      <c r="AR551" s="8"/>
      <c r="AS551" s="8"/>
      <c r="AU551" s="8" t="str">
        <f>IF(AV551="","",VLOOKUP(AV551,引用表合并!$A:$B,2,FALSE))</f>
        <v/>
      </c>
      <c r="AV551" s="8"/>
      <c r="AW551" s="8"/>
      <c r="AY551" s="8" t="str">
        <f>IF(AZ551="","",VLOOKUP(AZ551,引用表合并!$A:$B,2,FALSE))</f>
        <v/>
      </c>
      <c r="AZ551" s="8"/>
      <c r="BA551" s="8"/>
      <c r="BC551" s="8" t="str">
        <f>IF(BD551="","",VLOOKUP(BD551,引用表合并!$A:$B,2,FALSE))</f>
        <v/>
      </c>
      <c r="BD551" s="8"/>
      <c r="BF551" s="10"/>
      <c r="BG551" s="8" t="str">
        <f>IF(BH551="","",VLOOKUP(BH551,引用表合并!$A:$B,2,FALSE))</f>
        <v/>
      </c>
      <c r="BH551" s="8"/>
      <c r="BJ551" s="10"/>
      <c r="BK551" s="8" t="str">
        <f>IF(BL551="","",VLOOKUP(BL551,引用表合并!$A:$B,2,FALSE))</f>
        <v/>
      </c>
      <c r="BL551" s="8"/>
      <c r="BN551" s="10"/>
    </row>
    <row r="552" spans="1:66" x14ac:dyDescent="0.15">
      <c r="A552" s="8">
        <v>805032</v>
      </c>
      <c r="B552" s="8" t="s">
        <v>756</v>
      </c>
      <c r="C552" s="8">
        <v>0</v>
      </c>
      <c r="D552" s="8">
        <f t="shared" si="71"/>
        <v>1</v>
      </c>
      <c r="E552" s="16">
        <f t="shared" si="80"/>
        <v>1</v>
      </c>
      <c r="F552" s="16">
        <f t="shared" si="73"/>
        <v>1</v>
      </c>
      <c r="G552" s="8" t="str">
        <f>IF(H552="","",VLOOKUP(H552,引用表合并!$A:$B,2,FALSE))</f>
        <v>扫荡券</v>
      </c>
      <c r="H552" s="8">
        <v>83002</v>
      </c>
      <c r="I552" s="8">
        <f>[3]D_VIP对应表!$AK4</f>
        <v>20</v>
      </c>
      <c r="J552" s="10">
        <v>10000</v>
      </c>
      <c r="K552" s="8" t="str">
        <f>IF(L552="","",VLOOKUP(L552,引用表合并!$A:$B,2,FALSE))</f>
        <v/>
      </c>
      <c r="L552" s="8"/>
      <c r="M552" s="8"/>
      <c r="O552" s="8" t="str">
        <f>IF(P552="","",VLOOKUP(P552,引用表合并!$A:$B,2,FALSE))</f>
        <v/>
      </c>
      <c r="P552" s="8"/>
      <c r="Q552" s="8"/>
      <c r="S552" s="8" t="str">
        <f>IF(T552="","",VLOOKUP(T552,引用表合并!$A:$B,2,FALSE))</f>
        <v/>
      </c>
      <c r="T552" s="8"/>
      <c r="U552" s="8"/>
      <c r="W552" s="8" t="str">
        <f>IF(X552="","",VLOOKUP(X552,引用表合并!$A:$B,2,FALSE))</f>
        <v/>
      </c>
      <c r="X552" s="8"/>
      <c r="Y552" s="8"/>
      <c r="AA552" s="8" t="str">
        <f>IF(AB552="","",VLOOKUP(AB552,引用表合并!$A:$B,2,FALSE))</f>
        <v/>
      </c>
      <c r="AB552" s="8"/>
      <c r="AC552" s="8"/>
      <c r="AE552" s="8" t="str">
        <f>IF(AF552="","",VLOOKUP(AF552,引用表合并!$A:$B,2,FALSE))</f>
        <v/>
      </c>
      <c r="AF552" s="8"/>
      <c r="AG552" s="8"/>
      <c r="AI552" s="8" t="str">
        <f>IF(AJ552="","",VLOOKUP(AJ552,引用表合并!$A:$B,2,FALSE))</f>
        <v/>
      </c>
      <c r="AJ552" s="8"/>
      <c r="AK552" s="8"/>
      <c r="AM552" s="8" t="str">
        <f>IF(AN552="","",VLOOKUP(AN552,引用表合并!$A:$B,2,FALSE))</f>
        <v/>
      </c>
      <c r="AN552" s="8"/>
      <c r="AO552" s="8"/>
      <c r="AQ552" s="8" t="str">
        <f>IF(AR552="","",VLOOKUP(AR552,引用表合并!$A:$B,2,FALSE))</f>
        <v/>
      </c>
      <c r="AR552" s="8"/>
      <c r="AS552" s="8"/>
      <c r="AU552" s="8" t="str">
        <f>IF(AV552="","",VLOOKUP(AV552,引用表合并!$A:$B,2,FALSE))</f>
        <v/>
      </c>
      <c r="AV552" s="8"/>
      <c r="AW552" s="8"/>
      <c r="AY552" s="8" t="str">
        <f>IF(AZ552="","",VLOOKUP(AZ552,引用表合并!$A:$B,2,FALSE))</f>
        <v/>
      </c>
      <c r="AZ552" s="8"/>
      <c r="BA552" s="8"/>
      <c r="BC552" s="8" t="str">
        <f>IF(BD552="","",VLOOKUP(BD552,引用表合并!$A:$B,2,FALSE))</f>
        <v/>
      </c>
      <c r="BD552" s="8"/>
      <c r="BF552" s="10"/>
      <c r="BG552" s="8" t="str">
        <f>IF(BH552="","",VLOOKUP(BH552,引用表合并!$A:$B,2,FALSE))</f>
        <v/>
      </c>
      <c r="BH552" s="8"/>
      <c r="BJ552" s="10"/>
      <c r="BK552" s="8" t="str">
        <f>IF(BL552="","",VLOOKUP(BL552,引用表合并!$A:$B,2,FALSE))</f>
        <v/>
      </c>
      <c r="BL552" s="8"/>
      <c r="BN552" s="10"/>
    </row>
    <row r="553" spans="1:66" x14ac:dyDescent="0.15">
      <c r="A553" s="8">
        <v>805033</v>
      </c>
      <c r="B553" s="8" t="s">
        <v>756</v>
      </c>
      <c r="C553" s="8">
        <v>0</v>
      </c>
      <c r="D553" s="8">
        <f t="shared" si="71"/>
        <v>1</v>
      </c>
      <c r="E553" s="16">
        <f t="shared" si="80"/>
        <v>1</v>
      </c>
      <c r="F553" s="16">
        <f t="shared" si="73"/>
        <v>1</v>
      </c>
      <c r="G553" s="8" t="str">
        <f>IF(H553="","",VLOOKUP(H553,引用表合并!$A:$B,2,FALSE))</f>
        <v>扫荡券</v>
      </c>
      <c r="H553" s="8">
        <v>83002</v>
      </c>
      <c r="I553" s="8">
        <f>[3]D_VIP对应表!$AK5</f>
        <v>40</v>
      </c>
      <c r="J553" s="10">
        <v>10000</v>
      </c>
      <c r="K553" s="8" t="str">
        <f>IF(L553="","",VLOOKUP(L553,引用表合并!$A:$B,2,FALSE))</f>
        <v/>
      </c>
      <c r="L553" s="8"/>
      <c r="M553" s="8"/>
      <c r="O553" s="8" t="str">
        <f>IF(P553="","",VLOOKUP(P553,引用表合并!$A:$B,2,FALSE))</f>
        <v/>
      </c>
      <c r="P553" s="8"/>
      <c r="Q553" s="8"/>
      <c r="S553" s="8" t="str">
        <f>IF(T553="","",VLOOKUP(T553,引用表合并!$A:$B,2,FALSE))</f>
        <v/>
      </c>
      <c r="T553" s="8"/>
      <c r="U553" s="8"/>
      <c r="W553" s="8" t="str">
        <f>IF(X553="","",VLOOKUP(X553,引用表合并!$A:$B,2,FALSE))</f>
        <v/>
      </c>
      <c r="X553" s="8"/>
      <c r="Y553" s="8"/>
      <c r="AA553" s="8" t="str">
        <f>IF(AB553="","",VLOOKUP(AB553,引用表合并!$A:$B,2,FALSE))</f>
        <v/>
      </c>
      <c r="AB553" s="8"/>
      <c r="AC553" s="8"/>
      <c r="AE553" s="8" t="str">
        <f>IF(AF553="","",VLOOKUP(AF553,引用表合并!$A:$B,2,FALSE))</f>
        <v/>
      </c>
      <c r="AF553" s="8"/>
      <c r="AG553" s="8"/>
      <c r="AI553" s="8" t="str">
        <f>IF(AJ553="","",VLOOKUP(AJ553,引用表合并!$A:$B,2,FALSE))</f>
        <v/>
      </c>
      <c r="AJ553" s="8"/>
      <c r="AK553" s="8"/>
      <c r="AM553" s="8" t="str">
        <f>IF(AN553="","",VLOOKUP(AN553,引用表合并!$A:$B,2,FALSE))</f>
        <v/>
      </c>
      <c r="AN553" s="8"/>
      <c r="AO553" s="8"/>
      <c r="AQ553" s="8" t="str">
        <f>IF(AR553="","",VLOOKUP(AR553,引用表合并!$A:$B,2,FALSE))</f>
        <v/>
      </c>
      <c r="AR553" s="8"/>
      <c r="AS553" s="8"/>
      <c r="AU553" s="8" t="str">
        <f>IF(AV553="","",VLOOKUP(AV553,引用表合并!$A:$B,2,FALSE))</f>
        <v/>
      </c>
      <c r="AV553" s="8"/>
      <c r="AW553" s="8"/>
      <c r="AY553" s="8" t="str">
        <f>IF(AZ553="","",VLOOKUP(AZ553,引用表合并!$A:$B,2,FALSE))</f>
        <v/>
      </c>
      <c r="AZ553" s="8"/>
      <c r="BA553" s="8"/>
      <c r="BC553" s="8" t="str">
        <f>IF(BD553="","",VLOOKUP(BD553,引用表合并!$A:$B,2,FALSE))</f>
        <v/>
      </c>
      <c r="BD553" s="8"/>
      <c r="BF553" s="10"/>
      <c r="BG553" s="8" t="str">
        <f>IF(BH553="","",VLOOKUP(BH553,引用表合并!$A:$B,2,FALSE))</f>
        <v/>
      </c>
      <c r="BH553" s="8"/>
      <c r="BJ553" s="10"/>
      <c r="BK553" s="8" t="str">
        <f>IF(BL553="","",VLOOKUP(BL553,引用表合并!$A:$B,2,FALSE))</f>
        <v/>
      </c>
      <c r="BL553" s="8"/>
      <c r="BN553" s="10"/>
    </row>
    <row r="554" spans="1:66" x14ac:dyDescent="0.15">
      <c r="A554" s="8">
        <v>805034</v>
      </c>
      <c r="B554" s="8" t="s">
        <v>756</v>
      </c>
      <c r="C554" s="8">
        <v>0</v>
      </c>
      <c r="D554" s="8">
        <f t="shared" si="71"/>
        <v>1</v>
      </c>
      <c r="E554" s="16">
        <f t="shared" si="80"/>
        <v>1</v>
      </c>
      <c r="F554" s="16">
        <f t="shared" si="73"/>
        <v>1</v>
      </c>
      <c r="G554" s="8" t="str">
        <f>IF(H554="","",VLOOKUP(H554,引用表合并!$A:$B,2,FALSE))</f>
        <v>扫荡券</v>
      </c>
      <c r="H554" s="8">
        <v>83002</v>
      </c>
      <c r="I554" s="8">
        <f>[3]D_VIP对应表!$AK6</f>
        <v>60</v>
      </c>
      <c r="J554" s="10">
        <v>10000</v>
      </c>
      <c r="K554" s="8" t="str">
        <f>IF(L554="","",VLOOKUP(L554,引用表合并!$A:$B,2,FALSE))</f>
        <v/>
      </c>
      <c r="L554" s="8"/>
      <c r="M554" s="8"/>
      <c r="O554" s="8" t="str">
        <f>IF(P554="","",VLOOKUP(P554,引用表合并!$A:$B,2,FALSE))</f>
        <v/>
      </c>
      <c r="P554" s="8"/>
      <c r="Q554" s="8"/>
      <c r="S554" s="8" t="str">
        <f>IF(T554="","",VLOOKUP(T554,引用表合并!$A:$B,2,FALSE))</f>
        <v/>
      </c>
      <c r="T554" s="8"/>
      <c r="U554" s="8"/>
      <c r="W554" s="8" t="str">
        <f>IF(X554="","",VLOOKUP(X554,引用表合并!$A:$B,2,FALSE))</f>
        <v/>
      </c>
      <c r="X554" s="8"/>
      <c r="Y554" s="8"/>
      <c r="AA554" s="8" t="str">
        <f>IF(AB554="","",VLOOKUP(AB554,引用表合并!$A:$B,2,FALSE))</f>
        <v/>
      </c>
      <c r="AB554" s="8"/>
      <c r="AC554" s="8"/>
      <c r="AE554" s="8" t="str">
        <f>IF(AF554="","",VLOOKUP(AF554,引用表合并!$A:$B,2,FALSE))</f>
        <v/>
      </c>
      <c r="AF554" s="8"/>
      <c r="AG554" s="8"/>
      <c r="AI554" s="8" t="str">
        <f>IF(AJ554="","",VLOOKUP(AJ554,引用表合并!$A:$B,2,FALSE))</f>
        <v/>
      </c>
      <c r="AJ554" s="8"/>
      <c r="AK554" s="8"/>
      <c r="AM554" s="8" t="str">
        <f>IF(AN554="","",VLOOKUP(AN554,引用表合并!$A:$B,2,FALSE))</f>
        <v/>
      </c>
      <c r="AN554" s="8"/>
      <c r="AO554" s="8"/>
      <c r="AQ554" s="8" t="str">
        <f>IF(AR554="","",VLOOKUP(AR554,引用表合并!$A:$B,2,FALSE))</f>
        <v/>
      </c>
      <c r="AR554" s="8"/>
      <c r="AS554" s="8"/>
      <c r="AU554" s="8" t="str">
        <f>IF(AV554="","",VLOOKUP(AV554,引用表合并!$A:$B,2,FALSE))</f>
        <v/>
      </c>
      <c r="AV554" s="8"/>
      <c r="AW554" s="8"/>
      <c r="AY554" s="8" t="str">
        <f>IF(AZ554="","",VLOOKUP(AZ554,引用表合并!$A:$B,2,FALSE))</f>
        <v/>
      </c>
      <c r="AZ554" s="8"/>
      <c r="BA554" s="8"/>
      <c r="BC554" s="8" t="str">
        <f>IF(BD554="","",VLOOKUP(BD554,引用表合并!$A:$B,2,FALSE))</f>
        <v/>
      </c>
      <c r="BD554" s="8"/>
      <c r="BF554" s="10"/>
      <c r="BG554" s="8" t="str">
        <f>IF(BH554="","",VLOOKUP(BH554,引用表合并!$A:$B,2,FALSE))</f>
        <v/>
      </c>
      <c r="BH554" s="8"/>
      <c r="BJ554" s="10"/>
      <c r="BK554" s="8" t="str">
        <f>IF(BL554="","",VLOOKUP(BL554,引用表合并!$A:$B,2,FALSE))</f>
        <v/>
      </c>
      <c r="BL554" s="8"/>
      <c r="BN554" s="10"/>
    </row>
    <row r="555" spans="1:66" x14ac:dyDescent="0.15">
      <c r="A555" s="8">
        <v>805035</v>
      </c>
      <c r="B555" s="8" t="s">
        <v>756</v>
      </c>
      <c r="C555" s="8">
        <v>0</v>
      </c>
      <c r="D555" s="8">
        <f t="shared" si="71"/>
        <v>1</v>
      </c>
      <c r="E555" s="16">
        <f t="shared" si="80"/>
        <v>1</v>
      </c>
      <c r="F555" s="16">
        <f t="shared" si="73"/>
        <v>1</v>
      </c>
      <c r="G555" s="8" t="str">
        <f>IF(H555="","",VLOOKUP(H555,引用表合并!$A:$B,2,FALSE))</f>
        <v>扫荡券</v>
      </c>
      <c r="H555" s="8">
        <v>83002</v>
      </c>
      <c r="I555" s="8">
        <f>[3]D_VIP对应表!$AK7</f>
        <v>70</v>
      </c>
      <c r="J555" s="10">
        <v>10000</v>
      </c>
      <c r="K555" s="8" t="str">
        <f>IF(L555="","",VLOOKUP(L555,引用表合并!$A:$B,2,FALSE))</f>
        <v/>
      </c>
      <c r="L555" s="8"/>
      <c r="M555" s="8"/>
      <c r="O555" s="8" t="str">
        <f>IF(P555="","",VLOOKUP(P555,引用表合并!$A:$B,2,FALSE))</f>
        <v/>
      </c>
      <c r="P555" s="8"/>
      <c r="Q555" s="8"/>
      <c r="S555" s="8" t="str">
        <f>IF(T555="","",VLOOKUP(T555,引用表合并!$A:$B,2,FALSE))</f>
        <v/>
      </c>
      <c r="T555" s="8"/>
      <c r="U555" s="8"/>
      <c r="W555" s="8" t="str">
        <f>IF(X555="","",VLOOKUP(X555,引用表合并!$A:$B,2,FALSE))</f>
        <v/>
      </c>
      <c r="X555" s="8"/>
      <c r="Y555" s="8"/>
      <c r="AA555" s="8" t="str">
        <f>IF(AB555="","",VLOOKUP(AB555,引用表合并!$A:$B,2,FALSE))</f>
        <v/>
      </c>
      <c r="AB555" s="8"/>
      <c r="AC555" s="8"/>
      <c r="AE555" s="8" t="str">
        <f>IF(AF555="","",VLOOKUP(AF555,引用表合并!$A:$B,2,FALSE))</f>
        <v/>
      </c>
      <c r="AF555" s="8"/>
      <c r="AG555" s="8"/>
      <c r="AI555" s="8" t="str">
        <f>IF(AJ555="","",VLOOKUP(AJ555,引用表合并!$A:$B,2,FALSE))</f>
        <v/>
      </c>
      <c r="AJ555" s="8"/>
      <c r="AK555" s="8"/>
      <c r="AM555" s="8" t="str">
        <f>IF(AN555="","",VLOOKUP(AN555,引用表合并!$A:$B,2,FALSE))</f>
        <v/>
      </c>
      <c r="AN555" s="8"/>
      <c r="AO555" s="8"/>
      <c r="AQ555" s="8" t="str">
        <f>IF(AR555="","",VLOOKUP(AR555,引用表合并!$A:$B,2,FALSE))</f>
        <v/>
      </c>
      <c r="AR555" s="8"/>
      <c r="AS555" s="8"/>
      <c r="AU555" s="8"/>
      <c r="AV555" s="8"/>
      <c r="AW555" s="8"/>
      <c r="AY555" s="8" t="str">
        <f>IF(AZ555="","",VLOOKUP(AZ555,引用表合并!$A:$B,2,FALSE))</f>
        <v/>
      </c>
      <c r="AZ555" s="8"/>
      <c r="BA555" s="8"/>
      <c r="BC555" s="8" t="str">
        <f>IF(BD555="","",VLOOKUP(BD555,引用表合并!$A:$B,2,FALSE))</f>
        <v/>
      </c>
      <c r="BD555" s="8"/>
      <c r="BF555" s="10"/>
      <c r="BG555" s="8" t="str">
        <f>IF(BH555="","",VLOOKUP(BH555,引用表合并!$A:$B,2,FALSE))</f>
        <v/>
      </c>
      <c r="BH555" s="8"/>
      <c r="BJ555" s="10"/>
      <c r="BK555" s="8" t="str">
        <f>IF(BL555="","",VLOOKUP(BL555,引用表合并!$A:$B,2,FALSE))</f>
        <v/>
      </c>
      <c r="BL555" s="8"/>
      <c r="BN555" s="10"/>
    </row>
    <row r="556" spans="1:66" x14ac:dyDescent="0.15">
      <c r="A556" s="8">
        <v>805036</v>
      </c>
      <c r="B556" s="8" t="s">
        <v>756</v>
      </c>
      <c r="C556" s="8">
        <v>0</v>
      </c>
      <c r="D556" s="8">
        <f t="shared" si="71"/>
        <v>1</v>
      </c>
      <c r="E556" s="16">
        <f t="shared" si="80"/>
        <v>1</v>
      </c>
      <c r="F556" s="16">
        <f t="shared" si="73"/>
        <v>1</v>
      </c>
      <c r="G556" s="8" t="str">
        <f>IF(H556="","",VLOOKUP(H556,引用表合并!$A:$B,2,FALSE))</f>
        <v>扫荡券</v>
      </c>
      <c r="H556" s="8">
        <v>83002</v>
      </c>
      <c r="I556" s="8">
        <f>[3]D_VIP对应表!$AK8</f>
        <v>80</v>
      </c>
      <c r="J556" s="10">
        <v>10000</v>
      </c>
      <c r="K556" s="8" t="str">
        <f>IF(L556="","",VLOOKUP(L556,引用表合并!$A:$B,2,FALSE))</f>
        <v/>
      </c>
      <c r="L556" s="8"/>
      <c r="M556" s="8"/>
      <c r="O556" s="8" t="str">
        <f>IF(P556="","",VLOOKUP(P556,引用表合并!$A:$B,2,FALSE))</f>
        <v/>
      </c>
      <c r="P556" s="8"/>
      <c r="Q556" s="8"/>
      <c r="S556" s="8" t="str">
        <f>IF(T556="","",VLOOKUP(T556,引用表合并!$A:$B,2,FALSE))</f>
        <v/>
      </c>
      <c r="T556" s="8"/>
      <c r="U556" s="8"/>
      <c r="W556" s="8" t="str">
        <f>IF(X556="","",VLOOKUP(X556,引用表合并!$A:$B,2,FALSE))</f>
        <v/>
      </c>
      <c r="X556" s="8"/>
      <c r="Y556" s="8"/>
      <c r="AA556" s="8" t="str">
        <f>IF(AB556="","",VLOOKUP(AB556,引用表合并!$A:$B,2,FALSE))</f>
        <v/>
      </c>
      <c r="AB556" s="8"/>
      <c r="AC556" s="8"/>
      <c r="AE556" s="8" t="str">
        <f>IF(AF556="","",VLOOKUP(AF556,引用表合并!$A:$B,2,FALSE))</f>
        <v/>
      </c>
      <c r="AF556" s="8"/>
      <c r="AG556" s="8"/>
      <c r="AI556" s="8" t="str">
        <f>IF(AJ556="","",VLOOKUP(AJ556,引用表合并!$A:$B,2,FALSE))</f>
        <v/>
      </c>
      <c r="AJ556" s="8"/>
      <c r="AK556" s="8"/>
      <c r="AM556" s="8" t="str">
        <f>IF(AN556="","",VLOOKUP(AN556,引用表合并!$A:$B,2,FALSE))</f>
        <v/>
      </c>
      <c r="AN556" s="8"/>
      <c r="AO556" s="8"/>
      <c r="AQ556" s="8" t="str">
        <f>IF(AR556="","",VLOOKUP(AR556,引用表合并!$A:$B,2,FALSE))</f>
        <v/>
      </c>
      <c r="AR556" s="8"/>
      <c r="AS556" s="8"/>
      <c r="AU556" s="8"/>
      <c r="AV556" s="8"/>
      <c r="AW556" s="8"/>
      <c r="AY556" s="8" t="str">
        <f>IF(AZ556="","",VLOOKUP(AZ556,引用表合并!$A:$B,2,FALSE))</f>
        <v/>
      </c>
      <c r="AZ556" s="8"/>
      <c r="BA556" s="8"/>
      <c r="BC556" s="8" t="str">
        <f>IF(BD556="","",VLOOKUP(BD556,引用表合并!$A:$B,2,FALSE))</f>
        <v/>
      </c>
      <c r="BD556" s="8"/>
      <c r="BF556" s="10"/>
      <c r="BG556" s="8" t="str">
        <f>IF(BH556="","",VLOOKUP(BH556,引用表合并!$A:$B,2,FALSE))</f>
        <v/>
      </c>
      <c r="BH556" s="8"/>
      <c r="BJ556" s="10"/>
      <c r="BK556" s="8" t="str">
        <f>IF(BL556="","",VLOOKUP(BL556,引用表合并!$A:$B,2,FALSE))</f>
        <v/>
      </c>
      <c r="BL556" s="8"/>
      <c r="BN556" s="10"/>
    </row>
    <row r="557" spans="1:66" x14ac:dyDescent="0.15">
      <c r="A557" s="8">
        <v>805037</v>
      </c>
      <c r="B557" s="8" t="s">
        <v>756</v>
      </c>
      <c r="C557" s="8">
        <v>0</v>
      </c>
      <c r="D557" s="8">
        <f t="shared" si="71"/>
        <v>1</v>
      </c>
      <c r="E557" s="16">
        <f t="shared" si="80"/>
        <v>1</v>
      </c>
      <c r="F557" s="16">
        <f t="shared" si="73"/>
        <v>1</v>
      </c>
      <c r="G557" s="8" t="str">
        <f>IF(H557="","",VLOOKUP(H557,引用表合并!$A:$B,2,FALSE))</f>
        <v>扫荡券</v>
      </c>
      <c r="H557" s="8">
        <v>83002</v>
      </c>
      <c r="I557" s="8">
        <f>[3]D_VIP对应表!$AK9</f>
        <v>90</v>
      </c>
      <c r="J557" s="10">
        <v>10000</v>
      </c>
      <c r="K557" s="8" t="str">
        <f>IF(L557="","",VLOOKUP(L557,引用表合并!$A:$B,2,FALSE))</f>
        <v/>
      </c>
      <c r="L557" s="8"/>
      <c r="M557" s="8"/>
      <c r="O557" s="8" t="str">
        <f>IF(P557="","",VLOOKUP(P557,引用表合并!$A:$B,2,FALSE))</f>
        <v/>
      </c>
      <c r="P557" s="8"/>
      <c r="Q557" s="8"/>
      <c r="S557" s="8" t="str">
        <f>IF(T557="","",VLOOKUP(T557,引用表合并!$A:$B,2,FALSE))</f>
        <v/>
      </c>
      <c r="T557" s="8"/>
      <c r="U557" s="8"/>
      <c r="W557" s="8" t="str">
        <f>IF(X557="","",VLOOKUP(X557,引用表合并!$A:$B,2,FALSE))</f>
        <v/>
      </c>
      <c r="X557" s="8"/>
      <c r="Y557" s="8"/>
      <c r="AA557" s="8" t="str">
        <f>IF(AB557="","",VLOOKUP(AB557,引用表合并!$A:$B,2,FALSE))</f>
        <v/>
      </c>
      <c r="AB557" s="8"/>
      <c r="AC557" s="8"/>
      <c r="AE557" s="8" t="str">
        <f>IF(AF557="","",VLOOKUP(AF557,引用表合并!$A:$B,2,FALSE))</f>
        <v/>
      </c>
      <c r="AF557" s="8"/>
      <c r="AG557" s="8"/>
      <c r="AI557" s="8" t="str">
        <f>IF(AJ557="","",VLOOKUP(AJ557,引用表合并!$A:$B,2,FALSE))</f>
        <v/>
      </c>
      <c r="AJ557" s="8"/>
      <c r="AK557" s="8"/>
      <c r="AM557" s="8" t="str">
        <f>IF(AN557="","",VLOOKUP(AN557,引用表合并!$A:$B,2,FALSE))</f>
        <v/>
      </c>
      <c r="AN557" s="8"/>
      <c r="AO557" s="8"/>
      <c r="AQ557" s="8" t="str">
        <f>IF(AR557="","",VLOOKUP(AR557,引用表合并!$A:$B,2,FALSE))</f>
        <v/>
      </c>
      <c r="AR557" s="8"/>
      <c r="AS557" s="8"/>
      <c r="AU557" s="8"/>
      <c r="AV557" s="8"/>
      <c r="AW557" s="8"/>
      <c r="AY557" s="8" t="str">
        <f>IF(AZ557="","",VLOOKUP(AZ557,引用表合并!$A:$B,2,FALSE))</f>
        <v/>
      </c>
      <c r="AZ557" s="8"/>
      <c r="BA557" s="8"/>
      <c r="BC557" s="8" t="str">
        <f>IF(BD557="","",VLOOKUP(BD557,引用表合并!$A:$B,2,FALSE))</f>
        <v/>
      </c>
      <c r="BD557" s="8"/>
      <c r="BF557" s="10"/>
      <c r="BG557" s="8" t="str">
        <f>IF(BH557="","",VLOOKUP(BH557,引用表合并!$A:$B,2,FALSE))</f>
        <v/>
      </c>
      <c r="BH557" s="8"/>
      <c r="BJ557" s="10"/>
      <c r="BK557" s="8" t="str">
        <f>IF(BL557="","",VLOOKUP(BL557,引用表合并!$A:$B,2,FALSE))</f>
        <v/>
      </c>
      <c r="BL557" s="8"/>
      <c r="BN557" s="10"/>
    </row>
    <row r="558" spans="1:66" x14ac:dyDescent="0.15">
      <c r="A558" s="8">
        <v>805038</v>
      </c>
      <c r="B558" s="8" t="s">
        <v>756</v>
      </c>
      <c r="C558" s="8">
        <v>0</v>
      </c>
      <c r="D558" s="8">
        <f t="shared" si="71"/>
        <v>1</v>
      </c>
      <c r="E558" s="16">
        <f t="shared" si="80"/>
        <v>1</v>
      </c>
      <c r="F558" s="16">
        <f t="shared" si="73"/>
        <v>1</v>
      </c>
      <c r="G558" s="8" t="str">
        <f>IF(H558="","",VLOOKUP(H558,引用表合并!$A:$B,2,FALSE))</f>
        <v>扫荡券</v>
      </c>
      <c r="H558" s="8">
        <v>83002</v>
      </c>
      <c r="I558" s="8">
        <f>[3]D_VIP对应表!$AK10</f>
        <v>100</v>
      </c>
      <c r="J558" s="10">
        <v>10000</v>
      </c>
      <c r="K558" s="8" t="str">
        <f>IF(L558="","",VLOOKUP(L558,引用表合并!$A:$B,2,FALSE))</f>
        <v/>
      </c>
      <c r="L558" s="8"/>
      <c r="M558" s="8"/>
      <c r="O558" s="8" t="str">
        <f>IF(P558="","",VLOOKUP(P558,引用表合并!$A:$B,2,FALSE))</f>
        <v/>
      </c>
      <c r="P558" s="8"/>
      <c r="Q558" s="8"/>
      <c r="S558" s="8" t="str">
        <f>IF(T558="","",VLOOKUP(T558,引用表合并!$A:$B,2,FALSE))</f>
        <v/>
      </c>
      <c r="T558" s="8"/>
      <c r="U558" s="8"/>
      <c r="W558" s="8" t="str">
        <f>IF(X558="","",VLOOKUP(X558,引用表合并!$A:$B,2,FALSE))</f>
        <v/>
      </c>
      <c r="X558" s="8"/>
      <c r="Y558" s="8"/>
      <c r="AA558" s="8" t="str">
        <f>IF(AB558="","",VLOOKUP(AB558,引用表合并!$A:$B,2,FALSE))</f>
        <v/>
      </c>
      <c r="AB558" s="8"/>
      <c r="AC558" s="8"/>
      <c r="AE558" s="8" t="str">
        <f>IF(AF558="","",VLOOKUP(AF558,引用表合并!$A:$B,2,FALSE))</f>
        <v/>
      </c>
      <c r="AF558" s="8"/>
      <c r="AG558" s="8"/>
      <c r="AI558" s="8" t="str">
        <f>IF(AJ558="","",VLOOKUP(AJ558,引用表合并!$A:$B,2,FALSE))</f>
        <v/>
      </c>
      <c r="AJ558" s="8"/>
      <c r="AK558" s="8"/>
      <c r="AM558" s="8" t="str">
        <f>IF(AN558="","",VLOOKUP(AN558,引用表合并!$A:$B,2,FALSE))</f>
        <v/>
      </c>
      <c r="AN558" s="8"/>
      <c r="AO558" s="8"/>
      <c r="AQ558" s="8" t="str">
        <f>IF(AR558="","",VLOOKUP(AR558,引用表合并!$A:$B,2,FALSE))</f>
        <v/>
      </c>
      <c r="AR558" s="8"/>
      <c r="AS558" s="8"/>
      <c r="AU558" s="8"/>
      <c r="AV558" s="8"/>
      <c r="AW558" s="8"/>
      <c r="AY558" s="8" t="str">
        <f>IF(AZ558="","",VLOOKUP(AZ558,引用表合并!$A:$B,2,FALSE))</f>
        <v/>
      </c>
      <c r="AZ558" s="8"/>
      <c r="BA558" s="8"/>
      <c r="BC558" s="8" t="str">
        <f>IF(BD558="","",VLOOKUP(BD558,引用表合并!$A:$B,2,FALSE))</f>
        <v/>
      </c>
      <c r="BD558" s="8"/>
      <c r="BF558" s="10"/>
      <c r="BG558" s="8" t="str">
        <f>IF(BH558="","",VLOOKUP(BH558,引用表合并!$A:$B,2,FALSE))</f>
        <v/>
      </c>
      <c r="BH558" s="8"/>
      <c r="BJ558" s="10"/>
      <c r="BK558" s="8" t="str">
        <f>IF(BL558="","",VLOOKUP(BL558,引用表合并!$A:$B,2,FALSE))</f>
        <v/>
      </c>
      <c r="BL558" s="8"/>
      <c r="BN558" s="10"/>
    </row>
    <row r="559" spans="1:66" x14ac:dyDescent="0.15">
      <c r="A559" s="8">
        <v>805039</v>
      </c>
      <c r="B559" s="8" t="s">
        <v>756</v>
      </c>
      <c r="C559" s="8">
        <v>0</v>
      </c>
      <c r="D559" s="8">
        <f t="shared" si="71"/>
        <v>1</v>
      </c>
      <c r="E559" s="16">
        <f t="shared" si="80"/>
        <v>1</v>
      </c>
      <c r="F559" s="16">
        <f t="shared" si="73"/>
        <v>1</v>
      </c>
      <c r="G559" s="8" t="str">
        <f>IF(H559="","",VLOOKUP(H559,引用表合并!$A:$B,2,FALSE))</f>
        <v>扫荡券</v>
      </c>
      <c r="H559" s="8">
        <v>83002</v>
      </c>
      <c r="I559" s="8">
        <f>[3]D_VIP对应表!$AK11</f>
        <v>110</v>
      </c>
      <c r="J559" s="10">
        <v>10000</v>
      </c>
      <c r="K559" s="8" t="str">
        <f>IF(L559="","",VLOOKUP(L559,引用表合并!$A:$B,2,FALSE))</f>
        <v/>
      </c>
      <c r="L559" s="8"/>
      <c r="M559" s="8"/>
      <c r="O559" s="8" t="str">
        <f>IF(P559="","",VLOOKUP(P559,引用表合并!$A:$B,2,FALSE))</f>
        <v/>
      </c>
      <c r="P559" s="8"/>
      <c r="Q559" s="8"/>
      <c r="S559" s="8" t="str">
        <f>IF(T559="","",VLOOKUP(T559,引用表合并!$A:$B,2,FALSE))</f>
        <v/>
      </c>
      <c r="T559" s="8"/>
      <c r="U559" s="8"/>
      <c r="W559" s="8" t="str">
        <f>IF(X559="","",VLOOKUP(X559,引用表合并!$A:$B,2,FALSE))</f>
        <v/>
      </c>
      <c r="X559" s="8"/>
      <c r="Y559" s="8"/>
      <c r="AA559" s="8" t="str">
        <f>IF(AB559="","",VLOOKUP(AB559,引用表合并!$A:$B,2,FALSE))</f>
        <v/>
      </c>
      <c r="AB559" s="8"/>
      <c r="AC559" s="8"/>
      <c r="AE559" s="8" t="str">
        <f>IF(AF559="","",VLOOKUP(AF559,引用表合并!$A:$B,2,FALSE))</f>
        <v/>
      </c>
      <c r="AF559" s="8"/>
      <c r="AG559" s="8"/>
      <c r="AI559" s="8" t="str">
        <f>IF(AJ559="","",VLOOKUP(AJ559,引用表合并!$A:$B,2,FALSE))</f>
        <v/>
      </c>
      <c r="AJ559" s="8"/>
      <c r="AK559" s="8"/>
      <c r="AM559" s="8" t="str">
        <f>IF(AN559="","",VLOOKUP(AN559,引用表合并!$A:$B,2,FALSE))</f>
        <v/>
      </c>
      <c r="AN559" s="8"/>
      <c r="AO559" s="8"/>
      <c r="AQ559" s="8" t="str">
        <f>IF(AR559="","",VLOOKUP(AR559,引用表合并!$A:$B,2,FALSE))</f>
        <v/>
      </c>
      <c r="AR559" s="8"/>
      <c r="AS559" s="8"/>
      <c r="AU559" s="8"/>
      <c r="AV559" s="8"/>
      <c r="AW559" s="8"/>
      <c r="AY559" s="8" t="str">
        <f>IF(AZ559="","",VLOOKUP(AZ559,引用表合并!$A:$B,2,FALSE))</f>
        <v/>
      </c>
      <c r="AZ559" s="8"/>
      <c r="BA559" s="8"/>
      <c r="BC559" s="8" t="str">
        <f>IF(BD559="","",VLOOKUP(BD559,引用表合并!$A:$B,2,FALSE))</f>
        <v/>
      </c>
      <c r="BD559" s="8"/>
      <c r="BF559" s="10"/>
      <c r="BG559" s="8" t="str">
        <f>IF(BH559="","",VLOOKUP(BH559,引用表合并!$A:$B,2,FALSE))</f>
        <v/>
      </c>
      <c r="BH559" s="8"/>
      <c r="BJ559" s="10"/>
      <c r="BK559" s="8" t="str">
        <f>IF(BL559="","",VLOOKUP(BL559,引用表合并!$A:$B,2,FALSE))</f>
        <v/>
      </c>
      <c r="BL559" s="8"/>
      <c r="BN559" s="10"/>
    </row>
    <row r="560" spans="1:66" x14ac:dyDescent="0.15">
      <c r="A560" s="8">
        <v>805040</v>
      </c>
      <c r="B560" s="8" t="s">
        <v>756</v>
      </c>
      <c r="C560" s="8">
        <v>0</v>
      </c>
      <c r="D560" s="8">
        <f t="shared" si="71"/>
        <v>1</v>
      </c>
      <c r="E560" s="16">
        <f t="shared" si="80"/>
        <v>1</v>
      </c>
      <c r="F560" s="16">
        <f t="shared" si="73"/>
        <v>1</v>
      </c>
      <c r="G560" s="8" t="str">
        <f>IF(H560="","",VLOOKUP(H560,引用表合并!$A:$B,2,FALSE))</f>
        <v>扫荡券</v>
      </c>
      <c r="H560" s="8">
        <v>83002</v>
      </c>
      <c r="I560" s="8">
        <f>[3]D_VIP对应表!$AK12</f>
        <v>120</v>
      </c>
      <c r="J560" s="10">
        <v>10000</v>
      </c>
      <c r="K560" s="8" t="str">
        <f>IF(L560="","",VLOOKUP(L560,引用表合并!$A:$B,2,FALSE))</f>
        <v/>
      </c>
      <c r="L560" s="8"/>
      <c r="M560" s="8"/>
      <c r="O560" s="8" t="str">
        <f>IF(P560="","",VLOOKUP(P560,引用表合并!$A:$B,2,FALSE))</f>
        <v/>
      </c>
      <c r="P560" s="8"/>
      <c r="Q560" s="8"/>
      <c r="S560" s="8" t="str">
        <f>IF(T560="","",VLOOKUP(T560,引用表合并!$A:$B,2,FALSE))</f>
        <v/>
      </c>
      <c r="T560" s="8"/>
      <c r="U560" s="8"/>
      <c r="W560" s="8" t="str">
        <f>IF(X560="","",VLOOKUP(X560,引用表合并!$A:$B,2,FALSE))</f>
        <v/>
      </c>
      <c r="X560" s="8"/>
      <c r="Y560" s="8"/>
      <c r="AA560" s="8" t="str">
        <f>IF(AB560="","",VLOOKUP(AB560,引用表合并!$A:$B,2,FALSE))</f>
        <v/>
      </c>
      <c r="AB560" s="8"/>
      <c r="AC560" s="8"/>
      <c r="AE560" s="8" t="str">
        <f>IF(AF560="","",VLOOKUP(AF560,引用表合并!$A:$B,2,FALSE))</f>
        <v/>
      </c>
      <c r="AF560" s="8"/>
      <c r="AG560" s="8"/>
      <c r="AI560" s="8" t="str">
        <f>IF(AJ560="","",VLOOKUP(AJ560,引用表合并!$A:$B,2,FALSE))</f>
        <v/>
      </c>
      <c r="AJ560" s="8"/>
      <c r="AK560" s="8"/>
      <c r="AM560" s="8" t="str">
        <f>IF(AN560="","",VLOOKUP(AN560,引用表合并!$A:$B,2,FALSE))</f>
        <v/>
      </c>
      <c r="AN560" s="8"/>
      <c r="AO560" s="8"/>
      <c r="AQ560" s="8" t="str">
        <f>IF(AR560="","",VLOOKUP(AR560,引用表合并!$A:$B,2,FALSE))</f>
        <v/>
      </c>
      <c r="AR560" s="8"/>
      <c r="AS560" s="8"/>
      <c r="AU560" s="8"/>
      <c r="AV560" s="8"/>
      <c r="AW560" s="8"/>
      <c r="AY560" s="8" t="str">
        <f>IF(AZ560="","",VLOOKUP(AZ560,引用表合并!$A:$B,2,FALSE))</f>
        <v/>
      </c>
      <c r="AZ560" s="8"/>
      <c r="BA560" s="8"/>
      <c r="BC560" s="8" t="str">
        <f>IF(BD560="","",VLOOKUP(BD560,引用表合并!$A:$B,2,FALSE))</f>
        <v/>
      </c>
      <c r="BD560" s="8"/>
      <c r="BF560" s="10"/>
      <c r="BG560" s="8" t="str">
        <f>IF(BH560="","",VLOOKUP(BH560,引用表合并!$A:$B,2,FALSE))</f>
        <v/>
      </c>
      <c r="BH560" s="8"/>
      <c r="BJ560" s="10"/>
      <c r="BK560" s="8" t="str">
        <f>IF(BL560="","",VLOOKUP(BL560,引用表合并!$A:$B,2,FALSE))</f>
        <v/>
      </c>
      <c r="BL560" s="8"/>
      <c r="BN560" s="10"/>
    </row>
    <row r="561" spans="1:66" x14ac:dyDescent="0.15">
      <c r="A561" s="8">
        <v>805041</v>
      </c>
      <c r="B561" s="8" t="s">
        <v>756</v>
      </c>
      <c r="C561" s="8">
        <v>0</v>
      </c>
      <c r="D561" s="8">
        <f t="shared" si="71"/>
        <v>1</v>
      </c>
      <c r="E561" s="16">
        <f t="shared" si="80"/>
        <v>1</v>
      </c>
      <c r="F561" s="16">
        <f t="shared" si="73"/>
        <v>1</v>
      </c>
      <c r="G561" s="8" t="str">
        <f>IF(H561="","",VLOOKUP(H561,引用表合并!$A:$B,2,FALSE))</f>
        <v>扫荡券</v>
      </c>
      <c r="H561" s="8">
        <v>83002</v>
      </c>
      <c r="I561" s="8">
        <v>110</v>
      </c>
      <c r="J561" s="10">
        <v>10000</v>
      </c>
      <c r="K561" s="8" t="str">
        <f>IF(L561="","",VLOOKUP(L561,引用表合并!$A:$B,2,FALSE))</f>
        <v/>
      </c>
      <c r="L561" s="8"/>
      <c r="M561" s="8"/>
      <c r="O561" s="8" t="str">
        <f>IF(P561="","",VLOOKUP(P561,引用表合并!$A:$B,2,FALSE))</f>
        <v/>
      </c>
      <c r="P561" s="8"/>
      <c r="Q561" s="8"/>
      <c r="S561" s="8" t="str">
        <f>IF(T561="","",VLOOKUP(T561,引用表合并!$A:$B,2,FALSE))</f>
        <v/>
      </c>
      <c r="T561" s="8"/>
      <c r="U561" s="8"/>
      <c r="W561" s="8" t="str">
        <f>IF(X561="","",VLOOKUP(X561,引用表合并!$A:$B,2,FALSE))</f>
        <v/>
      </c>
      <c r="X561" s="8"/>
      <c r="Y561" s="8"/>
      <c r="AA561" s="8" t="str">
        <f>IF(AB561="","",VLOOKUP(AB561,引用表合并!$A:$B,2,FALSE))</f>
        <v/>
      </c>
      <c r="AB561" s="8"/>
      <c r="AC561" s="8"/>
      <c r="AE561" s="8" t="str">
        <f>IF(AF561="","",VLOOKUP(AF561,引用表合并!$A:$B,2,FALSE))</f>
        <v/>
      </c>
      <c r="AF561" s="8"/>
      <c r="AG561" s="8"/>
      <c r="AI561" s="8" t="str">
        <f>IF(AJ561="","",VLOOKUP(AJ561,引用表合并!$A:$B,2,FALSE))</f>
        <v/>
      </c>
      <c r="AJ561" s="8"/>
      <c r="AK561" s="8"/>
      <c r="AM561" s="8" t="str">
        <f>IF(AN561="","",VLOOKUP(AN561,引用表合并!$A:$B,2,FALSE))</f>
        <v/>
      </c>
      <c r="AN561" s="8"/>
      <c r="AO561" s="8"/>
      <c r="AQ561" s="8" t="str">
        <f>IF(AR561="","",VLOOKUP(AR561,引用表合并!$A:$B,2,FALSE))</f>
        <v/>
      </c>
      <c r="AR561" s="8"/>
      <c r="AS561" s="8"/>
      <c r="AU561" s="8"/>
      <c r="AV561" s="8"/>
      <c r="AW561" s="8"/>
      <c r="AY561" s="8" t="str">
        <f>IF(AZ561="","",VLOOKUP(AZ561,引用表合并!$A:$B,2,FALSE))</f>
        <v/>
      </c>
      <c r="AZ561" s="8"/>
      <c r="BA561" s="8"/>
      <c r="BC561" s="8" t="str">
        <f>IF(BD561="","",VLOOKUP(BD561,引用表合并!$A:$B,2,FALSE))</f>
        <v/>
      </c>
      <c r="BD561" s="8"/>
      <c r="BF561" s="10"/>
      <c r="BG561" s="8" t="str">
        <f>IF(BH561="","",VLOOKUP(BH561,引用表合并!$A:$B,2,FALSE))</f>
        <v/>
      </c>
      <c r="BH561" s="8"/>
      <c r="BJ561" s="10"/>
      <c r="BK561" s="8" t="str">
        <f>IF(BL561="","",VLOOKUP(BL561,引用表合并!$A:$B,2,FALSE))</f>
        <v/>
      </c>
      <c r="BL561" s="8"/>
      <c r="BN561" s="10"/>
    </row>
    <row r="562" spans="1:66" x14ac:dyDescent="0.15">
      <c r="A562" s="8">
        <v>805042</v>
      </c>
      <c r="B562" s="8" t="s">
        <v>756</v>
      </c>
      <c r="C562" s="8">
        <v>0</v>
      </c>
      <c r="D562" s="8">
        <f t="shared" si="71"/>
        <v>1</v>
      </c>
      <c r="E562" s="16">
        <f t="shared" si="80"/>
        <v>1</v>
      </c>
      <c r="F562" s="16">
        <f t="shared" si="73"/>
        <v>1</v>
      </c>
      <c r="G562" s="8" t="str">
        <f>IF(H562="","",VLOOKUP(H562,引用表合并!$A:$B,2,FALSE))</f>
        <v>扫荡券</v>
      </c>
      <c r="H562" s="8">
        <v>83002</v>
      </c>
      <c r="I562" s="8">
        <v>120</v>
      </c>
      <c r="J562" s="10">
        <v>10000</v>
      </c>
      <c r="K562" s="8" t="str">
        <f>IF(L562="","",VLOOKUP(L562,引用表合并!$A:$B,2,FALSE))</f>
        <v/>
      </c>
      <c r="L562" s="8"/>
      <c r="M562" s="8"/>
      <c r="O562" s="8" t="str">
        <f>IF(P562="","",VLOOKUP(P562,引用表合并!$A:$B,2,FALSE))</f>
        <v/>
      </c>
      <c r="P562" s="8"/>
      <c r="Q562" s="8"/>
      <c r="S562" s="8" t="str">
        <f>IF(T562="","",VLOOKUP(T562,引用表合并!$A:$B,2,FALSE))</f>
        <v/>
      </c>
      <c r="T562" s="8"/>
      <c r="U562" s="8"/>
      <c r="W562" s="8" t="str">
        <f>IF(X562="","",VLOOKUP(X562,引用表合并!$A:$B,2,FALSE))</f>
        <v/>
      </c>
      <c r="X562" s="8"/>
      <c r="Y562" s="8"/>
      <c r="AA562" s="8" t="str">
        <f>IF(AB562="","",VLOOKUP(AB562,引用表合并!$A:$B,2,FALSE))</f>
        <v/>
      </c>
      <c r="AB562" s="8"/>
      <c r="AC562" s="8"/>
      <c r="AE562" s="8" t="str">
        <f>IF(AF562="","",VLOOKUP(AF562,引用表合并!$A:$B,2,FALSE))</f>
        <v/>
      </c>
      <c r="AF562" s="8"/>
      <c r="AG562" s="8"/>
      <c r="AI562" s="8" t="str">
        <f>IF(AJ562="","",VLOOKUP(AJ562,引用表合并!$A:$B,2,FALSE))</f>
        <v/>
      </c>
      <c r="AJ562" s="8"/>
      <c r="AK562" s="8"/>
      <c r="AM562" s="8" t="str">
        <f>IF(AN562="","",VLOOKUP(AN562,引用表合并!$A:$B,2,FALSE))</f>
        <v/>
      </c>
      <c r="AN562" s="8"/>
      <c r="AO562" s="8"/>
      <c r="AQ562" s="8" t="str">
        <f>IF(AR562="","",VLOOKUP(AR562,引用表合并!$A:$B,2,FALSE))</f>
        <v/>
      </c>
      <c r="AR562" s="8"/>
      <c r="AS562" s="8"/>
      <c r="AU562" s="8"/>
      <c r="AV562" s="8"/>
      <c r="AW562" s="8"/>
      <c r="AY562" s="8" t="str">
        <f>IF(AZ562="","",VLOOKUP(AZ562,引用表合并!$A:$B,2,FALSE))</f>
        <v/>
      </c>
      <c r="AZ562" s="8"/>
      <c r="BA562" s="8"/>
      <c r="BC562" s="8" t="str">
        <f>IF(BD562="","",VLOOKUP(BD562,引用表合并!$A:$B,2,FALSE))</f>
        <v/>
      </c>
      <c r="BD562" s="8"/>
      <c r="BF562" s="10"/>
      <c r="BG562" s="8" t="str">
        <f>IF(BH562="","",VLOOKUP(BH562,引用表合并!$A:$B,2,FALSE))</f>
        <v/>
      </c>
      <c r="BH562" s="8"/>
      <c r="BJ562" s="10"/>
      <c r="BK562" s="8" t="str">
        <f>IF(BL562="","",VLOOKUP(BL562,引用表合并!$A:$B,2,FALSE))</f>
        <v/>
      </c>
      <c r="BL562" s="8"/>
      <c r="BN562" s="10"/>
    </row>
    <row r="563" spans="1:66" x14ac:dyDescent="0.15">
      <c r="A563" s="8">
        <v>805043</v>
      </c>
      <c r="B563" s="8" t="s">
        <v>756</v>
      </c>
      <c r="C563" s="8">
        <v>0</v>
      </c>
      <c r="D563" s="8">
        <f t="shared" si="71"/>
        <v>1</v>
      </c>
      <c r="E563" s="16">
        <f t="shared" si="80"/>
        <v>1</v>
      </c>
      <c r="F563" s="16">
        <f t="shared" ref="F563:F629" si="81">E563</f>
        <v>1</v>
      </c>
      <c r="G563" s="8" t="str">
        <f>IF(H563="","",VLOOKUP(H563,引用表合并!$A:$B,2,FALSE))</f>
        <v>扫荡券</v>
      </c>
      <c r="H563" s="8">
        <v>83002</v>
      </c>
      <c r="I563" s="8">
        <v>130</v>
      </c>
      <c r="J563" s="10">
        <v>10000</v>
      </c>
      <c r="K563" s="8" t="str">
        <f>IF(L563="","",VLOOKUP(L563,引用表合并!$A:$B,2,FALSE))</f>
        <v/>
      </c>
      <c r="L563" s="8"/>
      <c r="M563" s="8"/>
      <c r="O563" s="8" t="str">
        <f>IF(P563="","",VLOOKUP(P563,引用表合并!$A:$B,2,FALSE))</f>
        <v/>
      </c>
      <c r="P563" s="8"/>
      <c r="Q563" s="8"/>
      <c r="S563" s="8" t="str">
        <f>IF(T563="","",VLOOKUP(T563,引用表合并!$A:$B,2,FALSE))</f>
        <v/>
      </c>
      <c r="T563" s="8"/>
      <c r="U563" s="8"/>
      <c r="W563" s="8" t="str">
        <f>IF(X563="","",VLOOKUP(X563,引用表合并!$A:$B,2,FALSE))</f>
        <v/>
      </c>
      <c r="X563" s="8"/>
      <c r="Y563" s="8"/>
      <c r="AA563" s="8" t="str">
        <f>IF(AB563="","",VLOOKUP(AB563,引用表合并!$A:$B,2,FALSE))</f>
        <v/>
      </c>
      <c r="AB563" s="8"/>
      <c r="AC563" s="8"/>
      <c r="AE563" s="8" t="str">
        <f>IF(AF563="","",VLOOKUP(AF563,引用表合并!$A:$B,2,FALSE))</f>
        <v/>
      </c>
      <c r="AF563" s="8"/>
      <c r="AG563" s="8"/>
      <c r="AI563" s="8" t="str">
        <f>IF(AJ563="","",VLOOKUP(AJ563,引用表合并!$A:$B,2,FALSE))</f>
        <v/>
      </c>
      <c r="AJ563" s="8"/>
      <c r="AK563" s="8"/>
      <c r="AM563" s="8" t="str">
        <f>IF(AN563="","",VLOOKUP(AN563,引用表合并!$A:$B,2,FALSE))</f>
        <v/>
      </c>
      <c r="AN563" s="8"/>
      <c r="AO563" s="8"/>
      <c r="AQ563" s="8" t="str">
        <f>IF(AR563="","",VLOOKUP(AR563,引用表合并!$A:$B,2,FALSE))</f>
        <v/>
      </c>
      <c r="AR563" s="8"/>
      <c r="AS563" s="8"/>
      <c r="AU563" s="8"/>
      <c r="AV563" s="8"/>
      <c r="AW563" s="8"/>
      <c r="AY563" s="8" t="str">
        <f>IF(AZ563="","",VLOOKUP(AZ563,引用表合并!$A:$B,2,FALSE))</f>
        <v/>
      </c>
      <c r="AZ563" s="8"/>
      <c r="BA563" s="8"/>
      <c r="BC563" s="8" t="str">
        <f>IF(BD563="","",VLOOKUP(BD563,引用表合并!$A:$B,2,FALSE))</f>
        <v/>
      </c>
      <c r="BD563" s="8"/>
      <c r="BF563" s="10"/>
      <c r="BG563" s="8" t="str">
        <f>IF(BH563="","",VLOOKUP(BH563,引用表合并!$A:$B,2,FALSE))</f>
        <v/>
      </c>
      <c r="BH563" s="8"/>
      <c r="BJ563" s="10"/>
      <c r="BK563" s="8" t="str">
        <f>IF(BL563="","",VLOOKUP(BL563,引用表合并!$A:$B,2,FALSE))</f>
        <v/>
      </c>
      <c r="BL563" s="8"/>
      <c r="BN563" s="10"/>
    </row>
    <row r="564" spans="1:66" x14ac:dyDescent="0.15">
      <c r="A564" s="8">
        <v>805044</v>
      </c>
      <c r="B564" s="8" t="s">
        <v>756</v>
      </c>
      <c r="C564" s="8">
        <v>0</v>
      </c>
      <c r="D564" s="8">
        <f t="shared" si="71"/>
        <v>1</v>
      </c>
      <c r="E564" s="16">
        <f t="shared" si="80"/>
        <v>1</v>
      </c>
      <c r="F564" s="16">
        <f t="shared" si="81"/>
        <v>1</v>
      </c>
      <c r="G564" s="8" t="str">
        <f>IF(H564="","",VLOOKUP(H564,引用表合并!$A:$B,2,FALSE))</f>
        <v>扫荡券</v>
      </c>
      <c r="H564" s="8">
        <v>83002</v>
      </c>
      <c r="I564" s="8">
        <v>140</v>
      </c>
      <c r="J564" s="10">
        <v>10000</v>
      </c>
      <c r="K564" s="8" t="str">
        <f>IF(L564="","",VLOOKUP(L564,引用表合并!$A:$B,2,FALSE))</f>
        <v/>
      </c>
      <c r="L564" s="8"/>
      <c r="M564" s="8"/>
      <c r="O564" s="8" t="str">
        <f>IF(P564="","",VLOOKUP(P564,引用表合并!$A:$B,2,FALSE))</f>
        <v/>
      </c>
      <c r="P564" s="8"/>
      <c r="Q564" s="8"/>
      <c r="S564" s="8" t="str">
        <f>IF(T564="","",VLOOKUP(T564,引用表合并!$A:$B,2,FALSE))</f>
        <v/>
      </c>
      <c r="T564" s="8"/>
      <c r="U564" s="8"/>
      <c r="W564" s="8" t="str">
        <f>IF(X564="","",VLOOKUP(X564,引用表合并!$A:$B,2,FALSE))</f>
        <v/>
      </c>
      <c r="X564" s="8"/>
      <c r="Y564" s="8"/>
      <c r="AA564" s="8" t="str">
        <f>IF(AB564="","",VLOOKUP(AB564,引用表合并!$A:$B,2,FALSE))</f>
        <v/>
      </c>
      <c r="AB564" s="8"/>
      <c r="AC564" s="8"/>
      <c r="AE564" s="8" t="str">
        <f>IF(AF564="","",VLOOKUP(AF564,引用表合并!$A:$B,2,FALSE))</f>
        <v/>
      </c>
      <c r="AF564" s="8"/>
      <c r="AG564" s="8"/>
      <c r="AI564" s="8" t="str">
        <f>IF(AJ564="","",VLOOKUP(AJ564,引用表合并!$A:$B,2,FALSE))</f>
        <v/>
      </c>
      <c r="AJ564" s="8"/>
      <c r="AK564" s="8"/>
      <c r="AM564" s="8" t="str">
        <f>IF(AN564="","",VLOOKUP(AN564,引用表合并!$A:$B,2,FALSE))</f>
        <v/>
      </c>
      <c r="AN564" s="8"/>
      <c r="AO564" s="8"/>
      <c r="AQ564" s="8" t="str">
        <f>IF(AR564="","",VLOOKUP(AR564,引用表合并!$A:$B,2,FALSE))</f>
        <v/>
      </c>
      <c r="AR564" s="8"/>
      <c r="AS564" s="8"/>
      <c r="AU564" s="8"/>
      <c r="AV564" s="8"/>
      <c r="AW564" s="8"/>
      <c r="AY564" s="8" t="str">
        <f>IF(AZ564="","",VLOOKUP(AZ564,引用表合并!$A:$B,2,FALSE))</f>
        <v/>
      </c>
      <c r="AZ564" s="8"/>
      <c r="BA564" s="8"/>
      <c r="BC564" s="8" t="str">
        <f>IF(BD564="","",VLOOKUP(BD564,引用表合并!$A:$B,2,FALSE))</f>
        <v/>
      </c>
      <c r="BD564" s="8"/>
      <c r="BF564" s="10"/>
      <c r="BG564" s="8" t="str">
        <f>IF(BH564="","",VLOOKUP(BH564,引用表合并!$A:$B,2,FALSE))</f>
        <v/>
      </c>
      <c r="BH564" s="8"/>
      <c r="BJ564" s="10"/>
      <c r="BK564" s="8" t="str">
        <f>IF(BL564="","",VLOOKUP(BL564,引用表合并!$A:$B,2,FALSE))</f>
        <v/>
      </c>
      <c r="BL564" s="8"/>
      <c r="BN564" s="10"/>
    </row>
    <row r="565" spans="1:66" x14ac:dyDescent="0.15">
      <c r="A565" s="8">
        <v>805045</v>
      </c>
      <c r="B565" s="8" t="s">
        <v>756</v>
      </c>
      <c r="C565" s="8">
        <v>0</v>
      </c>
      <c r="D565" s="8">
        <f t="shared" si="71"/>
        <v>1</v>
      </c>
      <c r="E565" s="16">
        <f t="shared" si="80"/>
        <v>1</v>
      </c>
      <c r="F565" s="16">
        <f t="shared" si="81"/>
        <v>1</v>
      </c>
      <c r="G565" s="8" t="str">
        <f>IF(H565="","",VLOOKUP(H565,引用表合并!$A:$B,2,FALSE))</f>
        <v>扫荡券</v>
      </c>
      <c r="H565" s="8">
        <v>83002</v>
      </c>
      <c r="I565" s="8">
        <v>150</v>
      </c>
      <c r="J565" s="10">
        <v>10000</v>
      </c>
      <c r="K565" s="8" t="str">
        <f>IF(L565="","",VLOOKUP(L565,引用表合并!$A:$B,2,FALSE))</f>
        <v/>
      </c>
      <c r="L565" s="8"/>
      <c r="M565" s="8"/>
      <c r="O565" s="8" t="str">
        <f>IF(P565="","",VLOOKUP(P565,引用表合并!$A:$B,2,FALSE))</f>
        <v/>
      </c>
      <c r="P565" s="8"/>
      <c r="Q565" s="8"/>
      <c r="S565" s="8" t="str">
        <f>IF(T565="","",VLOOKUP(T565,引用表合并!$A:$B,2,FALSE))</f>
        <v/>
      </c>
      <c r="T565" s="8"/>
      <c r="U565" s="8"/>
      <c r="W565" s="8" t="str">
        <f>IF(X565="","",VLOOKUP(X565,引用表合并!$A:$B,2,FALSE))</f>
        <v/>
      </c>
      <c r="X565" s="8"/>
      <c r="Y565" s="8"/>
      <c r="AA565" s="8" t="str">
        <f>IF(AB565="","",VLOOKUP(AB565,引用表合并!$A:$B,2,FALSE))</f>
        <v/>
      </c>
      <c r="AB565" s="8"/>
      <c r="AC565" s="8"/>
      <c r="AE565" s="8" t="str">
        <f>IF(AF565="","",VLOOKUP(AF565,引用表合并!$A:$B,2,FALSE))</f>
        <v/>
      </c>
      <c r="AF565" s="8"/>
      <c r="AG565" s="8"/>
      <c r="AI565" s="8" t="str">
        <f>IF(AJ565="","",VLOOKUP(AJ565,引用表合并!$A:$B,2,FALSE))</f>
        <v/>
      </c>
      <c r="AJ565" s="8"/>
      <c r="AK565" s="8"/>
      <c r="AM565" s="8" t="str">
        <f>IF(AN565="","",VLOOKUP(AN565,引用表合并!$A:$B,2,FALSE))</f>
        <v/>
      </c>
      <c r="AN565" s="8"/>
      <c r="AO565" s="8"/>
      <c r="AQ565" s="8" t="str">
        <f>IF(AR565="","",VLOOKUP(AR565,引用表合并!$A:$B,2,FALSE))</f>
        <v/>
      </c>
      <c r="AR565" s="8"/>
      <c r="AS565" s="8"/>
      <c r="AU565" s="8"/>
      <c r="AV565" s="8"/>
      <c r="AW565" s="8"/>
      <c r="AY565" s="8" t="str">
        <f>IF(AZ565="","",VLOOKUP(AZ565,引用表合并!$A:$B,2,FALSE))</f>
        <v/>
      </c>
      <c r="AZ565" s="8"/>
      <c r="BA565" s="8"/>
      <c r="BC565" s="8" t="str">
        <f>IF(BD565="","",VLOOKUP(BD565,引用表合并!$A:$B,2,FALSE))</f>
        <v/>
      </c>
      <c r="BD565" s="8"/>
      <c r="BF565" s="10"/>
      <c r="BG565" s="8" t="str">
        <f>IF(BH565="","",VLOOKUP(BH565,引用表合并!$A:$B,2,FALSE))</f>
        <v/>
      </c>
      <c r="BH565" s="8"/>
      <c r="BJ565" s="10"/>
      <c r="BK565" s="8" t="str">
        <f>IF(BL565="","",VLOOKUP(BL565,引用表合并!$A:$B,2,FALSE))</f>
        <v/>
      </c>
      <c r="BL565" s="8"/>
      <c r="BN565" s="10"/>
    </row>
    <row r="566" spans="1:66" x14ac:dyDescent="0.15">
      <c r="A566" s="8">
        <v>805046</v>
      </c>
      <c r="B566" s="8" t="s">
        <v>756</v>
      </c>
      <c r="C566" s="8">
        <v>0</v>
      </c>
      <c r="D566" s="8">
        <f t="shared" si="71"/>
        <v>1</v>
      </c>
      <c r="E566" s="16">
        <f t="shared" si="80"/>
        <v>1</v>
      </c>
      <c r="F566" s="16">
        <f t="shared" si="81"/>
        <v>1</v>
      </c>
      <c r="G566" s="8" t="str">
        <f>IF(H566="","",VLOOKUP(H566,引用表合并!$A:$B,2,FALSE))</f>
        <v>扫荡券</v>
      </c>
      <c r="H566" s="8">
        <v>83002</v>
      </c>
      <c r="I566" s="8">
        <v>160</v>
      </c>
      <c r="J566" s="10">
        <v>10000</v>
      </c>
      <c r="K566" s="8" t="str">
        <f>IF(L566="","",VLOOKUP(L566,引用表合并!$A:$B,2,FALSE))</f>
        <v/>
      </c>
      <c r="L566" s="8"/>
      <c r="M566" s="8"/>
      <c r="O566" s="8" t="str">
        <f>IF(P566="","",VLOOKUP(P566,引用表合并!$A:$B,2,FALSE))</f>
        <v/>
      </c>
      <c r="P566" s="8"/>
      <c r="Q566" s="8"/>
      <c r="S566" s="8" t="str">
        <f>IF(T566="","",VLOOKUP(T566,引用表合并!$A:$B,2,FALSE))</f>
        <v/>
      </c>
      <c r="T566" s="8"/>
      <c r="U566" s="8"/>
      <c r="W566" s="8" t="str">
        <f>IF(X566="","",VLOOKUP(X566,引用表合并!$A:$B,2,FALSE))</f>
        <v/>
      </c>
      <c r="X566" s="8"/>
      <c r="Y566" s="8"/>
      <c r="AA566" s="8" t="str">
        <f>IF(AB566="","",VLOOKUP(AB566,引用表合并!$A:$B,2,FALSE))</f>
        <v/>
      </c>
      <c r="AB566" s="8"/>
      <c r="AC566" s="8"/>
      <c r="AE566" s="8" t="str">
        <f>IF(AF566="","",VLOOKUP(AF566,引用表合并!$A:$B,2,FALSE))</f>
        <v/>
      </c>
      <c r="AF566" s="8"/>
      <c r="AG566" s="8"/>
      <c r="AI566" s="8" t="str">
        <f>IF(AJ566="","",VLOOKUP(AJ566,引用表合并!$A:$B,2,FALSE))</f>
        <v/>
      </c>
      <c r="AJ566" s="8"/>
      <c r="AK566" s="8"/>
      <c r="AM566" s="8" t="str">
        <f>IF(AN566="","",VLOOKUP(AN566,引用表合并!$A:$B,2,FALSE))</f>
        <v/>
      </c>
      <c r="AN566" s="8"/>
      <c r="AO566" s="8"/>
      <c r="AQ566" s="8" t="str">
        <f>IF(AR566="","",VLOOKUP(AR566,引用表合并!$A:$B,2,FALSE))</f>
        <v/>
      </c>
      <c r="AR566" s="8"/>
      <c r="AS566" s="8"/>
      <c r="AU566" s="8"/>
      <c r="AV566" s="8"/>
      <c r="AW566" s="8"/>
      <c r="AY566" s="8" t="str">
        <f>IF(AZ566="","",VLOOKUP(AZ566,引用表合并!$A:$B,2,FALSE))</f>
        <v/>
      </c>
      <c r="AZ566" s="8"/>
      <c r="BA566" s="8"/>
      <c r="BC566" s="8" t="str">
        <f>IF(BD566="","",VLOOKUP(BD566,引用表合并!$A:$B,2,FALSE))</f>
        <v/>
      </c>
      <c r="BD566" s="8"/>
      <c r="BF566" s="10"/>
      <c r="BG566" s="8" t="str">
        <f>IF(BH566="","",VLOOKUP(BH566,引用表合并!$A:$B,2,FALSE))</f>
        <v/>
      </c>
      <c r="BH566" s="8"/>
      <c r="BJ566" s="10"/>
      <c r="BK566" s="8" t="str">
        <f>IF(BL566="","",VLOOKUP(BL566,引用表合并!$A:$B,2,FALSE))</f>
        <v/>
      </c>
      <c r="BL566" s="8"/>
      <c r="BN566" s="10"/>
    </row>
    <row r="567" spans="1:66" x14ac:dyDescent="0.15">
      <c r="A567" s="8">
        <v>805047</v>
      </c>
      <c r="B567" s="8" t="s">
        <v>756</v>
      </c>
      <c r="C567" s="8">
        <v>0</v>
      </c>
      <c r="D567" s="8">
        <f t="shared" si="71"/>
        <v>1</v>
      </c>
      <c r="E567" s="16">
        <f t="shared" si="80"/>
        <v>1</v>
      </c>
      <c r="F567" s="16">
        <f t="shared" si="81"/>
        <v>1</v>
      </c>
      <c r="G567" s="8" t="str">
        <f>IF(H567="","",VLOOKUP(H567,引用表合并!$A:$B,2,FALSE))</f>
        <v>扫荡券</v>
      </c>
      <c r="H567" s="8">
        <v>83002</v>
      </c>
      <c r="I567" s="8">
        <v>170</v>
      </c>
      <c r="J567" s="10">
        <v>10000</v>
      </c>
      <c r="K567" s="8" t="str">
        <f>IF(L567="","",VLOOKUP(L567,引用表合并!$A:$B,2,FALSE))</f>
        <v/>
      </c>
      <c r="L567" s="8"/>
      <c r="M567" s="8"/>
      <c r="O567" s="8" t="str">
        <f>IF(P567="","",VLOOKUP(P567,引用表合并!$A:$B,2,FALSE))</f>
        <v/>
      </c>
      <c r="P567" s="8"/>
      <c r="Q567" s="8"/>
      <c r="S567" s="8" t="str">
        <f>IF(T567="","",VLOOKUP(T567,引用表合并!$A:$B,2,FALSE))</f>
        <v/>
      </c>
      <c r="T567" s="8"/>
      <c r="U567" s="8"/>
      <c r="W567" s="8" t="str">
        <f>IF(X567="","",VLOOKUP(X567,引用表合并!$A:$B,2,FALSE))</f>
        <v/>
      </c>
      <c r="X567" s="8"/>
      <c r="Y567" s="8"/>
      <c r="AA567" s="8" t="str">
        <f>IF(AB567="","",VLOOKUP(AB567,引用表合并!$A:$B,2,FALSE))</f>
        <v/>
      </c>
      <c r="AB567" s="8"/>
      <c r="AC567" s="8"/>
      <c r="AE567" s="8" t="str">
        <f>IF(AF567="","",VLOOKUP(AF567,引用表合并!$A:$B,2,FALSE))</f>
        <v/>
      </c>
      <c r="AF567" s="8"/>
      <c r="AG567" s="8"/>
      <c r="AI567" s="8" t="str">
        <f>IF(AJ567="","",VLOOKUP(AJ567,引用表合并!$A:$B,2,FALSE))</f>
        <v/>
      </c>
      <c r="AJ567" s="8"/>
      <c r="AK567" s="8"/>
      <c r="AM567" s="8" t="str">
        <f>IF(AN567="","",VLOOKUP(AN567,引用表合并!$A:$B,2,FALSE))</f>
        <v/>
      </c>
      <c r="AN567" s="8"/>
      <c r="AO567" s="8"/>
      <c r="AQ567" s="8" t="str">
        <f>IF(AR567="","",VLOOKUP(AR567,引用表合并!$A:$B,2,FALSE))</f>
        <v/>
      </c>
      <c r="AR567" s="8"/>
      <c r="AS567" s="8"/>
      <c r="AU567" s="8"/>
      <c r="AV567" s="8"/>
      <c r="AW567" s="8"/>
      <c r="AY567" s="8" t="str">
        <f>IF(AZ567="","",VLOOKUP(AZ567,引用表合并!$A:$B,2,FALSE))</f>
        <v/>
      </c>
      <c r="AZ567" s="8"/>
      <c r="BA567" s="8"/>
      <c r="BC567" s="8" t="str">
        <f>IF(BD567="","",VLOOKUP(BD567,引用表合并!$A:$B,2,FALSE))</f>
        <v/>
      </c>
      <c r="BD567" s="8"/>
      <c r="BF567" s="10"/>
      <c r="BG567" s="8" t="str">
        <f>IF(BH567="","",VLOOKUP(BH567,引用表合并!$A:$B,2,FALSE))</f>
        <v/>
      </c>
      <c r="BH567" s="8"/>
      <c r="BJ567" s="10"/>
      <c r="BK567" s="8" t="str">
        <f>IF(BL567="","",VLOOKUP(BL567,引用表合并!$A:$B,2,FALSE))</f>
        <v/>
      </c>
      <c r="BL567" s="8"/>
      <c r="BN567" s="10"/>
    </row>
    <row r="568" spans="1:66" x14ac:dyDescent="0.15">
      <c r="A568" s="8">
        <v>805048</v>
      </c>
      <c r="B568" s="8" t="s">
        <v>756</v>
      </c>
      <c r="C568" s="8">
        <v>0</v>
      </c>
      <c r="D568" s="8">
        <f t="shared" ref="D568:D720" si="82">E568</f>
        <v>1</v>
      </c>
      <c r="E568" s="16">
        <f t="shared" si="80"/>
        <v>1</v>
      </c>
      <c r="F568" s="16">
        <f t="shared" si="81"/>
        <v>1</v>
      </c>
      <c r="G568" s="8" t="str">
        <f>IF(H568="","",VLOOKUP(H568,引用表合并!$A:$B,2,FALSE))</f>
        <v>扫荡券</v>
      </c>
      <c r="H568" s="8">
        <v>83002</v>
      </c>
      <c r="I568" s="8">
        <v>180</v>
      </c>
      <c r="J568" s="10">
        <v>10000</v>
      </c>
      <c r="K568" s="8" t="str">
        <f>IF(L568="","",VLOOKUP(L568,引用表合并!$A:$B,2,FALSE))</f>
        <v/>
      </c>
      <c r="L568" s="8"/>
      <c r="M568" s="8"/>
      <c r="O568" s="8" t="str">
        <f>IF(P568="","",VLOOKUP(P568,引用表合并!$A:$B,2,FALSE))</f>
        <v/>
      </c>
      <c r="P568" s="8"/>
      <c r="Q568" s="8"/>
      <c r="S568" s="8" t="str">
        <f>IF(T568="","",VLOOKUP(T568,引用表合并!$A:$B,2,FALSE))</f>
        <v/>
      </c>
      <c r="T568" s="8"/>
      <c r="U568" s="8"/>
      <c r="W568" s="8" t="str">
        <f>IF(X568="","",VLOOKUP(X568,引用表合并!$A:$B,2,FALSE))</f>
        <v/>
      </c>
      <c r="X568" s="8"/>
      <c r="Y568" s="8"/>
      <c r="AA568" s="8" t="str">
        <f>IF(AB568="","",VLOOKUP(AB568,引用表合并!$A:$B,2,FALSE))</f>
        <v/>
      </c>
      <c r="AB568" s="8"/>
      <c r="AC568" s="8"/>
      <c r="AE568" s="8" t="str">
        <f>IF(AF568="","",VLOOKUP(AF568,引用表合并!$A:$B,2,FALSE))</f>
        <v/>
      </c>
      <c r="AF568" s="8"/>
      <c r="AG568" s="8"/>
      <c r="AI568" s="8" t="str">
        <f>IF(AJ568="","",VLOOKUP(AJ568,引用表合并!$A:$B,2,FALSE))</f>
        <v/>
      </c>
      <c r="AJ568" s="8"/>
      <c r="AK568" s="8"/>
      <c r="AM568" s="8" t="str">
        <f>IF(AN568="","",VLOOKUP(AN568,引用表合并!$A:$B,2,FALSE))</f>
        <v/>
      </c>
      <c r="AN568" s="8"/>
      <c r="AO568" s="8"/>
      <c r="AQ568" s="8" t="str">
        <f>IF(AR568="","",VLOOKUP(AR568,引用表合并!$A:$B,2,FALSE))</f>
        <v/>
      </c>
      <c r="AR568" s="8"/>
      <c r="AS568" s="8"/>
      <c r="AU568" s="8" t="str">
        <f>IF(AV568="","",VLOOKUP(AV568,引用表合并!$A:$B,2,FALSE))</f>
        <v/>
      </c>
      <c r="AV568" s="8"/>
      <c r="AW568" s="8"/>
      <c r="AY568" s="8" t="str">
        <f>IF(AZ568="","",VLOOKUP(AZ568,引用表合并!$A:$B,2,FALSE))</f>
        <v/>
      </c>
      <c r="AZ568" s="8"/>
      <c r="BA568" s="8"/>
      <c r="BC568" s="8" t="str">
        <f>IF(BD568="","",VLOOKUP(BD568,引用表合并!$A:$B,2,FALSE))</f>
        <v/>
      </c>
      <c r="BD568" s="8"/>
      <c r="BF568" s="10"/>
      <c r="BG568" s="8" t="str">
        <f>IF(BH568="","",VLOOKUP(BH568,引用表合并!$A:$B,2,FALSE))</f>
        <v/>
      </c>
      <c r="BH568" s="8"/>
      <c r="BJ568" s="10"/>
      <c r="BK568" s="8" t="str">
        <f>IF(BL568="","",VLOOKUP(BL568,引用表合并!$A:$B,2,FALSE))</f>
        <v/>
      </c>
      <c r="BL568" s="8"/>
      <c r="BN568" s="10"/>
    </row>
    <row r="569" spans="1:66" x14ac:dyDescent="0.15">
      <c r="A569" s="8">
        <v>805049</v>
      </c>
      <c r="B569" s="8" t="s">
        <v>756</v>
      </c>
      <c r="C569" s="8">
        <v>0</v>
      </c>
      <c r="D569" s="8">
        <f t="shared" si="82"/>
        <v>1</v>
      </c>
      <c r="E569" s="16">
        <f t="shared" si="80"/>
        <v>1</v>
      </c>
      <c r="F569" s="16">
        <f t="shared" si="81"/>
        <v>1</v>
      </c>
      <c r="G569" s="8" t="str">
        <f>IF(H569="","",VLOOKUP(H569,引用表合并!$A:$B,2,FALSE))</f>
        <v>扫荡券</v>
      </c>
      <c r="H569" s="8">
        <v>83002</v>
      </c>
      <c r="I569" s="8">
        <v>190</v>
      </c>
      <c r="J569" s="10">
        <v>10000</v>
      </c>
      <c r="K569" s="8" t="str">
        <f>IF(L569="","",VLOOKUP(L569,引用表合并!$A:$B,2,FALSE))</f>
        <v/>
      </c>
      <c r="L569" s="8"/>
      <c r="M569" s="8"/>
      <c r="O569" s="8" t="str">
        <f>IF(P569="","",VLOOKUP(P569,引用表合并!$A:$B,2,FALSE))</f>
        <v/>
      </c>
      <c r="P569" s="8"/>
      <c r="Q569" s="8"/>
      <c r="S569" s="8" t="str">
        <f>IF(T569="","",VLOOKUP(T569,引用表合并!$A:$B,2,FALSE))</f>
        <v/>
      </c>
      <c r="T569" s="8"/>
      <c r="U569" s="8"/>
      <c r="W569" s="8" t="str">
        <f>IF(X569="","",VLOOKUP(X569,引用表合并!$A:$B,2,FALSE))</f>
        <v/>
      </c>
      <c r="X569" s="8"/>
      <c r="Y569" s="8"/>
      <c r="AA569" s="8" t="str">
        <f>IF(AB569="","",VLOOKUP(AB569,引用表合并!$A:$B,2,FALSE))</f>
        <v/>
      </c>
      <c r="AB569" s="8"/>
      <c r="AC569" s="8"/>
      <c r="AE569" s="8" t="str">
        <f>IF(AF569="","",VLOOKUP(AF569,引用表合并!$A:$B,2,FALSE))</f>
        <v/>
      </c>
      <c r="AF569" s="8"/>
      <c r="AG569" s="8"/>
      <c r="AI569" s="8" t="str">
        <f>IF(AJ569="","",VLOOKUP(AJ569,引用表合并!$A:$B,2,FALSE))</f>
        <v/>
      </c>
      <c r="AJ569" s="8"/>
      <c r="AK569" s="8"/>
      <c r="AM569" s="8" t="str">
        <f>IF(AN569="","",VLOOKUP(AN569,引用表合并!$A:$B,2,FALSE))</f>
        <v/>
      </c>
      <c r="AN569" s="8"/>
      <c r="AO569" s="8"/>
      <c r="AQ569" s="8" t="str">
        <f>IF(AR569="","",VLOOKUP(AR569,引用表合并!$A:$B,2,FALSE))</f>
        <v/>
      </c>
      <c r="AR569" s="8"/>
      <c r="AS569" s="8"/>
      <c r="AU569" s="8" t="str">
        <f>IF(AV569="","",VLOOKUP(AV569,引用表合并!$A:$B,2,FALSE))</f>
        <v/>
      </c>
      <c r="AV569" s="8"/>
      <c r="AW569" s="8"/>
      <c r="AY569" s="8" t="str">
        <f>IF(AZ569="","",VLOOKUP(AZ569,引用表合并!$A:$B,2,FALSE))</f>
        <v/>
      </c>
      <c r="AZ569" s="8"/>
      <c r="BA569" s="8"/>
      <c r="BC569" s="8" t="str">
        <f>IF(BD569="","",VLOOKUP(BD569,引用表合并!$A:$B,2,FALSE))</f>
        <v/>
      </c>
      <c r="BD569" s="8"/>
      <c r="BF569" s="10"/>
      <c r="BG569" s="8" t="str">
        <f>IF(BH569="","",VLOOKUP(BH569,引用表合并!$A:$B,2,FALSE))</f>
        <v/>
      </c>
      <c r="BH569" s="8"/>
      <c r="BJ569" s="10"/>
      <c r="BK569" s="8" t="str">
        <f>IF(BL569="","",VLOOKUP(BL569,引用表合并!$A:$B,2,FALSE))</f>
        <v/>
      </c>
      <c r="BL569" s="8"/>
      <c r="BN569" s="10"/>
    </row>
    <row r="570" spans="1:66" x14ac:dyDescent="0.15">
      <c r="A570" s="8">
        <v>805050</v>
      </c>
      <c r="B570" s="8" t="s">
        <v>756</v>
      </c>
      <c r="C570" s="8">
        <v>0</v>
      </c>
      <c r="D570" s="8">
        <f t="shared" si="82"/>
        <v>1</v>
      </c>
      <c r="E570" s="16">
        <f t="shared" si="80"/>
        <v>1</v>
      </c>
      <c r="F570" s="16">
        <f t="shared" si="81"/>
        <v>1</v>
      </c>
      <c r="G570" s="8" t="str">
        <f>IF(H570="","",VLOOKUP(H570,引用表合并!$A:$B,2,FALSE))</f>
        <v>扫荡券</v>
      </c>
      <c r="H570" s="8">
        <v>83002</v>
      </c>
      <c r="I570" s="8">
        <v>200</v>
      </c>
      <c r="J570" s="10">
        <v>10000</v>
      </c>
      <c r="K570" s="8" t="str">
        <f>IF(L570="","",VLOOKUP(L570,引用表合并!$A:$B,2,FALSE))</f>
        <v/>
      </c>
      <c r="L570" s="8"/>
      <c r="M570" s="8"/>
      <c r="O570" s="8" t="str">
        <f>IF(P570="","",VLOOKUP(P570,引用表合并!$A:$B,2,FALSE))</f>
        <v/>
      </c>
      <c r="P570" s="8"/>
      <c r="Q570" s="8"/>
      <c r="S570" s="8" t="str">
        <f>IF(T570="","",VLOOKUP(T570,引用表合并!$A:$B,2,FALSE))</f>
        <v/>
      </c>
      <c r="T570" s="8"/>
      <c r="U570" s="8"/>
      <c r="W570" s="8" t="str">
        <f>IF(X570="","",VLOOKUP(X570,引用表合并!$A:$B,2,FALSE))</f>
        <v/>
      </c>
      <c r="X570" s="8"/>
      <c r="Y570" s="8"/>
      <c r="AA570" s="8" t="str">
        <f>IF(AB570="","",VLOOKUP(AB570,引用表合并!$A:$B,2,FALSE))</f>
        <v/>
      </c>
      <c r="AB570" s="8"/>
      <c r="AC570" s="8"/>
      <c r="AE570" s="8" t="str">
        <f>IF(AF570="","",VLOOKUP(AF570,引用表合并!$A:$B,2,FALSE))</f>
        <v/>
      </c>
      <c r="AF570" s="8"/>
      <c r="AG570" s="8"/>
      <c r="AI570" s="8" t="str">
        <f>IF(AJ570="","",VLOOKUP(AJ570,引用表合并!$A:$B,2,FALSE))</f>
        <v/>
      </c>
      <c r="AJ570" s="8"/>
      <c r="AK570" s="8"/>
      <c r="AM570" s="8" t="str">
        <f>IF(AN570="","",VLOOKUP(AN570,引用表合并!$A:$B,2,FALSE))</f>
        <v/>
      </c>
      <c r="AN570" s="8"/>
      <c r="AO570" s="8"/>
      <c r="AQ570" s="8" t="str">
        <f>IF(AR570="","",VLOOKUP(AR570,引用表合并!$A:$B,2,FALSE))</f>
        <v/>
      </c>
      <c r="AR570" s="8"/>
      <c r="AS570" s="8"/>
      <c r="AU570" s="8" t="str">
        <f>IF(AV570="","",VLOOKUP(AV570,引用表合并!$A:$B,2,FALSE))</f>
        <v/>
      </c>
      <c r="AV570" s="8"/>
      <c r="AW570" s="8"/>
      <c r="AY570" s="8" t="str">
        <f>IF(AZ570="","",VLOOKUP(AZ570,引用表合并!$A:$B,2,FALSE))</f>
        <v/>
      </c>
      <c r="AZ570" s="8"/>
      <c r="BA570" s="8"/>
      <c r="BC570" s="8" t="str">
        <f>IF(BD570="","",VLOOKUP(BD570,引用表合并!$A:$B,2,FALSE))</f>
        <v/>
      </c>
      <c r="BD570" s="8"/>
      <c r="BF570" s="10"/>
      <c r="BG570" s="8" t="str">
        <f>IF(BH570="","",VLOOKUP(BH570,引用表合并!$A:$B,2,FALSE))</f>
        <v/>
      </c>
      <c r="BH570" s="8"/>
      <c r="BJ570" s="10"/>
      <c r="BK570" s="8" t="str">
        <f>IF(BL570="","",VLOOKUP(BL570,引用表合并!$A:$B,2,FALSE))</f>
        <v/>
      </c>
      <c r="BL570" s="8"/>
      <c r="BN570" s="10"/>
    </row>
    <row r="571" spans="1:66" x14ac:dyDescent="0.15">
      <c r="A571" s="8">
        <v>806001</v>
      </c>
      <c r="B571" s="8" t="s">
        <v>435</v>
      </c>
      <c r="C571" s="8">
        <v>0</v>
      </c>
      <c r="D571" s="8">
        <f t="shared" si="82"/>
        <v>1</v>
      </c>
      <c r="E571" s="16">
        <f t="shared" si="80"/>
        <v>1</v>
      </c>
      <c r="F571" s="16">
        <f t="shared" si="81"/>
        <v>1</v>
      </c>
      <c r="G571" s="8" t="str">
        <f>IF(H571="","",VLOOKUP(H571,引用表合并!$A:$B,2,FALSE))</f>
        <v>马仔经验合剂</v>
      </c>
      <c r="H571" s="8">
        <v>91200</v>
      </c>
      <c r="I571" s="8">
        <v>1</v>
      </c>
      <c r="J571" s="10">
        <v>10000</v>
      </c>
      <c r="K571" s="8"/>
      <c r="L571" s="8"/>
      <c r="M571" s="8"/>
      <c r="O571" s="8"/>
      <c r="P571" s="8"/>
      <c r="Q571" s="8"/>
      <c r="S571" s="8"/>
      <c r="T571" s="8"/>
      <c r="U571" s="8"/>
      <c r="W571" s="8"/>
      <c r="X571" s="8"/>
      <c r="Y571" s="8"/>
      <c r="AA571" s="8"/>
      <c r="AB571" s="8"/>
      <c r="AC571" s="8"/>
      <c r="AE571" s="8"/>
      <c r="AF571" s="8"/>
      <c r="AG571" s="8"/>
      <c r="AI571" s="8"/>
      <c r="AJ571" s="8"/>
      <c r="AK571" s="8"/>
      <c r="AM571" s="8"/>
      <c r="AN571" s="8"/>
      <c r="AO571" s="8"/>
      <c r="AQ571" s="8"/>
      <c r="AR571" s="8"/>
      <c r="AS571" s="8"/>
      <c r="AU571" s="8"/>
      <c r="AV571" s="8"/>
      <c r="AW571" s="8"/>
      <c r="AY571" s="8"/>
      <c r="AZ571" s="8"/>
      <c r="BA571" s="8"/>
      <c r="BD571" s="8"/>
      <c r="BF571" s="10"/>
      <c r="BH571" s="8"/>
      <c r="BJ571" s="10"/>
      <c r="BL571" s="8"/>
      <c r="BN571" s="10"/>
    </row>
    <row r="572" spans="1:66" x14ac:dyDescent="0.15">
      <c r="A572" s="8">
        <v>806002</v>
      </c>
      <c r="B572" s="8" t="s">
        <v>436</v>
      </c>
      <c r="C572" s="8">
        <v>0</v>
      </c>
      <c r="D572" s="8">
        <f t="shared" si="82"/>
        <v>1</v>
      </c>
      <c r="E572" s="16">
        <f t="shared" si="80"/>
        <v>1</v>
      </c>
      <c r="F572" s="16">
        <f t="shared" si="81"/>
        <v>1</v>
      </c>
      <c r="G572" s="8" t="str">
        <f>IF(H572="","",VLOOKUP(H572,引用表合并!$A:$B,2,FALSE))</f>
        <v>马仔经验合剂</v>
      </c>
      <c r="H572" s="8">
        <v>91200</v>
      </c>
      <c r="I572" s="8">
        <v>2</v>
      </c>
      <c r="J572" s="10">
        <v>10000</v>
      </c>
      <c r="K572" s="8"/>
      <c r="L572" s="8"/>
      <c r="M572" s="8"/>
      <c r="O572" s="8"/>
      <c r="P572" s="8"/>
      <c r="Q572" s="8"/>
      <c r="S572" s="8"/>
      <c r="T572" s="8"/>
      <c r="U572" s="8"/>
      <c r="W572" s="8"/>
      <c r="X572" s="8"/>
      <c r="Y572" s="8"/>
      <c r="AA572" s="8"/>
      <c r="AB572" s="8"/>
      <c r="AC572" s="8"/>
      <c r="AE572" s="8"/>
      <c r="AF572" s="8"/>
      <c r="AG572" s="8"/>
      <c r="AI572" s="8"/>
      <c r="AJ572" s="8"/>
      <c r="AK572" s="8"/>
      <c r="AM572" s="8"/>
      <c r="AN572" s="8"/>
      <c r="AO572" s="8"/>
      <c r="AQ572" s="8"/>
      <c r="AR572" s="8"/>
      <c r="AS572" s="8"/>
      <c r="AU572" s="8"/>
      <c r="AV572" s="8"/>
      <c r="AW572" s="8"/>
      <c r="AY572" s="8"/>
      <c r="AZ572" s="8"/>
      <c r="BA572" s="8"/>
      <c r="BD572" s="8"/>
      <c r="BF572" s="10"/>
      <c r="BH572" s="8"/>
      <c r="BJ572" s="10"/>
      <c r="BL572" s="8"/>
      <c r="BN572" s="10"/>
    </row>
    <row r="573" spans="1:66" x14ac:dyDescent="0.15">
      <c r="A573" s="8">
        <v>806003</v>
      </c>
      <c r="B573" s="8" t="s">
        <v>437</v>
      </c>
      <c r="C573" s="8">
        <v>0</v>
      </c>
      <c r="D573" s="8">
        <f t="shared" si="82"/>
        <v>1</v>
      </c>
      <c r="E573" s="16">
        <f t="shared" si="80"/>
        <v>1</v>
      </c>
      <c r="F573" s="16">
        <f t="shared" si="81"/>
        <v>1</v>
      </c>
      <c r="G573" s="8" t="str">
        <f>IF(H573="","",VLOOKUP(H573,引用表合并!$A:$B,2,FALSE))</f>
        <v>马仔经验合剂</v>
      </c>
      <c r="H573" s="8">
        <v>91200</v>
      </c>
      <c r="I573" s="8">
        <v>4</v>
      </c>
      <c r="J573" s="10">
        <v>10000</v>
      </c>
      <c r="K573" s="8"/>
      <c r="L573" s="8"/>
      <c r="M573" s="8"/>
      <c r="O573" s="8"/>
      <c r="P573" s="8"/>
      <c r="Q573" s="8"/>
      <c r="S573" s="8"/>
      <c r="T573" s="8"/>
      <c r="U573" s="8"/>
      <c r="W573" s="8"/>
      <c r="X573" s="8"/>
      <c r="Y573" s="8"/>
      <c r="AA573" s="8"/>
      <c r="AB573" s="8"/>
      <c r="AC573" s="8"/>
      <c r="AE573" s="8"/>
      <c r="AF573" s="8"/>
      <c r="AG573" s="8"/>
      <c r="AI573" s="8"/>
      <c r="AJ573" s="8"/>
      <c r="AK573" s="8"/>
      <c r="AM573" s="8"/>
      <c r="AN573" s="8"/>
      <c r="AO573" s="8"/>
      <c r="AQ573" s="8"/>
      <c r="AR573" s="8"/>
      <c r="AS573" s="8"/>
      <c r="AU573" s="8"/>
      <c r="AV573" s="8"/>
      <c r="AW573" s="8"/>
      <c r="AY573" s="8"/>
      <c r="AZ573" s="8"/>
      <c r="BA573" s="8"/>
      <c r="BD573" s="8"/>
      <c r="BF573" s="10"/>
      <c r="BH573" s="8"/>
      <c r="BJ573" s="10"/>
      <c r="BL573" s="8"/>
      <c r="BN573" s="10"/>
    </row>
    <row r="574" spans="1:66" x14ac:dyDescent="0.15">
      <c r="A574" s="8">
        <v>806004</v>
      </c>
      <c r="B574" s="8" t="s">
        <v>438</v>
      </c>
      <c r="C574" s="8">
        <v>0</v>
      </c>
      <c r="D574" s="8">
        <f t="shared" si="82"/>
        <v>1</v>
      </c>
      <c r="E574" s="16">
        <f t="shared" si="80"/>
        <v>1</v>
      </c>
      <c r="F574" s="16">
        <f t="shared" si="81"/>
        <v>1</v>
      </c>
      <c r="G574" s="8" t="str">
        <f>IF(H574="","",VLOOKUP(H574,引用表合并!$A:$B,2,FALSE))</f>
        <v>马仔经验合剂</v>
      </c>
      <c r="H574" s="8">
        <v>91200</v>
      </c>
      <c r="I574" s="8">
        <v>6</v>
      </c>
      <c r="J574" s="10">
        <v>10000</v>
      </c>
      <c r="K574" s="8"/>
      <c r="L574" s="8"/>
      <c r="M574" s="8"/>
      <c r="O574" s="8"/>
      <c r="P574" s="8"/>
      <c r="Q574" s="8"/>
      <c r="S574" s="8"/>
      <c r="T574" s="8"/>
      <c r="U574" s="8"/>
      <c r="W574" s="8"/>
      <c r="X574" s="8"/>
      <c r="Y574" s="8"/>
      <c r="AA574" s="8"/>
      <c r="AB574" s="8"/>
      <c r="AC574" s="8"/>
      <c r="AE574" s="8"/>
      <c r="AF574" s="8"/>
      <c r="AG574" s="8"/>
      <c r="AI574" s="8"/>
      <c r="AJ574" s="8"/>
      <c r="AK574" s="8"/>
      <c r="AM574" s="8"/>
      <c r="AN574" s="8"/>
      <c r="AO574" s="8"/>
      <c r="AQ574" s="8"/>
      <c r="AR574" s="8"/>
      <c r="AS574" s="8"/>
      <c r="AU574" s="8"/>
      <c r="AV574" s="8"/>
      <c r="AW574" s="8"/>
      <c r="AY574" s="8"/>
      <c r="AZ574" s="8"/>
      <c r="BA574" s="8"/>
      <c r="BD574" s="8"/>
      <c r="BF574" s="10"/>
      <c r="BH574" s="8"/>
      <c r="BJ574" s="10"/>
      <c r="BL574" s="8"/>
      <c r="BN574" s="10"/>
    </row>
    <row r="575" spans="1:66" x14ac:dyDescent="0.15">
      <c r="A575" s="8">
        <v>806005</v>
      </c>
      <c r="B575" s="8" t="s">
        <v>439</v>
      </c>
      <c r="C575" s="8">
        <v>0</v>
      </c>
      <c r="D575" s="8">
        <f t="shared" si="82"/>
        <v>1</v>
      </c>
      <c r="E575" s="16">
        <f t="shared" si="80"/>
        <v>1</v>
      </c>
      <c r="F575" s="16">
        <f t="shared" si="81"/>
        <v>1</v>
      </c>
      <c r="G575" s="8" t="str">
        <f>IF(H575="","",VLOOKUP(H575,引用表合并!$A:$B,2,FALSE))</f>
        <v>马仔经验合剂</v>
      </c>
      <c r="H575" s="8">
        <v>91200</v>
      </c>
      <c r="I575" s="8">
        <v>8</v>
      </c>
      <c r="J575" s="10">
        <v>10000</v>
      </c>
      <c r="K575" s="8"/>
      <c r="L575" s="8"/>
      <c r="M575" s="8"/>
      <c r="O575" s="8"/>
      <c r="P575" s="8"/>
      <c r="Q575" s="8"/>
      <c r="S575" s="8"/>
      <c r="T575" s="8"/>
      <c r="U575" s="8"/>
      <c r="W575" s="8"/>
      <c r="X575" s="8"/>
      <c r="Y575" s="8"/>
      <c r="AA575" s="8"/>
      <c r="AB575" s="8"/>
      <c r="AC575" s="8"/>
      <c r="AE575" s="8"/>
      <c r="AF575" s="8"/>
      <c r="AG575" s="8"/>
      <c r="AI575" s="8"/>
      <c r="AJ575" s="8"/>
      <c r="AK575" s="8"/>
      <c r="AM575" s="8"/>
      <c r="AN575" s="8"/>
      <c r="AO575" s="8"/>
      <c r="AQ575" s="8"/>
      <c r="AR575" s="8"/>
      <c r="AS575" s="8"/>
      <c r="AU575" s="8"/>
      <c r="AV575" s="8"/>
      <c r="AW575" s="8"/>
      <c r="AY575" s="8"/>
      <c r="AZ575" s="8"/>
      <c r="BA575" s="8"/>
      <c r="BD575" s="8"/>
      <c r="BF575" s="10"/>
      <c r="BH575" s="8"/>
      <c r="BJ575" s="10"/>
      <c r="BL575" s="8"/>
      <c r="BN575" s="10"/>
    </row>
    <row r="576" spans="1:66" x14ac:dyDescent="0.15">
      <c r="A576" s="8">
        <v>806006</v>
      </c>
      <c r="B576" s="8" t="s">
        <v>440</v>
      </c>
      <c r="C576" s="8">
        <v>0</v>
      </c>
      <c r="D576" s="8">
        <f t="shared" si="82"/>
        <v>1</v>
      </c>
      <c r="E576" s="16">
        <f t="shared" si="80"/>
        <v>1</v>
      </c>
      <c r="F576" s="16">
        <f t="shared" si="81"/>
        <v>1</v>
      </c>
      <c r="G576" s="8" t="str">
        <f>IF(H576="","",VLOOKUP(H576,引用表合并!$A:$B,2,FALSE))</f>
        <v>马仔经验甘露</v>
      </c>
      <c r="H576" s="8">
        <v>91300</v>
      </c>
      <c r="I576" s="8">
        <v>2</v>
      </c>
      <c r="J576" s="10">
        <v>10000</v>
      </c>
      <c r="K576" s="8"/>
      <c r="L576" s="8"/>
      <c r="M576" s="8"/>
      <c r="O576" s="8"/>
      <c r="P576" s="8"/>
      <c r="Q576" s="8"/>
      <c r="S576" s="8"/>
      <c r="T576" s="8"/>
      <c r="U576" s="8"/>
      <c r="W576" s="8"/>
      <c r="X576" s="8"/>
      <c r="Y576" s="8"/>
      <c r="AA576" s="8"/>
      <c r="AB576" s="8"/>
      <c r="AC576" s="8"/>
      <c r="AE576" s="8"/>
      <c r="AF576" s="8"/>
      <c r="AG576" s="8"/>
      <c r="AI576" s="8"/>
      <c r="AJ576" s="8"/>
      <c r="AK576" s="8"/>
      <c r="AM576" s="8"/>
      <c r="AN576" s="8"/>
      <c r="AO576" s="8"/>
      <c r="AQ576" s="8"/>
      <c r="AR576" s="8"/>
      <c r="AS576" s="8"/>
      <c r="AU576" s="8"/>
      <c r="AV576" s="8"/>
      <c r="AW576" s="8"/>
      <c r="AY576" s="8"/>
      <c r="AZ576" s="8"/>
      <c r="BA576" s="8"/>
      <c r="BD576" s="8"/>
      <c r="BF576" s="10"/>
      <c r="BH576" s="8"/>
      <c r="BJ576" s="10"/>
      <c r="BL576" s="8"/>
      <c r="BN576" s="10"/>
    </row>
    <row r="577" spans="1:66" x14ac:dyDescent="0.15">
      <c r="A577" s="8">
        <v>806007</v>
      </c>
      <c r="B577" s="8" t="s">
        <v>441</v>
      </c>
      <c r="C577" s="8">
        <v>0</v>
      </c>
      <c r="D577" s="8">
        <f t="shared" si="82"/>
        <v>1</v>
      </c>
      <c r="E577" s="16">
        <f t="shared" si="80"/>
        <v>1</v>
      </c>
      <c r="F577" s="16">
        <f t="shared" si="81"/>
        <v>1</v>
      </c>
      <c r="G577" s="8" t="str">
        <f>IF(H577="","",VLOOKUP(H577,引用表合并!$A:$B,2,FALSE))</f>
        <v>马仔经验甘露</v>
      </c>
      <c r="H577" s="8">
        <v>91300</v>
      </c>
      <c r="I577" s="8">
        <v>3</v>
      </c>
      <c r="J577" s="10">
        <v>10000</v>
      </c>
      <c r="K577" s="8"/>
      <c r="L577" s="8"/>
      <c r="M577" s="8"/>
      <c r="O577" s="8"/>
      <c r="P577" s="8"/>
      <c r="Q577" s="8"/>
      <c r="S577" s="8"/>
      <c r="T577" s="8"/>
      <c r="U577" s="8"/>
      <c r="W577" s="8"/>
      <c r="X577" s="8"/>
      <c r="Y577" s="8"/>
      <c r="AA577" s="8"/>
      <c r="AB577" s="8"/>
      <c r="AC577" s="8"/>
      <c r="AE577" s="8"/>
      <c r="AF577" s="8"/>
      <c r="AG577" s="8"/>
      <c r="AI577" s="8"/>
      <c r="AJ577" s="8"/>
      <c r="AK577" s="8"/>
      <c r="AM577" s="8"/>
      <c r="AN577" s="8"/>
      <c r="AO577" s="8"/>
      <c r="AQ577" s="8"/>
      <c r="AR577" s="8"/>
      <c r="AS577" s="8"/>
      <c r="AU577" s="8"/>
      <c r="AV577" s="8"/>
      <c r="AW577" s="8"/>
      <c r="AY577" s="8"/>
      <c r="AZ577" s="8"/>
      <c r="BA577" s="8"/>
      <c r="BD577" s="8"/>
      <c r="BF577" s="10"/>
      <c r="BH577" s="8"/>
      <c r="BJ577" s="10"/>
      <c r="BL577" s="8"/>
      <c r="BN577" s="10"/>
    </row>
    <row r="578" spans="1:66" x14ac:dyDescent="0.15">
      <c r="A578" s="8">
        <v>806008</v>
      </c>
      <c r="B578" s="8" t="s">
        <v>442</v>
      </c>
      <c r="C578" s="8">
        <v>0</v>
      </c>
      <c r="D578" s="8">
        <f t="shared" si="82"/>
        <v>1</v>
      </c>
      <c r="E578" s="16">
        <f t="shared" si="80"/>
        <v>1</v>
      </c>
      <c r="F578" s="16">
        <f t="shared" si="81"/>
        <v>1</v>
      </c>
      <c r="G578" s="8" t="str">
        <f>IF(H578="","",VLOOKUP(H578,引用表合并!$A:$B,2,FALSE))</f>
        <v>马仔经验甘露</v>
      </c>
      <c r="H578" s="8">
        <v>91300</v>
      </c>
      <c r="I578" s="8">
        <v>4</v>
      </c>
      <c r="J578" s="10">
        <v>10000</v>
      </c>
      <c r="K578" s="8"/>
      <c r="L578" s="8"/>
      <c r="M578" s="8"/>
      <c r="O578" s="8"/>
      <c r="P578" s="8"/>
      <c r="Q578" s="8"/>
      <c r="S578" s="8"/>
      <c r="T578" s="8"/>
      <c r="U578" s="8"/>
      <c r="W578" s="8"/>
      <c r="X578" s="8"/>
      <c r="Y578" s="8"/>
      <c r="AA578" s="8"/>
      <c r="AB578" s="8"/>
      <c r="AC578" s="8"/>
      <c r="AE578" s="8"/>
      <c r="AF578" s="8"/>
      <c r="AG578" s="8"/>
      <c r="AI578" s="8"/>
      <c r="AJ578" s="8"/>
      <c r="AK578" s="8"/>
      <c r="AM578" s="8"/>
      <c r="AN578" s="8"/>
      <c r="AO578" s="8"/>
      <c r="AQ578" s="8"/>
      <c r="AR578" s="8"/>
      <c r="AS578" s="8"/>
      <c r="AU578" s="8"/>
      <c r="AV578" s="8"/>
      <c r="AW578" s="8"/>
      <c r="AY578" s="8"/>
      <c r="AZ578" s="8"/>
      <c r="BA578" s="8"/>
      <c r="BD578" s="8"/>
      <c r="BF578" s="10"/>
      <c r="BH578" s="8"/>
      <c r="BJ578" s="10"/>
      <c r="BL578" s="8"/>
      <c r="BN578" s="10"/>
    </row>
    <row r="579" spans="1:66" x14ac:dyDescent="0.15">
      <c r="A579" s="8">
        <v>806009</v>
      </c>
      <c r="B579" s="8" t="s">
        <v>443</v>
      </c>
      <c r="C579" s="8">
        <v>0</v>
      </c>
      <c r="D579" s="8">
        <f t="shared" si="82"/>
        <v>1</v>
      </c>
      <c r="E579" s="16">
        <f t="shared" si="80"/>
        <v>1</v>
      </c>
      <c r="F579" s="16">
        <f t="shared" si="81"/>
        <v>1</v>
      </c>
      <c r="G579" s="8" t="str">
        <f>IF(H579="","",VLOOKUP(H579,引用表合并!$A:$B,2,FALSE))</f>
        <v>马仔经验甘露</v>
      </c>
      <c r="H579" s="8">
        <v>91300</v>
      </c>
      <c r="I579" s="8">
        <v>5</v>
      </c>
      <c r="J579" s="10">
        <v>10000</v>
      </c>
      <c r="K579" s="8"/>
      <c r="L579" s="8"/>
      <c r="M579" s="8"/>
      <c r="O579" s="8"/>
      <c r="P579" s="8"/>
      <c r="Q579" s="8"/>
      <c r="S579" s="8"/>
      <c r="T579" s="8"/>
      <c r="U579" s="8"/>
      <c r="W579" s="8"/>
      <c r="X579" s="8"/>
      <c r="Y579" s="8"/>
      <c r="AA579" s="8"/>
      <c r="AB579" s="8"/>
      <c r="AC579" s="8"/>
      <c r="AE579" s="8"/>
      <c r="AF579" s="8"/>
      <c r="AG579" s="8"/>
      <c r="AI579" s="8"/>
      <c r="AJ579" s="8"/>
      <c r="AK579" s="8"/>
      <c r="AM579" s="8"/>
      <c r="AN579" s="8"/>
      <c r="AO579" s="8"/>
      <c r="AQ579" s="8"/>
      <c r="AR579" s="8"/>
      <c r="AS579" s="8"/>
      <c r="AU579" s="8"/>
      <c r="AV579" s="8"/>
      <c r="AW579" s="8"/>
      <c r="AY579" s="8"/>
      <c r="AZ579" s="8"/>
      <c r="BA579" s="8"/>
      <c r="BD579" s="8"/>
      <c r="BF579" s="10"/>
      <c r="BH579" s="8"/>
      <c r="BJ579" s="10"/>
      <c r="BL579" s="8"/>
      <c r="BN579" s="10"/>
    </row>
    <row r="580" spans="1:66" x14ac:dyDescent="0.15">
      <c r="A580" s="8">
        <v>806010</v>
      </c>
      <c r="B580" s="8" t="s">
        <v>444</v>
      </c>
      <c r="C580" s="8">
        <v>0</v>
      </c>
      <c r="D580" s="8">
        <f t="shared" si="82"/>
        <v>1</v>
      </c>
      <c r="E580" s="16">
        <f t="shared" si="80"/>
        <v>1</v>
      </c>
      <c r="F580" s="16">
        <f t="shared" si="81"/>
        <v>1</v>
      </c>
      <c r="G580" s="8" t="str">
        <f>IF(H580="","",VLOOKUP(H580,引用表合并!$A:$B,2,FALSE))</f>
        <v>马仔经验甘露</v>
      </c>
      <c r="H580" s="8">
        <v>91300</v>
      </c>
      <c r="I580" s="8">
        <v>6</v>
      </c>
      <c r="J580" s="10">
        <v>10000</v>
      </c>
      <c r="K580" s="8"/>
      <c r="L580" s="8"/>
      <c r="M580" s="8"/>
      <c r="O580" s="8"/>
      <c r="P580" s="8"/>
      <c r="Q580" s="8"/>
      <c r="S580" s="8"/>
      <c r="T580" s="8"/>
      <c r="U580" s="8"/>
      <c r="W580" s="8"/>
      <c r="X580" s="8"/>
      <c r="Y580" s="8"/>
      <c r="AA580" s="8"/>
      <c r="AB580" s="8"/>
      <c r="AC580" s="8"/>
      <c r="AE580" s="8"/>
      <c r="AF580" s="8"/>
      <c r="AG580" s="8"/>
      <c r="AI580" s="8"/>
      <c r="AJ580" s="8"/>
      <c r="AK580" s="8"/>
      <c r="AM580" s="8"/>
      <c r="AN580" s="8"/>
      <c r="AO580" s="8"/>
      <c r="AQ580" s="8"/>
      <c r="AR580" s="8"/>
      <c r="AS580" s="8"/>
      <c r="AU580" s="8"/>
      <c r="AV580" s="8"/>
      <c r="AW580" s="8"/>
      <c r="AY580" s="8"/>
      <c r="AZ580" s="8"/>
      <c r="BA580" s="8"/>
      <c r="BD580" s="8"/>
      <c r="BF580" s="10"/>
      <c r="BH580" s="8"/>
      <c r="BJ580" s="10"/>
      <c r="BL580" s="8"/>
      <c r="BN580" s="10"/>
    </row>
    <row r="581" spans="1:66" x14ac:dyDescent="0.15">
      <c r="A581" s="8">
        <v>806011</v>
      </c>
      <c r="B581" s="8" t="s">
        <v>445</v>
      </c>
      <c r="C581" s="8">
        <v>0</v>
      </c>
      <c r="D581" s="8">
        <f t="shared" si="82"/>
        <v>1</v>
      </c>
      <c r="E581" s="16">
        <f t="shared" si="80"/>
        <v>1</v>
      </c>
      <c r="F581" s="16">
        <f t="shared" si="81"/>
        <v>1</v>
      </c>
      <c r="G581" s="8" t="str">
        <f>IF(H581="","",VLOOKUP(H581,引用表合并!$A:$B,2,FALSE))</f>
        <v>马仔经验甘露</v>
      </c>
      <c r="H581" s="8">
        <v>91300</v>
      </c>
      <c r="I581" s="8">
        <v>7</v>
      </c>
      <c r="J581" s="10">
        <v>10000</v>
      </c>
      <c r="K581" s="8"/>
      <c r="L581" s="8"/>
      <c r="M581" s="8"/>
      <c r="O581" s="8"/>
      <c r="P581" s="8"/>
      <c r="Q581" s="8"/>
      <c r="S581" s="8"/>
      <c r="T581" s="8"/>
      <c r="U581" s="8"/>
      <c r="W581" s="8"/>
      <c r="X581" s="8"/>
      <c r="Y581" s="8"/>
      <c r="AA581" s="8"/>
      <c r="AB581" s="8"/>
      <c r="AC581" s="8"/>
      <c r="AE581" s="8"/>
      <c r="AF581" s="8"/>
      <c r="AG581" s="8"/>
      <c r="AI581" s="8"/>
      <c r="AJ581" s="8"/>
      <c r="AK581" s="8"/>
      <c r="AM581" s="8"/>
      <c r="AN581" s="8"/>
      <c r="AO581" s="8"/>
      <c r="AQ581" s="8"/>
      <c r="AR581" s="8"/>
      <c r="AS581" s="8"/>
      <c r="AU581" s="8"/>
      <c r="AV581" s="8"/>
      <c r="AW581" s="8"/>
      <c r="AY581" s="8"/>
      <c r="AZ581" s="8"/>
      <c r="BA581" s="8"/>
      <c r="BD581" s="8"/>
      <c r="BF581" s="10"/>
      <c r="BH581" s="8"/>
      <c r="BJ581" s="10"/>
      <c r="BL581" s="8"/>
      <c r="BN581" s="10"/>
    </row>
    <row r="582" spans="1:66" x14ac:dyDescent="0.15">
      <c r="A582" s="8">
        <v>806012</v>
      </c>
      <c r="B582" s="8" t="s">
        <v>446</v>
      </c>
      <c r="C582" s="8">
        <v>0</v>
      </c>
      <c r="D582" s="8">
        <f t="shared" si="82"/>
        <v>1</v>
      </c>
      <c r="E582" s="16">
        <f t="shared" si="80"/>
        <v>1</v>
      </c>
      <c r="F582" s="16">
        <f t="shared" si="81"/>
        <v>1</v>
      </c>
      <c r="G582" s="8" t="str">
        <f>IF(H582="","",VLOOKUP(H582,引用表合并!$A:$B,2,FALSE))</f>
        <v>马仔经验甘露</v>
      </c>
      <c r="H582" s="8">
        <v>91300</v>
      </c>
      <c r="I582" s="8">
        <v>8</v>
      </c>
      <c r="J582" s="10">
        <v>10000</v>
      </c>
      <c r="K582" s="8"/>
      <c r="L582" s="8"/>
      <c r="M582" s="8"/>
      <c r="O582" s="8"/>
      <c r="P582" s="8"/>
      <c r="Q582" s="8"/>
      <c r="S582" s="8"/>
      <c r="T582" s="8"/>
      <c r="U582" s="8"/>
      <c r="W582" s="8"/>
      <c r="X582" s="8"/>
      <c r="Y582" s="8"/>
      <c r="AA582" s="8"/>
      <c r="AB582" s="8"/>
      <c r="AC582" s="8"/>
      <c r="AE582" s="8"/>
      <c r="AF582" s="8"/>
      <c r="AG582" s="8"/>
      <c r="AI582" s="8"/>
      <c r="AJ582" s="8"/>
      <c r="AK582" s="8"/>
      <c r="AM582" s="8"/>
      <c r="AN582" s="8"/>
      <c r="AO582" s="8"/>
      <c r="AQ582" s="8"/>
      <c r="AR582" s="8"/>
      <c r="AS582" s="8"/>
      <c r="AU582" s="8"/>
      <c r="AV582" s="8"/>
      <c r="AW582" s="8"/>
      <c r="AY582" s="8"/>
      <c r="AZ582" s="8"/>
      <c r="BA582" s="8"/>
      <c r="BD582" s="8"/>
      <c r="BF582" s="10"/>
      <c r="BH582" s="8"/>
      <c r="BJ582" s="10"/>
      <c r="BL582" s="8"/>
      <c r="BN582" s="10"/>
    </row>
    <row r="583" spans="1:66" x14ac:dyDescent="0.15">
      <c r="A583" s="8">
        <v>806013</v>
      </c>
      <c r="B583" s="8" t="s">
        <v>447</v>
      </c>
      <c r="C583" s="8">
        <v>0</v>
      </c>
      <c r="D583" s="8">
        <f t="shared" si="82"/>
        <v>1</v>
      </c>
      <c r="E583" s="16">
        <f t="shared" si="80"/>
        <v>1</v>
      </c>
      <c r="F583" s="16">
        <f t="shared" si="81"/>
        <v>1</v>
      </c>
      <c r="G583" s="8" t="str">
        <f>IF(H583="","",VLOOKUP(H583,引用表合并!$A:$B,2,FALSE))</f>
        <v>马仔经验甘露</v>
      </c>
      <c r="H583" s="8">
        <v>91300</v>
      </c>
      <c r="I583" s="8">
        <v>9</v>
      </c>
      <c r="J583" s="10">
        <v>10000</v>
      </c>
      <c r="K583" s="8"/>
      <c r="L583" s="8"/>
      <c r="M583" s="8"/>
      <c r="O583" s="8"/>
      <c r="P583" s="8"/>
      <c r="Q583" s="8"/>
      <c r="S583" s="8"/>
      <c r="T583" s="8"/>
      <c r="U583" s="8"/>
      <c r="W583" s="8"/>
      <c r="X583" s="8"/>
      <c r="Y583" s="8"/>
      <c r="AA583" s="8"/>
      <c r="AB583" s="8"/>
      <c r="AC583" s="8"/>
      <c r="AE583" s="8"/>
      <c r="AF583" s="8"/>
      <c r="AG583" s="8"/>
      <c r="AI583" s="8"/>
      <c r="AJ583" s="8"/>
      <c r="AK583" s="8"/>
      <c r="AM583" s="8"/>
      <c r="AN583" s="8"/>
      <c r="AO583" s="8"/>
      <c r="AQ583" s="8"/>
      <c r="AR583" s="8"/>
      <c r="AS583" s="8"/>
      <c r="AU583" s="8"/>
      <c r="AV583" s="8"/>
      <c r="AW583" s="8"/>
      <c r="AY583" s="8"/>
      <c r="AZ583" s="8"/>
      <c r="BA583" s="8"/>
      <c r="BD583" s="8"/>
      <c r="BF583" s="10"/>
      <c r="BH583" s="8"/>
      <c r="BJ583" s="10"/>
      <c r="BL583" s="8"/>
      <c r="BN583" s="10"/>
    </row>
    <row r="584" spans="1:66" x14ac:dyDescent="0.15">
      <c r="A584" s="8">
        <v>806014</v>
      </c>
      <c r="B584" s="8" t="s">
        <v>448</v>
      </c>
      <c r="C584" s="8">
        <v>0</v>
      </c>
      <c r="D584" s="8">
        <f t="shared" si="82"/>
        <v>1</v>
      </c>
      <c r="E584" s="16">
        <f t="shared" si="80"/>
        <v>1</v>
      </c>
      <c r="F584" s="16">
        <f t="shared" si="81"/>
        <v>1</v>
      </c>
      <c r="G584" s="8" t="str">
        <f>IF(H584="","",VLOOKUP(H584,引用表合并!$A:$B,2,FALSE))</f>
        <v>马仔经验甘露</v>
      </c>
      <c r="H584" s="8">
        <v>91300</v>
      </c>
      <c r="I584" s="8">
        <v>10</v>
      </c>
      <c r="J584" s="10">
        <v>10000</v>
      </c>
      <c r="K584" s="8"/>
      <c r="L584" s="8"/>
      <c r="M584" s="8"/>
      <c r="O584" s="8"/>
      <c r="P584" s="8"/>
      <c r="Q584" s="8"/>
      <c r="S584" s="8"/>
      <c r="T584" s="8"/>
      <c r="U584" s="8"/>
      <c r="W584" s="8"/>
      <c r="X584" s="8"/>
      <c r="Y584" s="8"/>
      <c r="AA584" s="8"/>
      <c r="AB584" s="8"/>
      <c r="AC584" s="8"/>
      <c r="AE584" s="8"/>
      <c r="AF584" s="8"/>
      <c r="AG584" s="8"/>
      <c r="AI584" s="8"/>
      <c r="AJ584" s="8"/>
      <c r="AK584" s="8"/>
      <c r="AM584" s="8"/>
      <c r="AN584" s="8"/>
      <c r="AO584" s="8"/>
      <c r="AQ584" s="8"/>
      <c r="AR584" s="8"/>
      <c r="AS584" s="8"/>
      <c r="AU584" s="8"/>
      <c r="AV584" s="8"/>
      <c r="AW584" s="8"/>
      <c r="AY584" s="8"/>
      <c r="AZ584" s="8"/>
      <c r="BA584" s="8"/>
      <c r="BD584" s="8"/>
      <c r="BF584" s="10"/>
      <c r="BH584" s="8"/>
      <c r="BJ584" s="10"/>
      <c r="BL584" s="8"/>
      <c r="BN584" s="10"/>
    </row>
    <row r="585" spans="1:66" x14ac:dyDescent="0.15">
      <c r="A585" s="8">
        <v>806015</v>
      </c>
      <c r="B585" s="8" t="s">
        <v>449</v>
      </c>
      <c r="C585" s="8">
        <v>0</v>
      </c>
      <c r="D585" s="8">
        <f t="shared" si="82"/>
        <v>1</v>
      </c>
      <c r="E585" s="16">
        <f t="shared" si="80"/>
        <v>1</v>
      </c>
      <c r="F585" s="16">
        <f t="shared" si="81"/>
        <v>1</v>
      </c>
      <c r="G585" s="8" t="str">
        <f>IF(H585="","",VLOOKUP(H585,引用表合并!$A:$B,2,FALSE))</f>
        <v>马仔经验甘露</v>
      </c>
      <c r="H585" s="8">
        <v>91300</v>
      </c>
      <c r="I585" s="8">
        <v>11</v>
      </c>
      <c r="J585" s="10">
        <v>10000</v>
      </c>
      <c r="K585" s="8"/>
      <c r="L585" s="8"/>
      <c r="M585" s="8"/>
      <c r="O585" s="8"/>
      <c r="P585" s="8"/>
      <c r="Q585" s="8"/>
      <c r="S585" s="8"/>
      <c r="T585" s="8"/>
      <c r="U585" s="8"/>
      <c r="W585" s="8"/>
      <c r="X585" s="8"/>
      <c r="Y585" s="8"/>
      <c r="AA585" s="8"/>
      <c r="AB585" s="8"/>
      <c r="AC585" s="8"/>
      <c r="AE585" s="8"/>
      <c r="AF585" s="8"/>
      <c r="AG585" s="8"/>
      <c r="AI585" s="8"/>
      <c r="AJ585" s="8"/>
      <c r="AK585" s="8"/>
      <c r="AM585" s="8"/>
      <c r="AN585" s="8"/>
      <c r="AO585" s="8"/>
      <c r="AQ585" s="8"/>
      <c r="AR585" s="8"/>
      <c r="AS585" s="8"/>
      <c r="AU585" s="8"/>
      <c r="AV585" s="8"/>
      <c r="AW585" s="8"/>
      <c r="AY585" s="8"/>
      <c r="AZ585" s="8"/>
      <c r="BA585" s="8"/>
      <c r="BD585" s="8"/>
      <c r="BF585" s="10"/>
      <c r="BH585" s="8"/>
      <c r="BJ585" s="10"/>
      <c r="BL585" s="8"/>
      <c r="BN585" s="10"/>
    </row>
    <row r="586" spans="1:66" x14ac:dyDescent="0.15">
      <c r="A586" s="8">
        <v>806016</v>
      </c>
      <c r="B586" s="8" t="s">
        <v>450</v>
      </c>
      <c r="C586" s="8">
        <v>0</v>
      </c>
      <c r="D586" s="8">
        <f t="shared" si="82"/>
        <v>1</v>
      </c>
      <c r="E586" s="16">
        <f t="shared" si="80"/>
        <v>1</v>
      </c>
      <c r="F586" s="16">
        <f t="shared" si="81"/>
        <v>1</v>
      </c>
      <c r="G586" s="8" t="str">
        <f>IF(H586="","",VLOOKUP(H586,引用表合并!$A:$B,2,FALSE))</f>
        <v>马仔经验甘露</v>
      </c>
      <c r="H586" s="8">
        <v>91300</v>
      </c>
      <c r="I586" s="8">
        <v>12</v>
      </c>
      <c r="J586" s="10">
        <v>10000</v>
      </c>
      <c r="K586" s="8"/>
      <c r="L586" s="8"/>
      <c r="M586" s="8"/>
      <c r="O586" s="8"/>
      <c r="P586" s="8"/>
      <c r="Q586" s="8"/>
      <c r="S586" s="8"/>
      <c r="T586" s="8"/>
      <c r="U586" s="8"/>
      <c r="W586" s="8"/>
      <c r="X586" s="8"/>
      <c r="Y586" s="8"/>
      <c r="AA586" s="8"/>
      <c r="AB586" s="8"/>
      <c r="AC586" s="8"/>
      <c r="AE586" s="8"/>
      <c r="AF586" s="8"/>
      <c r="AG586" s="8"/>
      <c r="AI586" s="8"/>
      <c r="AJ586" s="8"/>
      <c r="AK586" s="8"/>
      <c r="AM586" s="8"/>
      <c r="AN586" s="8"/>
      <c r="AO586" s="8"/>
      <c r="AQ586" s="8"/>
      <c r="AR586" s="8"/>
      <c r="AS586" s="8"/>
      <c r="AU586" s="8"/>
      <c r="AV586" s="8"/>
      <c r="AW586" s="8"/>
      <c r="AY586" s="8"/>
      <c r="AZ586" s="8"/>
      <c r="BA586" s="8"/>
      <c r="BD586" s="8"/>
      <c r="BF586" s="10"/>
      <c r="BH586" s="8"/>
      <c r="BJ586" s="10"/>
      <c r="BL586" s="8"/>
      <c r="BN586" s="10"/>
    </row>
    <row r="587" spans="1:66" x14ac:dyDescent="0.15">
      <c r="A587" s="8">
        <v>806017</v>
      </c>
      <c r="B587" s="8" t="s">
        <v>971</v>
      </c>
      <c r="C587" s="8">
        <v>0</v>
      </c>
      <c r="D587" s="8">
        <f t="shared" ref="D587:D589" si="83">E587</f>
        <v>1</v>
      </c>
      <c r="E587" s="16">
        <f t="shared" si="80"/>
        <v>1</v>
      </c>
      <c r="F587" s="16">
        <f t="shared" ref="F587:F589" si="84">E587</f>
        <v>1</v>
      </c>
      <c r="G587" s="8" t="str">
        <f>IF(H587="","",VLOOKUP(H587,引用表合并!$A:$B,2,FALSE))</f>
        <v>马仔经验甘露</v>
      </c>
      <c r="H587" s="8">
        <v>91300</v>
      </c>
      <c r="I587" s="8">
        <v>13</v>
      </c>
      <c r="J587" s="10">
        <v>10000</v>
      </c>
      <c r="K587" s="8"/>
      <c r="L587" s="8"/>
      <c r="M587" s="8"/>
      <c r="O587" s="8"/>
      <c r="P587" s="8"/>
      <c r="Q587" s="8"/>
      <c r="S587" s="8"/>
      <c r="T587" s="8"/>
      <c r="U587" s="8"/>
      <c r="W587" s="8"/>
      <c r="X587" s="8"/>
      <c r="Y587" s="8"/>
      <c r="AA587" s="8"/>
      <c r="AB587" s="8"/>
      <c r="AC587" s="8"/>
      <c r="AE587" s="8"/>
      <c r="AF587" s="8"/>
      <c r="AG587" s="8"/>
      <c r="AI587" s="8"/>
      <c r="AJ587" s="8"/>
      <c r="AK587" s="8"/>
      <c r="AM587" s="8"/>
      <c r="AN587" s="8"/>
      <c r="AO587" s="8"/>
      <c r="AQ587" s="8"/>
      <c r="AR587" s="8"/>
      <c r="AS587" s="8"/>
      <c r="AU587" s="8"/>
      <c r="AV587" s="8"/>
      <c r="AW587" s="8"/>
      <c r="AY587" s="8"/>
      <c r="AZ587" s="8"/>
      <c r="BA587" s="8"/>
      <c r="BD587" s="8"/>
      <c r="BF587" s="10"/>
      <c r="BH587" s="8"/>
      <c r="BJ587" s="10"/>
      <c r="BL587" s="8"/>
      <c r="BN587" s="10"/>
    </row>
    <row r="588" spans="1:66" x14ac:dyDescent="0.15">
      <c r="A588" s="8">
        <v>806018</v>
      </c>
      <c r="B588" s="8" t="s">
        <v>972</v>
      </c>
      <c r="C588" s="8">
        <v>0</v>
      </c>
      <c r="D588" s="8">
        <f t="shared" si="83"/>
        <v>1</v>
      </c>
      <c r="E588" s="16">
        <f t="shared" si="80"/>
        <v>1</v>
      </c>
      <c r="F588" s="16">
        <f t="shared" si="84"/>
        <v>1</v>
      </c>
      <c r="G588" s="8" t="str">
        <f>IF(H588="","",VLOOKUP(H588,引用表合并!$A:$B,2,FALSE))</f>
        <v>马仔经验甘露</v>
      </c>
      <c r="H588" s="8">
        <v>91300</v>
      </c>
      <c r="I588" s="8">
        <v>14</v>
      </c>
      <c r="J588" s="10">
        <v>10000</v>
      </c>
      <c r="K588" s="8"/>
      <c r="L588" s="8"/>
      <c r="M588" s="8"/>
      <c r="O588" s="8"/>
      <c r="P588" s="8"/>
      <c r="Q588" s="8"/>
      <c r="S588" s="8"/>
      <c r="T588" s="8"/>
      <c r="U588" s="8"/>
      <c r="W588" s="8"/>
      <c r="X588" s="8"/>
      <c r="Y588" s="8"/>
      <c r="AA588" s="8"/>
      <c r="AB588" s="8"/>
      <c r="AC588" s="8"/>
      <c r="AE588" s="8"/>
      <c r="AF588" s="8"/>
      <c r="AG588" s="8"/>
      <c r="AI588" s="8"/>
      <c r="AJ588" s="8"/>
      <c r="AK588" s="8"/>
      <c r="AM588" s="8"/>
      <c r="AN588" s="8"/>
      <c r="AO588" s="8"/>
      <c r="AQ588" s="8"/>
      <c r="AR588" s="8"/>
      <c r="AS588" s="8"/>
      <c r="AU588" s="8"/>
      <c r="AV588" s="8"/>
      <c r="AW588" s="8"/>
      <c r="AY588" s="8"/>
      <c r="AZ588" s="8"/>
      <c r="BA588" s="8"/>
      <c r="BD588" s="8"/>
      <c r="BF588" s="10"/>
      <c r="BH588" s="8"/>
      <c r="BJ588" s="10"/>
      <c r="BL588" s="8"/>
      <c r="BN588" s="10"/>
    </row>
    <row r="589" spans="1:66" x14ac:dyDescent="0.15">
      <c r="A589" s="8">
        <v>806019</v>
      </c>
      <c r="B589" s="8" t="s">
        <v>973</v>
      </c>
      <c r="C589" s="8">
        <v>0</v>
      </c>
      <c r="D589" s="8">
        <f t="shared" si="83"/>
        <v>1</v>
      </c>
      <c r="E589" s="16">
        <f t="shared" si="80"/>
        <v>1</v>
      </c>
      <c r="F589" s="16">
        <f t="shared" si="84"/>
        <v>1</v>
      </c>
      <c r="G589" s="8" t="str">
        <f>IF(H589="","",VLOOKUP(H589,引用表合并!$A:$B,2,FALSE))</f>
        <v>马仔经验甘露</v>
      </c>
      <c r="H589" s="8">
        <v>91300</v>
      </c>
      <c r="I589" s="8">
        <v>15</v>
      </c>
      <c r="J589" s="10">
        <v>10000</v>
      </c>
      <c r="K589" s="8"/>
      <c r="L589" s="8"/>
      <c r="M589" s="8"/>
      <c r="O589" s="8"/>
      <c r="P589" s="8"/>
      <c r="Q589" s="8"/>
      <c r="S589" s="8"/>
      <c r="T589" s="8"/>
      <c r="U589" s="8"/>
      <c r="W589" s="8"/>
      <c r="X589" s="8"/>
      <c r="Y589" s="8"/>
      <c r="AA589" s="8"/>
      <c r="AB589" s="8"/>
      <c r="AC589" s="8"/>
      <c r="AE589" s="8"/>
      <c r="AF589" s="8"/>
      <c r="AG589" s="8"/>
      <c r="AI589" s="8"/>
      <c r="AJ589" s="8"/>
      <c r="AK589" s="8"/>
      <c r="AM589" s="8"/>
      <c r="AN589" s="8"/>
      <c r="AO589" s="8"/>
      <c r="AQ589" s="8"/>
      <c r="AR589" s="8"/>
      <c r="AS589" s="8"/>
      <c r="AU589" s="8"/>
      <c r="AV589" s="8"/>
      <c r="AW589" s="8"/>
      <c r="AY589" s="8"/>
      <c r="AZ589" s="8"/>
      <c r="BA589" s="8"/>
      <c r="BD589" s="8"/>
      <c r="BF589" s="10"/>
      <c r="BH589" s="8"/>
      <c r="BJ589" s="10"/>
      <c r="BL589" s="8"/>
      <c r="BN589" s="10"/>
    </row>
    <row r="590" spans="1:66" x14ac:dyDescent="0.15">
      <c r="A590" s="8">
        <v>806101</v>
      </c>
      <c r="B590" s="8" t="s">
        <v>457</v>
      </c>
      <c r="C590" s="8">
        <v>0</v>
      </c>
      <c r="D590" s="8">
        <f t="shared" si="82"/>
        <v>1</v>
      </c>
      <c r="E590" s="16">
        <f t="shared" si="80"/>
        <v>1</v>
      </c>
      <c r="F590" s="16">
        <f t="shared" si="81"/>
        <v>1</v>
      </c>
      <c r="G590" s="8" t="str">
        <f>IF(H590="","",VLOOKUP(H590,引用表合并!$A:$B,2,FALSE))</f>
        <v>龙魂币(500)</v>
      </c>
      <c r="H590" s="8">
        <v>80110</v>
      </c>
      <c r="I590" s="8">
        <v>1</v>
      </c>
      <c r="J590" s="10">
        <v>10000</v>
      </c>
      <c r="K590" s="8"/>
      <c r="L590" s="8"/>
      <c r="M590" s="8"/>
      <c r="O590" s="8"/>
      <c r="P590" s="8"/>
      <c r="Q590" s="8"/>
      <c r="S590" s="8"/>
      <c r="T590" s="8"/>
      <c r="U590" s="8"/>
      <c r="W590" s="8"/>
      <c r="X590" s="8"/>
      <c r="Y590" s="8"/>
      <c r="AA590" s="8"/>
      <c r="AB590" s="8"/>
      <c r="AC590" s="8"/>
      <c r="AE590" s="8"/>
      <c r="AF590" s="8"/>
      <c r="AG590" s="8"/>
      <c r="AI590" s="8"/>
      <c r="AJ590" s="8"/>
      <c r="AK590" s="8"/>
      <c r="AM590" s="8"/>
      <c r="AN590" s="8"/>
      <c r="AO590" s="8"/>
      <c r="AQ590" s="8"/>
      <c r="AR590" s="8"/>
      <c r="AS590" s="8"/>
      <c r="AU590" s="8"/>
      <c r="AV590" s="8"/>
      <c r="AW590" s="8"/>
      <c r="AY590" s="8"/>
      <c r="AZ590" s="8"/>
      <c r="BA590" s="8"/>
      <c r="BD590" s="8"/>
      <c r="BF590" s="10"/>
      <c r="BH590" s="8"/>
      <c r="BJ590" s="10"/>
      <c r="BL590" s="8"/>
      <c r="BN590" s="10"/>
    </row>
    <row r="591" spans="1:66" x14ac:dyDescent="0.15">
      <c r="A591" s="8">
        <v>806102</v>
      </c>
      <c r="B591" s="8" t="s">
        <v>458</v>
      </c>
      <c r="C591" s="8">
        <v>0</v>
      </c>
      <c r="D591" s="8">
        <f t="shared" si="82"/>
        <v>1</v>
      </c>
      <c r="E591" s="16">
        <f t="shared" si="80"/>
        <v>1</v>
      </c>
      <c r="F591" s="16">
        <f t="shared" si="81"/>
        <v>1</v>
      </c>
      <c r="G591" s="8" t="str">
        <f>IF(H591="","",VLOOKUP(H591,引用表合并!$A:$B,2,FALSE))</f>
        <v>龙魂币(1000)</v>
      </c>
      <c r="H591" s="8">
        <v>80210</v>
      </c>
      <c r="I591" s="8">
        <v>1</v>
      </c>
      <c r="J591" s="10">
        <v>10000</v>
      </c>
      <c r="K591" s="8"/>
      <c r="L591" s="8"/>
      <c r="M591" s="8"/>
      <c r="O591" s="8"/>
      <c r="P591" s="8"/>
      <c r="Q591" s="8"/>
      <c r="S591" s="8"/>
      <c r="T591" s="8"/>
      <c r="U591" s="8"/>
      <c r="W591" s="8"/>
      <c r="X591" s="8"/>
      <c r="Y591" s="8"/>
      <c r="AA591" s="8"/>
      <c r="AB591" s="8"/>
      <c r="AC591" s="8"/>
      <c r="AE591" s="8"/>
      <c r="AF591" s="8"/>
      <c r="AG591" s="8"/>
      <c r="AI591" s="8"/>
      <c r="AJ591" s="8"/>
      <c r="AK591" s="8"/>
      <c r="AM591" s="8"/>
      <c r="AN591" s="8"/>
      <c r="AO591" s="8"/>
      <c r="AQ591" s="8"/>
      <c r="AR591" s="8"/>
      <c r="AS591" s="8"/>
      <c r="AU591" s="8"/>
      <c r="AV591" s="8"/>
      <c r="AW591" s="8"/>
      <c r="AY591" s="8"/>
      <c r="AZ591" s="8"/>
      <c r="BA591" s="8"/>
      <c r="BD591" s="8"/>
      <c r="BF591" s="10"/>
      <c r="BH591" s="8"/>
      <c r="BJ591" s="10"/>
      <c r="BL591" s="8"/>
      <c r="BN591" s="10"/>
    </row>
    <row r="592" spans="1:66" x14ac:dyDescent="0.15">
      <c r="A592" s="8">
        <v>806103</v>
      </c>
      <c r="B592" s="8" t="s">
        <v>459</v>
      </c>
      <c r="C592" s="8">
        <v>0</v>
      </c>
      <c r="D592" s="8">
        <f t="shared" si="82"/>
        <v>1</v>
      </c>
      <c r="E592" s="16">
        <f t="shared" si="80"/>
        <v>1</v>
      </c>
      <c r="F592" s="16">
        <f t="shared" si="81"/>
        <v>1</v>
      </c>
      <c r="G592" s="8" t="str">
        <f>IF(H592="","",VLOOKUP(H592,引用表合并!$A:$B,2,FALSE))</f>
        <v>龙魂币(2000)</v>
      </c>
      <c r="H592" s="8">
        <v>80310</v>
      </c>
      <c r="I592" s="8">
        <v>1</v>
      </c>
      <c r="J592" s="10">
        <v>10000</v>
      </c>
      <c r="K592" s="8"/>
      <c r="L592" s="8"/>
      <c r="M592" s="8"/>
      <c r="O592" s="8"/>
      <c r="P592" s="8"/>
      <c r="Q592" s="8"/>
      <c r="S592" s="8"/>
      <c r="T592" s="8"/>
      <c r="U592" s="8"/>
      <c r="W592" s="8"/>
      <c r="X592" s="8"/>
      <c r="Y592" s="8"/>
      <c r="AA592" s="8"/>
      <c r="AB592" s="8"/>
      <c r="AC592" s="8"/>
      <c r="AE592" s="8"/>
      <c r="AF592" s="8"/>
      <c r="AG592" s="8"/>
      <c r="AI592" s="8"/>
      <c r="AJ592" s="8"/>
      <c r="AK592" s="8"/>
      <c r="AM592" s="8"/>
      <c r="AN592" s="8"/>
      <c r="AO592" s="8"/>
      <c r="AQ592" s="8"/>
      <c r="AR592" s="8"/>
      <c r="AS592" s="8"/>
      <c r="AU592" s="8"/>
      <c r="AV592" s="8"/>
      <c r="AW592" s="8"/>
      <c r="AY592" s="8"/>
      <c r="AZ592" s="8"/>
      <c r="BA592" s="8"/>
      <c r="BD592" s="8"/>
      <c r="BF592" s="10"/>
      <c r="BH592" s="8"/>
      <c r="BJ592" s="10"/>
      <c r="BL592" s="8"/>
      <c r="BN592" s="10"/>
    </row>
    <row r="593" spans="1:66" x14ac:dyDescent="0.15">
      <c r="A593" s="8">
        <v>806104</v>
      </c>
      <c r="B593" s="8" t="s">
        <v>460</v>
      </c>
      <c r="C593" s="8">
        <v>0</v>
      </c>
      <c r="D593" s="8">
        <f t="shared" si="82"/>
        <v>1</v>
      </c>
      <c r="E593" s="16">
        <f t="shared" si="80"/>
        <v>1</v>
      </c>
      <c r="F593" s="16">
        <f t="shared" si="81"/>
        <v>1</v>
      </c>
      <c r="G593" s="8" t="str">
        <f>IF(H593="","",VLOOKUP(H593,引用表合并!$A:$B,2,FALSE))</f>
        <v>龙魂币(2000)</v>
      </c>
      <c r="H593" s="8">
        <v>80310</v>
      </c>
      <c r="I593" s="8">
        <v>2</v>
      </c>
      <c r="J593" s="10">
        <v>10000</v>
      </c>
      <c r="K593" s="8"/>
      <c r="L593" s="8"/>
      <c r="M593" s="8"/>
      <c r="O593" s="8"/>
      <c r="P593" s="8"/>
      <c r="Q593" s="8"/>
      <c r="S593" s="8"/>
      <c r="T593" s="8"/>
      <c r="U593" s="8"/>
      <c r="W593" s="8"/>
      <c r="X593" s="8"/>
      <c r="Y593" s="8"/>
      <c r="AA593" s="8"/>
      <c r="AB593" s="8"/>
      <c r="AC593" s="8"/>
      <c r="AE593" s="8"/>
      <c r="AF593" s="8"/>
      <c r="AG593" s="8"/>
      <c r="AI593" s="8"/>
      <c r="AJ593" s="8"/>
      <c r="AK593" s="8"/>
      <c r="AM593" s="8"/>
      <c r="AN593" s="8"/>
      <c r="AO593" s="8"/>
      <c r="AQ593" s="8"/>
      <c r="AR593" s="8"/>
      <c r="AS593" s="8"/>
      <c r="AU593" s="8"/>
      <c r="AV593" s="8"/>
      <c r="AW593" s="8"/>
      <c r="AY593" s="8"/>
      <c r="AZ593" s="8"/>
      <c r="BA593" s="8"/>
      <c r="BD593" s="8"/>
      <c r="BF593" s="10"/>
      <c r="BH593" s="8"/>
      <c r="BJ593" s="10"/>
      <c r="BL593" s="8"/>
      <c r="BN593" s="10"/>
    </row>
    <row r="594" spans="1:66" x14ac:dyDescent="0.15">
      <c r="A594" s="8">
        <v>806105</v>
      </c>
      <c r="B594" s="8" t="s">
        <v>461</v>
      </c>
      <c r="C594" s="8">
        <v>0</v>
      </c>
      <c r="D594" s="8">
        <f t="shared" si="82"/>
        <v>1</v>
      </c>
      <c r="E594" s="16">
        <f t="shared" si="80"/>
        <v>1</v>
      </c>
      <c r="F594" s="16">
        <f t="shared" si="81"/>
        <v>1</v>
      </c>
      <c r="G594" s="8" t="str">
        <f>IF(H594="","",VLOOKUP(H594,引用表合并!$A:$B,2,FALSE))</f>
        <v>龙魂币(2000)</v>
      </c>
      <c r="H594" s="8">
        <v>80310</v>
      </c>
      <c r="I594" s="8">
        <v>2</v>
      </c>
      <c r="J594" s="10">
        <v>10000</v>
      </c>
      <c r="K594" s="8"/>
      <c r="L594" s="8"/>
      <c r="M594" s="8"/>
      <c r="O594" s="8"/>
      <c r="P594" s="8"/>
      <c r="Q594" s="8"/>
      <c r="S594" s="8"/>
      <c r="T594" s="8"/>
      <c r="U594" s="8"/>
      <c r="W594" s="8"/>
      <c r="X594" s="8"/>
      <c r="Y594" s="8"/>
      <c r="AA594" s="8"/>
      <c r="AB594" s="8"/>
      <c r="AC594" s="8"/>
      <c r="AE594" s="8"/>
      <c r="AF594" s="8"/>
      <c r="AG594" s="8"/>
      <c r="AI594" s="8"/>
      <c r="AJ594" s="8"/>
      <c r="AK594" s="8"/>
      <c r="AM594" s="8"/>
      <c r="AN594" s="8"/>
      <c r="AO594" s="8"/>
      <c r="AQ594" s="8"/>
      <c r="AR594" s="8"/>
      <c r="AS594" s="8"/>
      <c r="AU594" s="8"/>
      <c r="AV594" s="8"/>
      <c r="AW594" s="8"/>
      <c r="AY594" s="8"/>
      <c r="AZ594" s="8"/>
      <c r="BA594" s="8"/>
      <c r="BD594" s="8"/>
      <c r="BF594" s="10"/>
      <c r="BH594" s="8"/>
      <c r="BJ594" s="10"/>
      <c r="BL594" s="8"/>
      <c r="BN594" s="10"/>
    </row>
    <row r="595" spans="1:66" x14ac:dyDescent="0.15">
      <c r="A595" s="8">
        <v>806106</v>
      </c>
      <c r="B595" s="8" t="s">
        <v>462</v>
      </c>
      <c r="C595" s="8">
        <v>0</v>
      </c>
      <c r="D595" s="8">
        <f t="shared" si="82"/>
        <v>1</v>
      </c>
      <c r="E595" s="16">
        <f t="shared" si="80"/>
        <v>1</v>
      </c>
      <c r="F595" s="16">
        <f t="shared" si="81"/>
        <v>1</v>
      </c>
      <c r="G595" s="8" t="str">
        <f>IF(H595="","",VLOOKUP(H595,引用表合并!$A:$B,2,FALSE))</f>
        <v>龙魂币(2000)</v>
      </c>
      <c r="H595" s="8">
        <v>80310</v>
      </c>
      <c r="I595" s="8">
        <v>3</v>
      </c>
      <c r="J595" s="10">
        <v>10000</v>
      </c>
      <c r="K595" s="8"/>
      <c r="L595" s="8"/>
      <c r="M595" s="8"/>
      <c r="O595" s="8"/>
      <c r="P595" s="8"/>
      <c r="Q595" s="8"/>
      <c r="S595" s="8"/>
      <c r="T595" s="8"/>
      <c r="U595" s="8"/>
      <c r="W595" s="8"/>
      <c r="X595" s="8"/>
      <c r="Y595" s="8"/>
      <c r="AA595" s="8"/>
      <c r="AB595" s="8"/>
      <c r="AC595" s="8"/>
      <c r="AE595" s="8"/>
      <c r="AF595" s="8"/>
      <c r="AG595" s="8"/>
      <c r="AI595" s="8"/>
      <c r="AJ595" s="8"/>
      <c r="AK595" s="8"/>
      <c r="AM595" s="8"/>
      <c r="AN595" s="8"/>
      <c r="AO595" s="8"/>
      <c r="AQ595" s="8"/>
      <c r="AR595" s="8"/>
      <c r="AS595" s="8"/>
      <c r="AU595" s="8"/>
      <c r="AV595" s="8"/>
      <c r="AW595" s="8"/>
      <c r="AY595" s="8"/>
      <c r="AZ595" s="8"/>
      <c r="BA595" s="8"/>
      <c r="BD595" s="8"/>
      <c r="BF595" s="10"/>
      <c r="BH595" s="8"/>
      <c r="BJ595" s="10"/>
      <c r="BL595" s="8"/>
      <c r="BN595" s="10"/>
    </row>
    <row r="596" spans="1:66" x14ac:dyDescent="0.15">
      <c r="A596" s="8">
        <v>806107</v>
      </c>
      <c r="B596" s="8" t="s">
        <v>463</v>
      </c>
      <c r="C596" s="8">
        <v>0</v>
      </c>
      <c r="D596" s="8">
        <f t="shared" si="82"/>
        <v>1</v>
      </c>
      <c r="E596" s="16">
        <f t="shared" ref="E596:E659" si="85">COUNTIF(G596:FJ596,"&gt;0")/3</f>
        <v>1</v>
      </c>
      <c r="F596" s="16">
        <f t="shared" si="81"/>
        <v>1</v>
      </c>
      <c r="G596" s="8" t="str">
        <f>IF(H596="","",VLOOKUP(H596,引用表合并!$A:$B,2,FALSE))</f>
        <v>龙魂币(2000)</v>
      </c>
      <c r="H596" s="8">
        <v>80310</v>
      </c>
      <c r="I596" s="8">
        <v>3</v>
      </c>
      <c r="J596" s="10">
        <v>10000</v>
      </c>
      <c r="K596" s="8"/>
      <c r="L596" s="8"/>
      <c r="M596" s="8"/>
      <c r="O596" s="8"/>
      <c r="P596" s="8"/>
      <c r="Q596" s="8"/>
      <c r="S596" s="8"/>
      <c r="T596" s="8"/>
      <c r="U596" s="8"/>
      <c r="W596" s="8"/>
      <c r="X596" s="8"/>
      <c r="Y596" s="8"/>
      <c r="AA596" s="8"/>
      <c r="AB596" s="8"/>
      <c r="AC596" s="8"/>
      <c r="AE596" s="8"/>
      <c r="AF596" s="8"/>
      <c r="AG596" s="8"/>
      <c r="AI596" s="8"/>
      <c r="AJ596" s="8"/>
      <c r="AK596" s="8"/>
      <c r="AM596" s="8"/>
      <c r="AN596" s="8"/>
      <c r="AO596" s="8"/>
      <c r="AQ596" s="8"/>
      <c r="AR596" s="8"/>
      <c r="AS596" s="8"/>
      <c r="AU596" s="8"/>
      <c r="AV596" s="8"/>
      <c r="AW596" s="8"/>
      <c r="AY596" s="8"/>
      <c r="AZ596" s="8"/>
      <c r="BA596" s="8"/>
      <c r="BD596" s="8"/>
      <c r="BF596" s="10"/>
      <c r="BH596" s="8"/>
      <c r="BJ596" s="10"/>
      <c r="BL596" s="8"/>
      <c r="BN596" s="10"/>
    </row>
    <row r="597" spans="1:66" x14ac:dyDescent="0.15">
      <c r="A597" s="8">
        <v>806108</v>
      </c>
      <c r="B597" s="8" t="s">
        <v>464</v>
      </c>
      <c r="C597" s="8">
        <v>0</v>
      </c>
      <c r="D597" s="8">
        <f t="shared" si="82"/>
        <v>1</v>
      </c>
      <c r="E597" s="16">
        <f t="shared" si="85"/>
        <v>1</v>
      </c>
      <c r="F597" s="16">
        <f t="shared" si="81"/>
        <v>1</v>
      </c>
      <c r="G597" s="8" t="str">
        <f>IF(H597="","",VLOOKUP(H597,引用表合并!$A:$B,2,FALSE))</f>
        <v>龙魂币(2000)</v>
      </c>
      <c r="H597" s="8">
        <v>80310</v>
      </c>
      <c r="I597" s="8">
        <v>4</v>
      </c>
      <c r="J597" s="10">
        <v>10000</v>
      </c>
      <c r="K597" s="8"/>
      <c r="L597" s="8"/>
      <c r="M597" s="8"/>
      <c r="O597" s="8"/>
      <c r="P597" s="8"/>
      <c r="Q597" s="8"/>
      <c r="S597" s="8"/>
      <c r="T597" s="8"/>
      <c r="U597" s="8"/>
      <c r="W597" s="8"/>
      <c r="X597" s="8"/>
      <c r="Y597" s="8"/>
      <c r="AA597" s="8"/>
      <c r="AB597" s="8"/>
      <c r="AC597" s="8"/>
      <c r="AE597" s="8"/>
      <c r="AF597" s="8"/>
      <c r="AG597" s="8"/>
      <c r="AI597" s="8"/>
      <c r="AJ597" s="8"/>
      <c r="AK597" s="8"/>
      <c r="AM597" s="8"/>
      <c r="AN597" s="8"/>
      <c r="AO597" s="8"/>
      <c r="AQ597" s="8"/>
      <c r="AR597" s="8"/>
      <c r="AS597" s="8"/>
      <c r="AU597" s="8"/>
      <c r="AV597" s="8"/>
      <c r="AW597" s="8"/>
      <c r="AY597" s="8"/>
      <c r="AZ597" s="8"/>
      <c r="BA597" s="8"/>
      <c r="BD597" s="8"/>
      <c r="BF597" s="10"/>
      <c r="BH597" s="8"/>
      <c r="BJ597" s="10"/>
      <c r="BL597" s="8"/>
      <c r="BN597" s="10"/>
    </row>
    <row r="598" spans="1:66" x14ac:dyDescent="0.15">
      <c r="A598" s="8">
        <v>806109</v>
      </c>
      <c r="B598" s="8" t="s">
        <v>465</v>
      </c>
      <c r="C598" s="8">
        <v>0</v>
      </c>
      <c r="D598" s="8">
        <f t="shared" si="82"/>
        <v>1</v>
      </c>
      <c r="E598" s="16">
        <f t="shared" si="85"/>
        <v>1</v>
      </c>
      <c r="F598" s="16">
        <f t="shared" si="81"/>
        <v>1</v>
      </c>
      <c r="G598" s="8" t="str">
        <f>IF(H598="","",VLOOKUP(H598,引用表合并!$A:$B,2,FALSE))</f>
        <v>龙魂币(2000)</v>
      </c>
      <c r="H598" s="8">
        <v>80310</v>
      </c>
      <c r="I598" s="8">
        <v>4</v>
      </c>
      <c r="J598" s="10">
        <v>10000</v>
      </c>
      <c r="K598" s="8"/>
      <c r="L598" s="8"/>
      <c r="M598" s="8"/>
      <c r="O598" s="8"/>
      <c r="P598" s="8"/>
      <c r="Q598" s="8"/>
      <c r="S598" s="8"/>
      <c r="T598" s="8"/>
      <c r="U598" s="8"/>
      <c r="W598" s="8"/>
      <c r="X598" s="8"/>
      <c r="Y598" s="8"/>
      <c r="AA598" s="8"/>
      <c r="AB598" s="8"/>
      <c r="AC598" s="8"/>
      <c r="AE598" s="8"/>
      <c r="AF598" s="8"/>
      <c r="AG598" s="8"/>
      <c r="AI598" s="8"/>
      <c r="AJ598" s="8"/>
      <c r="AK598" s="8"/>
      <c r="AM598" s="8"/>
      <c r="AN598" s="8"/>
      <c r="AO598" s="8"/>
      <c r="AQ598" s="8"/>
      <c r="AR598" s="8"/>
      <c r="AS598" s="8"/>
      <c r="AU598" s="8"/>
      <c r="AV598" s="8"/>
      <c r="AW598" s="8"/>
      <c r="AY598" s="8"/>
      <c r="AZ598" s="8"/>
      <c r="BA598" s="8"/>
      <c r="BD598" s="8"/>
      <c r="BF598" s="10"/>
      <c r="BH598" s="8"/>
      <c r="BJ598" s="10"/>
      <c r="BL598" s="8"/>
      <c r="BN598" s="10"/>
    </row>
    <row r="599" spans="1:66" x14ac:dyDescent="0.15">
      <c r="A599" s="8">
        <v>806201</v>
      </c>
      <c r="B599" s="8" t="s">
        <v>451</v>
      </c>
      <c r="C599" s="8">
        <v>0</v>
      </c>
      <c r="D599" s="8">
        <f t="shared" si="82"/>
        <v>1</v>
      </c>
      <c r="E599" s="16">
        <f t="shared" si="85"/>
        <v>1</v>
      </c>
      <c r="F599" s="16">
        <f t="shared" si="81"/>
        <v>1</v>
      </c>
      <c r="G599" s="8" t="str">
        <f>IF(H599="","",VLOOKUP(H599,引用表合并!$A:$B,2,FALSE))</f>
        <v>富甲一方</v>
      </c>
      <c r="H599" s="8">
        <v>83010</v>
      </c>
      <c r="I599" s="8">
        <v>1</v>
      </c>
      <c r="J599" s="10">
        <v>10000</v>
      </c>
      <c r="K599" s="8"/>
      <c r="L599" s="8"/>
      <c r="M599" s="8"/>
      <c r="O599" s="8"/>
      <c r="P599" s="8"/>
      <c r="Q599" s="8"/>
      <c r="S599" s="8"/>
      <c r="T599" s="8"/>
      <c r="U599" s="8"/>
      <c r="W599" s="8"/>
      <c r="X599" s="8"/>
      <c r="Y599" s="8"/>
      <c r="AA599" s="8"/>
      <c r="AB599" s="8"/>
      <c r="AC599" s="8"/>
      <c r="AE599" s="8"/>
      <c r="AF599" s="8"/>
      <c r="AG599" s="8"/>
      <c r="AI599" s="8"/>
      <c r="AJ599" s="8"/>
      <c r="AK599" s="8"/>
      <c r="AM599" s="8"/>
      <c r="AN599" s="8"/>
      <c r="AO599" s="8"/>
      <c r="AQ599" s="8"/>
      <c r="AR599" s="8"/>
      <c r="AS599" s="8"/>
      <c r="AU599" s="8"/>
      <c r="AV599" s="8"/>
      <c r="AW599" s="8"/>
      <c r="AY599" s="8"/>
      <c r="AZ599" s="8"/>
      <c r="BA599" s="8"/>
      <c r="BD599" s="8"/>
      <c r="BF599" s="10"/>
      <c r="BH599" s="8"/>
      <c r="BJ599" s="10"/>
      <c r="BL599" s="8"/>
      <c r="BN599" s="10"/>
    </row>
    <row r="600" spans="1:66" x14ac:dyDescent="0.15">
      <c r="A600" s="8">
        <v>806202</v>
      </c>
      <c r="B600" s="8" t="s">
        <v>452</v>
      </c>
      <c r="C600" s="8">
        <v>0</v>
      </c>
      <c r="D600" s="8">
        <f t="shared" si="82"/>
        <v>1</v>
      </c>
      <c r="E600" s="16">
        <f t="shared" si="85"/>
        <v>1</v>
      </c>
      <c r="F600" s="16">
        <f t="shared" si="81"/>
        <v>1</v>
      </c>
      <c r="G600" s="8" t="str">
        <f>IF(H600="","",VLOOKUP(H600,引用表合并!$A:$B,2,FALSE))</f>
        <v>壕气冲天</v>
      </c>
      <c r="H600" s="8">
        <v>83011</v>
      </c>
      <c r="I600" s="8">
        <v>1</v>
      </c>
      <c r="J600" s="10">
        <v>10000</v>
      </c>
      <c r="K600" s="8"/>
      <c r="L600" s="8"/>
      <c r="M600" s="8"/>
      <c r="O600" s="8"/>
      <c r="P600" s="8"/>
      <c r="Q600" s="8"/>
      <c r="S600" s="8"/>
      <c r="T600" s="8"/>
      <c r="U600" s="8"/>
      <c r="W600" s="8"/>
      <c r="X600" s="8"/>
      <c r="Y600" s="8"/>
      <c r="AA600" s="8"/>
      <c r="AB600" s="8"/>
      <c r="AC600" s="8"/>
      <c r="AE600" s="8"/>
      <c r="AF600" s="8"/>
      <c r="AG600" s="8"/>
      <c r="AI600" s="8"/>
      <c r="AJ600" s="8"/>
      <c r="AK600" s="8"/>
      <c r="AM600" s="8"/>
      <c r="AN600" s="8"/>
      <c r="AO600" s="8"/>
      <c r="AQ600" s="8"/>
      <c r="AR600" s="8"/>
      <c r="AS600" s="8"/>
      <c r="AU600" s="8"/>
      <c r="AV600" s="8"/>
      <c r="AW600" s="8"/>
      <c r="AY600" s="8"/>
      <c r="AZ600" s="8"/>
      <c r="BA600" s="8"/>
      <c r="BD600" s="8"/>
      <c r="BF600" s="10"/>
      <c r="BH600" s="8"/>
      <c r="BJ600" s="10"/>
      <c r="BL600" s="8"/>
      <c r="BN600" s="10"/>
    </row>
    <row r="601" spans="1:66" x14ac:dyDescent="0.15">
      <c r="A601" s="8">
        <v>806203</v>
      </c>
      <c r="B601" s="8" t="s">
        <v>453</v>
      </c>
      <c r="C601" s="8">
        <v>0</v>
      </c>
      <c r="D601" s="8">
        <f t="shared" si="82"/>
        <v>1</v>
      </c>
      <c r="E601" s="16">
        <f t="shared" si="85"/>
        <v>1</v>
      </c>
      <c r="F601" s="16">
        <f t="shared" si="81"/>
        <v>1</v>
      </c>
      <c r="G601" s="8" t="str">
        <f>IF(H601="","",VLOOKUP(H601,引用表合并!$A:$B,2,FALSE))</f>
        <v>富可敌国</v>
      </c>
      <c r="H601" s="8">
        <v>83012</v>
      </c>
      <c r="I601" s="8">
        <v>1</v>
      </c>
      <c r="J601" s="10">
        <v>10000</v>
      </c>
      <c r="K601" s="8"/>
      <c r="L601" s="8"/>
      <c r="M601" s="8"/>
      <c r="O601" s="8"/>
      <c r="P601" s="8"/>
      <c r="Q601" s="8"/>
      <c r="S601" s="8"/>
      <c r="T601" s="8"/>
      <c r="U601" s="8"/>
      <c r="W601" s="8"/>
      <c r="X601" s="8"/>
      <c r="Y601" s="8"/>
      <c r="AA601" s="8"/>
      <c r="AB601" s="8"/>
      <c r="AC601" s="8"/>
      <c r="AE601" s="8"/>
      <c r="AF601" s="8"/>
      <c r="AG601" s="8"/>
      <c r="AI601" s="8"/>
      <c r="AJ601" s="8"/>
      <c r="AK601" s="8"/>
      <c r="AM601" s="8"/>
      <c r="AN601" s="8"/>
      <c r="AO601" s="8"/>
      <c r="AQ601" s="8"/>
      <c r="AR601" s="8"/>
      <c r="AS601" s="8"/>
      <c r="AU601" s="8"/>
      <c r="AV601" s="8"/>
      <c r="AW601" s="8"/>
      <c r="AY601" s="8"/>
      <c r="AZ601" s="8"/>
      <c r="BA601" s="8"/>
      <c r="BD601" s="8"/>
      <c r="BF601" s="10"/>
      <c r="BH601" s="8"/>
      <c r="BJ601" s="10"/>
      <c r="BL601" s="8"/>
      <c r="BN601" s="10"/>
    </row>
    <row r="602" spans="1:66" x14ac:dyDescent="0.15">
      <c r="A602" s="8">
        <v>806301</v>
      </c>
      <c r="B602" s="8" t="s">
        <v>757</v>
      </c>
      <c r="C602" s="8">
        <v>0</v>
      </c>
      <c r="D602" s="8">
        <f t="shared" ref="D602:D617" si="86">E602</f>
        <v>1</v>
      </c>
      <c r="E602" s="16">
        <f t="shared" si="85"/>
        <v>1</v>
      </c>
      <c r="F602" s="16">
        <f t="shared" si="81"/>
        <v>1</v>
      </c>
      <c r="G602" s="8" t="str">
        <f>IF(H602="","",VLOOKUP(H602,引用表合并!$A:$B,2,FALSE))</f>
        <v>命运石(1万)</v>
      </c>
      <c r="H602" s="8">
        <v>80510</v>
      </c>
      <c r="I602" s="8">
        <v>1</v>
      </c>
      <c r="J602" s="10">
        <v>10000</v>
      </c>
      <c r="K602" s="8"/>
      <c r="L602" s="8"/>
      <c r="M602" s="8"/>
      <c r="O602" s="8"/>
      <c r="P602" s="8"/>
      <c r="Q602" s="8"/>
      <c r="S602" s="8"/>
      <c r="T602" s="8"/>
      <c r="U602" s="8"/>
      <c r="W602" s="8"/>
      <c r="X602" s="8"/>
      <c r="Y602" s="8"/>
      <c r="AA602" s="8"/>
      <c r="AB602" s="8"/>
      <c r="AC602" s="8"/>
      <c r="AE602" s="8"/>
      <c r="AF602" s="8"/>
      <c r="AG602" s="8"/>
      <c r="AI602" s="8"/>
      <c r="AJ602" s="8"/>
      <c r="AK602" s="8"/>
      <c r="AM602" s="8"/>
      <c r="AN602" s="8"/>
      <c r="AO602" s="8"/>
      <c r="AQ602" s="8"/>
      <c r="AR602" s="8"/>
      <c r="AS602" s="8"/>
      <c r="AU602" s="8"/>
      <c r="AV602" s="8"/>
      <c r="AW602" s="8"/>
      <c r="AY602" s="8"/>
      <c r="AZ602" s="8"/>
      <c r="BA602" s="8"/>
      <c r="BD602" s="8"/>
      <c r="BF602" s="10"/>
      <c r="BH602" s="8"/>
      <c r="BJ602" s="10"/>
      <c r="BL602" s="8"/>
      <c r="BN602" s="10"/>
    </row>
    <row r="603" spans="1:66" x14ac:dyDescent="0.15">
      <c r="A603" s="8">
        <v>806302</v>
      </c>
      <c r="B603" s="8" t="s">
        <v>758</v>
      </c>
      <c r="C603" s="8">
        <v>0</v>
      </c>
      <c r="D603" s="8">
        <f t="shared" si="86"/>
        <v>1</v>
      </c>
      <c r="E603" s="16">
        <f t="shared" si="85"/>
        <v>1</v>
      </c>
      <c r="F603" s="16">
        <f t="shared" si="81"/>
        <v>1</v>
      </c>
      <c r="G603" s="8" t="str">
        <f>IF(H603="","",VLOOKUP(H603,引用表合并!$A:$B,2,FALSE))</f>
        <v>命运石(1万)</v>
      </c>
      <c r="H603" s="8">
        <v>80510</v>
      </c>
      <c r="I603" s="8">
        <v>1</v>
      </c>
      <c r="J603" s="10">
        <v>10000</v>
      </c>
      <c r="K603" s="8"/>
      <c r="L603" s="8"/>
      <c r="M603" s="8"/>
      <c r="O603" s="8"/>
      <c r="P603" s="8"/>
      <c r="Q603" s="8"/>
      <c r="S603" s="8"/>
      <c r="T603" s="8"/>
      <c r="U603" s="8"/>
      <c r="W603" s="8"/>
      <c r="X603" s="8"/>
      <c r="Y603" s="8"/>
      <c r="AA603" s="8"/>
      <c r="AB603" s="8"/>
      <c r="AC603" s="8"/>
      <c r="AE603" s="8"/>
      <c r="AF603" s="8"/>
      <c r="AG603" s="8"/>
      <c r="AI603" s="8"/>
      <c r="AJ603" s="8"/>
      <c r="AK603" s="8"/>
      <c r="AM603" s="8"/>
      <c r="AN603" s="8"/>
      <c r="AO603" s="8"/>
      <c r="AQ603" s="8"/>
      <c r="AR603" s="8"/>
      <c r="AS603" s="8"/>
      <c r="AU603" s="8"/>
      <c r="AV603" s="8"/>
      <c r="AW603" s="8"/>
      <c r="AY603" s="8"/>
      <c r="AZ603" s="8"/>
      <c r="BA603" s="8"/>
      <c r="BD603" s="8"/>
      <c r="BF603" s="10"/>
      <c r="BH603" s="8"/>
      <c r="BJ603" s="10"/>
      <c r="BL603" s="8"/>
      <c r="BN603" s="10"/>
    </row>
    <row r="604" spans="1:66" x14ac:dyDescent="0.15">
      <c r="A604" s="8">
        <v>806303</v>
      </c>
      <c r="B604" s="8" t="s">
        <v>759</v>
      </c>
      <c r="C604" s="8">
        <v>0</v>
      </c>
      <c r="D604" s="8">
        <f t="shared" si="86"/>
        <v>1</v>
      </c>
      <c r="E604" s="16">
        <f t="shared" si="85"/>
        <v>1</v>
      </c>
      <c r="F604" s="16">
        <f t="shared" si="81"/>
        <v>1</v>
      </c>
      <c r="G604" s="8" t="str">
        <f>IF(H604="","",VLOOKUP(H604,引用表合并!$A:$B,2,FALSE))</f>
        <v>命运石(1万)</v>
      </c>
      <c r="H604" s="8">
        <v>80510</v>
      </c>
      <c r="I604" s="8">
        <v>2</v>
      </c>
      <c r="J604" s="10">
        <v>10000</v>
      </c>
      <c r="K604" s="8"/>
      <c r="L604" s="8"/>
      <c r="M604" s="8"/>
      <c r="O604" s="8"/>
      <c r="P604" s="8"/>
      <c r="Q604" s="8"/>
      <c r="S604" s="8"/>
      <c r="T604" s="8"/>
      <c r="U604" s="8"/>
      <c r="W604" s="8"/>
      <c r="X604" s="8"/>
      <c r="Y604" s="8"/>
      <c r="AA604" s="8"/>
      <c r="AB604" s="8"/>
      <c r="AC604" s="8"/>
      <c r="AE604" s="8"/>
      <c r="AF604" s="8"/>
      <c r="AG604" s="8"/>
      <c r="AI604" s="8"/>
      <c r="AJ604" s="8"/>
      <c r="AK604" s="8"/>
      <c r="AM604" s="8"/>
      <c r="AN604" s="8"/>
      <c r="AO604" s="8"/>
      <c r="AQ604" s="8"/>
      <c r="AR604" s="8"/>
      <c r="AS604" s="8"/>
      <c r="AU604" s="8"/>
      <c r="AV604" s="8"/>
      <c r="AW604" s="8"/>
      <c r="AY604" s="8"/>
      <c r="AZ604" s="8"/>
      <c r="BA604" s="8"/>
      <c r="BD604" s="8"/>
      <c r="BF604" s="10"/>
      <c r="BH604" s="8"/>
      <c r="BJ604" s="10"/>
      <c r="BL604" s="8"/>
      <c r="BN604" s="10"/>
    </row>
    <row r="605" spans="1:66" x14ac:dyDescent="0.15">
      <c r="A605" s="8">
        <v>806304</v>
      </c>
      <c r="B605" s="8" t="s">
        <v>760</v>
      </c>
      <c r="C605" s="8">
        <v>0</v>
      </c>
      <c r="D605" s="8">
        <f t="shared" si="86"/>
        <v>1</v>
      </c>
      <c r="E605" s="16">
        <f t="shared" si="85"/>
        <v>1</v>
      </c>
      <c r="F605" s="16">
        <f t="shared" si="81"/>
        <v>1</v>
      </c>
      <c r="G605" s="8" t="str">
        <f>IF(H605="","",VLOOKUP(H605,引用表合并!$A:$B,2,FALSE))</f>
        <v>命运石(2万)</v>
      </c>
      <c r="H605" s="8">
        <v>80610</v>
      </c>
      <c r="I605" s="8">
        <v>2</v>
      </c>
      <c r="J605" s="10">
        <v>10000</v>
      </c>
      <c r="K605" s="8"/>
      <c r="L605" s="8"/>
      <c r="M605" s="8"/>
      <c r="O605" s="8"/>
      <c r="P605" s="8"/>
      <c r="Q605" s="8"/>
      <c r="S605" s="8"/>
      <c r="T605" s="8"/>
      <c r="U605" s="8"/>
      <c r="W605" s="8"/>
      <c r="X605" s="8"/>
      <c r="Y605" s="8"/>
      <c r="AA605" s="8"/>
      <c r="AB605" s="8"/>
      <c r="AC605" s="8"/>
      <c r="AE605" s="8"/>
      <c r="AF605" s="8"/>
      <c r="AG605" s="8"/>
      <c r="AI605" s="8"/>
      <c r="AJ605" s="8"/>
      <c r="AK605" s="8"/>
      <c r="AM605" s="8"/>
      <c r="AN605" s="8"/>
      <c r="AO605" s="8"/>
      <c r="AQ605" s="8"/>
      <c r="AR605" s="8"/>
      <c r="AS605" s="8"/>
      <c r="AU605" s="8"/>
      <c r="AV605" s="8"/>
      <c r="AW605" s="8"/>
      <c r="AY605" s="8"/>
      <c r="AZ605" s="8"/>
      <c r="BA605" s="8"/>
      <c r="BD605" s="8"/>
      <c r="BF605" s="10"/>
      <c r="BH605" s="8"/>
      <c r="BJ605" s="10"/>
      <c r="BL605" s="8"/>
      <c r="BN605" s="10"/>
    </row>
    <row r="606" spans="1:66" x14ac:dyDescent="0.15">
      <c r="A606" s="8">
        <v>806305</v>
      </c>
      <c r="B606" s="8" t="s">
        <v>761</v>
      </c>
      <c r="C606" s="8">
        <v>0</v>
      </c>
      <c r="D606" s="8">
        <f t="shared" si="86"/>
        <v>1</v>
      </c>
      <c r="E606" s="16">
        <f t="shared" si="85"/>
        <v>1</v>
      </c>
      <c r="F606" s="16">
        <f t="shared" si="81"/>
        <v>1</v>
      </c>
      <c r="G606" s="8" t="str">
        <f>IF(H606="","",VLOOKUP(H606,引用表合并!$A:$B,2,FALSE))</f>
        <v>命运石(2万)</v>
      </c>
      <c r="H606" s="8">
        <v>80610</v>
      </c>
      <c r="I606" s="8">
        <v>3</v>
      </c>
      <c r="J606" s="10">
        <v>10000</v>
      </c>
      <c r="K606" s="8"/>
      <c r="L606" s="8"/>
      <c r="M606" s="8"/>
      <c r="O606" s="8"/>
      <c r="P606" s="8"/>
      <c r="Q606" s="8"/>
      <c r="S606" s="8"/>
      <c r="T606" s="8"/>
      <c r="U606" s="8"/>
      <c r="W606" s="8"/>
      <c r="X606" s="8"/>
      <c r="Y606" s="8"/>
      <c r="AA606" s="8"/>
      <c r="AB606" s="8"/>
      <c r="AC606" s="8"/>
      <c r="AE606" s="8"/>
      <c r="AF606" s="8"/>
      <c r="AG606" s="8"/>
      <c r="AI606" s="8"/>
      <c r="AJ606" s="8"/>
      <c r="AK606" s="8"/>
      <c r="AM606" s="8"/>
      <c r="AN606" s="8"/>
      <c r="AO606" s="8"/>
      <c r="AQ606" s="8"/>
      <c r="AR606" s="8"/>
      <c r="AS606" s="8"/>
      <c r="AU606" s="8"/>
      <c r="AV606" s="8"/>
      <c r="AW606" s="8"/>
      <c r="AY606" s="8"/>
      <c r="AZ606" s="8"/>
      <c r="BA606" s="8"/>
      <c r="BD606" s="8"/>
      <c r="BF606" s="10"/>
      <c r="BH606" s="8"/>
      <c r="BJ606" s="10"/>
      <c r="BL606" s="8"/>
      <c r="BN606" s="10"/>
    </row>
    <row r="607" spans="1:66" x14ac:dyDescent="0.15">
      <c r="A607" s="8">
        <v>806306</v>
      </c>
      <c r="B607" s="8" t="s">
        <v>762</v>
      </c>
      <c r="C607" s="8">
        <v>0</v>
      </c>
      <c r="D607" s="8">
        <f t="shared" si="86"/>
        <v>1</v>
      </c>
      <c r="E607" s="16">
        <f t="shared" si="85"/>
        <v>1</v>
      </c>
      <c r="F607" s="16">
        <f t="shared" si="81"/>
        <v>1</v>
      </c>
      <c r="G607" s="8" t="str">
        <f>IF(H607="","",VLOOKUP(H607,引用表合并!$A:$B,2,FALSE))</f>
        <v>命运石(2万)</v>
      </c>
      <c r="H607" s="8">
        <v>80610</v>
      </c>
      <c r="I607" s="8">
        <v>4</v>
      </c>
      <c r="J607" s="10">
        <v>10000</v>
      </c>
      <c r="K607" s="8"/>
      <c r="L607" s="8"/>
      <c r="M607" s="8"/>
      <c r="O607" s="8"/>
      <c r="P607" s="8"/>
      <c r="Q607" s="8"/>
      <c r="S607" s="8"/>
      <c r="T607" s="8"/>
      <c r="U607" s="8"/>
      <c r="W607" s="8"/>
      <c r="X607" s="8"/>
      <c r="Y607" s="8"/>
      <c r="AA607" s="8"/>
      <c r="AB607" s="8"/>
      <c r="AC607" s="8"/>
      <c r="AE607" s="8"/>
      <c r="AF607" s="8"/>
      <c r="AG607" s="8"/>
      <c r="AI607" s="8"/>
      <c r="AJ607" s="8"/>
      <c r="AK607" s="8"/>
      <c r="AM607" s="8"/>
      <c r="AN607" s="8"/>
      <c r="AO607" s="8"/>
      <c r="AQ607" s="8"/>
      <c r="AR607" s="8"/>
      <c r="AS607" s="8"/>
      <c r="AU607" s="8"/>
      <c r="AV607" s="8"/>
      <c r="AW607" s="8"/>
      <c r="AY607" s="8"/>
      <c r="AZ607" s="8"/>
      <c r="BA607" s="8"/>
      <c r="BD607" s="8"/>
      <c r="BF607" s="10"/>
      <c r="BH607" s="8"/>
      <c r="BJ607" s="10"/>
      <c r="BL607" s="8"/>
      <c r="BN607" s="10"/>
    </row>
    <row r="608" spans="1:66" x14ac:dyDescent="0.15">
      <c r="A608" s="8">
        <v>806307</v>
      </c>
      <c r="B608" s="8" t="s">
        <v>763</v>
      </c>
      <c r="C608" s="8">
        <v>0</v>
      </c>
      <c r="D608" s="8">
        <f t="shared" si="86"/>
        <v>1</v>
      </c>
      <c r="E608" s="16">
        <f t="shared" si="85"/>
        <v>1</v>
      </c>
      <c r="F608" s="16">
        <f t="shared" si="81"/>
        <v>1</v>
      </c>
      <c r="G608" s="8" t="str">
        <f>IF(H608="","",VLOOKUP(H608,引用表合并!$A:$B,2,FALSE))</f>
        <v>命运石(2万)</v>
      </c>
      <c r="H608" s="8">
        <v>80610</v>
      </c>
      <c r="I608" s="8">
        <v>6</v>
      </c>
      <c r="J608" s="10">
        <v>10000</v>
      </c>
      <c r="K608" s="8"/>
      <c r="L608" s="8"/>
      <c r="M608" s="8"/>
      <c r="O608" s="8"/>
      <c r="P608" s="8"/>
      <c r="Q608" s="8"/>
      <c r="S608" s="8"/>
      <c r="T608" s="8"/>
      <c r="U608" s="8"/>
      <c r="W608" s="8"/>
      <c r="X608" s="8"/>
      <c r="Y608" s="8"/>
      <c r="AA608" s="8"/>
      <c r="AB608" s="8"/>
      <c r="AC608" s="8"/>
      <c r="AE608" s="8"/>
      <c r="AF608" s="8"/>
      <c r="AG608" s="8"/>
      <c r="AI608" s="8"/>
      <c r="AJ608" s="8"/>
      <c r="AK608" s="8"/>
      <c r="AM608" s="8"/>
      <c r="AN608" s="8"/>
      <c r="AO608" s="8"/>
      <c r="AQ608" s="8"/>
      <c r="AR608" s="8"/>
      <c r="AS608" s="8"/>
      <c r="AU608" s="8"/>
      <c r="AV608" s="8"/>
      <c r="AW608" s="8"/>
      <c r="AY608" s="8"/>
      <c r="AZ608" s="8"/>
      <c r="BA608" s="8"/>
      <c r="BD608" s="8"/>
      <c r="BF608" s="10"/>
      <c r="BH608" s="8"/>
      <c r="BJ608" s="10"/>
      <c r="BL608" s="8"/>
      <c r="BN608" s="10"/>
    </row>
    <row r="609" spans="1:66" x14ac:dyDescent="0.15">
      <c r="A609" s="8">
        <v>806308</v>
      </c>
      <c r="B609" s="8" t="s">
        <v>764</v>
      </c>
      <c r="C609" s="8">
        <v>0</v>
      </c>
      <c r="D609" s="8">
        <f t="shared" si="86"/>
        <v>0</v>
      </c>
      <c r="E609" s="16">
        <f t="shared" si="85"/>
        <v>0</v>
      </c>
      <c r="F609" s="16">
        <f t="shared" si="81"/>
        <v>0</v>
      </c>
      <c r="G609" s="8" t="str">
        <f>IF(H609="","",VLOOKUP(H609,引用表合并!$A:$B,2,FALSE))</f>
        <v/>
      </c>
      <c r="K609" s="8"/>
      <c r="L609" s="8"/>
      <c r="M609" s="8"/>
      <c r="O609" s="8"/>
      <c r="P609" s="8"/>
      <c r="Q609" s="8"/>
      <c r="S609" s="8"/>
      <c r="T609" s="8"/>
      <c r="U609" s="8"/>
      <c r="W609" s="8"/>
      <c r="X609" s="8"/>
      <c r="Y609" s="8"/>
      <c r="AA609" s="8"/>
      <c r="AB609" s="8"/>
      <c r="AC609" s="8"/>
      <c r="AE609" s="8"/>
      <c r="AF609" s="8"/>
      <c r="AG609" s="8"/>
      <c r="AI609" s="8"/>
      <c r="AJ609" s="8"/>
      <c r="AK609" s="8"/>
      <c r="AM609" s="8"/>
      <c r="AN609" s="8"/>
      <c r="AO609" s="8"/>
      <c r="AQ609" s="8"/>
      <c r="AR609" s="8"/>
      <c r="AS609" s="8"/>
      <c r="AU609" s="8"/>
      <c r="AV609" s="8"/>
      <c r="AW609" s="8"/>
      <c r="AY609" s="8"/>
      <c r="AZ609" s="8"/>
      <c r="BA609" s="8"/>
      <c r="BD609" s="8"/>
      <c r="BF609" s="10"/>
      <c r="BH609" s="8"/>
      <c r="BJ609" s="10"/>
      <c r="BL609" s="8"/>
      <c r="BN609" s="10"/>
    </row>
    <row r="610" spans="1:66" x14ac:dyDescent="0.15">
      <c r="A610" s="8">
        <v>806401</v>
      </c>
      <c r="B610" s="8" t="s">
        <v>765</v>
      </c>
      <c r="C610" s="8">
        <v>0</v>
      </c>
      <c r="D610" s="8">
        <f t="shared" si="86"/>
        <v>1</v>
      </c>
      <c r="E610" s="16">
        <f t="shared" si="85"/>
        <v>1</v>
      </c>
      <c r="F610" s="16">
        <f t="shared" si="81"/>
        <v>1</v>
      </c>
      <c r="G610" s="8" t="str">
        <f>IF(H610="","",VLOOKUP(H610,引用表合并!$A:$B,2,FALSE))</f>
        <v>初级升星石</v>
      </c>
      <c r="H610" s="8">
        <v>70101</v>
      </c>
      <c r="I610" s="8">
        <v>10</v>
      </c>
      <c r="J610" s="10">
        <v>10000</v>
      </c>
      <c r="K610" s="8"/>
      <c r="L610" s="8"/>
      <c r="M610" s="8"/>
      <c r="O610" s="8"/>
      <c r="P610" s="8"/>
      <c r="Q610" s="8"/>
      <c r="S610" s="8"/>
      <c r="T610" s="8"/>
      <c r="U610" s="8"/>
      <c r="W610" s="8"/>
      <c r="X610" s="8"/>
      <c r="Y610" s="8"/>
      <c r="AA610" s="8"/>
      <c r="AB610" s="8"/>
      <c r="AC610" s="8"/>
      <c r="AE610" s="8"/>
      <c r="AF610" s="8"/>
      <c r="AG610" s="8"/>
      <c r="AI610" s="8"/>
      <c r="AJ610" s="8"/>
      <c r="AK610" s="8"/>
      <c r="AM610" s="8"/>
      <c r="AN610" s="8"/>
      <c r="AO610" s="8"/>
      <c r="AQ610" s="8"/>
      <c r="AR610" s="8"/>
      <c r="AS610" s="8"/>
      <c r="AU610" s="8"/>
      <c r="AV610" s="8"/>
      <c r="AW610" s="8"/>
      <c r="AY610" s="8"/>
      <c r="AZ610" s="8"/>
      <c r="BA610" s="8"/>
      <c r="BD610" s="8"/>
      <c r="BF610" s="10"/>
      <c r="BH610" s="8"/>
      <c r="BJ610" s="10"/>
      <c r="BL610" s="8"/>
      <c r="BN610" s="10"/>
    </row>
    <row r="611" spans="1:66" x14ac:dyDescent="0.15">
      <c r="A611" s="8">
        <v>806402</v>
      </c>
      <c r="B611" s="8" t="s">
        <v>766</v>
      </c>
      <c r="C611" s="8">
        <v>0</v>
      </c>
      <c r="D611" s="8">
        <f t="shared" si="86"/>
        <v>1</v>
      </c>
      <c r="E611" s="16">
        <f t="shared" si="85"/>
        <v>1</v>
      </c>
      <c r="F611" s="16">
        <f t="shared" si="81"/>
        <v>1</v>
      </c>
      <c r="G611" s="8" t="str">
        <f>IF(H611="","",VLOOKUP(H611,引用表合并!$A:$B,2,FALSE))</f>
        <v>初级升星石</v>
      </c>
      <c r="H611" s="8">
        <v>70101</v>
      </c>
      <c r="I611" s="8">
        <v>20</v>
      </c>
      <c r="J611" s="10">
        <v>10000</v>
      </c>
      <c r="K611" s="8"/>
      <c r="L611" s="8"/>
      <c r="M611" s="8"/>
      <c r="O611" s="8"/>
      <c r="P611" s="8"/>
      <c r="Q611" s="8"/>
      <c r="S611" s="8"/>
      <c r="T611" s="8"/>
      <c r="U611" s="8"/>
      <c r="W611" s="8"/>
      <c r="X611" s="8"/>
      <c r="Y611" s="8"/>
      <c r="AA611" s="8"/>
      <c r="AB611" s="8"/>
      <c r="AC611" s="8"/>
      <c r="AE611" s="8"/>
      <c r="AF611" s="8"/>
      <c r="AG611" s="8"/>
      <c r="AI611" s="8"/>
      <c r="AJ611" s="8"/>
      <c r="AK611" s="8"/>
      <c r="AM611" s="8"/>
      <c r="AN611" s="8"/>
      <c r="AO611" s="8"/>
      <c r="AQ611" s="8"/>
      <c r="AR611" s="8"/>
      <c r="AS611" s="8"/>
      <c r="AU611" s="8"/>
      <c r="AV611" s="8"/>
      <c r="AW611" s="8"/>
      <c r="AY611" s="8"/>
      <c r="AZ611" s="8"/>
      <c r="BA611" s="8"/>
      <c r="BD611" s="8"/>
      <c r="BF611" s="10"/>
      <c r="BH611" s="8"/>
      <c r="BJ611" s="10"/>
      <c r="BL611" s="8"/>
      <c r="BN611" s="10"/>
    </row>
    <row r="612" spans="1:66" x14ac:dyDescent="0.15">
      <c r="A612" s="8">
        <v>806403</v>
      </c>
      <c r="B612" s="8" t="s">
        <v>767</v>
      </c>
      <c r="C612" s="8">
        <v>0</v>
      </c>
      <c r="D612" s="8">
        <f t="shared" si="86"/>
        <v>1</v>
      </c>
      <c r="E612" s="16">
        <f t="shared" si="85"/>
        <v>1</v>
      </c>
      <c r="F612" s="16">
        <f t="shared" si="81"/>
        <v>1</v>
      </c>
      <c r="G612" s="8" t="str">
        <f>IF(H612="","",VLOOKUP(H612,引用表合并!$A:$B,2,FALSE))</f>
        <v>初级升星石</v>
      </c>
      <c r="H612" s="8">
        <v>70101</v>
      </c>
      <c r="I612" s="8">
        <v>30</v>
      </c>
      <c r="J612" s="10">
        <v>10000</v>
      </c>
      <c r="K612" s="8"/>
      <c r="L612" s="8"/>
      <c r="M612" s="8"/>
      <c r="O612" s="8"/>
      <c r="P612" s="8"/>
      <c r="Q612" s="8"/>
      <c r="S612" s="8"/>
      <c r="T612" s="8"/>
      <c r="U612" s="8"/>
      <c r="W612" s="8"/>
      <c r="X612" s="8"/>
      <c r="Y612" s="8"/>
      <c r="AA612" s="8"/>
      <c r="AB612" s="8"/>
      <c r="AC612" s="8"/>
      <c r="AE612" s="8"/>
      <c r="AF612" s="8"/>
      <c r="AG612" s="8"/>
      <c r="AI612" s="8"/>
      <c r="AJ612" s="8"/>
      <c r="AK612" s="8"/>
      <c r="AM612" s="8"/>
      <c r="AN612" s="8"/>
      <c r="AO612" s="8"/>
      <c r="AQ612" s="8"/>
      <c r="AR612" s="8"/>
      <c r="AS612" s="8"/>
      <c r="AU612" s="8"/>
      <c r="AV612" s="8"/>
      <c r="AW612" s="8"/>
      <c r="AY612" s="8"/>
      <c r="AZ612" s="8"/>
      <c r="BA612" s="8"/>
      <c r="BD612" s="8"/>
      <c r="BF612" s="10"/>
      <c r="BH612" s="8"/>
      <c r="BJ612" s="10"/>
      <c r="BL612" s="8"/>
      <c r="BN612" s="10"/>
    </row>
    <row r="613" spans="1:66" x14ac:dyDescent="0.15">
      <c r="A613" s="8">
        <v>806404</v>
      </c>
      <c r="B613" s="8" t="s">
        <v>768</v>
      </c>
      <c r="C613" s="8">
        <v>0</v>
      </c>
      <c r="D613" s="8">
        <f t="shared" si="86"/>
        <v>1</v>
      </c>
      <c r="E613" s="16">
        <f t="shared" si="85"/>
        <v>1</v>
      </c>
      <c r="F613" s="16">
        <f t="shared" si="81"/>
        <v>1</v>
      </c>
      <c r="G613" s="8" t="str">
        <f>IF(H613="","",VLOOKUP(H613,引用表合并!$A:$B,2,FALSE))</f>
        <v>中级升星石</v>
      </c>
      <c r="H613" s="8">
        <v>70201</v>
      </c>
      <c r="I613" s="8">
        <v>8</v>
      </c>
      <c r="J613" s="10">
        <v>10000</v>
      </c>
      <c r="K613" s="8"/>
      <c r="L613" s="8"/>
      <c r="M613" s="8"/>
      <c r="O613" s="8"/>
      <c r="P613" s="8"/>
      <c r="Q613" s="8"/>
      <c r="S613" s="8"/>
      <c r="T613" s="8"/>
      <c r="U613" s="8"/>
      <c r="W613" s="8"/>
      <c r="X613" s="8"/>
      <c r="Y613" s="8"/>
      <c r="AA613" s="8"/>
      <c r="AB613" s="8"/>
      <c r="AC613" s="8"/>
      <c r="AE613" s="8"/>
      <c r="AF613" s="8"/>
      <c r="AG613" s="8"/>
      <c r="AI613" s="8"/>
      <c r="AJ613" s="8"/>
      <c r="AK613" s="8"/>
      <c r="AM613" s="8"/>
      <c r="AN613" s="8"/>
      <c r="AO613" s="8"/>
      <c r="AQ613" s="8"/>
      <c r="AR613" s="8"/>
      <c r="AS613" s="8"/>
      <c r="AU613" s="8"/>
      <c r="AV613" s="8"/>
      <c r="AW613" s="8"/>
      <c r="AY613" s="8"/>
      <c r="AZ613" s="8"/>
      <c r="BA613" s="8"/>
      <c r="BD613" s="8"/>
      <c r="BF613" s="10"/>
      <c r="BH613" s="8"/>
      <c r="BJ613" s="10"/>
      <c r="BL613" s="8"/>
      <c r="BN613" s="10"/>
    </row>
    <row r="614" spans="1:66" x14ac:dyDescent="0.15">
      <c r="A614" s="8">
        <v>806405</v>
      </c>
      <c r="B614" s="8" t="s">
        <v>769</v>
      </c>
      <c r="C614" s="8">
        <v>0</v>
      </c>
      <c r="D614" s="8">
        <f t="shared" si="86"/>
        <v>1</v>
      </c>
      <c r="E614" s="16">
        <f t="shared" si="85"/>
        <v>1</v>
      </c>
      <c r="F614" s="16">
        <f t="shared" si="81"/>
        <v>1</v>
      </c>
      <c r="G614" s="8" t="str">
        <f>IF(H614="","",VLOOKUP(H614,引用表合并!$A:$B,2,FALSE))</f>
        <v>中级升星石</v>
      </c>
      <c r="H614" s="8">
        <v>70201</v>
      </c>
      <c r="I614" s="8">
        <v>12</v>
      </c>
      <c r="J614" s="10">
        <v>10000</v>
      </c>
      <c r="K614" s="8"/>
      <c r="L614" s="8"/>
      <c r="M614" s="8"/>
      <c r="O614" s="8"/>
      <c r="P614" s="8"/>
      <c r="Q614" s="8"/>
      <c r="S614" s="8"/>
      <c r="T614" s="8"/>
      <c r="U614" s="8"/>
      <c r="W614" s="8"/>
      <c r="X614" s="8"/>
      <c r="Y614" s="8"/>
      <c r="AA614" s="8"/>
      <c r="AB614" s="8"/>
      <c r="AC614" s="8"/>
      <c r="AE614" s="8"/>
      <c r="AF614" s="8"/>
      <c r="AG614" s="8"/>
      <c r="AI614" s="8"/>
      <c r="AJ614" s="8"/>
      <c r="AK614" s="8"/>
      <c r="AM614" s="8"/>
      <c r="AN614" s="8"/>
      <c r="AO614" s="8"/>
      <c r="AQ614" s="8"/>
      <c r="AR614" s="8"/>
      <c r="AS614" s="8"/>
      <c r="AU614" s="8"/>
      <c r="AV614" s="8"/>
      <c r="AW614" s="8"/>
      <c r="AY614" s="8"/>
      <c r="AZ614" s="8"/>
      <c r="BA614" s="8"/>
      <c r="BD614" s="8"/>
      <c r="BF614" s="10"/>
      <c r="BH614" s="8"/>
      <c r="BJ614" s="10"/>
      <c r="BL614" s="8"/>
      <c r="BN614" s="10"/>
    </row>
    <row r="615" spans="1:66" x14ac:dyDescent="0.15">
      <c r="A615" s="8">
        <v>806406</v>
      </c>
      <c r="B615" s="8" t="s">
        <v>770</v>
      </c>
      <c r="C615" s="8">
        <v>0</v>
      </c>
      <c r="D615" s="8">
        <f t="shared" si="86"/>
        <v>1</v>
      </c>
      <c r="E615" s="16">
        <f t="shared" si="85"/>
        <v>1</v>
      </c>
      <c r="F615" s="16">
        <f t="shared" si="81"/>
        <v>1</v>
      </c>
      <c r="G615" s="8" t="str">
        <f>IF(H615="","",VLOOKUP(H615,引用表合并!$A:$B,2,FALSE))</f>
        <v>中级升星石</v>
      </c>
      <c r="H615" s="8">
        <v>70201</v>
      </c>
      <c r="I615" s="8">
        <v>16</v>
      </c>
      <c r="J615" s="10">
        <v>10000</v>
      </c>
      <c r="K615" s="8"/>
      <c r="L615" s="8"/>
      <c r="M615" s="8"/>
      <c r="O615" s="8"/>
      <c r="P615" s="8"/>
      <c r="Q615" s="8"/>
      <c r="S615" s="8"/>
      <c r="T615" s="8"/>
      <c r="U615" s="8"/>
      <c r="W615" s="8"/>
      <c r="X615" s="8"/>
      <c r="Y615" s="8"/>
      <c r="AA615" s="8"/>
      <c r="AB615" s="8"/>
      <c r="AC615" s="8"/>
      <c r="AE615" s="8"/>
      <c r="AF615" s="8"/>
      <c r="AG615" s="8"/>
      <c r="AI615" s="8"/>
      <c r="AJ615" s="8"/>
      <c r="AK615" s="8"/>
      <c r="AM615" s="8"/>
      <c r="AN615" s="8"/>
      <c r="AO615" s="8"/>
      <c r="AQ615" s="8"/>
      <c r="AR615" s="8"/>
      <c r="AS615" s="8"/>
      <c r="AU615" s="8"/>
      <c r="AV615" s="8"/>
      <c r="AW615" s="8"/>
      <c r="AY615" s="8"/>
      <c r="AZ615" s="8"/>
      <c r="BA615" s="8"/>
      <c r="BD615" s="8"/>
      <c r="BF615" s="10"/>
      <c r="BH615" s="8"/>
      <c r="BJ615" s="10"/>
      <c r="BL615" s="8"/>
      <c r="BN615" s="10"/>
    </row>
    <row r="616" spans="1:66" x14ac:dyDescent="0.15">
      <c r="A616" s="8">
        <v>806407</v>
      </c>
      <c r="B616" s="8" t="s">
        <v>771</v>
      </c>
      <c r="C616" s="8">
        <v>0</v>
      </c>
      <c r="D616" s="8">
        <f t="shared" si="86"/>
        <v>1</v>
      </c>
      <c r="E616" s="16">
        <f t="shared" si="85"/>
        <v>1</v>
      </c>
      <c r="F616" s="16">
        <f t="shared" si="81"/>
        <v>1</v>
      </c>
      <c r="G616" s="8" t="str">
        <f>IF(H616="","",VLOOKUP(H616,引用表合并!$A:$B,2,FALSE))</f>
        <v>中级升星石</v>
      </c>
      <c r="H616" s="8">
        <v>70201</v>
      </c>
      <c r="I616" s="8">
        <v>20</v>
      </c>
      <c r="J616" s="10">
        <v>10000</v>
      </c>
      <c r="K616" s="8"/>
      <c r="L616" s="8"/>
      <c r="M616" s="8"/>
      <c r="O616" s="8"/>
      <c r="P616" s="8"/>
      <c r="Q616" s="8"/>
      <c r="S616" s="8"/>
      <c r="T616" s="8"/>
      <c r="U616" s="8"/>
      <c r="W616" s="8"/>
      <c r="X616" s="8"/>
      <c r="Y616" s="8"/>
      <c r="AA616" s="8"/>
      <c r="AB616" s="8"/>
      <c r="AC616" s="8"/>
      <c r="AE616" s="8"/>
      <c r="AF616" s="8"/>
      <c r="AG616" s="8"/>
      <c r="AI616" s="8"/>
      <c r="AJ616" s="8"/>
      <c r="AK616" s="8"/>
      <c r="AM616" s="8"/>
      <c r="AN616" s="8"/>
      <c r="AO616" s="8"/>
      <c r="AQ616" s="8"/>
      <c r="AR616" s="8"/>
      <c r="AS616" s="8"/>
      <c r="AU616" s="8"/>
      <c r="AV616" s="8"/>
      <c r="AW616" s="8"/>
      <c r="AY616" s="8"/>
      <c r="AZ616" s="8"/>
      <c r="BA616" s="8"/>
      <c r="BD616" s="8"/>
      <c r="BF616" s="10"/>
      <c r="BH616" s="8"/>
      <c r="BJ616" s="10"/>
      <c r="BL616" s="8"/>
      <c r="BN616" s="10"/>
    </row>
    <row r="617" spans="1:66" x14ac:dyDescent="0.15">
      <c r="A617" s="8">
        <v>806408</v>
      </c>
      <c r="B617" s="8" t="s">
        <v>772</v>
      </c>
      <c r="C617" s="8">
        <v>0</v>
      </c>
      <c r="D617" s="8">
        <f t="shared" si="86"/>
        <v>1</v>
      </c>
      <c r="E617" s="16">
        <f t="shared" si="85"/>
        <v>1</v>
      </c>
      <c r="F617" s="16">
        <f t="shared" si="81"/>
        <v>1</v>
      </c>
      <c r="G617" s="8" t="str">
        <f>IF(H617="","",VLOOKUP(H617,引用表合并!$A:$B,2,FALSE))</f>
        <v>高级升星石</v>
      </c>
      <c r="H617" s="8">
        <v>70301</v>
      </c>
      <c r="I617" s="8">
        <v>6</v>
      </c>
      <c r="J617" s="10">
        <v>10000</v>
      </c>
      <c r="K617" s="8"/>
      <c r="L617" s="8"/>
      <c r="M617" s="8"/>
      <c r="O617" s="8"/>
      <c r="P617" s="8"/>
      <c r="Q617" s="8"/>
      <c r="S617" s="8"/>
      <c r="T617" s="8"/>
      <c r="U617" s="8"/>
      <c r="W617" s="8"/>
      <c r="X617" s="8"/>
      <c r="Y617" s="8"/>
      <c r="AA617" s="8"/>
      <c r="AB617" s="8"/>
      <c r="AC617" s="8"/>
      <c r="AE617" s="8"/>
      <c r="AF617" s="8"/>
      <c r="AG617" s="8"/>
      <c r="AI617" s="8"/>
      <c r="AJ617" s="8"/>
      <c r="AK617" s="8"/>
      <c r="AM617" s="8"/>
      <c r="AN617" s="8"/>
      <c r="AO617" s="8"/>
      <c r="AQ617" s="8"/>
      <c r="AR617" s="8"/>
      <c r="AS617" s="8"/>
      <c r="AU617" s="8"/>
      <c r="AV617" s="8"/>
      <c r="AW617" s="8"/>
      <c r="AY617" s="8"/>
      <c r="AZ617" s="8"/>
      <c r="BA617" s="8"/>
      <c r="BD617" s="8"/>
      <c r="BF617" s="10"/>
      <c r="BH617" s="8"/>
      <c r="BJ617" s="10"/>
      <c r="BL617" s="8"/>
      <c r="BN617" s="10"/>
    </row>
    <row r="618" spans="1:66" x14ac:dyDescent="0.15">
      <c r="A618" s="8">
        <v>806409</v>
      </c>
      <c r="B618" s="8" t="s">
        <v>773</v>
      </c>
      <c r="C618" s="8">
        <v>0</v>
      </c>
      <c r="D618" s="8">
        <f t="shared" ref="D618:D659" si="87">E618</f>
        <v>1</v>
      </c>
      <c r="E618" s="16">
        <f t="shared" si="85"/>
        <v>1</v>
      </c>
      <c r="F618" s="16">
        <f t="shared" si="81"/>
        <v>1</v>
      </c>
      <c r="G618" s="8" t="str">
        <f>IF(H618="","",VLOOKUP(H618,引用表合并!$A:$B,2,FALSE))</f>
        <v>高级升星石</v>
      </c>
      <c r="H618" s="8">
        <v>70301</v>
      </c>
      <c r="I618" s="8">
        <v>10</v>
      </c>
      <c r="J618" s="10">
        <v>10000</v>
      </c>
      <c r="K618" s="8"/>
      <c r="L618" s="8"/>
      <c r="M618" s="8"/>
      <c r="O618" s="8"/>
      <c r="P618" s="8"/>
      <c r="Q618" s="8"/>
      <c r="S618" s="8"/>
      <c r="T618" s="8"/>
      <c r="U618" s="8"/>
      <c r="W618" s="8"/>
      <c r="X618" s="8"/>
      <c r="Y618" s="8"/>
      <c r="AA618" s="8"/>
      <c r="AB618" s="8"/>
      <c r="AC618" s="8"/>
      <c r="AE618" s="8"/>
      <c r="AF618" s="8"/>
      <c r="AG618" s="8"/>
      <c r="AI618" s="8"/>
      <c r="AJ618" s="8"/>
      <c r="AK618" s="8"/>
      <c r="AM618" s="8"/>
      <c r="AN618" s="8"/>
      <c r="AO618" s="8"/>
      <c r="AQ618" s="8"/>
      <c r="AR618" s="8"/>
      <c r="AS618" s="8"/>
      <c r="AU618" s="8"/>
      <c r="AV618" s="8"/>
      <c r="AW618" s="8"/>
      <c r="AY618" s="8"/>
      <c r="AZ618" s="8"/>
      <c r="BA618" s="8"/>
      <c r="BD618" s="8"/>
      <c r="BF618" s="10"/>
      <c r="BH618" s="8"/>
      <c r="BJ618" s="10"/>
      <c r="BL618" s="8"/>
      <c r="BN618" s="10"/>
    </row>
    <row r="619" spans="1:66" x14ac:dyDescent="0.15">
      <c r="A619" s="8">
        <v>806410</v>
      </c>
      <c r="B619" s="8" t="s">
        <v>774</v>
      </c>
      <c r="C619" s="8">
        <v>0</v>
      </c>
      <c r="D619" s="8">
        <f t="shared" si="87"/>
        <v>0</v>
      </c>
      <c r="E619" s="16">
        <f t="shared" si="85"/>
        <v>0</v>
      </c>
      <c r="F619" s="16">
        <f t="shared" si="81"/>
        <v>0</v>
      </c>
      <c r="G619" s="8" t="str">
        <f>IF(H619="","",VLOOKUP(H619,引用表合并!$A:$B,2,FALSE))</f>
        <v/>
      </c>
      <c r="K619" s="8"/>
      <c r="L619" s="8"/>
      <c r="M619" s="8"/>
      <c r="O619" s="8"/>
      <c r="P619" s="8"/>
      <c r="Q619" s="8"/>
      <c r="S619" s="8"/>
      <c r="T619" s="8"/>
      <c r="U619" s="8"/>
      <c r="W619" s="8"/>
      <c r="X619" s="8"/>
      <c r="Y619" s="8"/>
      <c r="AA619" s="8"/>
      <c r="AB619" s="8"/>
      <c r="AC619" s="8"/>
      <c r="AE619" s="8"/>
      <c r="AF619" s="8"/>
      <c r="AG619" s="8"/>
      <c r="AI619" s="8"/>
      <c r="AJ619" s="8"/>
      <c r="AK619" s="8"/>
      <c r="AM619" s="8"/>
      <c r="AN619" s="8"/>
      <c r="AO619" s="8"/>
      <c r="AQ619" s="8"/>
      <c r="AR619" s="8"/>
      <c r="AS619" s="8"/>
      <c r="AU619" s="8"/>
      <c r="AV619" s="8"/>
      <c r="AW619" s="8"/>
      <c r="AY619" s="8"/>
      <c r="AZ619" s="8"/>
      <c r="BA619" s="8"/>
      <c r="BD619" s="8"/>
      <c r="BF619" s="10"/>
      <c r="BH619" s="8"/>
      <c r="BJ619" s="10"/>
      <c r="BL619" s="8"/>
      <c r="BN619" s="10"/>
    </row>
    <row r="620" spans="1:66" x14ac:dyDescent="0.15">
      <c r="A620" s="8">
        <v>806501</v>
      </c>
      <c r="B620" s="8" t="s">
        <v>466</v>
      </c>
      <c r="C620" s="8">
        <v>0</v>
      </c>
      <c r="D620" s="8">
        <f t="shared" si="87"/>
        <v>1</v>
      </c>
      <c r="E620" s="16">
        <f t="shared" si="85"/>
        <v>1</v>
      </c>
      <c r="F620" s="16">
        <f t="shared" si="81"/>
        <v>1</v>
      </c>
      <c r="G620" s="8" t="str">
        <f>IF(H620="","",VLOOKUP(H620,引用表合并!$A:$B,2,FALSE))</f>
        <v>高级装备升级石</v>
      </c>
      <c r="H620" s="8">
        <v>85200</v>
      </c>
      <c r="I620" s="8">
        <v>5</v>
      </c>
      <c r="J620" s="10">
        <v>10000</v>
      </c>
      <c r="K620" s="8"/>
      <c r="L620" s="8"/>
      <c r="M620" s="8"/>
      <c r="O620" s="8"/>
      <c r="P620" s="8"/>
      <c r="Q620" s="8"/>
      <c r="S620" s="8"/>
      <c r="T620" s="8"/>
      <c r="U620" s="8"/>
      <c r="W620" s="8"/>
      <c r="X620" s="8"/>
      <c r="Y620" s="8"/>
      <c r="AA620" s="8"/>
      <c r="AB620" s="8"/>
      <c r="AC620" s="8"/>
      <c r="AE620" s="8"/>
      <c r="AF620" s="8"/>
      <c r="AG620" s="8"/>
      <c r="AI620" s="8"/>
      <c r="AJ620" s="8"/>
      <c r="AK620" s="8"/>
      <c r="AM620" s="8"/>
      <c r="AN620" s="8"/>
      <c r="AO620" s="8"/>
      <c r="AQ620" s="8"/>
      <c r="AR620" s="8"/>
      <c r="AS620" s="8"/>
      <c r="AU620" s="8"/>
      <c r="AV620" s="8"/>
      <c r="AW620" s="8"/>
      <c r="AY620" s="8"/>
      <c r="AZ620" s="8"/>
      <c r="BA620" s="8"/>
      <c r="BD620" s="8"/>
      <c r="BF620" s="10"/>
      <c r="BH620" s="8"/>
      <c r="BJ620" s="10"/>
      <c r="BL620" s="8"/>
      <c r="BN620" s="10"/>
    </row>
    <row r="621" spans="1:66" x14ac:dyDescent="0.15">
      <c r="A621" s="8">
        <v>806502</v>
      </c>
      <c r="B621" s="8" t="s">
        <v>467</v>
      </c>
      <c r="C621" s="8">
        <v>0</v>
      </c>
      <c r="D621" s="8">
        <f t="shared" si="87"/>
        <v>1</v>
      </c>
      <c r="E621" s="16">
        <f t="shared" si="85"/>
        <v>1</v>
      </c>
      <c r="F621" s="16">
        <f t="shared" si="81"/>
        <v>1</v>
      </c>
      <c r="G621" s="8" t="str">
        <f>IF(H621="","",VLOOKUP(H621,引用表合并!$A:$B,2,FALSE))</f>
        <v>高级装备升级石</v>
      </c>
      <c r="H621" s="8">
        <v>85200</v>
      </c>
      <c r="I621" s="8">
        <v>10</v>
      </c>
      <c r="J621" s="10">
        <v>10000</v>
      </c>
      <c r="K621" s="8"/>
      <c r="L621" s="8"/>
      <c r="M621" s="8"/>
      <c r="O621" s="8"/>
      <c r="P621" s="8"/>
      <c r="Q621" s="8"/>
      <c r="S621" s="8"/>
      <c r="T621" s="8"/>
      <c r="U621" s="8"/>
      <c r="W621" s="8"/>
      <c r="X621" s="8"/>
      <c r="Y621" s="8"/>
      <c r="AA621" s="8"/>
      <c r="AB621" s="8"/>
      <c r="AC621" s="8"/>
      <c r="AE621" s="8"/>
      <c r="AF621" s="8"/>
      <c r="AG621" s="8"/>
      <c r="AI621" s="8"/>
      <c r="AJ621" s="8"/>
      <c r="AK621" s="8"/>
      <c r="AM621" s="8"/>
      <c r="AN621" s="8"/>
      <c r="AO621" s="8"/>
      <c r="AQ621" s="8"/>
      <c r="AR621" s="8"/>
      <c r="AS621" s="8"/>
      <c r="AU621" s="8"/>
      <c r="AV621" s="8"/>
      <c r="AW621" s="8"/>
      <c r="AY621" s="8"/>
      <c r="AZ621" s="8"/>
      <c r="BA621" s="8"/>
      <c r="BD621" s="8"/>
      <c r="BF621" s="10"/>
      <c r="BH621" s="8"/>
      <c r="BJ621" s="10"/>
      <c r="BL621" s="8"/>
      <c r="BN621" s="10"/>
    </row>
    <row r="622" spans="1:66" x14ac:dyDescent="0.15">
      <c r="A622" s="8">
        <v>806503</v>
      </c>
      <c r="B622" s="8" t="s">
        <v>468</v>
      </c>
      <c r="C622" s="8">
        <v>0</v>
      </c>
      <c r="D622" s="8">
        <f t="shared" si="87"/>
        <v>1</v>
      </c>
      <c r="E622" s="16">
        <f t="shared" si="85"/>
        <v>1</v>
      </c>
      <c r="F622" s="16">
        <f t="shared" si="81"/>
        <v>1</v>
      </c>
      <c r="G622" s="8" t="str">
        <f>IF(H622="","",VLOOKUP(H622,引用表合并!$A:$B,2,FALSE))</f>
        <v>高级装备升级石</v>
      </c>
      <c r="H622" s="8">
        <v>85200</v>
      </c>
      <c r="I622" s="8">
        <v>15</v>
      </c>
      <c r="J622" s="10">
        <v>10000</v>
      </c>
      <c r="K622" s="8"/>
      <c r="L622" s="8"/>
      <c r="M622" s="8"/>
      <c r="O622" s="8"/>
      <c r="P622" s="8"/>
      <c r="Q622" s="8"/>
      <c r="S622" s="8"/>
      <c r="T622" s="8"/>
      <c r="U622" s="8"/>
      <c r="W622" s="8"/>
      <c r="X622" s="8"/>
      <c r="Y622" s="8"/>
      <c r="AA622" s="8"/>
      <c r="AB622" s="8"/>
      <c r="AC622" s="8"/>
      <c r="AE622" s="8"/>
      <c r="AF622" s="8"/>
      <c r="AG622" s="8"/>
      <c r="AI622" s="8"/>
      <c r="AJ622" s="8"/>
      <c r="AK622" s="8"/>
      <c r="AM622" s="8"/>
      <c r="AN622" s="8"/>
      <c r="AO622" s="8"/>
      <c r="AQ622" s="8"/>
      <c r="AR622" s="8"/>
      <c r="AS622" s="8"/>
      <c r="AU622" s="8"/>
      <c r="AV622" s="8"/>
      <c r="AW622" s="8"/>
      <c r="AY622" s="8"/>
      <c r="AZ622" s="8"/>
      <c r="BA622" s="8"/>
      <c r="BD622" s="8"/>
      <c r="BF622" s="10"/>
      <c r="BH622" s="8"/>
      <c r="BJ622" s="10"/>
      <c r="BL622" s="8"/>
      <c r="BN622" s="10"/>
    </row>
    <row r="623" spans="1:66" x14ac:dyDescent="0.15">
      <c r="A623" s="8">
        <v>806504</v>
      </c>
      <c r="B623" s="8" t="s">
        <v>469</v>
      </c>
      <c r="C623" s="8">
        <v>0</v>
      </c>
      <c r="D623" s="8">
        <f t="shared" si="87"/>
        <v>1</v>
      </c>
      <c r="E623" s="16">
        <f t="shared" si="85"/>
        <v>1</v>
      </c>
      <c r="F623" s="16">
        <f t="shared" si="81"/>
        <v>1</v>
      </c>
      <c r="G623" s="8" t="str">
        <f>IF(H623="","",VLOOKUP(H623,引用表合并!$A:$B,2,FALSE))</f>
        <v>高级装备升级石</v>
      </c>
      <c r="H623" s="8">
        <v>85200</v>
      </c>
      <c r="I623" s="8">
        <v>20</v>
      </c>
      <c r="J623" s="10">
        <v>10000</v>
      </c>
      <c r="K623" s="8"/>
      <c r="L623" s="8"/>
      <c r="M623" s="8"/>
      <c r="O623" s="8"/>
      <c r="P623" s="8"/>
      <c r="Q623" s="8"/>
      <c r="S623" s="8"/>
      <c r="T623" s="8"/>
      <c r="U623" s="8"/>
      <c r="W623" s="8"/>
      <c r="X623" s="8"/>
      <c r="Y623" s="8"/>
      <c r="AA623" s="8"/>
      <c r="AB623" s="8"/>
      <c r="AC623" s="8"/>
      <c r="AE623" s="8"/>
      <c r="AF623" s="8"/>
      <c r="AG623" s="8"/>
      <c r="AI623" s="8"/>
      <c r="AJ623" s="8"/>
      <c r="AK623" s="8"/>
      <c r="AM623" s="8"/>
      <c r="AN623" s="8"/>
      <c r="AO623" s="8"/>
      <c r="AQ623" s="8"/>
      <c r="AR623" s="8"/>
      <c r="AS623" s="8"/>
      <c r="AU623" s="8"/>
      <c r="AV623" s="8"/>
      <c r="AW623" s="8"/>
      <c r="AY623" s="8"/>
      <c r="AZ623" s="8"/>
      <c r="BA623" s="8"/>
      <c r="BD623" s="8"/>
      <c r="BF623" s="10"/>
      <c r="BH623" s="8"/>
      <c r="BJ623" s="10"/>
      <c r="BL623" s="8"/>
      <c r="BN623" s="10"/>
    </row>
    <row r="624" spans="1:66" x14ac:dyDescent="0.15">
      <c r="A624" s="8">
        <v>806505</v>
      </c>
      <c r="B624" s="8" t="s">
        <v>470</v>
      </c>
      <c r="C624" s="8">
        <v>0</v>
      </c>
      <c r="D624" s="8">
        <f t="shared" si="87"/>
        <v>1</v>
      </c>
      <c r="E624" s="16">
        <f t="shared" si="85"/>
        <v>1</v>
      </c>
      <c r="F624" s="16">
        <f t="shared" si="81"/>
        <v>1</v>
      </c>
      <c r="G624" s="8" t="str">
        <f>IF(H624="","",VLOOKUP(H624,引用表合并!$A:$B,2,FALSE))</f>
        <v>稀有装备升级石</v>
      </c>
      <c r="H624" s="8">
        <v>85300</v>
      </c>
      <c r="I624" s="8">
        <v>8</v>
      </c>
      <c r="J624" s="10">
        <v>10000</v>
      </c>
      <c r="K624" s="8"/>
      <c r="L624" s="8"/>
      <c r="M624" s="8"/>
      <c r="O624" s="8"/>
      <c r="P624" s="8"/>
      <c r="Q624" s="8"/>
      <c r="S624" s="8"/>
      <c r="T624" s="8"/>
      <c r="U624" s="8"/>
      <c r="W624" s="8"/>
      <c r="X624" s="8"/>
      <c r="Y624" s="8"/>
      <c r="AA624" s="8"/>
      <c r="AB624" s="8"/>
      <c r="AC624" s="8"/>
      <c r="AE624" s="8"/>
      <c r="AF624" s="8"/>
      <c r="AG624" s="8"/>
      <c r="AI624" s="8"/>
      <c r="AJ624" s="8"/>
      <c r="AK624" s="8"/>
      <c r="AM624" s="8"/>
      <c r="AN624" s="8"/>
      <c r="AO624" s="8"/>
      <c r="AQ624" s="8"/>
      <c r="AR624" s="8"/>
      <c r="AS624" s="8"/>
      <c r="AU624" s="8"/>
      <c r="AV624" s="8"/>
      <c r="AW624" s="8"/>
      <c r="AY624" s="8"/>
      <c r="AZ624" s="8"/>
      <c r="BA624" s="8"/>
      <c r="BD624" s="8"/>
      <c r="BF624" s="10"/>
      <c r="BH624" s="8"/>
      <c r="BJ624" s="10"/>
      <c r="BL624" s="8"/>
      <c r="BN624" s="10"/>
    </row>
    <row r="625" spans="1:168" x14ac:dyDescent="0.15">
      <c r="A625" s="8">
        <v>806506</v>
      </c>
      <c r="B625" s="8" t="s">
        <v>471</v>
      </c>
      <c r="C625" s="8">
        <v>0</v>
      </c>
      <c r="D625" s="8">
        <f t="shared" si="87"/>
        <v>1</v>
      </c>
      <c r="E625" s="16">
        <f t="shared" si="85"/>
        <v>1</v>
      </c>
      <c r="F625" s="16">
        <f t="shared" si="81"/>
        <v>1</v>
      </c>
      <c r="G625" s="8" t="str">
        <f>IF(H625="","",VLOOKUP(H625,引用表合并!$A:$B,2,FALSE))</f>
        <v>稀有装备升级石</v>
      </c>
      <c r="H625" s="8">
        <v>85300</v>
      </c>
      <c r="I625" s="8">
        <v>10</v>
      </c>
      <c r="J625" s="10">
        <v>10000</v>
      </c>
      <c r="K625" s="8"/>
      <c r="L625" s="8"/>
      <c r="M625" s="8"/>
      <c r="O625" s="8"/>
      <c r="P625" s="8"/>
      <c r="Q625" s="8"/>
      <c r="S625" s="8"/>
      <c r="T625" s="8"/>
      <c r="U625" s="8"/>
      <c r="W625" s="8"/>
      <c r="X625" s="8"/>
      <c r="Y625" s="8"/>
      <c r="AA625" s="8"/>
      <c r="AB625" s="8"/>
      <c r="AC625" s="8"/>
      <c r="AE625" s="8"/>
      <c r="AF625" s="8"/>
      <c r="AG625" s="8"/>
      <c r="AI625" s="8"/>
      <c r="AJ625" s="8"/>
      <c r="AK625" s="8"/>
      <c r="AM625" s="8"/>
      <c r="AN625" s="8"/>
      <c r="AO625" s="8"/>
      <c r="AQ625" s="8"/>
      <c r="AR625" s="8"/>
      <c r="AS625" s="8"/>
      <c r="AU625" s="8"/>
      <c r="AV625" s="8"/>
      <c r="AW625" s="8"/>
      <c r="AY625" s="8"/>
      <c r="AZ625" s="8"/>
      <c r="BA625" s="8"/>
      <c r="BD625" s="8"/>
      <c r="BF625" s="10"/>
      <c r="BH625" s="8"/>
      <c r="BJ625" s="10"/>
      <c r="BL625" s="8"/>
      <c r="BN625" s="10"/>
    </row>
    <row r="626" spans="1:168" x14ac:dyDescent="0.15">
      <c r="A626" s="8">
        <v>806507</v>
      </c>
      <c r="B626" s="8" t="s">
        <v>472</v>
      </c>
      <c r="C626" s="8">
        <v>0</v>
      </c>
      <c r="D626" s="8">
        <f t="shared" si="87"/>
        <v>1</v>
      </c>
      <c r="E626" s="16">
        <f t="shared" si="85"/>
        <v>1</v>
      </c>
      <c r="F626" s="16">
        <f t="shared" si="81"/>
        <v>1</v>
      </c>
      <c r="G626" s="8" t="str">
        <f>IF(H626="","",VLOOKUP(H626,引用表合并!$A:$B,2,FALSE))</f>
        <v>稀有装备升级石</v>
      </c>
      <c r="H626" s="8">
        <v>85300</v>
      </c>
      <c r="I626" s="8">
        <v>16</v>
      </c>
      <c r="J626" s="10">
        <v>10000</v>
      </c>
      <c r="K626" s="8"/>
      <c r="L626" s="8"/>
      <c r="M626" s="8"/>
      <c r="O626" s="8"/>
      <c r="P626" s="8"/>
      <c r="Q626" s="8"/>
      <c r="S626" s="8"/>
      <c r="T626" s="8"/>
      <c r="U626" s="8"/>
      <c r="W626" s="8"/>
      <c r="X626" s="8"/>
      <c r="Y626" s="8"/>
      <c r="AA626" s="8"/>
      <c r="AB626" s="8"/>
      <c r="AC626" s="8"/>
      <c r="AE626" s="8"/>
      <c r="AF626" s="8"/>
      <c r="AG626" s="8"/>
      <c r="AI626" s="8"/>
      <c r="AJ626" s="8"/>
      <c r="AK626" s="8"/>
      <c r="AM626" s="8"/>
      <c r="AN626" s="8"/>
      <c r="AO626" s="8"/>
      <c r="AQ626" s="8"/>
      <c r="AR626" s="8"/>
      <c r="AS626" s="8"/>
      <c r="AU626" s="8"/>
      <c r="AV626" s="8"/>
      <c r="AW626" s="8"/>
      <c r="AY626" s="8"/>
      <c r="AZ626" s="8"/>
      <c r="BA626" s="8"/>
      <c r="BD626" s="8"/>
      <c r="BF626" s="10"/>
      <c r="BH626" s="8"/>
      <c r="BJ626" s="10"/>
      <c r="BL626" s="8"/>
      <c r="BN626" s="10"/>
    </row>
    <row r="627" spans="1:168" x14ac:dyDescent="0.15">
      <c r="A627" s="8">
        <v>806508</v>
      </c>
      <c r="B627" s="8" t="s">
        <v>473</v>
      </c>
      <c r="C627" s="8">
        <v>0</v>
      </c>
      <c r="D627" s="8">
        <f t="shared" si="87"/>
        <v>1</v>
      </c>
      <c r="E627" s="16">
        <f t="shared" si="85"/>
        <v>1</v>
      </c>
      <c r="F627" s="16">
        <f t="shared" si="81"/>
        <v>1</v>
      </c>
      <c r="G627" s="8" t="str">
        <f>IF(H627="","",VLOOKUP(H627,引用表合并!$A:$B,2,FALSE))</f>
        <v>稀有装备升级石</v>
      </c>
      <c r="H627" s="8">
        <v>85300</v>
      </c>
      <c r="I627" s="8">
        <v>24</v>
      </c>
      <c r="J627" s="10">
        <v>10000</v>
      </c>
      <c r="K627" s="8"/>
      <c r="L627" s="8"/>
      <c r="M627" s="8"/>
      <c r="O627" s="8"/>
      <c r="P627" s="8"/>
      <c r="Q627" s="8"/>
      <c r="S627" s="8"/>
      <c r="T627" s="8"/>
      <c r="U627" s="8"/>
      <c r="W627" s="8"/>
      <c r="X627" s="8"/>
      <c r="Y627" s="8"/>
      <c r="AA627" s="8"/>
      <c r="AB627" s="8"/>
      <c r="AC627" s="8"/>
      <c r="AE627" s="8"/>
      <c r="AF627" s="8"/>
      <c r="AG627" s="8"/>
      <c r="AI627" s="8"/>
      <c r="AJ627" s="8"/>
      <c r="AK627" s="8"/>
      <c r="AM627" s="8"/>
      <c r="AN627" s="8"/>
      <c r="AO627" s="8"/>
      <c r="AQ627" s="8"/>
      <c r="AR627" s="8"/>
      <c r="AS627" s="8"/>
      <c r="AU627" s="8"/>
      <c r="AV627" s="8"/>
      <c r="AW627" s="8"/>
      <c r="AY627" s="8"/>
      <c r="AZ627" s="8"/>
      <c r="BA627" s="8"/>
      <c r="BD627" s="8"/>
      <c r="BF627" s="10"/>
      <c r="BH627" s="8"/>
      <c r="BJ627" s="10"/>
      <c r="BL627" s="8"/>
      <c r="BN627" s="10"/>
    </row>
    <row r="628" spans="1:168" x14ac:dyDescent="0.15">
      <c r="A628" s="8">
        <v>806509</v>
      </c>
      <c r="B628" s="8" t="s">
        <v>474</v>
      </c>
      <c r="C628" s="8">
        <v>0</v>
      </c>
      <c r="D628" s="8">
        <f t="shared" si="87"/>
        <v>1</v>
      </c>
      <c r="E628" s="16">
        <f t="shared" si="85"/>
        <v>1</v>
      </c>
      <c r="F628" s="16">
        <f t="shared" si="81"/>
        <v>1</v>
      </c>
      <c r="G628" s="8" t="str">
        <f>IF(H628="","",VLOOKUP(H628,引用表合并!$A:$B,2,FALSE))</f>
        <v>史诗装备升级石</v>
      </c>
      <c r="H628" s="8">
        <v>85400</v>
      </c>
      <c r="I628" s="8">
        <v>10</v>
      </c>
      <c r="J628" s="10">
        <v>10000</v>
      </c>
      <c r="K628" s="8"/>
      <c r="L628" s="8"/>
      <c r="M628" s="8"/>
      <c r="O628" s="8"/>
      <c r="P628" s="8"/>
      <c r="Q628" s="8"/>
      <c r="S628" s="8"/>
      <c r="T628" s="8"/>
      <c r="U628" s="8"/>
      <c r="W628" s="8"/>
      <c r="X628" s="8"/>
      <c r="Y628" s="8"/>
      <c r="AA628" s="8"/>
      <c r="AB628" s="8"/>
      <c r="AC628" s="8"/>
      <c r="AE628" s="8"/>
      <c r="AF628" s="8"/>
      <c r="AG628" s="8"/>
      <c r="AI628" s="8"/>
      <c r="AJ628" s="8"/>
      <c r="AK628" s="8"/>
      <c r="AM628" s="8"/>
      <c r="AN628" s="8"/>
      <c r="AO628" s="8"/>
      <c r="AQ628" s="8"/>
      <c r="AR628" s="8"/>
      <c r="AS628" s="8"/>
      <c r="AU628" s="8"/>
      <c r="AV628" s="8"/>
      <c r="AW628" s="8"/>
      <c r="AY628" s="8"/>
      <c r="AZ628" s="8"/>
      <c r="BA628" s="8"/>
      <c r="BD628" s="8"/>
      <c r="BF628" s="10"/>
      <c r="BH628" s="8"/>
      <c r="BJ628" s="10"/>
      <c r="BL628" s="8"/>
      <c r="BN628" s="10"/>
    </row>
    <row r="629" spans="1:168" x14ac:dyDescent="0.15">
      <c r="A629" s="8">
        <v>806510</v>
      </c>
      <c r="B629" s="8" t="s">
        <v>475</v>
      </c>
      <c r="C629" s="8">
        <v>0</v>
      </c>
      <c r="D629" s="8">
        <f t="shared" si="87"/>
        <v>1</v>
      </c>
      <c r="E629" s="16">
        <f t="shared" si="85"/>
        <v>1</v>
      </c>
      <c r="F629" s="16">
        <f t="shared" si="81"/>
        <v>1</v>
      </c>
      <c r="G629" s="8" t="str">
        <f>IF(H629="","",VLOOKUP(H629,引用表合并!$A:$B,2,FALSE))</f>
        <v>史诗装备升级石</v>
      </c>
      <c r="H629" s="8">
        <v>85400</v>
      </c>
      <c r="I629" s="8">
        <v>20</v>
      </c>
      <c r="J629" s="10">
        <v>10000</v>
      </c>
      <c r="K629" s="8"/>
      <c r="L629" s="8"/>
      <c r="M629" s="8"/>
      <c r="O629" s="8"/>
      <c r="P629" s="8"/>
      <c r="Q629" s="8"/>
      <c r="S629" s="8"/>
      <c r="T629" s="8"/>
      <c r="U629" s="8"/>
      <c r="W629" s="8"/>
      <c r="X629" s="8"/>
      <c r="Y629" s="8"/>
      <c r="AA629" s="8"/>
      <c r="AB629" s="8"/>
      <c r="AC629" s="8"/>
      <c r="AE629" s="8"/>
      <c r="AF629" s="8"/>
      <c r="AG629" s="8"/>
      <c r="AI629" s="8"/>
      <c r="AJ629" s="8"/>
      <c r="AK629" s="8"/>
      <c r="AM629" s="8"/>
      <c r="AN629" s="8"/>
      <c r="AO629" s="8"/>
      <c r="AQ629" s="8"/>
      <c r="AR629" s="8"/>
      <c r="AS629" s="8"/>
      <c r="AU629" s="8"/>
      <c r="AV629" s="8"/>
      <c r="AW629" s="8"/>
      <c r="AY629" s="8"/>
      <c r="AZ629" s="8"/>
      <c r="BA629" s="8"/>
      <c r="BD629" s="8"/>
      <c r="BF629" s="10"/>
      <c r="BH629" s="8"/>
      <c r="BJ629" s="10"/>
      <c r="BL629" s="8"/>
      <c r="BN629" s="10"/>
    </row>
    <row r="630" spans="1:168" x14ac:dyDescent="0.15">
      <c r="A630" s="8">
        <v>700101</v>
      </c>
      <c r="B630" t="s">
        <v>861</v>
      </c>
      <c r="C630" s="8">
        <v>0</v>
      </c>
      <c r="D630" s="8">
        <f t="shared" si="87"/>
        <v>5</v>
      </c>
      <c r="E630" s="16">
        <f t="shared" si="85"/>
        <v>5</v>
      </c>
      <c r="F630" s="16">
        <f t="shared" ref="F630:F693" si="88">E630</f>
        <v>5</v>
      </c>
      <c r="G630" s="8" t="str">
        <f>IF(H630="","",VLOOKUP(H630,引用表合并!$A:$B,2,FALSE))</f>
        <v>银色手环</v>
      </c>
      <c r="H630" s="73">
        <v>92228</v>
      </c>
      <c r="I630" s="12">
        <v>1</v>
      </c>
      <c r="J630" s="12">
        <f>$FK630*50+$FL630*50+2000</f>
        <v>2000</v>
      </c>
      <c r="K630" s="12" t="str">
        <f>IF(L630="","",VLOOKUP(L630,引用表合并!$A:$B,2,FALSE))</f>
        <v>幸运戒指</v>
      </c>
      <c r="L630" s="73">
        <v>92131</v>
      </c>
      <c r="M630" s="12">
        <v>1</v>
      </c>
      <c r="N630" s="12">
        <f>FK630*50+FL630*50+2000</f>
        <v>2000</v>
      </c>
      <c r="O630" s="12" t="str">
        <f>IF(P630="","",VLOOKUP(P630,引用表合并!$A:$B,2,FALSE))</f>
        <v>亚诺</v>
      </c>
      <c r="P630" s="73">
        <v>92011</v>
      </c>
      <c r="Q630" s="12">
        <v>1</v>
      </c>
      <c r="R630" s="12">
        <f>FK630*50+FL630*50+2000</f>
        <v>2000</v>
      </c>
      <c r="S630" s="12" t="str">
        <f>IF(T630="","",VLOOKUP(T630,引用表合并!$A:$B,2,FALSE))</f>
        <v>幸运戒指</v>
      </c>
      <c r="T630" s="73">
        <v>92131</v>
      </c>
      <c r="U630" s="12">
        <v>1</v>
      </c>
      <c r="V630" s="12">
        <f>FK630*50+FL630*50+2000</f>
        <v>2000</v>
      </c>
      <c r="W630" s="8" t="str">
        <f>IF(X630="","",VLOOKUP(X630,引用表合并!$A:$B,2,FALSE))</f>
        <v>高级装备升级石</v>
      </c>
      <c r="X630" s="8">
        <v>85200</v>
      </c>
      <c r="Y630" s="8">
        <v>1</v>
      </c>
      <c r="Z630" s="10">
        <v>2500</v>
      </c>
      <c r="AA630" s="8" t="str">
        <f>IF(AB630="","",VLOOKUP(AB630,引用表合并!$A:$B,2,FALSE))</f>
        <v/>
      </c>
      <c r="AB630" s="8"/>
      <c r="AC630" s="8"/>
      <c r="AE630" s="8" t="str">
        <f>IF(AF630="","",VLOOKUP(AF630,引用表合并!$A:$B,2,FALSE))</f>
        <v/>
      </c>
      <c r="AF630" s="8"/>
      <c r="AG630" s="8"/>
      <c r="AI630" s="8"/>
      <c r="AJ630" s="8"/>
      <c r="AK630" s="8"/>
      <c r="AM630" s="8" t="str">
        <f>IF(AN630="","",VLOOKUP(AN630,引用表合并!$A:$B,2,FALSE))</f>
        <v/>
      </c>
      <c r="AN630" s="8"/>
      <c r="AO630" s="8"/>
      <c r="AQ630" s="8" t="str">
        <f>IF(AR630="","",VLOOKUP(AR630,引用表合并!$A:$B,2,FALSE))</f>
        <v/>
      </c>
      <c r="AR630" s="8"/>
      <c r="AS630" s="8"/>
      <c r="AU630" s="8" t="str">
        <f>IF(AV630="","",VLOOKUP(AV630,引用表合并!$A:$B,2,FALSE))</f>
        <v/>
      </c>
      <c r="AV630" s="8"/>
      <c r="AW630" s="8"/>
      <c r="AY630" s="8"/>
      <c r="AZ630" s="8"/>
      <c r="BA630" s="8"/>
      <c r="BB630" s="8"/>
      <c r="BD630" s="8"/>
      <c r="BH630" s="8"/>
      <c r="BL630" s="8"/>
      <c r="FK630" s="8">
        <v>0</v>
      </c>
      <c r="FL630" s="8">
        <v>0</v>
      </c>
    </row>
    <row r="631" spans="1:168" x14ac:dyDescent="0.15">
      <c r="A631" s="8">
        <v>700102</v>
      </c>
      <c r="B631" t="s">
        <v>862</v>
      </c>
      <c r="C631" s="8">
        <v>0</v>
      </c>
      <c r="D631" s="8">
        <f t="shared" si="87"/>
        <v>5</v>
      </c>
      <c r="E631" s="16">
        <f t="shared" si="85"/>
        <v>5</v>
      </c>
      <c r="F631" s="16">
        <f t="shared" si="88"/>
        <v>5</v>
      </c>
      <c r="G631" s="8" t="str">
        <f>IF(H631="","",VLOOKUP(H631,引用表合并!$A:$B,2,FALSE))</f>
        <v>鎏金手环</v>
      </c>
      <c r="H631" s="73">
        <v>92232</v>
      </c>
      <c r="I631" s="12">
        <v>1</v>
      </c>
      <c r="J631" s="12">
        <f t="shared" ref="J631:J694" si="89">$FK631*50+$FL631*50+2000</f>
        <v>2000</v>
      </c>
      <c r="K631" s="12" t="str">
        <f>IF(L631="","",VLOOKUP(L631,引用表合并!$A:$B,2,FALSE))</f>
        <v>亚诺</v>
      </c>
      <c r="L631" s="73">
        <v>92011</v>
      </c>
      <c r="M631" s="12">
        <v>1</v>
      </c>
      <c r="N631" s="12">
        <f t="shared" ref="N631:N694" si="90">FK631*50+FL631*50+2000</f>
        <v>2000</v>
      </c>
      <c r="O631" s="12" t="str">
        <f>IF(P631="","",VLOOKUP(P631,引用表合并!$A:$B,2,FALSE))</f>
        <v>银色手环</v>
      </c>
      <c r="P631" s="73">
        <v>92228</v>
      </c>
      <c r="Q631" s="12">
        <v>1</v>
      </c>
      <c r="R631" s="12">
        <f t="shared" ref="R631:R694" si="91">FK631*50+FL631*50+2000</f>
        <v>2000</v>
      </c>
      <c r="S631" s="12" t="str">
        <f>IF(T631="","",VLOOKUP(T631,引用表合并!$A:$B,2,FALSE))</f>
        <v>亚诺</v>
      </c>
      <c r="T631" s="73">
        <v>92011</v>
      </c>
      <c r="U631" s="12">
        <v>1</v>
      </c>
      <c r="V631" s="12">
        <f t="shared" ref="V631:V694" si="92">FK631*50+FL631*50+2000</f>
        <v>2000</v>
      </c>
      <c r="W631" s="8" t="str">
        <f>IF(X631="","",VLOOKUP(X631,引用表合并!$A:$B,2,FALSE))</f>
        <v>高级装备升级石</v>
      </c>
      <c r="X631" s="8">
        <v>85200</v>
      </c>
      <c r="Y631" s="8">
        <v>1</v>
      </c>
      <c r="Z631" s="10">
        <v>2600</v>
      </c>
      <c r="AA631" s="8" t="str">
        <f>IF(AB631="","",VLOOKUP(AB631,引用表合并!$A:$B,2,FALSE))</f>
        <v/>
      </c>
      <c r="AB631" s="8"/>
      <c r="AC631" s="8"/>
      <c r="AE631" s="8" t="str">
        <f>IF(AF631="","",VLOOKUP(AF631,引用表合并!$A:$B,2,FALSE))</f>
        <v/>
      </c>
      <c r="AF631" s="8"/>
      <c r="AG631" s="8"/>
      <c r="AI631" s="8"/>
      <c r="AJ631" s="8"/>
      <c r="AK631" s="8"/>
      <c r="AM631" s="8" t="str">
        <f>IF(AN631="","",VLOOKUP(AN631,引用表合并!$A:$B,2,FALSE))</f>
        <v/>
      </c>
      <c r="AN631" s="8"/>
      <c r="AO631" s="8"/>
      <c r="AQ631" s="8" t="str">
        <f>IF(AR631="","",VLOOKUP(AR631,引用表合并!$A:$B,2,FALSE))</f>
        <v/>
      </c>
      <c r="AR631" s="8"/>
      <c r="AS631" s="8"/>
      <c r="AU631" s="8" t="str">
        <f>IF(AV631="","",VLOOKUP(AV631,引用表合并!$A:$B,2,FALSE))</f>
        <v/>
      </c>
      <c r="AV631" s="8"/>
      <c r="AW631" s="8"/>
      <c r="AY631" s="8"/>
      <c r="AZ631" s="8"/>
      <c r="BA631" s="8"/>
      <c r="BB631" s="8"/>
      <c r="BD631" s="8"/>
      <c r="BH631" s="8"/>
      <c r="BL631" s="8"/>
      <c r="FK631" s="8">
        <v>0</v>
      </c>
      <c r="FL631" s="8">
        <v>0</v>
      </c>
    </row>
    <row r="632" spans="1:168" x14ac:dyDescent="0.15">
      <c r="A632" s="8">
        <v>700103</v>
      </c>
      <c r="B632" t="s">
        <v>863</v>
      </c>
      <c r="C632" s="8">
        <v>0</v>
      </c>
      <c r="D632" s="8">
        <f t="shared" si="87"/>
        <v>5</v>
      </c>
      <c r="E632" s="16">
        <f t="shared" si="85"/>
        <v>5</v>
      </c>
      <c r="F632" s="16">
        <f t="shared" si="88"/>
        <v>5</v>
      </c>
      <c r="G632" s="8" t="str">
        <f>IF(H632="","",VLOOKUP(H632,引用表合并!$A:$B,2,FALSE))</f>
        <v>镀金耳钉</v>
      </c>
      <c r="H632" s="73">
        <v>92121</v>
      </c>
      <c r="I632" s="12">
        <v>1</v>
      </c>
      <c r="J632" s="12">
        <f t="shared" si="89"/>
        <v>2500</v>
      </c>
      <c r="K632" s="12" t="str">
        <f>IF(L632="","",VLOOKUP(L632,引用表合并!$A:$B,2,FALSE))</f>
        <v>金饰项链</v>
      </c>
      <c r="L632" s="73">
        <v>92244</v>
      </c>
      <c r="M632" s="12">
        <v>1</v>
      </c>
      <c r="N632" s="12">
        <f t="shared" si="90"/>
        <v>2500</v>
      </c>
      <c r="O632" s="12" t="str">
        <f>IF(P632="","",VLOOKUP(P632,引用表合并!$A:$B,2,FALSE))</f>
        <v>鎏金手环</v>
      </c>
      <c r="P632" s="73">
        <v>92232</v>
      </c>
      <c r="Q632" s="12">
        <v>1</v>
      </c>
      <c r="R632" s="12">
        <f t="shared" si="91"/>
        <v>2500</v>
      </c>
      <c r="S632" s="12" t="str">
        <f>IF(T632="","",VLOOKUP(T632,引用表合并!$A:$B,2,FALSE))</f>
        <v>银色手环</v>
      </c>
      <c r="T632" s="73">
        <v>92228</v>
      </c>
      <c r="U632" s="12">
        <v>1</v>
      </c>
      <c r="V632" s="12">
        <f t="shared" si="92"/>
        <v>2500</v>
      </c>
      <c r="W632" s="8" t="str">
        <f>IF(X632="","",VLOOKUP(X632,引用表合并!$A:$B,2,FALSE))</f>
        <v>高级装备升级石</v>
      </c>
      <c r="X632" s="8">
        <v>85200</v>
      </c>
      <c r="Y632" s="8">
        <v>1</v>
      </c>
      <c r="Z632" s="49">
        <v>5000</v>
      </c>
      <c r="AA632" s="8" t="str">
        <f>IF(AB632="","",VLOOKUP(AB632,引用表合并!$A:$B,2,FALSE))</f>
        <v/>
      </c>
      <c r="AB632" s="8"/>
      <c r="AC632" s="8"/>
      <c r="AE632" s="8" t="str">
        <f>IF(AF632="","",VLOOKUP(AF632,引用表合并!$A:$B,2,FALSE))</f>
        <v/>
      </c>
      <c r="AF632" s="8"/>
      <c r="AG632" s="8"/>
      <c r="AI632" s="8"/>
      <c r="AJ632" s="8"/>
      <c r="AK632" s="8"/>
      <c r="AM632" s="8" t="str">
        <f>IF(AN632="","",VLOOKUP(AN632,引用表合并!$A:$B,2,FALSE))</f>
        <v/>
      </c>
      <c r="AN632" s="8"/>
      <c r="AO632" s="8"/>
      <c r="AQ632" s="8" t="str">
        <f>IF(AR632="","",VLOOKUP(AR632,引用表合并!$A:$B,2,FALSE))</f>
        <v/>
      </c>
      <c r="AR632" s="8"/>
      <c r="AS632" s="8"/>
      <c r="AU632" s="8" t="str">
        <f>IF(AV632="","",VLOOKUP(AV632,引用表合并!$A:$B,2,FALSE))</f>
        <v/>
      </c>
      <c r="AV632" s="8"/>
      <c r="AW632" s="8"/>
      <c r="AY632" s="8"/>
      <c r="AZ632" s="8"/>
      <c r="BA632" s="8"/>
      <c r="BB632" s="8"/>
      <c r="BD632" s="8"/>
      <c r="BH632" s="8"/>
      <c r="BL632" s="8"/>
      <c r="FK632" s="8">
        <v>0</v>
      </c>
      <c r="FL632" s="8">
        <v>10</v>
      </c>
    </row>
    <row r="633" spans="1:168" x14ac:dyDescent="0.15">
      <c r="A633" s="8">
        <v>700104</v>
      </c>
      <c r="B633" t="s">
        <v>864</v>
      </c>
      <c r="C633" s="8">
        <v>0</v>
      </c>
      <c r="D633" s="8">
        <f t="shared" si="87"/>
        <v>5</v>
      </c>
      <c r="E633" s="16">
        <f t="shared" si="85"/>
        <v>5</v>
      </c>
      <c r="F633" s="16">
        <f t="shared" si="88"/>
        <v>5</v>
      </c>
      <c r="G633" s="8" t="str">
        <f>IF(H633="","",VLOOKUP(H633,引用表合并!$A:$B,2,FALSE))</f>
        <v>诅咒项链</v>
      </c>
      <c r="H633" s="73">
        <v>92243</v>
      </c>
      <c r="I633" s="12">
        <v>1</v>
      </c>
      <c r="J633" s="12">
        <f t="shared" si="89"/>
        <v>2000</v>
      </c>
      <c r="K633" s="12" t="str">
        <f>IF(L633="","",VLOOKUP(L633,引用表合并!$A:$B,2,FALSE))</f>
        <v>银针手表</v>
      </c>
      <c r="L633" s="73">
        <v>92263</v>
      </c>
      <c r="M633" s="12">
        <v>1</v>
      </c>
      <c r="N633" s="12">
        <f t="shared" si="90"/>
        <v>2000</v>
      </c>
      <c r="O633" s="12" t="str">
        <f>IF(P633="","",VLOOKUP(P633,引用表合并!$A:$B,2,FALSE))</f>
        <v>镀金耳钉</v>
      </c>
      <c r="P633" s="73">
        <v>92121</v>
      </c>
      <c r="Q633" s="12">
        <v>1</v>
      </c>
      <c r="R633" s="12">
        <f t="shared" si="91"/>
        <v>2000</v>
      </c>
      <c r="S633" s="12" t="str">
        <f>IF(T633="","",VLOOKUP(T633,引用表合并!$A:$B,2,FALSE))</f>
        <v>鎏金手环</v>
      </c>
      <c r="T633" s="73">
        <v>92232</v>
      </c>
      <c r="U633" s="12">
        <v>1</v>
      </c>
      <c r="V633" s="12">
        <f t="shared" si="92"/>
        <v>2000</v>
      </c>
      <c r="W633" s="8" t="str">
        <f>IF(X633="","",VLOOKUP(X633,引用表合并!$A:$B,2,FALSE))</f>
        <v>高级装备升级石</v>
      </c>
      <c r="X633" s="8">
        <v>85200</v>
      </c>
      <c r="Y633" s="8">
        <v>1</v>
      </c>
      <c r="Z633" s="10">
        <v>2700</v>
      </c>
      <c r="AA633" s="8" t="str">
        <f>IF(AB633="","",VLOOKUP(AB633,引用表合并!$A:$B,2,FALSE))</f>
        <v/>
      </c>
      <c r="AB633" s="8"/>
      <c r="AC633" s="8"/>
      <c r="AE633" s="8" t="str">
        <f>IF(AF633="","",VLOOKUP(AF633,引用表合并!$A:$B,2,FALSE))</f>
        <v/>
      </c>
      <c r="AF633" s="8"/>
      <c r="AG633" s="8"/>
      <c r="AI633" s="8"/>
      <c r="AJ633" s="8"/>
      <c r="AK633" s="8"/>
      <c r="AM633" s="8" t="str">
        <f>IF(AN633="","",VLOOKUP(AN633,引用表合并!$A:$B,2,FALSE))</f>
        <v/>
      </c>
      <c r="AN633" s="8"/>
      <c r="AO633" s="8"/>
      <c r="AQ633" s="8" t="str">
        <f>IF(AR633="","",VLOOKUP(AR633,引用表合并!$A:$B,2,FALSE))</f>
        <v/>
      </c>
      <c r="AR633" s="8"/>
      <c r="AS633" s="8"/>
      <c r="AU633" s="8" t="str">
        <f>IF(AV633="","",VLOOKUP(AV633,引用表合并!$A:$B,2,FALSE))</f>
        <v/>
      </c>
      <c r="AV633" s="8"/>
      <c r="AW633" s="8"/>
      <c r="AY633" s="8"/>
      <c r="AZ633" s="8"/>
      <c r="BA633" s="8"/>
      <c r="BB633" s="8"/>
      <c r="BD633" s="8"/>
      <c r="BH633" s="8"/>
      <c r="BL633" s="8"/>
      <c r="FK633" s="8">
        <v>0</v>
      </c>
      <c r="FL633" s="8">
        <v>0</v>
      </c>
    </row>
    <row r="634" spans="1:168" x14ac:dyDescent="0.15">
      <c r="A634" s="8">
        <v>700105</v>
      </c>
      <c r="B634" t="s">
        <v>865</v>
      </c>
      <c r="C634" s="8">
        <v>0</v>
      </c>
      <c r="D634" s="8">
        <f t="shared" si="87"/>
        <v>5</v>
      </c>
      <c r="E634" s="16">
        <f t="shared" si="85"/>
        <v>5</v>
      </c>
      <c r="F634" s="16">
        <f t="shared" si="88"/>
        <v>5</v>
      </c>
      <c r="G634" s="8" t="str">
        <f>IF(H634="","",VLOOKUP(H634,引用表合并!$A:$B,2,FALSE))</f>
        <v>幸运戒指</v>
      </c>
      <c r="H634" s="73">
        <v>92131</v>
      </c>
      <c r="I634" s="12">
        <v>1</v>
      </c>
      <c r="J634" s="12">
        <f t="shared" si="89"/>
        <v>2000</v>
      </c>
      <c r="K634" s="9" t="str">
        <f>IF(L634="","",VLOOKUP(L634,引用表合并!$A:$B,2,FALSE))</f>
        <v>冬利</v>
      </c>
      <c r="L634" s="73">
        <v>92277</v>
      </c>
      <c r="M634" s="12">
        <v>1</v>
      </c>
      <c r="N634" s="12">
        <f t="shared" si="90"/>
        <v>2000</v>
      </c>
      <c r="O634" s="9" t="str">
        <f>IF(P634="","",VLOOKUP(P634,引用表合并!$A:$B,2,FALSE))</f>
        <v>诅咒项链</v>
      </c>
      <c r="P634" s="73">
        <v>92243</v>
      </c>
      <c r="Q634" s="12">
        <v>1</v>
      </c>
      <c r="R634" s="12">
        <f t="shared" si="91"/>
        <v>2000</v>
      </c>
      <c r="S634" s="9" t="str">
        <f>IF(T634="","",VLOOKUP(T634,引用表合并!$A:$B,2,FALSE))</f>
        <v>镀金耳钉</v>
      </c>
      <c r="T634" s="73">
        <v>92121</v>
      </c>
      <c r="U634" s="12">
        <v>1</v>
      </c>
      <c r="V634" s="12">
        <f t="shared" si="92"/>
        <v>2000</v>
      </c>
      <c r="W634" s="8" t="str">
        <f>IF(X634="","",VLOOKUP(X634,引用表合并!$A:$B,2,FALSE))</f>
        <v>高级装备升级石</v>
      </c>
      <c r="X634" s="8">
        <v>85200</v>
      </c>
      <c r="Y634" s="8">
        <v>1</v>
      </c>
      <c r="Z634" s="10">
        <v>2800</v>
      </c>
      <c r="AA634" s="8" t="str">
        <f>IF(AB634="","",VLOOKUP(AB634,引用表合并!$A:$B,2,FALSE))</f>
        <v/>
      </c>
      <c r="AB634" s="8"/>
      <c r="AC634" s="8"/>
      <c r="AE634" s="8" t="str">
        <f>IF(AF634="","",VLOOKUP(AF634,引用表合并!$A:$B,2,FALSE))</f>
        <v/>
      </c>
      <c r="AF634" s="8"/>
      <c r="AI634" s="8"/>
      <c r="AJ634" s="8"/>
      <c r="AK634" s="8"/>
      <c r="AM634" s="8" t="str">
        <f>IF(AN634="","",VLOOKUP(AN634,引用表合并!$A:$B,2,FALSE))</f>
        <v/>
      </c>
      <c r="AN634" s="8"/>
      <c r="AO634" s="8"/>
      <c r="AQ634" s="8" t="str">
        <f>IF(AR634="","",VLOOKUP(AR634,引用表合并!$A:$B,2,FALSE))</f>
        <v/>
      </c>
      <c r="AR634" s="8"/>
      <c r="AS634" s="8"/>
      <c r="AU634" s="8" t="str">
        <f>IF(AV634="","",VLOOKUP(AV634,引用表合并!$A:$B,2,FALSE))</f>
        <v/>
      </c>
      <c r="AV634" s="8"/>
      <c r="AW634" s="8"/>
      <c r="AY634" s="8"/>
      <c r="AZ634" s="8"/>
      <c r="BA634" s="8"/>
      <c r="BB634" s="8"/>
      <c r="BD634" s="8"/>
      <c r="BH634" s="8"/>
      <c r="BL634" s="8"/>
      <c r="FK634" s="8">
        <v>0</v>
      </c>
      <c r="FL634" s="8">
        <v>0</v>
      </c>
    </row>
    <row r="635" spans="1:168" x14ac:dyDescent="0.15">
      <c r="A635" s="8">
        <v>700106</v>
      </c>
      <c r="B635" t="s">
        <v>866</v>
      </c>
      <c r="C635" s="8">
        <v>0</v>
      </c>
      <c r="D635" s="8">
        <f t="shared" si="87"/>
        <v>6</v>
      </c>
      <c r="E635" s="16">
        <f t="shared" si="85"/>
        <v>6</v>
      </c>
      <c r="F635" s="16">
        <f t="shared" si="88"/>
        <v>6</v>
      </c>
      <c r="G635" s="8" t="str">
        <f>IF(H635="","",VLOOKUP(H635,引用表合并!$A:$B,2,FALSE))</f>
        <v>白金手环碎片</v>
      </c>
      <c r="H635" s="74">
        <v>93233</v>
      </c>
      <c r="I635" s="9">
        <v>1</v>
      </c>
      <c r="J635" s="9">
        <f t="shared" si="89"/>
        <v>2600</v>
      </c>
      <c r="K635" s="8" t="str">
        <f>IF(L635="","",VLOOKUP(L635,引用表合并!$A:$B,2,FALSE))</f>
        <v>越野手表碎片</v>
      </c>
      <c r="L635" s="74">
        <v>93264</v>
      </c>
      <c r="M635" s="9">
        <v>1</v>
      </c>
      <c r="N635" s="9">
        <f t="shared" si="90"/>
        <v>2600</v>
      </c>
      <c r="O635" s="8" t="str">
        <f>IF(P635="","",VLOOKUP(P635,引用表合并!$A:$B,2,FALSE))</f>
        <v>金饰项链</v>
      </c>
      <c r="P635" s="73">
        <v>92244</v>
      </c>
      <c r="Q635" s="12">
        <v>1</v>
      </c>
      <c r="R635" s="12">
        <f t="shared" si="91"/>
        <v>2600</v>
      </c>
      <c r="S635" s="12" t="str">
        <f>IF(T635="","",VLOOKUP(T635,引用表合并!$A:$B,2,FALSE))</f>
        <v>诅咒项链</v>
      </c>
      <c r="T635" s="73">
        <v>92243</v>
      </c>
      <c r="U635" s="12">
        <v>1</v>
      </c>
      <c r="V635" s="12">
        <f t="shared" si="92"/>
        <v>2600</v>
      </c>
      <c r="W635" s="8" t="str">
        <f>IF(X635="","",VLOOKUP(X635,引用表合并!$A:$B,2,FALSE))</f>
        <v>稀有装备升级石</v>
      </c>
      <c r="X635" s="8">
        <v>85300</v>
      </c>
      <c r="Y635" s="10">
        <v>1</v>
      </c>
      <c r="Z635" s="10">
        <v>2000</v>
      </c>
      <c r="AA635" s="8" t="str">
        <f>IF(AB635="","",VLOOKUP(AB635,引用表合并!$A:$B,2,FALSE))</f>
        <v>高级装备升级石</v>
      </c>
      <c r="AB635" s="8">
        <v>85200</v>
      </c>
      <c r="AC635" s="8">
        <v>1</v>
      </c>
      <c r="AD635" s="49">
        <v>10000</v>
      </c>
      <c r="AE635" s="8" t="str">
        <f>IF(AF635="","",VLOOKUP(AF635,引用表合并!$A:$B,2,FALSE))</f>
        <v/>
      </c>
      <c r="AF635" s="8"/>
      <c r="AI635" s="8"/>
      <c r="AJ635" s="8"/>
      <c r="AK635" s="8"/>
      <c r="AM635" s="8" t="str">
        <f>IF(AN635="","",VLOOKUP(AN635,引用表合并!$A:$B,2,FALSE))</f>
        <v/>
      </c>
      <c r="AN635" s="8"/>
      <c r="AO635" s="8"/>
      <c r="AQ635" s="8" t="str">
        <f>IF(AR635="","",VLOOKUP(AR635,引用表合并!$A:$B,2,FALSE))</f>
        <v/>
      </c>
      <c r="AR635" s="8"/>
      <c r="AS635" s="8"/>
      <c r="AU635" s="8" t="str">
        <f>IF(AV635="","",VLOOKUP(AV635,引用表合并!$A:$B,2,FALSE))</f>
        <v/>
      </c>
      <c r="AV635" s="8"/>
      <c r="AW635" s="8"/>
      <c r="AY635" s="8"/>
      <c r="AZ635" s="8"/>
      <c r="BA635" s="8"/>
      <c r="BB635" s="8"/>
      <c r="BD635" s="8"/>
      <c r="BH635" s="8"/>
      <c r="BL635" s="8"/>
      <c r="FK635" s="8">
        <v>0</v>
      </c>
      <c r="FL635" s="8">
        <v>12</v>
      </c>
    </row>
    <row r="636" spans="1:168" x14ac:dyDescent="0.15">
      <c r="A636" s="8">
        <v>700107</v>
      </c>
      <c r="B636" t="s">
        <v>867</v>
      </c>
      <c r="C636" s="8">
        <v>0</v>
      </c>
      <c r="D636" s="8">
        <f t="shared" si="87"/>
        <v>6</v>
      </c>
      <c r="E636" s="16">
        <f t="shared" si="85"/>
        <v>6</v>
      </c>
      <c r="F636" s="16">
        <f t="shared" si="88"/>
        <v>6</v>
      </c>
      <c r="G636" s="8" t="str">
        <f>IF(H636="","",VLOOKUP(H636,引用表合并!$A:$B,2,FALSE))</f>
        <v>银饰耳钉碎片</v>
      </c>
      <c r="H636" s="74">
        <v>93122</v>
      </c>
      <c r="I636" s="9">
        <v>1</v>
      </c>
      <c r="J636" s="9">
        <f t="shared" si="89"/>
        <v>2000</v>
      </c>
      <c r="K636" s="8" t="str">
        <f>IF(L636="","",VLOOKUP(L636,引用表合并!$A:$B,2,FALSE))</f>
        <v>精准手表碎片</v>
      </c>
      <c r="L636" s="74">
        <v>93271</v>
      </c>
      <c r="M636" s="9">
        <v>1</v>
      </c>
      <c r="N636" s="9">
        <f t="shared" si="90"/>
        <v>2000</v>
      </c>
      <c r="O636" s="8" t="str">
        <f>IF(P636="","",VLOOKUP(P636,引用表合并!$A:$B,2,FALSE))</f>
        <v>银针手表</v>
      </c>
      <c r="P636" s="73">
        <v>92263</v>
      </c>
      <c r="Q636" s="12">
        <v>1</v>
      </c>
      <c r="R636" s="12">
        <f t="shared" si="91"/>
        <v>2000</v>
      </c>
      <c r="S636" s="12" t="str">
        <f>IF(T636="","",VLOOKUP(T636,引用表合并!$A:$B,2,FALSE))</f>
        <v>金饰项链</v>
      </c>
      <c r="T636" s="73">
        <v>92244</v>
      </c>
      <c r="U636" s="12">
        <v>1</v>
      </c>
      <c r="V636" s="12">
        <f t="shared" si="92"/>
        <v>2000</v>
      </c>
      <c r="W636" s="8" t="str">
        <f>IF(X636="","",VLOOKUP(X636,引用表合并!$A:$B,2,FALSE))</f>
        <v>稀有装备升级石</v>
      </c>
      <c r="X636" s="8">
        <v>85300</v>
      </c>
      <c r="Y636" s="10">
        <v>1</v>
      </c>
      <c r="Z636" s="10">
        <v>2200</v>
      </c>
      <c r="AA636" s="8" t="str">
        <f>IF(AB636="","",VLOOKUP(AB636,引用表合并!$A:$B,2,FALSE))</f>
        <v>高级装备升级石</v>
      </c>
      <c r="AB636" s="8">
        <v>85200</v>
      </c>
      <c r="AC636" s="8">
        <v>1</v>
      </c>
      <c r="AD636" s="10">
        <v>3000</v>
      </c>
      <c r="AE636" s="8" t="str">
        <f>IF(AF636="","",VLOOKUP(AF636,引用表合并!$A:$B,2,FALSE))</f>
        <v/>
      </c>
      <c r="AF636" s="8"/>
      <c r="AI636" s="8"/>
      <c r="AJ636" s="8"/>
      <c r="AK636" s="8"/>
      <c r="AM636" s="8" t="str">
        <f>IF(AN636="","",VLOOKUP(AN636,引用表合并!$A:$B,2,FALSE))</f>
        <v/>
      </c>
      <c r="AN636" s="8"/>
      <c r="AO636" s="8"/>
      <c r="AQ636" s="8" t="str">
        <f>IF(AR636="","",VLOOKUP(AR636,引用表合并!$A:$B,2,FALSE))</f>
        <v/>
      </c>
      <c r="AR636" s="8"/>
      <c r="AS636" s="8"/>
      <c r="AU636" s="8" t="str">
        <f>IF(AV636="","",VLOOKUP(AV636,引用表合并!$A:$B,2,FALSE))</f>
        <v/>
      </c>
      <c r="AV636" s="8"/>
      <c r="AW636" s="8"/>
      <c r="AY636" s="8"/>
      <c r="AZ636" s="8"/>
      <c r="BA636" s="8"/>
      <c r="BB636" s="8"/>
      <c r="BD636" s="8"/>
      <c r="BH636" s="8"/>
      <c r="BL636" s="8"/>
      <c r="FK636" s="8">
        <v>0</v>
      </c>
      <c r="FL636" s="8">
        <v>0</v>
      </c>
    </row>
    <row r="637" spans="1:168" x14ac:dyDescent="0.15">
      <c r="A637" s="8">
        <v>700108</v>
      </c>
      <c r="B637" t="s">
        <v>868</v>
      </c>
      <c r="C637" s="8">
        <v>0</v>
      </c>
      <c r="D637" s="8">
        <f t="shared" si="87"/>
        <v>6</v>
      </c>
      <c r="E637" s="16">
        <f t="shared" si="85"/>
        <v>6</v>
      </c>
      <c r="F637" s="16">
        <f t="shared" si="88"/>
        <v>6</v>
      </c>
      <c r="G637" s="8" t="str">
        <f>IF(H637="","",VLOOKUP(H637,引用表合并!$A:$B,2,FALSE))</f>
        <v>白银戒指碎片</v>
      </c>
      <c r="H637" s="74">
        <v>93141</v>
      </c>
      <c r="I637" s="9">
        <v>1</v>
      </c>
      <c r="J637" s="9">
        <f t="shared" si="89"/>
        <v>2000</v>
      </c>
      <c r="K637" s="8" t="str">
        <f>IF(L637="","",VLOOKUP(L637,引用表合并!$A:$B,2,FALSE))</f>
        <v>宝驼碎片</v>
      </c>
      <c r="L637" s="74">
        <v>93278</v>
      </c>
      <c r="M637" s="9">
        <v>1</v>
      </c>
      <c r="N637" s="9">
        <f t="shared" si="90"/>
        <v>2000</v>
      </c>
      <c r="O637" s="8" t="str">
        <f>IF(P637="","",VLOOKUP(P637,引用表合并!$A:$B,2,FALSE))</f>
        <v>冬利</v>
      </c>
      <c r="P637" s="73">
        <v>92277</v>
      </c>
      <c r="Q637" s="12">
        <v>1</v>
      </c>
      <c r="R637" s="12">
        <f t="shared" si="91"/>
        <v>2000</v>
      </c>
      <c r="S637" s="12" t="str">
        <f>IF(T637="","",VLOOKUP(T637,引用表合并!$A:$B,2,FALSE))</f>
        <v>银针手表</v>
      </c>
      <c r="T637" s="73">
        <v>92263</v>
      </c>
      <c r="U637" s="12">
        <v>1</v>
      </c>
      <c r="V637" s="12">
        <f t="shared" si="92"/>
        <v>2000</v>
      </c>
      <c r="W637" s="8" t="str">
        <f>IF(X637="","",VLOOKUP(X637,引用表合并!$A:$B,2,FALSE))</f>
        <v>稀有装备升级石</v>
      </c>
      <c r="X637" s="8">
        <v>85300</v>
      </c>
      <c r="Y637" s="10">
        <v>1</v>
      </c>
      <c r="Z637" s="10">
        <v>2400</v>
      </c>
      <c r="AA637" s="8" t="str">
        <f>IF(AB637="","",VLOOKUP(AB637,引用表合并!$A:$B,2,FALSE))</f>
        <v>高级装备升级石</v>
      </c>
      <c r="AB637" s="8">
        <v>85200</v>
      </c>
      <c r="AC637" s="8">
        <v>1</v>
      </c>
      <c r="AD637" s="10">
        <v>3200</v>
      </c>
      <c r="AE637" s="8" t="str">
        <f>IF(AF637="","",VLOOKUP(AF637,引用表合并!$A:$B,2,FALSE))</f>
        <v/>
      </c>
      <c r="AF637" s="8"/>
      <c r="AI637" s="8"/>
      <c r="AJ637" s="8"/>
      <c r="AK637" s="8"/>
      <c r="AM637" s="8" t="str">
        <f>IF(AN637="","",VLOOKUP(AN637,引用表合并!$A:$B,2,FALSE))</f>
        <v/>
      </c>
      <c r="AN637" s="8"/>
      <c r="AO637" s="8"/>
      <c r="AQ637" s="8" t="str">
        <f>IF(AR637="","",VLOOKUP(AR637,引用表合并!$A:$B,2,FALSE))</f>
        <v/>
      </c>
      <c r="AR637" s="8"/>
      <c r="AS637" s="8"/>
      <c r="AU637" s="8" t="str">
        <f>IF(AV637="","",VLOOKUP(AV637,引用表合并!$A:$B,2,FALSE))</f>
        <v/>
      </c>
      <c r="AV637" s="8"/>
      <c r="AW637" s="8"/>
      <c r="AY637" s="8"/>
      <c r="AZ637" s="8"/>
      <c r="BA637" s="8"/>
      <c r="BB637" s="8"/>
      <c r="BD637" s="8"/>
      <c r="BH637" s="8"/>
      <c r="BL637" s="8"/>
      <c r="FK637" s="8">
        <v>0</v>
      </c>
      <c r="FL637" s="8">
        <v>0</v>
      </c>
    </row>
    <row r="638" spans="1:168" x14ac:dyDescent="0.15">
      <c r="A638" s="8">
        <v>700109</v>
      </c>
      <c r="B638" t="s">
        <v>869</v>
      </c>
      <c r="C638" s="8">
        <v>0</v>
      </c>
      <c r="D638" s="8">
        <f t="shared" si="87"/>
        <v>6</v>
      </c>
      <c r="E638" s="16">
        <f t="shared" si="85"/>
        <v>6</v>
      </c>
      <c r="F638" s="16">
        <f t="shared" si="88"/>
        <v>6</v>
      </c>
      <c r="G638" s="8" t="str">
        <f>IF(H638="","",VLOOKUP(H638,引用表合并!$A:$B,2,FALSE))</f>
        <v>水晶项链碎片</v>
      </c>
      <c r="H638" s="74">
        <v>93245</v>
      </c>
      <c r="I638" s="9">
        <v>1</v>
      </c>
      <c r="J638" s="9">
        <f t="shared" si="89"/>
        <v>2700</v>
      </c>
      <c r="K638" s="8" t="str">
        <f>IF(L638="","",VLOOKUP(L638,引用表合并!$A:$B,2,FALSE))</f>
        <v>小迭钞票碎片</v>
      </c>
      <c r="L638" s="74">
        <v>93283</v>
      </c>
      <c r="M638" s="9">
        <v>1</v>
      </c>
      <c r="N638" s="9">
        <f t="shared" si="90"/>
        <v>2700</v>
      </c>
      <c r="O638" s="8" t="str">
        <f>IF(P638="","",VLOOKUP(P638,引用表合并!$A:$B,2,FALSE))</f>
        <v>幸运戒指</v>
      </c>
      <c r="P638" s="73">
        <v>92131</v>
      </c>
      <c r="Q638" s="12">
        <v>1</v>
      </c>
      <c r="R638" s="12">
        <f t="shared" si="91"/>
        <v>2700</v>
      </c>
      <c r="S638" s="12" t="str">
        <f>IF(T638="","",VLOOKUP(T638,引用表合并!$A:$B,2,FALSE))</f>
        <v>冬利</v>
      </c>
      <c r="T638" s="73">
        <v>92277</v>
      </c>
      <c r="U638" s="12">
        <v>1</v>
      </c>
      <c r="V638" s="12">
        <f t="shared" si="92"/>
        <v>2700</v>
      </c>
      <c r="W638" s="8" t="str">
        <f>IF(X638="","",VLOOKUP(X638,引用表合并!$A:$B,2,FALSE))</f>
        <v>稀有装备升级石</v>
      </c>
      <c r="X638" s="8">
        <v>85300</v>
      </c>
      <c r="Y638" s="10">
        <v>1</v>
      </c>
      <c r="Z638" s="49">
        <v>10000</v>
      </c>
      <c r="AA638" s="8" t="str">
        <f>IF(AB638="","",VLOOKUP(AB638,引用表合并!$A:$B,2,FALSE))</f>
        <v>高级装备升级石</v>
      </c>
      <c r="AB638" s="8">
        <v>85200</v>
      </c>
      <c r="AC638" s="8">
        <v>1</v>
      </c>
      <c r="AD638" s="10">
        <v>2000</v>
      </c>
      <c r="AE638" s="8" t="str">
        <f>IF(AF638="","",VLOOKUP(AF638,引用表合并!$A:$B,2,FALSE))</f>
        <v/>
      </c>
      <c r="AF638" s="8"/>
      <c r="AI638" s="8" t="str">
        <f>IF(AJ638="","",VLOOKUP(AJ638,引用表合并!$A:$B,2,FALSE))</f>
        <v/>
      </c>
      <c r="AJ638" s="8"/>
      <c r="AK638" s="8"/>
      <c r="AM638" s="8" t="str">
        <f>IF(AN638="","",VLOOKUP(AN638,引用表合并!$A:$B,2,FALSE))</f>
        <v/>
      </c>
      <c r="AN638" s="8"/>
      <c r="AO638" s="8"/>
      <c r="AQ638" s="8" t="str">
        <f>IF(AR638="","",VLOOKUP(AR638,引用表合并!$A:$B,2,FALSE))</f>
        <v/>
      </c>
      <c r="AR638" s="8"/>
      <c r="AS638" s="8"/>
      <c r="AU638" s="8" t="str">
        <f>IF(AV638="","",VLOOKUP(AV638,引用表合并!$A:$B,2,FALSE))</f>
        <v/>
      </c>
      <c r="AV638" s="8"/>
      <c r="AW638" s="8"/>
      <c r="AY638" s="8"/>
      <c r="AZ638" s="8"/>
      <c r="BA638" s="8"/>
      <c r="BB638" s="8"/>
      <c r="BD638" s="8"/>
      <c r="BH638" s="8"/>
      <c r="BL638" s="8"/>
      <c r="FK638" s="8">
        <v>0</v>
      </c>
      <c r="FL638" s="8">
        <v>14</v>
      </c>
    </row>
    <row r="639" spans="1:168" x14ac:dyDescent="0.15">
      <c r="A639" s="8">
        <v>700110</v>
      </c>
      <c r="B639" t="s">
        <v>870</v>
      </c>
      <c r="C639" s="8">
        <v>0</v>
      </c>
      <c r="D639" s="8">
        <f t="shared" si="87"/>
        <v>6</v>
      </c>
      <c r="E639" s="16">
        <f t="shared" si="85"/>
        <v>6</v>
      </c>
      <c r="F639" s="16">
        <f t="shared" si="88"/>
        <v>6</v>
      </c>
      <c r="G639" s="8" t="str">
        <f>IF(H639="","",VLOOKUP(H639,引用表合并!$A:$B,2,FALSE))</f>
        <v>红石项链碎片</v>
      </c>
      <c r="H639" s="74">
        <v>93251</v>
      </c>
      <c r="I639" s="9">
        <v>1</v>
      </c>
      <c r="J639" s="9">
        <f t="shared" si="89"/>
        <v>2400</v>
      </c>
      <c r="K639" s="8" t="str">
        <f>IF(L639="","",VLOOKUP(L639,引用表合并!$A:$B,2,FALSE))</f>
        <v>金块碎片</v>
      </c>
      <c r="L639" s="74">
        <v>93287</v>
      </c>
      <c r="M639" s="9">
        <v>1</v>
      </c>
      <c r="N639" s="9">
        <f t="shared" si="90"/>
        <v>2400</v>
      </c>
      <c r="O639" s="8" t="str">
        <f>IF(P639="","",VLOOKUP(P639,引用表合并!$A:$B,2,FALSE))</f>
        <v>白金手环碎片</v>
      </c>
      <c r="P639" s="74">
        <v>93233</v>
      </c>
      <c r="Q639" s="9">
        <v>1</v>
      </c>
      <c r="R639" s="9">
        <f t="shared" si="91"/>
        <v>2400</v>
      </c>
      <c r="S639" s="9" t="str">
        <f>IF(T639="","",VLOOKUP(T639,引用表合并!$A:$B,2,FALSE))</f>
        <v>精准手表碎片</v>
      </c>
      <c r="T639" s="74">
        <v>93271</v>
      </c>
      <c r="U639" s="9">
        <v>1</v>
      </c>
      <c r="V639" s="9">
        <f t="shared" si="92"/>
        <v>2400</v>
      </c>
      <c r="W639" s="8" t="str">
        <f>IF(X639="","",VLOOKUP(X639,引用表合并!$A:$B,2,FALSE))</f>
        <v>稀有装备升级石</v>
      </c>
      <c r="X639" s="8">
        <v>85300</v>
      </c>
      <c r="Y639" s="10">
        <v>1</v>
      </c>
      <c r="Z639" s="10">
        <v>2600</v>
      </c>
      <c r="AA639" s="8" t="str">
        <f>IF(AB639="","",VLOOKUP(AB639,引用表合并!$A:$B,2,FALSE))</f>
        <v>高级装备升级石</v>
      </c>
      <c r="AB639" s="8">
        <v>85200</v>
      </c>
      <c r="AC639" s="8">
        <v>1</v>
      </c>
      <c r="AD639" s="10">
        <v>3400</v>
      </c>
      <c r="AE639" s="8" t="str">
        <f>IF(AF639="","",VLOOKUP(AF639,引用表合并!$A:$B,2,FALSE))</f>
        <v/>
      </c>
      <c r="AF639" s="8"/>
      <c r="AI639" s="8"/>
      <c r="AJ639" s="8"/>
      <c r="AK639" s="8"/>
      <c r="AM639" s="8" t="str">
        <f>IF(AN639="","",VLOOKUP(AN639,引用表合并!$A:$B,2,FALSE))</f>
        <v/>
      </c>
      <c r="AN639" s="8"/>
      <c r="AO639" s="8"/>
      <c r="AQ639" s="8" t="str">
        <f>IF(AR639="","",VLOOKUP(AR639,引用表合并!$A:$B,2,FALSE))</f>
        <v/>
      </c>
      <c r="AR639" s="8"/>
      <c r="AS639" s="8"/>
      <c r="AU639" s="8" t="str">
        <f>IF(AV639="","",VLOOKUP(AV639,引用表合并!$A:$B,2,FALSE))</f>
        <v/>
      </c>
      <c r="AV639" s="8"/>
      <c r="AW639" s="8"/>
      <c r="AY639" s="8"/>
      <c r="AZ639" s="8"/>
      <c r="BA639" s="8"/>
      <c r="BB639" s="8"/>
      <c r="BD639" s="8"/>
      <c r="BH639" s="8"/>
      <c r="BL639" s="8"/>
      <c r="FK639" s="8">
        <v>0</v>
      </c>
      <c r="FL639" s="8">
        <v>8</v>
      </c>
    </row>
    <row r="640" spans="1:168" x14ac:dyDescent="0.15">
      <c r="A640" s="8">
        <v>700111</v>
      </c>
      <c r="B640" t="s">
        <v>871</v>
      </c>
      <c r="C640" s="8">
        <v>0</v>
      </c>
      <c r="D640" s="8">
        <f t="shared" si="87"/>
        <v>6</v>
      </c>
      <c r="E640" s="16">
        <f t="shared" si="85"/>
        <v>6</v>
      </c>
      <c r="F640" s="16">
        <f t="shared" si="88"/>
        <v>6</v>
      </c>
      <c r="G640" s="8" t="str">
        <f>IF(H640="","",VLOOKUP(H640,引用表合并!$A:$B,2,FALSE))</f>
        <v>越野手表碎片</v>
      </c>
      <c r="H640" s="74">
        <v>93264</v>
      </c>
      <c r="I640" s="9">
        <v>1</v>
      </c>
      <c r="J640" s="9">
        <f t="shared" si="89"/>
        <v>2400</v>
      </c>
      <c r="K640" s="8" t="str">
        <f>IF(L640="","",VLOOKUP(L640,引用表合并!$A:$B,2,FALSE))</f>
        <v>白金手环碎片</v>
      </c>
      <c r="L640" s="74">
        <v>93233</v>
      </c>
      <c r="M640" s="9">
        <v>1</v>
      </c>
      <c r="N640" s="9">
        <f t="shared" si="90"/>
        <v>2400</v>
      </c>
      <c r="O640" s="8" t="str">
        <f>IF(P640="","",VLOOKUP(P640,引用表合并!$A:$B,2,FALSE))</f>
        <v>银饰耳钉碎片</v>
      </c>
      <c r="P640" s="74">
        <v>93122</v>
      </c>
      <c r="Q640" s="9">
        <v>1</v>
      </c>
      <c r="R640" s="9">
        <f t="shared" si="91"/>
        <v>2400</v>
      </c>
      <c r="S640" s="9" t="str">
        <f>IF(T640="","",VLOOKUP(T640,引用表合并!$A:$B,2,FALSE))</f>
        <v>宝驼碎片</v>
      </c>
      <c r="T640" s="74">
        <v>93278</v>
      </c>
      <c r="U640" s="9">
        <v>1</v>
      </c>
      <c r="V640" s="9">
        <f t="shared" si="92"/>
        <v>2400</v>
      </c>
      <c r="W640" s="8" t="str">
        <f>IF(X640="","",VLOOKUP(X640,引用表合并!$A:$B,2,FALSE))</f>
        <v>稀有装备升级石</v>
      </c>
      <c r="X640" s="8">
        <v>85300</v>
      </c>
      <c r="Y640" s="8">
        <v>1</v>
      </c>
      <c r="Z640" s="10">
        <v>2800</v>
      </c>
      <c r="AA640" s="8" t="str">
        <f>IF(AB640="","",VLOOKUP(AB640,引用表合并!$A:$B,2,FALSE))</f>
        <v>高级装备升级石</v>
      </c>
      <c r="AB640" s="8">
        <v>85200</v>
      </c>
      <c r="AC640" s="8">
        <v>1</v>
      </c>
      <c r="AD640" s="10">
        <v>3600</v>
      </c>
      <c r="AE640" s="8" t="str">
        <f>IF(AF640="","",VLOOKUP(AF640,引用表合并!$A:$B,2,FALSE))</f>
        <v/>
      </c>
      <c r="AF640" s="8"/>
      <c r="AI640" s="8" t="str">
        <f>IF(AJ640="","",VLOOKUP(AJ640,引用表合并!$A:$B,2,FALSE))</f>
        <v/>
      </c>
      <c r="AJ640" s="8"/>
      <c r="AK640" s="8"/>
      <c r="AM640" s="8" t="str">
        <f>IF(AN640="","",VLOOKUP(AN640,引用表合并!$A:$B,2,FALSE))</f>
        <v/>
      </c>
      <c r="AN640" s="8"/>
      <c r="AO640" s="8"/>
      <c r="AQ640" s="8" t="str">
        <f>IF(AR640="","",VLOOKUP(AR640,引用表合并!$A:$B,2,FALSE))</f>
        <v/>
      </c>
      <c r="AR640" s="8"/>
      <c r="AS640" s="8"/>
      <c r="AU640" s="8" t="str">
        <f>IF(AV640="","",VLOOKUP(AV640,引用表合并!$A:$B,2,FALSE))</f>
        <v/>
      </c>
      <c r="AV640" s="8"/>
      <c r="AW640" s="8"/>
      <c r="AY640" s="8"/>
      <c r="AZ640" s="8"/>
      <c r="BA640" s="8"/>
      <c r="BB640" s="8"/>
      <c r="BD640" s="8"/>
      <c r="BH640" s="8"/>
      <c r="BL640" s="8"/>
      <c r="FK640" s="8">
        <v>0</v>
      </c>
      <c r="FL640" s="8">
        <v>8</v>
      </c>
    </row>
    <row r="641" spans="1:168" x14ac:dyDescent="0.15">
      <c r="A641" s="8">
        <v>700112</v>
      </c>
      <c r="B641" t="s">
        <v>872</v>
      </c>
      <c r="C641" s="8">
        <v>0</v>
      </c>
      <c r="D641" s="8">
        <f t="shared" si="87"/>
        <v>6</v>
      </c>
      <c r="E641" s="16">
        <f t="shared" si="85"/>
        <v>6</v>
      </c>
      <c r="F641" s="16">
        <f t="shared" si="88"/>
        <v>6</v>
      </c>
      <c r="G641" s="8" t="str">
        <f>IF(H641="","",VLOOKUP(H641,引用表合并!$A:$B,2,FALSE))</f>
        <v>精准手表碎片</v>
      </c>
      <c r="H641" s="74">
        <v>93271</v>
      </c>
      <c r="I641" s="9">
        <v>1</v>
      </c>
      <c r="J641" s="9">
        <f t="shared" si="89"/>
        <v>2800</v>
      </c>
      <c r="K641" s="8" t="str">
        <f>IF(L641="","",VLOOKUP(L641,引用表合并!$A:$B,2,FALSE))</f>
        <v>银饰耳钉碎片</v>
      </c>
      <c r="L641" s="74">
        <v>93122</v>
      </c>
      <c r="M641" s="9">
        <v>1</v>
      </c>
      <c r="N641" s="9">
        <f t="shared" si="90"/>
        <v>2800</v>
      </c>
      <c r="O641" s="8" t="str">
        <f>IF(P641="","",VLOOKUP(P641,引用表合并!$A:$B,2,FALSE))</f>
        <v>白银戒指碎片</v>
      </c>
      <c r="P641" s="74">
        <v>93141</v>
      </c>
      <c r="Q641" s="9">
        <v>1</v>
      </c>
      <c r="R641" s="9">
        <f t="shared" si="91"/>
        <v>2800</v>
      </c>
      <c r="S641" s="9" t="str">
        <f>IF(T641="","",VLOOKUP(T641,引用表合并!$A:$B,2,FALSE))</f>
        <v>小迭钞票碎片</v>
      </c>
      <c r="T641" s="74">
        <v>93283</v>
      </c>
      <c r="U641" s="9">
        <v>1</v>
      </c>
      <c r="V641" s="9">
        <f t="shared" si="92"/>
        <v>2800</v>
      </c>
      <c r="W641" s="8" t="str">
        <f>IF(X641="","",VLOOKUP(X641,引用表合并!$A:$B,2,FALSE))</f>
        <v>史诗装备升级石</v>
      </c>
      <c r="X641" s="8">
        <v>85400</v>
      </c>
      <c r="Y641" s="8">
        <v>1</v>
      </c>
      <c r="Z641" s="10">
        <v>4000</v>
      </c>
      <c r="AA641" s="8" t="str">
        <f>IF(AB641="","",VLOOKUP(AB641,引用表合并!$A:$B,2,FALSE))</f>
        <v>稀有装备升级石</v>
      </c>
      <c r="AB641" s="8">
        <v>85300</v>
      </c>
      <c r="AC641" s="10">
        <v>1</v>
      </c>
      <c r="AD641" s="49">
        <v>10000</v>
      </c>
      <c r="AE641" s="8" t="str">
        <f>IF(AF641="","",VLOOKUP(AF641,引用表合并!$A:$B,2,FALSE))</f>
        <v/>
      </c>
      <c r="AF641" s="8"/>
      <c r="AG641" s="8"/>
      <c r="AI641" s="8" t="str">
        <f>IF(AJ641="","",VLOOKUP(AJ641,引用表合并!$A:$B,2,FALSE))</f>
        <v/>
      </c>
      <c r="AJ641" s="8"/>
      <c r="AK641" s="8"/>
      <c r="AM641" s="8" t="str">
        <f>IF(AN641="","",VLOOKUP(AN641,引用表合并!$A:$B,2,FALSE))</f>
        <v/>
      </c>
      <c r="AN641" s="8"/>
      <c r="AO641" s="8"/>
      <c r="AQ641" s="8" t="str">
        <f>IF(AR641="","",VLOOKUP(AR641,引用表合并!$A:$B,2,FALSE))</f>
        <v/>
      </c>
      <c r="AR641" s="8"/>
      <c r="AS641" s="8"/>
      <c r="AU641" s="8" t="str">
        <f>IF(AV641="","",VLOOKUP(AV641,引用表合并!$A:$B,2,FALSE))</f>
        <v/>
      </c>
      <c r="AV641" s="8"/>
      <c r="AW641" s="8"/>
      <c r="AY641" s="8"/>
      <c r="AZ641" s="8"/>
      <c r="BA641" s="8"/>
      <c r="BB641" s="8"/>
      <c r="BD641" s="8"/>
      <c r="BH641" s="8"/>
      <c r="BL641" s="8"/>
      <c r="FK641" s="8">
        <v>0</v>
      </c>
      <c r="FL641" s="8">
        <v>16</v>
      </c>
    </row>
    <row r="642" spans="1:168" x14ac:dyDescent="0.15">
      <c r="A642" s="8">
        <v>700113</v>
      </c>
      <c r="B642" t="s">
        <v>873</v>
      </c>
      <c r="C642" s="8">
        <v>0</v>
      </c>
      <c r="D642" s="8">
        <f t="shared" si="87"/>
        <v>6</v>
      </c>
      <c r="E642" s="16">
        <f t="shared" si="85"/>
        <v>6</v>
      </c>
      <c r="F642" s="16">
        <f t="shared" si="88"/>
        <v>6</v>
      </c>
      <c r="G642" s="8" t="str">
        <f>IF(H642="","",VLOOKUP(H642,引用表合并!$A:$B,2,FALSE))</f>
        <v>宝驼碎片</v>
      </c>
      <c r="H642" s="74">
        <v>93278</v>
      </c>
      <c r="I642" s="9">
        <v>1</v>
      </c>
      <c r="J642" s="9">
        <f t="shared" si="89"/>
        <v>2500</v>
      </c>
      <c r="K642" s="8" t="str">
        <f>IF(L642="","",VLOOKUP(L642,引用表合并!$A:$B,2,FALSE))</f>
        <v>白银戒指碎片</v>
      </c>
      <c r="L642" s="74">
        <v>93141</v>
      </c>
      <c r="M642" s="9">
        <v>1</v>
      </c>
      <c r="N642" s="9">
        <f t="shared" si="90"/>
        <v>2500</v>
      </c>
      <c r="O642" s="8" t="str">
        <f>IF(P642="","",VLOOKUP(P642,引用表合并!$A:$B,2,FALSE))</f>
        <v>水晶项链碎片</v>
      </c>
      <c r="P642" s="74">
        <v>93245</v>
      </c>
      <c r="Q642" s="9">
        <v>1</v>
      </c>
      <c r="R642" s="9">
        <f t="shared" si="91"/>
        <v>2500</v>
      </c>
      <c r="S642" s="9" t="str">
        <f>IF(T642="","",VLOOKUP(T642,引用表合并!$A:$B,2,FALSE))</f>
        <v>金块碎片</v>
      </c>
      <c r="T642" s="74">
        <v>93287</v>
      </c>
      <c r="U642" s="9">
        <v>1</v>
      </c>
      <c r="V642" s="9">
        <f t="shared" si="92"/>
        <v>2500</v>
      </c>
      <c r="W642" s="8" t="str">
        <f>IF(X642="","",VLOOKUP(X642,引用表合并!$A:$B,2,FALSE))</f>
        <v>史诗装备升级石</v>
      </c>
      <c r="X642" s="8">
        <v>85400</v>
      </c>
      <c r="Y642" s="8">
        <v>1</v>
      </c>
      <c r="Z642" s="10">
        <v>2500</v>
      </c>
      <c r="AA642" s="8" t="str">
        <f>IF(AB642="","",VLOOKUP(AB642,引用表合并!$A:$B,2,FALSE))</f>
        <v>稀有装备升级石</v>
      </c>
      <c r="AB642" s="8">
        <v>85300</v>
      </c>
      <c r="AC642" s="8">
        <v>1</v>
      </c>
      <c r="AD642" s="10">
        <v>4000</v>
      </c>
      <c r="AE642" s="8" t="str">
        <f>IF(AF642="","",VLOOKUP(AF642,引用表合并!$A:$B,2,FALSE))</f>
        <v/>
      </c>
      <c r="AF642" s="8"/>
      <c r="AI642" s="8" t="str">
        <f>IF(AJ642="","",VLOOKUP(AJ642,引用表合并!$A:$B,2,FALSE))</f>
        <v/>
      </c>
      <c r="AJ642" s="8"/>
      <c r="AK642" s="8"/>
      <c r="AM642" s="8" t="str">
        <f>IF(AN642="","",VLOOKUP(AN642,引用表合并!$A:$B,2,FALSE))</f>
        <v/>
      </c>
      <c r="AN642" s="8"/>
      <c r="AO642" s="8"/>
      <c r="AQ642" s="8" t="str">
        <f>IF(AR642="","",VLOOKUP(AR642,引用表合并!$A:$B,2,FALSE))</f>
        <v/>
      </c>
      <c r="AR642" s="8"/>
      <c r="AS642" s="8"/>
      <c r="AU642" s="8" t="str">
        <f>IF(AV642="","",VLOOKUP(AV642,引用表合并!$A:$B,2,FALSE))</f>
        <v/>
      </c>
      <c r="AV642" s="8"/>
      <c r="AW642" s="8"/>
      <c r="AY642" s="8"/>
      <c r="AZ642" s="8"/>
      <c r="BA642" s="8"/>
      <c r="BB642" s="8"/>
      <c r="BD642" s="8"/>
      <c r="BH642" s="8"/>
      <c r="BL642" s="8"/>
      <c r="FK642" s="8">
        <v>0</v>
      </c>
      <c r="FL642" s="8">
        <v>10</v>
      </c>
    </row>
    <row r="643" spans="1:168" x14ac:dyDescent="0.15">
      <c r="A643" s="8">
        <v>700114</v>
      </c>
      <c r="B643" t="s">
        <v>874</v>
      </c>
      <c r="C643" s="8">
        <v>0</v>
      </c>
      <c r="D643" s="8">
        <f t="shared" si="87"/>
        <v>6</v>
      </c>
      <c r="E643" s="16">
        <f t="shared" si="85"/>
        <v>6</v>
      </c>
      <c r="F643" s="16">
        <f t="shared" si="88"/>
        <v>6</v>
      </c>
      <c r="G643" s="8" t="str">
        <f>IF(H643="","",VLOOKUP(H643,引用表合并!$A:$B,2,FALSE))</f>
        <v>小迭钞票碎片</v>
      </c>
      <c r="H643" s="74">
        <v>93283</v>
      </c>
      <c r="I643" s="9">
        <v>1</v>
      </c>
      <c r="J643" s="9">
        <f t="shared" si="89"/>
        <v>2500</v>
      </c>
      <c r="K643" s="8" t="str">
        <f>IF(L643="","",VLOOKUP(L643,引用表合并!$A:$B,2,FALSE))</f>
        <v>水晶项链碎片</v>
      </c>
      <c r="L643" s="74">
        <v>93245</v>
      </c>
      <c r="M643" s="9">
        <v>1</v>
      </c>
      <c r="N643" s="9">
        <f t="shared" si="90"/>
        <v>2500</v>
      </c>
      <c r="O643" s="8" t="str">
        <f>IF(P643="","",VLOOKUP(P643,引用表合并!$A:$B,2,FALSE))</f>
        <v>红石项链碎片</v>
      </c>
      <c r="P643" s="74">
        <v>93251</v>
      </c>
      <c r="Q643" s="9">
        <v>1</v>
      </c>
      <c r="R643" s="9">
        <f t="shared" si="91"/>
        <v>2500</v>
      </c>
      <c r="S643" s="9" t="str">
        <f>IF(T643="","",VLOOKUP(T643,引用表合并!$A:$B,2,FALSE))</f>
        <v>白金手环碎片</v>
      </c>
      <c r="T643" s="74">
        <v>93233</v>
      </c>
      <c r="U643" s="9">
        <v>1</v>
      </c>
      <c r="V643" s="9">
        <f t="shared" si="92"/>
        <v>2500</v>
      </c>
      <c r="W643" s="8" t="str">
        <f>IF(X643="","",VLOOKUP(X643,引用表合并!$A:$B,2,FALSE))</f>
        <v>史诗装备升级石</v>
      </c>
      <c r="X643" s="8">
        <v>85400</v>
      </c>
      <c r="Y643" s="8">
        <v>1</v>
      </c>
      <c r="Z643" s="10">
        <v>2700</v>
      </c>
      <c r="AA643" s="8" t="str">
        <f>IF(AB643="","",VLOOKUP(AB643,引用表合并!$A:$B,2,FALSE))</f>
        <v>稀有装备升级石</v>
      </c>
      <c r="AB643" s="8">
        <v>85300</v>
      </c>
      <c r="AC643" s="8">
        <v>1</v>
      </c>
      <c r="AD643" s="10">
        <v>4200</v>
      </c>
      <c r="AE643" s="8" t="str">
        <f>IF(AF643="","",VLOOKUP(AF643,引用表合并!$A:$B,2,FALSE))</f>
        <v/>
      </c>
      <c r="AF643" s="8"/>
      <c r="AI643" s="8" t="str">
        <f>IF(AJ643="","",VLOOKUP(AJ643,引用表合并!$A:$B,2,FALSE))</f>
        <v/>
      </c>
      <c r="AJ643" s="8"/>
      <c r="AK643" s="8"/>
      <c r="AM643" s="8" t="str">
        <f>IF(AN643="","",VLOOKUP(AN643,引用表合并!$A:$B,2,FALSE))</f>
        <v/>
      </c>
      <c r="AN643" s="8"/>
      <c r="AO643" s="8"/>
      <c r="AQ643" s="8" t="str">
        <f>IF(AR643="","",VLOOKUP(AR643,引用表合并!$A:$B,2,FALSE))</f>
        <v/>
      </c>
      <c r="AR643" s="8"/>
      <c r="AS643" s="8"/>
      <c r="AU643" s="8" t="str">
        <f>IF(AV643="","",VLOOKUP(AV643,引用表合并!$A:$B,2,FALSE))</f>
        <v/>
      </c>
      <c r="AV643" s="8"/>
      <c r="AW643" s="8"/>
      <c r="AY643" s="8"/>
      <c r="AZ643" s="8"/>
      <c r="BA643" s="8"/>
      <c r="BB643" s="8"/>
      <c r="BD643" s="8"/>
      <c r="BH643" s="8"/>
      <c r="BL643" s="8"/>
      <c r="FK643" s="8">
        <v>0</v>
      </c>
      <c r="FL643" s="8">
        <v>10</v>
      </c>
    </row>
    <row r="644" spans="1:168" x14ac:dyDescent="0.15">
      <c r="A644" s="8">
        <v>700115</v>
      </c>
      <c r="B644" t="s">
        <v>875</v>
      </c>
      <c r="C644" s="8">
        <v>0</v>
      </c>
      <c r="D644" s="8">
        <f t="shared" si="87"/>
        <v>7</v>
      </c>
      <c r="E644" s="16">
        <f t="shared" si="85"/>
        <v>7</v>
      </c>
      <c r="F644" s="16">
        <f t="shared" si="88"/>
        <v>7</v>
      </c>
      <c r="G644" s="8" t="str">
        <f>IF(H644="","",VLOOKUP(H644,引用表合并!$A:$B,2,FALSE))</f>
        <v>金块碎片</v>
      </c>
      <c r="H644" s="74">
        <v>93287</v>
      </c>
      <c r="I644" s="9">
        <v>1</v>
      </c>
      <c r="J644" s="9">
        <f t="shared" si="89"/>
        <v>3000</v>
      </c>
      <c r="K644" s="8" t="str">
        <f>IF(L644="","",VLOOKUP(L644,引用表合并!$A:$B,2,FALSE))</f>
        <v>红石项链碎片</v>
      </c>
      <c r="L644" s="74">
        <v>93251</v>
      </c>
      <c r="M644" s="9">
        <v>1</v>
      </c>
      <c r="N644" s="9">
        <f t="shared" si="90"/>
        <v>3000</v>
      </c>
      <c r="O644" s="8" t="str">
        <f>IF(P644="","",VLOOKUP(P644,引用表合并!$A:$B,2,FALSE))</f>
        <v>越野手表碎片</v>
      </c>
      <c r="P644" s="74">
        <v>93264</v>
      </c>
      <c r="Q644" s="9">
        <v>1</v>
      </c>
      <c r="R644" s="9">
        <f t="shared" si="91"/>
        <v>3000</v>
      </c>
      <c r="S644" s="9" t="str">
        <f>IF(T644="","",VLOOKUP(T644,引用表合并!$A:$B,2,FALSE))</f>
        <v>银饰耳钉碎片</v>
      </c>
      <c r="T644" s="74">
        <v>93122</v>
      </c>
      <c r="U644" s="9">
        <v>1</v>
      </c>
      <c r="V644" s="9">
        <f t="shared" si="92"/>
        <v>3000</v>
      </c>
      <c r="W644" s="8" t="str">
        <f>IF(X644="","",VLOOKUP(X644,引用表合并!$A:$B,2,FALSE))</f>
        <v>史诗装备升级石</v>
      </c>
      <c r="X644" s="8">
        <v>85400</v>
      </c>
      <c r="Y644" s="8">
        <v>1</v>
      </c>
      <c r="Z644" s="49">
        <v>10000</v>
      </c>
      <c r="AA644" s="8" t="str">
        <f>IF(AB644="","",VLOOKUP(AB644,引用表合并!$A:$B,2,FALSE))</f>
        <v>稀有装备升级石</v>
      </c>
      <c r="AB644" s="8">
        <v>85300</v>
      </c>
      <c r="AC644" s="10">
        <v>1</v>
      </c>
      <c r="AD644" s="10">
        <v>5000</v>
      </c>
      <c r="AE644" s="8" t="str">
        <f>IF(AF644="","",VLOOKUP(AF644,引用表合并!$A:$B,2,FALSE))</f>
        <v>马仔经验甘露</v>
      </c>
      <c r="AF644" s="31">
        <f t="shared" ref="AF644" si="93">IF(CO644=100,91100,IF(CO644=500,91200,91300))</f>
        <v>91300</v>
      </c>
      <c r="AG644" s="8">
        <v>1</v>
      </c>
      <c r="AH644" s="10">
        <v>10000</v>
      </c>
      <c r="AI644" s="8" t="str">
        <f>IF(AJ644="","",VLOOKUP(AJ644,引用表合并!$A:$B,2,FALSE))</f>
        <v/>
      </c>
      <c r="AM644" s="8" t="str">
        <f>IF(AN644="","",VLOOKUP(AN644,引用表合并!$A:$B,2,FALSE))</f>
        <v/>
      </c>
      <c r="AN644" s="8"/>
      <c r="AO644" s="8"/>
      <c r="AQ644" s="8"/>
      <c r="AR644" s="8"/>
      <c r="AS644" s="8"/>
      <c r="AU644" s="8" t="str">
        <f>IF(AV644="","",VLOOKUP(AV644,引用表合并!$A:$B,2,FALSE))</f>
        <v/>
      </c>
      <c r="AV644" s="8"/>
      <c r="AW644" s="8"/>
      <c r="AY644" s="8"/>
      <c r="AZ644" s="8"/>
      <c r="BA644" s="8"/>
      <c r="BB644" s="8"/>
      <c r="BD644" s="8"/>
      <c r="BH644" s="8"/>
      <c r="BL644" s="8"/>
      <c r="FK644" s="8">
        <v>0</v>
      </c>
      <c r="FL644" s="8">
        <v>20</v>
      </c>
    </row>
    <row r="645" spans="1:168" x14ac:dyDescent="0.15">
      <c r="A645" s="8">
        <v>700201</v>
      </c>
      <c r="B645" t="s">
        <v>876</v>
      </c>
      <c r="C645" s="8">
        <v>0</v>
      </c>
      <c r="D645" s="8">
        <f t="shared" si="87"/>
        <v>5</v>
      </c>
      <c r="E645" s="16">
        <f t="shared" si="85"/>
        <v>5</v>
      </c>
      <c r="F645" s="16">
        <f t="shared" si="88"/>
        <v>5</v>
      </c>
      <c r="G645" s="8" t="str">
        <f>IF(H645="","",VLOOKUP(H645,引用表合并!$A:$B,2,FALSE))</f>
        <v>白金手环碎片</v>
      </c>
      <c r="H645" s="74">
        <v>93233</v>
      </c>
      <c r="I645" s="9">
        <v>1</v>
      </c>
      <c r="J645" s="12">
        <f t="shared" si="89"/>
        <v>2050</v>
      </c>
      <c r="K645" s="12" t="str">
        <f>IF(L645="","",VLOOKUP(L645,引用表合并!$A:$B,2,FALSE))</f>
        <v>越野手表碎片</v>
      </c>
      <c r="L645" s="74">
        <v>93264</v>
      </c>
      <c r="M645" s="9">
        <v>1</v>
      </c>
      <c r="N645" s="12">
        <f t="shared" si="90"/>
        <v>2050</v>
      </c>
      <c r="O645" s="12" t="str">
        <f>IF(P645="","",VLOOKUP(P645,引用表合并!$A:$B,2,FALSE))</f>
        <v>幸运戒指</v>
      </c>
      <c r="P645" s="73">
        <v>92131</v>
      </c>
      <c r="Q645" s="12">
        <v>1</v>
      </c>
      <c r="R645" s="12">
        <f t="shared" si="91"/>
        <v>2050</v>
      </c>
      <c r="S645" s="12" t="str">
        <f>IF(T645="","",VLOOKUP(T645,引用表合并!$A:$B,2,FALSE))</f>
        <v>镀金耳钉</v>
      </c>
      <c r="T645" s="73">
        <v>92121</v>
      </c>
      <c r="U645" s="12">
        <v>1</v>
      </c>
      <c r="V645" s="12">
        <f t="shared" si="92"/>
        <v>2050</v>
      </c>
      <c r="W645" s="8" t="str">
        <f>IF(X645="","",VLOOKUP(X645,引用表合并!$A:$B,2,FALSE))</f>
        <v>高级装备升级石</v>
      </c>
      <c r="X645" s="8">
        <v>85200</v>
      </c>
      <c r="Y645" s="8">
        <v>1</v>
      </c>
      <c r="Z645" s="10">
        <f>MIN(Z630+100,10000)</f>
        <v>2600</v>
      </c>
      <c r="AA645" s="8" t="str">
        <f>IF(AB645="","",VLOOKUP(AB645,引用表合并!$A:$B,2,FALSE))</f>
        <v/>
      </c>
      <c r="AB645" s="8"/>
      <c r="AC645" s="8"/>
      <c r="AE645" s="8" t="str">
        <f>IF(AF645="","",VLOOKUP(AF645,引用表合并!$A:$B,2,FALSE))</f>
        <v/>
      </c>
      <c r="AF645" s="8"/>
      <c r="AG645" s="8"/>
      <c r="AI645" s="8"/>
      <c r="AJ645" s="8"/>
      <c r="AK645" s="8"/>
      <c r="AM645" s="8" t="str">
        <f>IF(AN645="","",VLOOKUP(AN645,引用表合并!$A:$B,2,FALSE))</f>
        <v/>
      </c>
      <c r="AN645" s="8"/>
      <c r="AO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D645" s="8"/>
      <c r="BH645" s="8"/>
      <c r="BL645" s="8"/>
      <c r="FK645" s="8">
        <v>1</v>
      </c>
      <c r="FL645" s="8">
        <v>0</v>
      </c>
    </row>
    <row r="646" spans="1:168" x14ac:dyDescent="0.15">
      <c r="A646" s="8">
        <v>700202</v>
      </c>
      <c r="B646" t="s">
        <v>877</v>
      </c>
      <c r="C646" s="8">
        <v>0</v>
      </c>
      <c r="D646" s="8">
        <f t="shared" si="87"/>
        <v>5</v>
      </c>
      <c r="E646" s="16">
        <f t="shared" si="85"/>
        <v>5</v>
      </c>
      <c r="F646" s="16">
        <f t="shared" si="88"/>
        <v>5</v>
      </c>
      <c r="G646" s="8" t="str">
        <f>IF(H646="","",VLOOKUP(H646,引用表合并!$A:$B,2,FALSE))</f>
        <v>银饰耳钉碎片</v>
      </c>
      <c r="H646" s="74">
        <v>93122</v>
      </c>
      <c r="I646" s="9">
        <v>1</v>
      </c>
      <c r="J646" s="12">
        <f t="shared" si="89"/>
        <v>2050</v>
      </c>
      <c r="K646" s="12" t="str">
        <f>IF(L646="","",VLOOKUP(L646,引用表合并!$A:$B,2,FALSE))</f>
        <v>精准手表碎片</v>
      </c>
      <c r="L646" s="74">
        <v>93271</v>
      </c>
      <c r="M646" s="9">
        <v>1</v>
      </c>
      <c r="N646" s="12">
        <f t="shared" si="90"/>
        <v>2050</v>
      </c>
      <c r="O646" s="12" t="str">
        <f>IF(P646="","",VLOOKUP(P646,引用表合并!$A:$B,2,FALSE))</f>
        <v>亚诺</v>
      </c>
      <c r="P646" s="73">
        <v>92011</v>
      </c>
      <c r="Q646" s="12">
        <v>1</v>
      </c>
      <c r="R646" s="12">
        <f t="shared" si="91"/>
        <v>2050</v>
      </c>
      <c r="S646" s="12" t="str">
        <f>IF(T646="","",VLOOKUP(T646,引用表合并!$A:$B,2,FALSE))</f>
        <v>诅咒项链</v>
      </c>
      <c r="T646" s="73">
        <v>92243</v>
      </c>
      <c r="U646" s="12">
        <v>1</v>
      </c>
      <c r="V646" s="12">
        <f t="shared" si="92"/>
        <v>2050</v>
      </c>
      <c r="W646" s="8" t="str">
        <f>IF(X646="","",VLOOKUP(X646,引用表合并!$A:$B,2,FALSE))</f>
        <v>高级装备升级石</v>
      </c>
      <c r="X646" s="8">
        <v>85200</v>
      </c>
      <c r="Y646" s="8">
        <v>1</v>
      </c>
      <c r="Z646" s="10">
        <f t="shared" ref="Z646:Z709" si="94">MIN(Z631+100,10000)</f>
        <v>2700</v>
      </c>
      <c r="AA646" s="8" t="str">
        <f>IF(AB646="","",VLOOKUP(AB646,引用表合并!$A:$B,2,FALSE))</f>
        <v/>
      </c>
      <c r="AB646" s="8"/>
      <c r="AC646" s="8"/>
      <c r="AE646" s="8" t="str">
        <f>IF(AF646="","",VLOOKUP(AF646,引用表合并!$A:$B,2,FALSE))</f>
        <v/>
      </c>
      <c r="AF646" s="8"/>
      <c r="AG646" s="8"/>
      <c r="AI646" s="8"/>
      <c r="AJ646" s="8"/>
      <c r="AK646" s="8"/>
      <c r="AM646" s="8" t="str">
        <f>IF(AN646="","",VLOOKUP(AN646,引用表合并!$A:$B,2,FALSE))</f>
        <v/>
      </c>
      <c r="AN646" s="8"/>
      <c r="AO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D646" s="8"/>
      <c r="BH646" s="8"/>
      <c r="BL646" s="8"/>
      <c r="FK646" s="8">
        <v>1</v>
      </c>
      <c r="FL646" s="8">
        <v>0</v>
      </c>
    </row>
    <row r="647" spans="1:168" x14ac:dyDescent="0.15">
      <c r="A647" s="8">
        <v>700203</v>
      </c>
      <c r="B647" t="s">
        <v>878</v>
      </c>
      <c r="C647" s="8">
        <v>0</v>
      </c>
      <c r="D647" s="8">
        <f t="shared" si="87"/>
        <v>5</v>
      </c>
      <c r="E647" s="16">
        <f t="shared" si="85"/>
        <v>5</v>
      </c>
      <c r="F647" s="16">
        <f t="shared" si="88"/>
        <v>5</v>
      </c>
      <c r="G647" s="8" t="str">
        <f>IF(H647="","",VLOOKUP(H647,引用表合并!$A:$B,2,FALSE))</f>
        <v>白银戒指碎片</v>
      </c>
      <c r="H647" s="74">
        <v>93141</v>
      </c>
      <c r="I647" s="9">
        <v>1</v>
      </c>
      <c r="J647" s="12">
        <f t="shared" si="89"/>
        <v>2550</v>
      </c>
      <c r="K647" s="12" t="str">
        <f>IF(L647="","",VLOOKUP(L647,引用表合并!$A:$B,2,FALSE))</f>
        <v>宝驼碎片</v>
      </c>
      <c r="L647" s="74">
        <v>93278</v>
      </c>
      <c r="M647" s="9">
        <v>1</v>
      </c>
      <c r="N647" s="12">
        <f t="shared" si="90"/>
        <v>2550</v>
      </c>
      <c r="O647" s="12" t="str">
        <f>IF(P647="","",VLOOKUP(P647,引用表合并!$A:$B,2,FALSE))</f>
        <v>银色手环</v>
      </c>
      <c r="P647" s="73">
        <v>92228</v>
      </c>
      <c r="Q647" s="12">
        <v>1</v>
      </c>
      <c r="R647" s="12">
        <f t="shared" si="91"/>
        <v>2550</v>
      </c>
      <c r="S647" s="12" t="str">
        <f>IF(T647="","",VLOOKUP(T647,引用表合并!$A:$B,2,FALSE))</f>
        <v>金饰项链</v>
      </c>
      <c r="T647" s="73">
        <v>92244</v>
      </c>
      <c r="U647" s="12">
        <v>1</v>
      </c>
      <c r="V647" s="12">
        <f t="shared" si="92"/>
        <v>2550</v>
      </c>
      <c r="W647" s="8" t="str">
        <f>IF(X647="","",VLOOKUP(X647,引用表合并!$A:$B,2,FALSE))</f>
        <v>高级装备升级石</v>
      </c>
      <c r="X647" s="8">
        <v>85200</v>
      </c>
      <c r="Y647" s="8">
        <v>1</v>
      </c>
      <c r="Z647" s="10">
        <f t="shared" si="94"/>
        <v>5100</v>
      </c>
      <c r="AA647" s="8" t="str">
        <f>IF(AB647="","",VLOOKUP(AB647,引用表合并!$A:$B,2,FALSE))</f>
        <v/>
      </c>
      <c r="AB647" s="8"/>
      <c r="AC647" s="8"/>
      <c r="AE647" s="8" t="str">
        <f>IF(AF647="","",VLOOKUP(AF647,引用表合并!$A:$B,2,FALSE))</f>
        <v/>
      </c>
      <c r="AF647" s="8"/>
      <c r="AG647" s="8"/>
      <c r="AI647" s="8"/>
      <c r="AJ647" s="8"/>
      <c r="AK647" s="8"/>
      <c r="AM647" s="8" t="str">
        <f>IF(AN647="","",VLOOKUP(AN647,引用表合并!$A:$B,2,FALSE))</f>
        <v/>
      </c>
      <c r="AN647" s="8"/>
      <c r="AO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D647" s="8"/>
      <c r="BH647" s="8"/>
      <c r="BL647" s="8"/>
      <c r="FK647" s="8">
        <v>1</v>
      </c>
      <c r="FL647" s="8">
        <v>10</v>
      </c>
    </row>
    <row r="648" spans="1:168" x14ac:dyDescent="0.15">
      <c r="A648" s="8">
        <v>700204</v>
      </c>
      <c r="B648" t="s">
        <v>879</v>
      </c>
      <c r="C648" s="8">
        <v>0</v>
      </c>
      <c r="D648" s="8">
        <f t="shared" si="87"/>
        <v>5</v>
      </c>
      <c r="E648" s="16">
        <f t="shared" si="85"/>
        <v>5</v>
      </c>
      <c r="F648" s="16">
        <f t="shared" si="88"/>
        <v>5</v>
      </c>
      <c r="G648" s="8" t="str">
        <f>IF(H648="","",VLOOKUP(H648,引用表合并!$A:$B,2,FALSE))</f>
        <v>水晶项链碎片</v>
      </c>
      <c r="H648" s="74">
        <v>93245</v>
      </c>
      <c r="I648" s="9">
        <v>1</v>
      </c>
      <c r="J648" s="12">
        <f t="shared" si="89"/>
        <v>2050</v>
      </c>
      <c r="K648" s="12" t="str">
        <f>IF(L648="","",VLOOKUP(L648,引用表合并!$A:$B,2,FALSE))</f>
        <v>小迭钞票碎片</v>
      </c>
      <c r="L648" s="74">
        <v>93283</v>
      </c>
      <c r="M648" s="9">
        <v>1</v>
      </c>
      <c r="N648" s="12">
        <f t="shared" si="90"/>
        <v>2050</v>
      </c>
      <c r="O648" s="12" t="str">
        <f>IF(P648="","",VLOOKUP(P648,引用表合并!$A:$B,2,FALSE))</f>
        <v>鎏金手环</v>
      </c>
      <c r="P648" s="73">
        <v>92232</v>
      </c>
      <c r="Q648" s="12">
        <v>1</v>
      </c>
      <c r="R648" s="12">
        <f t="shared" si="91"/>
        <v>2050</v>
      </c>
      <c r="S648" s="12" t="str">
        <f>IF(T648="","",VLOOKUP(T648,引用表合并!$A:$B,2,FALSE))</f>
        <v>银针手表</v>
      </c>
      <c r="T648" s="73">
        <v>92263</v>
      </c>
      <c r="U648" s="12">
        <v>1</v>
      </c>
      <c r="V648" s="12">
        <f t="shared" si="92"/>
        <v>2050</v>
      </c>
      <c r="W648" s="8" t="str">
        <f>IF(X648="","",VLOOKUP(X648,引用表合并!$A:$B,2,FALSE))</f>
        <v>高级装备升级石</v>
      </c>
      <c r="X648" s="8">
        <v>85200</v>
      </c>
      <c r="Y648" s="8">
        <v>1</v>
      </c>
      <c r="Z648" s="10">
        <f t="shared" si="94"/>
        <v>2800</v>
      </c>
      <c r="AA648" s="8" t="str">
        <f>IF(AB648="","",VLOOKUP(AB648,引用表合并!$A:$B,2,FALSE))</f>
        <v/>
      </c>
      <c r="AB648" s="8"/>
      <c r="AC648" s="8"/>
      <c r="AE648" s="8" t="str">
        <f>IF(AF648="","",VLOOKUP(AF648,引用表合并!$A:$B,2,FALSE))</f>
        <v/>
      </c>
      <c r="AF648" s="8"/>
      <c r="AG648" s="8"/>
      <c r="AI648" s="8"/>
      <c r="AJ648" s="8"/>
      <c r="AK648" s="8"/>
      <c r="AM648" s="8" t="str">
        <f>IF(AN648="","",VLOOKUP(AN648,引用表合并!$A:$B,2,FALSE))</f>
        <v/>
      </c>
      <c r="AN648" s="8"/>
      <c r="AO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D648" s="8"/>
      <c r="BH648" s="8"/>
      <c r="BL648" s="8"/>
      <c r="FK648" s="8">
        <v>1</v>
      </c>
      <c r="FL648" s="8">
        <v>0</v>
      </c>
    </row>
    <row r="649" spans="1:168" x14ac:dyDescent="0.15">
      <c r="A649" s="8">
        <v>700205</v>
      </c>
      <c r="B649" t="s">
        <v>880</v>
      </c>
      <c r="C649" s="8">
        <v>0</v>
      </c>
      <c r="D649" s="8">
        <f t="shared" si="87"/>
        <v>5</v>
      </c>
      <c r="E649" s="16">
        <f t="shared" si="85"/>
        <v>5</v>
      </c>
      <c r="F649" s="16">
        <f t="shared" si="88"/>
        <v>5</v>
      </c>
      <c r="G649" s="8" t="str">
        <f>IF(H649="","",VLOOKUP(H649,引用表合并!$A:$B,2,FALSE))</f>
        <v>红石项链碎片</v>
      </c>
      <c r="H649" s="74">
        <v>93251</v>
      </c>
      <c r="I649" s="9">
        <v>1</v>
      </c>
      <c r="J649" s="9">
        <f t="shared" si="89"/>
        <v>2050</v>
      </c>
      <c r="K649" s="9" t="str">
        <f>IF(L649="","",VLOOKUP(L649,引用表合并!$A:$B,2,FALSE))</f>
        <v>金块碎片</v>
      </c>
      <c r="L649" s="74">
        <v>93287</v>
      </c>
      <c r="M649" s="9">
        <v>1</v>
      </c>
      <c r="N649" s="9">
        <f t="shared" si="90"/>
        <v>2050</v>
      </c>
      <c r="O649" s="9" t="str">
        <f>IF(P649="","",VLOOKUP(P649,引用表合并!$A:$B,2,FALSE))</f>
        <v>白银戒指碎片</v>
      </c>
      <c r="P649" s="74">
        <v>93141</v>
      </c>
      <c r="Q649" s="9">
        <v>1</v>
      </c>
      <c r="R649" s="12">
        <f t="shared" si="91"/>
        <v>2050</v>
      </c>
      <c r="S649" s="9" t="str">
        <f>IF(T649="","",VLOOKUP(T649,引用表合并!$A:$B,2,FALSE))</f>
        <v>金块</v>
      </c>
      <c r="T649" s="74">
        <v>92287</v>
      </c>
      <c r="U649" s="9">
        <v>1</v>
      </c>
      <c r="V649" s="12">
        <f t="shared" si="92"/>
        <v>2050</v>
      </c>
      <c r="W649" s="8" t="str">
        <f>IF(X649="","",VLOOKUP(X649,引用表合并!$A:$B,2,FALSE))</f>
        <v>高级装备升级石</v>
      </c>
      <c r="X649" s="8">
        <v>85200</v>
      </c>
      <c r="Y649" s="8">
        <v>1</v>
      </c>
      <c r="Z649" s="10">
        <f t="shared" si="94"/>
        <v>2900</v>
      </c>
      <c r="AA649" s="8" t="str">
        <f>IF(AB649="","",VLOOKUP(AB649,引用表合并!$A:$B,2,FALSE))</f>
        <v/>
      </c>
      <c r="AB649" s="8"/>
      <c r="AC649" s="8"/>
      <c r="AE649" s="8" t="str">
        <f>IF(AF649="","",VLOOKUP(AF649,引用表合并!$A:$B,2,FALSE))</f>
        <v/>
      </c>
      <c r="AF649" s="8"/>
      <c r="AI649" s="8"/>
      <c r="AJ649" s="8"/>
      <c r="AK649" s="8"/>
      <c r="AM649" s="8" t="str">
        <f>IF(AN649="","",VLOOKUP(AN649,引用表合并!$A:$B,2,FALSE))</f>
        <v/>
      </c>
      <c r="AN649" s="8"/>
      <c r="AO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D649" s="8"/>
      <c r="BH649" s="8"/>
      <c r="BL649" s="8"/>
      <c r="FK649" s="8">
        <v>1</v>
      </c>
      <c r="FL649" s="8">
        <v>0</v>
      </c>
    </row>
    <row r="650" spans="1:168" x14ac:dyDescent="0.15">
      <c r="A650" s="8">
        <v>700206</v>
      </c>
      <c r="B650" t="s">
        <v>881</v>
      </c>
      <c r="C650" s="8">
        <v>0</v>
      </c>
      <c r="D650" s="8">
        <f t="shared" si="87"/>
        <v>6</v>
      </c>
      <c r="E650" s="16">
        <f t="shared" si="85"/>
        <v>6</v>
      </c>
      <c r="F650" s="16">
        <f t="shared" si="88"/>
        <v>6</v>
      </c>
      <c r="G650" s="8" t="str">
        <f>IF(H650="","",VLOOKUP(H650,引用表合并!$A:$B,2,FALSE))</f>
        <v>黄金戒指碎片</v>
      </c>
      <c r="H650" s="75">
        <v>93142</v>
      </c>
      <c r="I650" s="34">
        <v>1</v>
      </c>
      <c r="J650" s="34">
        <f t="shared" si="89"/>
        <v>2650</v>
      </c>
      <c r="K650" s="8" t="str">
        <f>IF(L650="","",VLOOKUP(L650,引用表合并!$A:$B,2,FALSE))</f>
        <v>宝石手环碎片</v>
      </c>
      <c r="L650" s="75">
        <v>93235</v>
      </c>
      <c r="M650" s="34">
        <v>1</v>
      </c>
      <c r="N650" s="34">
        <f t="shared" si="90"/>
        <v>2650</v>
      </c>
      <c r="O650" s="8" t="str">
        <f>IF(P650="","",VLOOKUP(P650,引用表合并!$A:$B,2,FALSE))</f>
        <v>水晶项链碎片</v>
      </c>
      <c r="P650" s="74">
        <v>93245</v>
      </c>
      <c r="Q650" s="9">
        <v>1</v>
      </c>
      <c r="R650" s="12">
        <f t="shared" si="91"/>
        <v>2650</v>
      </c>
      <c r="S650" s="12" t="str">
        <f>IF(T650="","",VLOOKUP(T650,引用表合并!$A:$B,2,FALSE))</f>
        <v>冬利</v>
      </c>
      <c r="T650" s="73">
        <v>92277</v>
      </c>
      <c r="U650" s="12">
        <v>1</v>
      </c>
      <c r="V650" s="12">
        <f t="shared" si="92"/>
        <v>2650</v>
      </c>
      <c r="W650" s="8" t="str">
        <f>IF(X650="","",VLOOKUP(X650,引用表合并!$A:$B,2,FALSE))</f>
        <v>稀有装备升级石</v>
      </c>
      <c r="X650" s="8">
        <v>85300</v>
      </c>
      <c r="Y650" s="10">
        <v>1</v>
      </c>
      <c r="Z650" s="10">
        <f t="shared" si="94"/>
        <v>2100</v>
      </c>
      <c r="AA650" s="8" t="str">
        <f>IF(AB650="","",VLOOKUP(AB650,引用表合并!$A:$B,2,FALSE))</f>
        <v>高级装备升级石</v>
      </c>
      <c r="AB650" s="8">
        <v>85200</v>
      </c>
      <c r="AC650" s="8">
        <v>1</v>
      </c>
      <c r="AD650" s="10">
        <f>AD635</f>
        <v>10000</v>
      </c>
      <c r="AE650" s="8" t="str">
        <f>IF(AF650="","",VLOOKUP(AF650,引用表合并!$A:$B,2,FALSE))</f>
        <v/>
      </c>
      <c r="AF650" s="8"/>
      <c r="AI650" s="8"/>
      <c r="AJ650" s="8"/>
      <c r="AK650" s="8"/>
      <c r="AM650" s="8" t="str">
        <f>IF(AN650="","",VLOOKUP(AN650,引用表合并!$A:$B,2,FALSE))</f>
        <v/>
      </c>
      <c r="AN650" s="8"/>
      <c r="AO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D650" s="8"/>
      <c r="BH650" s="8"/>
      <c r="BL650" s="8"/>
      <c r="FK650" s="8">
        <v>1</v>
      </c>
      <c r="FL650" s="8">
        <v>12</v>
      </c>
    </row>
    <row r="651" spans="1:168" x14ac:dyDescent="0.15">
      <c r="A651" s="8">
        <v>700207</v>
      </c>
      <c r="B651" t="s">
        <v>882</v>
      </c>
      <c r="C651" s="8">
        <v>0</v>
      </c>
      <c r="D651" s="8">
        <f t="shared" si="87"/>
        <v>6</v>
      </c>
      <c r="E651" s="16">
        <f t="shared" si="85"/>
        <v>6</v>
      </c>
      <c r="F651" s="16">
        <f t="shared" si="88"/>
        <v>6</v>
      </c>
      <c r="G651" s="8" t="str">
        <f>IF(H651="","",VLOOKUP(H651,引用表合并!$A:$B,2,FALSE))</f>
        <v>宝石手环碎片</v>
      </c>
      <c r="H651" s="75">
        <v>93235</v>
      </c>
      <c r="I651" s="34">
        <v>1</v>
      </c>
      <c r="J651" s="34">
        <f t="shared" si="89"/>
        <v>2050</v>
      </c>
      <c r="K651" s="8" t="str">
        <f>IF(L651="","",VLOOKUP(L651,引用表合并!$A:$B,2,FALSE))</f>
        <v>摩拉碎片</v>
      </c>
      <c r="L651" s="75">
        <v>93012</v>
      </c>
      <c r="M651" s="34">
        <v>1</v>
      </c>
      <c r="N651" s="34">
        <f t="shared" si="90"/>
        <v>2050</v>
      </c>
      <c r="O651" s="8" t="str">
        <f>IF(P651="","",VLOOKUP(P651,引用表合并!$A:$B,2,FALSE))</f>
        <v>红石项链碎片</v>
      </c>
      <c r="P651" s="74">
        <v>93251</v>
      </c>
      <c r="Q651" s="9">
        <v>1</v>
      </c>
      <c r="R651" s="12">
        <f t="shared" si="91"/>
        <v>2050</v>
      </c>
      <c r="S651" s="12" t="str">
        <f>IF(T651="","",VLOOKUP(T651,引用表合并!$A:$B,2,FALSE))</f>
        <v>幸运戒指</v>
      </c>
      <c r="T651" s="73">
        <v>92131</v>
      </c>
      <c r="U651" s="12">
        <v>1</v>
      </c>
      <c r="V651" s="12">
        <f t="shared" si="92"/>
        <v>2050</v>
      </c>
      <c r="W651" s="8" t="str">
        <f>IF(X651="","",VLOOKUP(X651,引用表合并!$A:$B,2,FALSE))</f>
        <v>稀有装备升级石</v>
      </c>
      <c r="X651" s="8">
        <v>85300</v>
      </c>
      <c r="Y651" s="10">
        <v>1</v>
      </c>
      <c r="Z651" s="10">
        <f t="shared" si="94"/>
        <v>2300</v>
      </c>
      <c r="AA651" s="8" t="str">
        <f>IF(AB651="","",VLOOKUP(AB651,引用表合并!$A:$B,2,FALSE))</f>
        <v>高级装备升级石</v>
      </c>
      <c r="AB651" s="8">
        <v>85200</v>
      </c>
      <c r="AC651" s="8">
        <v>1</v>
      </c>
      <c r="AD651" s="10">
        <f t="shared" ref="AD651:AD714" si="95">AD636</f>
        <v>3000</v>
      </c>
      <c r="AE651" s="8" t="str">
        <f>IF(AF651="","",VLOOKUP(AF651,引用表合并!$A:$B,2,FALSE))</f>
        <v/>
      </c>
      <c r="AF651" s="8"/>
      <c r="AI651" s="8"/>
      <c r="AJ651" s="8"/>
      <c r="AK651" s="8"/>
      <c r="AM651" s="8" t="str">
        <f>IF(AN651="","",VLOOKUP(AN651,引用表合并!$A:$B,2,FALSE))</f>
        <v/>
      </c>
      <c r="AN651" s="8"/>
      <c r="AO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D651" s="8"/>
      <c r="BH651" s="8"/>
      <c r="BL651" s="8"/>
      <c r="FK651" s="8">
        <v>1</v>
      </c>
      <c r="FL651" s="8">
        <v>0</v>
      </c>
    </row>
    <row r="652" spans="1:168" x14ac:dyDescent="0.15">
      <c r="A652" s="8">
        <v>700208</v>
      </c>
      <c r="B652" t="s">
        <v>883</v>
      </c>
      <c r="C652" s="8">
        <v>0</v>
      </c>
      <c r="D652" s="8">
        <f t="shared" si="87"/>
        <v>6</v>
      </c>
      <c r="E652" s="16">
        <f t="shared" si="85"/>
        <v>6</v>
      </c>
      <c r="F652" s="16">
        <f t="shared" si="88"/>
        <v>6</v>
      </c>
      <c r="G652" s="8" t="str">
        <f>IF(H652="","",VLOOKUP(H652,引用表合并!$A:$B,2,FALSE))</f>
        <v>摩拉碎片</v>
      </c>
      <c r="H652" s="75">
        <v>93012</v>
      </c>
      <c r="I652" s="34">
        <v>1</v>
      </c>
      <c r="J652" s="34">
        <f t="shared" si="89"/>
        <v>2050</v>
      </c>
      <c r="K652" s="8" t="str">
        <f>IF(L652="","",VLOOKUP(L652,引用表合并!$A:$B,2,FALSE))</f>
        <v>青玉项链碎片</v>
      </c>
      <c r="L652" s="75">
        <v>93252</v>
      </c>
      <c r="M652" s="34">
        <v>1</v>
      </c>
      <c r="N652" s="34">
        <f t="shared" si="90"/>
        <v>2050</v>
      </c>
      <c r="O652" s="8" t="str">
        <f>IF(P652="","",VLOOKUP(P652,引用表合并!$A:$B,2,FALSE))</f>
        <v>越野手表碎片</v>
      </c>
      <c r="P652" s="74">
        <v>93264</v>
      </c>
      <c r="Q652" s="9">
        <v>1</v>
      </c>
      <c r="R652" s="12">
        <f t="shared" si="91"/>
        <v>2050</v>
      </c>
      <c r="S652" s="12" t="str">
        <f>IF(T652="","",VLOOKUP(T652,引用表合并!$A:$B,2,FALSE))</f>
        <v>亚诺</v>
      </c>
      <c r="T652" s="73">
        <v>92011</v>
      </c>
      <c r="U652" s="12">
        <v>1</v>
      </c>
      <c r="V652" s="12">
        <f t="shared" si="92"/>
        <v>2050</v>
      </c>
      <c r="W652" s="8" t="str">
        <f>IF(X652="","",VLOOKUP(X652,引用表合并!$A:$B,2,FALSE))</f>
        <v>稀有装备升级石</v>
      </c>
      <c r="X652" s="8">
        <v>85300</v>
      </c>
      <c r="Y652" s="10">
        <v>1</v>
      </c>
      <c r="Z652" s="10">
        <f t="shared" si="94"/>
        <v>2500</v>
      </c>
      <c r="AA652" s="8" t="str">
        <f>IF(AB652="","",VLOOKUP(AB652,引用表合并!$A:$B,2,FALSE))</f>
        <v>高级装备升级石</v>
      </c>
      <c r="AB652" s="8">
        <v>85200</v>
      </c>
      <c r="AC652" s="8">
        <v>1</v>
      </c>
      <c r="AD652" s="10">
        <f t="shared" si="95"/>
        <v>3200</v>
      </c>
      <c r="AE652" s="8" t="str">
        <f>IF(AF652="","",VLOOKUP(AF652,引用表合并!$A:$B,2,FALSE))</f>
        <v/>
      </c>
      <c r="AF652" s="8"/>
      <c r="AI652" s="8"/>
      <c r="AJ652" s="8"/>
      <c r="AK652" s="8"/>
      <c r="AM652" s="8" t="str">
        <f>IF(AN652="","",VLOOKUP(AN652,引用表合并!$A:$B,2,FALSE))</f>
        <v/>
      </c>
      <c r="AN652" s="8"/>
      <c r="AO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D652" s="8"/>
      <c r="BH652" s="8"/>
      <c r="BL652" s="8"/>
      <c r="FK652" s="8">
        <v>1</v>
      </c>
      <c r="FL652" s="8">
        <v>0</v>
      </c>
    </row>
    <row r="653" spans="1:168" x14ac:dyDescent="0.15">
      <c r="A653" s="8">
        <v>700209</v>
      </c>
      <c r="B653" t="s">
        <v>884</v>
      </c>
      <c r="C653" s="8">
        <v>0</v>
      </c>
      <c r="D653" s="8">
        <f t="shared" si="87"/>
        <v>6</v>
      </c>
      <c r="E653" s="16">
        <f t="shared" si="85"/>
        <v>6</v>
      </c>
      <c r="F653" s="16">
        <f t="shared" si="88"/>
        <v>6</v>
      </c>
      <c r="G653" s="8" t="str">
        <f>IF(H653="","",VLOOKUP(H653,引用表合并!$A:$B,2,FALSE))</f>
        <v>青玉项链碎片</v>
      </c>
      <c r="H653" s="75">
        <v>93252</v>
      </c>
      <c r="I653" s="34">
        <v>1</v>
      </c>
      <c r="J653" s="34">
        <f t="shared" si="89"/>
        <v>2750</v>
      </c>
      <c r="K653" s="8" t="str">
        <f>IF(L653="","",VLOOKUP(L653,引用表合并!$A:$B,2,FALSE))</f>
        <v>水晶耳钉碎片</v>
      </c>
      <c r="L653" s="75">
        <v>93124</v>
      </c>
      <c r="M653" s="34">
        <v>1</v>
      </c>
      <c r="N653" s="34">
        <f t="shared" si="90"/>
        <v>2750</v>
      </c>
      <c r="O653" s="8" t="str">
        <f>IF(P653="","",VLOOKUP(P653,引用表合并!$A:$B,2,FALSE))</f>
        <v>精准手表碎片</v>
      </c>
      <c r="P653" s="74">
        <v>93271</v>
      </c>
      <c r="Q653" s="9">
        <v>1</v>
      </c>
      <c r="R653" s="12">
        <f t="shared" si="91"/>
        <v>2750</v>
      </c>
      <c r="S653" s="12" t="str">
        <f>IF(T653="","",VLOOKUP(T653,引用表合并!$A:$B,2,FALSE))</f>
        <v>银色手环</v>
      </c>
      <c r="T653" s="73">
        <v>92228</v>
      </c>
      <c r="U653" s="12">
        <v>1</v>
      </c>
      <c r="V653" s="12">
        <f t="shared" si="92"/>
        <v>2750</v>
      </c>
      <c r="W653" s="8" t="str">
        <f>IF(X653="","",VLOOKUP(X653,引用表合并!$A:$B,2,FALSE))</f>
        <v>稀有装备升级石</v>
      </c>
      <c r="X653" s="8">
        <v>85300</v>
      </c>
      <c r="Y653" s="10">
        <v>1</v>
      </c>
      <c r="Z653" s="10">
        <f t="shared" si="94"/>
        <v>10000</v>
      </c>
      <c r="AA653" s="8" t="str">
        <f>IF(AB653="","",VLOOKUP(AB653,引用表合并!$A:$B,2,FALSE))</f>
        <v>高级装备升级石</v>
      </c>
      <c r="AB653" s="8">
        <v>85200</v>
      </c>
      <c r="AC653" s="8">
        <v>1</v>
      </c>
      <c r="AD653" s="10">
        <f t="shared" si="95"/>
        <v>2000</v>
      </c>
      <c r="AE653" s="8" t="str">
        <f>IF(AF653="","",VLOOKUP(AF653,引用表合并!$A:$B,2,FALSE))</f>
        <v/>
      </c>
      <c r="AF653" s="8"/>
      <c r="AI653" s="8"/>
      <c r="AJ653" s="8"/>
      <c r="AK653" s="8"/>
      <c r="AM653" s="8" t="str">
        <f>IF(AN653="","",VLOOKUP(AN653,引用表合并!$A:$B,2,FALSE))</f>
        <v/>
      </c>
      <c r="AN653" s="8"/>
      <c r="AO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D653" s="8"/>
      <c r="BH653" s="8"/>
      <c r="BL653" s="8"/>
      <c r="FK653" s="8">
        <v>1</v>
      </c>
      <c r="FL653" s="8">
        <v>14</v>
      </c>
    </row>
    <row r="654" spans="1:168" x14ac:dyDescent="0.15">
      <c r="A654" s="8">
        <v>700210</v>
      </c>
      <c r="B654" t="s">
        <v>885</v>
      </c>
      <c r="C654" s="8">
        <v>0</v>
      </c>
      <c r="D654" s="8">
        <f t="shared" si="87"/>
        <v>6</v>
      </c>
      <c r="E654" s="16">
        <f t="shared" si="85"/>
        <v>6</v>
      </c>
      <c r="F654" s="16">
        <f t="shared" si="88"/>
        <v>6</v>
      </c>
      <c r="G654" s="8" t="str">
        <f>IF(H654="","",VLOOKUP(H654,引用表合并!$A:$B,2,FALSE))</f>
        <v>水晶耳钉碎片</v>
      </c>
      <c r="H654" s="75">
        <v>93124</v>
      </c>
      <c r="I654" s="34">
        <v>1</v>
      </c>
      <c r="J654" s="34">
        <f t="shared" si="89"/>
        <v>2450</v>
      </c>
      <c r="K654" s="8" t="str">
        <f>IF(L654="","",VLOOKUP(L654,引用表合并!$A:$B,2,FALSE))</f>
        <v>金针手表碎片</v>
      </c>
      <c r="L654" s="75">
        <v>93272</v>
      </c>
      <c r="M654" s="34">
        <v>1</v>
      </c>
      <c r="N654" s="34">
        <f t="shared" si="90"/>
        <v>2450</v>
      </c>
      <c r="O654" s="8" t="str">
        <f>IF(P654="","",VLOOKUP(P654,引用表合并!$A:$B,2,FALSE))</f>
        <v>宝驼碎片</v>
      </c>
      <c r="P654" s="74">
        <v>93278</v>
      </c>
      <c r="Q654" s="9">
        <v>1</v>
      </c>
      <c r="R654" s="9">
        <f t="shared" si="91"/>
        <v>2450</v>
      </c>
      <c r="S654" s="9" t="str">
        <f>IF(T654="","",VLOOKUP(T654,引用表合并!$A:$B,2,FALSE))</f>
        <v>白金手环碎片</v>
      </c>
      <c r="T654" s="74">
        <v>93233</v>
      </c>
      <c r="U654" s="9">
        <v>1</v>
      </c>
      <c r="V654" s="9">
        <f t="shared" si="92"/>
        <v>2450</v>
      </c>
      <c r="W654" s="8" t="str">
        <f>IF(X654="","",VLOOKUP(X654,引用表合并!$A:$B,2,FALSE))</f>
        <v>稀有装备升级石</v>
      </c>
      <c r="X654" s="8">
        <v>85300</v>
      </c>
      <c r="Y654" s="10">
        <v>1</v>
      </c>
      <c r="Z654" s="10">
        <f t="shared" si="94"/>
        <v>2700</v>
      </c>
      <c r="AA654" s="8" t="str">
        <f>IF(AB654="","",VLOOKUP(AB654,引用表合并!$A:$B,2,FALSE))</f>
        <v>高级装备升级石</v>
      </c>
      <c r="AB654" s="8">
        <v>85200</v>
      </c>
      <c r="AC654" s="8">
        <v>1</v>
      </c>
      <c r="AD654" s="10">
        <f t="shared" si="95"/>
        <v>3400</v>
      </c>
      <c r="AE654" s="8" t="str">
        <f>IF(AF654="","",VLOOKUP(AF654,引用表合并!$A:$B,2,FALSE))</f>
        <v/>
      </c>
      <c r="AF654" s="8"/>
      <c r="AI654" s="8"/>
      <c r="AJ654" s="8"/>
      <c r="AK654" s="8"/>
      <c r="AM654" s="8" t="str">
        <f>IF(AN654="","",VLOOKUP(AN654,引用表合并!$A:$B,2,FALSE))</f>
        <v/>
      </c>
      <c r="AN654" s="8"/>
      <c r="AO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D654" s="8"/>
      <c r="BH654" s="8"/>
      <c r="BL654" s="8"/>
      <c r="FK654" s="8">
        <v>1</v>
      </c>
      <c r="FL654" s="8">
        <v>8</v>
      </c>
    </row>
    <row r="655" spans="1:168" x14ac:dyDescent="0.15">
      <c r="A655" s="8">
        <v>700211</v>
      </c>
      <c r="B655" t="s">
        <v>886</v>
      </c>
      <c r="C655" s="8">
        <v>0</v>
      </c>
      <c r="D655" s="8">
        <f t="shared" si="87"/>
        <v>6</v>
      </c>
      <c r="E655" s="16">
        <f t="shared" si="85"/>
        <v>6</v>
      </c>
      <c r="F655" s="16">
        <f t="shared" si="88"/>
        <v>6</v>
      </c>
      <c r="G655" s="8" t="str">
        <f>IF(H655="","",VLOOKUP(H655,引用表合并!$A:$B,2,FALSE))</f>
        <v>金针手表碎片</v>
      </c>
      <c r="H655" s="75">
        <v>93272</v>
      </c>
      <c r="I655" s="34">
        <v>1</v>
      </c>
      <c r="J655" s="34">
        <f t="shared" si="89"/>
        <v>2450</v>
      </c>
      <c r="K655" s="8" t="str">
        <f>IF(L655="","",VLOOKUP(L655,引用表合并!$A:$B,2,FALSE))</f>
        <v>智能手表碎片</v>
      </c>
      <c r="L655" s="75">
        <v>93273</v>
      </c>
      <c r="M655" s="34">
        <v>1</v>
      </c>
      <c r="N655" s="34">
        <f t="shared" si="90"/>
        <v>2450</v>
      </c>
      <c r="O655" s="8" t="str">
        <f>IF(P655="","",VLOOKUP(P655,引用表合并!$A:$B,2,FALSE))</f>
        <v>小迭钞票碎片</v>
      </c>
      <c r="P655" s="74">
        <v>93283</v>
      </c>
      <c r="Q655" s="34">
        <v>1</v>
      </c>
      <c r="R655" s="34">
        <f t="shared" si="91"/>
        <v>2450</v>
      </c>
      <c r="S655" s="9" t="str">
        <f>IF(T655="","",VLOOKUP(T655,引用表合并!$A:$B,2,FALSE))</f>
        <v>银饰耳钉碎片</v>
      </c>
      <c r="T655" s="74">
        <v>93122</v>
      </c>
      <c r="U655" s="9">
        <v>1</v>
      </c>
      <c r="V655" s="9">
        <f t="shared" si="92"/>
        <v>2450</v>
      </c>
      <c r="W655" s="8" t="str">
        <f>IF(X655="","",VLOOKUP(X655,引用表合并!$A:$B,2,FALSE))</f>
        <v>史诗装备升级石</v>
      </c>
      <c r="X655" s="8">
        <v>85400</v>
      </c>
      <c r="Y655" s="8">
        <v>1</v>
      </c>
      <c r="Z655" s="10">
        <f t="shared" si="94"/>
        <v>2900</v>
      </c>
      <c r="AA655" s="8" t="str">
        <f>IF(AB655="","",VLOOKUP(AB655,引用表合并!$A:$B,2,FALSE))</f>
        <v>高级装备升级石</v>
      </c>
      <c r="AB655" s="8">
        <v>85200</v>
      </c>
      <c r="AC655" s="8">
        <v>1</v>
      </c>
      <c r="AD655" s="10">
        <f t="shared" si="95"/>
        <v>3600</v>
      </c>
      <c r="AE655" s="8" t="str">
        <f>IF(AF655="","",VLOOKUP(AF655,引用表合并!$A:$B,2,FALSE))</f>
        <v/>
      </c>
      <c r="AF655" s="8"/>
      <c r="AI655" s="8" t="str">
        <f>IF(AJ655="","",VLOOKUP(AJ655,引用表合并!$A:$B,2,FALSE))</f>
        <v/>
      </c>
      <c r="AJ655" s="8"/>
      <c r="AK655" s="8"/>
      <c r="AM655" s="8" t="str">
        <f>IF(AN655="","",VLOOKUP(AN655,引用表合并!$A:$B,2,FALSE))</f>
        <v/>
      </c>
      <c r="AN655" s="8"/>
      <c r="AO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D655" s="8"/>
      <c r="BH655" s="8"/>
      <c r="BL655" s="8"/>
      <c r="FK655" s="8">
        <v>1</v>
      </c>
      <c r="FL655" s="8">
        <v>8</v>
      </c>
    </row>
    <row r="656" spans="1:168" x14ac:dyDescent="0.15">
      <c r="A656" s="8">
        <v>700212</v>
      </c>
      <c r="B656" t="s">
        <v>887</v>
      </c>
      <c r="C656" s="8">
        <v>0</v>
      </c>
      <c r="D656" s="8">
        <f t="shared" si="87"/>
        <v>6</v>
      </c>
      <c r="E656" s="16">
        <f t="shared" si="85"/>
        <v>6</v>
      </c>
      <c r="F656" s="16">
        <f t="shared" si="88"/>
        <v>6</v>
      </c>
      <c r="G656" s="8" t="str">
        <f>IF(H656="","",VLOOKUP(H656,引用表合并!$A:$B,2,FALSE))</f>
        <v>智能手表碎片</v>
      </c>
      <c r="H656" s="75">
        <v>93273</v>
      </c>
      <c r="I656" s="34">
        <v>1</v>
      </c>
      <c r="J656" s="34">
        <f t="shared" si="89"/>
        <v>2850</v>
      </c>
      <c r="K656" s="8" t="str">
        <f>IF(L656="","",VLOOKUP(L656,引用表合并!$A:$B,2,FALSE))</f>
        <v>宾倪碎片</v>
      </c>
      <c r="L656" s="75">
        <v>93279</v>
      </c>
      <c r="M656" s="34">
        <v>1</v>
      </c>
      <c r="N656" s="34">
        <f t="shared" si="90"/>
        <v>2850</v>
      </c>
      <c r="O656" s="8" t="str">
        <f>IF(P656="","",VLOOKUP(P656,引用表合并!$A:$B,2,FALSE))</f>
        <v>金块碎片</v>
      </c>
      <c r="P656" s="74">
        <v>93287</v>
      </c>
      <c r="Q656" s="34">
        <v>1</v>
      </c>
      <c r="R656" s="34">
        <f t="shared" si="91"/>
        <v>2850</v>
      </c>
      <c r="S656" s="9" t="str">
        <f>IF(T656="","",VLOOKUP(T656,引用表合并!$A:$B,2,FALSE))</f>
        <v>白银戒指碎片</v>
      </c>
      <c r="T656" s="74">
        <v>93141</v>
      </c>
      <c r="U656" s="9">
        <v>1</v>
      </c>
      <c r="V656" s="9">
        <f t="shared" si="92"/>
        <v>2850</v>
      </c>
      <c r="W656" s="8" t="str">
        <f>IF(X656="","",VLOOKUP(X656,引用表合并!$A:$B,2,FALSE))</f>
        <v>史诗装备升级石</v>
      </c>
      <c r="X656" s="8">
        <v>85400</v>
      </c>
      <c r="Y656" s="8">
        <v>1</v>
      </c>
      <c r="Z656" s="10">
        <f t="shared" si="94"/>
        <v>4100</v>
      </c>
      <c r="AA656" s="8" t="str">
        <f>IF(AB656="","",VLOOKUP(AB656,引用表合并!$A:$B,2,FALSE))</f>
        <v>稀有装备升级石</v>
      </c>
      <c r="AB656" s="8">
        <v>85300</v>
      </c>
      <c r="AC656" s="10">
        <v>1</v>
      </c>
      <c r="AD656" s="10">
        <f t="shared" si="95"/>
        <v>10000</v>
      </c>
      <c r="AE656" s="8" t="str">
        <f>IF(AF656="","",VLOOKUP(AF656,引用表合并!$A:$B,2,FALSE))</f>
        <v/>
      </c>
      <c r="AF656" s="8"/>
      <c r="AG656" s="8"/>
      <c r="AI656" s="8" t="str">
        <f>IF(AJ656="","",VLOOKUP(AJ656,引用表合并!$A:$B,2,FALSE))</f>
        <v/>
      </c>
      <c r="AJ656" s="8"/>
      <c r="AK656" s="8"/>
      <c r="AM656" s="8" t="str">
        <f>IF(AN656="","",VLOOKUP(AN656,引用表合并!$A:$B,2,FALSE))</f>
        <v/>
      </c>
      <c r="AN656" s="8"/>
      <c r="AO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D656" s="8"/>
      <c r="BH656" s="8"/>
      <c r="BL656" s="8"/>
      <c r="FK656" s="8">
        <v>1</v>
      </c>
      <c r="FL656" s="8">
        <v>16</v>
      </c>
    </row>
    <row r="657" spans="1:168" x14ac:dyDescent="0.15">
      <c r="A657" s="8">
        <v>700213</v>
      </c>
      <c r="B657" t="s">
        <v>888</v>
      </c>
      <c r="C657" s="8">
        <v>0</v>
      </c>
      <c r="D657" s="8">
        <f t="shared" si="87"/>
        <v>6</v>
      </c>
      <c r="E657" s="16">
        <f t="shared" si="85"/>
        <v>6</v>
      </c>
      <c r="F657" s="16">
        <f t="shared" si="88"/>
        <v>6</v>
      </c>
      <c r="G657" s="8" t="str">
        <f>IF(H657="","",VLOOKUP(H657,引用表合并!$A:$B,2,FALSE))</f>
        <v>宾倪碎片</v>
      </c>
      <c r="H657" s="75">
        <v>93279</v>
      </c>
      <c r="I657" s="34">
        <v>1</v>
      </c>
      <c r="J657" s="34">
        <f t="shared" si="89"/>
        <v>2550</v>
      </c>
      <c r="K657" s="8" t="str">
        <f>IF(L657="","",VLOOKUP(L657,引用表合并!$A:$B,2,FALSE))</f>
        <v>大迭钞票碎片</v>
      </c>
      <c r="L657" s="75">
        <v>93284</v>
      </c>
      <c r="M657" s="34">
        <v>1</v>
      </c>
      <c r="N657" s="34">
        <f t="shared" si="90"/>
        <v>2550</v>
      </c>
      <c r="O657" s="8" t="str">
        <f>IF(P657="","",VLOOKUP(P657,引用表合并!$A:$B,2,FALSE))</f>
        <v>宝石手环碎片</v>
      </c>
      <c r="P657" s="75">
        <v>93235</v>
      </c>
      <c r="Q657" s="34">
        <v>1</v>
      </c>
      <c r="R657" s="34">
        <f t="shared" si="91"/>
        <v>2550</v>
      </c>
      <c r="S657" s="9" t="str">
        <f>IF(T657="","",VLOOKUP(T657,引用表合并!$A:$B,2,FALSE))</f>
        <v>水晶项链碎片</v>
      </c>
      <c r="T657" s="74">
        <v>93245</v>
      </c>
      <c r="U657" s="9">
        <v>1</v>
      </c>
      <c r="V657" s="9">
        <f t="shared" si="92"/>
        <v>2550</v>
      </c>
      <c r="W657" s="8" t="str">
        <f>IF(X657="","",VLOOKUP(X657,引用表合并!$A:$B,2,FALSE))</f>
        <v>史诗装备升级石</v>
      </c>
      <c r="X657" s="8">
        <v>85400</v>
      </c>
      <c r="Y657" s="8">
        <v>1</v>
      </c>
      <c r="Z657" s="10">
        <f t="shared" si="94"/>
        <v>2600</v>
      </c>
      <c r="AA657" s="8" t="str">
        <f>IF(AB657="","",VLOOKUP(AB657,引用表合并!$A:$B,2,FALSE))</f>
        <v>高级装备升级石</v>
      </c>
      <c r="AB657" s="8">
        <v>85200</v>
      </c>
      <c r="AC657" s="8">
        <v>1</v>
      </c>
      <c r="AD657" s="10">
        <f t="shared" si="95"/>
        <v>4000</v>
      </c>
      <c r="AE657" s="8" t="str">
        <f>IF(AF657="","",VLOOKUP(AF657,引用表合并!$A:$B,2,FALSE))</f>
        <v/>
      </c>
      <c r="AF657" s="8"/>
      <c r="AI657" s="8" t="str">
        <f>IF(AJ657="","",VLOOKUP(AJ657,引用表合并!$A:$B,2,FALSE))</f>
        <v/>
      </c>
      <c r="AJ657" s="8"/>
      <c r="AK657" s="8"/>
      <c r="AM657" s="8" t="str">
        <f>IF(AN657="","",VLOOKUP(AN657,引用表合并!$A:$B,2,FALSE))</f>
        <v/>
      </c>
      <c r="AN657" s="8"/>
      <c r="AO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D657" s="8"/>
      <c r="BH657" s="8"/>
      <c r="BL657" s="8"/>
      <c r="FK657" s="8">
        <v>1</v>
      </c>
      <c r="FL657" s="8">
        <v>10</v>
      </c>
    </row>
    <row r="658" spans="1:168" x14ac:dyDescent="0.15">
      <c r="A658" s="8">
        <v>700214</v>
      </c>
      <c r="B658" t="s">
        <v>889</v>
      </c>
      <c r="C658" s="8">
        <v>0</v>
      </c>
      <c r="D658" s="8">
        <f t="shared" si="87"/>
        <v>6</v>
      </c>
      <c r="E658" s="16">
        <f t="shared" si="85"/>
        <v>6</v>
      </c>
      <c r="F658" s="16">
        <f t="shared" si="88"/>
        <v>6</v>
      </c>
      <c r="G658" s="8" t="str">
        <f>IF(H658="","",VLOOKUP(H658,引用表合并!$A:$B,2,FALSE))</f>
        <v>大迭钞票碎片</v>
      </c>
      <c r="H658" s="75">
        <v>93284</v>
      </c>
      <c r="I658" s="34">
        <v>1</v>
      </c>
      <c r="J658" s="34">
        <f t="shared" si="89"/>
        <v>2550</v>
      </c>
      <c r="K658" s="8" t="str">
        <f>IF(L658="","",VLOOKUP(L658,引用表合并!$A:$B,2,FALSE))</f>
        <v>大金块碎片</v>
      </c>
      <c r="L658" s="75">
        <v>93288</v>
      </c>
      <c r="M658" s="34">
        <v>1</v>
      </c>
      <c r="N658" s="34">
        <f t="shared" si="90"/>
        <v>2550</v>
      </c>
      <c r="O658" s="8" t="str">
        <f>IF(P658="","",VLOOKUP(P658,引用表合并!$A:$B,2,FALSE))</f>
        <v>摩拉碎片</v>
      </c>
      <c r="P658" s="75">
        <v>93012</v>
      </c>
      <c r="Q658" s="34">
        <v>1</v>
      </c>
      <c r="R658" s="34">
        <f t="shared" si="91"/>
        <v>2550</v>
      </c>
      <c r="S658" s="9" t="str">
        <f>IF(T658="","",VLOOKUP(T658,引用表合并!$A:$B,2,FALSE))</f>
        <v>红石项链碎片</v>
      </c>
      <c r="T658" s="74">
        <v>93251</v>
      </c>
      <c r="U658" s="9">
        <v>1</v>
      </c>
      <c r="V658" s="9">
        <f t="shared" si="92"/>
        <v>2550</v>
      </c>
      <c r="W658" s="8" t="str">
        <f>IF(X658="","",VLOOKUP(X658,引用表合并!$A:$B,2,FALSE))</f>
        <v>史诗装备升级石</v>
      </c>
      <c r="X658" s="8">
        <v>85400</v>
      </c>
      <c r="Y658" s="8">
        <v>1</v>
      </c>
      <c r="Z658" s="10">
        <f t="shared" si="94"/>
        <v>2800</v>
      </c>
      <c r="AA658" s="8" t="str">
        <f>IF(AB658="","",VLOOKUP(AB658,引用表合并!$A:$B,2,FALSE))</f>
        <v>高级装备升级石</v>
      </c>
      <c r="AB658" s="8">
        <v>85200</v>
      </c>
      <c r="AC658" s="8">
        <v>1</v>
      </c>
      <c r="AD658" s="10">
        <f t="shared" si="95"/>
        <v>4200</v>
      </c>
      <c r="AE658" s="8" t="str">
        <f>IF(AF658="","",VLOOKUP(AF658,引用表合并!$A:$B,2,FALSE))</f>
        <v/>
      </c>
      <c r="AF658" s="8"/>
      <c r="AI658" s="8" t="str">
        <f>IF(AJ658="","",VLOOKUP(AJ658,引用表合并!$A:$B,2,FALSE))</f>
        <v/>
      </c>
      <c r="AJ658" s="8"/>
      <c r="AK658" s="8"/>
      <c r="AM658" s="8" t="str">
        <f>IF(AN658="","",VLOOKUP(AN658,引用表合并!$A:$B,2,FALSE))</f>
        <v/>
      </c>
      <c r="AN658" s="8"/>
      <c r="AO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D658" s="8"/>
      <c r="BH658" s="8"/>
      <c r="BL658" s="8"/>
      <c r="FK658" s="8">
        <v>1</v>
      </c>
      <c r="FL658" s="8">
        <v>10</v>
      </c>
    </row>
    <row r="659" spans="1:168" x14ac:dyDescent="0.15">
      <c r="A659" s="8">
        <v>700215</v>
      </c>
      <c r="B659" t="s">
        <v>890</v>
      </c>
      <c r="C659" s="8">
        <v>0</v>
      </c>
      <c r="D659" s="8">
        <f t="shared" si="87"/>
        <v>7</v>
      </c>
      <c r="E659" s="16">
        <f t="shared" si="85"/>
        <v>7</v>
      </c>
      <c r="F659" s="16">
        <f t="shared" si="88"/>
        <v>7</v>
      </c>
      <c r="G659" s="8" t="str">
        <f>IF(H659="","",VLOOKUP(H659,引用表合并!$A:$B,2,FALSE))</f>
        <v>大金块碎片</v>
      </c>
      <c r="H659" s="75">
        <v>93288</v>
      </c>
      <c r="I659" s="34">
        <v>1</v>
      </c>
      <c r="J659" s="34">
        <f t="shared" si="89"/>
        <v>3050</v>
      </c>
      <c r="K659" s="8" t="str">
        <f>IF(L659="","",VLOOKUP(L659,引用表合并!$A:$B,2,FALSE))</f>
        <v>黄金戒指碎片</v>
      </c>
      <c r="L659" s="75">
        <v>93142</v>
      </c>
      <c r="M659" s="34">
        <v>1</v>
      </c>
      <c r="N659" s="34">
        <f t="shared" si="90"/>
        <v>3050</v>
      </c>
      <c r="O659" s="8" t="str">
        <f>IF(P659="","",VLOOKUP(P659,引用表合并!$A:$B,2,FALSE))</f>
        <v>青玉项链碎片</v>
      </c>
      <c r="P659" s="75">
        <v>93252</v>
      </c>
      <c r="Q659" s="34">
        <v>1</v>
      </c>
      <c r="R659" s="34">
        <f t="shared" si="91"/>
        <v>3050</v>
      </c>
      <c r="S659" s="9" t="str">
        <f>IF(T659="","",VLOOKUP(T659,引用表合并!$A:$B,2,FALSE))</f>
        <v>水晶耳钉碎片</v>
      </c>
      <c r="T659" s="75">
        <v>93124</v>
      </c>
      <c r="U659" s="34">
        <v>1</v>
      </c>
      <c r="V659" s="34">
        <f t="shared" si="92"/>
        <v>3050</v>
      </c>
      <c r="W659" s="8" t="str">
        <f>IF(X659="","",VLOOKUP(X659,引用表合并!$A:$B,2,FALSE))</f>
        <v>史诗装备升级石</v>
      </c>
      <c r="X659" s="8">
        <v>85400</v>
      </c>
      <c r="Y659" s="8">
        <v>1</v>
      </c>
      <c r="Z659" s="10">
        <f t="shared" si="94"/>
        <v>10000</v>
      </c>
      <c r="AA659" s="8" t="str">
        <f>IF(AB659="","",VLOOKUP(AB659,引用表合并!$A:$B,2,FALSE))</f>
        <v>稀有装备升级石</v>
      </c>
      <c r="AB659" s="8">
        <v>85300</v>
      </c>
      <c r="AC659" s="10">
        <v>1</v>
      </c>
      <c r="AD659" s="10">
        <f t="shared" si="95"/>
        <v>5000</v>
      </c>
      <c r="AE659" s="8" t="str">
        <f>IF(AF659="","",VLOOKUP(AF659,引用表合并!$A:$B,2,FALSE))</f>
        <v>马仔经验甘露</v>
      </c>
      <c r="AF659" s="31">
        <f t="shared" ref="AF659" si="96">IF(CO659=100,91100,IF(CO659=500,91200,91300))</f>
        <v>91300</v>
      </c>
      <c r="AG659" s="8">
        <v>1</v>
      </c>
      <c r="AH659" s="10">
        <v>10000</v>
      </c>
      <c r="AI659" s="8" t="str">
        <f>IF(AJ659="","",VLOOKUP(AJ659,引用表合并!$A:$B,2,FALSE))</f>
        <v/>
      </c>
      <c r="AM659" s="8" t="str">
        <f>IF(AN659="","",VLOOKUP(AN659,引用表合并!$A:$B,2,FALSE))</f>
        <v/>
      </c>
      <c r="AN659" s="8"/>
      <c r="AO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D659" s="8"/>
      <c r="BH659" s="8"/>
      <c r="BL659" s="8"/>
      <c r="FK659" s="8">
        <v>1</v>
      </c>
      <c r="FL659" s="8">
        <v>20</v>
      </c>
    </row>
    <row r="660" spans="1:168" x14ac:dyDescent="0.15">
      <c r="A660" s="8">
        <v>700301</v>
      </c>
      <c r="B660" t="s">
        <v>891</v>
      </c>
      <c r="C660" s="8">
        <v>0</v>
      </c>
      <c r="D660" s="8">
        <f t="shared" si="82"/>
        <v>5</v>
      </c>
      <c r="E660" s="16">
        <f t="shared" ref="E660:E723" si="97">COUNTIF(G660:FJ660,"&gt;0")/3</f>
        <v>5</v>
      </c>
      <c r="F660" s="16">
        <f t="shared" si="88"/>
        <v>5</v>
      </c>
      <c r="G660" s="8" t="str">
        <f>IF(H660="","",VLOOKUP(H660,引用表合并!$A:$B,2,FALSE))</f>
        <v>白金手环碎片</v>
      </c>
      <c r="H660" s="74">
        <v>93233</v>
      </c>
      <c r="I660" s="9">
        <v>1</v>
      </c>
      <c r="J660" s="12">
        <f t="shared" si="89"/>
        <v>2100</v>
      </c>
      <c r="K660" s="12" t="str">
        <f>IF(L660="","",VLOOKUP(L660,引用表合并!$A:$B,2,FALSE))</f>
        <v>越野手表碎片</v>
      </c>
      <c r="L660" s="74">
        <v>93264</v>
      </c>
      <c r="M660" s="9">
        <v>1</v>
      </c>
      <c r="N660" s="12">
        <f t="shared" si="90"/>
        <v>2100</v>
      </c>
      <c r="O660" s="12" t="str">
        <f>IF(P660="","",VLOOKUP(P660,引用表合并!$A:$B,2,FALSE))</f>
        <v>鎏金手环</v>
      </c>
      <c r="P660" s="73">
        <v>92232</v>
      </c>
      <c r="Q660" s="12">
        <v>1</v>
      </c>
      <c r="R660" s="12">
        <f t="shared" si="91"/>
        <v>2100</v>
      </c>
      <c r="S660" s="12" t="str">
        <f>IF(T660="","",VLOOKUP(T660,引用表合并!$A:$B,2,FALSE))</f>
        <v>银针手表</v>
      </c>
      <c r="T660" s="73">
        <v>92263</v>
      </c>
      <c r="U660" s="12">
        <v>1</v>
      </c>
      <c r="V660" s="12">
        <f t="shared" si="92"/>
        <v>2100</v>
      </c>
      <c r="W660" s="8" t="str">
        <f>IF(X660="","",VLOOKUP(X660,引用表合并!$A:$B,2,FALSE))</f>
        <v>高级装备升级石</v>
      </c>
      <c r="X660" s="8">
        <v>85200</v>
      </c>
      <c r="Y660" s="8">
        <v>1</v>
      </c>
      <c r="Z660" s="10">
        <f t="shared" si="94"/>
        <v>2700</v>
      </c>
      <c r="AA660" s="8" t="str">
        <f>IF(AB660="","",VLOOKUP(AB660,引用表合并!$A:$B,2,FALSE))</f>
        <v/>
      </c>
      <c r="AB660" s="8"/>
      <c r="AC660" s="8"/>
      <c r="AD660" s="10">
        <f t="shared" si="95"/>
        <v>0</v>
      </c>
      <c r="AE660" s="8" t="str">
        <f>IF(AF660="","",VLOOKUP(AF660,引用表合并!$A:$B,2,FALSE))</f>
        <v/>
      </c>
      <c r="AF660" s="8"/>
      <c r="AG660" s="8"/>
      <c r="AI660" s="8"/>
      <c r="AJ660" s="8"/>
      <c r="AK660" s="8"/>
      <c r="AM660" s="8" t="str">
        <f>IF(AN660="","",VLOOKUP(AN660,引用表合并!$A:$B,2,FALSE))</f>
        <v/>
      </c>
      <c r="AN660" s="8"/>
      <c r="AO660" s="8"/>
      <c r="AQ660" s="8" t="str">
        <f>IF(AR660="","",VLOOKUP(AR660,引用表合并!$A:$B,2,FALSE))</f>
        <v/>
      </c>
      <c r="AR660" s="8"/>
      <c r="AS660" s="8"/>
      <c r="AU660" s="8" t="str">
        <f>IF(AV660="","",VLOOKUP(AV660,引用表合并!$A:$B,2,FALSE))</f>
        <v/>
      </c>
      <c r="AV660" s="8"/>
      <c r="AW660" s="8"/>
      <c r="AY660" s="8"/>
      <c r="AZ660" s="8"/>
      <c r="BA660" s="8"/>
      <c r="BB660" s="8"/>
      <c r="BD660" s="8"/>
      <c r="BH660" s="8"/>
      <c r="BL660" s="8"/>
      <c r="FK660" s="8">
        <v>2</v>
      </c>
      <c r="FL660" s="8">
        <v>0</v>
      </c>
    </row>
    <row r="661" spans="1:168" x14ac:dyDescent="0.15">
      <c r="A661" s="8">
        <v>700302</v>
      </c>
      <c r="B661" t="s">
        <v>892</v>
      </c>
      <c r="C661" s="8">
        <v>0</v>
      </c>
      <c r="D661" s="8">
        <f t="shared" si="82"/>
        <v>5</v>
      </c>
      <c r="E661" s="16">
        <f t="shared" si="97"/>
        <v>5</v>
      </c>
      <c r="F661" s="16">
        <f t="shared" si="88"/>
        <v>5</v>
      </c>
      <c r="G661" s="8" t="str">
        <f>IF(H661="","",VLOOKUP(H661,引用表合并!$A:$B,2,FALSE))</f>
        <v>银饰耳钉碎片</v>
      </c>
      <c r="H661" s="74">
        <v>93122</v>
      </c>
      <c r="I661" s="9">
        <v>1</v>
      </c>
      <c r="J661" s="12">
        <f t="shared" si="89"/>
        <v>2100</v>
      </c>
      <c r="K661" s="12" t="str">
        <f>IF(L661="","",VLOOKUP(L661,引用表合并!$A:$B,2,FALSE))</f>
        <v>精准手表碎片</v>
      </c>
      <c r="L661" s="74">
        <v>93271</v>
      </c>
      <c r="M661" s="9">
        <v>1</v>
      </c>
      <c r="N661" s="12">
        <f t="shared" si="90"/>
        <v>2100</v>
      </c>
      <c r="O661" s="12" t="str">
        <f>IF(P661="","",VLOOKUP(P661,引用表合并!$A:$B,2,FALSE))</f>
        <v>镀金耳钉</v>
      </c>
      <c r="P661" s="73">
        <v>92121</v>
      </c>
      <c r="Q661" s="12">
        <v>1</v>
      </c>
      <c r="R661" s="12">
        <f t="shared" si="91"/>
        <v>2100</v>
      </c>
      <c r="S661" s="12" t="str">
        <f>IF(T661="","",VLOOKUP(T661,引用表合并!$A:$B,2,FALSE))</f>
        <v>冬利</v>
      </c>
      <c r="T661" s="73">
        <v>92277</v>
      </c>
      <c r="U661" s="12">
        <v>1</v>
      </c>
      <c r="V661" s="12">
        <f t="shared" si="92"/>
        <v>2100</v>
      </c>
      <c r="W661" s="8" t="str">
        <f>IF(X661="","",VLOOKUP(X661,引用表合并!$A:$B,2,FALSE))</f>
        <v>高级装备升级石</v>
      </c>
      <c r="X661" s="8">
        <v>85200</v>
      </c>
      <c r="Y661" s="8">
        <v>1</v>
      </c>
      <c r="Z661" s="10">
        <f t="shared" si="94"/>
        <v>2800</v>
      </c>
      <c r="AA661" s="8" t="str">
        <f>IF(AB661="","",VLOOKUP(AB661,引用表合并!$A:$B,2,FALSE))</f>
        <v/>
      </c>
      <c r="AB661" s="8"/>
      <c r="AC661" s="8"/>
      <c r="AD661" s="10">
        <f t="shared" si="95"/>
        <v>0</v>
      </c>
      <c r="AE661" s="8" t="str">
        <f>IF(AF661="","",VLOOKUP(AF661,引用表合并!$A:$B,2,FALSE))</f>
        <v/>
      </c>
      <c r="AF661" s="8"/>
      <c r="AG661" s="8"/>
      <c r="AI661" s="8"/>
      <c r="AJ661" s="8"/>
      <c r="AK661" s="8"/>
      <c r="AM661" s="8" t="str">
        <f>IF(AN661="","",VLOOKUP(AN661,引用表合并!$A:$B,2,FALSE))</f>
        <v/>
      </c>
      <c r="AN661" s="8"/>
      <c r="AO661" s="8"/>
      <c r="AQ661" s="8" t="str">
        <f>IF(AR661="","",VLOOKUP(AR661,引用表合并!$A:$B,2,FALSE))</f>
        <v/>
      </c>
      <c r="AR661" s="8"/>
      <c r="AS661" s="8"/>
      <c r="AU661" s="8" t="str">
        <f>IF(AV661="","",VLOOKUP(AV661,引用表合并!$A:$B,2,FALSE))</f>
        <v/>
      </c>
      <c r="AV661" s="8"/>
      <c r="AW661" s="8"/>
      <c r="AY661" s="8"/>
      <c r="AZ661" s="8"/>
      <c r="BA661" s="8"/>
      <c r="BB661" s="8"/>
      <c r="BD661" s="8"/>
      <c r="BH661" s="8"/>
      <c r="BL661" s="8"/>
      <c r="FK661" s="8">
        <v>2</v>
      </c>
      <c r="FL661" s="8">
        <v>0</v>
      </c>
    </row>
    <row r="662" spans="1:168" x14ac:dyDescent="0.15">
      <c r="A662" s="8">
        <v>700303</v>
      </c>
      <c r="B662" t="s">
        <v>893</v>
      </c>
      <c r="C662" s="8">
        <v>0</v>
      </c>
      <c r="D662" s="8">
        <f t="shared" si="82"/>
        <v>5</v>
      </c>
      <c r="E662" s="16">
        <f t="shared" si="97"/>
        <v>5</v>
      </c>
      <c r="F662" s="16">
        <f t="shared" si="88"/>
        <v>5</v>
      </c>
      <c r="G662" s="8" t="str">
        <f>IF(H662="","",VLOOKUP(H662,引用表合并!$A:$B,2,FALSE))</f>
        <v>白银戒指碎片</v>
      </c>
      <c r="H662" s="74">
        <v>93141</v>
      </c>
      <c r="I662" s="9">
        <v>1</v>
      </c>
      <c r="J662" s="12">
        <f t="shared" si="89"/>
        <v>2600</v>
      </c>
      <c r="K662" s="12" t="str">
        <f>IF(L662="","",VLOOKUP(L662,引用表合并!$A:$B,2,FALSE))</f>
        <v>宝驼碎片</v>
      </c>
      <c r="L662" s="74">
        <v>93278</v>
      </c>
      <c r="M662" s="9">
        <v>1</v>
      </c>
      <c r="N662" s="12">
        <f t="shared" si="90"/>
        <v>2600</v>
      </c>
      <c r="O662" s="12" t="str">
        <f>IF(P662="","",VLOOKUP(P662,引用表合并!$A:$B,2,FALSE))</f>
        <v>诅咒项链</v>
      </c>
      <c r="P662" s="73">
        <v>92243</v>
      </c>
      <c r="Q662" s="12">
        <v>1</v>
      </c>
      <c r="R662" s="12">
        <f t="shared" si="91"/>
        <v>2600</v>
      </c>
      <c r="S662" s="12" t="str">
        <f>IF(T662="","",VLOOKUP(T662,引用表合并!$A:$B,2,FALSE))</f>
        <v>幸运戒指</v>
      </c>
      <c r="T662" s="73">
        <v>92131</v>
      </c>
      <c r="U662" s="12">
        <v>1</v>
      </c>
      <c r="V662" s="12">
        <f t="shared" si="92"/>
        <v>2600</v>
      </c>
      <c r="W662" s="8" t="str">
        <f>IF(X662="","",VLOOKUP(X662,引用表合并!$A:$B,2,FALSE))</f>
        <v>高级装备升级石</v>
      </c>
      <c r="X662" s="8">
        <v>85200</v>
      </c>
      <c r="Y662" s="8">
        <v>1</v>
      </c>
      <c r="Z662" s="10">
        <f t="shared" si="94"/>
        <v>5200</v>
      </c>
      <c r="AA662" s="8" t="str">
        <f>IF(AB662="","",VLOOKUP(AB662,引用表合并!$A:$B,2,FALSE))</f>
        <v/>
      </c>
      <c r="AB662" s="8"/>
      <c r="AC662" s="8"/>
      <c r="AD662" s="10">
        <f t="shared" si="95"/>
        <v>0</v>
      </c>
      <c r="AE662" s="8" t="str">
        <f>IF(AF662="","",VLOOKUP(AF662,引用表合并!$A:$B,2,FALSE))</f>
        <v/>
      </c>
      <c r="AF662" s="8"/>
      <c r="AG662" s="8"/>
      <c r="AI662" s="8"/>
      <c r="AJ662" s="8"/>
      <c r="AK662" s="8"/>
      <c r="AM662" s="8" t="str">
        <f>IF(AN662="","",VLOOKUP(AN662,引用表合并!$A:$B,2,FALSE))</f>
        <v/>
      </c>
      <c r="AN662" s="8"/>
      <c r="AO662" s="8"/>
      <c r="AQ662" s="8" t="str">
        <f>IF(AR662="","",VLOOKUP(AR662,引用表合并!$A:$B,2,FALSE))</f>
        <v/>
      </c>
      <c r="AR662" s="8"/>
      <c r="AS662" s="8"/>
      <c r="AU662" s="8" t="str">
        <f>IF(AV662="","",VLOOKUP(AV662,引用表合并!$A:$B,2,FALSE))</f>
        <v/>
      </c>
      <c r="AV662" s="8"/>
      <c r="AW662" s="8"/>
      <c r="AY662" s="8"/>
      <c r="AZ662" s="8"/>
      <c r="BA662" s="8"/>
      <c r="BB662" s="8"/>
      <c r="BD662" s="8"/>
      <c r="BH662" s="8"/>
      <c r="BL662" s="8"/>
      <c r="FK662" s="8">
        <v>2</v>
      </c>
      <c r="FL662" s="8">
        <v>10</v>
      </c>
    </row>
    <row r="663" spans="1:168" x14ac:dyDescent="0.15">
      <c r="A663" s="8">
        <v>700304</v>
      </c>
      <c r="B663" t="s">
        <v>894</v>
      </c>
      <c r="C663" s="8">
        <v>0</v>
      </c>
      <c r="D663" s="8">
        <f t="shared" si="82"/>
        <v>5</v>
      </c>
      <c r="E663" s="16">
        <f t="shared" si="97"/>
        <v>5</v>
      </c>
      <c r="F663" s="16">
        <f t="shared" si="88"/>
        <v>5</v>
      </c>
      <c r="G663" s="8" t="str">
        <f>IF(H663="","",VLOOKUP(H663,引用表合并!$A:$B,2,FALSE))</f>
        <v>水晶项链碎片</v>
      </c>
      <c r="H663" s="74">
        <v>93245</v>
      </c>
      <c r="I663" s="9">
        <v>1</v>
      </c>
      <c r="J663" s="12">
        <f t="shared" si="89"/>
        <v>2100</v>
      </c>
      <c r="K663" s="12" t="str">
        <f>IF(L663="","",VLOOKUP(L663,引用表合并!$A:$B,2,FALSE))</f>
        <v>小迭钞票碎片</v>
      </c>
      <c r="L663" s="74">
        <v>93283</v>
      </c>
      <c r="M663" s="9">
        <v>1</v>
      </c>
      <c r="N663" s="12">
        <f t="shared" si="90"/>
        <v>2100</v>
      </c>
      <c r="O663" s="12" t="str">
        <f>IF(P663="","",VLOOKUP(P663,引用表合并!$A:$B,2,FALSE))</f>
        <v>金饰项链</v>
      </c>
      <c r="P663" s="73">
        <v>92244</v>
      </c>
      <c r="Q663" s="12">
        <v>1</v>
      </c>
      <c r="R663" s="12">
        <f t="shared" si="91"/>
        <v>2100</v>
      </c>
      <c r="S663" s="12" t="str">
        <f>IF(T663="","",VLOOKUP(T663,引用表合并!$A:$B,2,FALSE))</f>
        <v>亚诺</v>
      </c>
      <c r="T663" s="73">
        <v>92011</v>
      </c>
      <c r="U663" s="12">
        <v>1</v>
      </c>
      <c r="V663" s="12">
        <f t="shared" si="92"/>
        <v>2100</v>
      </c>
      <c r="W663" s="8" t="str">
        <f>IF(X663="","",VLOOKUP(X663,引用表合并!$A:$B,2,FALSE))</f>
        <v>高级装备升级石</v>
      </c>
      <c r="X663" s="8">
        <v>85200</v>
      </c>
      <c r="Y663" s="8">
        <v>1</v>
      </c>
      <c r="Z663" s="10">
        <f t="shared" si="94"/>
        <v>2900</v>
      </c>
      <c r="AA663" s="8" t="str">
        <f>IF(AB663="","",VLOOKUP(AB663,引用表合并!$A:$B,2,FALSE))</f>
        <v/>
      </c>
      <c r="AB663" s="8"/>
      <c r="AC663" s="8"/>
      <c r="AD663" s="10">
        <f t="shared" si="95"/>
        <v>0</v>
      </c>
      <c r="AE663" s="8" t="str">
        <f>IF(AF663="","",VLOOKUP(AF663,引用表合并!$A:$B,2,FALSE))</f>
        <v/>
      </c>
      <c r="AF663" s="8"/>
      <c r="AG663" s="8"/>
      <c r="AI663" s="8"/>
      <c r="AJ663" s="8"/>
      <c r="AK663" s="8"/>
      <c r="AM663" s="8" t="str">
        <f>IF(AN663="","",VLOOKUP(AN663,引用表合并!$A:$B,2,FALSE))</f>
        <v/>
      </c>
      <c r="AN663" s="8"/>
      <c r="AO663" s="8"/>
      <c r="AQ663" s="8" t="str">
        <f>IF(AR663="","",VLOOKUP(AR663,引用表合并!$A:$B,2,FALSE))</f>
        <v/>
      </c>
      <c r="AR663" s="8"/>
      <c r="AS663" s="8"/>
      <c r="AU663" s="8" t="str">
        <f>IF(AV663="","",VLOOKUP(AV663,引用表合并!$A:$B,2,FALSE))</f>
        <v/>
      </c>
      <c r="AV663" s="8"/>
      <c r="AW663" s="8"/>
      <c r="AY663" s="8"/>
      <c r="AZ663" s="8"/>
      <c r="BA663" s="8"/>
      <c r="BB663" s="8"/>
      <c r="BD663" s="8"/>
      <c r="BH663" s="8"/>
      <c r="BL663" s="8"/>
      <c r="FK663" s="8">
        <v>2</v>
      </c>
      <c r="FL663" s="8">
        <v>0</v>
      </c>
    </row>
    <row r="664" spans="1:168" x14ac:dyDescent="0.15">
      <c r="A664" s="8">
        <v>700305</v>
      </c>
      <c r="B664" t="s">
        <v>895</v>
      </c>
      <c r="C664" s="8">
        <v>0</v>
      </c>
      <c r="D664" s="8">
        <f t="shared" si="82"/>
        <v>5</v>
      </c>
      <c r="E664" s="16">
        <f t="shared" si="97"/>
        <v>5</v>
      </c>
      <c r="F664" s="16">
        <f t="shared" si="88"/>
        <v>5</v>
      </c>
      <c r="G664" s="8" t="str">
        <f>IF(H664="","",VLOOKUP(H664,引用表合并!$A:$B,2,FALSE))</f>
        <v>红石项链碎片</v>
      </c>
      <c r="H664" s="74">
        <v>93251</v>
      </c>
      <c r="I664" s="9">
        <v>1</v>
      </c>
      <c r="J664" s="9">
        <f t="shared" si="89"/>
        <v>2100</v>
      </c>
      <c r="K664" s="9" t="str">
        <f>IF(L664="","",VLOOKUP(L664,引用表合并!$A:$B,2,FALSE))</f>
        <v>金块碎片</v>
      </c>
      <c r="L664" s="74">
        <v>93287</v>
      </c>
      <c r="M664" s="9">
        <v>1</v>
      </c>
      <c r="N664" s="9">
        <f t="shared" si="90"/>
        <v>2100</v>
      </c>
      <c r="O664" s="9" t="str">
        <f>IF(P664="","",VLOOKUP(P664,引用表合并!$A:$B,2,FALSE))</f>
        <v>金饰项链</v>
      </c>
      <c r="P664" s="73">
        <v>92244</v>
      </c>
      <c r="Q664" s="9">
        <v>1</v>
      </c>
      <c r="R664" s="12">
        <f t="shared" si="91"/>
        <v>2100</v>
      </c>
      <c r="S664" s="9" t="str">
        <f>IF(T664="","",VLOOKUP(T664,引用表合并!$A:$B,2,FALSE))</f>
        <v>亚诺</v>
      </c>
      <c r="T664" s="73">
        <v>92011</v>
      </c>
      <c r="U664" s="9">
        <v>1</v>
      </c>
      <c r="V664" s="12">
        <f t="shared" si="92"/>
        <v>2100</v>
      </c>
      <c r="W664" s="8" t="str">
        <f>IF(X664="","",VLOOKUP(X664,引用表合并!$A:$B,2,FALSE))</f>
        <v>高级装备升级石</v>
      </c>
      <c r="X664" s="8">
        <v>85200</v>
      </c>
      <c r="Y664" s="8">
        <v>1</v>
      </c>
      <c r="Z664" s="10">
        <f t="shared" si="94"/>
        <v>3000</v>
      </c>
      <c r="AA664" s="8" t="str">
        <f>IF(AB664="","",VLOOKUP(AB664,引用表合并!$A:$B,2,FALSE))</f>
        <v/>
      </c>
      <c r="AB664" s="8"/>
      <c r="AC664" s="8"/>
      <c r="AD664" s="10">
        <f t="shared" si="95"/>
        <v>0</v>
      </c>
      <c r="AE664" s="8" t="str">
        <f>IF(AF664="","",VLOOKUP(AF664,引用表合并!$A:$B,2,FALSE))</f>
        <v/>
      </c>
      <c r="AF664" s="8"/>
      <c r="AI664" s="8"/>
      <c r="AJ664" s="8"/>
      <c r="AK664" s="8"/>
      <c r="AM664" s="8" t="str">
        <f>IF(AN664="","",VLOOKUP(AN664,引用表合并!$A:$B,2,FALSE))</f>
        <v/>
      </c>
      <c r="AN664" s="8"/>
      <c r="AO664" s="8"/>
      <c r="AQ664" s="8" t="str">
        <f>IF(AR664="","",VLOOKUP(AR664,引用表合并!$A:$B,2,FALSE))</f>
        <v/>
      </c>
      <c r="AR664" s="8"/>
      <c r="AS664" s="8"/>
      <c r="AU664" s="8" t="str">
        <f>IF(AV664="","",VLOOKUP(AV664,引用表合并!$A:$B,2,FALSE))</f>
        <v/>
      </c>
      <c r="AV664" s="8"/>
      <c r="AW664" s="8"/>
      <c r="AY664" s="8"/>
      <c r="AZ664" s="8"/>
      <c r="BA664" s="8"/>
      <c r="BB664" s="8"/>
      <c r="BD664" s="8"/>
      <c r="BH664" s="8"/>
      <c r="BL664" s="8"/>
      <c r="FK664" s="8">
        <v>2</v>
      </c>
      <c r="FL664" s="8">
        <v>0</v>
      </c>
    </row>
    <row r="665" spans="1:168" x14ac:dyDescent="0.15">
      <c r="A665" s="8">
        <v>700306</v>
      </c>
      <c r="B665" t="s">
        <v>896</v>
      </c>
      <c r="C665" s="8">
        <v>0</v>
      </c>
      <c r="D665" s="8">
        <f t="shared" si="82"/>
        <v>6</v>
      </c>
      <c r="E665" s="16">
        <f t="shared" si="97"/>
        <v>6</v>
      </c>
      <c r="F665" s="16">
        <f t="shared" si="88"/>
        <v>6</v>
      </c>
      <c r="G665" s="8" t="str">
        <f>IF(H665="","",VLOOKUP(H665,引用表合并!$A:$B,2,FALSE))</f>
        <v>黄金戒指碎片</v>
      </c>
      <c r="H665" s="75">
        <v>93142</v>
      </c>
      <c r="I665" s="34">
        <v>1</v>
      </c>
      <c r="J665" s="34">
        <f t="shared" si="89"/>
        <v>2700</v>
      </c>
      <c r="K665" s="8" t="str">
        <f>IF(L665="","",VLOOKUP(L665,引用表合并!$A:$B,2,FALSE))</f>
        <v>宝石手环碎片</v>
      </c>
      <c r="L665" s="75">
        <v>93235</v>
      </c>
      <c r="M665" s="34">
        <v>1</v>
      </c>
      <c r="N665" s="34">
        <f t="shared" si="90"/>
        <v>2700</v>
      </c>
      <c r="O665" s="8" t="str">
        <f>IF(P665="","",VLOOKUP(P665,引用表合并!$A:$B,2,FALSE))</f>
        <v>白金手环碎片</v>
      </c>
      <c r="P665" s="74">
        <v>93233</v>
      </c>
      <c r="Q665" s="9">
        <v>1</v>
      </c>
      <c r="R665" s="12">
        <f t="shared" si="91"/>
        <v>2700</v>
      </c>
      <c r="S665" s="12" t="str">
        <f>IF(T665="","",VLOOKUP(T665,引用表合并!$A:$B,2,FALSE))</f>
        <v>银色手环</v>
      </c>
      <c r="T665" s="73">
        <v>92228</v>
      </c>
      <c r="U665" s="12">
        <v>1</v>
      </c>
      <c r="V665" s="12">
        <f t="shared" si="92"/>
        <v>2700</v>
      </c>
      <c r="W665" s="8" t="str">
        <f>IF(X665="","",VLOOKUP(X665,引用表合并!$A:$B,2,FALSE))</f>
        <v>稀有装备升级石</v>
      </c>
      <c r="X665" s="8">
        <v>85300</v>
      </c>
      <c r="Y665" s="10">
        <v>1</v>
      </c>
      <c r="Z665" s="10">
        <f t="shared" si="94"/>
        <v>2200</v>
      </c>
      <c r="AA665" s="8" t="str">
        <f>IF(AB665="","",VLOOKUP(AB665,引用表合并!$A:$B,2,FALSE))</f>
        <v>高级装备升级石</v>
      </c>
      <c r="AB665" s="8">
        <v>85200</v>
      </c>
      <c r="AC665" s="8">
        <v>1</v>
      </c>
      <c r="AD665" s="10">
        <f t="shared" si="95"/>
        <v>10000</v>
      </c>
      <c r="AE665" s="8" t="str">
        <f>IF(AF665="","",VLOOKUP(AF665,引用表合并!$A:$B,2,FALSE))</f>
        <v/>
      </c>
      <c r="AF665" s="8"/>
      <c r="AI665" s="8"/>
      <c r="AJ665" s="8"/>
      <c r="AK665" s="8"/>
      <c r="AM665" s="8" t="str">
        <f>IF(AN665="","",VLOOKUP(AN665,引用表合并!$A:$B,2,FALSE))</f>
        <v/>
      </c>
      <c r="AN665" s="8"/>
      <c r="AO665" s="8"/>
      <c r="AQ665" s="8" t="str">
        <f>IF(AR665="","",VLOOKUP(AR665,引用表合并!$A:$B,2,FALSE))</f>
        <v/>
      </c>
      <c r="AR665" s="8"/>
      <c r="AS665" s="8"/>
      <c r="AU665" s="8" t="str">
        <f>IF(AV665="","",VLOOKUP(AV665,引用表合并!$A:$B,2,FALSE))</f>
        <v/>
      </c>
      <c r="AV665" s="8"/>
      <c r="AW665" s="8"/>
      <c r="AY665" s="8"/>
      <c r="AZ665" s="8"/>
      <c r="BA665" s="8"/>
      <c r="BB665" s="8"/>
      <c r="BD665" s="8"/>
      <c r="BH665" s="8"/>
      <c r="BL665" s="8"/>
      <c r="FK665" s="8">
        <v>2</v>
      </c>
      <c r="FL665" s="8">
        <v>12</v>
      </c>
    </row>
    <row r="666" spans="1:168" x14ac:dyDescent="0.15">
      <c r="A666" s="8">
        <v>700307</v>
      </c>
      <c r="B666" t="s">
        <v>897</v>
      </c>
      <c r="C666" s="8">
        <v>0</v>
      </c>
      <c r="D666" s="8">
        <f t="shared" si="82"/>
        <v>6</v>
      </c>
      <c r="E666" s="16">
        <f t="shared" si="97"/>
        <v>6</v>
      </c>
      <c r="F666" s="16">
        <f t="shared" si="88"/>
        <v>6</v>
      </c>
      <c r="G666" s="8" t="str">
        <f>IF(H666="","",VLOOKUP(H666,引用表合并!$A:$B,2,FALSE))</f>
        <v>宝石手环碎片</v>
      </c>
      <c r="H666" s="75">
        <v>93235</v>
      </c>
      <c r="I666" s="34">
        <v>1</v>
      </c>
      <c r="J666" s="34">
        <f t="shared" si="89"/>
        <v>2100</v>
      </c>
      <c r="K666" s="8" t="str">
        <f>IF(L666="","",VLOOKUP(L666,引用表合并!$A:$B,2,FALSE))</f>
        <v>摩拉碎片</v>
      </c>
      <c r="L666" s="75">
        <v>93012</v>
      </c>
      <c r="M666" s="34">
        <v>1</v>
      </c>
      <c r="N666" s="34">
        <f t="shared" si="90"/>
        <v>2100</v>
      </c>
      <c r="O666" s="8" t="str">
        <f>IF(P666="","",VLOOKUP(P666,引用表合并!$A:$B,2,FALSE))</f>
        <v>银饰耳钉碎片</v>
      </c>
      <c r="P666" s="74">
        <v>93122</v>
      </c>
      <c r="Q666" s="9">
        <v>1</v>
      </c>
      <c r="R666" s="12">
        <f t="shared" si="91"/>
        <v>2100</v>
      </c>
      <c r="S666" s="12" t="str">
        <f>IF(T666="","",VLOOKUP(T666,引用表合并!$A:$B,2,FALSE))</f>
        <v>鎏金手环</v>
      </c>
      <c r="T666" s="73">
        <v>92232</v>
      </c>
      <c r="U666" s="12">
        <v>1</v>
      </c>
      <c r="V666" s="12">
        <f t="shared" si="92"/>
        <v>2100</v>
      </c>
      <c r="W666" s="8" t="str">
        <f>IF(X666="","",VLOOKUP(X666,引用表合并!$A:$B,2,FALSE))</f>
        <v>稀有装备升级石</v>
      </c>
      <c r="X666" s="8">
        <v>85300</v>
      </c>
      <c r="Y666" s="10">
        <v>1</v>
      </c>
      <c r="Z666" s="10">
        <f t="shared" si="94"/>
        <v>2400</v>
      </c>
      <c r="AA666" s="8" t="str">
        <f>IF(AB666="","",VLOOKUP(AB666,引用表合并!$A:$B,2,FALSE))</f>
        <v>高级装备升级石</v>
      </c>
      <c r="AB666" s="8">
        <v>85200</v>
      </c>
      <c r="AC666" s="8">
        <v>1</v>
      </c>
      <c r="AD666" s="10">
        <f t="shared" si="95"/>
        <v>3000</v>
      </c>
      <c r="AE666" s="8" t="str">
        <f>IF(AF666="","",VLOOKUP(AF666,引用表合并!$A:$B,2,FALSE))</f>
        <v/>
      </c>
      <c r="AF666" s="8"/>
      <c r="AI666" s="8"/>
      <c r="AJ666" s="8"/>
      <c r="AK666" s="8"/>
      <c r="AM666" s="8" t="str">
        <f>IF(AN666="","",VLOOKUP(AN666,引用表合并!$A:$B,2,FALSE))</f>
        <v/>
      </c>
      <c r="AN666" s="8"/>
      <c r="AO666" s="8"/>
      <c r="AQ666" s="8" t="str">
        <f>IF(AR666="","",VLOOKUP(AR666,引用表合并!$A:$B,2,FALSE))</f>
        <v/>
      </c>
      <c r="AR666" s="8"/>
      <c r="AS666" s="8"/>
      <c r="AU666" s="8" t="str">
        <f>IF(AV666="","",VLOOKUP(AV666,引用表合并!$A:$B,2,FALSE))</f>
        <v/>
      </c>
      <c r="AV666" s="8"/>
      <c r="AW666" s="8"/>
      <c r="AY666" s="8"/>
      <c r="AZ666" s="8"/>
      <c r="BA666" s="8"/>
      <c r="BB666" s="8"/>
      <c r="BD666" s="8"/>
      <c r="BH666" s="8"/>
      <c r="BL666" s="8"/>
      <c r="FK666" s="8">
        <v>2</v>
      </c>
      <c r="FL666" s="8">
        <v>0</v>
      </c>
    </row>
    <row r="667" spans="1:168" x14ac:dyDescent="0.15">
      <c r="A667" s="8">
        <v>700308</v>
      </c>
      <c r="B667" t="s">
        <v>898</v>
      </c>
      <c r="C667" s="8">
        <v>0</v>
      </c>
      <c r="D667" s="8">
        <f t="shared" si="82"/>
        <v>6</v>
      </c>
      <c r="E667" s="16">
        <f t="shared" si="97"/>
        <v>6</v>
      </c>
      <c r="F667" s="16">
        <f t="shared" si="88"/>
        <v>6</v>
      </c>
      <c r="G667" s="8" t="str">
        <f>IF(H667="","",VLOOKUP(H667,引用表合并!$A:$B,2,FALSE))</f>
        <v>摩拉碎片</v>
      </c>
      <c r="H667" s="75">
        <v>93012</v>
      </c>
      <c r="I667" s="34">
        <v>1</v>
      </c>
      <c r="J667" s="34">
        <f t="shared" si="89"/>
        <v>2100</v>
      </c>
      <c r="K667" s="8" t="str">
        <f>IF(L667="","",VLOOKUP(L667,引用表合并!$A:$B,2,FALSE))</f>
        <v>青玉项链碎片</v>
      </c>
      <c r="L667" s="75">
        <v>93252</v>
      </c>
      <c r="M667" s="34">
        <v>1</v>
      </c>
      <c r="N667" s="34">
        <f t="shared" si="90"/>
        <v>2100</v>
      </c>
      <c r="O667" s="8" t="str">
        <f>IF(P667="","",VLOOKUP(P667,引用表合并!$A:$B,2,FALSE))</f>
        <v>白银戒指碎片</v>
      </c>
      <c r="P667" s="74">
        <v>93141</v>
      </c>
      <c r="Q667" s="9">
        <v>1</v>
      </c>
      <c r="R667" s="12">
        <f t="shared" si="91"/>
        <v>2100</v>
      </c>
      <c r="S667" s="12" t="str">
        <f>IF(T667="","",VLOOKUP(T667,引用表合并!$A:$B,2,FALSE))</f>
        <v>镀金耳钉</v>
      </c>
      <c r="T667" s="73">
        <v>92121</v>
      </c>
      <c r="U667" s="12">
        <v>1</v>
      </c>
      <c r="V667" s="12">
        <f t="shared" si="92"/>
        <v>2100</v>
      </c>
      <c r="W667" s="8" t="str">
        <f>IF(X667="","",VLOOKUP(X667,引用表合并!$A:$B,2,FALSE))</f>
        <v>稀有装备升级石</v>
      </c>
      <c r="X667" s="8">
        <v>85300</v>
      </c>
      <c r="Y667" s="10">
        <v>1</v>
      </c>
      <c r="Z667" s="10">
        <f t="shared" si="94"/>
        <v>2600</v>
      </c>
      <c r="AA667" s="8" t="str">
        <f>IF(AB667="","",VLOOKUP(AB667,引用表合并!$A:$B,2,FALSE))</f>
        <v>高级装备升级石</v>
      </c>
      <c r="AB667" s="8">
        <v>85200</v>
      </c>
      <c r="AC667" s="8">
        <v>1</v>
      </c>
      <c r="AD667" s="10">
        <f t="shared" si="95"/>
        <v>3200</v>
      </c>
      <c r="AE667" s="8" t="str">
        <f>IF(AF667="","",VLOOKUP(AF667,引用表合并!$A:$B,2,FALSE))</f>
        <v/>
      </c>
      <c r="AF667" s="8"/>
      <c r="AI667" s="8"/>
      <c r="AJ667" s="8"/>
      <c r="AK667" s="8"/>
      <c r="AM667" s="8" t="str">
        <f>IF(AN667="","",VLOOKUP(AN667,引用表合并!$A:$B,2,FALSE))</f>
        <v/>
      </c>
      <c r="AN667" s="8"/>
      <c r="AO667" s="8"/>
      <c r="AQ667" s="8" t="str">
        <f>IF(AR667="","",VLOOKUP(AR667,引用表合并!$A:$B,2,FALSE))</f>
        <v/>
      </c>
      <c r="AR667" s="8"/>
      <c r="AS667" s="8"/>
      <c r="AU667" s="8" t="str">
        <f>IF(AV667="","",VLOOKUP(AV667,引用表合并!$A:$B,2,FALSE))</f>
        <v/>
      </c>
      <c r="AV667" s="8"/>
      <c r="AW667" s="8"/>
      <c r="AY667" s="8"/>
      <c r="AZ667" s="8"/>
      <c r="BA667" s="8"/>
      <c r="BB667" s="8"/>
      <c r="BD667" s="8"/>
      <c r="BH667" s="8"/>
      <c r="BL667" s="8"/>
      <c r="FK667" s="8">
        <v>2</v>
      </c>
      <c r="FL667" s="8">
        <v>0</v>
      </c>
    </row>
    <row r="668" spans="1:168" x14ac:dyDescent="0.15">
      <c r="A668" s="8">
        <v>700309</v>
      </c>
      <c r="B668" t="s">
        <v>899</v>
      </c>
      <c r="C668" s="8">
        <v>0</v>
      </c>
      <c r="D668" s="8">
        <f t="shared" si="82"/>
        <v>6</v>
      </c>
      <c r="E668" s="16">
        <f t="shared" si="97"/>
        <v>6</v>
      </c>
      <c r="F668" s="16">
        <f t="shared" si="88"/>
        <v>6</v>
      </c>
      <c r="G668" s="8" t="str">
        <f>IF(H668="","",VLOOKUP(H668,引用表合并!$A:$B,2,FALSE))</f>
        <v>青玉项链碎片</v>
      </c>
      <c r="H668" s="75">
        <v>93252</v>
      </c>
      <c r="I668" s="34">
        <v>1</v>
      </c>
      <c r="J668" s="34">
        <f t="shared" si="89"/>
        <v>2800</v>
      </c>
      <c r="K668" s="8" t="str">
        <f>IF(L668="","",VLOOKUP(L668,引用表合并!$A:$B,2,FALSE))</f>
        <v>水晶耳钉碎片</v>
      </c>
      <c r="L668" s="75">
        <v>93124</v>
      </c>
      <c r="M668" s="34">
        <v>1</v>
      </c>
      <c r="N668" s="34">
        <f t="shared" si="90"/>
        <v>2800</v>
      </c>
      <c r="O668" s="8" t="str">
        <f>IF(P668="","",VLOOKUP(P668,引用表合并!$A:$B,2,FALSE))</f>
        <v>水晶项链碎片</v>
      </c>
      <c r="P668" s="74">
        <v>93245</v>
      </c>
      <c r="Q668" s="9">
        <v>1</v>
      </c>
      <c r="R668" s="12">
        <f t="shared" si="91"/>
        <v>2800</v>
      </c>
      <c r="S668" s="12" t="str">
        <f>IF(T668="","",VLOOKUP(T668,引用表合并!$A:$B,2,FALSE))</f>
        <v>诅咒项链</v>
      </c>
      <c r="T668" s="73">
        <v>92243</v>
      </c>
      <c r="U668" s="12">
        <v>1</v>
      </c>
      <c r="V668" s="12">
        <f t="shared" si="92"/>
        <v>2800</v>
      </c>
      <c r="W668" s="8" t="str">
        <f>IF(X668="","",VLOOKUP(X668,引用表合并!$A:$B,2,FALSE))</f>
        <v>稀有装备升级石</v>
      </c>
      <c r="X668" s="8">
        <v>85300</v>
      </c>
      <c r="Y668" s="10">
        <v>1</v>
      </c>
      <c r="Z668" s="10">
        <f t="shared" si="94"/>
        <v>10000</v>
      </c>
      <c r="AA668" s="8" t="str">
        <f>IF(AB668="","",VLOOKUP(AB668,引用表合并!$A:$B,2,FALSE))</f>
        <v>高级装备升级石</v>
      </c>
      <c r="AB668" s="8">
        <v>85200</v>
      </c>
      <c r="AC668" s="8">
        <v>1</v>
      </c>
      <c r="AD668" s="10">
        <f t="shared" si="95"/>
        <v>2000</v>
      </c>
      <c r="AE668" s="8" t="str">
        <f>IF(AF668="","",VLOOKUP(AF668,引用表合并!$A:$B,2,FALSE))</f>
        <v/>
      </c>
      <c r="AF668" s="8"/>
      <c r="AI668" s="8"/>
      <c r="AJ668" s="8"/>
      <c r="AK668" s="8"/>
      <c r="AM668" s="8" t="str">
        <f>IF(AN668="","",VLOOKUP(AN668,引用表合并!$A:$B,2,FALSE))</f>
        <v/>
      </c>
      <c r="AN668" s="8"/>
      <c r="AO668" s="8"/>
      <c r="AQ668" s="8" t="str">
        <f>IF(AR668="","",VLOOKUP(AR668,引用表合并!$A:$B,2,FALSE))</f>
        <v/>
      </c>
      <c r="AR668" s="8"/>
      <c r="AS668" s="8"/>
      <c r="AU668" s="8" t="str">
        <f>IF(AV668="","",VLOOKUP(AV668,引用表合并!$A:$B,2,FALSE))</f>
        <v/>
      </c>
      <c r="AV668" s="8"/>
      <c r="AW668" s="8"/>
      <c r="AY668" s="8"/>
      <c r="AZ668" s="8"/>
      <c r="BA668" s="8"/>
      <c r="BB668" s="8"/>
      <c r="BD668" s="8"/>
      <c r="BH668" s="8"/>
      <c r="BL668" s="8"/>
      <c r="FK668" s="8">
        <v>2</v>
      </c>
      <c r="FL668" s="8">
        <v>14</v>
      </c>
    </row>
    <row r="669" spans="1:168" x14ac:dyDescent="0.15">
      <c r="A669" s="8">
        <v>700310</v>
      </c>
      <c r="B669" t="s">
        <v>900</v>
      </c>
      <c r="C669" s="8">
        <v>0</v>
      </c>
      <c r="D669" s="8">
        <f t="shared" si="82"/>
        <v>6</v>
      </c>
      <c r="E669" s="16">
        <f t="shared" si="97"/>
        <v>6</v>
      </c>
      <c r="F669" s="16">
        <f t="shared" si="88"/>
        <v>6</v>
      </c>
      <c r="G669" s="8" t="str">
        <f>IF(H669="","",VLOOKUP(H669,引用表合并!$A:$B,2,FALSE))</f>
        <v>水晶耳钉碎片</v>
      </c>
      <c r="H669" s="75">
        <v>93124</v>
      </c>
      <c r="I669" s="34">
        <v>1</v>
      </c>
      <c r="J669" s="34">
        <f t="shared" si="89"/>
        <v>2500</v>
      </c>
      <c r="K669" s="8" t="str">
        <f>IF(L669="","",VLOOKUP(L669,引用表合并!$A:$B,2,FALSE))</f>
        <v>金针手表碎片</v>
      </c>
      <c r="L669" s="75">
        <v>93272</v>
      </c>
      <c r="M669" s="34">
        <v>1</v>
      </c>
      <c r="N669" s="34">
        <f t="shared" si="90"/>
        <v>2500</v>
      </c>
      <c r="O669" s="8" t="str">
        <f>IF(P669="","",VLOOKUP(P669,引用表合并!$A:$B,2,FALSE))</f>
        <v>红石项链碎片</v>
      </c>
      <c r="P669" s="74">
        <v>93251</v>
      </c>
      <c r="Q669" s="9">
        <v>1</v>
      </c>
      <c r="R669" s="9">
        <f t="shared" si="91"/>
        <v>2500</v>
      </c>
      <c r="S669" s="9" t="str">
        <f>IF(T669="","",VLOOKUP(T669,引用表合并!$A:$B,2,FALSE))</f>
        <v>越野手表碎片</v>
      </c>
      <c r="T669" s="74">
        <v>93264</v>
      </c>
      <c r="U669" s="9">
        <v>1</v>
      </c>
      <c r="V669" s="9">
        <f t="shared" si="92"/>
        <v>2500</v>
      </c>
      <c r="W669" s="8" t="str">
        <f>IF(X669="","",VLOOKUP(X669,引用表合并!$A:$B,2,FALSE))</f>
        <v>稀有装备升级石</v>
      </c>
      <c r="X669" s="8">
        <v>85300</v>
      </c>
      <c r="Y669" s="10">
        <v>1</v>
      </c>
      <c r="Z669" s="10">
        <f t="shared" si="94"/>
        <v>2800</v>
      </c>
      <c r="AA669" s="8" t="str">
        <f>IF(AB669="","",VLOOKUP(AB669,引用表合并!$A:$B,2,FALSE))</f>
        <v>高级装备升级石</v>
      </c>
      <c r="AB669" s="8">
        <v>85200</v>
      </c>
      <c r="AC669" s="8">
        <v>1</v>
      </c>
      <c r="AD669" s="10">
        <f t="shared" si="95"/>
        <v>3400</v>
      </c>
      <c r="AE669" s="8" t="str">
        <f>IF(AF669="","",VLOOKUP(AF669,引用表合并!$A:$B,2,FALSE))</f>
        <v/>
      </c>
      <c r="AF669" s="8"/>
      <c r="AI669" s="8"/>
      <c r="AJ669" s="8"/>
      <c r="AK669" s="8"/>
      <c r="AM669" s="8" t="str">
        <f>IF(AN669="","",VLOOKUP(AN669,引用表合并!$A:$B,2,FALSE))</f>
        <v/>
      </c>
      <c r="AN669" s="8"/>
      <c r="AO669" s="8"/>
      <c r="AQ669" s="8" t="str">
        <f>IF(AR669="","",VLOOKUP(AR669,引用表合并!$A:$B,2,FALSE))</f>
        <v/>
      </c>
      <c r="AR669" s="8"/>
      <c r="AS669" s="8"/>
      <c r="AU669" s="8" t="str">
        <f>IF(AV669="","",VLOOKUP(AV669,引用表合并!$A:$B,2,FALSE))</f>
        <v/>
      </c>
      <c r="AV669" s="8"/>
      <c r="AW669" s="8"/>
      <c r="AY669" s="8"/>
      <c r="AZ669" s="8"/>
      <c r="BA669" s="8"/>
      <c r="BB669" s="8"/>
      <c r="BD669" s="8"/>
      <c r="BH669" s="8"/>
      <c r="BL669" s="8"/>
      <c r="FK669" s="8">
        <v>2</v>
      </c>
      <c r="FL669" s="8">
        <v>8</v>
      </c>
    </row>
    <row r="670" spans="1:168" x14ac:dyDescent="0.15">
      <c r="A670" s="8">
        <v>700311</v>
      </c>
      <c r="B670" t="s">
        <v>901</v>
      </c>
      <c r="C670" s="8">
        <v>0</v>
      </c>
      <c r="D670" s="8">
        <f t="shared" si="82"/>
        <v>6</v>
      </c>
      <c r="E670" s="16">
        <f t="shared" si="97"/>
        <v>6</v>
      </c>
      <c r="F670" s="16">
        <f t="shared" si="88"/>
        <v>6</v>
      </c>
      <c r="G670" s="8" t="str">
        <f>IF(H670="","",VLOOKUP(H670,引用表合并!$A:$B,2,FALSE))</f>
        <v>金针手表碎片</v>
      </c>
      <c r="H670" s="75">
        <v>93272</v>
      </c>
      <c r="I670" s="34">
        <v>1</v>
      </c>
      <c r="J670" s="34">
        <f t="shared" si="89"/>
        <v>2500</v>
      </c>
      <c r="K670" s="8" t="str">
        <f>IF(L670="","",VLOOKUP(L670,引用表合并!$A:$B,2,FALSE))</f>
        <v>智能手表碎片</v>
      </c>
      <c r="L670" s="75">
        <v>93273</v>
      </c>
      <c r="M670" s="34">
        <v>1</v>
      </c>
      <c r="N670" s="34">
        <f t="shared" si="90"/>
        <v>2500</v>
      </c>
      <c r="O670" s="8" t="str">
        <f>IF(P670="","",VLOOKUP(P670,引用表合并!$A:$B,2,FALSE))</f>
        <v>大迭钞票碎片</v>
      </c>
      <c r="P670" s="75">
        <v>93284</v>
      </c>
      <c r="Q670" s="34">
        <v>1</v>
      </c>
      <c r="R670" s="34">
        <f t="shared" si="91"/>
        <v>2500</v>
      </c>
      <c r="S670" s="9" t="str">
        <f>IF(T670="","",VLOOKUP(T670,引用表合并!$A:$B,2,FALSE))</f>
        <v>精准手表碎片</v>
      </c>
      <c r="T670" s="74">
        <v>93271</v>
      </c>
      <c r="U670" s="9">
        <v>1</v>
      </c>
      <c r="V670" s="9">
        <f t="shared" si="92"/>
        <v>2500</v>
      </c>
      <c r="W670" s="8" t="str">
        <f>IF(X670="","",VLOOKUP(X670,引用表合并!$A:$B,2,FALSE))</f>
        <v>史诗装备升级石</v>
      </c>
      <c r="X670" s="8">
        <v>85400</v>
      </c>
      <c r="Y670" s="8">
        <v>1</v>
      </c>
      <c r="Z670" s="10">
        <f t="shared" si="94"/>
        <v>3000</v>
      </c>
      <c r="AA670" s="8" t="str">
        <f>IF(AB670="","",VLOOKUP(AB670,引用表合并!$A:$B,2,FALSE))</f>
        <v>高级装备升级石</v>
      </c>
      <c r="AB670" s="8">
        <v>85200</v>
      </c>
      <c r="AC670" s="8">
        <v>1</v>
      </c>
      <c r="AD670" s="10">
        <f t="shared" si="95"/>
        <v>3600</v>
      </c>
      <c r="AE670" s="8" t="str">
        <f>IF(AF670="","",VLOOKUP(AF670,引用表合并!$A:$B,2,FALSE))</f>
        <v/>
      </c>
      <c r="AF670" s="8"/>
      <c r="AI670" s="8" t="str">
        <f>IF(AJ670="","",VLOOKUP(AJ670,引用表合并!$A:$B,2,FALSE))</f>
        <v/>
      </c>
      <c r="AJ670" s="8"/>
      <c r="AK670" s="8"/>
      <c r="AM670" s="8" t="str">
        <f>IF(AN670="","",VLOOKUP(AN670,引用表合并!$A:$B,2,FALSE))</f>
        <v/>
      </c>
      <c r="AN670" s="8"/>
      <c r="AO670" s="8"/>
      <c r="AQ670" s="8" t="str">
        <f>IF(AR670="","",VLOOKUP(AR670,引用表合并!$A:$B,2,FALSE))</f>
        <v/>
      </c>
      <c r="AR670" s="8"/>
      <c r="AS670" s="8"/>
      <c r="AU670" s="8" t="str">
        <f>IF(AV670="","",VLOOKUP(AV670,引用表合并!$A:$B,2,FALSE))</f>
        <v/>
      </c>
      <c r="AV670" s="8"/>
      <c r="AW670" s="8"/>
      <c r="AY670" s="8"/>
      <c r="AZ670" s="8"/>
      <c r="BA670" s="8"/>
      <c r="BB670" s="8"/>
      <c r="BD670" s="8"/>
      <c r="BH670" s="8"/>
      <c r="BL670" s="8"/>
      <c r="FK670" s="8">
        <v>2</v>
      </c>
      <c r="FL670" s="8">
        <v>8</v>
      </c>
    </row>
    <row r="671" spans="1:168" x14ac:dyDescent="0.15">
      <c r="A671" s="8">
        <v>700312</v>
      </c>
      <c r="B671" t="s">
        <v>902</v>
      </c>
      <c r="C671" s="8">
        <v>0</v>
      </c>
      <c r="D671" s="8">
        <f t="shared" si="82"/>
        <v>6</v>
      </c>
      <c r="E671" s="16">
        <f t="shared" si="97"/>
        <v>6</v>
      </c>
      <c r="F671" s="16">
        <f t="shared" si="88"/>
        <v>6</v>
      </c>
      <c r="G671" s="8" t="str">
        <f>IF(H671="","",VLOOKUP(H671,引用表合并!$A:$B,2,FALSE))</f>
        <v>智能手表碎片</v>
      </c>
      <c r="H671" s="75">
        <v>93273</v>
      </c>
      <c r="I671" s="34">
        <v>1</v>
      </c>
      <c r="J671" s="34">
        <f t="shared" si="89"/>
        <v>2900</v>
      </c>
      <c r="K671" s="8" t="str">
        <f>IF(L671="","",VLOOKUP(L671,引用表合并!$A:$B,2,FALSE))</f>
        <v>宾倪碎片</v>
      </c>
      <c r="L671" s="75">
        <v>93279</v>
      </c>
      <c r="M671" s="34">
        <v>1</v>
      </c>
      <c r="N671" s="34">
        <f t="shared" si="90"/>
        <v>2900</v>
      </c>
      <c r="O671" s="8" t="str">
        <f>IF(P671="","",VLOOKUP(P671,引用表合并!$A:$B,2,FALSE))</f>
        <v>大金块碎片</v>
      </c>
      <c r="P671" s="75">
        <v>93288</v>
      </c>
      <c r="Q671" s="34">
        <v>1</v>
      </c>
      <c r="R671" s="34">
        <f t="shared" si="91"/>
        <v>2900</v>
      </c>
      <c r="S671" s="9" t="str">
        <f>IF(T671="","",VLOOKUP(T671,引用表合并!$A:$B,2,FALSE))</f>
        <v>宝驼碎片</v>
      </c>
      <c r="T671" s="74">
        <v>93278</v>
      </c>
      <c r="U671" s="9">
        <v>1</v>
      </c>
      <c r="V671" s="9">
        <f t="shared" si="92"/>
        <v>2900</v>
      </c>
      <c r="W671" s="8" t="str">
        <f>IF(X671="","",VLOOKUP(X671,引用表合并!$A:$B,2,FALSE))</f>
        <v>史诗装备升级石</v>
      </c>
      <c r="X671" s="8">
        <v>85400</v>
      </c>
      <c r="Y671" s="8">
        <v>1</v>
      </c>
      <c r="Z671" s="10">
        <f t="shared" si="94"/>
        <v>4200</v>
      </c>
      <c r="AA671" s="8" t="str">
        <f>IF(AB671="","",VLOOKUP(AB671,引用表合并!$A:$B,2,FALSE))</f>
        <v>稀有装备升级石</v>
      </c>
      <c r="AB671" s="8">
        <v>85300</v>
      </c>
      <c r="AC671" s="10">
        <v>1</v>
      </c>
      <c r="AD671" s="10">
        <f t="shared" si="95"/>
        <v>10000</v>
      </c>
      <c r="AE671" s="8" t="str">
        <f>IF(AF671="","",VLOOKUP(AF671,引用表合并!$A:$B,2,FALSE))</f>
        <v/>
      </c>
      <c r="AF671" s="8"/>
      <c r="AG671" s="8"/>
      <c r="AI671" s="8" t="str">
        <f>IF(AJ671="","",VLOOKUP(AJ671,引用表合并!$A:$B,2,FALSE))</f>
        <v/>
      </c>
      <c r="AJ671" s="8"/>
      <c r="AK671" s="8"/>
      <c r="AM671" s="8" t="str">
        <f>IF(AN671="","",VLOOKUP(AN671,引用表合并!$A:$B,2,FALSE))</f>
        <v/>
      </c>
      <c r="AN671" s="8"/>
      <c r="AO671" s="8"/>
      <c r="AQ671" s="8" t="str">
        <f>IF(AR671="","",VLOOKUP(AR671,引用表合并!$A:$B,2,FALSE))</f>
        <v/>
      </c>
      <c r="AR671" s="8"/>
      <c r="AS671" s="8"/>
      <c r="AU671" s="8" t="str">
        <f>IF(AV671="","",VLOOKUP(AV671,引用表合并!$A:$B,2,FALSE))</f>
        <v/>
      </c>
      <c r="AV671" s="8"/>
      <c r="AW671" s="8"/>
      <c r="AY671" s="8"/>
      <c r="AZ671" s="8"/>
      <c r="BA671" s="8"/>
      <c r="BB671" s="8"/>
      <c r="BD671" s="8"/>
      <c r="BH671" s="8"/>
      <c r="BL671" s="8"/>
      <c r="FK671" s="8">
        <v>2</v>
      </c>
      <c r="FL671" s="8">
        <v>16</v>
      </c>
    </row>
    <row r="672" spans="1:168" x14ac:dyDescent="0.15">
      <c r="A672" s="8">
        <v>700313</v>
      </c>
      <c r="B672" t="s">
        <v>903</v>
      </c>
      <c r="C672" s="8">
        <v>0</v>
      </c>
      <c r="D672" s="8">
        <f t="shared" si="82"/>
        <v>6</v>
      </c>
      <c r="E672" s="16">
        <f t="shared" si="97"/>
        <v>6</v>
      </c>
      <c r="F672" s="16">
        <f t="shared" si="88"/>
        <v>6</v>
      </c>
      <c r="G672" s="8" t="str">
        <f>IF(H672="","",VLOOKUP(H672,引用表合并!$A:$B,2,FALSE))</f>
        <v>宾倪碎片</v>
      </c>
      <c r="H672" s="75">
        <v>93279</v>
      </c>
      <c r="I672" s="34">
        <v>1</v>
      </c>
      <c r="J672" s="34">
        <f t="shared" si="89"/>
        <v>2600</v>
      </c>
      <c r="K672" s="8" t="str">
        <f>IF(L672="","",VLOOKUP(L672,引用表合并!$A:$B,2,FALSE))</f>
        <v>大迭钞票碎片</v>
      </c>
      <c r="L672" s="75">
        <v>93284</v>
      </c>
      <c r="M672" s="34">
        <v>1</v>
      </c>
      <c r="N672" s="34">
        <f t="shared" si="90"/>
        <v>2600</v>
      </c>
      <c r="O672" s="8" t="str">
        <f>IF(P672="","",VLOOKUP(P672,引用表合并!$A:$B,2,FALSE))</f>
        <v>金针手表碎片</v>
      </c>
      <c r="P672" s="75">
        <v>93272</v>
      </c>
      <c r="Q672" s="34">
        <v>1</v>
      </c>
      <c r="R672" s="34">
        <f t="shared" si="91"/>
        <v>2600</v>
      </c>
      <c r="S672" s="9" t="str">
        <f>IF(T672="","",VLOOKUP(T672,引用表合并!$A:$B,2,FALSE))</f>
        <v>小迭钞票碎片</v>
      </c>
      <c r="T672" s="74">
        <v>93283</v>
      </c>
      <c r="U672" s="9">
        <v>1</v>
      </c>
      <c r="V672" s="9">
        <f t="shared" si="92"/>
        <v>2600</v>
      </c>
      <c r="W672" s="8" t="str">
        <f>IF(X672="","",VLOOKUP(X672,引用表合并!$A:$B,2,FALSE))</f>
        <v>史诗装备升级石</v>
      </c>
      <c r="X672" s="8">
        <v>85400</v>
      </c>
      <c r="Y672" s="8">
        <v>1</v>
      </c>
      <c r="Z672" s="10">
        <f t="shared" si="94"/>
        <v>2700</v>
      </c>
      <c r="AA672" s="8" t="str">
        <f>IF(AB672="","",VLOOKUP(AB672,引用表合并!$A:$B,2,FALSE))</f>
        <v>高级装备升级石</v>
      </c>
      <c r="AB672" s="8">
        <v>85200</v>
      </c>
      <c r="AC672" s="8">
        <v>1</v>
      </c>
      <c r="AD672" s="10">
        <f t="shared" si="95"/>
        <v>4000</v>
      </c>
      <c r="AE672" s="8" t="str">
        <f>IF(AF672="","",VLOOKUP(AF672,引用表合并!$A:$B,2,FALSE))</f>
        <v/>
      </c>
      <c r="AF672" s="8"/>
      <c r="AI672" s="8" t="str">
        <f>IF(AJ672="","",VLOOKUP(AJ672,引用表合并!$A:$B,2,FALSE))</f>
        <v/>
      </c>
      <c r="AJ672" s="8"/>
      <c r="AK672" s="8"/>
      <c r="AM672" s="8" t="str">
        <f>IF(AN672="","",VLOOKUP(AN672,引用表合并!$A:$B,2,FALSE))</f>
        <v/>
      </c>
      <c r="AN672" s="8"/>
      <c r="AO672" s="8"/>
      <c r="AQ672" s="8" t="str">
        <f>IF(AR672="","",VLOOKUP(AR672,引用表合并!$A:$B,2,FALSE))</f>
        <v/>
      </c>
      <c r="AR672" s="8"/>
      <c r="AS672" s="8"/>
      <c r="AU672" s="8" t="str">
        <f>IF(AV672="","",VLOOKUP(AV672,引用表合并!$A:$B,2,FALSE))</f>
        <v/>
      </c>
      <c r="AV672" s="8"/>
      <c r="AW672" s="8"/>
      <c r="AY672" s="8"/>
      <c r="AZ672" s="8"/>
      <c r="BA672" s="8"/>
      <c r="BB672" s="8"/>
      <c r="BD672" s="8"/>
      <c r="BH672" s="8"/>
      <c r="BL672" s="8"/>
      <c r="FK672" s="8">
        <v>2</v>
      </c>
      <c r="FL672" s="8">
        <v>10</v>
      </c>
    </row>
    <row r="673" spans="1:168" x14ac:dyDescent="0.15">
      <c r="A673" s="8">
        <v>700314</v>
      </c>
      <c r="B673" t="s">
        <v>904</v>
      </c>
      <c r="C673" s="8">
        <v>0</v>
      </c>
      <c r="D673" s="8">
        <f t="shared" si="82"/>
        <v>6</v>
      </c>
      <c r="E673" s="16">
        <f t="shared" si="97"/>
        <v>6</v>
      </c>
      <c r="F673" s="16">
        <f t="shared" si="88"/>
        <v>6</v>
      </c>
      <c r="G673" s="8" t="str">
        <f>IF(H673="","",VLOOKUP(H673,引用表合并!$A:$B,2,FALSE))</f>
        <v>大迭钞票碎片</v>
      </c>
      <c r="H673" s="75">
        <v>93284</v>
      </c>
      <c r="I673" s="34">
        <v>1</v>
      </c>
      <c r="J673" s="34">
        <f t="shared" si="89"/>
        <v>2600</v>
      </c>
      <c r="K673" s="8" t="str">
        <f>IF(L673="","",VLOOKUP(L673,引用表合并!$A:$B,2,FALSE))</f>
        <v>大金块碎片</v>
      </c>
      <c r="L673" s="75">
        <v>93288</v>
      </c>
      <c r="M673" s="34">
        <v>1</v>
      </c>
      <c r="N673" s="34">
        <f t="shared" si="90"/>
        <v>2600</v>
      </c>
      <c r="O673" s="8" t="str">
        <f>IF(P673="","",VLOOKUP(P673,引用表合并!$A:$B,2,FALSE))</f>
        <v>智能手表碎片</v>
      </c>
      <c r="P673" s="75">
        <v>93273</v>
      </c>
      <c r="Q673" s="34">
        <v>1</v>
      </c>
      <c r="R673" s="34">
        <f t="shared" si="91"/>
        <v>2600</v>
      </c>
      <c r="S673" s="9" t="str">
        <f>IF(T673="","",VLOOKUP(T673,引用表合并!$A:$B,2,FALSE))</f>
        <v>金块碎片</v>
      </c>
      <c r="T673" s="74">
        <v>93287</v>
      </c>
      <c r="U673" s="9">
        <v>1</v>
      </c>
      <c r="V673" s="9">
        <f t="shared" si="92"/>
        <v>2600</v>
      </c>
      <c r="W673" s="8" t="str">
        <f>IF(X673="","",VLOOKUP(X673,引用表合并!$A:$B,2,FALSE))</f>
        <v>史诗装备升级石</v>
      </c>
      <c r="X673" s="8">
        <v>85400</v>
      </c>
      <c r="Y673" s="8">
        <v>1</v>
      </c>
      <c r="Z673" s="10">
        <f t="shared" si="94"/>
        <v>2900</v>
      </c>
      <c r="AA673" s="8" t="str">
        <f>IF(AB673="","",VLOOKUP(AB673,引用表合并!$A:$B,2,FALSE))</f>
        <v>高级装备升级石</v>
      </c>
      <c r="AB673" s="8">
        <v>85200</v>
      </c>
      <c r="AC673" s="8">
        <v>1</v>
      </c>
      <c r="AD673" s="10">
        <f t="shared" si="95"/>
        <v>4200</v>
      </c>
      <c r="AE673" s="8" t="str">
        <f>IF(AF673="","",VLOOKUP(AF673,引用表合并!$A:$B,2,FALSE))</f>
        <v/>
      </c>
      <c r="AF673" s="8"/>
      <c r="AI673" s="8" t="str">
        <f>IF(AJ673="","",VLOOKUP(AJ673,引用表合并!$A:$B,2,FALSE))</f>
        <v/>
      </c>
      <c r="AJ673" s="8"/>
      <c r="AK673" s="8"/>
      <c r="AM673" s="8" t="str">
        <f>IF(AN673="","",VLOOKUP(AN673,引用表合并!$A:$B,2,FALSE))</f>
        <v/>
      </c>
      <c r="AN673" s="8"/>
      <c r="AO673" s="8"/>
      <c r="AQ673" s="8" t="str">
        <f>IF(AR673="","",VLOOKUP(AR673,引用表合并!$A:$B,2,FALSE))</f>
        <v/>
      </c>
      <c r="AR673" s="8"/>
      <c r="AS673" s="8"/>
      <c r="AU673" s="8" t="str">
        <f>IF(AV673="","",VLOOKUP(AV673,引用表合并!$A:$B,2,FALSE))</f>
        <v/>
      </c>
      <c r="AV673" s="8"/>
      <c r="AW673" s="8"/>
      <c r="AY673" s="8"/>
      <c r="AZ673" s="8"/>
      <c r="BA673" s="8"/>
      <c r="BB673" s="8"/>
      <c r="BD673" s="8"/>
      <c r="BH673" s="8"/>
      <c r="BL673" s="8"/>
      <c r="FK673" s="8">
        <v>2</v>
      </c>
      <c r="FL673" s="8">
        <v>10</v>
      </c>
    </row>
    <row r="674" spans="1:168" x14ac:dyDescent="0.15">
      <c r="A674" s="8">
        <v>700315</v>
      </c>
      <c r="B674" t="s">
        <v>905</v>
      </c>
      <c r="C674" s="8">
        <v>0</v>
      </c>
      <c r="D674" s="8">
        <f t="shared" si="82"/>
        <v>7</v>
      </c>
      <c r="E674" s="16">
        <f t="shared" si="97"/>
        <v>7</v>
      </c>
      <c r="F674" s="16">
        <f t="shared" si="88"/>
        <v>7</v>
      </c>
      <c r="G674" s="8" t="str">
        <f>IF(H674="","",VLOOKUP(H674,引用表合并!$A:$B,2,FALSE))</f>
        <v>大金块碎片</v>
      </c>
      <c r="H674" s="75">
        <v>93288</v>
      </c>
      <c r="I674" s="34">
        <v>1</v>
      </c>
      <c r="J674" s="34">
        <f t="shared" si="89"/>
        <v>3100</v>
      </c>
      <c r="K674" s="8" t="str">
        <f>IF(L674="","",VLOOKUP(L674,引用表合并!$A:$B,2,FALSE))</f>
        <v>黄金戒指碎片</v>
      </c>
      <c r="L674" s="75">
        <v>93142</v>
      </c>
      <c r="M674" s="34">
        <v>1</v>
      </c>
      <c r="N674" s="34">
        <f t="shared" si="90"/>
        <v>3100</v>
      </c>
      <c r="O674" s="8" t="str">
        <f>IF(P674="","",VLOOKUP(P674,引用表合并!$A:$B,2,FALSE))</f>
        <v>宾倪碎片</v>
      </c>
      <c r="P674" s="75">
        <v>93279</v>
      </c>
      <c r="Q674" s="34">
        <v>1</v>
      </c>
      <c r="R674" s="34">
        <f t="shared" si="91"/>
        <v>3100</v>
      </c>
      <c r="S674" s="9" t="str">
        <f>IF(T674="","",VLOOKUP(T674,引用表合并!$A:$B,2,FALSE))</f>
        <v>黄金戒指碎片</v>
      </c>
      <c r="T674" s="75">
        <v>93142</v>
      </c>
      <c r="U674" s="34">
        <v>1</v>
      </c>
      <c r="V674" s="34">
        <f t="shared" si="92"/>
        <v>3100</v>
      </c>
      <c r="W674" s="8" t="str">
        <f>IF(X674="","",VLOOKUP(X674,引用表合并!$A:$B,2,FALSE))</f>
        <v>史诗装备升级石</v>
      </c>
      <c r="X674" s="8">
        <v>85400</v>
      </c>
      <c r="Y674" s="8">
        <v>1</v>
      </c>
      <c r="Z674" s="10">
        <f t="shared" si="94"/>
        <v>10000</v>
      </c>
      <c r="AA674" s="8" t="str">
        <f>IF(AB674="","",VLOOKUP(AB674,引用表合并!$A:$B,2,FALSE))</f>
        <v>稀有装备升级石</v>
      </c>
      <c r="AB674" s="8">
        <v>85300</v>
      </c>
      <c r="AC674" s="10">
        <v>1</v>
      </c>
      <c r="AD674" s="10">
        <f t="shared" si="95"/>
        <v>5000</v>
      </c>
      <c r="AE674" s="8" t="str">
        <f>IF(AF674="","",VLOOKUP(AF674,引用表合并!$A:$B,2,FALSE))</f>
        <v>马仔经验甘露</v>
      </c>
      <c r="AF674" s="31">
        <f t="shared" ref="AF674" si="98">IF(CO674=100,91100,IF(CO674=500,91200,91300))</f>
        <v>91300</v>
      </c>
      <c r="AG674" s="8">
        <v>1</v>
      </c>
      <c r="AH674" s="10">
        <v>10000</v>
      </c>
      <c r="AI674" s="8" t="str">
        <f>IF(AJ674="","",VLOOKUP(AJ674,引用表合并!$A:$B,2,FALSE))</f>
        <v/>
      </c>
      <c r="AM674" s="8" t="str">
        <f>IF(AN674="","",VLOOKUP(AN674,引用表合并!$A:$B,2,FALSE))</f>
        <v/>
      </c>
      <c r="AN674" s="8"/>
      <c r="AO674" s="8"/>
      <c r="AQ674" s="8"/>
      <c r="AR674" s="8"/>
      <c r="AS674" s="8"/>
      <c r="AU674" s="8" t="str">
        <f>IF(AV674="","",VLOOKUP(AV674,引用表合并!$A:$B,2,FALSE))</f>
        <v/>
      </c>
      <c r="AV674" s="8"/>
      <c r="AW674" s="8"/>
      <c r="AY674" s="8"/>
      <c r="AZ674" s="8"/>
      <c r="BA674" s="8"/>
      <c r="BB674" s="8"/>
      <c r="BD674" s="8"/>
      <c r="BH674" s="8"/>
      <c r="BL674" s="8"/>
      <c r="FK674" s="8">
        <v>2</v>
      </c>
      <c r="FL674" s="8">
        <v>20</v>
      </c>
    </row>
    <row r="675" spans="1:168" x14ac:dyDescent="0.15">
      <c r="A675" s="8">
        <v>700401</v>
      </c>
      <c r="B675" s="8" t="s">
        <v>165</v>
      </c>
      <c r="C675" s="8">
        <v>0</v>
      </c>
      <c r="D675" s="8">
        <f t="shared" si="82"/>
        <v>5</v>
      </c>
      <c r="E675" s="16">
        <f t="shared" si="97"/>
        <v>5</v>
      </c>
      <c r="F675" s="16">
        <f t="shared" si="88"/>
        <v>5</v>
      </c>
      <c r="G675" s="8" t="str">
        <f>IF(H675="","",VLOOKUP(H675,引用表合并!$A:$B,2,FALSE))</f>
        <v>白金手环碎片</v>
      </c>
      <c r="H675" s="74">
        <v>93233</v>
      </c>
      <c r="I675" s="9">
        <v>1</v>
      </c>
      <c r="J675" s="9">
        <f t="shared" si="89"/>
        <v>2150</v>
      </c>
      <c r="K675" s="8" t="str">
        <f>IF(L675="","",VLOOKUP(L675,引用表合并!$A:$B,2,FALSE))</f>
        <v>越野手表碎片</v>
      </c>
      <c r="L675" s="74">
        <v>93264</v>
      </c>
      <c r="M675" s="9">
        <v>1</v>
      </c>
      <c r="N675" s="9">
        <f t="shared" si="90"/>
        <v>2150</v>
      </c>
      <c r="O675" s="8" t="str">
        <f>IF(P675="","",VLOOKUP(P675,引用表合并!$A:$B,2,FALSE))</f>
        <v>金饰项链</v>
      </c>
      <c r="P675" s="73">
        <v>92244</v>
      </c>
      <c r="Q675" s="12">
        <v>1</v>
      </c>
      <c r="R675" s="12">
        <f t="shared" si="91"/>
        <v>2150</v>
      </c>
      <c r="S675" s="8" t="str">
        <f>IF(T675="","",VLOOKUP(T675,引用表合并!$A:$B,2,FALSE))</f>
        <v>亚诺</v>
      </c>
      <c r="T675" s="73">
        <v>92011</v>
      </c>
      <c r="U675" s="12">
        <v>1</v>
      </c>
      <c r="V675" s="12">
        <f t="shared" si="92"/>
        <v>2150</v>
      </c>
      <c r="W675" s="8" t="str">
        <f>IF(X675="","",VLOOKUP(X675,引用表合并!$A:$B,2,FALSE))</f>
        <v>高级装备升级石</v>
      </c>
      <c r="X675" s="8">
        <v>85200</v>
      </c>
      <c r="Y675" s="8">
        <v>1</v>
      </c>
      <c r="Z675" s="10">
        <f t="shared" si="94"/>
        <v>2800</v>
      </c>
      <c r="AA675" s="8" t="str">
        <f>IF(AB675="","",VLOOKUP(AB675,引用表合并!$A:$B,2,FALSE))</f>
        <v/>
      </c>
      <c r="AB675" s="8"/>
      <c r="AC675" s="8"/>
      <c r="AD675" s="10">
        <f t="shared" si="95"/>
        <v>0</v>
      </c>
      <c r="AE675" s="8" t="str">
        <f>IF(AF675="","",VLOOKUP(AF675,引用表合并!$A:$B,2,FALSE))</f>
        <v/>
      </c>
      <c r="AF675" s="8"/>
      <c r="AG675" s="8"/>
      <c r="AI675" s="8" t="str">
        <f>IF(AJ675="","",VLOOKUP(AJ675,引用表合并!$A:$B,2,FALSE))</f>
        <v/>
      </c>
      <c r="AJ675" s="8"/>
      <c r="AK675" s="8"/>
      <c r="AM675" s="8" t="str">
        <f>IF(AN675="","",VLOOKUP(AN675,引用表合并!$A:$B,2,FALSE))</f>
        <v/>
      </c>
      <c r="AN675" s="8"/>
      <c r="AO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D675" s="8"/>
      <c r="BH675" s="8"/>
      <c r="BL675" s="8"/>
      <c r="FK675" s="8">
        <v>3</v>
      </c>
      <c r="FL675" s="8">
        <v>0</v>
      </c>
    </row>
    <row r="676" spans="1:168" x14ac:dyDescent="0.15">
      <c r="A676" s="8">
        <v>700402</v>
      </c>
      <c r="B676" s="8" t="s">
        <v>166</v>
      </c>
      <c r="C676" s="8">
        <v>0</v>
      </c>
      <c r="D676" s="8">
        <f t="shared" si="82"/>
        <v>5</v>
      </c>
      <c r="E676" s="16">
        <f t="shared" si="97"/>
        <v>5</v>
      </c>
      <c r="F676" s="16">
        <f t="shared" si="88"/>
        <v>5</v>
      </c>
      <c r="G676" s="8" t="str">
        <f>IF(H676="","",VLOOKUP(H676,引用表合并!$A:$B,2,FALSE))</f>
        <v>银饰耳钉碎片</v>
      </c>
      <c r="H676" s="74">
        <v>93122</v>
      </c>
      <c r="I676" s="9">
        <v>1</v>
      </c>
      <c r="J676" s="9">
        <f t="shared" si="89"/>
        <v>2150</v>
      </c>
      <c r="K676" s="8" t="str">
        <f>IF(L676="","",VLOOKUP(L676,引用表合并!$A:$B,2,FALSE))</f>
        <v>精准手表碎片</v>
      </c>
      <c r="L676" s="74">
        <v>93271</v>
      </c>
      <c r="M676" s="9">
        <v>1</v>
      </c>
      <c r="N676" s="9">
        <f t="shared" si="90"/>
        <v>2150</v>
      </c>
      <c r="O676" s="8" t="str">
        <f>IF(P676="","",VLOOKUP(P676,引用表合并!$A:$B,2,FALSE))</f>
        <v>银针手表</v>
      </c>
      <c r="P676" s="73">
        <v>92263</v>
      </c>
      <c r="Q676" s="12">
        <v>1</v>
      </c>
      <c r="R676" s="12">
        <f t="shared" si="91"/>
        <v>2150</v>
      </c>
      <c r="S676" s="8" t="str">
        <f>IF(T676="","",VLOOKUP(T676,引用表合并!$A:$B,2,FALSE))</f>
        <v>银色手环</v>
      </c>
      <c r="T676" s="73">
        <v>92228</v>
      </c>
      <c r="U676" s="12">
        <v>1</v>
      </c>
      <c r="V676" s="12">
        <f t="shared" si="92"/>
        <v>2150</v>
      </c>
      <c r="W676" s="8" t="str">
        <f>IF(X676="","",VLOOKUP(X676,引用表合并!$A:$B,2,FALSE))</f>
        <v>高级装备升级石</v>
      </c>
      <c r="X676" s="8">
        <v>85200</v>
      </c>
      <c r="Y676" s="8">
        <v>1</v>
      </c>
      <c r="Z676" s="10">
        <f t="shared" si="94"/>
        <v>2900</v>
      </c>
      <c r="AA676" s="8" t="str">
        <f>IF(AB676="","",VLOOKUP(AB676,引用表合并!$A:$B,2,FALSE))</f>
        <v/>
      </c>
      <c r="AB676" s="8"/>
      <c r="AC676" s="8"/>
      <c r="AD676" s="10">
        <f t="shared" si="95"/>
        <v>0</v>
      </c>
      <c r="AE676" s="8" t="str">
        <f>IF(AF676="","",VLOOKUP(AF676,引用表合并!$A:$B,2,FALSE))</f>
        <v/>
      </c>
      <c r="AF676" s="8"/>
      <c r="AG676" s="8"/>
      <c r="AI676" s="8" t="str">
        <f>IF(AJ676="","",VLOOKUP(AJ676,引用表合并!$A:$B,2,FALSE))</f>
        <v/>
      </c>
      <c r="AJ676" s="8"/>
      <c r="AK676" s="8"/>
      <c r="AM676" s="8" t="str">
        <f>IF(AN676="","",VLOOKUP(AN676,引用表合并!$A:$B,2,FALSE))</f>
        <v/>
      </c>
      <c r="AN676" s="8"/>
      <c r="AO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D676" s="8"/>
      <c r="BH676" s="8"/>
      <c r="BL676" s="8"/>
      <c r="FK676" s="8">
        <v>3</v>
      </c>
      <c r="FL676" s="8">
        <v>0</v>
      </c>
    </row>
    <row r="677" spans="1:168" x14ac:dyDescent="0.15">
      <c r="A677" s="8">
        <v>700403</v>
      </c>
      <c r="B677" s="8" t="s">
        <v>167</v>
      </c>
      <c r="C677" s="8">
        <v>0</v>
      </c>
      <c r="D677" s="8">
        <f t="shared" si="82"/>
        <v>5</v>
      </c>
      <c r="E677" s="16">
        <f t="shared" si="97"/>
        <v>5</v>
      </c>
      <c r="F677" s="16">
        <f t="shared" si="88"/>
        <v>5</v>
      </c>
      <c r="G677" s="8" t="str">
        <f>IF(H677="","",VLOOKUP(H677,引用表合并!$A:$B,2,FALSE))</f>
        <v>白银戒指碎片</v>
      </c>
      <c r="H677" s="74">
        <v>93141</v>
      </c>
      <c r="I677" s="9">
        <v>1</v>
      </c>
      <c r="J677" s="9">
        <f t="shared" si="89"/>
        <v>2650</v>
      </c>
      <c r="K677" s="8" t="str">
        <f>IF(L677="","",VLOOKUP(L677,引用表合并!$A:$B,2,FALSE))</f>
        <v>宝驼碎片</v>
      </c>
      <c r="L677" s="74">
        <v>93278</v>
      </c>
      <c r="M677" s="9">
        <v>1</v>
      </c>
      <c r="N677" s="9">
        <f t="shared" si="90"/>
        <v>2650</v>
      </c>
      <c r="O677" s="8" t="str">
        <f>IF(P677="","",VLOOKUP(P677,引用表合并!$A:$B,2,FALSE))</f>
        <v>冬利</v>
      </c>
      <c r="P677" s="73">
        <v>92277</v>
      </c>
      <c r="Q677" s="12">
        <v>1</v>
      </c>
      <c r="R677" s="12">
        <f t="shared" si="91"/>
        <v>2650</v>
      </c>
      <c r="S677" s="8" t="str">
        <f>IF(T677="","",VLOOKUP(T677,引用表合并!$A:$B,2,FALSE))</f>
        <v>鎏金手环</v>
      </c>
      <c r="T677" s="73">
        <v>92232</v>
      </c>
      <c r="U677" s="12">
        <v>1</v>
      </c>
      <c r="V677" s="12">
        <f t="shared" si="92"/>
        <v>2650</v>
      </c>
      <c r="W677" s="8" t="str">
        <f>IF(X677="","",VLOOKUP(X677,引用表合并!$A:$B,2,FALSE))</f>
        <v>高级装备升级石</v>
      </c>
      <c r="X677" s="8">
        <v>85200</v>
      </c>
      <c r="Y677" s="8">
        <v>1</v>
      </c>
      <c r="Z677" s="10">
        <f t="shared" si="94"/>
        <v>5300</v>
      </c>
      <c r="AA677" s="8" t="str">
        <f>IF(AB677="","",VLOOKUP(AB677,引用表合并!$A:$B,2,FALSE))</f>
        <v/>
      </c>
      <c r="AB677" s="8"/>
      <c r="AC677" s="8"/>
      <c r="AD677" s="10">
        <f t="shared" si="95"/>
        <v>0</v>
      </c>
      <c r="AE677" s="8" t="str">
        <f>IF(AF677="","",VLOOKUP(AF677,引用表合并!$A:$B,2,FALSE))</f>
        <v/>
      </c>
      <c r="AF677" s="8"/>
      <c r="AG677" s="8"/>
      <c r="AI677" s="8" t="str">
        <f>IF(AJ677="","",VLOOKUP(AJ677,引用表合并!$A:$B,2,FALSE))</f>
        <v/>
      </c>
      <c r="AJ677" s="8"/>
      <c r="AK677" s="8"/>
      <c r="AM677" s="8" t="str">
        <f>IF(AN677="","",VLOOKUP(AN677,引用表合并!$A:$B,2,FALSE))</f>
        <v/>
      </c>
      <c r="AN677" s="8"/>
      <c r="AO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D677" s="8"/>
      <c r="BH677" s="8"/>
      <c r="BL677" s="8"/>
      <c r="FK677" s="8">
        <v>3</v>
      </c>
      <c r="FL677" s="8">
        <v>10</v>
      </c>
    </row>
    <row r="678" spans="1:168" x14ac:dyDescent="0.15">
      <c r="A678" s="8">
        <v>700404</v>
      </c>
      <c r="B678" s="8" t="s">
        <v>168</v>
      </c>
      <c r="C678" s="8">
        <v>0</v>
      </c>
      <c r="D678" s="8">
        <f t="shared" si="82"/>
        <v>5</v>
      </c>
      <c r="E678" s="16">
        <f t="shared" si="97"/>
        <v>5</v>
      </c>
      <c r="F678" s="16">
        <f t="shared" si="88"/>
        <v>5</v>
      </c>
      <c r="G678" s="8" t="str">
        <f>IF(H678="","",VLOOKUP(H678,引用表合并!$A:$B,2,FALSE))</f>
        <v>水晶项链碎片</v>
      </c>
      <c r="H678" s="74">
        <v>93245</v>
      </c>
      <c r="I678" s="9">
        <v>1</v>
      </c>
      <c r="J678" s="9">
        <f t="shared" si="89"/>
        <v>2150</v>
      </c>
      <c r="K678" s="8" t="str">
        <f>IF(L678="","",VLOOKUP(L678,引用表合并!$A:$B,2,FALSE))</f>
        <v>小迭钞票碎片</v>
      </c>
      <c r="L678" s="74">
        <v>93283</v>
      </c>
      <c r="M678" s="9">
        <v>1</v>
      </c>
      <c r="N678" s="9">
        <f t="shared" si="90"/>
        <v>2150</v>
      </c>
      <c r="O678" s="8" t="str">
        <f>IF(P678="","",VLOOKUP(P678,引用表合并!$A:$B,2,FALSE))</f>
        <v>幸运戒指</v>
      </c>
      <c r="P678" s="73">
        <v>92131</v>
      </c>
      <c r="Q678" s="12">
        <v>1</v>
      </c>
      <c r="R678" s="12">
        <f t="shared" si="91"/>
        <v>2150</v>
      </c>
      <c r="S678" s="8" t="str">
        <f>IF(T678="","",VLOOKUP(T678,引用表合并!$A:$B,2,FALSE))</f>
        <v>镀金耳钉</v>
      </c>
      <c r="T678" s="73">
        <v>92121</v>
      </c>
      <c r="U678" s="12">
        <v>1</v>
      </c>
      <c r="V678" s="12">
        <f t="shared" si="92"/>
        <v>2150</v>
      </c>
      <c r="W678" s="8" t="str">
        <f>IF(X678="","",VLOOKUP(X678,引用表合并!$A:$B,2,FALSE))</f>
        <v>高级装备升级石</v>
      </c>
      <c r="X678" s="8">
        <v>85200</v>
      </c>
      <c r="Y678" s="8">
        <v>1</v>
      </c>
      <c r="Z678" s="10">
        <f t="shared" si="94"/>
        <v>3000</v>
      </c>
      <c r="AA678" s="8" t="str">
        <f>IF(AB678="","",VLOOKUP(AB678,引用表合并!$A:$B,2,FALSE))</f>
        <v/>
      </c>
      <c r="AB678" s="8"/>
      <c r="AC678" s="8"/>
      <c r="AD678" s="10">
        <f t="shared" si="95"/>
        <v>0</v>
      </c>
      <c r="AE678" s="8" t="str">
        <f>IF(AF678="","",VLOOKUP(AF678,引用表合并!$A:$B,2,FALSE))</f>
        <v/>
      </c>
      <c r="AF678" s="8"/>
      <c r="AG678" s="8"/>
      <c r="AI678" s="8" t="str">
        <f>IF(AJ678="","",VLOOKUP(AJ678,引用表合并!$A:$B,2,FALSE))</f>
        <v/>
      </c>
      <c r="AJ678" s="8"/>
      <c r="AK678" s="8"/>
      <c r="AM678" s="8" t="str">
        <f>IF(AN678="","",VLOOKUP(AN678,引用表合并!$A:$B,2,FALSE))</f>
        <v/>
      </c>
      <c r="AN678" s="8"/>
      <c r="AO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D678" s="8"/>
      <c r="BH678" s="8"/>
      <c r="BL678" s="8"/>
      <c r="FK678" s="8">
        <v>3</v>
      </c>
      <c r="FL678" s="8">
        <v>0</v>
      </c>
    </row>
    <row r="679" spans="1:168" x14ac:dyDescent="0.15">
      <c r="A679" s="8">
        <v>700405</v>
      </c>
      <c r="B679" s="8" t="s">
        <v>169</v>
      </c>
      <c r="C679" s="8">
        <v>0</v>
      </c>
      <c r="D679" s="8">
        <f t="shared" si="82"/>
        <v>5</v>
      </c>
      <c r="E679" s="16">
        <f t="shared" si="97"/>
        <v>5</v>
      </c>
      <c r="F679" s="16">
        <f t="shared" si="88"/>
        <v>5</v>
      </c>
      <c r="G679" s="8" t="str">
        <f>IF(H679="","",VLOOKUP(H679,引用表合并!$A:$B,2,FALSE))</f>
        <v>红石项链碎片</v>
      </c>
      <c r="H679" s="74">
        <v>93251</v>
      </c>
      <c r="I679" s="9">
        <v>1</v>
      </c>
      <c r="J679" s="9">
        <f t="shared" si="89"/>
        <v>2150</v>
      </c>
      <c r="K679" s="9" t="str">
        <f>IF(L679="","",VLOOKUP(L679,引用表合并!$A:$B,2,FALSE))</f>
        <v>金块碎片</v>
      </c>
      <c r="L679" s="74">
        <v>93287</v>
      </c>
      <c r="M679" s="9">
        <v>1</v>
      </c>
      <c r="N679" s="9">
        <f t="shared" si="90"/>
        <v>2150</v>
      </c>
      <c r="O679" s="9" t="str">
        <f>IF(P679="","",VLOOKUP(P679,引用表合并!$A:$B,2,FALSE))</f>
        <v>幸运戒指</v>
      </c>
      <c r="P679" s="73">
        <v>92131</v>
      </c>
      <c r="Q679" s="9">
        <v>1</v>
      </c>
      <c r="R679" s="9">
        <f t="shared" si="91"/>
        <v>2150</v>
      </c>
      <c r="S679" s="9" t="str">
        <f>IF(T679="","",VLOOKUP(T679,引用表合并!$A:$B,2,FALSE))</f>
        <v>镀金耳钉</v>
      </c>
      <c r="T679" s="73">
        <v>92121</v>
      </c>
      <c r="U679" s="9">
        <v>1</v>
      </c>
      <c r="V679" s="9">
        <f t="shared" si="92"/>
        <v>2150</v>
      </c>
      <c r="W679" s="8" t="str">
        <f>IF(X679="","",VLOOKUP(X679,引用表合并!$A:$B,2,FALSE))</f>
        <v>高级装备升级石</v>
      </c>
      <c r="X679" s="8">
        <v>85200</v>
      </c>
      <c r="Y679" s="8">
        <v>1</v>
      </c>
      <c r="Z679" s="10">
        <f t="shared" si="94"/>
        <v>3100</v>
      </c>
      <c r="AA679" s="8" t="str">
        <f>IF(AB679="","",VLOOKUP(AB679,引用表合并!$A:$B,2,FALSE))</f>
        <v/>
      </c>
      <c r="AB679" s="8"/>
      <c r="AC679" s="8"/>
      <c r="AD679" s="10">
        <f t="shared" si="95"/>
        <v>0</v>
      </c>
      <c r="AE679" s="8" t="str">
        <f>IF(AF679="","",VLOOKUP(AF679,引用表合并!$A:$B,2,FALSE))</f>
        <v/>
      </c>
      <c r="AF679" s="8"/>
      <c r="AG679" s="8"/>
      <c r="AI679" s="8" t="str">
        <f>IF(AJ679="","",VLOOKUP(AJ679,引用表合并!$A:$B,2,FALSE))</f>
        <v/>
      </c>
      <c r="AJ679" s="8"/>
      <c r="AK679" s="8"/>
      <c r="AM679" s="8" t="str">
        <f>IF(AN679="","",VLOOKUP(AN679,引用表合并!$A:$B,2,FALSE))</f>
        <v/>
      </c>
      <c r="AN679" s="8"/>
      <c r="AO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D679" s="8"/>
      <c r="BH679" s="8"/>
      <c r="BL679" s="8"/>
      <c r="FK679" s="8">
        <v>3</v>
      </c>
      <c r="FL679" s="8">
        <v>0</v>
      </c>
    </row>
    <row r="680" spans="1:168" x14ac:dyDescent="0.15">
      <c r="A680" s="8">
        <v>700406</v>
      </c>
      <c r="B680" s="8" t="s">
        <v>170</v>
      </c>
      <c r="C680" s="8">
        <v>0</v>
      </c>
      <c r="D680" s="8">
        <f t="shared" si="82"/>
        <v>6</v>
      </c>
      <c r="E680" s="16">
        <f t="shared" si="97"/>
        <v>6</v>
      </c>
      <c r="F680" s="16">
        <f t="shared" si="88"/>
        <v>6</v>
      </c>
      <c r="G680" s="8" t="str">
        <f>IF(H680="","",VLOOKUP(H680,引用表合并!$A:$B,2,FALSE))</f>
        <v>黄金戒指碎片</v>
      </c>
      <c r="H680" s="75">
        <v>93142</v>
      </c>
      <c r="I680" s="34">
        <v>1</v>
      </c>
      <c r="J680" s="34">
        <f t="shared" si="89"/>
        <v>2750</v>
      </c>
      <c r="K680" s="8" t="str">
        <f>IF(L680="","",VLOOKUP(L680,引用表合并!$A:$B,2,FALSE))</f>
        <v>金针手表碎片</v>
      </c>
      <c r="L680" s="75">
        <v>93272</v>
      </c>
      <c r="M680" s="34">
        <v>1</v>
      </c>
      <c r="N680" s="34">
        <f t="shared" si="90"/>
        <v>2750</v>
      </c>
      <c r="O680" s="8" t="str">
        <f>IF(P680="","",VLOOKUP(P680,引用表合并!$A:$B,2,FALSE))</f>
        <v>白金手环碎片</v>
      </c>
      <c r="P680" s="74">
        <v>93233</v>
      </c>
      <c r="Q680" s="9">
        <v>1</v>
      </c>
      <c r="R680" s="9">
        <f t="shared" si="91"/>
        <v>2750</v>
      </c>
      <c r="S680" s="8" t="str">
        <f>IF(T680="","",VLOOKUP(T680,引用表合并!$A:$B,2,FALSE))</f>
        <v>诅咒项链</v>
      </c>
      <c r="T680" s="73">
        <v>92243</v>
      </c>
      <c r="U680" s="12">
        <v>1</v>
      </c>
      <c r="V680" s="12">
        <f t="shared" si="92"/>
        <v>2750</v>
      </c>
      <c r="W680" s="8" t="str">
        <f>IF(X680="","",VLOOKUP(X680,引用表合并!$A:$B,2,FALSE))</f>
        <v>稀有装备升级石</v>
      </c>
      <c r="X680" s="8">
        <v>85300</v>
      </c>
      <c r="Y680" s="10">
        <v>1</v>
      </c>
      <c r="Z680" s="10">
        <f t="shared" si="94"/>
        <v>2300</v>
      </c>
      <c r="AA680" s="8" t="str">
        <f>IF(AB680="","",VLOOKUP(AB680,引用表合并!$A:$B,2,FALSE))</f>
        <v>高级装备升级石</v>
      </c>
      <c r="AB680" s="8">
        <v>85200</v>
      </c>
      <c r="AC680" s="8">
        <v>1</v>
      </c>
      <c r="AD680" s="10">
        <f t="shared" si="95"/>
        <v>10000</v>
      </c>
      <c r="AE680" s="8" t="str">
        <f>IF(AF680="","",VLOOKUP(AF680,引用表合并!$A:$B,2,FALSE))</f>
        <v/>
      </c>
      <c r="AF680" s="8"/>
      <c r="AI680" s="8"/>
      <c r="AJ680" s="8"/>
      <c r="AK680" s="8"/>
      <c r="AM680" s="8" t="str">
        <f>IF(AN680="","",VLOOKUP(AN680,引用表合并!$A:$B,2,FALSE))</f>
        <v/>
      </c>
      <c r="AN680" s="8"/>
      <c r="AO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D680" s="8"/>
      <c r="BH680" s="8"/>
      <c r="BL680" s="8"/>
      <c r="FK680" s="8">
        <v>3</v>
      </c>
      <c r="FL680" s="8">
        <v>12</v>
      </c>
    </row>
    <row r="681" spans="1:168" x14ac:dyDescent="0.15">
      <c r="A681" s="8">
        <v>700407</v>
      </c>
      <c r="B681" s="8" t="s">
        <v>171</v>
      </c>
      <c r="C681" s="8">
        <v>0</v>
      </c>
      <c r="D681" s="8">
        <f t="shared" si="82"/>
        <v>6</v>
      </c>
      <c r="E681" s="16">
        <f t="shared" si="97"/>
        <v>6</v>
      </c>
      <c r="F681" s="16">
        <f t="shared" si="88"/>
        <v>6</v>
      </c>
      <c r="G681" s="8" t="str">
        <f>IF(H681="","",VLOOKUP(H681,引用表合并!$A:$B,2,FALSE))</f>
        <v>宝石手环碎片</v>
      </c>
      <c r="H681" s="75">
        <v>93235</v>
      </c>
      <c r="I681" s="34">
        <v>1</v>
      </c>
      <c r="J681" s="34">
        <f t="shared" si="89"/>
        <v>2150</v>
      </c>
      <c r="K681" s="8" t="str">
        <f>IF(L681="","",VLOOKUP(L681,引用表合并!$A:$B,2,FALSE))</f>
        <v>智能手表碎片</v>
      </c>
      <c r="L681" s="75">
        <v>93273</v>
      </c>
      <c r="M681" s="34">
        <v>1</v>
      </c>
      <c r="N681" s="34">
        <f t="shared" si="90"/>
        <v>2150</v>
      </c>
      <c r="O681" s="8" t="str">
        <f>IF(P681="","",VLOOKUP(P681,引用表合并!$A:$B,2,FALSE))</f>
        <v>银饰耳钉碎片</v>
      </c>
      <c r="P681" s="74">
        <v>93122</v>
      </c>
      <c r="Q681" s="9">
        <v>1</v>
      </c>
      <c r="R681" s="9">
        <f t="shared" si="91"/>
        <v>2150</v>
      </c>
      <c r="S681" s="8" t="str">
        <f>IF(T681="","",VLOOKUP(T681,引用表合并!$A:$B,2,FALSE))</f>
        <v>金饰项链</v>
      </c>
      <c r="T681" s="73">
        <v>92244</v>
      </c>
      <c r="U681" s="12">
        <v>1</v>
      </c>
      <c r="V681" s="12">
        <f t="shared" si="92"/>
        <v>2150</v>
      </c>
      <c r="W681" s="8" t="str">
        <f>IF(X681="","",VLOOKUP(X681,引用表合并!$A:$B,2,FALSE))</f>
        <v>稀有装备升级石</v>
      </c>
      <c r="X681" s="8">
        <v>85300</v>
      </c>
      <c r="Y681" s="10">
        <v>1</v>
      </c>
      <c r="Z681" s="10">
        <f t="shared" si="94"/>
        <v>2500</v>
      </c>
      <c r="AA681" s="8" t="str">
        <f>IF(AB681="","",VLOOKUP(AB681,引用表合并!$A:$B,2,FALSE))</f>
        <v>高级装备升级石</v>
      </c>
      <c r="AB681" s="8">
        <v>85200</v>
      </c>
      <c r="AC681" s="8">
        <v>1</v>
      </c>
      <c r="AD681" s="10">
        <f t="shared" si="95"/>
        <v>3000</v>
      </c>
      <c r="AE681" s="8" t="str">
        <f>IF(AF681="","",VLOOKUP(AF681,引用表合并!$A:$B,2,FALSE))</f>
        <v/>
      </c>
      <c r="AF681" s="8"/>
      <c r="AI681" s="8"/>
      <c r="AJ681" s="8"/>
      <c r="AK681" s="8"/>
      <c r="AM681" s="8" t="str">
        <f>IF(AN681="","",VLOOKUP(AN681,引用表合并!$A:$B,2,FALSE))</f>
        <v/>
      </c>
      <c r="AN681" s="8"/>
      <c r="AO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D681" s="8"/>
      <c r="BH681" s="8"/>
      <c r="BL681" s="8"/>
      <c r="FK681" s="8">
        <v>3</v>
      </c>
      <c r="FL681" s="8">
        <v>0</v>
      </c>
    </row>
    <row r="682" spans="1:168" x14ac:dyDescent="0.15">
      <c r="A682" s="8">
        <v>700408</v>
      </c>
      <c r="B682" s="8" t="s">
        <v>172</v>
      </c>
      <c r="C682" s="8">
        <v>0</v>
      </c>
      <c r="D682" s="8">
        <f t="shared" si="82"/>
        <v>6</v>
      </c>
      <c r="E682" s="16">
        <f t="shared" si="97"/>
        <v>6</v>
      </c>
      <c r="F682" s="16">
        <f t="shared" si="88"/>
        <v>6</v>
      </c>
      <c r="G682" s="8" t="str">
        <f>IF(H682="","",VLOOKUP(H682,引用表合并!$A:$B,2,FALSE))</f>
        <v>摩拉碎片</v>
      </c>
      <c r="H682" s="75">
        <v>93012</v>
      </c>
      <c r="I682" s="34">
        <v>1</v>
      </c>
      <c r="J682" s="34">
        <f t="shared" si="89"/>
        <v>2150</v>
      </c>
      <c r="K682" s="8" t="str">
        <f>IF(L682="","",VLOOKUP(L682,引用表合并!$A:$B,2,FALSE))</f>
        <v>宾倪碎片</v>
      </c>
      <c r="L682" s="75">
        <v>93279</v>
      </c>
      <c r="M682" s="34">
        <v>1</v>
      </c>
      <c r="N682" s="34">
        <f t="shared" si="90"/>
        <v>2150</v>
      </c>
      <c r="O682" s="8" t="str">
        <f>IF(P682="","",VLOOKUP(P682,引用表合并!$A:$B,2,FALSE))</f>
        <v>白银戒指碎片</v>
      </c>
      <c r="P682" s="74">
        <v>93141</v>
      </c>
      <c r="Q682" s="9">
        <v>1</v>
      </c>
      <c r="R682" s="9">
        <f t="shared" si="91"/>
        <v>2150</v>
      </c>
      <c r="S682" s="8" t="str">
        <f>IF(T682="","",VLOOKUP(T682,引用表合并!$A:$B,2,FALSE))</f>
        <v>银针手表</v>
      </c>
      <c r="T682" s="73">
        <v>92263</v>
      </c>
      <c r="U682" s="12">
        <v>1</v>
      </c>
      <c r="V682" s="12">
        <f t="shared" si="92"/>
        <v>2150</v>
      </c>
      <c r="W682" s="8" t="str">
        <f>IF(X682="","",VLOOKUP(X682,引用表合并!$A:$B,2,FALSE))</f>
        <v>稀有装备升级石</v>
      </c>
      <c r="X682" s="8">
        <v>85300</v>
      </c>
      <c r="Y682" s="10">
        <v>1</v>
      </c>
      <c r="Z682" s="10">
        <f t="shared" si="94"/>
        <v>2700</v>
      </c>
      <c r="AA682" s="8" t="str">
        <f>IF(AB682="","",VLOOKUP(AB682,引用表合并!$A:$B,2,FALSE))</f>
        <v>高级装备升级石</v>
      </c>
      <c r="AB682" s="8">
        <v>85200</v>
      </c>
      <c r="AC682" s="8">
        <v>1</v>
      </c>
      <c r="AD682" s="10">
        <f t="shared" si="95"/>
        <v>3200</v>
      </c>
      <c r="AE682" s="8" t="str">
        <f>IF(AF682="","",VLOOKUP(AF682,引用表合并!$A:$B,2,FALSE))</f>
        <v/>
      </c>
      <c r="AF682" s="8"/>
      <c r="AI682" s="8"/>
      <c r="AJ682" s="8"/>
      <c r="AK682" s="8"/>
      <c r="AM682" s="8" t="str">
        <f>IF(AN682="","",VLOOKUP(AN682,引用表合并!$A:$B,2,FALSE))</f>
        <v/>
      </c>
      <c r="AN682" s="8"/>
      <c r="AO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D682" s="8"/>
      <c r="BH682" s="8"/>
      <c r="BL682" s="8"/>
      <c r="FK682" s="8">
        <v>3</v>
      </c>
      <c r="FL682" s="8">
        <v>0</v>
      </c>
    </row>
    <row r="683" spans="1:168" x14ac:dyDescent="0.15">
      <c r="A683" s="8">
        <v>700409</v>
      </c>
      <c r="B683" s="8" t="s">
        <v>173</v>
      </c>
      <c r="C683" s="8">
        <v>0</v>
      </c>
      <c r="D683" s="8">
        <f t="shared" si="82"/>
        <v>6</v>
      </c>
      <c r="E683" s="16">
        <f t="shared" si="97"/>
        <v>6</v>
      </c>
      <c r="F683" s="16">
        <f t="shared" si="88"/>
        <v>6</v>
      </c>
      <c r="G683" s="8" t="str">
        <f>IF(H683="","",VLOOKUP(H683,引用表合并!$A:$B,2,FALSE))</f>
        <v>青玉项链碎片</v>
      </c>
      <c r="H683" s="75">
        <v>93252</v>
      </c>
      <c r="I683" s="34">
        <v>1</v>
      </c>
      <c r="J683" s="34">
        <f t="shared" si="89"/>
        <v>2850</v>
      </c>
      <c r="K683" s="8" t="str">
        <f>IF(L683="","",VLOOKUP(L683,引用表合并!$A:$B,2,FALSE))</f>
        <v>大迭钞票碎片</v>
      </c>
      <c r="L683" s="75">
        <v>93284</v>
      </c>
      <c r="M683" s="34">
        <v>1</v>
      </c>
      <c r="N683" s="34">
        <f t="shared" si="90"/>
        <v>2850</v>
      </c>
      <c r="O683" s="8" t="str">
        <f>IF(P683="","",VLOOKUP(P683,引用表合并!$A:$B,2,FALSE))</f>
        <v>水晶项链碎片</v>
      </c>
      <c r="P683" s="74">
        <v>93245</v>
      </c>
      <c r="Q683" s="9">
        <v>1</v>
      </c>
      <c r="R683" s="9">
        <f t="shared" si="91"/>
        <v>2850</v>
      </c>
      <c r="S683" s="8" t="str">
        <f>IF(T683="","",VLOOKUP(T683,引用表合并!$A:$B,2,FALSE))</f>
        <v>冬利</v>
      </c>
      <c r="T683" s="73">
        <v>92277</v>
      </c>
      <c r="U683" s="12">
        <v>1</v>
      </c>
      <c r="V683" s="12">
        <f t="shared" si="92"/>
        <v>2850</v>
      </c>
      <c r="W683" s="8" t="str">
        <f>IF(X683="","",VLOOKUP(X683,引用表合并!$A:$B,2,FALSE))</f>
        <v>稀有装备升级石</v>
      </c>
      <c r="X683" s="8">
        <v>85300</v>
      </c>
      <c r="Y683" s="10">
        <v>1</v>
      </c>
      <c r="Z683" s="10">
        <f t="shared" si="94"/>
        <v>10000</v>
      </c>
      <c r="AA683" s="8" t="str">
        <f>IF(AB683="","",VLOOKUP(AB683,引用表合并!$A:$B,2,FALSE))</f>
        <v>高级装备升级石</v>
      </c>
      <c r="AB683" s="8">
        <v>85200</v>
      </c>
      <c r="AC683" s="8">
        <v>1</v>
      </c>
      <c r="AD683" s="10">
        <f t="shared" si="95"/>
        <v>2000</v>
      </c>
      <c r="AE683" s="8" t="str">
        <f>IF(AF683="","",VLOOKUP(AF683,引用表合并!$A:$B,2,FALSE))</f>
        <v/>
      </c>
      <c r="AF683" s="8"/>
      <c r="AI683" s="8"/>
      <c r="AJ683" s="8"/>
      <c r="AK683" s="8"/>
      <c r="AM683" s="8" t="str">
        <f>IF(AN683="","",VLOOKUP(AN683,引用表合并!$A:$B,2,FALSE))</f>
        <v/>
      </c>
      <c r="AN683" s="8"/>
      <c r="AO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D683" s="8"/>
      <c r="BH683" s="8"/>
      <c r="BL683" s="8"/>
      <c r="FK683" s="8">
        <v>3</v>
      </c>
      <c r="FL683" s="8">
        <v>14</v>
      </c>
    </row>
    <row r="684" spans="1:168" x14ac:dyDescent="0.15">
      <c r="A684" s="8">
        <v>700410</v>
      </c>
      <c r="B684" s="8" t="s">
        <v>174</v>
      </c>
      <c r="C684" s="8">
        <v>0</v>
      </c>
      <c r="D684" s="8">
        <f t="shared" si="82"/>
        <v>6</v>
      </c>
      <c r="E684" s="16">
        <f t="shared" si="97"/>
        <v>6</v>
      </c>
      <c r="F684" s="16">
        <f t="shared" si="88"/>
        <v>6</v>
      </c>
      <c r="G684" s="8" t="str">
        <f>IF(H684="","",VLOOKUP(H684,引用表合并!$A:$B,2,FALSE))</f>
        <v>水晶耳钉碎片</v>
      </c>
      <c r="H684" s="75">
        <v>93124</v>
      </c>
      <c r="I684" s="34">
        <v>1</v>
      </c>
      <c r="J684" s="34">
        <f t="shared" si="89"/>
        <v>2550</v>
      </c>
      <c r="K684" s="8" t="str">
        <f>IF(L684="","",VLOOKUP(L684,引用表合并!$A:$B,2,FALSE))</f>
        <v>大金块碎片</v>
      </c>
      <c r="L684" s="75">
        <v>93288</v>
      </c>
      <c r="M684" s="34">
        <v>1</v>
      </c>
      <c r="N684" s="34">
        <f t="shared" si="90"/>
        <v>2550</v>
      </c>
      <c r="O684" s="8" t="str">
        <f>IF(P684="","",VLOOKUP(P684,引用表合并!$A:$B,2,FALSE))</f>
        <v>红石项链碎片</v>
      </c>
      <c r="P684" s="74">
        <v>93251</v>
      </c>
      <c r="Q684" s="9">
        <v>1</v>
      </c>
      <c r="R684" s="9">
        <f t="shared" si="91"/>
        <v>2550</v>
      </c>
      <c r="S684" s="8" t="str">
        <f>IF(T684="","",VLOOKUP(T684,引用表合并!$A:$B,2,FALSE))</f>
        <v>越野手表碎片</v>
      </c>
      <c r="T684" s="74">
        <v>93264</v>
      </c>
      <c r="U684" s="9">
        <v>1</v>
      </c>
      <c r="V684" s="9">
        <f t="shared" si="92"/>
        <v>2550</v>
      </c>
      <c r="W684" s="8" t="str">
        <f>IF(X684="","",VLOOKUP(X684,引用表合并!$A:$B,2,FALSE))</f>
        <v>稀有装备升级石</v>
      </c>
      <c r="X684" s="8">
        <v>85300</v>
      </c>
      <c r="Y684" s="10">
        <v>1</v>
      </c>
      <c r="Z684" s="10">
        <f t="shared" si="94"/>
        <v>2900</v>
      </c>
      <c r="AA684" s="8" t="str">
        <f>IF(AB684="","",VLOOKUP(AB684,引用表合并!$A:$B,2,FALSE))</f>
        <v>高级装备升级石</v>
      </c>
      <c r="AB684" s="8">
        <v>85200</v>
      </c>
      <c r="AC684" s="8">
        <v>1</v>
      </c>
      <c r="AD684" s="10">
        <f t="shared" si="95"/>
        <v>3400</v>
      </c>
      <c r="AE684" s="8" t="str">
        <f>IF(AF684="","",VLOOKUP(AF684,引用表合并!$A:$B,2,FALSE))</f>
        <v/>
      </c>
      <c r="AF684" s="8"/>
      <c r="AI684" s="8"/>
      <c r="AJ684" s="8"/>
      <c r="AK684" s="8"/>
      <c r="AM684" s="8" t="str">
        <f>IF(AN684="","",VLOOKUP(AN684,引用表合并!$A:$B,2,FALSE))</f>
        <v/>
      </c>
      <c r="AN684" s="8"/>
      <c r="AO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D684" s="8"/>
      <c r="BH684" s="8"/>
      <c r="BL684" s="8"/>
      <c r="FK684" s="8">
        <v>3</v>
      </c>
      <c r="FL684" s="8">
        <v>8</v>
      </c>
    </row>
    <row r="685" spans="1:168" x14ac:dyDescent="0.15">
      <c r="A685" s="8">
        <v>700411</v>
      </c>
      <c r="B685" s="8" t="s">
        <v>175</v>
      </c>
      <c r="C685" s="8">
        <v>0</v>
      </c>
      <c r="D685" s="8">
        <f t="shared" si="82"/>
        <v>6</v>
      </c>
      <c r="E685" s="16">
        <f t="shared" si="97"/>
        <v>6</v>
      </c>
      <c r="F685" s="16">
        <f t="shared" si="88"/>
        <v>6</v>
      </c>
      <c r="G685" s="8" t="str">
        <f>IF(H685="","",VLOOKUP(H685,引用表合并!$A:$B,2,FALSE))</f>
        <v>红石耳钉碎片</v>
      </c>
      <c r="H685" s="76">
        <v>93125</v>
      </c>
      <c r="I685" s="35">
        <v>1</v>
      </c>
      <c r="J685" s="34">
        <f t="shared" si="89"/>
        <v>2550</v>
      </c>
      <c r="K685" s="8" t="str">
        <f>IF(L685="","",VLOOKUP(L685,引用表合并!$A:$B,2,FALSE))</f>
        <v>月立碎片</v>
      </c>
      <c r="L685" s="76">
        <v>93013</v>
      </c>
      <c r="M685" s="35">
        <v>1</v>
      </c>
      <c r="N685" s="34">
        <f t="shared" si="90"/>
        <v>2550</v>
      </c>
      <c r="O685" s="8" t="str">
        <f>IF(P685="","",VLOOKUP(P685,引用表合并!$A:$B,2,FALSE))</f>
        <v>黄金戒指碎片</v>
      </c>
      <c r="P685" s="75">
        <v>93142</v>
      </c>
      <c r="Q685" s="34">
        <v>1</v>
      </c>
      <c r="R685" s="34">
        <f t="shared" si="91"/>
        <v>2550</v>
      </c>
      <c r="S685" s="8" t="str">
        <f>IF(T685="","",VLOOKUP(T685,引用表合并!$A:$B,2,FALSE))</f>
        <v>精准手表碎片</v>
      </c>
      <c r="T685" s="74">
        <v>93271</v>
      </c>
      <c r="U685" s="9">
        <v>1</v>
      </c>
      <c r="V685" s="9">
        <f t="shared" si="92"/>
        <v>2550</v>
      </c>
      <c r="W685" s="8" t="str">
        <f>IF(X685="","",VLOOKUP(X685,引用表合并!$A:$B,2,FALSE))</f>
        <v>史诗装备升级石</v>
      </c>
      <c r="X685" s="8">
        <v>85400</v>
      </c>
      <c r="Y685" s="8">
        <v>1</v>
      </c>
      <c r="Z685" s="10">
        <f t="shared" si="94"/>
        <v>3100</v>
      </c>
      <c r="AA685" s="8" t="str">
        <f>IF(AB685="","",VLOOKUP(AB685,引用表合并!$A:$B,2,FALSE))</f>
        <v>高级装备升级石</v>
      </c>
      <c r="AB685" s="8">
        <v>85200</v>
      </c>
      <c r="AC685" s="8">
        <v>1</v>
      </c>
      <c r="AD685" s="10">
        <f t="shared" si="95"/>
        <v>3600</v>
      </c>
      <c r="AE685" s="8" t="str">
        <f>IF(AF685="","",VLOOKUP(AF685,引用表合并!$A:$B,2,FALSE))</f>
        <v/>
      </c>
      <c r="AF685" s="8"/>
      <c r="AI685" s="8" t="str">
        <f>IF(AJ685="","",VLOOKUP(AJ685,引用表合并!$A:$B,2,FALSE))</f>
        <v/>
      </c>
      <c r="AJ685" s="8"/>
      <c r="AK685" s="8"/>
      <c r="AM685" s="8" t="str">
        <f>IF(AN685="","",VLOOKUP(AN685,引用表合并!$A:$B,2,FALSE))</f>
        <v/>
      </c>
      <c r="AN685" s="8"/>
      <c r="AO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D685" s="8"/>
      <c r="BH685" s="8"/>
      <c r="BL685" s="8"/>
      <c r="FK685" s="8">
        <v>3</v>
      </c>
      <c r="FL685" s="8">
        <v>8</v>
      </c>
    </row>
    <row r="686" spans="1:168" x14ac:dyDescent="0.15">
      <c r="A686" s="8">
        <v>700412</v>
      </c>
      <c r="B686" s="8" t="s">
        <v>176</v>
      </c>
      <c r="C686" s="8">
        <v>0</v>
      </c>
      <c r="D686" s="8">
        <f t="shared" si="82"/>
        <v>6</v>
      </c>
      <c r="E686" s="16">
        <f t="shared" si="97"/>
        <v>6</v>
      </c>
      <c r="F686" s="16">
        <f t="shared" si="88"/>
        <v>6</v>
      </c>
      <c r="G686" s="8" t="str">
        <f>IF(H686="","",VLOOKUP(H686,引用表合并!$A:$B,2,FALSE))</f>
        <v>毒蝎耳钉碎片</v>
      </c>
      <c r="H686" s="76">
        <v>93134</v>
      </c>
      <c r="I686" s="35">
        <v>1</v>
      </c>
      <c r="J686" s="34">
        <f t="shared" si="89"/>
        <v>2950</v>
      </c>
      <c r="K686" s="8" t="str">
        <f>IF(L686="","",VLOOKUP(L686,引用表合并!$A:$B,2,FALSE))</f>
        <v>猫妖项链碎片</v>
      </c>
      <c r="L686" s="76">
        <v>93253</v>
      </c>
      <c r="M686" s="35">
        <v>1</v>
      </c>
      <c r="N686" s="34">
        <f t="shared" si="90"/>
        <v>2950</v>
      </c>
      <c r="O686" s="8" t="str">
        <f>IF(P686="","",VLOOKUP(P686,引用表合并!$A:$B,2,FALSE))</f>
        <v>宝石手环碎片</v>
      </c>
      <c r="P686" s="75">
        <v>93235</v>
      </c>
      <c r="Q686" s="34">
        <v>1</v>
      </c>
      <c r="R686" s="34">
        <f t="shared" si="91"/>
        <v>2950</v>
      </c>
      <c r="S686" s="8" t="str">
        <f>IF(T686="","",VLOOKUP(T686,引用表合并!$A:$B,2,FALSE))</f>
        <v>宝驼碎片</v>
      </c>
      <c r="T686" s="74">
        <v>93278</v>
      </c>
      <c r="U686" s="9">
        <v>1</v>
      </c>
      <c r="V686" s="9">
        <f t="shared" si="92"/>
        <v>2950</v>
      </c>
      <c r="W686" s="8" t="str">
        <f>IF(X686="","",VLOOKUP(X686,引用表合并!$A:$B,2,FALSE))</f>
        <v>史诗装备升级石</v>
      </c>
      <c r="X686" s="8">
        <v>85400</v>
      </c>
      <c r="Y686" s="8">
        <v>1</v>
      </c>
      <c r="Z686" s="10">
        <f t="shared" si="94"/>
        <v>4300</v>
      </c>
      <c r="AA686" s="8" t="str">
        <f>IF(AB686="","",VLOOKUP(AB686,引用表合并!$A:$B,2,FALSE))</f>
        <v>稀有装备升级石</v>
      </c>
      <c r="AB686" s="8">
        <v>85300</v>
      </c>
      <c r="AC686" s="10">
        <v>1</v>
      </c>
      <c r="AD686" s="10">
        <f t="shared" si="95"/>
        <v>10000</v>
      </c>
      <c r="AE686" s="8" t="str">
        <f>IF(AF686="","",VLOOKUP(AF686,引用表合并!$A:$B,2,FALSE))</f>
        <v/>
      </c>
      <c r="AF686" s="8"/>
      <c r="AG686" s="8"/>
      <c r="AI686" s="8" t="str">
        <f>IF(AJ686="","",VLOOKUP(AJ686,引用表合并!$A:$B,2,FALSE))</f>
        <v/>
      </c>
      <c r="AJ686" s="8"/>
      <c r="AK686" s="8"/>
      <c r="AM686" s="8" t="str">
        <f>IF(AN686="","",VLOOKUP(AN686,引用表合并!$A:$B,2,FALSE))</f>
        <v/>
      </c>
      <c r="AN686" s="8"/>
      <c r="AO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D686" s="8"/>
      <c r="BH686" s="8"/>
      <c r="BL686" s="8"/>
      <c r="FK686" s="8">
        <v>3</v>
      </c>
      <c r="FL686" s="8">
        <v>16</v>
      </c>
    </row>
    <row r="687" spans="1:168" x14ac:dyDescent="0.15">
      <c r="A687" s="8">
        <v>700413</v>
      </c>
      <c r="B687" s="8" t="s">
        <v>177</v>
      </c>
      <c r="C687" s="8">
        <v>0</v>
      </c>
      <c r="D687" s="8">
        <f t="shared" si="82"/>
        <v>6</v>
      </c>
      <c r="E687" s="16">
        <f t="shared" si="97"/>
        <v>6</v>
      </c>
      <c r="F687" s="16">
        <f t="shared" si="88"/>
        <v>6</v>
      </c>
      <c r="G687" s="8" t="str">
        <f>IF(H687="","",VLOOKUP(H687,引用表合并!$A:$B,2,FALSE))</f>
        <v>赤金戒指碎片</v>
      </c>
      <c r="H687" s="76">
        <v>93223</v>
      </c>
      <c r="I687" s="35">
        <v>1</v>
      </c>
      <c r="J687" s="34">
        <f t="shared" si="89"/>
        <v>2650</v>
      </c>
      <c r="K687" s="8" t="str">
        <f>IF(L687="","",VLOOKUP(L687,引用表合并!$A:$B,2,FALSE))</f>
        <v>苍蓝项链碎片</v>
      </c>
      <c r="L687" s="76">
        <v>93254</v>
      </c>
      <c r="M687" s="35">
        <v>1</v>
      </c>
      <c r="N687" s="34">
        <f t="shared" si="90"/>
        <v>2650</v>
      </c>
      <c r="O687" s="8" t="str">
        <f>IF(P687="","",VLOOKUP(P687,引用表合并!$A:$B,2,FALSE))</f>
        <v>摩拉碎片</v>
      </c>
      <c r="P687" s="75">
        <v>93012</v>
      </c>
      <c r="Q687" s="34">
        <v>1</v>
      </c>
      <c r="R687" s="34">
        <f t="shared" si="91"/>
        <v>2650</v>
      </c>
      <c r="S687" s="8" t="str">
        <f>IF(T687="","",VLOOKUP(T687,引用表合并!$A:$B,2,FALSE))</f>
        <v>小迭钞票碎片</v>
      </c>
      <c r="T687" s="74">
        <v>93283</v>
      </c>
      <c r="U687" s="9">
        <v>1</v>
      </c>
      <c r="V687" s="9">
        <f t="shared" si="92"/>
        <v>2650</v>
      </c>
      <c r="W687" s="8" t="str">
        <f>IF(X687="","",VLOOKUP(X687,引用表合并!$A:$B,2,FALSE))</f>
        <v>史诗装备升级石</v>
      </c>
      <c r="X687" s="8">
        <v>85400</v>
      </c>
      <c r="Y687" s="8">
        <v>1</v>
      </c>
      <c r="Z687" s="10">
        <f t="shared" si="94"/>
        <v>2800</v>
      </c>
      <c r="AA687" s="8" t="str">
        <f>IF(AB687="","",VLOOKUP(AB687,引用表合并!$A:$B,2,FALSE))</f>
        <v>高级装备升级石</v>
      </c>
      <c r="AB687" s="8">
        <v>85200</v>
      </c>
      <c r="AC687" s="8">
        <v>1</v>
      </c>
      <c r="AD687" s="10">
        <f t="shared" si="95"/>
        <v>4000</v>
      </c>
      <c r="AE687" s="8" t="str">
        <f>IF(AF687="","",VLOOKUP(AF687,引用表合并!$A:$B,2,FALSE))</f>
        <v/>
      </c>
      <c r="AF687" s="8"/>
      <c r="AI687" s="8" t="str">
        <f>IF(AJ687="","",VLOOKUP(AJ687,引用表合并!$A:$B,2,FALSE))</f>
        <v/>
      </c>
      <c r="AJ687" s="8"/>
      <c r="AK687" s="8"/>
      <c r="AM687" s="8" t="str">
        <f>IF(AN687="","",VLOOKUP(AN687,引用表合并!$A:$B,2,FALSE))</f>
        <v/>
      </c>
      <c r="AN687" s="8"/>
      <c r="AO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D687" s="8"/>
      <c r="BH687" s="8"/>
      <c r="BL687" s="8"/>
      <c r="FK687" s="8">
        <v>3</v>
      </c>
      <c r="FL687" s="8">
        <v>10</v>
      </c>
    </row>
    <row r="688" spans="1:168" x14ac:dyDescent="0.15">
      <c r="A688" s="8">
        <v>700414</v>
      </c>
      <c r="B688" s="8" t="s">
        <v>178</v>
      </c>
      <c r="C688" s="8">
        <v>0</v>
      </c>
      <c r="D688" s="8">
        <f t="shared" si="82"/>
        <v>6</v>
      </c>
      <c r="E688" s="16">
        <f t="shared" si="97"/>
        <v>6</v>
      </c>
      <c r="F688" s="16">
        <f t="shared" si="88"/>
        <v>6</v>
      </c>
      <c r="G688" s="8" t="str">
        <f>IF(H688="","",VLOOKUP(H688,引用表合并!$A:$B,2,FALSE))</f>
        <v>王者手环碎片</v>
      </c>
      <c r="H688" s="76">
        <v>93227</v>
      </c>
      <c r="I688" s="35">
        <v>1</v>
      </c>
      <c r="J688" s="34">
        <f t="shared" si="89"/>
        <v>2650</v>
      </c>
      <c r="K688" s="8" t="str">
        <f>IF(L688="","",VLOOKUP(L688,引用表合并!$A:$B,2,FALSE))</f>
        <v>汉密手表碎片</v>
      </c>
      <c r="L688" s="76">
        <v>93274</v>
      </c>
      <c r="M688" s="35">
        <v>1</v>
      </c>
      <c r="N688" s="34">
        <f t="shared" si="90"/>
        <v>2650</v>
      </c>
      <c r="O688" s="8" t="str">
        <f>IF(P688="","",VLOOKUP(P688,引用表合并!$A:$B,2,FALSE))</f>
        <v>青玉项链碎片</v>
      </c>
      <c r="P688" s="75">
        <v>93252</v>
      </c>
      <c r="Q688" s="34">
        <v>1</v>
      </c>
      <c r="R688" s="34">
        <f t="shared" si="91"/>
        <v>2650</v>
      </c>
      <c r="S688" s="8" t="str">
        <f>IF(T688="","",VLOOKUP(T688,引用表合并!$A:$B,2,FALSE))</f>
        <v>金块碎片</v>
      </c>
      <c r="T688" s="74">
        <v>93287</v>
      </c>
      <c r="U688" s="9">
        <v>1</v>
      </c>
      <c r="V688" s="9">
        <f t="shared" si="92"/>
        <v>2650</v>
      </c>
      <c r="W688" s="8" t="str">
        <f>IF(X688="","",VLOOKUP(X688,引用表合并!$A:$B,2,FALSE))</f>
        <v>史诗装备升级石</v>
      </c>
      <c r="X688" s="8">
        <v>85400</v>
      </c>
      <c r="Y688" s="8">
        <v>1</v>
      </c>
      <c r="Z688" s="10">
        <f t="shared" si="94"/>
        <v>3000</v>
      </c>
      <c r="AA688" s="8" t="str">
        <f>IF(AB688="","",VLOOKUP(AB688,引用表合并!$A:$B,2,FALSE))</f>
        <v>高级装备升级石</v>
      </c>
      <c r="AB688" s="8">
        <v>85200</v>
      </c>
      <c r="AC688" s="8">
        <v>1</v>
      </c>
      <c r="AD688" s="10">
        <f t="shared" si="95"/>
        <v>4200</v>
      </c>
      <c r="AE688" s="8" t="str">
        <f>IF(AF688="","",VLOOKUP(AF688,引用表合并!$A:$B,2,FALSE))</f>
        <v/>
      </c>
      <c r="AF688" s="8"/>
      <c r="AI688" s="8" t="str">
        <f>IF(AJ688="","",VLOOKUP(AJ688,引用表合并!$A:$B,2,FALSE))</f>
        <v/>
      </c>
      <c r="AJ688" s="8"/>
      <c r="AK688" s="8"/>
      <c r="AM688" s="8" t="str">
        <f>IF(AN688="","",VLOOKUP(AN688,引用表合并!$A:$B,2,FALSE))</f>
        <v/>
      </c>
      <c r="AN688" s="8"/>
      <c r="AO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D688" s="8"/>
      <c r="BH688" s="8"/>
      <c r="BL688" s="8"/>
      <c r="FK688" s="8">
        <v>3</v>
      </c>
      <c r="FL688" s="8">
        <v>10</v>
      </c>
    </row>
    <row r="689" spans="1:168" x14ac:dyDescent="0.15">
      <c r="A689" s="8">
        <v>700415</v>
      </c>
      <c r="B689" s="8" t="s">
        <v>179</v>
      </c>
      <c r="C689" s="8">
        <v>0</v>
      </c>
      <c r="D689" s="8">
        <f t="shared" si="82"/>
        <v>7</v>
      </c>
      <c r="E689" s="16">
        <f t="shared" si="97"/>
        <v>7</v>
      </c>
      <c r="F689" s="16">
        <f t="shared" si="88"/>
        <v>7</v>
      </c>
      <c r="G689" s="8" t="str">
        <f>IF(H689="","",VLOOKUP(H689,引用表合并!$A:$B,2,FALSE))</f>
        <v>符文手环碎片</v>
      </c>
      <c r="H689" s="76">
        <v>93236</v>
      </c>
      <c r="I689" s="35">
        <v>1</v>
      </c>
      <c r="J689" s="34">
        <f t="shared" si="89"/>
        <v>3150</v>
      </c>
      <c r="K689" s="8" t="str">
        <f>IF(L689="","",VLOOKUP(L689,引用表合并!$A:$B,2,FALSE))</f>
        <v>法拉捷碎片</v>
      </c>
      <c r="L689" s="76">
        <v>93280</v>
      </c>
      <c r="M689" s="35">
        <v>1</v>
      </c>
      <c r="N689" s="34">
        <f t="shared" si="90"/>
        <v>3150</v>
      </c>
      <c r="O689" s="8" t="str">
        <f>IF(P689="","",VLOOKUP(P689,引用表合并!$A:$B,2,FALSE))</f>
        <v>大堆钞票碎片</v>
      </c>
      <c r="P689" s="76">
        <v>93285</v>
      </c>
      <c r="Q689" s="35">
        <v>1</v>
      </c>
      <c r="R689" s="34">
        <f t="shared" si="91"/>
        <v>3150</v>
      </c>
      <c r="S689" s="8" t="str">
        <f>IF(T689="","",VLOOKUP(T689,引用表合并!$A:$B,2,FALSE))</f>
        <v>小堆金块碎片</v>
      </c>
      <c r="T689" s="76">
        <v>93289</v>
      </c>
      <c r="U689" s="35">
        <v>1</v>
      </c>
      <c r="V689" s="34">
        <f t="shared" si="92"/>
        <v>3150</v>
      </c>
      <c r="W689" s="8" t="str">
        <f>IF(X689="","",VLOOKUP(X689,引用表合并!$A:$B,2,FALSE))</f>
        <v>史诗装备升级石</v>
      </c>
      <c r="X689" s="8">
        <v>85400</v>
      </c>
      <c r="Y689" s="8">
        <v>1</v>
      </c>
      <c r="Z689" s="10">
        <f t="shared" si="94"/>
        <v>10000</v>
      </c>
      <c r="AA689" s="8" t="str">
        <f>IF(AB689="","",VLOOKUP(AB689,引用表合并!$A:$B,2,FALSE))</f>
        <v>稀有装备升级石</v>
      </c>
      <c r="AB689" s="8">
        <v>85300</v>
      </c>
      <c r="AC689" s="10">
        <v>1</v>
      </c>
      <c r="AD689" s="10">
        <f t="shared" si="95"/>
        <v>5000</v>
      </c>
      <c r="AE689" s="8" t="str">
        <f>IF(AF689="","",VLOOKUP(AF689,引用表合并!$A:$B,2,FALSE))</f>
        <v>马仔经验甘露</v>
      </c>
      <c r="AF689" s="31">
        <f t="shared" ref="AF689" si="99">IF(CO689=100,91100,IF(CO689=500,91200,91300))</f>
        <v>91300</v>
      </c>
      <c r="AG689" s="8">
        <v>1</v>
      </c>
      <c r="AH689" s="10">
        <v>10000</v>
      </c>
      <c r="AI689" s="8" t="str">
        <f>IF(AJ689="","",VLOOKUP(AJ689,引用表合并!$A:$B,2,FALSE))</f>
        <v/>
      </c>
      <c r="AM689" s="8" t="str">
        <f>IF(AN689="","",VLOOKUP(AN689,引用表合并!$A:$B,2,FALSE))</f>
        <v/>
      </c>
      <c r="AN689" s="8"/>
      <c r="AO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D689" s="8"/>
      <c r="BH689" s="8"/>
      <c r="BL689" s="8"/>
      <c r="FK689" s="8">
        <v>3</v>
      </c>
      <c r="FL689" s="8">
        <v>20</v>
      </c>
    </row>
    <row r="690" spans="1:168" x14ac:dyDescent="0.15">
      <c r="A690" s="8">
        <v>700501</v>
      </c>
      <c r="B690" s="8" t="s">
        <v>180</v>
      </c>
      <c r="C690" s="8">
        <v>0</v>
      </c>
      <c r="D690" s="8">
        <f t="shared" si="82"/>
        <v>5</v>
      </c>
      <c r="E690" s="16">
        <f t="shared" si="97"/>
        <v>5</v>
      </c>
      <c r="F690" s="16">
        <f t="shared" si="88"/>
        <v>5</v>
      </c>
      <c r="G690" s="8" t="str">
        <f>IF(H690="","",VLOOKUP(H690,引用表合并!$A:$B,2,FALSE))</f>
        <v>黄金戒指碎片</v>
      </c>
      <c r="H690" s="75">
        <v>93142</v>
      </c>
      <c r="I690" s="34">
        <v>1</v>
      </c>
      <c r="J690" s="34">
        <f t="shared" si="89"/>
        <v>2200</v>
      </c>
      <c r="K690" s="8" t="str">
        <f>IF(L690="","",VLOOKUP(L690,引用表合并!$A:$B,2,FALSE))</f>
        <v>宝石手环碎片</v>
      </c>
      <c r="L690" s="75">
        <v>93235</v>
      </c>
      <c r="M690" s="34">
        <v>1</v>
      </c>
      <c r="N690" s="9">
        <f t="shared" si="90"/>
        <v>2200</v>
      </c>
      <c r="O690" s="8" t="str">
        <f>IF(P690="","",VLOOKUP(P690,引用表合并!$A:$B,2,FALSE))</f>
        <v>白金手环碎片</v>
      </c>
      <c r="P690" s="74">
        <v>93233</v>
      </c>
      <c r="Q690" s="9">
        <v>1</v>
      </c>
      <c r="R690" s="12">
        <f t="shared" si="91"/>
        <v>2200</v>
      </c>
      <c r="S690" s="9" t="str">
        <f>IF(T690="","",VLOOKUP(T690,引用表合并!$A:$B,2,FALSE))</f>
        <v>幸运戒指</v>
      </c>
      <c r="T690" s="73">
        <v>92131</v>
      </c>
      <c r="U690" s="12">
        <v>1</v>
      </c>
      <c r="V690" s="12">
        <f t="shared" si="92"/>
        <v>2200</v>
      </c>
      <c r="W690" s="8" t="str">
        <f>IF(X690="","",VLOOKUP(X690,引用表合并!$A:$B,2,FALSE))</f>
        <v>高级装备升级石</v>
      </c>
      <c r="X690" s="8">
        <v>85200</v>
      </c>
      <c r="Y690" s="8">
        <v>1</v>
      </c>
      <c r="Z690" s="10">
        <f t="shared" si="94"/>
        <v>2900</v>
      </c>
      <c r="AA690" s="8" t="str">
        <f>IF(AB690="","",VLOOKUP(AB690,引用表合并!$A:$B,2,FALSE))</f>
        <v/>
      </c>
      <c r="AB690" s="8"/>
      <c r="AC690" s="8"/>
      <c r="AD690" s="10">
        <f t="shared" si="95"/>
        <v>0</v>
      </c>
      <c r="AE690" s="8" t="str">
        <f>IF(AF690="","",VLOOKUP(AF690,引用表合并!$A:$B,2,FALSE))</f>
        <v/>
      </c>
      <c r="AF690" s="8"/>
      <c r="AG690" s="8"/>
      <c r="AI690" s="8" t="str">
        <f>IF(AJ690="","",VLOOKUP(AJ690,引用表合并!$A:$B,2,FALSE))</f>
        <v/>
      </c>
      <c r="AJ690" s="8"/>
      <c r="AK690" s="8"/>
      <c r="AM690" s="8" t="str">
        <f>IF(AN690="","",VLOOKUP(AN690,引用表合并!$A:$B,2,FALSE))</f>
        <v/>
      </c>
      <c r="AN690" s="8"/>
      <c r="AO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D690" s="8"/>
      <c r="BH690" s="8"/>
      <c r="BL690" s="8"/>
      <c r="FK690" s="8">
        <v>4</v>
      </c>
      <c r="FL690" s="8">
        <v>0</v>
      </c>
    </row>
    <row r="691" spans="1:168" x14ac:dyDescent="0.15">
      <c r="A691" s="8">
        <v>700502</v>
      </c>
      <c r="B691" s="8" t="s">
        <v>181</v>
      </c>
      <c r="C691" s="8">
        <v>0</v>
      </c>
      <c r="D691" s="8">
        <f t="shared" si="82"/>
        <v>5</v>
      </c>
      <c r="E691" s="16">
        <f t="shared" si="97"/>
        <v>5</v>
      </c>
      <c r="F691" s="16">
        <f t="shared" si="88"/>
        <v>5</v>
      </c>
      <c r="G691" s="8" t="str">
        <f>IF(H691="","",VLOOKUP(H691,引用表合并!$A:$B,2,FALSE))</f>
        <v>宝石手环碎片</v>
      </c>
      <c r="H691" s="75">
        <v>93235</v>
      </c>
      <c r="I691" s="34">
        <v>1</v>
      </c>
      <c r="J691" s="34">
        <f t="shared" si="89"/>
        <v>2200</v>
      </c>
      <c r="K691" s="8" t="str">
        <f>IF(L691="","",VLOOKUP(L691,引用表合并!$A:$B,2,FALSE))</f>
        <v>摩拉碎片</v>
      </c>
      <c r="L691" s="75">
        <v>93012</v>
      </c>
      <c r="M691" s="34">
        <v>1</v>
      </c>
      <c r="N691" s="9">
        <f t="shared" si="90"/>
        <v>2200</v>
      </c>
      <c r="O691" s="8" t="str">
        <f>IF(P691="","",VLOOKUP(P691,引用表合并!$A:$B,2,FALSE))</f>
        <v>银饰耳钉碎片</v>
      </c>
      <c r="P691" s="74">
        <v>93122</v>
      </c>
      <c r="Q691" s="9">
        <v>1</v>
      </c>
      <c r="R691" s="12">
        <f t="shared" si="91"/>
        <v>2200</v>
      </c>
      <c r="S691" s="9" t="str">
        <f>IF(T691="","",VLOOKUP(T691,引用表合并!$A:$B,2,FALSE))</f>
        <v>亚诺</v>
      </c>
      <c r="T691" s="73">
        <v>92011</v>
      </c>
      <c r="U691" s="12">
        <v>1</v>
      </c>
      <c r="V691" s="12">
        <f t="shared" si="92"/>
        <v>2200</v>
      </c>
      <c r="W691" s="8" t="str">
        <f>IF(X691="","",VLOOKUP(X691,引用表合并!$A:$B,2,FALSE))</f>
        <v>高级装备升级石</v>
      </c>
      <c r="X691" s="8">
        <v>85200</v>
      </c>
      <c r="Y691" s="8">
        <v>1</v>
      </c>
      <c r="Z691" s="10">
        <f t="shared" si="94"/>
        <v>3000</v>
      </c>
      <c r="AA691" s="8" t="str">
        <f>IF(AB691="","",VLOOKUP(AB691,引用表合并!$A:$B,2,FALSE))</f>
        <v/>
      </c>
      <c r="AB691" s="8"/>
      <c r="AC691" s="8"/>
      <c r="AD691" s="10">
        <f t="shared" si="95"/>
        <v>0</v>
      </c>
      <c r="AE691" s="8" t="str">
        <f>IF(AF691="","",VLOOKUP(AF691,引用表合并!$A:$B,2,FALSE))</f>
        <v/>
      </c>
      <c r="AF691" s="8"/>
      <c r="AG691" s="8"/>
      <c r="AI691" s="8" t="str">
        <f>IF(AJ691="","",VLOOKUP(AJ691,引用表合并!$A:$B,2,FALSE))</f>
        <v/>
      </c>
      <c r="AJ691" s="8"/>
      <c r="AK691" s="8"/>
      <c r="AM691" s="8" t="str">
        <f>IF(AN691="","",VLOOKUP(AN691,引用表合并!$A:$B,2,FALSE))</f>
        <v/>
      </c>
      <c r="AN691" s="8"/>
      <c r="AO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D691" s="8"/>
      <c r="BH691" s="8"/>
      <c r="BL691" s="8"/>
      <c r="FK691" s="8">
        <v>4</v>
      </c>
      <c r="FL691" s="8">
        <v>0</v>
      </c>
    </row>
    <row r="692" spans="1:168" x14ac:dyDescent="0.15">
      <c r="A692" s="8">
        <v>700503</v>
      </c>
      <c r="B692" s="8" t="s">
        <v>182</v>
      </c>
      <c r="C692" s="8">
        <v>0</v>
      </c>
      <c r="D692" s="8">
        <f t="shared" si="82"/>
        <v>5</v>
      </c>
      <c r="E692" s="16">
        <f t="shared" si="97"/>
        <v>5</v>
      </c>
      <c r="F692" s="16">
        <f t="shared" si="88"/>
        <v>5</v>
      </c>
      <c r="G692" s="8" t="str">
        <f>IF(H692="","",VLOOKUP(H692,引用表合并!$A:$B,2,FALSE))</f>
        <v>摩拉碎片</v>
      </c>
      <c r="H692" s="75">
        <v>93012</v>
      </c>
      <c r="I692" s="34">
        <v>1</v>
      </c>
      <c r="J692" s="34">
        <f t="shared" si="89"/>
        <v>2700</v>
      </c>
      <c r="K692" s="8" t="str">
        <f>IF(L692="","",VLOOKUP(L692,引用表合并!$A:$B,2,FALSE))</f>
        <v>青玉项链碎片</v>
      </c>
      <c r="L692" s="75">
        <v>93252</v>
      </c>
      <c r="M692" s="34">
        <v>1</v>
      </c>
      <c r="N692" s="9">
        <f t="shared" si="90"/>
        <v>2700</v>
      </c>
      <c r="O692" s="8" t="str">
        <f>IF(P692="","",VLOOKUP(P692,引用表合并!$A:$B,2,FALSE))</f>
        <v>白银戒指碎片</v>
      </c>
      <c r="P692" s="74">
        <v>93141</v>
      </c>
      <c r="Q692" s="9">
        <v>1</v>
      </c>
      <c r="R692" s="12">
        <f t="shared" si="91"/>
        <v>2700</v>
      </c>
      <c r="S692" s="9" t="str">
        <f>IF(T692="","",VLOOKUP(T692,引用表合并!$A:$B,2,FALSE))</f>
        <v>银色手环</v>
      </c>
      <c r="T692" s="73">
        <v>92228</v>
      </c>
      <c r="U692" s="12">
        <v>1</v>
      </c>
      <c r="V692" s="12">
        <f t="shared" si="92"/>
        <v>2700</v>
      </c>
      <c r="W692" s="8" t="str">
        <f>IF(X692="","",VLOOKUP(X692,引用表合并!$A:$B,2,FALSE))</f>
        <v>高级装备升级石</v>
      </c>
      <c r="X692" s="8">
        <v>85200</v>
      </c>
      <c r="Y692" s="8">
        <v>1</v>
      </c>
      <c r="Z692" s="10">
        <f t="shared" si="94"/>
        <v>5400</v>
      </c>
      <c r="AA692" s="8" t="str">
        <f>IF(AB692="","",VLOOKUP(AB692,引用表合并!$A:$B,2,FALSE))</f>
        <v/>
      </c>
      <c r="AB692" s="8"/>
      <c r="AC692" s="8"/>
      <c r="AD692" s="10">
        <f t="shared" si="95"/>
        <v>0</v>
      </c>
      <c r="AE692" s="8" t="str">
        <f>IF(AF692="","",VLOOKUP(AF692,引用表合并!$A:$B,2,FALSE))</f>
        <v/>
      </c>
      <c r="AF692" s="8"/>
      <c r="AG692" s="8"/>
      <c r="AI692" s="8" t="str">
        <f>IF(AJ692="","",VLOOKUP(AJ692,引用表合并!$A:$B,2,FALSE))</f>
        <v/>
      </c>
      <c r="AJ692" s="8"/>
      <c r="AK692" s="8"/>
      <c r="AM692" s="8" t="str">
        <f>IF(AN692="","",VLOOKUP(AN692,引用表合并!$A:$B,2,FALSE))</f>
        <v/>
      </c>
      <c r="AN692" s="8"/>
      <c r="AO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D692" s="8"/>
      <c r="BH692" s="8"/>
      <c r="BL692" s="8"/>
      <c r="FK692" s="8">
        <v>4</v>
      </c>
      <c r="FL692" s="8">
        <v>10</v>
      </c>
    </row>
    <row r="693" spans="1:168" x14ac:dyDescent="0.15">
      <c r="A693" s="8">
        <v>700504</v>
      </c>
      <c r="B693" s="8" t="s">
        <v>183</v>
      </c>
      <c r="C693" s="8">
        <v>0</v>
      </c>
      <c r="D693" s="8">
        <f t="shared" si="82"/>
        <v>5</v>
      </c>
      <c r="E693" s="16">
        <f t="shared" si="97"/>
        <v>5</v>
      </c>
      <c r="F693" s="16">
        <f t="shared" si="88"/>
        <v>5</v>
      </c>
      <c r="G693" s="8" t="str">
        <f>IF(H693="","",VLOOKUP(H693,引用表合并!$A:$B,2,FALSE))</f>
        <v>青玉项链碎片</v>
      </c>
      <c r="H693" s="75">
        <v>93252</v>
      </c>
      <c r="I693" s="34">
        <v>1</v>
      </c>
      <c r="J693" s="34">
        <f t="shared" si="89"/>
        <v>2200</v>
      </c>
      <c r="K693" s="8" t="str">
        <f>IF(L693="","",VLOOKUP(L693,引用表合并!$A:$B,2,FALSE))</f>
        <v>水晶耳钉碎片</v>
      </c>
      <c r="L693" s="75">
        <v>93124</v>
      </c>
      <c r="M693" s="34">
        <v>1</v>
      </c>
      <c r="N693" s="9">
        <f t="shared" si="90"/>
        <v>2200</v>
      </c>
      <c r="O693" s="8" t="str">
        <f>IF(P693="","",VLOOKUP(P693,引用表合并!$A:$B,2,FALSE))</f>
        <v>水晶项链碎片</v>
      </c>
      <c r="P693" s="74">
        <v>93245</v>
      </c>
      <c r="Q693" s="9">
        <v>1</v>
      </c>
      <c r="R693" s="12">
        <f t="shared" si="91"/>
        <v>2200</v>
      </c>
      <c r="S693" s="9" t="str">
        <f>IF(T693="","",VLOOKUP(T693,引用表合并!$A:$B,2,FALSE))</f>
        <v>鎏金手环</v>
      </c>
      <c r="T693" s="73">
        <v>92232</v>
      </c>
      <c r="U693" s="12">
        <v>1</v>
      </c>
      <c r="V693" s="12">
        <f t="shared" si="92"/>
        <v>2200</v>
      </c>
      <c r="W693" s="8" t="str">
        <f>IF(X693="","",VLOOKUP(X693,引用表合并!$A:$B,2,FALSE))</f>
        <v>高级装备升级石</v>
      </c>
      <c r="X693" s="8">
        <v>85200</v>
      </c>
      <c r="Y693" s="8">
        <v>1</v>
      </c>
      <c r="Z693" s="10">
        <f t="shared" si="94"/>
        <v>3100</v>
      </c>
      <c r="AA693" s="8" t="str">
        <f>IF(AB693="","",VLOOKUP(AB693,引用表合并!$A:$B,2,FALSE))</f>
        <v/>
      </c>
      <c r="AB693" s="8"/>
      <c r="AC693" s="8"/>
      <c r="AD693" s="10">
        <f t="shared" si="95"/>
        <v>0</v>
      </c>
      <c r="AE693" s="8" t="str">
        <f>IF(AF693="","",VLOOKUP(AF693,引用表合并!$A:$B,2,FALSE))</f>
        <v/>
      </c>
      <c r="AF693" s="8"/>
      <c r="AG693" s="8"/>
      <c r="AI693" s="8" t="str">
        <f>IF(AJ693="","",VLOOKUP(AJ693,引用表合并!$A:$B,2,FALSE))</f>
        <v/>
      </c>
      <c r="AJ693" s="8"/>
      <c r="AK693" s="8"/>
      <c r="AM693" s="8" t="str">
        <f>IF(AN693="","",VLOOKUP(AN693,引用表合并!$A:$B,2,FALSE))</f>
        <v/>
      </c>
      <c r="AN693" s="8"/>
      <c r="AO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D693" s="8"/>
      <c r="BH693" s="8"/>
      <c r="BL693" s="8"/>
      <c r="FK693" s="8">
        <v>4</v>
      </c>
      <c r="FL693" s="8">
        <v>0</v>
      </c>
    </row>
    <row r="694" spans="1:168" x14ac:dyDescent="0.15">
      <c r="A694" s="8">
        <v>700505</v>
      </c>
      <c r="B694" s="8" t="s">
        <v>184</v>
      </c>
      <c r="C694" s="8">
        <v>0</v>
      </c>
      <c r="D694" s="8">
        <f t="shared" si="82"/>
        <v>5</v>
      </c>
      <c r="E694" s="16">
        <f t="shared" si="97"/>
        <v>5</v>
      </c>
      <c r="F694" s="16">
        <f t="shared" ref="F694:F757" si="100">E694</f>
        <v>5</v>
      </c>
      <c r="G694" s="8" t="str">
        <f>IF(H694="","",VLOOKUP(H694,引用表合并!$A:$B,2,FALSE))</f>
        <v>水晶耳钉碎片</v>
      </c>
      <c r="H694" s="75">
        <v>93124</v>
      </c>
      <c r="I694" s="34">
        <v>1</v>
      </c>
      <c r="J694" s="34">
        <f t="shared" si="89"/>
        <v>2200</v>
      </c>
      <c r="K694" s="8" t="str">
        <f>IF(L694="","",VLOOKUP(L694,引用表合并!$A:$B,2,FALSE))</f>
        <v>金针手表碎片</v>
      </c>
      <c r="L694" s="75">
        <v>93272</v>
      </c>
      <c r="M694" s="34">
        <v>1</v>
      </c>
      <c r="N694" s="34">
        <f t="shared" si="90"/>
        <v>2200</v>
      </c>
      <c r="O694" s="34" t="str">
        <f>IF(P694="","",VLOOKUP(P694,引用表合并!$A:$B,2,FALSE))</f>
        <v>红石项链碎片</v>
      </c>
      <c r="P694" s="74">
        <v>93251</v>
      </c>
      <c r="Q694" s="34">
        <v>1</v>
      </c>
      <c r="R694" s="12">
        <f t="shared" si="91"/>
        <v>2200</v>
      </c>
      <c r="S694" s="34" t="str">
        <f>IF(T694="","",VLOOKUP(T694,引用表合并!$A:$B,2,FALSE))</f>
        <v>黄金戒指</v>
      </c>
      <c r="T694" s="40">
        <v>92142</v>
      </c>
      <c r="U694" s="34">
        <v>1</v>
      </c>
      <c r="V694" s="12">
        <f t="shared" si="92"/>
        <v>2200</v>
      </c>
      <c r="W694" s="8" t="str">
        <f>IF(X694="","",VLOOKUP(X694,引用表合并!$A:$B,2,FALSE))</f>
        <v>高级装备升级石</v>
      </c>
      <c r="X694" s="8">
        <v>85200</v>
      </c>
      <c r="Y694" s="8">
        <v>1</v>
      </c>
      <c r="Z694" s="10">
        <f t="shared" si="94"/>
        <v>3200</v>
      </c>
      <c r="AA694" s="8" t="str">
        <f>IF(AB694="","",VLOOKUP(AB694,引用表合并!$A:$B,2,FALSE))</f>
        <v/>
      </c>
      <c r="AB694" s="8"/>
      <c r="AC694" s="8"/>
      <c r="AD694" s="10">
        <f t="shared" si="95"/>
        <v>0</v>
      </c>
      <c r="AE694" s="8" t="str">
        <f>IF(AF694="","",VLOOKUP(AF694,引用表合并!$A:$B,2,FALSE))</f>
        <v/>
      </c>
      <c r="AF694" s="8"/>
      <c r="AG694" s="8"/>
      <c r="AI694" s="8" t="str">
        <f>IF(AJ694="","",VLOOKUP(AJ694,引用表合并!$A:$B,2,FALSE))</f>
        <v/>
      </c>
      <c r="AJ694" s="8"/>
      <c r="AK694" s="8"/>
      <c r="AM694" s="8" t="str">
        <f>IF(AN694="","",VLOOKUP(AN694,引用表合并!$A:$B,2,FALSE))</f>
        <v/>
      </c>
      <c r="AN694" s="8"/>
      <c r="AO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D694" s="8"/>
      <c r="BH694" s="8"/>
      <c r="BL694" s="8"/>
      <c r="FK694" s="8">
        <v>4</v>
      </c>
      <c r="FL694" s="8">
        <v>0</v>
      </c>
    </row>
    <row r="695" spans="1:168" x14ac:dyDescent="0.15">
      <c r="A695" s="8">
        <v>700506</v>
      </c>
      <c r="B695" s="8" t="s">
        <v>185</v>
      </c>
      <c r="C695" s="8">
        <v>0</v>
      </c>
      <c r="D695" s="8">
        <f t="shared" si="82"/>
        <v>6</v>
      </c>
      <c r="E695" s="16">
        <f t="shared" si="97"/>
        <v>6</v>
      </c>
      <c r="F695" s="16">
        <f t="shared" si="100"/>
        <v>6</v>
      </c>
      <c r="G695" s="8" t="str">
        <f>IF(H695="","",VLOOKUP(H695,引用表合并!$A:$B,2,FALSE))</f>
        <v>金针手表碎片</v>
      </c>
      <c r="H695" s="75">
        <v>93272</v>
      </c>
      <c r="I695" s="34">
        <v>1</v>
      </c>
      <c r="J695" s="34">
        <f t="shared" ref="J695:J758" si="101">$FK695*50+$FL695*50+2000</f>
        <v>2800</v>
      </c>
      <c r="K695" s="8" t="str">
        <f>IF(L695="","",VLOOKUP(L695,引用表合并!$A:$B,2,FALSE))</f>
        <v>智能手表碎片</v>
      </c>
      <c r="L695" s="75">
        <v>93273</v>
      </c>
      <c r="M695" s="34">
        <v>1</v>
      </c>
      <c r="N695" s="34">
        <f t="shared" ref="N695:N758" si="102">FK695*50+FL695*50+2000</f>
        <v>2800</v>
      </c>
      <c r="O695" s="8" t="str">
        <f>IF(P695="","",VLOOKUP(P695,引用表合并!$A:$B,2,FALSE))</f>
        <v>宝石手环碎片</v>
      </c>
      <c r="P695" s="75">
        <v>93235</v>
      </c>
      <c r="Q695" s="34">
        <v>1</v>
      </c>
      <c r="R695" s="9">
        <f t="shared" ref="R695:R758" si="103">FK695*50+FL695*50+2000</f>
        <v>2800</v>
      </c>
      <c r="S695" s="9" t="str">
        <f>IF(T695="","",VLOOKUP(T695,引用表合并!$A:$B,2,FALSE))</f>
        <v>越野手表碎片</v>
      </c>
      <c r="T695" s="74">
        <v>93264</v>
      </c>
      <c r="U695" s="9">
        <v>1</v>
      </c>
      <c r="V695" s="9">
        <f t="shared" ref="V695:V758" si="104">FK695*50+FL695*50+2000</f>
        <v>2800</v>
      </c>
      <c r="W695" s="8" t="str">
        <f>IF(X695="","",VLOOKUP(X695,引用表合并!$A:$B,2,FALSE))</f>
        <v>稀有装备升级石</v>
      </c>
      <c r="X695" s="8">
        <v>85300</v>
      </c>
      <c r="Y695" s="10">
        <v>1</v>
      </c>
      <c r="Z695" s="10">
        <f t="shared" si="94"/>
        <v>2400</v>
      </c>
      <c r="AA695" s="8" t="str">
        <f>IF(AB695="","",VLOOKUP(AB695,引用表合并!$A:$B,2,FALSE))</f>
        <v>高级装备升级石</v>
      </c>
      <c r="AB695" s="8">
        <v>85200</v>
      </c>
      <c r="AC695" s="8">
        <v>1</v>
      </c>
      <c r="AD695" s="10">
        <f t="shared" si="95"/>
        <v>10000</v>
      </c>
      <c r="AE695" s="8" t="str">
        <f>IF(AF695="","",VLOOKUP(AF695,引用表合并!$A:$B,2,FALSE))</f>
        <v/>
      </c>
      <c r="AF695" s="8"/>
      <c r="AI695" s="8"/>
      <c r="AJ695" s="8"/>
      <c r="AK695" s="8"/>
      <c r="AM695" s="8" t="str">
        <f>IF(AN695="","",VLOOKUP(AN695,引用表合并!$A:$B,2,FALSE))</f>
        <v/>
      </c>
      <c r="AN695" s="8"/>
      <c r="AO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D695" s="8"/>
      <c r="BH695" s="8"/>
      <c r="BL695" s="8"/>
      <c r="FK695" s="8">
        <v>4</v>
      </c>
      <c r="FL695" s="8">
        <v>12</v>
      </c>
    </row>
    <row r="696" spans="1:168" x14ac:dyDescent="0.15">
      <c r="A696" s="8">
        <v>700507</v>
      </c>
      <c r="B696" s="8" t="s">
        <v>186</v>
      </c>
      <c r="C696" s="8">
        <v>0</v>
      </c>
      <c r="D696" s="8">
        <f t="shared" si="82"/>
        <v>6</v>
      </c>
      <c r="E696" s="16">
        <f t="shared" si="97"/>
        <v>6</v>
      </c>
      <c r="F696" s="16">
        <f t="shared" si="100"/>
        <v>6</v>
      </c>
      <c r="G696" s="8" t="str">
        <f>IF(H696="","",VLOOKUP(H696,引用表合并!$A:$B,2,FALSE))</f>
        <v>智能手表碎片</v>
      </c>
      <c r="H696" s="75">
        <v>93273</v>
      </c>
      <c r="I696" s="34">
        <v>1</v>
      </c>
      <c r="J696" s="34">
        <f t="shared" si="101"/>
        <v>2200</v>
      </c>
      <c r="K696" s="8" t="str">
        <f>IF(L696="","",VLOOKUP(L696,引用表合并!$A:$B,2,FALSE))</f>
        <v>宾倪碎片</v>
      </c>
      <c r="L696" s="75">
        <v>93279</v>
      </c>
      <c r="M696" s="34">
        <v>1</v>
      </c>
      <c r="N696" s="34">
        <f t="shared" si="102"/>
        <v>2200</v>
      </c>
      <c r="O696" s="8" t="str">
        <f>IF(P696="","",VLOOKUP(P696,引用表合并!$A:$B,2,FALSE))</f>
        <v>摩拉碎片</v>
      </c>
      <c r="P696" s="75">
        <v>93012</v>
      </c>
      <c r="Q696" s="34">
        <v>1</v>
      </c>
      <c r="R696" s="9">
        <f t="shared" si="103"/>
        <v>2200</v>
      </c>
      <c r="S696" s="9" t="str">
        <f>IF(T696="","",VLOOKUP(T696,引用表合并!$A:$B,2,FALSE))</f>
        <v>精准手表碎片</v>
      </c>
      <c r="T696" s="74">
        <v>93271</v>
      </c>
      <c r="U696" s="9">
        <v>1</v>
      </c>
      <c r="V696" s="9">
        <f t="shared" si="104"/>
        <v>2200</v>
      </c>
      <c r="W696" s="8" t="str">
        <f>IF(X696="","",VLOOKUP(X696,引用表合并!$A:$B,2,FALSE))</f>
        <v>稀有装备升级石</v>
      </c>
      <c r="X696" s="8">
        <v>85300</v>
      </c>
      <c r="Y696" s="10">
        <v>1</v>
      </c>
      <c r="Z696" s="10">
        <f t="shared" si="94"/>
        <v>2600</v>
      </c>
      <c r="AA696" s="8" t="str">
        <f>IF(AB696="","",VLOOKUP(AB696,引用表合并!$A:$B,2,FALSE))</f>
        <v>高级装备升级石</v>
      </c>
      <c r="AB696" s="8">
        <v>85200</v>
      </c>
      <c r="AC696" s="8">
        <v>1</v>
      </c>
      <c r="AD696" s="10">
        <f t="shared" si="95"/>
        <v>3000</v>
      </c>
      <c r="AE696" s="8" t="str">
        <f>IF(AF696="","",VLOOKUP(AF696,引用表合并!$A:$B,2,FALSE))</f>
        <v/>
      </c>
      <c r="AF696" s="8"/>
      <c r="AI696" s="8"/>
      <c r="AJ696" s="8"/>
      <c r="AK696" s="8"/>
      <c r="AM696" s="8" t="str">
        <f>IF(AN696="","",VLOOKUP(AN696,引用表合并!$A:$B,2,FALSE))</f>
        <v/>
      </c>
      <c r="AN696" s="8"/>
      <c r="AO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D696" s="8"/>
      <c r="BH696" s="8"/>
      <c r="BL696" s="8"/>
      <c r="FK696" s="8">
        <v>4</v>
      </c>
      <c r="FL696" s="8">
        <v>0</v>
      </c>
    </row>
    <row r="697" spans="1:168" x14ac:dyDescent="0.15">
      <c r="A697" s="8">
        <v>700508</v>
      </c>
      <c r="B697" s="8" t="s">
        <v>187</v>
      </c>
      <c r="C697" s="8">
        <v>0</v>
      </c>
      <c r="D697" s="8">
        <f t="shared" si="82"/>
        <v>6</v>
      </c>
      <c r="E697" s="16">
        <f t="shared" si="97"/>
        <v>6</v>
      </c>
      <c r="F697" s="16">
        <f t="shared" si="100"/>
        <v>6</v>
      </c>
      <c r="G697" s="8" t="str">
        <f>IF(H697="","",VLOOKUP(H697,引用表合并!$A:$B,2,FALSE))</f>
        <v>宾倪碎片</v>
      </c>
      <c r="H697" s="75">
        <v>93279</v>
      </c>
      <c r="I697" s="34">
        <v>1</v>
      </c>
      <c r="J697" s="34">
        <f t="shared" si="101"/>
        <v>2200</v>
      </c>
      <c r="K697" s="8" t="str">
        <f>IF(L697="","",VLOOKUP(L697,引用表合并!$A:$B,2,FALSE))</f>
        <v>大迭钞票碎片</v>
      </c>
      <c r="L697" s="75">
        <v>93284</v>
      </c>
      <c r="M697" s="34">
        <v>1</v>
      </c>
      <c r="N697" s="34">
        <f t="shared" si="102"/>
        <v>2200</v>
      </c>
      <c r="O697" s="8" t="str">
        <f>IF(P697="","",VLOOKUP(P697,引用表合并!$A:$B,2,FALSE))</f>
        <v>青玉项链碎片</v>
      </c>
      <c r="P697" s="75">
        <v>93252</v>
      </c>
      <c r="Q697" s="34">
        <v>1</v>
      </c>
      <c r="R697" s="9">
        <f t="shared" si="103"/>
        <v>2200</v>
      </c>
      <c r="S697" s="9" t="str">
        <f>IF(T697="","",VLOOKUP(T697,引用表合并!$A:$B,2,FALSE))</f>
        <v>宝驼碎片</v>
      </c>
      <c r="T697" s="74">
        <v>93278</v>
      </c>
      <c r="U697" s="9">
        <v>1</v>
      </c>
      <c r="V697" s="9">
        <f t="shared" si="104"/>
        <v>2200</v>
      </c>
      <c r="W697" s="8" t="str">
        <f>IF(X697="","",VLOOKUP(X697,引用表合并!$A:$B,2,FALSE))</f>
        <v>稀有装备升级石</v>
      </c>
      <c r="X697" s="8">
        <v>85300</v>
      </c>
      <c r="Y697" s="10">
        <v>1</v>
      </c>
      <c r="Z697" s="10">
        <f t="shared" si="94"/>
        <v>2800</v>
      </c>
      <c r="AA697" s="8" t="str">
        <f>IF(AB697="","",VLOOKUP(AB697,引用表合并!$A:$B,2,FALSE))</f>
        <v>高级装备升级石</v>
      </c>
      <c r="AB697" s="8">
        <v>85200</v>
      </c>
      <c r="AC697" s="8">
        <v>1</v>
      </c>
      <c r="AD697" s="10">
        <f t="shared" si="95"/>
        <v>3200</v>
      </c>
      <c r="AE697" s="8" t="str">
        <f>IF(AF697="","",VLOOKUP(AF697,引用表合并!$A:$B,2,FALSE))</f>
        <v/>
      </c>
      <c r="AF697" s="8"/>
      <c r="AI697" s="8"/>
      <c r="AJ697" s="8"/>
      <c r="AK697" s="8"/>
      <c r="AM697" s="8" t="str">
        <f>IF(AN697="","",VLOOKUP(AN697,引用表合并!$A:$B,2,FALSE))</f>
        <v/>
      </c>
      <c r="AN697" s="8"/>
      <c r="AO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D697" s="8"/>
      <c r="BH697" s="8"/>
      <c r="BL697" s="8"/>
      <c r="FK697" s="8">
        <v>4</v>
      </c>
      <c r="FL697" s="8">
        <v>0</v>
      </c>
    </row>
    <row r="698" spans="1:168" x14ac:dyDescent="0.15">
      <c r="A698" s="8">
        <v>700509</v>
      </c>
      <c r="B698" s="8" t="s">
        <v>188</v>
      </c>
      <c r="C698" s="8">
        <v>0</v>
      </c>
      <c r="D698" s="8">
        <f t="shared" si="82"/>
        <v>6</v>
      </c>
      <c r="E698" s="16">
        <f t="shared" si="97"/>
        <v>6</v>
      </c>
      <c r="F698" s="16">
        <f t="shared" si="100"/>
        <v>6</v>
      </c>
      <c r="G698" s="8" t="str">
        <f>IF(H698="","",VLOOKUP(H698,引用表合并!$A:$B,2,FALSE))</f>
        <v>大迭钞票碎片</v>
      </c>
      <c r="H698" s="75">
        <v>93284</v>
      </c>
      <c r="I698" s="34">
        <v>1</v>
      </c>
      <c r="J698" s="34">
        <f t="shared" si="101"/>
        <v>2900</v>
      </c>
      <c r="K698" s="8" t="str">
        <f>IF(L698="","",VLOOKUP(L698,引用表合并!$A:$B,2,FALSE))</f>
        <v>大金块碎片</v>
      </c>
      <c r="L698" s="75">
        <v>93288</v>
      </c>
      <c r="M698" s="34">
        <v>1</v>
      </c>
      <c r="N698" s="34">
        <f t="shared" si="102"/>
        <v>2900</v>
      </c>
      <c r="O698" s="8" t="str">
        <f>IF(P698="","",VLOOKUP(P698,引用表合并!$A:$B,2,FALSE))</f>
        <v>水晶耳钉碎片</v>
      </c>
      <c r="P698" s="75">
        <v>93124</v>
      </c>
      <c r="Q698" s="34">
        <v>1</v>
      </c>
      <c r="R698" s="9">
        <f t="shared" si="103"/>
        <v>2900</v>
      </c>
      <c r="S698" s="9" t="str">
        <f>IF(T698="","",VLOOKUP(T698,引用表合并!$A:$B,2,FALSE))</f>
        <v>小迭钞票碎片</v>
      </c>
      <c r="T698" s="74">
        <v>93283</v>
      </c>
      <c r="U698" s="9">
        <v>1</v>
      </c>
      <c r="V698" s="9">
        <f t="shared" si="104"/>
        <v>2900</v>
      </c>
      <c r="W698" s="8" t="str">
        <f>IF(X698="","",VLOOKUP(X698,引用表合并!$A:$B,2,FALSE))</f>
        <v>稀有装备升级石</v>
      </c>
      <c r="X698" s="8">
        <v>85300</v>
      </c>
      <c r="Y698" s="10">
        <v>1</v>
      </c>
      <c r="Z698" s="10">
        <f t="shared" si="94"/>
        <v>10000</v>
      </c>
      <c r="AA698" s="8" t="str">
        <f>IF(AB698="","",VLOOKUP(AB698,引用表合并!$A:$B,2,FALSE))</f>
        <v>高级装备升级石</v>
      </c>
      <c r="AB698" s="8">
        <v>85200</v>
      </c>
      <c r="AC698" s="8">
        <v>1</v>
      </c>
      <c r="AD698" s="10">
        <f t="shared" si="95"/>
        <v>2000</v>
      </c>
      <c r="AE698" s="8" t="str">
        <f>IF(AF698="","",VLOOKUP(AF698,引用表合并!$A:$B,2,FALSE))</f>
        <v/>
      </c>
      <c r="AF698" s="8"/>
      <c r="AI698" s="8"/>
      <c r="AJ698" s="8"/>
      <c r="AK698" s="8"/>
      <c r="AM698" s="8" t="str">
        <f>IF(AN698="","",VLOOKUP(AN698,引用表合并!$A:$B,2,FALSE))</f>
        <v/>
      </c>
      <c r="AN698" s="8"/>
      <c r="AO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D698" s="8"/>
      <c r="BH698" s="8"/>
      <c r="BL698" s="8"/>
      <c r="FK698" s="8">
        <v>4</v>
      </c>
      <c r="FL698" s="8">
        <v>14</v>
      </c>
    </row>
    <row r="699" spans="1:168" x14ac:dyDescent="0.15">
      <c r="A699" s="8">
        <v>700510</v>
      </c>
      <c r="B699" s="8" t="s">
        <v>189</v>
      </c>
      <c r="C699" s="8">
        <v>0</v>
      </c>
      <c r="D699" s="8">
        <f t="shared" si="82"/>
        <v>6</v>
      </c>
      <c r="E699" s="16">
        <f t="shared" si="97"/>
        <v>6</v>
      </c>
      <c r="F699" s="16">
        <f t="shared" si="100"/>
        <v>6</v>
      </c>
      <c r="G699" s="8" t="str">
        <f>IF(H699="","",VLOOKUP(H699,引用表合并!$A:$B,2,FALSE))</f>
        <v>大金块碎片</v>
      </c>
      <c r="H699" s="75">
        <v>93288</v>
      </c>
      <c r="I699" s="34">
        <v>1</v>
      </c>
      <c r="J699" s="34">
        <f t="shared" si="101"/>
        <v>2600</v>
      </c>
      <c r="K699" s="8" t="str">
        <f>IF(L699="","",VLOOKUP(L699,引用表合并!$A:$B,2,FALSE))</f>
        <v>黄金戒指碎片</v>
      </c>
      <c r="L699" s="75">
        <v>93142</v>
      </c>
      <c r="M699" s="34">
        <v>1</v>
      </c>
      <c r="N699" s="34">
        <f t="shared" si="102"/>
        <v>2600</v>
      </c>
      <c r="O699" s="8" t="str">
        <f>IF(P699="","",VLOOKUP(P699,引用表合并!$A:$B,2,FALSE))</f>
        <v>金针手表碎片</v>
      </c>
      <c r="P699" s="75">
        <v>93272</v>
      </c>
      <c r="Q699" s="34">
        <v>1</v>
      </c>
      <c r="R699" s="34">
        <f t="shared" si="103"/>
        <v>2600</v>
      </c>
      <c r="S699" s="34" t="str">
        <f>IF(T699="","",VLOOKUP(T699,引用表合并!$A:$B,2,FALSE))</f>
        <v>金块碎片</v>
      </c>
      <c r="T699" s="74">
        <v>93287</v>
      </c>
      <c r="U699" s="34">
        <v>1</v>
      </c>
      <c r="V699" s="34">
        <f t="shared" si="104"/>
        <v>2600</v>
      </c>
      <c r="W699" s="8" t="str">
        <f>IF(X699="","",VLOOKUP(X699,引用表合并!$A:$B,2,FALSE))</f>
        <v>稀有装备升级石</v>
      </c>
      <c r="X699" s="8">
        <v>85300</v>
      </c>
      <c r="Y699" s="10">
        <v>1</v>
      </c>
      <c r="Z699" s="10">
        <f t="shared" si="94"/>
        <v>3000</v>
      </c>
      <c r="AA699" s="8" t="str">
        <f>IF(AB699="","",VLOOKUP(AB699,引用表合并!$A:$B,2,FALSE))</f>
        <v>高级装备升级石</v>
      </c>
      <c r="AB699" s="8">
        <v>85200</v>
      </c>
      <c r="AC699" s="8">
        <v>1</v>
      </c>
      <c r="AD699" s="10">
        <f t="shared" si="95"/>
        <v>3400</v>
      </c>
      <c r="AE699" s="8" t="str">
        <f>IF(AF699="","",VLOOKUP(AF699,引用表合并!$A:$B,2,FALSE))</f>
        <v/>
      </c>
      <c r="AF699" s="8"/>
      <c r="AI699" s="8"/>
      <c r="AJ699" s="8"/>
      <c r="AK699" s="8"/>
      <c r="AM699" s="8" t="str">
        <f>IF(AN699="","",VLOOKUP(AN699,引用表合并!$A:$B,2,FALSE))</f>
        <v/>
      </c>
      <c r="AN699" s="8"/>
      <c r="AO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D699" s="8"/>
      <c r="BH699" s="8"/>
      <c r="BL699" s="8"/>
      <c r="FK699" s="8">
        <v>4</v>
      </c>
      <c r="FL699" s="8">
        <v>8</v>
      </c>
    </row>
    <row r="700" spans="1:168" x14ac:dyDescent="0.15">
      <c r="A700" s="8">
        <v>700511</v>
      </c>
      <c r="B700" s="8" t="s">
        <v>190</v>
      </c>
      <c r="C700" s="8">
        <v>0</v>
      </c>
      <c r="D700" s="8">
        <f t="shared" si="82"/>
        <v>6</v>
      </c>
      <c r="E700" s="16">
        <f t="shared" si="97"/>
        <v>6</v>
      </c>
      <c r="F700" s="16">
        <f t="shared" si="100"/>
        <v>6</v>
      </c>
      <c r="G700" s="8" t="str">
        <f>IF(H700="","",VLOOKUP(H700,引用表合并!$A:$B,2,FALSE))</f>
        <v>红石耳钉碎片</v>
      </c>
      <c r="H700" s="76">
        <v>93125</v>
      </c>
      <c r="I700" s="35">
        <v>1</v>
      </c>
      <c r="J700" s="34">
        <f t="shared" si="101"/>
        <v>2600</v>
      </c>
      <c r="K700" s="8" t="str">
        <f>IF(L700="","",VLOOKUP(L700,引用表合并!$A:$B,2,FALSE))</f>
        <v>月立碎片</v>
      </c>
      <c r="L700" s="76">
        <v>93013</v>
      </c>
      <c r="M700" s="35">
        <v>1</v>
      </c>
      <c r="N700" s="34">
        <f t="shared" si="102"/>
        <v>2600</v>
      </c>
      <c r="O700" s="8" t="str">
        <f>IF(P700="","",VLOOKUP(P700,引用表合并!$A:$B,2,FALSE))</f>
        <v>智能手表碎片</v>
      </c>
      <c r="P700" s="75">
        <v>93273</v>
      </c>
      <c r="Q700" s="34">
        <v>1</v>
      </c>
      <c r="R700" s="34">
        <f t="shared" si="103"/>
        <v>2600</v>
      </c>
      <c r="S700" s="34" t="str">
        <f>IF(T700="","",VLOOKUP(T700,引用表合并!$A:$B,2,FALSE))</f>
        <v>金针手表碎片</v>
      </c>
      <c r="T700" s="75">
        <v>93272</v>
      </c>
      <c r="U700" s="34">
        <v>1</v>
      </c>
      <c r="V700" s="34">
        <f t="shared" si="104"/>
        <v>2600</v>
      </c>
      <c r="W700" s="8" t="str">
        <f>IF(X700="","",VLOOKUP(X700,引用表合并!$A:$B,2,FALSE))</f>
        <v>史诗装备升级石</v>
      </c>
      <c r="X700" s="8">
        <v>85400</v>
      </c>
      <c r="Y700" s="8">
        <v>1</v>
      </c>
      <c r="Z700" s="10">
        <f t="shared" si="94"/>
        <v>3200</v>
      </c>
      <c r="AA700" s="8" t="str">
        <f>IF(AB700="","",VLOOKUP(AB700,引用表合并!$A:$B,2,FALSE))</f>
        <v>高级装备升级石</v>
      </c>
      <c r="AB700" s="8">
        <v>85200</v>
      </c>
      <c r="AC700" s="8">
        <v>1</v>
      </c>
      <c r="AD700" s="10">
        <f t="shared" si="95"/>
        <v>3600</v>
      </c>
      <c r="AE700" s="8" t="str">
        <f>IF(AF700="","",VLOOKUP(AF700,引用表合并!$A:$B,2,FALSE))</f>
        <v/>
      </c>
      <c r="AF700" s="8"/>
      <c r="AI700" s="8" t="str">
        <f>IF(AJ700="","",VLOOKUP(AJ700,引用表合并!$A:$B,2,FALSE))</f>
        <v/>
      </c>
      <c r="AJ700" s="8"/>
      <c r="AK700" s="8"/>
      <c r="AM700" s="8" t="str">
        <f>IF(AN700="","",VLOOKUP(AN700,引用表合并!$A:$B,2,FALSE))</f>
        <v/>
      </c>
      <c r="AN700" s="8"/>
      <c r="AO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D700" s="8"/>
      <c r="BH700" s="8"/>
      <c r="BL700" s="8"/>
      <c r="FK700" s="8">
        <v>4</v>
      </c>
      <c r="FL700" s="8">
        <v>8</v>
      </c>
    </row>
    <row r="701" spans="1:168" x14ac:dyDescent="0.15">
      <c r="A701" s="8">
        <v>700512</v>
      </c>
      <c r="B701" s="8" t="s">
        <v>191</v>
      </c>
      <c r="C701" s="8">
        <v>0</v>
      </c>
      <c r="D701" s="8">
        <f t="shared" si="82"/>
        <v>6</v>
      </c>
      <c r="E701" s="16">
        <f t="shared" si="97"/>
        <v>6</v>
      </c>
      <c r="F701" s="16">
        <f t="shared" si="100"/>
        <v>6</v>
      </c>
      <c r="G701" s="8" t="str">
        <f>IF(H701="","",VLOOKUP(H701,引用表合并!$A:$B,2,FALSE))</f>
        <v>毒蝎耳钉碎片</v>
      </c>
      <c r="H701" s="76">
        <v>93134</v>
      </c>
      <c r="I701" s="35">
        <v>1</v>
      </c>
      <c r="J701" s="34">
        <f t="shared" si="101"/>
        <v>3000</v>
      </c>
      <c r="K701" s="8" t="str">
        <f>IF(L701="","",VLOOKUP(L701,引用表合并!$A:$B,2,FALSE))</f>
        <v>猫妖项链碎片</v>
      </c>
      <c r="L701" s="76">
        <v>93253</v>
      </c>
      <c r="M701" s="35">
        <v>1</v>
      </c>
      <c r="N701" s="34">
        <f t="shared" si="102"/>
        <v>3000</v>
      </c>
      <c r="O701" s="8" t="str">
        <f>IF(P701="","",VLOOKUP(P701,引用表合并!$A:$B,2,FALSE))</f>
        <v>宾倪碎片</v>
      </c>
      <c r="P701" s="75">
        <v>93279</v>
      </c>
      <c r="Q701" s="34">
        <v>1</v>
      </c>
      <c r="R701" s="34">
        <f t="shared" si="103"/>
        <v>3000</v>
      </c>
      <c r="S701" s="34" t="str">
        <f>IF(T701="","",VLOOKUP(T701,引用表合并!$A:$B,2,FALSE))</f>
        <v>智能手表碎片</v>
      </c>
      <c r="T701" s="75">
        <v>93273</v>
      </c>
      <c r="U701" s="34">
        <v>1</v>
      </c>
      <c r="V701" s="34">
        <f t="shared" si="104"/>
        <v>3000</v>
      </c>
      <c r="W701" s="8" t="str">
        <f>IF(X701="","",VLOOKUP(X701,引用表合并!$A:$B,2,FALSE))</f>
        <v>史诗装备升级石</v>
      </c>
      <c r="X701" s="8">
        <v>85400</v>
      </c>
      <c r="Y701" s="8">
        <v>1</v>
      </c>
      <c r="Z701" s="10">
        <f t="shared" si="94"/>
        <v>4400</v>
      </c>
      <c r="AA701" s="8" t="str">
        <f>IF(AB701="","",VLOOKUP(AB701,引用表合并!$A:$B,2,FALSE))</f>
        <v>稀有装备升级石</v>
      </c>
      <c r="AB701" s="8">
        <v>85300</v>
      </c>
      <c r="AC701" s="10">
        <v>1</v>
      </c>
      <c r="AD701" s="10">
        <f t="shared" si="95"/>
        <v>10000</v>
      </c>
      <c r="AE701" s="8" t="str">
        <f>IF(AF701="","",VLOOKUP(AF701,引用表合并!$A:$B,2,FALSE))</f>
        <v/>
      </c>
      <c r="AF701" s="8"/>
      <c r="AG701" s="8"/>
      <c r="AI701" s="8" t="str">
        <f>IF(AJ701="","",VLOOKUP(AJ701,引用表合并!$A:$B,2,FALSE))</f>
        <v/>
      </c>
      <c r="AJ701" s="8"/>
      <c r="AK701" s="8"/>
      <c r="AM701" s="8" t="str">
        <f>IF(AN701="","",VLOOKUP(AN701,引用表合并!$A:$B,2,FALSE))</f>
        <v/>
      </c>
      <c r="AN701" s="8"/>
      <c r="AO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D701" s="8"/>
      <c r="BH701" s="8"/>
      <c r="BL701" s="8"/>
      <c r="FK701" s="8">
        <v>4</v>
      </c>
      <c r="FL701" s="8">
        <v>16</v>
      </c>
    </row>
    <row r="702" spans="1:168" x14ac:dyDescent="0.15">
      <c r="A702" s="8">
        <v>700513</v>
      </c>
      <c r="B702" s="8" t="s">
        <v>192</v>
      </c>
      <c r="C702" s="8">
        <v>0</v>
      </c>
      <c r="D702" s="8">
        <f t="shared" si="82"/>
        <v>6</v>
      </c>
      <c r="E702" s="16">
        <f t="shared" si="97"/>
        <v>6</v>
      </c>
      <c r="F702" s="16">
        <f t="shared" si="100"/>
        <v>6</v>
      </c>
      <c r="G702" s="8" t="str">
        <f>IF(H702="","",VLOOKUP(H702,引用表合并!$A:$B,2,FALSE))</f>
        <v>赤金戒指碎片</v>
      </c>
      <c r="H702" s="76">
        <v>93223</v>
      </c>
      <c r="I702" s="35">
        <v>1</v>
      </c>
      <c r="J702" s="34">
        <f t="shared" si="101"/>
        <v>2700</v>
      </c>
      <c r="K702" s="8" t="str">
        <f>IF(L702="","",VLOOKUP(L702,引用表合并!$A:$B,2,FALSE))</f>
        <v>苍蓝项链碎片</v>
      </c>
      <c r="L702" s="76">
        <v>93254</v>
      </c>
      <c r="M702" s="35">
        <v>1</v>
      </c>
      <c r="N702" s="34">
        <f t="shared" si="102"/>
        <v>2700</v>
      </c>
      <c r="O702" s="8" t="str">
        <f>IF(P702="","",VLOOKUP(P702,引用表合并!$A:$B,2,FALSE))</f>
        <v>大迭钞票碎片</v>
      </c>
      <c r="P702" s="75">
        <v>93284</v>
      </c>
      <c r="Q702" s="34">
        <v>1</v>
      </c>
      <c r="R702" s="34">
        <f t="shared" si="103"/>
        <v>2700</v>
      </c>
      <c r="S702" s="34" t="str">
        <f>IF(T702="","",VLOOKUP(T702,引用表合并!$A:$B,2,FALSE))</f>
        <v>宾倪碎片</v>
      </c>
      <c r="T702" s="75">
        <v>93279</v>
      </c>
      <c r="U702" s="34">
        <v>1</v>
      </c>
      <c r="V702" s="34">
        <f t="shared" si="104"/>
        <v>2700</v>
      </c>
      <c r="W702" s="8" t="str">
        <f>IF(X702="","",VLOOKUP(X702,引用表合并!$A:$B,2,FALSE))</f>
        <v>史诗装备升级石</v>
      </c>
      <c r="X702" s="8">
        <v>85400</v>
      </c>
      <c r="Y702" s="8">
        <v>1</v>
      </c>
      <c r="Z702" s="10">
        <f t="shared" si="94"/>
        <v>2900</v>
      </c>
      <c r="AA702" s="8" t="str">
        <f>IF(AB702="","",VLOOKUP(AB702,引用表合并!$A:$B,2,FALSE))</f>
        <v>高级装备升级石</v>
      </c>
      <c r="AB702" s="8">
        <v>85200</v>
      </c>
      <c r="AC702" s="8">
        <v>1</v>
      </c>
      <c r="AD702" s="10">
        <f t="shared" si="95"/>
        <v>4000</v>
      </c>
      <c r="AE702" s="8" t="str">
        <f>IF(AF702="","",VLOOKUP(AF702,引用表合并!$A:$B,2,FALSE))</f>
        <v/>
      </c>
      <c r="AF702" s="8"/>
      <c r="AI702" s="8" t="str">
        <f>IF(AJ702="","",VLOOKUP(AJ702,引用表合并!$A:$B,2,FALSE))</f>
        <v/>
      </c>
      <c r="AJ702" s="8"/>
      <c r="AK702" s="8"/>
      <c r="AM702" s="8" t="str">
        <f>IF(AN702="","",VLOOKUP(AN702,引用表合并!$A:$B,2,FALSE))</f>
        <v/>
      </c>
      <c r="AN702" s="8"/>
      <c r="AO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D702" s="8"/>
      <c r="BH702" s="8"/>
      <c r="BL702" s="8"/>
      <c r="FK702" s="8">
        <v>4</v>
      </c>
      <c r="FL702" s="8">
        <v>10</v>
      </c>
    </row>
    <row r="703" spans="1:168" x14ac:dyDescent="0.15">
      <c r="A703" s="8">
        <v>700514</v>
      </c>
      <c r="B703" s="8" t="s">
        <v>193</v>
      </c>
      <c r="C703" s="8">
        <v>0</v>
      </c>
      <c r="D703" s="8">
        <f t="shared" si="82"/>
        <v>6</v>
      </c>
      <c r="E703" s="16">
        <f t="shared" si="97"/>
        <v>6</v>
      </c>
      <c r="F703" s="16">
        <f t="shared" si="100"/>
        <v>6</v>
      </c>
      <c r="G703" s="8" t="str">
        <f>IF(H703="","",VLOOKUP(H703,引用表合并!$A:$B,2,FALSE))</f>
        <v>王者手环碎片</v>
      </c>
      <c r="H703" s="76">
        <v>93227</v>
      </c>
      <c r="I703" s="35">
        <v>1</v>
      </c>
      <c r="J703" s="34">
        <f t="shared" si="101"/>
        <v>2700</v>
      </c>
      <c r="K703" s="8" t="str">
        <f>IF(L703="","",VLOOKUP(L703,引用表合并!$A:$B,2,FALSE))</f>
        <v>汉密手表碎片</v>
      </c>
      <c r="L703" s="76">
        <v>93274</v>
      </c>
      <c r="M703" s="35">
        <v>1</v>
      </c>
      <c r="N703" s="34">
        <f t="shared" si="102"/>
        <v>2700</v>
      </c>
      <c r="O703" s="8" t="str">
        <f>IF(P703="","",VLOOKUP(P703,引用表合并!$A:$B,2,FALSE))</f>
        <v>大金块碎片</v>
      </c>
      <c r="P703" s="75">
        <v>93288</v>
      </c>
      <c r="Q703" s="34">
        <v>1</v>
      </c>
      <c r="R703" s="34">
        <f t="shared" si="103"/>
        <v>2700</v>
      </c>
      <c r="S703" s="34" t="str">
        <f>IF(T703="","",VLOOKUP(T703,引用表合并!$A:$B,2,FALSE))</f>
        <v>大迭钞票碎片</v>
      </c>
      <c r="T703" s="75">
        <v>93284</v>
      </c>
      <c r="U703" s="34">
        <v>1</v>
      </c>
      <c r="V703" s="34">
        <f t="shared" si="104"/>
        <v>2700</v>
      </c>
      <c r="W703" s="8" t="str">
        <f>IF(X703="","",VLOOKUP(X703,引用表合并!$A:$B,2,FALSE))</f>
        <v>史诗装备升级石</v>
      </c>
      <c r="X703" s="8">
        <v>85400</v>
      </c>
      <c r="Y703" s="8">
        <v>1</v>
      </c>
      <c r="Z703" s="10">
        <f t="shared" si="94"/>
        <v>3100</v>
      </c>
      <c r="AA703" s="8" t="str">
        <f>IF(AB703="","",VLOOKUP(AB703,引用表合并!$A:$B,2,FALSE))</f>
        <v>高级装备升级石</v>
      </c>
      <c r="AB703" s="8">
        <v>85200</v>
      </c>
      <c r="AC703" s="8">
        <v>1</v>
      </c>
      <c r="AD703" s="10">
        <f t="shared" si="95"/>
        <v>4200</v>
      </c>
      <c r="AE703" s="8" t="str">
        <f>IF(AF703="","",VLOOKUP(AF703,引用表合并!$A:$B,2,FALSE))</f>
        <v/>
      </c>
      <c r="AF703" s="8"/>
      <c r="AI703" s="8" t="str">
        <f>IF(AJ703="","",VLOOKUP(AJ703,引用表合并!$A:$B,2,FALSE))</f>
        <v/>
      </c>
      <c r="AJ703" s="8"/>
      <c r="AK703" s="8"/>
      <c r="AM703" s="8" t="str">
        <f>IF(AN703="","",VLOOKUP(AN703,引用表合并!$A:$B,2,FALSE))</f>
        <v/>
      </c>
      <c r="AN703" s="8"/>
      <c r="AO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D703" s="8"/>
      <c r="BH703" s="8"/>
      <c r="BL703" s="8"/>
      <c r="FK703" s="8">
        <v>4</v>
      </c>
      <c r="FL703" s="8">
        <v>10</v>
      </c>
    </row>
    <row r="704" spans="1:168" x14ac:dyDescent="0.15">
      <c r="A704" s="8">
        <v>700515</v>
      </c>
      <c r="B704" s="8" t="s">
        <v>194</v>
      </c>
      <c r="C704" s="8">
        <v>0</v>
      </c>
      <c r="D704" s="8">
        <f t="shared" si="82"/>
        <v>7</v>
      </c>
      <c r="E704" s="16">
        <f t="shared" si="97"/>
        <v>7</v>
      </c>
      <c r="F704" s="16">
        <f t="shared" si="100"/>
        <v>7</v>
      </c>
      <c r="G704" s="8" t="str">
        <f>IF(H704="","",VLOOKUP(H704,引用表合并!$A:$B,2,FALSE))</f>
        <v>符文手环碎片</v>
      </c>
      <c r="H704" s="76">
        <v>93236</v>
      </c>
      <c r="I704" s="35">
        <v>1</v>
      </c>
      <c r="J704" s="34">
        <f t="shared" si="101"/>
        <v>3200</v>
      </c>
      <c r="K704" s="8" t="str">
        <f>IF(L704="","",VLOOKUP(L704,引用表合并!$A:$B,2,FALSE))</f>
        <v>法拉捷碎片</v>
      </c>
      <c r="L704" s="76">
        <v>93280</v>
      </c>
      <c r="M704" s="35">
        <v>1</v>
      </c>
      <c r="N704" s="34">
        <f t="shared" si="102"/>
        <v>3200</v>
      </c>
      <c r="O704" s="8" t="str">
        <f>IF(P704="","",VLOOKUP(P704,引用表合并!$A:$B,2,FALSE))</f>
        <v>大堆钞票碎片</v>
      </c>
      <c r="P704" s="76">
        <v>93285</v>
      </c>
      <c r="Q704" s="35">
        <v>1</v>
      </c>
      <c r="R704" s="34">
        <f t="shared" si="103"/>
        <v>3200</v>
      </c>
      <c r="S704" s="34" t="str">
        <f>IF(T704="","",VLOOKUP(T704,引用表合并!$A:$B,2,FALSE))</f>
        <v>小堆金块碎片</v>
      </c>
      <c r="T704" s="76">
        <v>93289</v>
      </c>
      <c r="U704" s="35">
        <v>1</v>
      </c>
      <c r="V704" s="34">
        <f t="shared" si="104"/>
        <v>3200</v>
      </c>
      <c r="W704" s="8" t="str">
        <f>IF(X704="","",VLOOKUP(X704,引用表合并!$A:$B,2,FALSE))</f>
        <v>史诗装备升级石</v>
      </c>
      <c r="X704" s="8">
        <v>85400</v>
      </c>
      <c r="Y704" s="8">
        <v>1</v>
      </c>
      <c r="Z704" s="10">
        <f t="shared" si="94"/>
        <v>10000</v>
      </c>
      <c r="AA704" s="8" t="str">
        <f>IF(AB704="","",VLOOKUP(AB704,引用表合并!$A:$B,2,FALSE))</f>
        <v>稀有装备升级石</v>
      </c>
      <c r="AB704" s="8">
        <v>85300</v>
      </c>
      <c r="AC704" s="10">
        <v>1</v>
      </c>
      <c r="AD704" s="10">
        <f t="shared" si="95"/>
        <v>5000</v>
      </c>
      <c r="AE704" s="8" t="str">
        <f>IF(AF704="","",VLOOKUP(AF704,引用表合并!$A:$B,2,FALSE))</f>
        <v>马仔经验甘露</v>
      </c>
      <c r="AF704" s="31">
        <f t="shared" ref="AF704" si="105">IF(CO704=100,91100,IF(CO704=500,91200,91300))</f>
        <v>91300</v>
      </c>
      <c r="AG704" s="8">
        <v>1</v>
      </c>
      <c r="AH704" s="10">
        <v>10000</v>
      </c>
      <c r="AI704" s="8" t="str">
        <f>IF(AJ704="","",VLOOKUP(AJ704,引用表合并!$A:$B,2,FALSE))</f>
        <v/>
      </c>
      <c r="AM704" s="8" t="str">
        <f>IF(AN704="","",VLOOKUP(AN704,引用表合并!$A:$B,2,FALSE))</f>
        <v/>
      </c>
      <c r="AN704" s="8"/>
      <c r="AO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D704" s="8"/>
      <c r="BH704" s="8"/>
      <c r="BL704" s="8"/>
      <c r="FK704" s="8">
        <v>4</v>
      </c>
      <c r="FL704" s="8">
        <v>20</v>
      </c>
    </row>
    <row r="705" spans="1:168" x14ac:dyDescent="0.15">
      <c r="A705" s="8">
        <v>700601</v>
      </c>
      <c r="B705" s="8" t="s">
        <v>195</v>
      </c>
      <c r="C705" s="8">
        <v>0</v>
      </c>
      <c r="D705" s="8">
        <f t="shared" si="82"/>
        <v>5</v>
      </c>
      <c r="E705" s="16">
        <f t="shared" si="97"/>
        <v>5</v>
      </c>
      <c r="F705" s="16">
        <f t="shared" si="100"/>
        <v>5</v>
      </c>
      <c r="G705" s="8" t="str">
        <f>IF(H705="","",VLOOKUP(H705,引用表合并!$A:$B,2,FALSE))</f>
        <v>黄金戒指碎片</v>
      </c>
      <c r="H705" s="75">
        <v>93142</v>
      </c>
      <c r="I705" s="34">
        <v>1</v>
      </c>
      <c r="J705" s="34">
        <f t="shared" si="101"/>
        <v>2250</v>
      </c>
      <c r="K705" s="8" t="str">
        <f>IF(L705="","",VLOOKUP(L705,引用表合并!$A:$B,2,FALSE))</f>
        <v>宝石手环碎片</v>
      </c>
      <c r="L705" s="75">
        <v>93235</v>
      </c>
      <c r="M705" s="34">
        <v>1</v>
      </c>
      <c r="N705" s="34">
        <f t="shared" si="102"/>
        <v>2250</v>
      </c>
      <c r="O705" s="9" t="str">
        <f>IF(P705="","",VLOOKUP(P705,引用表合并!$A:$B,2,FALSE))</f>
        <v>白金手环碎片</v>
      </c>
      <c r="P705" s="74">
        <v>93233</v>
      </c>
      <c r="Q705" s="9">
        <v>1</v>
      </c>
      <c r="R705" s="9">
        <f t="shared" si="103"/>
        <v>2250</v>
      </c>
      <c r="S705" s="8" t="str">
        <f>IF(T705="","",VLOOKUP(T705,引用表合并!$A:$B,2,FALSE))</f>
        <v>诅咒项链</v>
      </c>
      <c r="T705" s="73">
        <v>92243</v>
      </c>
      <c r="U705" s="12">
        <v>1</v>
      </c>
      <c r="V705" s="12">
        <f t="shared" si="104"/>
        <v>2250</v>
      </c>
      <c r="W705" s="8" t="str">
        <f>IF(X705="","",VLOOKUP(X705,引用表合并!$A:$B,2,FALSE))</f>
        <v>高级装备升级石</v>
      </c>
      <c r="X705" s="8">
        <v>85200</v>
      </c>
      <c r="Y705" s="8">
        <v>1</v>
      </c>
      <c r="Z705" s="10">
        <f t="shared" si="94"/>
        <v>3000</v>
      </c>
      <c r="AA705" s="8" t="str">
        <f>IF(AB705="","",VLOOKUP(AB705,引用表合并!$A:$B,2,FALSE))</f>
        <v/>
      </c>
      <c r="AB705" s="8"/>
      <c r="AC705" s="8"/>
      <c r="AD705" s="10">
        <f t="shared" si="95"/>
        <v>0</v>
      </c>
      <c r="AE705" s="8" t="str">
        <f>IF(AF705="","",VLOOKUP(AF705,引用表合并!$A:$B,2,FALSE))</f>
        <v/>
      </c>
      <c r="AF705" s="8"/>
      <c r="AG705" s="8"/>
      <c r="AI705" s="8" t="str">
        <f>IF(AJ705="","",VLOOKUP(AJ705,引用表合并!$A:$B,2,FALSE))</f>
        <v/>
      </c>
      <c r="AJ705" s="8"/>
      <c r="AK705" s="8"/>
      <c r="AM705" s="8" t="str">
        <f>IF(AN705="","",VLOOKUP(AN705,引用表合并!$A:$B,2,FALSE))</f>
        <v/>
      </c>
      <c r="AN705" s="8"/>
      <c r="AO705" s="8"/>
      <c r="AQ705" s="8"/>
      <c r="AR705" s="8"/>
      <c r="AS705" s="8"/>
      <c r="AU705" s="8" t="str">
        <f>IF(AV705="","",VLOOKUP(AV705,引用表合并!$A:$B,2,FALSE))</f>
        <v/>
      </c>
      <c r="AV705" s="8"/>
      <c r="AW705" s="8"/>
      <c r="AY705" s="8" t="str">
        <f>IF(AZ705="","",VLOOKUP(AZ705,引用表合并!$A:$B,2,FALSE))</f>
        <v/>
      </c>
      <c r="AZ705" s="8"/>
      <c r="BA705" s="8"/>
      <c r="BC705" s="8" t="str">
        <f>IF(BD705="","",VLOOKUP(BD705,引用表合并!$A:$B,2,FALSE))</f>
        <v/>
      </c>
      <c r="BD705" s="8"/>
      <c r="BF705" s="10"/>
      <c r="BG705" s="8" t="str">
        <f>IF(BH705="","",VLOOKUP(BH705,引用表合并!$A:$B,2,FALSE))</f>
        <v/>
      </c>
      <c r="BH705" s="8"/>
      <c r="BJ705" s="10"/>
      <c r="BK705" s="8" t="str">
        <f>IF(BL705="","",VLOOKUP(BL705,引用表合并!$A:$B,2,FALSE))</f>
        <v/>
      </c>
      <c r="BL705" s="8"/>
      <c r="BN705" s="10"/>
      <c r="FK705" s="8">
        <v>5</v>
      </c>
      <c r="FL705" s="8">
        <v>0</v>
      </c>
    </row>
    <row r="706" spans="1:168" x14ac:dyDescent="0.15">
      <c r="A706" s="8">
        <v>700602</v>
      </c>
      <c r="B706" s="8" t="s">
        <v>196</v>
      </c>
      <c r="C706" s="8">
        <v>0</v>
      </c>
      <c r="D706" s="8">
        <f t="shared" si="82"/>
        <v>5</v>
      </c>
      <c r="E706" s="16">
        <f t="shared" si="97"/>
        <v>5</v>
      </c>
      <c r="F706" s="16">
        <f t="shared" si="100"/>
        <v>5</v>
      </c>
      <c r="G706" s="8" t="str">
        <f>IF(H706="","",VLOOKUP(H706,引用表合并!$A:$B,2,FALSE))</f>
        <v>宝石手环碎片</v>
      </c>
      <c r="H706" s="75">
        <v>93235</v>
      </c>
      <c r="I706" s="34">
        <v>1</v>
      </c>
      <c r="J706" s="34">
        <f t="shared" si="101"/>
        <v>2250</v>
      </c>
      <c r="K706" s="8" t="str">
        <f>IF(L706="","",VLOOKUP(L706,引用表合并!$A:$B,2,FALSE))</f>
        <v>摩拉碎片</v>
      </c>
      <c r="L706" s="75">
        <v>93012</v>
      </c>
      <c r="M706" s="34">
        <v>1</v>
      </c>
      <c r="N706" s="34">
        <f t="shared" si="102"/>
        <v>2250</v>
      </c>
      <c r="O706" s="9" t="str">
        <f>IF(P706="","",VLOOKUP(P706,引用表合并!$A:$B,2,FALSE))</f>
        <v>银饰耳钉碎片</v>
      </c>
      <c r="P706" s="74">
        <v>93122</v>
      </c>
      <c r="Q706" s="9">
        <v>1</v>
      </c>
      <c r="R706" s="9">
        <f t="shared" si="103"/>
        <v>2250</v>
      </c>
      <c r="S706" s="8" t="str">
        <f>IF(T706="","",VLOOKUP(T706,引用表合并!$A:$B,2,FALSE))</f>
        <v>金饰项链</v>
      </c>
      <c r="T706" s="73">
        <v>92244</v>
      </c>
      <c r="U706" s="12">
        <v>1</v>
      </c>
      <c r="V706" s="12">
        <f t="shared" si="104"/>
        <v>2250</v>
      </c>
      <c r="W706" s="8" t="str">
        <f>IF(X706="","",VLOOKUP(X706,引用表合并!$A:$B,2,FALSE))</f>
        <v>高级装备升级石</v>
      </c>
      <c r="X706" s="8">
        <v>85200</v>
      </c>
      <c r="Y706" s="8">
        <v>1</v>
      </c>
      <c r="Z706" s="10">
        <f t="shared" si="94"/>
        <v>3100</v>
      </c>
      <c r="AA706" s="8" t="str">
        <f>IF(AB706="","",VLOOKUP(AB706,引用表合并!$A:$B,2,FALSE))</f>
        <v/>
      </c>
      <c r="AB706" s="8"/>
      <c r="AC706" s="8"/>
      <c r="AD706" s="10">
        <f t="shared" si="95"/>
        <v>0</v>
      </c>
      <c r="AE706" s="8" t="str">
        <f>IF(AF706="","",VLOOKUP(AF706,引用表合并!$A:$B,2,FALSE))</f>
        <v/>
      </c>
      <c r="AF706" s="8"/>
      <c r="AG706" s="8"/>
      <c r="AI706" s="8" t="str">
        <f>IF(AJ706="","",VLOOKUP(AJ706,引用表合并!$A:$B,2,FALSE))</f>
        <v/>
      </c>
      <c r="AJ706" s="8"/>
      <c r="AK706" s="8"/>
      <c r="AM706" s="8" t="str">
        <f>IF(AN706="","",VLOOKUP(AN706,引用表合并!$A:$B,2,FALSE))</f>
        <v/>
      </c>
      <c r="AN706" s="8"/>
      <c r="AO706" s="8"/>
      <c r="AQ706" s="8"/>
      <c r="AR706" s="8"/>
      <c r="AS706" s="8"/>
      <c r="AU706" s="8" t="str">
        <f>IF(AV706="","",VLOOKUP(AV706,引用表合并!$A:$B,2,FALSE))</f>
        <v/>
      </c>
      <c r="AV706" s="8"/>
      <c r="AW706" s="8"/>
      <c r="AY706" s="8" t="str">
        <f>IF(AZ706="","",VLOOKUP(AZ706,引用表合并!$A:$B,2,FALSE))</f>
        <v/>
      </c>
      <c r="AZ706" s="8"/>
      <c r="BA706" s="8"/>
      <c r="BC706" s="8" t="str">
        <f>IF(BD706="","",VLOOKUP(BD706,引用表合并!$A:$B,2,FALSE))</f>
        <v/>
      </c>
      <c r="BD706" s="8"/>
      <c r="BF706" s="10"/>
      <c r="BG706" s="8" t="str">
        <f>IF(BH706="","",VLOOKUP(BH706,引用表合并!$A:$B,2,FALSE))</f>
        <v/>
      </c>
      <c r="BH706" s="8"/>
      <c r="BJ706" s="10"/>
      <c r="BK706" s="8" t="str">
        <f>IF(BL706="","",VLOOKUP(BL706,引用表合并!$A:$B,2,FALSE))</f>
        <v/>
      </c>
      <c r="BL706" s="8"/>
      <c r="BN706" s="10"/>
      <c r="FK706" s="8">
        <v>5</v>
      </c>
      <c r="FL706" s="8">
        <v>0</v>
      </c>
    </row>
    <row r="707" spans="1:168" x14ac:dyDescent="0.15">
      <c r="A707" s="8">
        <v>700603</v>
      </c>
      <c r="B707" s="8" t="s">
        <v>197</v>
      </c>
      <c r="C707" s="8">
        <v>0</v>
      </c>
      <c r="D707" s="8">
        <f t="shared" si="82"/>
        <v>5</v>
      </c>
      <c r="E707" s="16">
        <f t="shared" si="97"/>
        <v>5</v>
      </c>
      <c r="F707" s="16">
        <f t="shared" si="100"/>
        <v>5</v>
      </c>
      <c r="G707" s="8" t="str">
        <f>IF(H707="","",VLOOKUP(H707,引用表合并!$A:$B,2,FALSE))</f>
        <v>摩拉碎片</v>
      </c>
      <c r="H707" s="75">
        <v>93012</v>
      </c>
      <c r="I707" s="34">
        <v>1</v>
      </c>
      <c r="J707" s="34">
        <f t="shared" si="101"/>
        <v>2750</v>
      </c>
      <c r="K707" s="8" t="str">
        <f>IF(L707="","",VLOOKUP(L707,引用表合并!$A:$B,2,FALSE))</f>
        <v>青玉项链碎片</v>
      </c>
      <c r="L707" s="75">
        <v>93252</v>
      </c>
      <c r="M707" s="34">
        <v>1</v>
      </c>
      <c r="N707" s="34">
        <f t="shared" si="102"/>
        <v>2750</v>
      </c>
      <c r="O707" s="9" t="str">
        <f>IF(P707="","",VLOOKUP(P707,引用表合并!$A:$B,2,FALSE))</f>
        <v>白银戒指碎片</v>
      </c>
      <c r="P707" s="74">
        <v>93141</v>
      </c>
      <c r="Q707" s="9">
        <v>1</v>
      </c>
      <c r="R707" s="9">
        <f t="shared" si="103"/>
        <v>2750</v>
      </c>
      <c r="S707" s="8" t="str">
        <f>IF(T707="","",VLOOKUP(T707,引用表合并!$A:$B,2,FALSE))</f>
        <v>银针手表</v>
      </c>
      <c r="T707" s="73">
        <v>92263</v>
      </c>
      <c r="U707" s="12">
        <v>1</v>
      </c>
      <c r="V707" s="12">
        <f t="shared" si="104"/>
        <v>2750</v>
      </c>
      <c r="W707" s="8" t="str">
        <f>IF(X707="","",VLOOKUP(X707,引用表合并!$A:$B,2,FALSE))</f>
        <v>高级装备升级石</v>
      </c>
      <c r="X707" s="8">
        <v>85200</v>
      </c>
      <c r="Y707" s="8">
        <v>1</v>
      </c>
      <c r="Z707" s="10">
        <f t="shared" si="94"/>
        <v>5500</v>
      </c>
      <c r="AA707" s="8" t="str">
        <f>IF(AB707="","",VLOOKUP(AB707,引用表合并!$A:$B,2,FALSE))</f>
        <v/>
      </c>
      <c r="AB707" s="8"/>
      <c r="AC707" s="8"/>
      <c r="AD707" s="10">
        <f t="shared" si="95"/>
        <v>0</v>
      </c>
      <c r="AE707" s="8" t="str">
        <f>IF(AF707="","",VLOOKUP(AF707,引用表合并!$A:$B,2,FALSE))</f>
        <v/>
      </c>
      <c r="AF707" s="8"/>
      <c r="AG707" s="8"/>
      <c r="AI707" s="8" t="str">
        <f>IF(AJ707="","",VLOOKUP(AJ707,引用表合并!$A:$B,2,FALSE))</f>
        <v/>
      </c>
      <c r="AJ707" s="8"/>
      <c r="AK707" s="8"/>
      <c r="AM707" s="8" t="str">
        <f>IF(AN707="","",VLOOKUP(AN707,引用表合并!$A:$B,2,FALSE))</f>
        <v/>
      </c>
      <c r="AN707" s="8"/>
      <c r="AO707" s="8"/>
      <c r="AQ707" s="8" t="str">
        <f>IF(AR707="","",VLOOKUP(AR707,引用表合并!$A:$B,2,FALSE))</f>
        <v/>
      </c>
      <c r="AR707" s="8"/>
      <c r="AS707" s="8"/>
      <c r="AU707" s="8" t="str">
        <f>IF(AV707="","",VLOOKUP(AV707,引用表合并!$A:$B,2,FALSE))</f>
        <v/>
      </c>
      <c r="AV707" s="8"/>
      <c r="AW707" s="8"/>
      <c r="AY707" s="8" t="str">
        <f>IF(AZ707="","",VLOOKUP(AZ707,引用表合并!$A:$B,2,FALSE))</f>
        <v/>
      </c>
      <c r="AZ707" s="8"/>
      <c r="BA707" s="8"/>
      <c r="BC707" s="8" t="str">
        <f>IF(BD707="","",VLOOKUP(BD707,引用表合并!$A:$B,2,FALSE))</f>
        <v/>
      </c>
      <c r="BD707" s="8"/>
      <c r="BF707" s="10"/>
      <c r="BG707" s="8" t="str">
        <f>IF(BH707="","",VLOOKUP(BH707,引用表合并!$A:$B,2,FALSE))</f>
        <v/>
      </c>
      <c r="BH707" s="8"/>
      <c r="BJ707" s="10"/>
      <c r="BK707" s="8" t="str">
        <f>IF(BL707="","",VLOOKUP(BL707,引用表合并!$A:$B,2,FALSE))</f>
        <v/>
      </c>
      <c r="BL707" s="8"/>
      <c r="BN707" s="10"/>
      <c r="FK707" s="8">
        <v>5</v>
      </c>
      <c r="FL707" s="8">
        <v>10</v>
      </c>
    </row>
    <row r="708" spans="1:168" x14ac:dyDescent="0.15">
      <c r="A708" s="8">
        <v>700604</v>
      </c>
      <c r="B708" s="8" t="s">
        <v>198</v>
      </c>
      <c r="C708" s="8">
        <v>0</v>
      </c>
      <c r="D708" s="8">
        <f t="shared" si="82"/>
        <v>5</v>
      </c>
      <c r="E708" s="16">
        <f t="shared" si="97"/>
        <v>5</v>
      </c>
      <c r="F708" s="16">
        <f t="shared" si="100"/>
        <v>5</v>
      </c>
      <c r="G708" s="8" t="str">
        <f>IF(H708="","",VLOOKUP(H708,引用表合并!$A:$B,2,FALSE))</f>
        <v>青玉项链碎片</v>
      </c>
      <c r="H708" s="75">
        <v>93252</v>
      </c>
      <c r="I708" s="34">
        <v>1</v>
      </c>
      <c r="J708" s="34">
        <f t="shared" si="101"/>
        <v>2250</v>
      </c>
      <c r="K708" s="8" t="str">
        <f>IF(L708="","",VLOOKUP(L708,引用表合并!$A:$B,2,FALSE))</f>
        <v>水晶耳钉碎片</v>
      </c>
      <c r="L708" s="75">
        <v>93124</v>
      </c>
      <c r="M708" s="34">
        <v>1</v>
      </c>
      <c r="N708" s="34">
        <f t="shared" si="102"/>
        <v>2250</v>
      </c>
      <c r="O708" s="9" t="str">
        <f>IF(P708="","",VLOOKUP(P708,引用表合并!$A:$B,2,FALSE))</f>
        <v>水晶项链碎片</v>
      </c>
      <c r="P708" s="74">
        <v>93245</v>
      </c>
      <c r="Q708" s="9">
        <v>1</v>
      </c>
      <c r="R708" s="9">
        <f t="shared" si="103"/>
        <v>2250</v>
      </c>
      <c r="S708" s="8" t="str">
        <f>IF(T708="","",VLOOKUP(T708,引用表合并!$A:$B,2,FALSE))</f>
        <v>冬利</v>
      </c>
      <c r="T708" s="73">
        <v>92277</v>
      </c>
      <c r="U708" s="12">
        <v>1</v>
      </c>
      <c r="V708" s="12">
        <f t="shared" si="104"/>
        <v>2250</v>
      </c>
      <c r="W708" s="8" t="str">
        <f>IF(X708="","",VLOOKUP(X708,引用表合并!$A:$B,2,FALSE))</f>
        <v>高级装备升级石</v>
      </c>
      <c r="X708" s="8">
        <v>85200</v>
      </c>
      <c r="Y708" s="8">
        <v>1</v>
      </c>
      <c r="Z708" s="10">
        <f t="shared" si="94"/>
        <v>3200</v>
      </c>
      <c r="AA708" s="8" t="str">
        <f>IF(AB708="","",VLOOKUP(AB708,引用表合并!$A:$B,2,FALSE))</f>
        <v/>
      </c>
      <c r="AB708" s="8"/>
      <c r="AC708" s="8"/>
      <c r="AD708" s="10">
        <f t="shared" si="95"/>
        <v>0</v>
      </c>
      <c r="AE708" s="8" t="str">
        <f>IF(AF708="","",VLOOKUP(AF708,引用表合并!$A:$B,2,FALSE))</f>
        <v/>
      </c>
      <c r="AF708" s="8"/>
      <c r="AG708" s="8"/>
      <c r="AI708" s="8" t="str">
        <f>IF(AJ708="","",VLOOKUP(AJ708,引用表合并!$A:$B,2,FALSE))</f>
        <v/>
      </c>
      <c r="AJ708" s="8"/>
      <c r="AK708" s="8"/>
      <c r="AM708" s="8" t="str">
        <f>IF(AN708="","",VLOOKUP(AN708,引用表合并!$A:$B,2,FALSE))</f>
        <v/>
      </c>
      <c r="AN708" s="8"/>
      <c r="AO708" s="8"/>
      <c r="AQ708" s="8" t="str">
        <f>IF(AR708="","",VLOOKUP(AR708,引用表合并!$A:$B,2,FALSE))</f>
        <v/>
      </c>
      <c r="AR708" s="8"/>
      <c r="AS708" s="8"/>
      <c r="AU708" s="8" t="str">
        <f>IF(AV708="","",VLOOKUP(AV708,引用表合并!$A:$B,2,FALSE))</f>
        <v/>
      </c>
      <c r="AV708" s="8"/>
      <c r="AW708" s="8"/>
      <c r="AY708" s="8" t="str">
        <f>IF(AZ708="","",VLOOKUP(AZ708,引用表合并!$A:$B,2,FALSE))</f>
        <v/>
      </c>
      <c r="AZ708" s="8"/>
      <c r="BA708" s="8"/>
      <c r="BC708" s="8" t="str">
        <f>IF(BD708="","",VLOOKUP(BD708,引用表合并!$A:$B,2,FALSE))</f>
        <v/>
      </c>
      <c r="BD708" s="8"/>
      <c r="BF708" s="10"/>
      <c r="BG708" s="8" t="str">
        <f>IF(BH708="","",VLOOKUP(BH708,引用表合并!$A:$B,2,FALSE))</f>
        <v/>
      </c>
      <c r="BH708" s="8"/>
      <c r="BJ708" s="10"/>
      <c r="BK708" s="8" t="str">
        <f>IF(BL708="","",VLOOKUP(BL708,引用表合并!$A:$B,2,FALSE))</f>
        <v/>
      </c>
      <c r="BL708" s="8"/>
      <c r="BN708" s="10"/>
      <c r="FK708" s="8">
        <v>5</v>
      </c>
      <c r="FL708" s="8">
        <v>0</v>
      </c>
    </row>
    <row r="709" spans="1:168" x14ac:dyDescent="0.15">
      <c r="A709" s="8">
        <v>700605</v>
      </c>
      <c r="B709" s="8" t="s">
        <v>199</v>
      </c>
      <c r="C709" s="8">
        <v>0</v>
      </c>
      <c r="D709" s="8">
        <f t="shared" si="82"/>
        <v>5</v>
      </c>
      <c r="E709" s="16">
        <f t="shared" si="97"/>
        <v>5</v>
      </c>
      <c r="F709" s="16">
        <f t="shared" si="100"/>
        <v>5</v>
      </c>
      <c r="G709" s="8" t="str">
        <f>IF(H709="","",VLOOKUP(H709,引用表合并!$A:$B,2,FALSE))</f>
        <v>水晶耳钉碎片</v>
      </c>
      <c r="H709" s="75">
        <v>93124</v>
      </c>
      <c r="I709" s="34">
        <v>1</v>
      </c>
      <c r="J709" s="34">
        <f t="shared" si="101"/>
        <v>2250</v>
      </c>
      <c r="K709" s="8" t="str">
        <f>IF(L709="","",VLOOKUP(L709,引用表合并!$A:$B,2,FALSE))</f>
        <v>金针手表碎片</v>
      </c>
      <c r="L709" s="75">
        <v>93272</v>
      </c>
      <c r="M709" s="34">
        <v>1</v>
      </c>
      <c r="N709" s="34">
        <f t="shared" si="102"/>
        <v>2250</v>
      </c>
      <c r="O709" s="34" t="str">
        <f>IF(P709="","",VLOOKUP(P709,引用表合并!$A:$B,2,FALSE))</f>
        <v>红石项链碎片</v>
      </c>
      <c r="P709" s="74">
        <v>93251</v>
      </c>
      <c r="Q709" s="34">
        <v>1</v>
      </c>
      <c r="R709" s="34">
        <f t="shared" si="103"/>
        <v>2250</v>
      </c>
      <c r="S709" s="34" t="str">
        <f>IF(T709="","",VLOOKUP(T709,引用表合并!$A:$B,2,FALSE))</f>
        <v>黄金戒指</v>
      </c>
      <c r="T709" s="40">
        <v>92142</v>
      </c>
      <c r="U709" s="34">
        <v>1</v>
      </c>
      <c r="V709" s="34">
        <f t="shared" si="104"/>
        <v>2250</v>
      </c>
      <c r="W709" s="8" t="str">
        <f>IF(X709="","",VLOOKUP(X709,引用表合并!$A:$B,2,FALSE))</f>
        <v>高级装备升级石</v>
      </c>
      <c r="X709" s="8">
        <v>85200</v>
      </c>
      <c r="Y709" s="8">
        <v>1</v>
      </c>
      <c r="Z709" s="10">
        <f t="shared" si="94"/>
        <v>3300</v>
      </c>
      <c r="AA709" s="8" t="str">
        <f>IF(AB709="","",VLOOKUP(AB709,引用表合并!$A:$B,2,FALSE))</f>
        <v/>
      </c>
      <c r="AB709" s="8"/>
      <c r="AC709" s="8"/>
      <c r="AD709" s="10">
        <f t="shared" si="95"/>
        <v>0</v>
      </c>
      <c r="AE709" s="8" t="str">
        <f>IF(AF709="","",VLOOKUP(AF709,引用表合并!$A:$B,2,FALSE))</f>
        <v/>
      </c>
      <c r="AF709" s="8"/>
      <c r="AG709" s="8"/>
      <c r="AI709" s="8" t="str">
        <f>IF(AJ709="","",VLOOKUP(AJ709,引用表合并!$A:$B,2,FALSE))</f>
        <v/>
      </c>
      <c r="AJ709" s="8"/>
      <c r="AK709" s="8"/>
      <c r="AM709" s="8" t="str">
        <f>IF(AN709="","",VLOOKUP(AN709,引用表合并!$A:$B,2,FALSE))</f>
        <v/>
      </c>
      <c r="AN709" s="8"/>
      <c r="AO709" s="8"/>
      <c r="AQ709" s="8" t="str">
        <f>IF(AR709="","",VLOOKUP(AR709,引用表合并!$A:$B,2,FALSE))</f>
        <v/>
      </c>
      <c r="AR709" s="8"/>
      <c r="AS709" s="8"/>
      <c r="AU709" s="8" t="str">
        <f>IF(AV709="","",VLOOKUP(AV709,引用表合并!$A:$B,2,FALSE))</f>
        <v/>
      </c>
      <c r="AV709" s="8"/>
      <c r="AW709" s="8"/>
      <c r="AY709" s="8" t="str">
        <f>IF(AZ709="","",VLOOKUP(AZ709,引用表合并!$A:$B,2,FALSE))</f>
        <v/>
      </c>
      <c r="AZ709" s="8"/>
      <c r="BA709" s="8"/>
      <c r="BC709" s="8" t="str">
        <f>IF(BD709="","",VLOOKUP(BD709,引用表合并!$A:$B,2,FALSE))</f>
        <v/>
      </c>
      <c r="BD709" s="8"/>
      <c r="BF709" s="10"/>
      <c r="BG709" s="8" t="str">
        <f>IF(BH709="","",VLOOKUP(BH709,引用表合并!$A:$B,2,FALSE))</f>
        <v/>
      </c>
      <c r="BH709" s="8"/>
      <c r="BJ709" s="10"/>
      <c r="BK709" s="8" t="str">
        <f>IF(BL709="","",VLOOKUP(BL709,引用表合并!$A:$B,2,FALSE))</f>
        <v/>
      </c>
      <c r="BL709" s="8"/>
      <c r="BN709" s="10"/>
      <c r="FK709" s="8">
        <v>5</v>
      </c>
      <c r="FL709" s="8">
        <v>0</v>
      </c>
    </row>
    <row r="710" spans="1:168" x14ac:dyDescent="0.15">
      <c r="A710" s="8">
        <v>700606</v>
      </c>
      <c r="B710" s="8" t="s">
        <v>200</v>
      </c>
      <c r="C710" s="8">
        <v>0</v>
      </c>
      <c r="D710" s="8">
        <f t="shared" si="82"/>
        <v>6</v>
      </c>
      <c r="E710" s="16">
        <f t="shared" si="97"/>
        <v>6</v>
      </c>
      <c r="F710" s="16">
        <f t="shared" si="100"/>
        <v>6</v>
      </c>
      <c r="G710" s="8" t="str">
        <f>IF(H710="","",VLOOKUP(H710,引用表合并!$A:$B,2,FALSE))</f>
        <v>金针手表碎片</v>
      </c>
      <c r="H710" s="75">
        <v>93272</v>
      </c>
      <c r="I710" s="34">
        <v>1</v>
      </c>
      <c r="J710" s="34">
        <f t="shared" si="101"/>
        <v>2850</v>
      </c>
      <c r="K710" s="8" t="str">
        <f>IF(L710="","",VLOOKUP(L710,引用表合并!$A:$B,2,FALSE))</f>
        <v>智能手表碎片</v>
      </c>
      <c r="L710" s="75">
        <v>93273</v>
      </c>
      <c r="M710" s="34">
        <v>1</v>
      </c>
      <c r="N710" s="34">
        <f t="shared" si="102"/>
        <v>2850</v>
      </c>
      <c r="O710" s="8" t="str">
        <f>IF(P710="","",VLOOKUP(P710,引用表合并!$A:$B,2,FALSE))</f>
        <v>宝石手环碎片</v>
      </c>
      <c r="P710" s="75">
        <v>93235</v>
      </c>
      <c r="Q710" s="34">
        <v>1</v>
      </c>
      <c r="R710" s="34">
        <f t="shared" si="103"/>
        <v>2850</v>
      </c>
      <c r="S710" s="9" t="str">
        <f>IF(T710="","",VLOOKUP(T710,引用表合并!$A:$B,2,FALSE))</f>
        <v>越野手表碎片</v>
      </c>
      <c r="T710" s="74">
        <v>93264</v>
      </c>
      <c r="U710" s="9">
        <v>1</v>
      </c>
      <c r="V710" s="9">
        <f t="shared" si="104"/>
        <v>2850</v>
      </c>
      <c r="W710" s="8" t="str">
        <f>IF(X710="","",VLOOKUP(X710,引用表合并!$A:$B,2,FALSE))</f>
        <v>稀有装备升级石</v>
      </c>
      <c r="X710" s="8">
        <v>85300</v>
      </c>
      <c r="Y710" s="10">
        <v>1</v>
      </c>
      <c r="Z710" s="10">
        <f t="shared" ref="Z710:Z773" si="106">MIN(Z695+100,10000)</f>
        <v>2500</v>
      </c>
      <c r="AA710" s="8" t="str">
        <f>IF(AB710="","",VLOOKUP(AB710,引用表合并!$A:$B,2,FALSE))</f>
        <v>高级装备升级石</v>
      </c>
      <c r="AB710" s="8">
        <v>85200</v>
      </c>
      <c r="AC710" s="8">
        <v>1</v>
      </c>
      <c r="AD710" s="10">
        <f t="shared" si="95"/>
        <v>10000</v>
      </c>
      <c r="AE710" s="8" t="str">
        <f>IF(AF710="","",VLOOKUP(AF710,引用表合并!$A:$B,2,FALSE))</f>
        <v/>
      </c>
      <c r="AF710" s="8"/>
      <c r="AI710" s="8"/>
      <c r="AJ710" s="8"/>
      <c r="AK710" s="8"/>
      <c r="AM710" s="8" t="str">
        <f>IF(AN710="","",VLOOKUP(AN710,引用表合并!$A:$B,2,FALSE))</f>
        <v/>
      </c>
      <c r="AN710" s="8"/>
      <c r="AO710" s="8"/>
      <c r="AQ710" s="8" t="str">
        <f>IF(AR710="","",VLOOKUP(AR710,引用表合并!$A:$B,2,FALSE))</f>
        <v/>
      </c>
      <c r="AR710" s="8"/>
      <c r="AS710" s="8"/>
      <c r="AU710" s="8" t="str">
        <f>IF(AV710="","",VLOOKUP(AV710,引用表合并!$A:$B,2,FALSE))</f>
        <v/>
      </c>
      <c r="AV710" s="8"/>
      <c r="AW710" s="8"/>
      <c r="AY710" s="8" t="str">
        <f>IF(AZ710="","",VLOOKUP(AZ710,引用表合并!$A:$B,2,FALSE))</f>
        <v/>
      </c>
      <c r="AZ710" s="8"/>
      <c r="BA710" s="8"/>
      <c r="BC710" s="8" t="str">
        <f>IF(BD710="","",VLOOKUP(BD710,引用表合并!$A:$B,2,FALSE))</f>
        <v/>
      </c>
      <c r="BD710" s="8"/>
      <c r="BF710" s="10"/>
      <c r="BG710" s="8" t="str">
        <f>IF(BH710="","",VLOOKUP(BH710,引用表合并!$A:$B,2,FALSE))</f>
        <v/>
      </c>
      <c r="BH710" s="8"/>
      <c r="BJ710" s="10"/>
      <c r="BK710" s="8" t="str">
        <f>IF(BL710="","",VLOOKUP(BL710,引用表合并!$A:$B,2,FALSE))</f>
        <v/>
      </c>
      <c r="BL710" s="8"/>
      <c r="BN710" s="10"/>
      <c r="FK710" s="8">
        <v>5</v>
      </c>
      <c r="FL710" s="8">
        <v>12</v>
      </c>
    </row>
    <row r="711" spans="1:168" x14ac:dyDescent="0.15">
      <c r="A711" s="8">
        <v>700607</v>
      </c>
      <c r="B711" s="8" t="s">
        <v>201</v>
      </c>
      <c r="C711" s="8">
        <v>0</v>
      </c>
      <c r="D711" s="8">
        <f t="shared" si="82"/>
        <v>6</v>
      </c>
      <c r="E711" s="16">
        <f t="shared" si="97"/>
        <v>6</v>
      </c>
      <c r="F711" s="16">
        <f t="shared" si="100"/>
        <v>6</v>
      </c>
      <c r="G711" s="8" t="str">
        <f>IF(H711="","",VLOOKUP(H711,引用表合并!$A:$B,2,FALSE))</f>
        <v>智能手表碎片</v>
      </c>
      <c r="H711" s="75">
        <v>93273</v>
      </c>
      <c r="I711" s="34">
        <v>1</v>
      </c>
      <c r="J711" s="34">
        <f t="shared" si="101"/>
        <v>2250</v>
      </c>
      <c r="K711" s="8" t="str">
        <f>IF(L711="","",VLOOKUP(L711,引用表合并!$A:$B,2,FALSE))</f>
        <v>宾倪碎片</v>
      </c>
      <c r="L711" s="75">
        <v>93279</v>
      </c>
      <c r="M711" s="34">
        <v>1</v>
      </c>
      <c r="N711" s="34">
        <f t="shared" si="102"/>
        <v>2250</v>
      </c>
      <c r="O711" s="8" t="str">
        <f>IF(P711="","",VLOOKUP(P711,引用表合并!$A:$B,2,FALSE))</f>
        <v>摩拉碎片</v>
      </c>
      <c r="P711" s="75">
        <v>93012</v>
      </c>
      <c r="Q711" s="34">
        <v>1</v>
      </c>
      <c r="R711" s="34">
        <f t="shared" si="103"/>
        <v>2250</v>
      </c>
      <c r="S711" s="9" t="str">
        <f>IF(T711="","",VLOOKUP(T711,引用表合并!$A:$B,2,FALSE))</f>
        <v>精准手表碎片</v>
      </c>
      <c r="T711" s="74">
        <v>93271</v>
      </c>
      <c r="U711" s="9">
        <v>1</v>
      </c>
      <c r="V711" s="9">
        <f t="shared" si="104"/>
        <v>2250</v>
      </c>
      <c r="W711" s="8" t="str">
        <f>IF(X711="","",VLOOKUP(X711,引用表合并!$A:$B,2,FALSE))</f>
        <v>稀有装备升级石</v>
      </c>
      <c r="X711" s="8">
        <v>85300</v>
      </c>
      <c r="Y711" s="10">
        <v>1</v>
      </c>
      <c r="Z711" s="10">
        <f t="shared" si="106"/>
        <v>2700</v>
      </c>
      <c r="AA711" s="8" t="str">
        <f>IF(AB711="","",VLOOKUP(AB711,引用表合并!$A:$B,2,FALSE))</f>
        <v>高级装备升级石</v>
      </c>
      <c r="AB711" s="8">
        <v>85200</v>
      </c>
      <c r="AC711" s="8">
        <v>1</v>
      </c>
      <c r="AD711" s="10">
        <f t="shared" si="95"/>
        <v>3000</v>
      </c>
      <c r="AE711" s="8" t="str">
        <f>IF(AF711="","",VLOOKUP(AF711,引用表合并!$A:$B,2,FALSE))</f>
        <v/>
      </c>
      <c r="AF711" s="8"/>
      <c r="AI711" s="8"/>
      <c r="AJ711" s="8"/>
      <c r="AK711" s="8"/>
      <c r="AM711" s="8" t="str">
        <f>IF(AN711="","",VLOOKUP(AN711,引用表合并!$A:$B,2,FALSE))</f>
        <v/>
      </c>
      <c r="AN711" s="8"/>
      <c r="AO711" s="8"/>
      <c r="AQ711" s="8" t="str">
        <f>IF(AR711="","",VLOOKUP(AR711,引用表合并!$A:$B,2,FALSE))</f>
        <v/>
      </c>
      <c r="AR711" s="8"/>
      <c r="AS711" s="8"/>
      <c r="AU711" s="8" t="str">
        <f>IF(AV711="","",VLOOKUP(AV711,引用表合并!$A:$B,2,FALSE))</f>
        <v/>
      </c>
      <c r="AV711" s="8"/>
      <c r="AW711" s="8"/>
      <c r="AY711" s="8" t="str">
        <f>IF(AZ711="","",VLOOKUP(AZ711,引用表合并!$A:$B,2,FALSE))</f>
        <v/>
      </c>
      <c r="AZ711" s="8"/>
      <c r="BA711" s="8"/>
      <c r="BC711" s="8" t="str">
        <f>IF(BD711="","",VLOOKUP(BD711,引用表合并!$A:$B,2,FALSE))</f>
        <v/>
      </c>
      <c r="BD711" s="8"/>
      <c r="BF711" s="10"/>
      <c r="BG711" s="8" t="str">
        <f>IF(BH711="","",VLOOKUP(BH711,引用表合并!$A:$B,2,FALSE))</f>
        <v/>
      </c>
      <c r="BH711" s="8"/>
      <c r="BJ711" s="10"/>
      <c r="BK711" s="8" t="str">
        <f>IF(BL711="","",VLOOKUP(BL711,引用表合并!$A:$B,2,FALSE))</f>
        <v/>
      </c>
      <c r="BL711" s="8"/>
      <c r="BN711" s="10"/>
      <c r="FK711" s="8">
        <v>5</v>
      </c>
      <c r="FL711" s="8">
        <v>0</v>
      </c>
    </row>
    <row r="712" spans="1:168" x14ac:dyDescent="0.15">
      <c r="A712" s="8">
        <v>700608</v>
      </c>
      <c r="B712" s="8" t="s">
        <v>202</v>
      </c>
      <c r="C712" s="8">
        <v>0</v>
      </c>
      <c r="D712" s="8">
        <f t="shared" si="82"/>
        <v>6</v>
      </c>
      <c r="E712" s="16">
        <f t="shared" si="97"/>
        <v>6</v>
      </c>
      <c r="F712" s="16">
        <f t="shared" si="100"/>
        <v>6</v>
      </c>
      <c r="G712" s="8" t="str">
        <f>IF(H712="","",VLOOKUP(H712,引用表合并!$A:$B,2,FALSE))</f>
        <v>宾倪碎片</v>
      </c>
      <c r="H712" s="75">
        <v>93279</v>
      </c>
      <c r="I712" s="34">
        <v>1</v>
      </c>
      <c r="J712" s="34">
        <f t="shared" si="101"/>
        <v>2250</v>
      </c>
      <c r="K712" s="8" t="str">
        <f>IF(L712="","",VLOOKUP(L712,引用表合并!$A:$B,2,FALSE))</f>
        <v>大迭钞票碎片</v>
      </c>
      <c r="L712" s="75">
        <v>93284</v>
      </c>
      <c r="M712" s="34">
        <v>1</v>
      </c>
      <c r="N712" s="34">
        <f t="shared" si="102"/>
        <v>2250</v>
      </c>
      <c r="O712" s="8" t="str">
        <f>IF(P712="","",VLOOKUP(P712,引用表合并!$A:$B,2,FALSE))</f>
        <v>青玉项链碎片</v>
      </c>
      <c r="P712" s="75">
        <v>93252</v>
      </c>
      <c r="Q712" s="34">
        <v>1</v>
      </c>
      <c r="R712" s="34">
        <f t="shared" si="103"/>
        <v>2250</v>
      </c>
      <c r="S712" s="9" t="str">
        <f>IF(T712="","",VLOOKUP(T712,引用表合并!$A:$B,2,FALSE))</f>
        <v>宝驼碎片</v>
      </c>
      <c r="T712" s="74">
        <v>93278</v>
      </c>
      <c r="U712" s="9">
        <v>1</v>
      </c>
      <c r="V712" s="9">
        <f t="shared" si="104"/>
        <v>2250</v>
      </c>
      <c r="W712" s="8" t="str">
        <f>IF(X712="","",VLOOKUP(X712,引用表合并!$A:$B,2,FALSE))</f>
        <v>稀有装备升级石</v>
      </c>
      <c r="X712" s="8">
        <v>85300</v>
      </c>
      <c r="Y712" s="10">
        <v>1</v>
      </c>
      <c r="Z712" s="10">
        <f t="shared" si="106"/>
        <v>2900</v>
      </c>
      <c r="AA712" s="8" t="str">
        <f>IF(AB712="","",VLOOKUP(AB712,引用表合并!$A:$B,2,FALSE))</f>
        <v>高级装备升级石</v>
      </c>
      <c r="AB712" s="8">
        <v>85200</v>
      </c>
      <c r="AC712" s="8">
        <v>1</v>
      </c>
      <c r="AD712" s="10">
        <f t="shared" si="95"/>
        <v>3200</v>
      </c>
      <c r="AE712" s="8" t="str">
        <f>IF(AF712="","",VLOOKUP(AF712,引用表合并!$A:$B,2,FALSE))</f>
        <v/>
      </c>
      <c r="AF712" s="8"/>
      <c r="AI712" s="8"/>
      <c r="AJ712" s="8"/>
      <c r="AK712" s="8"/>
      <c r="AM712" s="8" t="str">
        <f>IF(AN712="","",VLOOKUP(AN712,引用表合并!$A:$B,2,FALSE))</f>
        <v/>
      </c>
      <c r="AN712" s="8"/>
      <c r="AO712" s="8"/>
      <c r="AQ712" s="8" t="str">
        <f>IF(AR712="","",VLOOKUP(AR712,引用表合并!$A:$B,2,FALSE))</f>
        <v/>
      </c>
      <c r="AR712" s="8"/>
      <c r="AS712" s="8"/>
      <c r="AU712" s="8" t="str">
        <f>IF(AV712="","",VLOOKUP(AV712,引用表合并!$A:$B,2,FALSE))</f>
        <v/>
      </c>
      <c r="AV712" s="8"/>
      <c r="AW712" s="8"/>
      <c r="AY712" s="8" t="str">
        <f>IF(AZ712="","",VLOOKUP(AZ712,引用表合并!$A:$B,2,FALSE))</f>
        <v/>
      </c>
      <c r="AZ712" s="8"/>
      <c r="BA712" s="8"/>
      <c r="BC712" s="8" t="str">
        <f>IF(BD712="","",VLOOKUP(BD712,引用表合并!$A:$B,2,FALSE))</f>
        <v/>
      </c>
      <c r="BD712" s="8"/>
      <c r="BF712" s="10"/>
      <c r="BG712" s="8" t="str">
        <f>IF(BH712="","",VLOOKUP(BH712,引用表合并!$A:$B,2,FALSE))</f>
        <v/>
      </c>
      <c r="BH712" s="8"/>
      <c r="BJ712" s="10"/>
      <c r="BK712" s="8" t="str">
        <f>IF(BL712="","",VLOOKUP(BL712,引用表合并!$A:$B,2,FALSE))</f>
        <v/>
      </c>
      <c r="BL712" s="8"/>
      <c r="BN712" s="10"/>
      <c r="FK712" s="8">
        <v>5</v>
      </c>
      <c r="FL712" s="8">
        <v>0</v>
      </c>
    </row>
    <row r="713" spans="1:168" x14ac:dyDescent="0.15">
      <c r="A713" s="8">
        <v>700609</v>
      </c>
      <c r="B713" s="8" t="s">
        <v>203</v>
      </c>
      <c r="C713" s="8">
        <v>0</v>
      </c>
      <c r="D713" s="8">
        <f t="shared" si="82"/>
        <v>6</v>
      </c>
      <c r="E713" s="16">
        <f t="shared" si="97"/>
        <v>6</v>
      </c>
      <c r="F713" s="16">
        <f t="shared" si="100"/>
        <v>6</v>
      </c>
      <c r="G713" s="8" t="str">
        <f>IF(H713="","",VLOOKUP(H713,引用表合并!$A:$B,2,FALSE))</f>
        <v>大迭钞票碎片</v>
      </c>
      <c r="H713" s="75">
        <v>93284</v>
      </c>
      <c r="I713" s="34">
        <v>1</v>
      </c>
      <c r="J713" s="34">
        <f t="shared" si="101"/>
        <v>2950</v>
      </c>
      <c r="K713" s="8" t="str">
        <f>IF(L713="","",VLOOKUP(L713,引用表合并!$A:$B,2,FALSE))</f>
        <v>大金块碎片</v>
      </c>
      <c r="L713" s="75">
        <v>93288</v>
      </c>
      <c r="M713" s="34">
        <v>1</v>
      </c>
      <c r="N713" s="34">
        <f t="shared" si="102"/>
        <v>2950</v>
      </c>
      <c r="O713" s="8" t="str">
        <f>IF(P713="","",VLOOKUP(P713,引用表合并!$A:$B,2,FALSE))</f>
        <v>水晶耳钉碎片</v>
      </c>
      <c r="P713" s="75">
        <v>93124</v>
      </c>
      <c r="Q713" s="34">
        <v>1</v>
      </c>
      <c r="R713" s="34">
        <f t="shared" si="103"/>
        <v>2950</v>
      </c>
      <c r="S713" s="9" t="str">
        <f>IF(T713="","",VLOOKUP(T713,引用表合并!$A:$B,2,FALSE))</f>
        <v>小迭钞票碎片</v>
      </c>
      <c r="T713" s="74">
        <v>93283</v>
      </c>
      <c r="U713" s="9">
        <v>1</v>
      </c>
      <c r="V713" s="9">
        <f t="shared" si="104"/>
        <v>2950</v>
      </c>
      <c r="W713" s="8" t="str">
        <f>IF(X713="","",VLOOKUP(X713,引用表合并!$A:$B,2,FALSE))</f>
        <v>稀有装备升级石</v>
      </c>
      <c r="X713" s="8">
        <v>85300</v>
      </c>
      <c r="Y713" s="10">
        <v>1</v>
      </c>
      <c r="Z713" s="10">
        <f t="shared" si="106"/>
        <v>10000</v>
      </c>
      <c r="AA713" s="8" t="str">
        <f>IF(AB713="","",VLOOKUP(AB713,引用表合并!$A:$B,2,FALSE))</f>
        <v>高级装备升级石</v>
      </c>
      <c r="AB713" s="8">
        <v>85200</v>
      </c>
      <c r="AC713" s="8">
        <v>1</v>
      </c>
      <c r="AD713" s="10">
        <f t="shared" si="95"/>
        <v>2000</v>
      </c>
      <c r="AE713" s="8" t="str">
        <f>IF(AF713="","",VLOOKUP(AF713,引用表合并!$A:$B,2,FALSE))</f>
        <v/>
      </c>
      <c r="AF713" s="8"/>
      <c r="AI713" s="8"/>
      <c r="AJ713" s="8"/>
      <c r="AK713" s="8"/>
      <c r="AM713" s="8" t="str">
        <f>IF(AN713="","",VLOOKUP(AN713,引用表合并!$A:$B,2,FALSE))</f>
        <v/>
      </c>
      <c r="AN713" s="8"/>
      <c r="AO713" s="8"/>
      <c r="AQ713" s="8" t="str">
        <f>IF(AR713="","",VLOOKUP(AR713,引用表合并!$A:$B,2,FALSE))</f>
        <v/>
      </c>
      <c r="AR713" s="8"/>
      <c r="AS713" s="8"/>
      <c r="AU713" s="8" t="str">
        <f>IF(AV713="","",VLOOKUP(AV713,引用表合并!$A:$B,2,FALSE))</f>
        <v/>
      </c>
      <c r="AV713" s="8"/>
      <c r="AW713" s="8"/>
      <c r="AY713" s="8" t="str">
        <f>IF(AZ713="","",VLOOKUP(AZ713,引用表合并!$A:$B,2,FALSE))</f>
        <v/>
      </c>
      <c r="AZ713" s="8"/>
      <c r="BA713" s="8"/>
      <c r="BC713" s="8" t="str">
        <f>IF(BD713="","",VLOOKUP(BD713,引用表合并!$A:$B,2,FALSE))</f>
        <v/>
      </c>
      <c r="BD713" s="8"/>
      <c r="BF713" s="10"/>
      <c r="BG713" s="8" t="str">
        <f>IF(BH713="","",VLOOKUP(BH713,引用表合并!$A:$B,2,FALSE))</f>
        <v/>
      </c>
      <c r="BH713" s="8"/>
      <c r="BJ713" s="10"/>
      <c r="BK713" s="8" t="str">
        <f>IF(BL713="","",VLOOKUP(BL713,引用表合并!$A:$B,2,FALSE))</f>
        <v/>
      </c>
      <c r="BL713" s="8"/>
      <c r="BN713" s="10"/>
      <c r="FK713" s="8">
        <v>5</v>
      </c>
      <c r="FL713" s="8">
        <v>14</v>
      </c>
    </row>
    <row r="714" spans="1:168" x14ac:dyDescent="0.15">
      <c r="A714" s="8">
        <v>700610</v>
      </c>
      <c r="B714" s="8" t="s">
        <v>204</v>
      </c>
      <c r="C714" s="8">
        <v>0</v>
      </c>
      <c r="D714" s="8">
        <f t="shared" si="82"/>
        <v>6</v>
      </c>
      <c r="E714" s="16">
        <f t="shared" si="97"/>
        <v>6</v>
      </c>
      <c r="F714" s="16">
        <f t="shared" si="100"/>
        <v>6</v>
      </c>
      <c r="G714" s="8" t="str">
        <f>IF(H714="","",VLOOKUP(H714,引用表合并!$A:$B,2,FALSE))</f>
        <v>大金块碎片</v>
      </c>
      <c r="H714" s="75">
        <v>93288</v>
      </c>
      <c r="I714" s="34">
        <v>1</v>
      </c>
      <c r="J714" s="34">
        <f t="shared" si="101"/>
        <v>2650</v>
      </c>
      <c r="K714" s="8" t="str">
        <f>IF(L714="","",VLOOKUP(L714,引用表合并!$A:$B,2,FALSE))</f>
        <v>黄金戒指碎片</v>
      </c>
      <c r="L714" s="75">
        <v>93142</v>
      </c>
      <c r="M714" s="34">
        <v>1</v>
      </c>
      <c r="N714" s="34">
        <f t="shared" si="102"/>
        <v>2650</v>
      </c>
      <c r="O714" s="8" t="str">
        <f>IF(P714="","",VLOOKUP(P714,引用表合并!$A:$B,2,FALSE))</f>
        <v>金针手表碎片</v>
      </c>
      <c r="P714" s="75">
        <v>93272</v>
      </c>
      <c r="Q714" s="34">
        <v>1</v>
      </c>
      <c r="R714" s="34">
        <f t="shared" si="103"/>
        <v>2650</v>
      </c>
      <c r="S714" s="9" t="str">
        <f>IF(T714="","",VLOOKUP(T714,引用表合并!$A:$B,2,FALSE))</f>
        <v>金块碎片</v>
      </c>
      <c r="T714" s="74">
        <v>93287</v>
      </c>
      <c r="U714" s="34">
        <v>1</v>
      </c>
      <c r="V714" s="34">
        <f t="shared" si="104"/>
        <v>2650</v>
      </c>
      <c r="W714" s="8" t="str">
        <f>IF(X714="","",VLOOKUP(X714,引用表合并!$A:$B,2,FALSE))</f>
        <v>稀有装备升级石</v>
      </c>
      <c r="X714" s="8">
        <v>85300</v>
      </c>
      <c r="Y714" s="10">
        <v>1</v>
      </c>
      <c r="Z714" s="10">
        <f t="shared" si="106"/>
        <v>3100</v>
      </c>
      <c r="AA714" s="8" t="str">
        <f>IF(AB714="","",VLOOKUP(AB714,引用表合并!$A:$B,2,FALSE))</f>
        <v>高级装备升级石</v>
      </c>
      <c r="AB714" s="8">
        <v>85200</v>
      </c>
      <c r="AC714" s="8">
        <v>1</v>
      </c>
      <c r="AD714" s="10">
        <f t="shared" si="95"/>
        <v>3400</v>
      </c>
      <c r="AE714" s="8" t="str">
        <f>IF(AF714="","",VLOOKUP(AF714,引用表合并!$A:$B,2,FALSE))</f>
        <v/>
      </c>
      <c r="AF714" s="8"/>
      <c r="AI714" s="8"/>
      <c r="AJ714" s="8"/>
      <c r="AK714" s="8"/>
      <c r="AM714" s="8" t="str">
        <f>IF(AN714="","",VLOOKUP(AN714,引用表合并!$A:$B,2,FALSE))</f>
        <v/>
      </c>
      <c r="AN714" s="8"/>
      <c r="AO714" s="8"/>
      <c r="AQ714" s="8" t="str">
        <f>IF(AR714="","",VLOOKUP(AR714,引用表合并!$A:$B,2,FALSE))</f>
        <v/>
      </c>
      <c r="AR714" s="8"/>
      <c r="AS714" s="8"/>
      <c r="AU714" s="8" t="str">
        <f>IF(AV714="","",VLOOKUP(AV714,引用表合并!$A:$B,2,FALSE))</f>
        <v/>
      </c>
      <c r="AV714" s="8"/>
      <c r="AW714" s="8"/>
      <c r="AY714" s="8" t="str">
        <f>IF(AZ714="","",VLOOKUP(AZ714,引用表合并!$A:$B,2,FALSE))</f>
        <v/>
      </c>
      <c r="AZ714" s="8"/>
      <c r="BA714" s="8"/>
      <c r="BC714" s="8" t="str">
        <f>IF(BD714="","",VLOOKUP(BD714,引用表合并!$A:$B,2,FALSE))</f>
        <v/>
      </c>
      <c r="BD714" s="8"/>
      <c r="BF714" s="10"/>
      <c r="BG714" s="8" t="str">
        <f>IF(BH714="","",VLOOKUP(BH714,引用表合并!$A:$B,2,FALSE))</f>
        <v/>
      </c>
      <c r="BH714" s="8"/>
      <c r="BJ714" s="10"/>
      <c r="BK714" s="8" t="str">
        <f>IF(BL714="","",VLOOKUP(BL714,引用表合并!$A:$B,2,FALSE))</f>
        <v/>
      </c>
      <c r="BL714" s="8"/>
      <c r="BN714" s="10"/>
      <c r="FK714" s="8">
        <v>5</v>
      </c>
      <c r="FL714" s="8">
        <v>8</v>
      </c>
    </row>
    <row r="715" spans="1:168" x14ac:dyDescent="0.15">
      <c r="A715" s="8">
        <v>700611</v>
      </c>
      <c r="B715" s="8" t="s">
        <v>205</v>
      </c>
      <c r="C715" s="8">
        <v>0</v>
      </c>
      <c r="D715" s="8">
        <f t="shared" si="82"/>
        <v>6</v>
      </c>
      <c r="E715" s="16">
        <f t="shared" si="97"/>
        <v>6</v>
      </c>
      <c r="F715" s="16">
        <f t="shared" si="100"/>
        <v>6</v>
      </c>
      <c r="G715" s="8" t="str">
        <f>IF(H715="","",VLOOKUP(H715,引用表合并!$A:$B,2,FALSE))</f>
        <v>红石耳钉碎片</v>
      </c>
      <c r="H715" s="76">
        <v>93125</v>
      </c>
      <c r="I715" s="35">
        <v>1</v>
      </c>
      <c r="J715" s="35">
        <f t="shared" si="101"/>
        <v>2650</v>
      </c>
      <c r="K715" s="35" t="str">
        <f>IF(L715="","",VLOOKUP(L715,引用表合并!$A:$B,2,FALSE))</f>
        <v>月立碎片</v>
      </c>
      <c r="L715" s="76">
        <v>93013</v>
      </c>
      <c r="M715" s="35">
        <v>1</v>
      </c>
      <c r="N715" s="35">
        <f t="shared" si="102"/>
        <v>2650</v>
      </c>
      <c r="O715" s="34" t="str">
        <f>IF(P715="","",VLOOKUP(P715,引用表合并!$A:$B,2,FALSE))</f>
        <v>智能手表碎片</v>
      </c>
      <c r="P715" s="75">
        <v>93273</v>
      </c>
      <c r="Q715" s="34">
        <v>1</v>
      </c>
      <c r="R715" s="34">
        <f t="shared" si="103"/>
        <v>2650</v>
      </c>
      <c r="S715" s="34" t="str">
        <f>IF(T715="","",VLOOKUP(T715,引用表合并!$A:$B,2,FALSE))</f>
        <v>金针手表碎片</v>
      </c>
      <c r="T715" s="75">
        <v>93272</v>
      </c>
      <c r="U715" s="34">
        <v>1</v>
      </c>
      <c r="V715" s="34">
        <f t="shared" si="104"/>
        <v>2650</v>
      </c>
      <c r="W715" s="8" t="str">
        <f>IF(X715="","",VLOOKUP(X715,引用表合并!$A:$B,2,FALSE))</f>
        <v>史诗装备升级石</v>
      </c>
      <c r="X715" s="8">
        <v>85400</v>
      </c>
      <c r="Y715" s="8">
        <v>1</v>
      </c>
      <c r="Z715" s="10">
        <f t="shared" si="106"/>
        <v>3300</v>
      </c>
      <c r="AA715" s="8" t="str">
        <f>IF(AB715="","",VLOOKUP(AB715,引用表合并!$A:$B,2,FALSE))</f>
        <v>高级装备升级石</v>
      </c>
      <c r="AB715" s="8">
        <v>85200</v>
      </c>
      <c r="AC715" s="8">
        <v>1</v>
      </c>
      <c r="AD715" s="10">
        <f t="shared" ref="AD715:AD778" si="107">AD700</f>
        <v>3600</v>
      </c>
      <c r="AE715" s="8" t="str">
        <f>IF(AF715="","",VLOOKUP(AF715,引用表合并!$A:$B,2,FALSE))</f>
        <v/>
      </c>
      <c r="AF715" s="8"/>
      <c r="AI715" s="8" t="str">
        <f>IF(AJ715="","",VLOOKUP(AJ715,引用表合并!$A:$B,2,FALSE))</f>
        <v/>
      </c>
      <c r="AJ715" s="8"/>
      <c r="AK715" s="8"/>
      <c r="AM715" s="8" t="str">
        <f>IF(AN715="","",VLOOKUP(AN715,引用表合并!$A:$B,2,FALSE))</f>
        <v/>
      </c>
      <c r="AN715" s="8"/>
      <c r="AO715" s="8"/>
      <c r="AQ715" s="8" t="str">
        <f>IF(AR715="","",VLOOKUP(AR715,引用表合并!$A:$B,2,FALSE))</f>
        <v/>
      </c>
      <c r="AR715" s="8"/>
      <c r="AS715" s="8"/>
      <c r="AU715" s="8" t="str">
        <f>IF(AV715="","",VLOOKUP(AV715,引用表合并!$A:$B,2,FALSE))</f>
        <v/>
      </c>
      <c r="AV715" s="8"/>
      <c r="AW715" s="8"/>
      <c r="AY715" s="8" t="str">
        <f>IF(AZ715="","",VLOOKUP(AZ715,引用表合并!$A:$B,2,FALSE))</f>
        <v/>
      </c>
      <c r="AZ715" s="8"/>
      <c r="BA715" s="8"/>
      <c r="BC715" s="8" t="str">
        <f>IF(BD715="","",VLOOKUP(BD715,引用表合并!$A:$B,2,FALSE))</f>
        <v/>
      </c>
      <c r="BD715" s="8"/>
      <c r="BF715" s="10"/>
      <c r="BG715" s="8" t="str">
        <f>IF(BH715="","",VLOOKUP(BH715,引用表合并!$A:$B,2,FALSE))</f>
        <v/>
      </c>
      <c r="BH715" s="8"/>
      <c r="BJ715" s="10"/>
      <c r="BK715" s="8" t="str">
        <f>IF(BL715="","",VLOOKUP(BL715,引用表合并!$A:$B,2,FALSE))</f>
        <v/>
      </c>
      <c r="BL715" s="8"/>
      <c r="BN715" s="10"/>
      <c r="FK715" s="8">
        <v>5</v>
      </c>
      <c r="FL715" s="8">
        <v>8</v>
      </c>
    </row>
    <row r="716" spans="1:168" x14ac:dyDescent="0.15">
      <c r="A716" s="8">
        <v>700612</v>
      </c>
      <c r="B716" s="8" t="s">
        <v>206</v>
      </c>
      <c r="C716" s="8">
        <v>0</v>
      </c>
      <c r="D716" s="8">
        <f t="shared" si="82"/>
        <v>6</v>
      </c>
      <c r="E716" s="16">
        <f t="shared" si="97"/>
        <v>6</v>
      </c>
      <c r="F716" s="16">
        <f t="shared" si="100"/>
        <v>6</v>
      </c>
      <c r="G716" s="8" t="str">
        <f>IF(H716="","",VLOOKUP(H716,引用表合并!$A:$B,2,FALSE))</f>
        <v>毒蝎耳钉碎片</v>
      </c>
      <c r="H716" s="76">
        <v>93134</v>
      </c>
      <c r="I716" s="35">
        <v>1</v>
      </c>
      <c r="J716" s="35">
        <f t="shared" si="101"/>
        <v>3050</v>
      </c>
      <c r="K716" s="35" t="str">
        <f>IF(L716="","",VLOOKUP(L716,引用表合并!$A:$B,2,FALSE))</f>
        <v>猫妖项链碎片</v>
      </c>
      <c r="L716" s="76">
        <v>93253</v>
      </c>
      <c r="M716" s="35">
        <v>1</v>
      </c>
      <c r="N716" s="35">
        <f t="shared" si="102"/>
        <v>3050</v>
      </c>
      <c r="O716" s="34" t="str">
        <f>IF(P716="","",VLOOKUP(P716,引用表合并!$A:$B,2,FALSE))</f>
        <v>宾倪碎片</v>
      </c>
      <c r="P716" s="75">
        <v>93279</v>
      </c>
      <c r="Q716" s="34">
        <v>1</v>
      </c>
      <c r="R716" s="34">
        <f t="shared" si="103"/>
        <v>3050</v>
      </c>
      <c r="S716" s="34" t="str">
        <f>IF(T716="","",VLOOKUP(T716,引用表合并!$A:$B,2,FALSE))</f>
        <v>智能手表碎片</v>
      </c>
      <c r="T716" s="75">
        <v>93273</v>
      </c>
      <c r="U716" s="34">
        <v>1</v>
      </c>
      <c r="V716" s="34">
        <f t="shared" si="104"/>
        <v>3050</v>
      </c>
      <c r="W716" s="8" t="str">
        <f>IF(X716="","",VLOOKUP(X716,引用表合并!$A:$B,2,FALSE))</f>
        <v>史诗装备升级石</v>
      </c>
      <c r="X716" s="8">
        <v>85400</v>
      </c>
      <c r="Y716" s="8">
        <v>1</v>
      </c>
      <c r="Z716" s="10">
        <f t="shared" si="106"/>
        <v>4500</v>
      </c>
      <c r="AA716" s="8" t="str">
        <f>IF(AB716="","",VLOOKUP(AB716,引用表合并!$A:$B,2,FALSE))</f>
        <v>稀有装备升级石</v>
      </c>
      <c r="AB716" s="8">
        <v>85300</v>
      </c>
      <c r="AC716" s="10">
        <v>1</v>
      </c>
      <c r="AD716" s="10">
        <f t="shared" si="107"/>
        <v>10000</v>
      </c>
      <c r="AE716" s="8" t="str">
        <f>IF(AF716="","",VLOOKUP(AF716,引用表合并!$A:$B,2,FALSE))</f>
        <v/>
      </c>
      <c r="AF716" s="8"/>
      <c r="AG716" s="8"/>
      <c r="AI716" s="8" t="str">
        <f>IF(AJ716="","",VLOOKUP(AJ716,引用表合并!$A:$B,2,FALSE))</f>
        <v/>
      </c>
      <c r="AJ716" s="8"/>
      <c r="AK716" s="8"/>
      <c r="AM716" s="8" t="str">
        <f>IF(AN716="","",VLOOKUP(AN716,引用表合并!$A:$B,2,FALSE))</f>
        <v/>
      </c>
      <c r="AN716" s="8"/>
      <c r="AO716" s="8"/>
      <c r="AQ716" s="8" t="str">
        <f>IF(AR716="","",VLOOKUP(AR716,引用表合并!$A:$B,2,FALSE))</f>
        <v/>
      </c>
      <c r="AR716" s="8"/>
      <c r="AS716" s="8"/>
      <c r="AU716" s="8" t="str">
        <f>IF(AV716="","",VLOOKUP(AV716,引用表合并!$A:$B,2,FALSE))</f>
        <v/>
      </c>
      <c r="AV716" s="8"/>
      <c r="AW716" s="8"/>
      <c r="AY716" s="8" t="str">
        <f>IF(AZ716="","",VLOOKUP(AZ716,引用表合并!$A:$B,2,FALSE))</f>
        <v/>
      </c>
      <c r="AZ716" s="8"/>
      <c r="BA716" s="8"/>
      <c r="BC716" s="8" t="str">
        <f>IF(BD716="","",VLOOKUP(BD716,引用表合并!$A:$B,2,FALSE))</f>
        <v/>
      </c>
      <c r="BD716" s="8"/>
      <c r="BF716" s="10"/>
      <c r="BG716" s="8" t="str">
        <f>IF(BH716="","",VLOOKUP(BH716,引用表合并!$A:$B,2,FALSE))</f>
        <v/>
      </c>
      <c r="BH716" s="8"/>
      <c r="BJ716" s="10"/>
      <c r="BK716" s="8" t="str">
        <f>IF(BL716="","",VLOOKUP(BL716,引用表合并!$A:$B,2,FALSE))</f>
        <v/>
      </c>
      <c r="BL716" s="8"/>
      <c r="BN716" s="10"/>
      <c r="FK716" s="8">
        <v>5</v>
      </c>
      <c r="FL716" s="8">
        <v>16</v>
      </c>
    </row>
    <row r="717" spans="1:168" x14ac:dyDescent="0.15">
      <c r="A717" s="8">
        <v>700613</v>
      </c>
      <c r="B717" s="8" t="s">
        <v>207</v>
      </c>
      <c r="C717" s="8">
        <v>0</v>
      </c>
      <c r="D717" s="8">
        <f t="shared" si="82"/>
        <v>6</v>
      </c>
      <c r="E717" s="16">
        <f t="shared" si="97"/>
        <v>6</v>
      </c>
      <c r="F717" s="16">
        <f t="shared" si="100"/>
        <v>6</v>
      </c>
      <c r="G717" s="8" t="str">
        <f>IF(H717="","",VLOOKUP(H717,引用表合并!$A:$B,2,FALSE))</f>
        <v>赤金戒指碎片</v>
      </c>
      <c r="H717" s="76">
        <v>93223</v>
      </c>
      <c r="I717" s="35">
        <v>1</v>
      </c>
      <c r="J717" s="35">
        <f t="shared" si="101"/>
        <v>2750</v>
      </c>
      <c r="K717" s="35" t="str">
        <f>IF(L717="","",VLOOKUP(L717,引用表合并!$A:$B,2,FALSE))</f>
        <v>苍蓝项链碎片</v>
      </c>
      <c r="L717" s="76">
        <v>93254</v>
      </c>
      <c r="M717" s="35">
        <v>1</v>
      </c>
      <c r="N717" s="35">
        <f t="shared" si="102"/>
        <v>2750</v>
      </c>
      <c r="O717" s="34" t="str">
        <f>IF(P717="","",VLOOKUP(P717,引用表合并!$A:$B,2,FALSE))</f>
        <v>大迭钞票碎片</v>
      </c>
      <c r="P717" s="75">
        <v>93284</v>
      </c>
      <c r="Q717" s="34">
        <v>1</v>
      </c>
      <c r="R717" s="34">
        <f t="shared" si="103"/>
        <v>2750</v>
      </c>
      <c r="S717" s="34" t="str">
        <f>IF(T717="","",VLOOKUP(T717,引用表合并!$A:$B,2,FALSE))</f>
        <v>宾倪碎片</v>
      </c>
      <c r="T717" s="75">
        <v>93279</v>
      </c>
      <c r="U717" s="34">
        <v>1</v>
      </c>
      <c r="V717" s="34">
        <f t="shared" si="104"/>
        <v>2750</v>
      </c>
      <c r="W717" s="8" t="str">
        <f>IF(X717="","",VLOOKUP(X717,引用表合并!$A:$B,2,FALSE))</f>
        <v>史诗装备升级石</v>
      </c>
      <c r="X717" s="8">
        <v>85400</v>
      </c>
      <c r="Y717" s="8">
        <v>1</v>
      </c>
      <c r="Z717" s="10">
        <f t="shared" si="106"/>
        <v>3000</v>
      </c>
      <c r="AA717" s="8" t="str">
        <f>IF(AB717="","",VLOOKUP(AB717,引用表合并!$A:$B,2,FALSE))</f>
        <v>高级装备升级石</v>
      </c>
      <c r="AB717" s="8">
        <v>85200</v>
      </c>
      <c r="AC717" s="8">
        <v>1</v>
      </c>
      <c r="AD717" s="10">
        <f t="shared" si="107"/>
        <v>4000</v>
      </c>
      <c r="AE717" s="8" t="str">
        <f>IF(AF717="","",VLOOKUP(AF717,引用表合并!$A:$B,2,FALSE))</f>
        <v/>
      </c>
      <c r="AF717" s="8"/>
      <c r="AI717" s="8" t="str">
        <f>IF(AJ717="","",VLOOKUP(AJ717,引用表合并!$A:$B,2,FALSE))</f>
        <v/>
      </c>
      <c r="AJ717" s="8"/>
      <c r="AK717" s="8"/>
      <c r="AM717" s="8" t="str">
        <f>IF(AN717="","",VLOOKUP(AN717,引用表合并!$A:$B,2,FALSE))</f>
        <v/>
      </c>
      <c r="AN717" s="8"/>
      <c r="AO717" s="8"/>
      <c r="AQ717" s="8" t="str">
        <f>IF(AR717="","",VLOOKUP(AR717,引用表合并!$A:$B,2,FALSE))</f>
        <v/>
      </c>
      <c r="AR717" s="8"/>
      <c r="AS717" s="8"/>
      <c r="AU717" s="8" t="str">
        <f>IF(AV717="","",VLOOKUP(AV717,引用表合并!$A:$B,2,FALSE))</f>
        <v/>
      </c>
      <c r="AV717" s="8"/>
      <c r="AW717" s="8"/>
      <c r="AY717" s="8" t="str">
        <f>IF(AZ717="","",VLOOKUP(AZ717,引用表合并!$A:$B,2,FALSE))</f>
        <v/>
      </c>
      <c r="AZ717" s="8"/>
      <c r="BA717" s="8"/>
      <c r="BC717" s="8" t="str">
        <f>IF(BD717="","",VLOOKUP(BD717,引用表合并!$A:$B,2,FALSE))</f>
        <v/>
      </c>
      <c r="BD717" s="8"/>
      <c r="BF717" s="10"/>
      <c r="BG717" s="8" t="str">
        <f>IF(BH717="","",VLOOKUP(BH717,引用表合并!$A:$B,2,FALSE))</f>
        <v/>
      </c>
      <c r="BH717" s="8"/>
      <c r="BJ717" s="10"/>
      <c r="BK717" s="8" t="str">
        <f>IF(BL717="","",VLOOKUP(BL717,引用表合并!$A:$B,2,FALSE))</f>
        <v/>
      </c>
      <c r="BL717" s="8"/>
      <c r="BN717" s="10"/>
      <c r="FK717" s="8">
        <v>5</v>
      </c>
      <c r="FL717" s="8">
        <v>10</v>
      </c>
    </row>
    <row r="718" spans="1:168" x14ac:dyDescent="0.15">
      <c r="A718" s="8">
        <v>700614</v>
      </c>
      <c r="B718" s="8" t="s">
        <v>208</v>
      </c>
      <c r="C718" s="8">
        <v>0</v>
      </c>
      <c r="D718" s="8">
        <f t="shared" si="82"/>
        <v>6</v>
      </c>
      <c r="E718" s="16">
        <f t="shared" si="97"/>
        <v>6</v>
      </c>
      <c r="F718" s="16">
        <f t="shared" si="100"/>
        <v>6</v>
      </c>
      <c r="G718" s="8" t="str">
        <f>IF(H718="","",VLOOKUP(H718,引用表合并!$A:$B,2,FALSE))</f>
        <v>王者手环碎片</v>
      </c>
      <c r="H718" s="76">
        <v>93227</v>
      </c>
      <c r="I718" s="35">
        <v>1</v>
      </c>
      <c r="J718" s="35">
        <f t="shared" si="101"/>
        <v>2750</v>
      </c>
      <c r="K718" s="35" t="str">
        <f>IF(L718="","",VLOOKUP(L718,引用表合并!$A:$B,2,FALSE))</f>
        <v>汉密手表碎片</v>
      </c>
      <c r="L718" s="76">
        <v>93274</v>
      </c>
      <c r="M718" s="35">
        <v>1</v>
      </c>
      <c r="N718" s="35">
        <f t="shared" si="102"/>
        <v>2750</v>
      </c>
      <c r="O718" s="34" t="str">
        <f>IF(P718="","",VLOOKUP(P718,引用表合并!$A:$B,2,FALSE))</f>
        <v>大金块碎片</v>
      </c>
      <c r="P718" s="75">
        <v>93288</v>
      </c>
      <c r="Q718" s="34">
        <v>1</v>
      </c>
      <c r="R718" s="34">
        <f t="shared" si="103"/>
        <v>2750</v>
      </c>
      <c r="S718" s="34" t="str">
        <f>IF(T718="","",VLOOKUP(T718,引用表合并!$A:$B,2,FALSE))</f>
        <v>大迭钞票碎片</v>
      </c>
      <c r="T718" s="75">
        <v>93284</v>
      </c>
      <c r="U718" s="34">
        <v>1</v>
      </c>
      <c r="V718" s="34">
        <f t="shared" si="104"/>
        <v>2750</v>
      </c>
      <c r="W718" s="8" t="str">
        <f>IF(X718="","",VLOOKUP(X718,引用表合并!$A:$B,2,FALSE))</f>
        <v>史诗装备升级石</v>
      </c>
      <c r="X718" s="8">
        <v>85400</v>
      </c>
      <c r="Y718" s="8">
        <v>1</v>
      </c>
      <c r="Z718" s="10">
        <f t="shared" si="106"/>
        <v>3200</v>
      </c>
      <c r="AA718" s="8" t="str">
        <f>IF(AB718="","",VLOOKUP(AB718,引用表合并!$A:$B,2,FALSE))</f>
        <v>高级装备升级石</v>
      </c>
      <c r="AB718" s="8">
        <v>85200</v>
      </c>
      <c r="AC718" s="8">
        <v>1</v>
      </c>
      <c r="AD718" s="10">
        <f t="shared" si="107"/>
        <v>4200</v>
      </c>
      <c r="AE718" s="8" t="str">
        <f>IF(AF718="","",VLOOKUP(AF718,引用表合并!$A:$B,2,FALSE))</f>
        <v/>
      </c>
      <c r="AF718" s="8"/>
      <c r="AI718" s="8" t="str">
        <f>IF(AJ718="","",VLOOKUP(AJ718,引用表合并!$A:$B,2,FALSE))</f>
        <v/>
      </c>
      <c r="AJ718" s="8"/>
      <c r="AK718" s="8"/>
      <c r="AM718" s="8" t="str">
        <f>IF(AN718="","",VLOOKUP(AN718,引用表合并!$A:$B,2,FALSE))</f>
        <v/>
      </c>
      <c r="AN718" s="8"/>
      <c r="AO718" s="8"/>
      <c r="AQ718" s="8" t="str">
        <f>IF(AR718="","",VLOOKUP(AR718,引用表合并!$A:$B,2,FALSE))</f>
        <v/>
      </c>
      <c r="AR718" s="8"/>
      <c r="AS718" s="8"/>
      <c r="AU718" s="8" t="str">
        <f>IF(AV718="","",VLOOKUP(AV718,引用表合并!$A:$B,2,FALSE))</f>
        <v/>
      </c>
      <c r="AV718" s="8"/>
      <c r="AW718" s="8"/>
      <c r="AY718" s="8" t="str">
        <f>IF(AZ718="","",VLOOKUP(AZ718,引用表合并!$A:$B,2,FALSE))</f>
        <v/>
      </c>
      <c r="AZ718" s="8"/>
      <c r="BA718" s="8"/>
      <c r="BC718" s="8" t="str">
        <f>IF(BD718="","",VLOOKUP(BD718,引用表合并!$A:$B,2,FALSE))</f>
        <v/>
      </c>
      <c r="BD718" s="8"/>
      <c r="BF718" s="10"/>
      <c r="BG718" s="8" t="str">
        <f>IF(BH718="","",VLOOKUP(BH718,引用表合并!$A:$B,2,FALSE))</f>
        <v/>
      </c>
      <c r="BH718" s="8"/>
      <c r="BJ718" s="10"/>
      <c r="BK718" s="8" t="str">
        <f>IF(BL718="","",VLOOKUP(BL718,引用表合并!$A:$B,2,FALSE))</f>
        <v/>
      </c>
      <c r="BL718" s="8"/>
      <c r="BN718" s="10"/>
      <c r="FK718" s="8">
        <v>5</v>
      </c>
      <c r="FL718" s="8">
        <v>10</v>
      </c>
    </row>
    <row r="719" spans="1:168" x14ac:dyDescent="0.15">
      <c r="A719" s="8">
        <v>700615</v>
      </c>
      <c r="B719" s="8" t="s">
        <v>209</v>
      </c>
      <c r="C719" s="8">
        <v>0</v>
      </c>
      <c r="D719" s="8">
        <f t="shared" si="82"/>
        <v>7</v>
      </c>
      <c r="E719" s="16">
        <f t="shared" si="97"/>
        <v>7</v>
      </c>
      <c r="F719" s="16">
        <f t="shared" si="100"/>
        <v>7</v>
      </c>
      <c r="G719" s="8" t="str">
        <f>IF(H719="","",VLOOKUP(H719,引用表合并!$A:$B,2,FALSE))</f>
        <v>符文手环碎片</v>
      </c>
      <c r="H719" s="76">
        <v>93236</v>
      </c>
      <c r="I719" s="35">
        <v>1</v>
      </c>
      <c r="J719" s="35">
        <f t="shared" si="101"/>
        <v>3250</v>
      </c>
      <c r="K719" s="35" t="str">
        <f>IF(L719="","",VLOOKUP(L719,引用表合并!$A:$B,2,FALSE))</f>
        <v>法拉捷碎片</v>
      </c>
      <c r="L719" s="76">
        <v>93280</v>
      </c>
      <c r="M719" s="35">
        <v>1</v>
      </c>
      <c r="N719" s="35">
        <f t="shared" si="102"/>
        <v>3250</v>
      </c>
      <c r="O719" s="34" t="str">
        <f>IF(P719="","",VLOOKUP(P719,引用表合并!$A:$B,2,FALSE))</f>
        <v>大堆钞票碎片</v>
      </c>
      <c r="P719" s="76">
        <v>93285</v>
      </c>
      <c r="Q719" s="35">
        <v>1</v>
      </c>
      <c r="R719" s="35">
        <f t="shared" si="103"/>
        <v>3250</v>
      </c>
      <c r="S719" s="35" t="str">
        <f>IF(T719="","",VLOOKUP(T719,引用表合并!$A:$B,2,FALSE))</f>
        <v>小堆金块碎片</v>
      </c>
      <c r="T719" s="76">
        <v>93289</v>
      </c>
      <c r="U719" s="35">
        <v>1</v>
      </c>
      <c r="V719" s="35">
        <f t="shared" si="104"/>
        <v>3250</v>
      </c>
      <c r="W719" s="8" t="str">
        <f>IF(X719="","",VLOOKUP(X719,引用表合并!$A:$B,2,FALSE))</f>
        <v>史诗装备升级石</v>
      </c>
      <c r="X719" s="8">
        <v>85400</v>
      </c>
      <c r="Y719" s="8">
        <v>1</v>
      </c>
      <c r="Z719" s="10">
        <f t="shared" si="106"/>
        <v>10000</v>
      </c>
      <c r="AA719" s="8" t="str">
        <f>IF(AB719="","",VLOOKUP(AB719,引用表合并!$A:$B,2,FALSE))</f>
        <v>稀有装备升级石</v>
      </c>
      <c r="AB719" s="8">
        <v>85300</v>
      </c>
      <c r="AC719" s="10">
        <v>1</v>
      </c>
      <c r="AD719" s="10">
        <f t="shared" si="107"/>
        <v>5000</v>
      </c>
      <c r="AE719" s="8" t="str">
        <f>IF(AF719="","",VLOOKUP(AF719,引用表合并!$A:$B,2,FALSE))</f>
        <v>马仔经验甘露</v>
      </c>
      <c r="AF719" s="31">
        <f t="shared" ref="AF719" si="108">IF(CO719=100,91100,IF(CO719=500,91200,91300))</f>
        <v>91300</v>
      </c>
      <c r="AG719" s="8">
        <v>1</v>
      </c>
      <c r="AH719" s="10">
        <v>10000</v>
      </c>
      <c r="AI719" s="8" t="str">
        <f>IF(AJ719="","",VLOOKUP(AJ719,引用表合并!$A:$B,2,FALSE))</f>
        <v/>
      </c>
      <c r="AM719" s="8" t="str">
        <f>IF(AN719="","",VLOOKUP(AN719,引用表合并!$A:$B,2,FALSE))</f>
        <v/>
      </c>
      <c r="AN719" s="8"/>
      <c r="AO719" s="8"/>
      <c r="AQ719" s="8" t="str">
        <f>IF(AR719="","",VLOOKUP(AR719,引用表合并!$A:$B,2,FALSE))</f>
        <v/>
      </c>
      <c r="AR719" s="8"/>
      <c r="AS719" s="8"/>
      <c r="AU719" s="8" t="str">
        <f>IF(AV719="","",VLOOKUP(AV719,引用表合并!$A:$B,2,FALSE))</f>
        <v/>
      </c>
      <c r="AV719" s="8"/>
      <c r="AW719" s="8"/>
      <c r="AY719" s="8" t="str">
        <f>IF(AZ719="","",VLOOKUP(AZ719,引用表合并!$A:$B,2,FALSE))</f>
        <v/>
      </c>
      <c r="AZ719" s="8"/>
      <c r="BA719" s="8"/>
      <c r="BC719" s="8" t="str">
        <f>IF(BD719="","",VLOOKUP(BD719,引用表合并!$A:$B,2,FALSE))</f>
        <v/>
      </c>
      <c r="BD719" s="8"/>
      <c r="BF719" s="10"/>
      <c r="BG719" s="8" t="str">
        <f>IF(BH719="","",VLOOKUP(BH719,引用表合并!$A:$B,2,FALSE))</f>
        <v/>
      </c>
      <c r="BH719" s="8"/>
      <c r="BJ719" s="10"/>
      <c r="BK719" s="8" t="str">
        <f>IF(BL719="","",VLOOKUP(BL719,引用表合并!$A:$B,2,FALSE))</f>
        <v/>
      </c>
      <c r="BL719" s="8"/>
      <c r="BN719" s="10"/>
      <c r="FK719" s="8">
        <v>5</v>
      </c>
      <c r="FL719" s="8">
        <v>20</v>
      </c>
    </row>
    <row r="720" spans="1:168" x14ac:dyDescent="0.15">
      <c r="A720" s="8">
        <v>700701</v>
      </c>
      <c r="B720" s="8" t="s">
        <v>210</v>
      </c>
      <c r="C720" s="8">
        <v>0</v>
      </c>
      <c r="D720" s="8">
        <f t="shared" si="82"/>
        <v>5</v>
      </c>
      <c r="E720" s="16">
        <f t="shared" si="97"/>
        <v>5</v>
      </c>
      <c r="F720" s="16">
        <f t="shared" si="100"/>
        <v>5</v>
      </c>
      <c r="G720" s="8" t="str">
        <f>IF(H720="","",VLOOKUP(H720,引用表合并!$A:$B,2,FALSE))</f>
        <v>黄金戒指碎片</v>
      </c>
      <c r="H720" s="75">
        <v>93142</v>
      </c>
      <c r="I720" s="34">
        <v>1</v>
      </c>
      <c r="J720" s="34">
        <f t="shared" si="101"/>
        <v>2300</v>
      </c>
      <c r="K720" s="8" t="str">
        <f>IF(L720="","",VLOOKUP(L720,引用表合并!$A:$B,2,FALSE))</f>
        <v>宝石手环碎片</v>
      </c>
      <c r="L720" s="75">
        <v>93235</v>
      </c>
      <c r="M720" s="34">
        <v>1</v>
      </c>
      <c r="N720" s="34">
        <f t="shared" si="102"/>
        <v>2300</v>
      </c>
      <c r="O720" s="8" t="str">
        <f>IF(P720="","",VLOOKUP(P720,引用表合并!$A:$B,2,FALSE))</f>
        <v>白金手环碎片</v>
      </c>
      <c r="P720" s="74">
        <v>93233</v>
      </c>
      <c r="Q720" s="9">
        <v>1</v>
      </c>
      <c r="R720" s="9">
        <f t="shared" si="103"/>
        <v>2300</v>
      </c>
      <c r="S720" s="8" t="str">
        <f>IF(T720="","",VLOOKUP(T720,引用表合并!$A:$B,2,FALSE))</f>
        <v>越野手表碎片</v>
      </c>
      <c r="T720" s="74">
        <v>93264</v>
      </c>
      <c r="U720" s="12">
        <v>1</v>
      </c>
      <c r="V720" s="12">
        <f t="shared" si="104"/>
        <v>2300</v>
      </c>
      <c r="W720" s="8" t="str">
        <f>IF(X720="","",VLOOKUP(X720,引用表合并!$A:$B,2,FALSE))</f>
        <v>高级装备升级石</v>
      </c>
      <c r="X720" s="8">
        <v>85200</v>
      </c>
      <c r="Y720" s="8">
        <v>1</v>
      </c>
      <c r="Z720" s="10">
        <f t="shared" si="106"/>
        <v>3100</v>
      </c>
      <c r="AA720" s="8" t="str">
        <f>IF(AB720="","",VLOOKUP(AB720,引用表合并!$A:$B,2,FALSE))</f>
        <v/>
      </c>
      <c r="AB720" s="8"/>
      <c r="AC720" s="8"/>
      <c r="AD720" s="10">
        <f t="shared" si="107"/>
        <v>0</v>
      </c>
      <c r="AE720" s="8" t="str">
        <f>IF(AF720="","",VLOOKUP(AF720,引用表合并!$A:$B,2,FALSE))</f>
        <v/>
      </c>
      <c r="AF720" s="8"/>
      <c r="AG720" s="8"/>
      <c r="AI720" s="8" t="str">
        <f>IF(AJ720="","",VLOOKUP(AJ720,引用表合并!$A:$B,2,FALSE))</f>
        <v/>
      </c>
      <c r="AJ720" s="8"/>
      <c r="AK720" s="8"/>
      <c r="AM720" s="8" t="str">
        <f>IF(AN720="","",VLOOKUP(AN720,引用表合并!$A:$B,2,FALSE))</f>
        <v/>
      </c>
      <c r="AN720" s="8"/>
      <c r="AO720" s="8"/>
      <c r="AQ720" s="8" t="str">
        <f>IF(AR720="","",VLOOKUP(AR720,引用表合并!$A:$B,2,FALSE))</f>
        <v/>
      </c>
      <c r="AR720" s="8"/>
      <c r="AS720" s="8"/>
      <c r="AU720" s="8" t="str">
        <f>IF(AV720="","",VLOOKUP(AV720,引用表合并!$A:$B,2,FALSE))</f>
        <v/>
      </c>
      <c r="AV720" s="8"/>
      <c r="AW720" s="8"/>
      <c r="AY720" s="8" t="str">
        <f>IF(AZ720="","",VLOOKUP(AZ720,引用表合并!$A:$B,2,FALSE))</f>
        <v/>
      </c>
      <c r="AZ720" s="8"/>
      <c r="BA720" s="8"/>
      <c r="BC720" s="8" t="str">
        <f>IF(BD720="","",VLOOKUP(BD720,引用表合并!$A:$B,2,FALSE))</f>
        <v/>
      </c>
      <c r="BD720" s="8"/>
      <c r="BF720" s="10"/>
      <c r="BG720" s="8" t="str">
        <f>IF(BH720="","",VLOOKUP(BH720,引用表合并!$A:$B,2,FALSE))</f>
        <v/>
      </c>
      <c r="BH720" s="8"/>
      <c r="BJ720" s="10"/>
      <c r="BK720" s="8" t="str">
        <f>IF(BL720="","",VLOOKUP(BL720,引用表合并!$A:$B,2,FALSE))</f>
        <v/>
      </c>
      <c r="BL720" s="8"/>
      <c r="BN720" s="10"/>
      <c r="FK720" s="8">
        <v>6</v>
      </c>
      <c r="FL720" s="8">
        <v>0</v>
      </c>
    </row>
    <row r="721" spans="1:168" x14ac:dyDescent="0.15">
      <c r="A721" s="8">
        <v>700702</v>
      </c>
      <c r="B721" s="8" t="s">
        <v>211</v>
      </c>
      <c r="C721" s="8">
        <v>0</v>
      </c>
      <c r="D721" s="8">
        <f t="shared" ref="D721:D784" si="109">E721</f>
        <v>5</v>
      </c>
      <c r="E721" s="16">
        <f t="shared" si="97"/>
        <v>5</v>
      </c>
      <c r="F721" s="16">
        <f t="shared" si="100"/>
        <v>5</v>
      </c>
      <c r="G721" s="8" t="str">
        <f>IF(H721="","",VLOOKUP(H721,引用表合并!$A:$B,2,FALSE))</f>
        <v>宝石手环碎片</v>
      </c>
      <c r="H721" s="75">
        <v>93235</v>
      </c>
      <c r="I721" s="34">
        <v>1</v>
      </c>
      <c r="J721" s="34">
        <f t="shared" si="101"/>
        <v>2300</v>
      </c>
      <c r="K721" s="8" t="str">
        <f>IF(L721="","",VLOOKUP(L721,引用表合并!$A:$B,2,FALSE))</f>
        <v>摩拉碎片</v>
      </c>
      <c r="L721" s="75">
        <v>93012</v>
      </c>
      <c r="M721" s="34">
        <v>1</v>
      </c>
      <c r="N721" s="34">
        <f t="shared" si="102"/>
        <v>2300</v>
      </c>
      <c r="O721" s="8" t="str">
        <f>IF(P721="","",VLOOKUP(P721,引用表合并!$A:$B,2,FALSE))</f>
        <v>银饰耳钉碎片</v>
      </c>
      <c r="P721" s="74">
        <v>93122</v>
      </c>
      <c r="Q721" s="9">
        <v>1</v>
      </c>
      <c r="R721" s="9">
        <f t="shared" si="103"/>
        <v>2300</v>
      </c>
      <c r="S721" s="8" t="str">
        <f>IF(T721="","",VLOOKUP(T721,引用表合并!$A:$B,2,FALSE))</f>
        <v>精准手表碎片</v>
      </c>
      <c r="T721" s="74">
        <v>93271</v>
      </c>
      <c r="U721" s="12">
        <v>1</v>
      </c>
      <c r="V721" s="12">
        <f t="shared" si="104"/>
        <v>2300</v>
      </c>
      <c r="W721" s="8" t="str">
        <f>IF(X721="","",VLOOKUP(X721,引用表合并!$A:$B,2,FALSE))</f>
        <v>高级装备升级石</v>
      </c>
      <c r="X721" s="8">
        <v>85200</v>
      </c>
      <c r="Y721" s="8">
        <v>1</v>
      </c>
      <c r="Z721" s="10">
        <f t="shared" si="106"/>
        <v>3200</v>
      </c>
      <c r="AA721" s="8" t="str">
        <f>IF(AB721="","",VLOOKUP(AB721,引用表合并!$A:$B,2,FALSE))</f>
        <v/>
      </c>
      <c r="AB721" s="8"/>
      <c r="AC721" s="8"/>
      <c r="AD721" s="10">
        <f t="shared" si="107"/>
        <v>0</v>
      </c>
      <c r="AE721" s="8" t="str">
        <f>IF(AF721="","",VLOOKUP(AF721,引用表合并!$A:$B,2,FALSE))</f>
        <v/>
      </c>
      <c r="AF721" s="8"/>
      <c r="AG721" s="8"/>
      <c r="AI721" s="8" t="str">
        <f>IF(AJ721="","",VLOOKUP(AJ721,引用表合并!$A:$B,2,FALSE))</f>
        <v/>
      </c>
      <c r="AJ721" s="8"/>
      <c r="AK721" s="8"/>
      <c r="AM721" s="8" t="str">
        <f>IF(AN721="","",VLOOKUP(AN721,引用表合并!$A:$B,2,FALSE))</f>
        <v/>
      </c>
      <c r="AN721" s="8"/>
      <c r="AO721" s="8"/>
      <c r="AQ721" s="8" t="str">
        <f>IF(AR721="","",VLOOKUP(AR721,引用表合并!$A:$B,2,FALSE))</f>
        <v/>
      </c>
      <c r="AR721" s="8"/>
      <c r="AS721" s="8"/>
      <c r="AU721" s="8" t="str">
        <f>IF(AV721="","",VLOOKUP(AV721,引用表合并!$A:$B,2,FALSE))</f>
        <v/>
      </c>
      <c r="AV721" s="8"/>
      <c r="AW721" s="8"/>
      <c r="AY721" s="8" t="str">
        <f>IF(AZ721="","",VLOOKUP(AZ721,引用表合并!$A:$B,2,FALSE))</f>
        <v/>
      </c>
      <c r="AZ721" s="8"/>
      <c r="BA721" s="8"/>
      <c r="BC721" s="8" t="str">
        <f>IF(BD721="","",VLOOKUP(BD721,引用表合并!$A:$B,2,FALSE))</f>
        <v/>
      </c>
      <c r="BD721" s="8"/>
      <c r="BF721" s="10"/>
      <c r="BG721" s="8" t="str">
        <f>IF(BH721="","",VLOOKUP(BH721,引用表合并!$A:$B,2,FALSE))</f>
        <v/>
      </c>
      <c r="BH721" s="8"/>
      <c r="BJ721" s="10"/>
      <c r="BK721" s="8" t="str">
        <f>IF(BL721="","",VLOOKUP(BL721,引用表合并!$A:$B,2,FALSE))</f>
        <v/>
      </c>
      <c r="BL721" s="8"/>
      <c r="BN721" s="10"/>
      <c r="FK721" s="8">
        <v>6</v>
      </c>
      <c r="FL721" s="8">
        <v>0</v>
      </c>
    </row>
    <row r="722" spans="1:168" x14ac:dyDescent="0.15">
      <c r="A722" s="8">
        <v>700703</v>
      </c>
      <c r="B722" s="8" t="s">
        <v>212</v>
      </c>
      <c r="C722" s="8">
        <v>0</v>
      </c>
      <c r="D722" s="8">
        <f t="shared" si="109"/>
        <v>5</v>
      </c>
      <c r="E722" s="16">
        <f t="shared" si="97"/>
        <v>5</v>
      </c>
      <c r="F722" s="16">
        <f t="shared" si="100"/>
        <v>5</v>
      </c>
      <c r="G722" s="8" t="str">
        <f>IF(H722="","",VLOOKUP(H722,引用表合并!$A:$B,2,FALSE))</f>
        <v>摩拉碎片</v>
      </c>
      <c r="H722" s="75">
        <v>93012</v>
      </c>
      <c r="I722" s="34">
        <v>1</v>
      </c>
      <c r="J722" s="34">
        <f t="shared" si="101"/>
        <v>2800</v>
      </c>
      <c r="K722" s="8" t="str">
        <f>IF(L722="","",VLOOKUP(L722,引用表合并!$A:$B,2,FALSE))</f>
        <v>青玉项链碎片</v>
      </c>
      <c r="L722" s="75">
        <v>93252</v>
      </c>
      <c r="M722" s="34">
        <v>1</v>
      </c>
      <c r="N722" s="34">
        <f t="shared" si="102"/>
        <v>2800</v>
      </c>
      <c r="O722" s="8" t="str">
        <f>IF(P722="","",VLOOKUP(P722,引用表合并!$A:$B,2,FALSE))</f>
        <v>白银戒指碎片</v>
      </c>
      <c r="P722" s="74">
        <v>93141</v>
      </c>
      <c r="Q722" s="9">
        <v>1</v>
      </c>
      <c r="R722" s="9">
        <f t="shared" si="103"/>
        <v>2800</v>
      </c>
      <c r="S722" s="8" t="str">
        <f>IF(T722="","",VLOOKUP(T722,引用表合并!$A:$B,2,FALSE))</f>
        <v>宝驼碎片</v>
      </c>
      <c r="T722" s="74">
        <v>93278</v>
      </c>
      <c r="U722" s="12">
        <v>1</v>
      </c>
      <c r="V722" s="12">
        <f t="shared" si="104"/>
        <v>2800</v>
      </c>
      <c r="W722" s="8" t="str">
        <f>IF(X722="","",VLOOKUP(X722,引用表合并!$A:$B,2,FALSE))</f>
        <v>高级装备升级石</v>
      </c>
      <c r="X722" s="8">
        <v>85200</v>
      </c>
      <c r="Y722" s="8">
        <v>1</v>
      </c>
      <c r="Z722" s="10">
        <f t="shared" si="106"/>
        <v>5600</v>
      </c>
      <c r="AA722" s="8" t="str">
        <f>IF(AB722="","",VLOOKUP(AB722,引用表合并!$A:$B,2,FALSE))</f>
        <v/>
      </c>
      <c r="AB722" s="8"/>
      <c r="AC722" s="8"/>
      <c r="AD722" s="10">
        <f t="shared" si="107"/>
        <v>0</v>
      </c>
      <c r="AE722" s="8" t="str">
        <f>IF(AF722="","",VLOOKUP(AF722,引用表合并!$A:$B,2,FALSE))</f>
        <v/>
      </c>
      <c r="AF722" s="8"/>
      <c r="AG722" s="8"/>
      <c r="AI722" s="8" t="str">
        <f>IF(AJ722="","",VLOOKUP(AJ722,引用表合并!$A:$B,2,FALSE))</f>
        <v/>
      </c>
      <c r="AJ722" s="8"/>
      <c r="AK722" s="8"/>
      <c r="AM722" s="8" t="str">
        <f>IF(AN722="","",VLOOKUP(AN722,引用表合并!$A:$B,2,FALSE))</f>
        <v/>
      </c>
      <c r="AN722" s="8"/>
      <c r="AO722" s="8"/>
      <c r="AQ722" s="8" t="str">
        <f>IF(AR722="","",VLOOKUP(AR722,引用表合并!$A:$B,2,FALSE))</f>
        <v/>
      </c>
      <c r="AR722" s="8"/>
      <c r="AS722" s="8"/>
      <c r="AU722" s="8" t="str">
        <f>IF(AV722="","",VLOOKUP(AV722,引用表合并!$A:$B,2,FALSE))</f>
        <v/>
      </c>
      <c r="AV722" s="8"/>
      <c r="AW722" s="8"/>
      <c r="AY722" s="8" t="str">
        <f>IF(AZ722="","",VLOOKUP(AZ722,引用表合并!$A:$B,2,FALSE))</f>
        <v/>
      </c>
      <c r="AZ722" s="8"/>
      <c r="BA722" s="8"/>
      <c r="BC722" s="8" t="str">
        <f>IF(BD722="","",VLOOKUP(BD722,引用表合并!$A:$B,2,FALSE))</f>
        <v/>
      </c>
      <c r="BD722" s="8"/>
      <c r="BF722" s="10"/>
      <c r="BG722" s="8" t="str">
        <f>IF(BH722="","",VLOOKUP(BH722,引用表合并!$A:$B,2,FALSE))</f>
        <v/>
      </c>
      <c r="BH722" s="8"/>
      <c r="BJ722" s="10"/>
      <c r="BK722" s="8" t="str">
        <f>IF(BL722="","",VLOOKUP(BL722,引用表合并!$A:$B,2,FALSE))</f>
        <v/>
      </c>
      <c r="BL722" s="8"/>
      <c r="BN722" s="10"/>
      <c r="FK722" s="8">
        <v>6</v>
      </c>
      <c r="FL722" s="8">
        <v>10</v>
      </c>
    </row>
    <row r="723" spans="1:168" x14ac:dyDescent="0.15">
      <c r="A723" s="8">
        <v>700704</v>
      </c>
      <c r="B723" s="8" t="s">
        <v>213</v>
      </c>
      <c r="C723" s="8">
        <v>0</v>
      </c>
      <c r="D723" s="8">
        <f t="shared" si="109"/>
        <v>5</v>
      </c>
      <c r="E723" s="16">
        <f t="shared" si="97"/>
        <v>5</v>
      </c>
      <c r="F723" s="16">
        <f t="shared" si="100"/>
        <v>5</v>
      </c>
      <c r="G723" s="8" t="str">
        <f>IF(H723="","",VLOOKUP(H723,引用表合并!$A:$B,2,FALSE))</f>
        <v>青玉项链碎片</v>
      </c>
      <c r="H723" s="75">
        <v>93252</v>
      </c>
      <c r="I723" s="34">
        <v>1</v>
      </c>
      <c r="J723" s="34">
        <f t="shared" si="101"/>
        <v>2300</v>
      </c>
      <c r="K723" s="8" t="str">
        <f>IF(L723="","",VLOOKUP(L723,引用表合并!$A:$B,2,FALSE))</f>
        <v>水晶耳钉碎片</v>
      </c>
      <c r="L723" s="75">
        <v>93124</v>
      </c>
      <c r="M723" s="34">
        <v>1</v>
      </c>
      <c r="N723" s="34">
        <f t="shared" si="102"/>
        <v>2300</v>
      </c>
      <c r="O723" s="8" t="str">
        <f>IF(P723="","",VLOOKUP(P723,引用表合并!$A:$B,2,FALSE))</f>
        <v>水晶项链碎片</v>
      </c>
      <c r="P723" s="74">
        <v>93245</v>
      </c>
      <c r="Q723" s="9">
        <v>1</v>
      </c>
      <c r="R723" s="9">
        <f t="shared" si="103"/>
        <v>2300</v>
      </c>
      <c r="S723" s="8" t="str">
        <f>IF(T723="","",VLOOKUP(T723,引用表合并!$A:$B,2,FALSE))</f>
        <v>小迭钞票碎片</v>
      </c>
      <c r="T723" s="74">
        <v>93283</v>
      </c>
      <c r="U723" s="12">
        <v>1</v>
      </c>
      <c r="V723" s="12">
        <f t="shared" si="104"/>
        <v>2300</v>
      </c>
      <c r="W723" s="8" t="str">
        <f>IF(X723="","",VLOOKUP(X723,引用表合并!$A:$B,2,FALSE))</f>
        <v>高级装备升级石</v>
      </c>
      <c r="X723" s="8">
        <v>85200</v>
      </c>
      <c r="Y723" s="8">
        <v>1</v>
      </c>
      <c r="Z723" s="10">
        <f t="shared" si="106"/>
        <v>3300</v>
      </c>
      <c r="AA723" s="8" t="str">
        <f>IF(AB723="","",VLOOKUP(AB723,引用表合并!$A:$B,2,FALSE))</f>
        <v/>
      </c>
      <c r="AB723" s="8"/>
      <c r="AC723" s="8"/>
      <c r="AD723" s="10">
        <f t="shared" si="107"/>
        <v>0</v>
      </c>
      <c r="AE723" s="8" t="str">
        <f>IF(AF723="","",VLOOKUP(AF723,引用表合并!$A:$B,2,FALSE))</f>
        <v/>
      </c>
      <c r="AF723" s="8"/>
      <c r="AG723" s="8"/>
      <c r="AI723" s="8" t="str">
        <f>IF(AJ723="","",VLOOKUP(AJ723,引用表合并!$A:$B,2,FALSE))</f>
        <v/>
      </c>
      <c r="AJ723" s="8"/>
      <c r="AK723" s="8"/>
      <c r="AM723" s="8" t="str">
        <f>IF(AN723="","",VLOOKUP(AN723,引用表合并!$A:$B,2,FALSE))</f>
        <v/>
      </c>
      <c r="AN723" s="8"/>
      <c r="AO723" s="8"/>
      <c r="AQ723" s="8" t="str">
        <f>IF(AR723="","",VLOOKUP(AR723,引用表合并!$A:$B,2,FALSE))</f>
        <v/>
      </c>
      <c r="AR723" s="8"/>
      <c r="AS723" s="8"/>
      <c r="AU723" s="8" t="str">
        <f>IF(AV723="","",VLOOKUP(AV723,引用表合并!$A:$B,2,FALSE))</f>
        <v/>
      </c>
      <c r="AV723" s="8"/>
      <c r="AW723" s="8"/>
      <c r="AY723" s="8" t="str">
        <f>IF(AZ723="","",VLOOKUP(AZ723,引用表合并!$A:$B,2,FALSE))</f>
        <v/>
      </c>
      <c r="AZ723" s="8"/>
      <c r="BA723" s="8"/>
      <c r="BC723" s="8" t="str">
        <f>IF(BD723="","",VLOOKUP(BD723,引用表合并!$A:$B,2,FALSE))</f>
        <v/>
      </c>
      <c r="BD723" s="8"/>
      <c r="BF723" s="10"/>
      <c r="BG723" s="8" t="str">
        <f>IF(BH723="","",VLOOKUP(BH723,引用表合并!$A:$B,2,FALSE))</f>
        <v/>
      </c>
      <c r="BH723" s="8"/>
      <c r="BJ723" s="10"/>
      <c r="BK723" s="8" t="str">
        <f>IF(BL723="","",VLOOKUP(BL723,引用表合并!$A:$B,2,FALSE))</f>
        <v/>
      </c>
      <c r="BL723" s="8"/>
      <c r="BN723" s="10"/>
      <c r="FK723" s="8">
        <v>6</v>
      </c>
      <c r="FL723" s="8">
        <v>0</v>
      </c>
    </row>
    <row r="724" spans="1:168" x14ac:dyDescent="0.15">
      <c r="A724" s="8">
        <v>700705</v>
      </c>
      <c r="B724" s="8" t="s">
        <v>214</v>
      </c>
      <c r="C724" s="8">
        <v>0</v>
      </c>
      <c r="D724" s="8">
        <f t="shared" si="109"/>
        <v>5</v>
      </c>
      <c r="E724" s="16">
        <f t="shared" ref="E724:E787" si="110">COUNTIF(G724:FJ724,"&gt;0")/3</f>
        <v>5</v>
      </c>
      <c r="F724" s="16">
        <f t="shared" si="100"/>
        <v>5</v>
      </c>
      <c r="G724" s="8" t="str">
        <f>IF(H724="","",VLOOKUP(H724,引用表合并!$A:$B,2,FALSE))</f>
        <v>水晶耳钉碎片</v>
      </c>
      <c r="H724" s="75">
        <v>93124</v>
      </c>
      <c r="I724" s="34">
        <v>1</v>
      </c>
      <c r="J724" s="34">
        <f t="shared" si="101"/>
        <v>2300</v>
      </c>
      <c r="K724" s="8" t="str">
        <f>IF(L724="","",VLOOKUP(L724,引用表合并!$A:$B,2,FALSE))</f>
        <v>金针手表碎片</v>
      </c>
      <c r="L724" s="75">
        <v>93272</v>
      </c>
      <c r="M724" s="34">
        <v>1</v>
      </c>
      <c r="N724" s="34">
        <f t="shared" si="102"/>
        <v>2300</v>
      </c>
      <c r="O724" s="8" t="str">
        <f>IF(P724="","",VLOOKUP(P724,引用表合并!$A:$B,2,FALSE))</f>
        <v>红石项链碎片</v>
      </c>
      <c r="P724" s="74">
        <v>93251</v>
      </c>
      <c r="Q724" s="34">
        <v>1</v>
      </c>
      <c r="R724" s="34">
        <f t="shared" si="103"/>
        <v>2300</v>
      </c>
      <c r="S724" s="34" t="str">
        <f>IF(T724="","",VLOOKUP(T724,引用表合并!$A:$B,2,FALSE))</f>
        <v>金块碎片</v>
      </c>
      <c r="T724" s="74">
        <v>93287</v>
      </c>
      <c r="U724" s="34">
        <v>1</v>
      </c>
      <c r="V724" s="34">
        <f t="shared" si="104"/>
        <v>2300</v>
      </c>
      <c r="W724" s="8" t="str">
        <f>IF(X724="","",VLOOKUP(X724,引用表合并!$A:$B,2,FALSE))</f>
        <v>高级装备升级石</v>
      </c>
      <c r="X724" s="8">
        <v>85200</v>
      </c>
      <c r="Y724" s="8">
        <v>1</v>
      </c>
      <c r="Z724" s="10">
        <f t="shared" si="106"/>
        <v>3400</v>
      </c>
      <c r="AA724" s="8" t="str">
        <f>IF(AB724="","",VLOOKUP(AB724,引用表合并!$A:$B,2,FALSE))</f>
        <v/>
      </c>
      <c r="AB724" s="8"/>
      <c r="AC724" s="8"/>
      <c r="AD724" s="10">
        <f t="shared" si="107"/>
        <v>0</v>
      </c>
      <c r="AE724" s="8" t="str">
        <f>IF(AF724="","",VLOOKUP(AF724,引用表合并!$A:$B,2,FALSE))</f>
        <v/>
      </c>
      <c r="AF724" s="8"/>
      <c r="AG724" s="8"/>
      <c r="AI724" s="8" t="str">
        <f>IF(AJ724="","",VLOOKUP(AJ724,引用表合并!$A:$B,2,FALSE))</f>
        <v/>
      </c>
      <c r="AJ724" s="8"/>
      <c r="AK724" s="8"/>
      <c r="AM724" s="8" t="str">
        <f>IF(AN724="","",VLOOKUP(AN724,引用表合并!$A:$B,2,FALSE))</f>
        <v/>
      </c>
      <c r="AN724" s="8"/>
      <c r="AO724" s="8"/>
      <c r="AQ724" s="8" t="str">
        <f>IF(AR724="","",VLOOKUP(AR724,引用表合并!$A:$B,2,FALSE))</f>
        <v/>
      </c>
      <c r="AR724" s="8"/>
      <c r="AS724" s="8"/>
      <c r="AU724" s="8" t="str">
        <f>IF(AV724="","",VLOOKUP(AV724,引用表合并!$A:$B,2,FALSE))</f>
        <v/>
      </c>
      <c r="AV724" s="8"/>
      <c r="AW724" s="8"/>
      <c r="AY724" s="8" t="str">
        <f>IF(AZ724="","",VLOOKUP(AZ724,引用表合并!$A:$B,2,FALSE))</f>
        <v/>
      </c>
      <c r="AZ724" s="8"/>
      <c r="BA724" s="8"/>
      <c r="BC724" s="8" t="str">
        <f>IF(BD724="","",VLOOKUP(BD724,引用表合并!$A:$B,2,FALSE))</f>
        <v/>
      </c>
      <c r="BD724" s="8"/>
      <c r="BF724" s="10"/>
      <c r="BG724" s="8" t="str">
        <f>IF(BH724="","",VLOOKUP(BH724,引用表合并!$A:$B,2,FALSE))</f>
        <v/>
      </c>
      <c r="BH724" s="8"/>
      <c r="BJ724" s="10"/>
      <c r="BK724" s="8" t="str">
        <f>IF(BL724="","",VLOOKUP(BL724,引用表合并!$A:$B,2,FALSE))</f>
        <v/>
      </c>
      <c r="BL724" s="8"/>
      <c r="BN724" s="10"/>
      <c r="FK724" s="8">
        <v>6</v>
      </c>
      <c r="FL724" s="8">
        <v>0</v>
      </c>
    </row>
    <row r="725" spans="1:168" x14ac:dyDescent="0.15">
      <c r="A725" s="8">
        <v>700706</v>
      </c>
      <c r="B725" s="8" t="s">
        <v>215</v>
      </c>
      <c r="C725" s="8">
        <v>0</v>
      </c>
      <c r="D725" s="8">
        <f t="shared" si="109"/>
        <v>6</v>
      </c>
      <c r="E725" s="16">
        <f t="shared" si="110"/>
        <v>6</v>
      </c>
      <c r="F725" s="16">
        <f t="shared" si="100"/>
        <v>6</v>
      </c>
      <c r="G725" s="8" t="str">
        <f>IF(H725="","",VLOOKUP(H725,引用表合并!$A:$B,2,FALSE))</f>
        <v>红石耳钉碎片</v>
      </c>
      <c r="H725" s="76">
        <v>93125</v>
      </c>
      <c r="I725" s="35">
        <v>1</v>
      </c>
      <c r="J725" s="35">
        <f t="shared" si="101"/>
        <v>2900</v>
      </c>
      <c r="K725" s="8" t="str">
        <f>IF(L725="","",VLOOKUP(L725,引用表合并!$A:$B,2,FALSE))</f>
        <v>智能手表碎片</v>
      </c>
      <c r="L725" s="75">
        <v>93273</v>
      </c>
      <c r="M725" s="34">
        <v>1</v>
      </c>
      <c r="N725" s="34">
        <f t="shared" si="102"/>
        <v>2900</v>
      </c>
      <c r="O725" s="8" t="str">
        <f>IF(P725="","",VLOOKUP(P725,引用表合并!$A:$B,2,FALSE))</f>
        <v>金针手表碎片</v>
      </c>
      <c r="P725" s="75">
        <v>93272</v>
      </c>
      <c r="Q725" s="34">
        <v>1</v>
      </c>
      <c r="R725" s="34">
        <f t="shared" si="103"/>
        <v>2900</v>
      </c>
      <c r="S725" s="34" t="str">
        <f>IF(T725="","",VLOOKUP(T725,引用表合并!$A:$B,2,FALSE))</f>
        <v>黄金戒指碎片</v>
      </c>
      <c r="T725" s="75">
        <v>93142</v>
      </c>
      <c r="U725" s="34">
        <v>1</v>
      </c>
      <c r="V725" s="34">
        <f t="shared" si="104"/>
        <v>2900</v>
      </c>
      <c r="W725" s="8" t="str">
        <f>IF(X725="","",VLOOKUP(X725,引用表合并!$A:$B,2,FALSE))</f>
        <v>稀有装备升级石</v>
      </c>
      <c r="X725" s="8">
        <v>85300</v>
      </c>
      <c r="Y725" s="10">
        <v>1</v>
      </c>
      <c r="Z725" s="10">
        <f t="shared" si="106"/>
        <v>2600</v>
      </c>
      <c r="AA725" s="8" t="str">
        <f>IF(AB725="","",VLOOKUP(AB725,引用表合并!$A:$B,2,FALSE))</f>
        <v>高级装备升级石</v>
      </c>
      <c r="AB725" s="8">
        <v>85200</v>
      </c>
      <c r="AC725" s="8">
        <v>1</v>
      </c>
      <c r="AD725" s="10">
        <f t="shared" si="107"/>
        <v>10000</v>
      </c>
      <c r="AE725" s="8" t="str">
        <f>IF(AF725="","",VLOOKUP(AF725,引用表合并!$A:$B,2,FALSE))</f>
        <v/>
      </c>
      <c r="AF725" s="8"/>
      <c r="AI725" s="8"/>
      <c r="AJ725" s="8"/>
      <c r="AK725" s="8"/>
      <c r="AM725" s="8" t="str">
        <f>IF(AN725="","",VLOOKUP(AN725,引用表合并!$A:$B,2,FALSE))</f>
        <v/>
      </c>
      <c r="AN725" s="8"/>
      <c r="AO725" s="8"/>
      <c r="AQ725" s="8" t="str">
        <f>IF(AR725="","",VLOOKUP(AR725,引用表合并!$A:$B,2,FALSE))</f>
        <v/>
      </c>
      <c r="AR725" s="8"/>
      <c r="AS725" s="8"/>
      <c r="AU725" s="8" t="str">
        <f>IF(AV725="","",VLOOKUP(AV725,引用表合并!$A:$B,2,FALSE))</f>
        <v/>
      </c>
      <c r="AV725" s="8"/>
      <c r="AW725" s="8"/>
      <c r="AY725" s="8" t="str">
        <f>IF(AZ725="","",VLOOKUP(AZ725,引用表合并!$A:$B,2,FALSE))</f>
        <v/>
      </c>
      <c r="AZ725" s="8"/>
      <c r="BA725" s="8"/>
      <c r="BC725" s="8" t="str">
        <f>IF(BD725="","",VLOOKUP(BD725,引用表合并!$A:$B,2,FALSE))</f>
        <v/>
      </c>
      <c r="BD725" s="8"/>
      <c r="BF725" s="10"/>
      <c r="BG725" s="8" t="str">
        <f>IF(BH725="","",VLOOKUP(BH725,引用表合并!$A:$B,2,FALSE))</f>
        <v/>
      </c>
      <c r="BH725" s="8"/>
      <c r="BJ725" s="10"/>
      <c r="BK725" s="8" t="str">
        <f>IF(BL725="","",VLOOKUP(BL725,引用表合并!$A:$B,2,FALSE))</f>
        <v/>
      </c>
      <c r="BL725" s="8"/>
      <c r="BN725" s="10"/>
      <c r="FK725" s="8">
        <v>6</v>
      </c>
      <c r="FL725" s="8">
        <v>12</v>
      </c>
    </row>
    <row r="726" spans="1:168" x14ac:dyDescent="0.15">
      <c r="A726" s="8">
        <v>700707</v>
      </c>
      <c r="B726" s="8" t="s">
        <v>216</v>
      </c>
      <c r="C726" s="8">
        <v>0</v>
      </c>
      <c r="D726" s="8">
        <f t="shared" si="109"/>
        <v>6</v>
      </c>
      <c r="E726" s="16">
        <f t="shared" si="110"/>
        <v>6</v>
      </c>
      <c r="F726" s="16">
        <f t="shared" si="100"/>
        <v>6</v>
      </c>
      <c r="G726" s="8" t="str">
        <f>IF(H726="","",VLOOKUP(H726,引用表合并!$A:$B,2,FALSE))</f>
        <v>毒蝎耳钉碎片</v>
      </c>
      <c r="H726" s="76">
        <v>93134</v>
      </c>
      <c r="I726" s="35">
        <v>1</v>
      </c>
      <c r="J726" s="35">
        <f t="shared" si="101"/>
        <v>2300</v>
      </c>
      <c r="K726" s="8" t="str">
        <f>IF(L726="","",VLOOKUP(L726,引用表合并!$A:$B,2,FALSE))</f>
        <v>宾倪碎片</v>
      </c>
      <c r="L726" s="75">
        <v>93279</v>
      </c>
      <c r="M726" s="34">
        <v>1</v>
      </c>
      <c r="N726" s="34">
        <f t="shared" si="102"/>
        <v>2300</v>
      </c>
      <c r="O726" s="8" t="str">
        <f>IF(P726="","",VLOOKUP(P726,引用表合并!$A:$B,2,FALSE))</f>
        <v>智能手表碎片</v>
      </c>
      <c r="P726" s="75">
        <v>93273</v>
      </c>
      <c r="Q726" s="34">
        <v>1</v>
      </c>
      <c r="R726" s="34">
        <f t="shared" si="103"/>
        <v>2300</v>
      </c>
      <c r="S726" s="34" t="str">
        <f>IF(T726="","",VLOOKUP(T726,引用表合并!$A:$B,2,FALSE))</f>
        <v>宝石手环碎片</v>
      </c>
      <c r="T726" s="75">
        <v>93235</v>
      </c>
      <c r="U726" s="34">
        <v>1</v>
      </c>
      <c r="V726" s="34">
        <f t="shared" si="104"/>
        <v>2300</v>
      </c>
      <c r="W726" s="8" t="str">
        <f>IF(X726="","",VLOOKUP(X726,引用表合并!$A:$B,2,FALSE))</f>
        <v>稀有装备升级石</v>
      </c>
      <c r="X726" s="8">
        <v>85300</v>
      </c>
      <c r="Y726" s="10">
        <v>1</v>
      </c>
      <c r="Z726" s="10">
        <f t="shared" si="106"/>
        <v>2800</v>
      </c>
      <c r="AA726" s="8" t="str">
        <f>IF(AB726="","",VLOOKUP(AB726,引用表合并!$A:$B,2,FALSE))</f>
        <v>高级装备升级石</v>
      </c>
      <c r="AB726" s="8">
        <v>85200</v>
      </c>
      <c r="AC726" s="8">
        <v>1</v>
      </c>
      <c r="AD726" s="10">
        <f t="shared" si="107"/>
        <v>3000</v>
      </c>
      <c r="AE726" s="8" t="str">
        <f>IF(AF726="","",VLOOKUP(AF726,引用表合并!$A:$B,2,FALSE))</f>
        <v/>
      </c>
      <c r="AF726" s="8"/>
      <c r="AI726" s="8"/>
      <c r="AJ726" s="8"/>
      <c r="AK726" s="8"/>
      <c r="AM726" s="8" t="str">
        <f>IF(AN726="","",VLOOKUP(AN726,引用表合并!$A:$B,2,FALSE))</f>
        <v/>
      </c>
      <c r="AN726" s="8"/>
      <c r="AO726" s="8"/>
      <c r="AQ726" s="8" t="str">
        <f>IF(AR726="","",VLOOKUP(AR726,引用表合并!$A:$B,2,FALSE))</f>
        <v/>
      </c>
      <c r="AR726" s="8"/>
      <c r="AS726" s="8"/>
      <c r="AU726" s="8" t="str">
        <f>IF(AV726="","",VLOOKUP(AV726,引用表合并!$A:$B,2,FALSE))</f>
        <v/>
      </c>
      <c r="AV726" s="8"/>
      <c r="AW726" s="8"/>
      <c r="AY726" s="8" t="str">
        <f>IF(AZ726="","",VLOOKUP(AZ726,引用表合并!$A:$B,2,FALSE))</f>
        <v/>
      </c>
      <c r="AZ726" s="8"/>
      <c r="BA726" s="8"/>
      <c r="BC726" s="8" t="str">
        <f>IF(BD726="","",VLOOKUP(BD726,引用表合并!$A:$B,2,FALSE))</f>
        <v/>
      </c>
      <c r="BD726" s="8"/>
      <c r="BF726" s="10"/>
      <c r="BG726" s="8" t="str">
        <f>IF(BH726="","",VLOOKUP(BH726,引用表合并!$A:$B,2,FALSE))</f>
        <v/>
      </c>
      <c r="BH726" s="8"/>
      <c r="BJ726" s="10"/>
      <c r="BK726" s="8" t="str">
        <f>IF(BL726="","",VLOOKUP(BL726,引用表合并!$A:$B,2,FALSE))</f>
        <v/>
      </c>
      <c r="BL726" s="8"/>
      <c r="BN726" s="10"/>
      <c r="FK726" s="8">
        <v>6</v>
      </c>
      <c r="FL726" s="8">
        <v>0</v>
      </c>
    </row>
    <row r="727" spans="1:168" x14ac:dyDescent="0.15">
      <c r="A727" s="8">
        <v>700708</v>
      </c>
      <c r="B727" s="8" t="s">
        <v>217</v>
      </c>
      <c r="C727" s="8">
        <v>0</v>
      </c>
      <c r="D727" s="8">
        <f t="shared" si="109"/>
        <v>6</v>
      </c>
      <c r="E727" s="16">
        <f t="shared" si="110"/>
        <v>6</v>
      </c>
      <c r="F727" s="16">
        <f t="shared" si="100"/>
        <v>6</v>
      </c>
      <c r="G727" s="8" t="str">
        <f>IF(H727="","",VLOOKUP(H727,引用表合并!$A:$B,2,FALSE))</f>
        <v>赤金戒指碎片</v>
      </c>
      <c r="H727" s="76">
        <v>93223</v>
      </c>
      <c r="I727" s="35">
        <v>1</v>
      </c>
      <c r="J727" s="35">
        <f t="shared" si="101"/>
        <v>2300</v>
      </c>
      <c r="K727" s="8" t="str">
        <f>IF(L727="","",VLOOKUP(L727,引用表合并!$A:$B,2,FALSE))</f>
        <v>大迭钞票碎片</v>
      </c>
      <c r="L727" s="75">
        <v>93284</v>
      </c>
      <c r="M727" s="34">
        <v>1</v>
      </c>
      <c r="N727" s="34">
        <f t="shared" si="102"/>
        <v>2300</v>
      </c>
      <c r="O727" s="8" t="str">
        <f>IF(P727="","",VLOOKUP(P727,引用表合并!$A:$B,2,FALSE))</f>
        <v>宾倪碎片</v>
      </c>
      <c r="P727" s="75">
        <v>93279</v>
      </c>
      <c r="Q727" s="34">
        <v>1</v>
      </c>
      <c r="R727" s="34">
        <f t="shared" si="103"/>
        <v>2300</v>
      </c>
      <c r="S727" s="34" t="str">
        <f>IF(T727="","",VLOOKUP(T727,引用表合并!$A:$B,2,FALSE))</f>
        <v>摩拉碎片</v>
      </c>
      <c r="T727" s="75">
        <v>93012</v>
      </c>
      <c r="U727" s="34">
        <v>1</v>
      </c>
      <c r="V727" s="34">
        <f t="shared" si="104"/>
        <v>2300</v>
      </c>
      <c r="W727" s="8" t="str">
        <f>IF(X727="","",VLOOKUP(X727,引用表合并!$A:$B,2,FALSE))</f>
        <v>稀有装备升级石</v>
      </c>
      <c r="X727" s="8">
        <v>85300</v>
      </c>
      <c r="Y727" s="10">
        <v>1</v>
      </c>
      <c r="Z727" s="10">
        <f t="shared" si="106"/>
        <v>3000</v>
      </c>
      <c r="AA727" s="8" t="str">
        <f>IF(AB727="","",VLOOKUP(AB727,引用表合并!$A:$B,2,FALSE))</f>
        <v>高级装备升级石</v>
      </c>
      <c r="AB727" s="8">
        <v>85200</v>
      </c>
      <c r="AC727" s="8">
        <v>1</v>
      </c>
      <c r="AD727" s="10">
        <f t="shared" si="107"/>
        <v>3200</v>
      </c>
      <c r="AE727" s="8" t="str">
        <f>IF(AF727="","",VLOOKUP(AF727,引用表合并!$A:$B,2,FALSE))</f>
        <v/>
      </c>
      <c r="AF727" s="8"/>
      <c r="AI727" s="8"/>
      <c r="AJ727" s="8"/>
      <c r="AK727" s="8"/>
      <c r="AM727" s="8" t="str">
        <f>IF(AN727="","",VLOOKUP(AN727,引用表合并!$A:$B,2,FALSE))</f>
        <v/>
      </c>
      <c r="AN727" s="8"/>
      <c r="AO727" s="8"/>
      <c r="AQ727" s="8" t="str">
        <f>IF(AR727="","",VLOOKUP(AR727,引用表合并!$A:$B,2,FALSE))</f>
        <v/>
      </c>
      <c r="AR727" s="8"/>
      <c r="AS727" s="8"/>
      <c r="AU727" s="8" t="str">
        <f>IF(AV727="","",VLOOKUP(AV727,引用表合并!$A:$B,2,FALSE))</f>
        <v/>
      </c>
      <c r="AV727" s="8"/>
      <c r="AW727" s="8"/>
      <c r="AY727" s="8" t="str">
        <f>IF(AZ727="","",VLOOKUP(AZ727,引用表合并!$A:$B,2,FALSE))</f>
        <v/>
      </c>
      <c r="AZ727" s="8"/>
      <c r="BA727" s="8"/>
      <c r="BC727" s="8" t="str">
        <f>IF(BD727="","",VLOOKUP(BD727,引用表合并!$A:$B,2,FALSE))</f>
        <v/>
      </c>
      <c r="BD727" s="8"/>
      <c r="BF727" s="10"/>
      <c r="BG727" s="8" t="str">
        <f>IF(BH727="","",VLOOKUP(BH727,引用表合并!$A:$B,2,FALSE))</f>
        <v/>
      </c>
      <c r="BH727" s="8"/>
      <c r="BJ727" s="10"/>
      <c r="BK727" s="8" t="str">
        <f>IF(BL727="","",VLOOKUP(BL727,引用表合并!$A:$B,2,FALSE))</f>
        <v/>
      </c>
      <c r="BL727" s="8"/>
      <c r="BN727" s="10"/>
      <c r="FK727" s="8">
        <v>6</v>
      </c>
      <c r="FL727" s="8">
        <v>0</v>
      </c>
    </row>
    <row r="728" spans="1:168" x14ac:dyDescent="0.15">
      <c r="A728" s="8">
        <v>700709</v>
      </c>
      <c r="B728" s="8" t="s">
        <v>218</v>
      </c>
      <c r="C728" s="8">
        <v>0</v>
      </c>
      <c r="D728" s="8">
        <f t="shared" si="109"/>
        <v>6</v>
      </c>
      <c r="E728" s="16">
        <f t="shared" si="110"/>
        <v>6</v>
      </c>
      <c r="F728" s="16">
        <f t="shared" si="100"/>
        <v>6</v>
      </c>
      <c r="G728" s="8" t="str">
        <f>IF(H728="","",VLOOKUP(H728,引用表合并!$A:$B,2,FALSE))</f>
        <v>王者手环碎片</v>
      </c>
      <c r="H728" s="76">
        <v>93227</v>
      </c>
      <c r="I728" s="35">
        <v>1</v>
      </c>
      <c r="J728" s="35">
        <f t="shared" si="101"/>
        <v>3000</v>
      </c>
      <c r="K728" s="8" t="str">
        <f>IF(L728="","",VLOOKUP(L728,引用表合并!$A:$B,2,FALSE))</f>
        <v>大金块碎片</v>
      </c>
      <c r="L728" s="75">
        <v>93288</v>
      </c>
      <c r="M728" s="34">
        <v>1</v>
      </c>
      <c r="N728" s="34">
        <f t="shared" si="102"/>
        <v>3000</v>
      </c>
      <c r="O728" s="8" t="str">
        <f>IF(P728="","",VLOOKUP(P728,引用表合并!$A:$B,2,FALSE))</f>
        <v>大迭钞票碎片</v>
      </c>
      <c r="P728" s="75">
        <v>93284</v>
      </c>
      <c r="Q728" s="34">
        <v>1</v>
      </c>
      <c r="R728" s="34">
        <f t="shared" si="103"/>
        <v>3000</v>
      </c>
      <c r="S728" s="34" t="str">
        <f>IF(T728="","",VLOOKUP(T728,引用表合并!$A:$B,2,FALSE))</f>
        <v>青玉项链碎片</v>
      </c>
      <c r="T728" s="75">
        <v>93252</v>
      </c>
      <c r="U728" s="34">
        <v>1</v>
      </c>
      <c r="V728" s="34">
        <f t="shared" si="104"/>
        <v>3000</v>
      </c>
      <c r="W728" s="8" t="str">
        <f>IF(X728="","",VLOOKUP(X728,引用表合并!$A:$B,2,FALSE))</f>
        <v>稀有装备升级石</v>
      </c>
      <c r="X728" s="8">
        <v>85300</v>
      </c>
      <c r="Y728" s="10">
        <v>1</v>
      </c>
      <c r="Z728" s="10">
        <f t="shared" si="106"/>
        <v>10000</v>
      </c>
      <c r="AA728" s="8" t="str">
        <f>IF(AB728="","",VLOOKUP(AB728,引用表合并!$A:$B,2,FALSE))</f>
        <v>高级装备升级石</v>
      </c>
      <c r="AB728" s="8">
        <v>85200</v>
      </c>
      <c r="AC728" s="8">
        <v>1</v>
      </c>
      <c r="AD728" s="10">
        <f t="shared" si="107"/>
        <v>2000</v>
      </c>
      <c r="AE728" s="8" t="str">
        <f>IF(AF728="","",VLOOKUP(AF728,引用表合并!$A:$B,2,FALSE))</f>
        <v/>
      </c>
      <c r="AF728" s="8"/>
      <c r="AI728" s="8"/>
      <c r="AJ728" s="8"/>
      <c r="AK728" s="8"/>
      <c r="AM728" s="8" t="str">
        <f>IF(AN728="","",VLOOKUP(AN728,引用表合并!$A:$B,2,FALSE))</f>
        <v/>
      </c>
      <c r="AN728" s="8"/>
      <c r="AO728" s="8"/>
      <c r="AQ728" s="8" t="str">
        <f>IF(AR728="","",VLOOKUP(AR728,引用表合并!$A:$B,2,FALSE))</f>
        <v/>
      </c>
      <c r="AR728" s="8"/>
      <c r="AS728" s="8"/>
      <c r="AU728" s="8" t="str">
        <f>IF(AV728="","",VLOOKUP(AV728,引用表合并!$A:$B,2,FALSE))</f>
        <v/>
      </c>
      <c r="AV728" s="8"/>
      <c r="AW728" s="8"/>
      <c r="AY728" s="8" t="str">
        <f>IF(AZ728="","",VLOOKUP(AZ728,引用表合并!$A:$B,2,FALSE))</f>
        <v/>
      </c>
      <c r="AZ728" s="8"/>
      <c r="BA728" s="8"/>
      <c r="BC728" s="8" t="str">
        <f>IF(BD728="","",VLOOKUP(BD728,引用表合并!$A:$B,2,FALSE))</f>
        <v/>
      </c>
      <c r="BD728" s="8"/>
      <c r="BF728" s="10"/>
      <c r="BG728" s="8" t="str">
        <f>IF(BH728="","",VLOOKUP(BH728,引用表合并!$A:$B,2,FALSE))</f>
        <v/>
      </c>
      <c r="BH728" s="8"/>
      <c r="BJ728" s="10"/>
      <c r="BK728" s="8" t="str">
        <f>IF(BL728="","",VLOOKUP(BL728,引用表合并!$A:$B,2,FALSE))</f>
        <v/>
      </c>
      <c r="BL728" s="8"/>
      <c r="BN728" s="10"/>
      <c r="FK728" s="8">
        <v>6</v>
      </c>
      <c r="FL728" s="8">
        <v>14</v>
      </c>
    </row>
    <row r="729" spans="1:168" x14ac:dyDescent="0.15">
      <c r="A729" s="8">
        <v>700710</v>
      </c>
      <c r="B729" s="8" t="s">
        <v>219</v>
      </c>
      <c r="C729" s="8">
        <v>0</v>
      </c>
      <c r="D729" s="8">
        <f t="shared" si="109"/>
        <v>6</v>
      </c>
      <c r="E729" s="16">
        <f t="shared" si="110"/>
        <v>6</v>
      </c>
      <c r="F729" s="16">
        <f t="shared" si="100"/>
        <v>6</v>
      </c>
      <c r="G729" s="8" t="str">
        <f>IF(H729="","",VLOOKUP(H729,引用表合并!$A:$B,2,FALSE))</f>
        <v>符文手环碎片</v>
      </c>
      <c r="H729" s="76">
        <v>93236</v>
      </c>
      <c r="I729" s="35">
        <v>1</v>
      </c>
      <c r="J729" s="35">
        <f t="shared" si="101"/>
        <v>2700</v>
      </c>
      <c r="K729" s="8" t="str">
        <f>IF(L729="","",VLOOKUP(L729,引用表合并!$A:$B,2,FALSE))</f>
        <v>黄金戒指碎片</v>
      </c>
      <c r="L729" s="75">
        <v>93142</v>
      </c>
      <c r="M729" s="34">
        <v>1</v>
      </c>
      <c r="N729" s="34">
        <f t="shared" si="102"/>
        <v>2700</v>
      </c>
      <c r="O729" s="8" t="str">
        <f>IF(P729="","",VLOOKUP(P729,引用表合并!$A:$B,2,FALSE))</f>
        <v>大金块碎片</v>
      </c>
      <c r="P729" s="75">
        <v>93288</v>
      </c>
      <c r="Q729" s="34">
        <v>1</v>
      </c>
      <c r="R729" s="34">
        <f t="shared" si="103"/>
        <v>2700</v>
      </c>
      <c r="S729" s="34" t="str">
        <f>IF(T729="","",VLOOKUP(T729,引用表合并!$A:$B,2,FALSE))</f>
        <v>水晶耳钉碎片</v>
      </c>
      <c r="T729" s="75">
        <v>93124</v>
      </c>
      <c r="U729" s="34">
        <v>1</v>
      </c>
      <c r="V729" s="34">
        <f t="shared" si="104"/>
        <v>2700</v>
      </c>
      <c r="W729" s="8" t="str">
        <f>IF(X729="","",VLOOKUP(X729,引用表合并!$A:$B,2,FALSE))</f>
        <v>稀有装备升级石</v>
      </c>
      <c r="X729" s="8">
        <v>85300</v>
      </c>
      <c r="Y729" s="10">
        <v>1</v>
      </c>
      <c r="Z729" s="10">
        <f t="shared" si="106"/>
        <v>3200</v>
      </c>
      <c r="AA729" s="8" t="str">
        <f>IF(AB729="","",VLOOKUP(AB729,引用表合并!$A:$B,2,FALSE))</f>
        <v>高级装备升级石</v>
      </c>
      <c r="AB729" s="8">
        <v>85200</v>
      </c>
      <c r="AC729" s="8">
        <v>1</v>
      </c>
      <c r="AD729" s="10">
        <f t="shared" si="107"/>
        <v>3400</v>
      </c>
      <c r="AE729" s="8" t="str">
        <f>IF(AF729="","",VLOOKUP(AF729,引用表合并!$A:$B,2,FALSE))</f>
        <v/>
      </c>
      <c r="AF729" s="8"/>
      <c r="AI729" s="8"/>
      <c r="AJ729" s="8"/>
      <c r="AK729" s="8"/>
      <c r="AM729" s="8" t="str">
        <f>IF(AN729="","",VLOOKUP(AN729,引用表合并!$A:$B,2,FALSE))</f>
        <v/>
      </c>
      <c r="AN729" s="8"/>
      <c r="AO729" s="8"/>
      <c r="AQ729" s="8" t="str">
        <f>IF(AR729="","",VLOOKUP(AR729,引用表合并!$A:$B,2,FALSE))</f>
        <v/>
      </c>
      <c r="AR729" s="8"/>
      <c r="AS729" s="8"/>
      <c r="AU729" s="8" t="str">
        <f>IF(AV729="","",VLOOKUP(AV729,引用表合并!$A:$B,2,FALSE))</f>
        <v/>
      </c>
      <c r="AV729" s="8"/>
      <c r="AW729" s="8"/>
      <c r="AY729" s="8" t="str">
        <f>IF(AZ729="","",VLOOKUP(AZ729,引用表合并!$A:$B,2,FALSE))</f>
        <v/>
      </c>
      <c r="AZ729" s="8"/>
      <c r="BA729" s="8"/>
      <c r="BC729" s="8" t="str">
        <f>IF(BD729="","",VLOOKUP(BD729,引用表合并!$A:$B,2,FALSE))</f>
        <v/>
      </c>
      <c r="BD729" s="8"/>
      <c r="BF729" s="10"/>
      <c r="BG729" s="8" t="str">
        <f>IF(BH729="","",VLOOKUP(BH729,引用表合并!$A:$B,2,FALSE))</f>
        <v/>
      </c>
      <c r="BH729" s="8"/>
      <c r="BJ729" s="10"/>
      <c r="BK729" s="8" t="str">
        <f>IF(BL729="","",VLOOKUP(BL729,引用表合并!$A:$B,2,FALSE))</f>
        <v/>
      </c>
      <c r="BL729" s="8"/>
      <c r="BN729" s="10"/>
      <c r="FK729" s="8">
        <v>6</v>
      </c>
      <c r="FL729" s="8">
        <v>8</v>
      </c>
    </row>
    <row r="730" spans="1:168" x14ac:dyDescent="0.15">
      <c r="A730" s="8">
        <v>700711</v>
      </c>
      <c r="B730" s="8" t="s">
        <v>220</v>
      </c>
      <c r="C730" s="8">
        <v>0</v>
      </c>
      <c r="D730" s="8">
        <f t="shared" si="109"/>
        <v>6</v>
      </c>
      <c r="E730" s="16">
        <f t="shared" si="110"/>
        <v>6</v>
      </c>
      <c r="F730" s="16">
        <f t="shared" si="100"/>
        <v>6</v>
      </c>
      <c r="G730" s="8" t="str">
        <f>IF(H730="","",VLOOKUP(H730,引用表合并!$A:$B,2,FALSE))</f>
        <v>月立碎片</v>
      </c>
      <c r="H730" s="76">
        <v>93013</v>
      </c>
      <c r="I730" s="35">
        <v>1</v>
      </c>
      <c r="J730" s="35">
        <f t="shared" si="101"/>
        <v>2700</v>
      </c>
      <c r="K730" s="8" t="str">
        <f>IF(L730="","",VLOOKUP(L730,引用表合并!$A:$B,2,FALSE))</f>
        <v>红石耳钉碎片</v>
      </c>
      <c r="L730" s="76">
        <v>93125</v>
      </c>
      <c r="M730" s="35">
        <v>1</v>
      </c>
      <c r="N730" s="35">
        <f t="shared" si="102"/>
        <v>2700</v>
      </c>
      <c r="O730" s="35" t="str">
        <f>IF(P730="","",VLOOKUP(P730,引用表合并!$A:$B,2,FALSE))</f>
        <v>猫妖项链碎片</v>
      </c>
      <c r="P730" s="76">
        <v>93253</v>
      </c>
      <c r="Q730" s="35">
        <v>1</v>
      </c>
      <c r="R730" s="35">
        <f t="shared" si="103"/>
        <v>2700</v>
      </c>
      <c r="S730" s="8" t="str">
        <f>IF(T730="","",VLOOKUP(T730,引用表合并!$A:$B,2,FALSE))</f>
        <v>赤金戒指碎片</v>
      </c>
      <c r="T730" s="76">
        <v>93223</v>
      </c>
      <c r="U730" s="35">
        <v>1</v>
      </c>
      <c r="V730" s="35">
        <f t="shared" si="104"/>
        <v>2700</v>
      </c>
      <c r="W730" s="8" t="str">
        <f>IF(X730="","",VLOOKUP(X730,引用表合并!$A:$B,2,FALSE))</f>
        <v>史诗装备升级石</v>
      </c>
      <c r="X730" s="8">
        <v>85400</v>
      </c>
      <c r="Y730" s="8">
        <v>1</v>
      </c>
      <c r="Z730" s="10">
        <f t="shared" si="106"/>
        <v>3400</v>
      </c>
      <c r="AA730" s="8" t="str">
        <f>IF(AB730="","",VLOOKUP(AB730,引用表合并!$A:$B,2,FALSE))</f>
        <v>高级装备升级石</v>
      </c>
      <c r="AB730" s="8">
        <v>85200</v>
      </c>
      <c r="AC730" s="8">
        <v>1</v>
      </c>
      <c r="AD730" s="10">
        <f t="shared" si="107"/>
        <v>3600</v>
      </c>
      <c r="AE730" s="8" t="str">
        <f>IF(AF730="","",VLOOKUP(AF730,引用表合并!$A:$B,2,FALSE))</f>
        <v/>
      </c>
      <c r="AF730" s="8"/>
      <c r="AI730" s="8" t="str">
        <f>IF(AJ730="","",VLOOKUP(AJ730,引用表合并!$A:$B,2,FALSE))</f>
        <v/>
      </c>
      <c r="AJ730" s="8"/>
      <c r="AK730" s="8"/>
      <c r="AM730" s="8" t="str">
        <f>IF(AN730="","",VLOOKUP(AN730,引用表合并!$A:$B,2,FALSE))</f>
        <v/>
      </c>
      <c r="AN730" s="8"/>
      <c r="AO730" s="8"/>
      <c r="AQ730" s="8" t="str">
        <f>IF(AR730="","",VLOOKUP(AR730,引用表合并!$A:$B,2,FALSE))</f>
        <v/>
      </c>
      <c r="AR730" s="8"/>
      <c r="AS730" s="8"/>
      <c r="AU730" s="8" t="str">
        <f>IF(AV730="","",VLOOKUP(AV730,引用表合并!$A:$B,2,FALSE))</f>
        <v/>
      </c>
      <c r="AV730" s="8"/>
      <c r="AW730" s="8"/>
      <c r="AY730" s="8" t="str">
        <f>IF(AZ730="","",VLOOKUP(AZ730,引用表合并!$A:$B,2,FALSE))</f>
        <v/>
      </c>
      <c r="AZ730" s="8"/>
      <c r="BA730" s="8"/>
      <c r="BC730" s="8" t="str">
        <f>IF(BD730="","",VLOOKUP(BD730,引用表合并!$A:$B,2,FALSE))</f>
        <v/>
      </c>
      <c r="BD730" s="8"/>
      <c r="BF730" s="10"/>
      <c r="BG730" s="8" t="str">
        <f>IF(BH730="","",VLOOKUP(BH730,引用表合并!$A:$B,2,FALSE))</f>
        <v/>
      </c>
      <c r="BH730" s="8"/>
      <c r="BJ730" s="10"/>
      <c r="BK730" s="8" t="str">
        <f>IF(BL730="","",VLOOKUP(BL730,引用表合并!$A:$B,2,FALSE))</f>
        <v/>
      </c>
      <c r="BL730" s="8"/>
      <c r="BN730" s="10"/>
      <c r="FK730" s="8">
        <v>6</v>
      </c>
      <c r="FL730" s="8">
        <v>8</v>
      </c>
    </row>
    <row r="731" spans="1:168" x14ac:dyDescent="0.15">
      <c r="A731" s="8">
        <v>700712</v>
      </c>
      <c r="B731" s="8" t="s">
        <v>221</v>
      </c>
      <c r="C731" s="8">
        <v>0</v>
      </c>
      <c r="D731" s="8">
        <f t="shared" si="109"/>
        <v>6</v>
      </c>
      <c r="E731" s="16">
        <f t="shared" si="110"/>
        <v>6</v>
      </c>
      <c r="F731" s="16">
        <f t="shared" si="100"/>
        <v>6</v>
      </c>
      <c r="G731" s="8" t="str">
        <f>IF(H731="","",VLOOKUP(H731,引用表合并!$A:$B,2,FALSE))</f>
        <v>猫妖项链碎片</v>
      </c>
      <c r="H731" s="76">
        <v>93253</v>
      </c>
      <c r="I731" s="35">
        <v>1</v>
      </c>
      <c r="J731" s="35">
        <f t="shared" si="101"/>
        <v>3100</v>
      </c>
      <c r="K731" s="8" t="str">
        <f>IF(L731="","",VLOOKUP(L731,引用表合并!$A:$B,2,FALSE))</f>
        <v>毒蝎耳钉碎片</v>
      </c>
      <c r="L731" s="76">
        <v>93134</v>
      </c>
      <c r="M731" s="35">
        <v>1</v>
      </c>
      <c r="N731" s="35">
        <f t="shared" si="102"/>
        <v>3100</v>
      </c>
      <c r="O731" s="35" t="str">
        <f>IF(P731="","",VLOOKUP(P731,引用表合并!$A:$B,2,FALSE))</f>
        <v>苍蓝项链碎片</v>
      </c>
      <c r="P731" s="76">
        <v>93254</v>
      </c>
      <c r="Q731" s="35">
        <v>1</v>
      </c>
      <c r="R731" s="35">
        <f t="shared" si="103"/>
        <v>3100</v>
      </c>
      <c r="S731" s="8" t="str">
        <f>IF(T731="","",VLOOKUP(T731,引用表合并!$A:$B,2,FALSE))</f>
        <v>王者手环碎片</v>
      </c>
      <c r="T731" s="76">
        <v>93227</v>
      </c>
      <c r="U731" s="35">
        <v>1</v>
      </c>
      <c r="V731" s="35">
        <f t="shared" si="104"/>
        <v>3100</v>
      </c>
      <c r="W731" s="8" t="str">
        <f>IF(X731="","",VLOOKUP(X731,引用表合并!$A:$B,2,FALSE))</f>
        <v>史诗装备升级石</v>
      </c>
      <c r="X731" s="8">
        <v>85400</v>
      </c>
      <c r="Y731" s="8">
        <v>1</v>
      </c>
      <c r="Z731" s="10">
        <f t="shared" si="106"/>
        <v>4600</v>
      </c>
      <c r="AA731" s="8" t="str">
        <f>IF(AB731="","",VLOOKUP(AB731,引用表合并!$A:$B,2,FALSE))</f>
        <v>稀有装备升级石</v>
      </c>
      <c r="AB731" s="8">
        <v>85300</v>
      </c>
      <c r="AC731" s="10">
        <v>1</v>
      </c>
      <c r="AD731" s="10">
        <f t="shared" si="107"/>
        <v>10000</v>
      </c>
      <c r="AE731" s="8" t="str">
        <f>IF(AF731="","",VLOOKUP(AF731,引用表合并!$A:$B,2,FALSE))</f>
        <v/>
      </c>
      <c r="AF731" s="8"/>
      <c r="AG731" s="8"/>
      <c r="AI731" s="8" t="str">
        <f>IF(AJ731="","",VLOOKUP(AJ731,引用表合并!$A:$B,2,FALSE))</f>
        <v/>
      </c>
      <c r="AJ731" s="8"/>
      <c r="AK731" s="8"/>
      <c r="AM731" s="8" t="str">
        <f>IF(AN731="","",VLOOKUP(AN731,引用表合并!$A:$B,2,FALSE))</f>
        <v/>
      </c>
      <c r="AN731" s="8"/>
      <c r="AO731" s="8"/>
      <c r="AQ731" s="8" t="str">
        <f>IF(AR731="","",VLOOKUP(AR731,引用表合并!$A:$B,2,FALSE))</f>
        <v/>
      </c>
      <c r="AR731" s="8"/>
      <c r="AS731" s="8"/>
      <c r="AU731" s="8" t="str">
        <f>IF(AV731="","",VLOOKUP(AV731,引用表合并!$A:$B,2,FALSE))</f>
        <v/>
      </c>
      <c r="AV731" s="8"/>
      <c r="AW731" s="8"/>
      <c r="AY731" s="8" t="str">
        <f>IF(AZ731="","",VLOOKUP(AZ731,引用表合并!$A:$B,2,FALSE))</f>
        <v/>
      </c>
      <c r="AZ731" s="8"/>
      <c r="BA731" s="8"/>
      <c r="BC731" s="8" t="str">
        <f>IF(BD731="","",VLOOKUP(BD731,引用表合并!$A:$B,2,FALSE))</f>
        <v/>
      </c>
      <c r="BD731" s="8"/>
      <c r="BF731" s="10"/>
      <c r="BG731" s="8" t="str">
        <f>IF(BH731="","",VLOOKUP(BH731,引用表合并!$A:$B,2,FALSE))</f>
        <v/>
      </c>
      <c r="BH731" s="8"/>
      <c r="BJ731" s="10"/>
      <c r="BK731" s="8" t="str">
        <f>IF(BL731="","",VLOOKUP(BL731,引用表合并!$A:$B,2,FALSE))</f>
        <v/>
      </c>
      <c r="BL731" s="8"/>
      <c r="BN731" s="10"/>
      <c r="FK731" s="8">
        <v>6</v>
      </c>
      <c r="FL731" s="8">
        <v>16</v>
      </c>
    </row>
    <row r="732" spans="1:168" x14ac:dyDescent="0.15">
      <c r="A732" s="8">
        <v>700713</v>
      </c>
      <c r="B732" s="8" t="s">
        <v>222</v>
      </c>
      <c r="C732" s="8">
        <v>0</v>
      </c>
      <c r="D732" s="8">
        <f t="shared" si="109"/>
        <v>6</v>
      </c>
      <c r="E732" s="16">
        <f t="shared" si="110"/>
        <v>6</v>
      </c>
      <c r="F732" s="16">
        <f t="shared" si="100"/>
        <v>6</v>
      </c>
      <c r="G732" s="8" t="str">
        <f>IF(H732="","",VLOOKUP(H732,引用表合并!$A:$B,2,FALSE))</f>
        <v>苍蓝项链碎片</v>
      </c>
      <c r="H732" s="76">
        <v>93254</v>
      </c>
      <c r="I732" s="35">
        <v>1</v>
      </c>
      <c r="J732" s="35">
        <f t="shared" si="101"/>
        <v>2800</v>
      </c>
      <c r="K732" s="8" t="str">
        <f>IF(L732="","",VLOOKUP(L732,引用表合并!$A:$B,2,FALSE))</f>
        <v>赤金戒指碎片</v>
      </c>
      <c r="L732" s="76">
        <v>93223</v>
      </c>
      <c r="M732" s="35">
        <v>1</v>
      </c>
      <c r="N732" s="35">
        <f t="shared" si="102"/>
        <v>2800</v>
      </c>
      <c r="O732" s="35" t="str">
        <f>IF(P732="","",VLOOKUP(P732,引用表合并!$A:$B,2,FALSE))</f>
        <v>汉密手表碎片</v>
      </c>
      <c r="P732" s="76">
        <v>93274</v>
      </c>
      <c r="Q732" s="35">
        <v>1</v>
      </c>
      <c r="R732" s="35">
        <f t="shared" si="103"/>
        <v>2800</v>
      </c>
      <c r="S732" s="8" t="str">
        <f>IF(T732="","",VLOOKUP(T732,引用表合并!$A:$B,2,FALSE))</f>
        <v>符文手环碎片</v>
      </c>
      <c r="T732" s="76">
        <v>93236</v>
      </c>
      <c r="U732" s="35">
        <v>1</v>
      </c>
      <c r="V732" s="35">
        <f t="shared" si="104"/>
        <v>2800</v>
      </c>
      <c r="W732" s="8" t="str">
        <f>IF(X732="","",VLOOKUP(X732,引用表合并!$A:$B,2,FALSE))</f>
        <v>史诗装备升级石</v>
      </c>
      <c r="X732" s="8">
        <v>85400</v>
      </c>
      <c r="Y732" s="8">
        <v>1</v>
      </c>
      <c r="Z732" s="10">
        <f t="shared" si="106"/>
        <v>3100</v>
      </c>
      <c r="AA732" s="8" t="str">
        <f>IF(AB732="","",VLOOKUP(AB732,引用表合并!$A:$B,2,FALSE))</f>
        <v>高级装备升级石</v>
      </c>
      <c r="AB732" s="8">
        <v>85200</v>
      </c>
      <c r="AC732" s="8">
        <v>1</v>
      </c>
      <c r="AD732" s="10">
        <f t="shared" si="107"/>
        <v>4000</v>
      </c>
      <c r="AE732" s="8" t="str">
        <f>IF(AF732="","",VLOOKUP(AF732,引用表合并!$A:$B,2,FALSE))</f>
        <v/>
      </c>
      <c r="AF732" s="8"/>
      <c r="AI732" s="8" t="str">
        <f>IF(AJ732="","",VLOOKUP(AJ732,引用表合并!$A:$B,2,FALSE))</f>
        <v/>
      </c>
      <c r="AJ732" s="8"/>
      <c r="AK732" s="8"/>
      <c r="AM732" s="8" t="str">
        <f>IF(AN732="","",VLOOKUP(AN732,引用表合并!$A:$B,2,FALSE))</f>
        <v/>
      </c>
      <c r="AN732" s="8"/>
      <c r="AO732" s="8"/>
      <c r="AQ732" s="8" t="str">
        <f>IF(AR732="","",VLOOKUP(AR732,引用表合并!$A:$B,2,FALSE))</f>
        <v/>
      </c>
      <c r="AR732" s="8"/>
      <c r="AS732" s="8"/>
      <c r="AU732" s="8" t="str">
        <f>IF(AV732="","",VLOOKUP(AV732,引用表合并!$A:$B,2,FALSE))</f>
        <v/>
      </c>
      <c r="AV732" s="8"/>
      <c r="AW732" s="8"/>
      <c r="AY732" s="8" t="str">
        <f>IF(AZ732="","",VLOOKUP(AZ732,引用表合并!$A:$B,2,FALSE))</f>
        <v/>
      </c>
      <c r="AZ732" s="8"/>
      <c r="BA732" s="8"/>
      <c r="BC732" s="8" t="str">
        <f>IF(BD732="","",VLOOKUP(BD732,引用表合并!$A:$B,2,FALSE))</f>
        <v/>
      </c>
      <c r="BD732" s="8"/>
      <c r="BF732" s="10"/>
      <c r="BG732" s="8" t="str">
        <f>IF(BH732="","",VLOOKUP(BH732,引用表合并!$A:$B,2,FALSE))</f>
        <v/>
      </c>
      <c r="BH732" s="8"/>
      <c r="BJ732" s="10"/>
      <c r="BK732" s="8" t="str">
        <f>IF(BL732="","",VLOOKUP(BL732,引用表合并!$A:$B,2,FALSE))</f>
        <v/>
      </c>
      <c r="BL732" s="8"/>
      <c r="BN732" s="10"/>
      <c r="FK732" s="8">
        <v>6</v>
      </c>
      <c r="FL732" s="8">
        <v>10</v>
      </c>
    </row>
    <row r="733" spans="1:168" x14ac:dyDescent="0.15">
      <c r="A733" s="8">
        <v>700714</v>
      </c>
      <c r="B733" s="8" t="s">
        <v>223</v>
      </c>
      <c r="C733" s="8">
        <v>0</v>
      </c>
      <c r="D733" s="8">
        <f t="shared" si="109"/>
        <v>6</v>
      </c>
      <c r="E733" s="16">
        <f t="shared" si="110"/>
        <v>6</v>
      </c>
      <c r="F733" s="16">
        <f t="shared" si="100"/>
        <v>6</v>
      </c>
      <c r="G733" s="8" t="str">
        <f>IF(H733="","",VLOOKUP(H733,引用表合并!$A:$B,2,FALSE))</f>
        <v>汉密手表碎片</v>
      </c>
      <c r="H733" s="76">
        <v>93274</v>
      </c>
      <c r="I733" s="35">
        <v>1</v>
      </c>
      <c r="J733" s="35">
        <f t="shared" si="101"/>
        <v>2800</v>
      </c>
      <c r="K733" s="8" t="str">
        <f>IF(L733="","",VLOOKUP(L733,引用表合并!$A:$B,2,FALSE))</f>
        <v>王者手环碎片</v>
      </c>
      <c r="L733" s="76">
        <v>93227</v>
      </c>
      <c r="M733" s="35">
        <v>1</v>
      </c>
      <c r="N733" s="35">
        <f t="shared" si="102"/>
        <v>2800</v>
      </c>
      <c r="O733" s="35" t="str">
        <f>IF(P733="","",VLOOKUP(P733,引用表合并!$A:$B,2,FALSE))</f>
        <v>法拉捷碎片</v>
      </c>
      <c r="P733" s="76">
        <v>93280</v>
      </c>
      <c r="Q733" s="35">
        <v>1</v>
      </c>
      <c r="R733" s="35">
        <f t="shared" si="103"/>
        <v>2800</v>
      </c>
      <c r="S733" s="8" t="str">
        <f>IF(T733="","",VLOOKUP(T733,引用表合并!$A:$B,2,FALSE))</f>
        <v>月立碎片</v>
      </c>
      <c r="T733" s="76">
        <v>93013</v>
      </c>
      <c r="U733" s="35">
        <v>1</v>
      </c>
      <c r="V733" s="35">
        <f t="shared" si="104"/>
        <v>2800</v>
      </c>
      <c r="W733" s="8" t="str">
        <f>IF(X733="","",VLOOKUP(X733,引用表合并!$A:$B,2,FALSE))</f>
        <v>史诗装备升级石</v>
      </c>
      <c r="X733" s="8">
        <v>85400</v>
      </c>
      <c r="Y733" s="8">
        <v>1</v>
      </c>
      <c r="Z733" s="10">
        <f t="shared" si="106"/>
        <v>3300</v>
      </c>
      <c r="AA733" s="8" t="str">
        <f>IF(AB733="","",VLOOKUP(AB733,引用表合并!$A:$B,2,FALSE))</f>
        <v>高级装备升级石</v>
      </c>
      <c r="AB733" s="8">
        <v>85200</v>
      </c>
      <c r="AC733" s="8">
        <v>1</v>
      </c>
      <c r="AD733" s="10">
        <f t="shared" si="107"/>
        <v>4200</v>
      </c>
      <c r="AE733" s="8" t="str">
        <f>IF(AF733="","",VLOOKUP(AF733,引用表合并!$A:$B,2,FALSE))</f>
        <v/>
      </c>
      <c r="AF733" s="8"/>
      <c r="AI733" s="8" t="str">
        <f>IF(AJ733="","",VLOOKUP(AJ733,引用表合并!$A:$B,2,FALSE))</f>
        <v/>
      </c>
      <c r="AJ733" s="8"/>
      <c r="AK733" s="8"/>
      <c r="AM733" s="8" t="str">
        <f>IF(AN733="","",VLOOKUP(AN733,引用表合并!$A:$B,2,FALSE))</f>
        <v/>
      </c>
      <c r="AN733" s="8"/>
      <c r="AO733" s="8"/>
      <c r="AQ733" s="8" t="str">
        <f>IF(AR733="","",VLOOKUP(AR733,引用表合并!$A:$B,2,FALSE))</f>
        <v/>
      </c>
      <c r="AR733" s="8"/>
      <c r="AS733" s="8"/>
      <c r="AU733" s="8" t="str">
        <f>IF(AV733="","",VLOOKUP(AV733,引用表合并!$A:$B,2,FALSE))</f>
        <v/>
      </c>
      <c r="AV733" s="8"/>
      <c r="AW733" s="8"/>
      <c r="AY733" s="8" t="str">
        <f>IF(AZ733="","",VLOOKUP(AZ733,引用表合并!$A:$B,2,FALSE))</f>
        <v/>
      </c>
      <c r="AZ733" s="8"/>
      <c r="BA733" s="8"/>
      <c r="BC733" s="8" t="str">
        <f>IF(BD733="","",VLOOKUP(BD733,引用表合并!$A:$B,2,FALSE))</f>
        <v/>
      </c>
      <c r="BD733" s="8"/>
      <c r="BF733" s="10"/>
      <c r="BG733" s="8" t="str">
        <f>IF(BH733="","",VLOOKUP(BH733,引用表合并!$A:$B,2,FALSE))</f>
        <v/>
      </c>
      <c r="BH733" s="8"/>
      <c r="BJ733" s="10"/>
      <c r="BK733" s="8" t="str">
        <f>IF(BL733="","",VLOOKUP(BL733,引用表合并!$A:$B,2,FALSE))</f>
        <v/>
      </c>
      <c r="BL733" s="8"/>
      <c r="BN733" s="10"/>
      <c r="FK733" s="8">
        <v>6</v>
      </c>
      <c r="FL733" s="8">
        <v>10</v>
      </c>
    </row>
    <row r="734" spans="1:168" x14ac:dyDescent="0.15">
      <c r="A734" s="8">
        <v>700715</v>
      </c>
      <c r="B734" s="8" t="s">
        <v>224</v>
      </c>
      <c r="C734" s="8">
        <v>0</v>
      </c>
      <c r="D734" s="8">
        <f t="shared" si="109"/>
        <v>7</v>
      </c>
      <c r="E734" s="16">
        <f t="shared" si="110"/>
        <v>7</v>
      </c>
      <c r="F734" s="16">
        <f t="shared" si="100"/>
        <v>7</v>
      </c>
      <c r="G734" s="8" t="str">
        <f>IF(H734="","",VLOOKUP(H734,引用表合并!$A:$B,2,FALSE))</f>
        <v>法拉捷碎片</v>
      </c>
      <c r="H734" s="76">
        <v>93280</v>
      </c>
      <c r="I734" s="35">
        <v>1</v>
      </c>
      <c r="J734" s="35">
        <f t="shared" si="101"/>
        <v>3300</v>
      </c>
      <c r="K734" s="8" t="str">
        <f>IF(L734="","",VLOOKUP(L734,引用表合并!$A:$B,2,FALSE))</f>
        <v>符文手环碎片</v>
      </c>
      <c r="L734" s="76">
        <v>93236</v>
      </c>
      <c r="M734" s="35">
        <v>1</v>
      </c>
      <c r="N734" s="35">
        <f t="shared" si="102"/>
        <v>3300</v>
      </c>
      <c r="O734" s="35" t="str">
        <f>IF(P734="","",VLOOKUP(P734,引用表合并!$A:$B,2,FALSE))</f>
        <v>大堆钞票碎片</v>
      </c>
      <c r="P734" s="76">
        <v>93285</v>
      </c>
      <c r="Q734" s="35">
        <v>1</v>
      </c>
      <c r="R734" s="35">
        <f t="shared" si="103"/>
        <v>3300</v>
      </c>
      <c r="S734" s="8" t="str">
        <f>IF(T734="","",VLOOKUP(T734,引用表合并!$A:$B,2,FALSE))</f>
        <v>猫妖项链碎片</v>
      </c>
      <c r="T734" s="76">
        <v>93253</v>
      </c>
      <c r="U734" s="35">
        <v>1</v>
      </c>
      <c r="V734" s="35">
        <f t="shared" si="104"/>
        <v>3300</v>
      </c>
      <c r="W734" s="8" t="str">
        <f>IF(X734="","",VLOOKUP(X734,引用表合并!$A:$B,2,FALSE))</f>
        <v>史诗装备升级石</v>
      </c>
      <c r="X734" s="8">
        <v>85400</v>
      </c>
      <c r="Y734" s="8">
        <v>1</v>
      </c>
      <c r="Z734" s="10">
        <f t="shared" si="106"/>
        <v>10000</v>
      </c>
      <c r="AA734" s="8" t="str">
        <f>IF(AB734="","",VLOOKUP(AB734,引用表合并!$A:$B,2,FALSE))</f>
        <v>稀有装备升级石</v>
      </c>
      <c r="AB734" s="8">
        <v>85300</v>
      </c>
      <c r="AC734" s="10">
        <v>1</v>
      </c>
      <c r="AD734" s="10">
        <f t="shared" si="107"/>
        <v>5000</v>
      </c>
      <c r="AE734" s="8" t="str">
        <f>IF(AF734="","",VLOOKUP(AF734,引用表合并!$A:$B,2,FALSE))</f>
        <v>马仔经验甘露</v>
      </c>
      <c r="AF734" s="31">
        <f t="shared" ref="AF734" si="111">IF(CO734=100,91100,IF(CO734=500,91200,91300))</f>
        <v>91300</v>
      </c>
      <c r="AG734" s="8">
        <v>1</v>
      </c>
      <c r="AH734" s="10">
        <v>10000</v>
      </c>
      <c r="AI734" s="8" t="str">
        <f>IF(AJ734="","",VLOOKUP(AJ734,引用表合并!$A:$B,2,FALSE))</f>
        <v/>
      </c>
      <c r="AM734" s="8" t="str">
        <f>IF(AN734="","",VLOOKUP(AN734,引用表合并!$A:$B,2,FALSE))</f>
        <v/>
      </c>
      <c r="AN734" s="8"/>
      <c r="AO734" s="8"/>
      <c r="AQ734" s="8" t="str">
        <f>IF(AR734="","",VLOOKUP(AR734,引用表合并!$A:$B,2,FALSE))</f>
        <v/>
      </c>
      <c r="AR734" s="8"/>
      <c r="AS734" s="8"/>
      <c r="AU734" s="8" t="str">
        <f>IF(AV734="","",VLOOKUP(AV734,引用表合并!$A:$B,2,FALSE))</f>
        <v/>
      </c>
      <c r="AV734" s="8"/>
      <c r="AW734" s="8"/>
      <c r="AY734" s="8" t="str">
        <f>IF(AZ734="","",VLOOKUP(AZ734,引用表合并!$A:$B,2,FALSE))</f>
        <v/>
      </c>
      <c r="AZ734" s="8"/>
      <c r="BA734" s="8"/>
      <c r="BC734" s="8" t="str">
        <f>IF(BD734="","",VLOOKUP(BD734,引用表合并!$A:$B,2,FALSE))</f>
        <v/>
      </c>
      <c r="BD734" s="8"/>
      <c r="BF734" s="10"/>
      <c r="BG734" s="8" t="str">
        <f>IF(BH734="","",VLOOKUP(BH734,引用表合并!$A:$B,2,FALSE))</f>
        <v/>
      </c>
      <c r="BH734" s="8"/>
      <c r="BJ734" s="10"/>
      <c r="BK734" s="8" t="str">
        <f>IF(BL734="","",VLOOKUP(BL734,引用表合并!$A:$B,2,FALSE))</f>
        <v/>
      </c>
      <c r="BL734" s="8"/>
      <c r="BN734" s="10"/>
      <c r="FK734" s="8">
        <v>6</v>
      </c>
      <c r="FL734" s="8">
        <v>20</v>
      </c>
    </row>
    <row r="735" spans="1:168" x14ac:dyDescent="0.15">
      <c r="A735" s="8">
        <v>700801</v>
      </c>
      <c r="B735" s="8" t="s">
        <v>225</v>
      </c>
      <c r="C735" s="8">
        <v>0</v>
      </c>
      <c r="D735" s="8">
        <f t="shared" si="109"/>
        <v>5</v>
      </c>
      <c r="E735" s="16">
        <f t="shared" si="110"/>
        <v>5</v>
      </c>
      <c r="F735" s="16">
        <f t="shared" si="100"/>
        <v>5</v>
      </c>
      <c r="G735" s="8" t="str">
        <f>IF(H735="","",VLOOKUP(H735,引用表合并!$A:$B,2,FALSE))</f>
        <v>大堆钞票碎片</v>
      </c>
      <c r="H735" s="76">
        <v>93285</v>
      </c>
      <c r="I735" s="35">
        <v>1</v>
      </c>
      <c r="J735" s="35">
        <f t="shared" si="101"/>
        <v>2350</v>
      </c>
      <c r="K735" s="8" t="str">
        <f>IF(L735="","",VLOOKUP(L735,引用表合并!$A:$B,2,FALSE))</f>
        <v>宝石手环碎片</v>
      </c>
      <c r="L735" s="75">
        <v>93235</v>
      </c>
      <c r="M735" s="34">
        <v>1</v>
      </c>
      <c r="N735" s="34">
        <f t="shared" si="102"/>
        <v>2350</v>
      </c>
      <c r="O735" s="8" t="str">
        <f>IF(P735="","",VLOOKUP(P735,引用表合并!$A:$B,2,FALSE))</f>
        <v>黄金戒指碎片</v>
      </c>
      <c r="P735" s="75">
        <v>93142</v>
      </c>
      <c r="Q735" s="34">
        <v>1</v>
      </c>
      <c r="R735" s="34">
        <f t="shared" si="103"/>
        <v>2350</v>
      </c>
      <c r="S735" s="34" t="str">
        <f>IF(T735="","",VLOOKUP(T735,引用表合并!$A:$B,2,FALSE))</f>
        <v>宝石手环碎片</v>
      </c>
      <c r="T735" s="75">
        <v>93235</v>
      </c>
      <c r="U735" s="34">
        <v>1</v>
      </c>
      <c r="V735" s="34">
        <f t="shared" si="104"/>
        <v>2350</v>
      </c>
      <c r="W735" s="8" t="str">
        <f>IF(X735="","",VLOOKUP(X735,引用表合并!$A:$B,2,FALSE))</f>
        <v>高级装备升级石</v>
      </c>
      <c r="X735" s="8">
        <v>85200</v>
      </c>
      <c r="Y735" s="8">
        <v>1</v>
      </c>
      <c r="Z735" s="10">
        <f t="shared" si="106"/>
        <v>3200</v>
      </c>
      <c r="AA735" s="8" t="str">
        <f>IF(AB735="","",VLOOKUP(AB735,引用表合并!$A:$B,2,FALSE))</f>
        <v/>
      </c>
      <c r="AB735" s="8"/>
      <c r="AC735" s="8"/>
      <c r="AD735" s="10">
        <f t="shared" si="107"/>
        <v>0</v>
      </c>
      <c r="AE735" s="8" t="str">
        <f>IF(AF735="","",VLOOKUP(AF735,引用表合并!$A:$B,2,FALSE))</f>
        <v/>
      </c>
      <c r="AF735" s="8"/>
      <c r="AG735" s="8"/>
      <c r="AI735" s="8" t="str">
        <f>IF(AJ735="","",VLOOKUP(AJ735,引用表合并!$A:$B,2,FALSE))</f>
        <v/>
      </c>
      <c r="AJ735" s="8"/>
      <c r="AK735" s="8"/>
      <c r="AM735" s="8" t="str">
        <f>IF(AN735="","",VLOOKUP(AN735,引用表合并!$A:$B,2,FALSE))</f>
        <v/>
      </c>
      <c r="AN735" s="8"/>
      <c r="AO735" s="8"/>
      <c r="AQ735" s="8" t="str">
        <f>IF(AR735="","",VLOOKUP(AR735,引用表合并!$A:$B,2,FALSE))</f>
        <v/>
      </c>
      <c r="AR735" s="8"/>
      <c r="AS735" s="8"/>
      <c r="AU735" s="8" t="str">
        <f>IF(AV735="","",VLOOKUP(AV735,引用表合并!$A:$B,2,FALSE))</f>
        <v/>
      </c>
      <c r="AV735" s="8"/>
      <c r="AW735" s="8"/>
      <c r="AY735" s="8" t="str">
        <f>IF(AZ735="","",VLOOKUP(AZ735,引用表合并!$A:$B,2,FALSE))</f>
        <v/>
      </c>
      <c r="AZ735" s="8"/>
      <c r="BA735" s="8"/>
      <c r="BC735" s="8" t="str">
        <f>IF(BD735="","",VLOOKUP(BD735,引用表合并!$A:$B,2,FALSE))</f>
        <v/>
      </c>
      <c r="BD735" s="8"/>
      <c r="BF735" s="10"/>
      <c r="BG735" s="8" t="str">
        <f>IF(BH735="","",VLOOKUP(BH735,引用表合并!$A:$B,2,FALSE))</f>
        <v/>
      </c>
      <c r="BH735" s="8"/>
      <c r="BJ735" s="10"/>
      <c r="BK735" s="8" t="str">
        <f>IF(BL735="","",VLOOKUP(BL735,引用表合并!$A:$B,2,FALSE))</f>
        <v/>
      </c>
      <c r="BL735" s="8"/>
      <c r="BN735" s="10"/>
      <c r="FK735" s="8">
        <v>7</v>
      </c>
      <c r="FL735" s="8">
        <v>0</v>
      </c>
    </row>
    <row r="736" spans="1:168" x14ac:dyDescent="0.15">
      <c r="A736" s="8">
        <v>700802</v>
      </c>
      <c r="B736" s="8" t="s">
        <v>226</v>
      </c>
      <c r="C736" s="8">
        <v>0</v>
      </c>
      <c r="D736" s="8">
        <f t="shared" si="109"/>
        <v>5</v>
      </c>
      <c r="E736" s="16">
        <f t="shared" si="110"/>
        <v>5</v>
      </c>
      <c r="F736" s="16">
        <f t="shared" si="100"/>
        <v>5</v>
      </c>
      <c r="G736" s="8" t="str">
        <f>IF(H736="","",VLOOKUP(H736,引用表合并!$A:$B,2,FALSE))</f>
        <v>小堆金块碎片</v>
      </c>
      <c r="H736" s="76">
        <v>93289</v>
      </c>
      <c r="I736" s="35">
        <v>1</v>
      </c>
      <c r="J736" s="35">
        <f t="shared" si="101"/>
        <v>2350</v>
      </c>
      <c r="K736" s="8" t="str">
        <f>IF(L736="","",VLOOKUP(L736,引用表合并!$A:$B,2,FALSE))</f>
        <v>摩拉碎片</v>
      </c>
      <c r="L736" s="75">
        <v>93012</v>
      </c>
      <c r="M736" s="34">
        <v>1</v>
      </c>
      <c r="N736" s="34">
        <f t="shared" si="102"/>
        <v>2350</v>
      </c>
      <c r="O736" s="8" t="str">
        <f>IF(P736="","",VLOOKUP(P736,引用表合并!$A:$B,2,FALSE))</f>
        <v>宝石手环碎片</v>
      </c>
      <c r="P736" s="75">
        <v>93235</v>
      </c>
      <c r="Q736" s="34">
        <v>1</v>
      </c>
      <c r="R736" s="34">
        <f t="shared" si="103"/>
        <v>2350</v>
      </c>
      <c r="S736" s="34" t="str">
        <f>IF(T736="","",VLOOKUP(T736,引用表合并!$A:$B,2,FALSE))</f>
        <v>摩拉碎片</v>
      </c>
      <c r="T736" s="75">
        <v>93012</v>
      </c>
      <c r="U736" s="34">
        <v>1</v>
      </c>
      <c r="V736" s="34">
        <f t="shared" si="104"/>
        <v>2350</v>
      </c>
      <c r="W736" s="8" t="str">
        <f>IF(X736="","",VLOOKUP(X736,引用表合并!$A:$B,2,FALSE))</f>
        <v>高级装备升级石</v>
      </c>
      <c r="X736" s="8">
        <v>85200</v>
      </c>
      <c r="Y736" s="8">
        <v>1</v>
      </c>
      <c r="Z736" s="10">
        <f t="shared" si="106"/>
        <v>3300</v>
      </c>
      <c r="AA736" s="8" t="str">
        <f>IF(AB736="","",VLOOKUP(AB736,引用表合并!$A:$B,2,FALSE))</f>
        <v/>
      </c>
      <c r="AB736" s="8"/>
      <c r="AC736" s="8"/>
      <c r="AD736" s="10">
        <f t="shared" si="107"/>
        <v>0</v>
      </c>
      <c r="AE736" s="8" t="str">
        <f>IF(AF736="","",VLOOKUP(AF736,引用表合并!$A:$B,2,FALSE))</f>
        <v/>
      </c>
      <c r="AF736" s="8"/>
      <c r="AG736" s="8"/>
      <c r="AI736" s="8" t="str">
        <f>IF(AJ736="","",VLOOKUP(AJ736,引用表合并!$A:$B,2,FALSE))</f>
        <v/>
      </c>
      <c r="AJ736" s="8"/>
      <c r="AK736" s="8"/>
      <c r="AM736" s="8" t="str">
        <f>IF(AN736="","",VLOOKUP(AN736,引用表合并!$A:$B,2,FALSE))</f>
        <v/>
      </c>
      <c r="AN736" s="8"/>
      <c r="AO736" s="8"/>
      <c r="AQ736" s="8" t="str">
        <f>IF(AR736="","",VLOOKUP(AR736,引用表合并!$A:$B,2,FALSE))</f>
        <v/>
      </c>
      <c r="AR736" s="8"/>
      <c r="AS736" s="8"/>
      <c r="AU736" s="8" t="str">
        <f>IF(AV736="","",VLOOKUP(AV736,引用表合并!$A:$B,2,FALSE))</f>
        <v/>
      </c>
      <c r="AV736" s="8"/>
      <c r="AW736" s="8"/>
      <c r="AY736" s="8" t="str">
        <f>IF(AZ736="","",VLOOKUP(AZ736,引用表合并!$A:$B,2,FALSE))</f>
        <v/>
      </c>
      <c r="AZ736" s="8"/>
      <c r="BA736" s="8"/>
      <c r="BC736" s="8" t="str">
        <f>IF(BD736="","",VLOOKUP(BD736,引用表合并!$A:$B,2,FALSE))</f>
        <v/>
      </c>
      <c r="BD736" s="8"/>
      <c r="BF736" s="10"/>
      <c r="BG736" s="8" t="str">
        <f>IF(BH736="","",VLOOKUP(BH736,引用表合并!$A:$B,2,FALSE))</f>
        <v/>
      </c>
      <c r="BH736" s="8"/>
      <c r="BJ736" s="10"/>
      <c r="BK736" s="8" t="str">
        <f>IF(BL736="","",VLOOKUP(BL736,引用表合并!$A:$B,2,FALSE))</f>
        <v/>
      </c>
      <c r="BL736" s="8"/>
      <c r="BN736" s="10"/>
      <c r="FK736" s="8">
        <v>7</v>
      </c>
      <c r="FL736" s="8">
        <v>0</v>
      </c>
    </row>
    <row r="737" spans="1:168" x14ac:dyDescent="0.15">
      <c r="A737" s="8">
        <v>700803</v>
      </c>
      <c r="B737" s="8" t="s">
        <v>227</v>
      </c>
      <c r="C737" s="8">
        <v>0</v>
      </c>
      <c r="D737" s="8">
        <f t="shared" si="109"/>
        <v>5</v>
      </c>
      <c r="E737" s="16">
        <f t="shared" si="110"/>
        <v>5</v>
      </c>
      <c r="F737" s="16">
        <f t="shared" si="100"/>
        <v>5</v>
      </c>
      <c r="G737" s="8" t="str">
        <f>IF(H737="","",VLOOKUP(H737,引用表合并!$A:$B,2,FALSE))</f>
        <v>红石耳钉碎片</v>
      </c>
      <c r="H737" s="76">
        <v>93125</v>
      </c>
      <c r="I737" s="35">
        <v>1</v>
      </c>
      <c r="J737" s="35">
        <f t="shared" si="101"/>
        <v>2850</v>
      </c>
      <c r="K737" s="8" t="str">
        <f>IF(L737="","",VLOOKUP(L737,引用表合并!$A:$B,2,FALSE))</f>
        <v>青玉项链碎片</v>
      </c>
      <c r="L737" s="75">
        <v>93252</v>
      </c>
      <c r="M737" s="34">
        <v>1</v>
      </c>
      <c r="N737" s="34">
        <f t="shared" si="102"/>
        <v>2850</v>
      </c>
      <c r="O737" s="8" t="str">
        <f>IF(P737="","",VLOOKUP(P737,引用表合并!$A:$B,2,FALSE))</f>
        <v>摩拉碎片</v>
      </c>
      <c r="P737" s="75">
        <v>93012</v>
      </c>
      <c r="Q737" s="34">
        <v>1</v>
      </c>
      <c r="R737" s="34">
        <f t="shared" si="103"/>
        <v>2850</v>
      </c>
      <c r="S737" s="34" t="str">
        <f>IF(T737="","",VLOOKUP(T737,引用表合并!$A:$B,2,FALSE))</f>
        <v>青玉项链碎片</v>
      </c>
      <c r="T737" s="75">
        <v>93252</v>
      </c>
      <c r="U737" s="34">
        <v>1</v>
      </c>
      <c r="V737" s="34">
        <f t="shared" si="104"/>
        <v>2850</v>
      </c>
      <c r="W737" s="8" t="str">
        <f>IF(X737="","",VLOOKUP(X737,引用表合并!$A:$B,2,FALSE))</f>
        <v>高级装备升级石</v>
      </c>
      <c r="X737" s="8">
        <v>85200</v>
      </c>
      <c r="Y737" s="8">
        <v>1</v>
      </c>
      <c r="Z737" s="10">
        <f t="shared" si="106"/>
        <v>5700</v>
      </c>
      <c r="AA737" s="8" t="str">
        <f>IF(AB737="","",VLOOKUP(AB737,引用表合并!$A:$B,2,FALSE))</f>
        <v/>
      </c>
      <c r="AB737" s="8"/>
      <c r="AC737" s="8"/>
      <c r="AD737" s="10">
        <f t="shared" si="107"/>
        <v>0</v>
      </c>
      <c r="AE737" s="8" t="str">
        <f>IF(AF737="","",VLOOKUP(AF737,引用表合并!$A:$B,2,FALSE))</f>
        <v/>
      </c>
      <c r="AF737" s="8"/>
      <c r="AG737" s="8"/>
      <c r="AI737" s="8" t="str">
        <f>IF(AJ737="","",VLOOKUP(AJ737,引用表合并!$A:$B,2,FALSE))</f>
        <v/>
      </c>
      <c r="AJ737" s="8"/>
      <c r="AK737" s="8"/>
      <c r="AM737" s="8" t="str">
        <f>IF(AN737="","",VLOOKUP(AN737,引用表合并!$A:$B,2,FALSE))</f>
        <v/>
      </c>
      <c r="AN737" s="8"/>
      <c r="AO737" s="8"/>
      <c r="AQ737" s="8" t="str">
        <f>IF(AR737="","",VLOOKUP(AR737,引用表合并!$A:$B,2,FALSE))</f>
        <v/>
      </c>
      <c r="AR737" s="8"/>
      <c r="AS737" s="8"/>
      <c r="AU737" s="8" t="str">
        <f>IF(AV737="","",VLOOKUP(AV737,引用表合并!$A:$B,2,FALSE))</f>
        <v/>
      </c>
      <c r="AV737" s="8"/>
      <c r="AW737" s="8"/>
      <c r="AY737" s="8" t="str">
        <f>IF(AZ737="","",VLOOKUP(AZ737,引用表合并!$A:$B,2,FALSE))</f>
        <v/>
      </c>
      <c r="AZ737" s="8"/>
      <c r="BA737" s="8"/>
      <c r="BC737" s="8" t="str">
        <f>IF(BD737="","",VLOOKUP(BD737,引用表合并!$A:$B,2,FALSE))</f>
        <v/>
      </c>
      <c r="BD737" s="8"/>
      <c r="BF737" s="10"/>
      <c r="BG737" s="8" t="str">
        <f>IF(BH737="","",VLOOKUP(BH737,引用表合并!$A:$B,2,FALSE))</f>
        <v/>
      </c>
      <c r="BH737" s="8"/>
      <c r="BJ737" s="10"/>
      <c r="BK737" s="8" t="str">
        <f>IF(BL737="","",VLOOKUP(BL737,引用表合并!$A:$B,2,FALSE))</f>
        <v/>
      </c>
      <c r="BL737" s="8"/>
      <c r="BN737" s="10"/>
      <c r="FK737" s="8">
        <v>7</v>
      </c>
      <c r="FL737" s="8">
        <v>10</v>
      </c>
    </row>
    <row r="738" spans="1:168" x14ac:dyDescent="0.15">
      <c r="A738" s="8">
        <v>700804</v>
      </c>
      <c r="B738" s="8" t="s">
        <v>228</v>
      </c>
      <c r="C738" s="8">
        <v>0</v>
      </c>
      <c r="D738" s="8">
        <f t="shared" si="109"/>
        <v>5</v>
      </c>
      <c r="E738" s="16">
        <f t="shared" si="110"/>
        <v>5</v>
      </c>
      <c r="F738" s="16">
        <f t="shared" si="100"/>
        <v>5</v>
      </c>
      <c r="G738" s="8" t="str">
        <f>IF(H738="","",VLOOKUP(H738,引用表合并!$A:$B,2,FALSE))</f>
        <v>毒蝎耳钉碎片</v>
      </c>
      <c r="H738" s="76">
        <v>93134</v>
      </c>
      <c r="I738" s="35">
        <v>1</v>
      </c>
      <c r="J738" s="35">
        <f t="shared" si="101"/>
        <v>2350</v>
      </c>
      <c r="K738" s="8" t="str">
        <f>IF(L738="","",VLOOKUP(L738,引用表合并!$A:$B,2,FALSE))</f>
        <v>水晶耳钉碎片</v>
      </c>
      <c r="L738" s="75">
        <v>93124</v>
      </c>
      <c r="M738" s="34">
        <v>1</v>
      </c>
      <c r="N738" s="34">
        <f t="shared" si="102"/>
        <v>2350</v>
      </c>
      <c r="O738" s="8" t="str">
        <f>IF(P738="","",VLOOKUP(P738,引用表合并!$A:$B,2,FALSE))</f>
        <v>青玉项链碎片</v>
      </c>
      <c r="P738" s="75">
        <v>93252</v>
      </c>
      <c r="Q738" s="34">
        <v>1</v>
      </c>
      <c r="R738" s="34">
        <f t="shared" si="103"/>
        <v>2350</v>
      </c>
      <c r="S738" s="34" t="str">
        <f>IF(T738="","",VLOOKUP(T738,引用表合并!$A:$B,2,FALSE))</f>
        <v>水晶耳钉碎片</v>
      </c>
      <c r="T738" s="75">
        <v>93124</v>
      </c>
      <c r="U738" s="34">
        <v>1</v>
      </c>
      <c r="V738" s="34">
        <f t="shared" si="104"/>
        <v>2350</v>
      </c>
      <c r="W738" s="8" t="str">
        <f>IF(X738="","",VLOOKUP(X738,引用表合并!$A:$B,2,FALSE))</f>
        <v>高级装备升级石</v>
      </c>
      <c r="X738" s="8">
        <v>85200</v>
      </c>
      <c r="Y738" s="8">
        <v>1</v>
      </c>
      <c r="Z738" s="10">
        <f t="shared" si="106"/>
        <v>3400</v>
      </c>
      <c r="AA738" s="8" t="str">
        <f>IF(AB738="","",VLOOKUP(AB738,引用表合并!$A:$B,2,FALSE))</f>
        <v/>
      </c>
      <c r="AB738" s="8"/>
      <c r="AC738" s="8"/>
      <c r="AD738" s="10">
        <f t="shared" si="107"/>
        <v>0</v>
      </c>
      <c r="AE738" s="8" t="str">
        <f>IF(AF738="","",VLOOKUP(AF738,引用表合并!$A:$B,2,FALSE))</f>
        <v/>
      </c>
      <c r="AF738" s="8"/>
      <c r="AG738" s="8"/>
      <c r="AI738" s="8" t="str">
        <f>IF(AJ738="","",VLOOKUP(AJ738,引用表合并!$A:$B,2,FALSE))</f>
        <v/>
      </c>
      <c r="AJ738" s="8"/>
      <c r="AK738" s="8"/>
      <c r="AM738" s="8" t="str">
        <f>IF(AN738="","",VLOOKUP(AN738,引用表合并!$A:$B,2,FALSE))</f>
        <v/>
      </c>
      <c r="AN738" s="8"/>
      <c r="AO738" s="8"/>
      <c r="AQ738" s="8" t="str">
        <f>IF(AR738="","",VLOOKUP(AR738,引用表合并!$A:$B,2,FALSE))</f>
        <v/>
      </c>
      <c r="AR738" s="8"/>
      <c r="AS738" s="8"/>
      <c r="AU738" s="8" t="str">
        <f>IF(AV738="","",VLOOKUP(AV738,引用表合并!$A:$B,2,FALSE))</f>
        <v/>
      </c>
      <c r="AV738" s="8"/>
      <c r="AW738" s="8"/>
      <c r="AY738" s="8" t="str">
        <f>IF(AZ738="","",VLOOKUP(AZ738,引用表合并!$A:$B,2,FALSE))</f>
        <v/>
      </c>
      <c r="AZ738" s="8"/>
      <c r="BA738" s="8"/>
      <c r="BC738" s="8" t="str">
        <f>IF(BD738="","",VLOOKUP(BD738,引用表合并!$A:$B,2,FALSE))</f>
        <v/>
      </c>
      <c r="BD738" s="8"/>
      <c r="BF738" s="10"/>
      <c r="BG738" s="8" t="str">
        <f>IF(BH738="","",VLOOKUP(BH738,引用表合并!$A:$B,2,FALSE))</f>
        <v/>
      </c>
      <c r="BH738" s="8"/>
      <c r="BJ738" s="10"/>
      <c r="BK738" s="8" t="str">
        <f>IF(BL738="","",VLOOKUP(BL738,引用表合并!$A:$B,2,FALSE))</f>
        <v/>
      </c>
      <c r="BL738" s="8"/>
      <c r="BN738" s="10"/>
      <c r="FK738" s="8">
        <v>7</v>
      </c>
      <c r="FL738" s="8">
        <v>0</v>
      </c>
    </row>
    <row r="739" spans="1:168" x14ac:dyDescent="0.15">
      <c r="A739" s="8">
        <v>700805</v>
      </c>
      <c r="B739" s="8" t="s">
        <v>229</v>
      </c>
      <c r="C739" s="8">
        <v>0</v>
      </c>
      <c r="D739" s="8">
        <f t="shared" si="109"/>
        <v>5</v>
      </c>
      <c r="E739" s="16">
        <f t="shared" si="110"/>
        <v>5</v>
      </c>
      <c r="F739" s="16">
        <f t="shared" si="100"/>
        <v>5</v>
      </c>
      <c r="G739" s="8" t="str">
        <f>IF(H739="","",VLOOKUP(H739,引用表合并!$A:$B,2,FALSE))</f>
        <v>赤金戒指碎片</v>
      </c>
      <c r="H739" s="76">
        <v>93223</v>
      </c>
      <c r="I739" s="35">
        <v>1</v>
      </c>
      <c r="J739" s="35">
        <f t="shared" si="101"/>
        <v>2350</v>
      </c>
      <c r="K739" s="35" t="str">
        <f>IF(L739="","",VLOOKUP(L739,引用表合并!$A:$B,2,FALSE))</f>
        <v>金针手表碎片</v>
      </c>
      <c r="L739" s="75">
        <v>93272</v>
      </c>
      <c r="M739" s="35">
        <v>1</v>
      </c>
      <c r="N739" s="35">
        <f t="shared" si="102"/>
        <v>2350</v>
      </c>
      <c r="O739" s="8" t="str">
        <f>IF(P739="","",VLOOKUP(P739,引用表合并!$A:$B,2,FALSE))</f>
        <v>水晶耳钉碎片</v>
      </c>
      <c r="P739" s="75">
        <v>93124</v>
      </c>
      <c r="Q739" s="34">
        <v>1</v>
      </c>
      <c r="R739" s="34">
        <f t="shared" si="103"/>
        <v>2350</v>
      </c>
      <c r="S739" s="34" t="str">
        <f>IF(T739="","",VLOOKUP(T739,引用表合并!$A:$B,2,FALSE))</f>
        <v>金针手表碎片</v>
      </c>
      <c r="T739" s="75">
        <v>93272</v>
      </c>
      <c r="U739" s="34">
        <v>1</v>
      </c>
      <c r="V739" s="34">
        <f t="shared" si="104"/>
        <v>2350</v>
      </c>
      <c r="W739" s="8" t="str">
        <f>IF(X739="","",VLOOKUP(X739,引用表合并!$A:$B,2,FALSE))</f>
        <v>高级装备升级石</v>
      </c>
      <c r="X739" s="8">
        <v>85200</v>
      </c>
      <c r="Y739" s="8">
        <v>1</v>
      </c>
      <c r="Z739" s="10">
        <f t="shared" si="106"/>
        <v>3500</v>
      </c>
      <c r="AA739" s="8" t="str">
        <f>IF(AB739="","",VLOOKUP(AB739,引用表合并!$A:$B,2,FALSE))</f>
        <v/>
      </c>
      <c r="AB739" s="8"/>
      <c r="AC739" s="8"/>
      <c r="AD739" s="10">
        <f t="shared" si="107"/>
        <v>0</v>
      </c>
      <c r="AE739" s="8" t="str">
        <f>IF(AF739="","",VLOOKUP(AF739,引用表合并!$A:$B,2,FALSE))</f>
        <v/>
      </c>
      <c r="AF739" s="8"/>
      <c r="AG739" s="8"/>
      <c r="AI739" s="8" t="str">
        <f>IF(AJ739="","",VLOOKUP(AJ739,引用表合并!$A:$B,2,FALSE))</f>
        <v/>
      </c>
      <c r="AJ739" s="8"/>
      <c r="AK739" s="8"/>
      <c r="AM739" s="8" t="str">
        <f>IF(AN739="","",VLOOKUP(AN739,引用表合并!$A:$B,2,FALSE))</f>
        <v/>
      </c>
      <c r="AN739" s="8"/>
      <c r="AO739" s="8"/>
      <c r="AQ739" s="8" t="str">
        <f>IF(AR739="","",VLOOKUP(AR739,引用表合并!$A:$B,2,FALSE))</f>
        <v/>
      </c>
      <c r="AR739" s="8"/>
      <c r="AS739" s="8"/>
      <c r="AU739" s="8" t="str">
        <f>IF(AV739="","",VLOOKUP(AV739,引用表合并!$A:$B,2,FALSE))</f>
        <v/>
      </c>
      <c r="AV739" s="8"/>
      <c r="AW739" s="8"/>
      <c r="AY739" s="8" t="str">
        <f>IF(AZ739="","",VLOOKUP(AZ739,引用表合并!$A:$B,2,FALSE))</f>
        <v/>
      </c>
      <c r="AZ739" s="8"/>
      <c r="BA739" s="8"/>
      <c r="BC739" s="8" t="str">
        <f>IF(BD739="","",VLOOKUP(BD739,引用表合并!$A:$B,2,FALSE))</f>
        <v/>
      </c>
      <c r="BD739" s="8"/>
      <c r="BF739" s="10"/>
      <c r="BG739" s="8" t="str">
        <f>IF(BH739="","",VLOOKUP(BH739,引用表合并!$A:$B,2,FALSE))</f>
        <v/>
      </c>
      <c r="BH739" s="8"/>
      <c r="BJ739" s="10"/>
      <c r="BK739" s="8" t="str">
        <f>IF(BL739="","",VLOOKUP(BL739,引用表合并!$A:$B,2,FALSE))</f>
        <v/>
      </c>
      <c r="BL739" s="8"/>
      <c r="BN739" s="10"/>
      <c r="FK739" s="8">
        <v>7</v>
      </c>
      <c r="FL739" s="8">
        <v>0</v>
      </c>
    </row>
    <row r="740" spans="1:168" x14ac:dyDescent="0.15">
      <c r="A740" s="8">
        <v>700806</v>
      </c>
      <c r="B740" s="8" t="s">
        <v>230</v>
      </c>
      <c r="C740" s="8">
        <v>0</v>
      </c>
      <c r="D740" s="8">
        <f t="shared" si="109"/>
        <v>6</v>
      </c>
      <c r="E740" s="16">
        <f t="shared" si="110"/>
        <v>6</v>
      </c>
      <c r="F740" s="16">
        <f t="shared" si="100"/>
        <v>6</v>
      </c>
      <c r="G740" s="8" t="str">
        <f>IF(H740="","",VLOOKUP(H740,引用表合并!$A:$B,2,FALSE))</f>
        <v>王者手环碎片</v>
      </c>
      <c r="H740" s="76">
        <v>93227</v>
      </c>
      <c r="I740" s="35">
        <v>1</v>
      </c>
      <c r="J740" s="35">
        <f t="shared" si="101"/>
        <v>2950</v>
      </c>
      <c r="K740" s="8" t="str">
        <f>IF(L740="","",VLOOKUP(L740,引用表合并!$A:$B,2,FALSE))</f>
        <v>红石耳钉碎片</v>
      </c>
      <c r="L740" s="76">
        <v>93125</v>
      </c>
      <c r="M740" s="35">
        <v>1</v>
      </c>
      <c r="N740" s="35">
        <f t="shared" si="102"/>
        <v>2950</v>
      </c>
      <c r="O740" s="8" t="str">
        <f>IF(P740="","",VLOOKUP(P740,引用表合并!$A:$B,2,FALSE))</f>
        <v>金针手表碎片</v>
      </c>
      <c r="P740" s="75">
        <v>93272</v>
      </c>
      <c r="Q740" s="34">
        <v>1</v>
      </c>
      <c r="R740" s="34">
        <f t="shared" si="103"/>
        <v>2950</v>
      </c>
      <c r="S740" s="8" t="str">
        <f>IF(T740="","",VLOOKUP(T740,引用表合并!$A:$B,2,FALSE))</f>
        <v>智能手表碎片</v>
      </c>
      <c r="T740" s="75">
        <v>93273</v>
      </c>
      <c r="U740" s="34">
        <v>1</v>
      </c>
      <c r="V740" s="34">
        <f t="shared" si="104"/>
        <v>2950</v>
      </c>
      <c r="W740" s="8" t="str">
        <f>IF(X740="","",VLOOKUP(X740,引用表合并!$A:$B,2,FALSE))</f>
        <v>稀有装备升级石</v>
      </c>
      <c r="X740" s="8">
        <v>85300</v>
      </c>
      <c r="Y740" s="10">
        <v>1</v>
      </c>
      <c r="Z740" s="10">
        <f t="shared" si="106"/>
        <v>2700</v>
      </c>
      <c r="AA740" s="8" t="str">
        <f>IF(AB740="","",VLOOKUP(AB740,引用表合并!$A:$B,2,FALSE))</f>
        <v>高级装备升级石</v>
      </c>
      <c r="AB740" s="8">
        <v>85200</v>
      </c>
      <c r="AC740" s="8">
        <v>1</v>
      </c>
      <c r="AD740" s="10">
        <f t="shared" si="107"/>
        <v>10000</v>
      </c>
      <c r="AE740" s="8" t="str">
        <f>IF(AF740="","",VLOOKUP(AF740,引用表合并!$A:$B,2,FALSE))</f>
        <v/>
      </c>
      <c r="AF740" s="8"/>
      <c r="AI740" s="8"/>
      <c r="AJ740" s="8"/>
      <c r="AK740" s="8"/>
      <c r="AM740" s="8" t="str">
        <f>IF(AN740="","",VLOOKUP(AN740,引用表合并!$A:$B,2,FALSE))</f>
        <v/>
      </c>
      <c r="AN740" s="8"/>
      <c r="AO740" s="8"/>
      <c r="AQ740" s="8" t="str">
        <f>IF(AR740="","",VLOOKUP(AR740,引用表合并!$A:$B,2,FALSE))</f>
        <v/>
      </c>
      <c r="AR740" s="8"/>
      <c r="AS740" s="8"/>
      <c r="AU740" s="8" t="str">
        <f>IF(AV740="","",VLOOKUP(AV740,引用表合并!$A:$B,2,FALSE))</f>
        <v/>
      </c>
      <c r="AV740" s="8"/>
      <c r="AW740" s="8"/>
      <c r="AY740" s="8" t="str">
        <f>IF(AZ740="","",VLOOKUP(AZ740,引用表合并!$A:$B,2,FALSE))</f>
        <v/>
      </c>
      <c r="AZ740" s="8"/>
      <c r="BA740" s="8"/>
      <c r="BC740" s="8" t="str">
        <f>IF(BD740="","",VLOOKUP(BD740,引用表合并!$A:$B,2,FALSE))</f>
        <v/>
      </c>
      <c r="BD740" s="8"/>
      <c r="BF740" s="10"/>
      <c r="BG740" s="8" t="str">
        <f>IF(BH740="","",VLOOKUP(BH740,引用表合并!$A:$B,2,FALSE))</f>
        <v/>
      </c>
      <c r="BH740" s="8"/>
      <c r="BJ740" s="10"/>
      <c r="BK740" s="8" t="str">
        <f>IF(BL740="","",VLOOKUP(BL740,引用表合并!$A:$B,2,FALSE))</f>
        <v/>
      </c>
      <c r="BL740" s="8"/>
      <c r="BN740" s="10"/>
      <c r="FK740" s="8">
        <v>7</v>
      </c>
      <c r="FL740" s="8">
        <v>12</v>
      </c>
    </row>
    <row r="741" spans="1:168" x14ac:dyDescent="0.15">
      <c r="A741" s="8">
        <v>700807</v>
      </c>
      <c r="B741" s="8" t="s">
        <v>231</v>
      </c>
      <c r="C741" s="8">
        <v>0</v>
      </c>
      <c r="D741" s="8">
        <f t="shared" si="109"/>
        <v>6</v>
      </c>
      <c r="E741" s="16">
        <f t="shared" si="110"/>
        <v>6</v>
      </c>
      <c r="F741" s="16">
        <f t="shared" si="100"/>
        <v>6</v>
      </c>
      <c r="G741" s="8" t="str">
        <f>IF(H741="","",VLOOKUP(H741,引用表合并!$A:$B,2,FALSE))</f>
        <v>符文手环碎片</v>
      </c>
      <c r="H741" s="76">
        <v>93236</v>
      </c>
      <c r="I741" s="35">
        <v>1</v>
      </c>
      <c r="J741" s="35">
        <f t="shared" si="101"/>
        <v>2350</v>
      </c>
      <c r="K741" s="8" t="str">
        <f>IF(L741="","",VLOOKUP(L741,引用表合并!$A:$B,2,FALSE))</f>
        <v>毒蝎耳钉碎片</v>
      </c>
      <c r="L741" s="76">
        <v>93134</v>
      </c>
      <c r="M741" s="35">
        <v>1</v>
      </c>
      <c r="N741" s="35">
        <f t="shared" si="102"/>
        <v>2350</v>
      </c>
      <c r="O741" s="8" t="str">
        <f>IF(P741="","",VLOOKUP(P741,引用表合并!$A:$B,2,FALSE))</f>
        <v>智能手表碎片</v>
      </c>
      <c r="P741" s="75">
        <v>93273</v>
      </c>
      <c r="Q741" s="34">
        <v>1</v>
      </c>
      <c r="R741" s="34">
        <f t="shared" si="103"/>
        <v>2350</v>
      </c>
      <c r="S741" s="8" t="str">
        <f>IF(T741="","",VLOOKUP(T741,引用表合并!$A:$B,2,FALSE))</f>
        <v>宾倪碎片</v>
      </c>
      <c r="T741" s="75">
        <v>93279</v>
      </c>
      <c r="U741" s="34">
        <v>1</v>
      </c>
      <c r="V741" s="34">
        <f t="shared" si="104"/>
        <v>2350</v>
      </c>
      <c r="W741" s="8" t="str">
        <f>IF(X741="","",VLOOKUP(X741,引用表合并!$A:$B,2,FALSE))</f>
        <v>稀有装备升级石</v>
      </c>
      <c r="X741" s="8">
        <v>85300</v>
      </c>
      <c r="Y741" s="10">
        <v>1</v>
      </c>
      <c r="Z741" s="10">
        <f t="shared" si="106"/>
        <v>2900</v>
      </c>
      <c r="AA741" s="8" t="str">
        <f>IF(AB741="","",VLOOKUP(AB741,引用表合并!$A:$B,2,FALSE))</f>
        <v>高级装备升级石</v>
      </c>
      <c r="AB741" s="8">
        <v>85200</v>
      </c>
      <c r="AC741" s="8">
        <v>1</v>
      </c>
      <c r="AD741" s="10">
        <f t="shared" si="107"/>
        <v>3000</v>
      </c>
      <c r="AE741" s="8" t="str">
        <f>IF(AF741="","",VLOOKUP(AF741,引用表合并!$A:$B,2,FALSE))</f>
        <v/>
      </c>
      <c r="AF741" s="8"/>
      <c r="AI741" s="8"/>
      <c r="AJ741" s="8"/>
      <c r="AK741" s="8"/>
      <c r="AM741" s="8" t="str">
        <f>IF(AN741="","",VLOOKUP(AN741,引用表合并!$A:$B,2,FALSE))</f>
        <v/>
      </c>
      <c r="AN741" s="8"/>
      <c r="AO741" s="8"/>
      <c r="AQ741" s="8" t="str">
        <f>IF(AR741="","",VLOOKUP(AR741,引用表合并!$A:$B,2,FALSE))</f>
        <v/>
      </c>
      <c r="AR741" s="8"/>
      <c r="AS741" s="8"/>
      <c r="AU741" s="8" t="str">
        <f>IF(AV741="","",VLOOKUP(AV741,引用表合并!$A:$B,2,FALSE))</f>
        <v/>
      </c>
      <c r="AV741" s="8"/>
      <c r="AW741" s="8"/>
      <c r="AY741" s="8" t="str">
        <f>IF(AZ741="","",VLOOKUP(AZ741,引用表合并!$A:$B,2,FALSE))</f>
        <v/>
      </c>
      <c r="AZ741" s="8"/>
      <c r="BA741" s="8"/>
      <c r="BC741" s="8" t="str">
        <f>IF(BD741="","",VLOOKUP(BD741,引用表合并!$A:$B,2,FALSE))</f>
        <v/>
      </c>
      <c r="BD741" s="8"/>
      <c r="BF741" s="10"/>
      <c r="BG741" s="8" t="str">
        <f>IF(BH741="","",VLOOKUP(BH741,引用表合并!$A:$B,2,FALSE))</f>
        <v/>
      </c>
      <c r="BH741" s="8"/>
      <c r="BJ741" s="10"/>
      <c r="BK741" s="8" t="str">
        <f>IF(BL741="","",VLOOKUP(BL741,引用表合并!$A:$B,2,FALSE))</f>
        <v/>
      </c>
      <c r="BL741" s="8"/>
      <c r="BN741" s="10"/>
      <c r="FK741" s="8">
        <v>7</v>
      </c>
      <c r="FL741" s="8">
        <v>0</v>
      </c>
    </row>
    <row r="742" spans="1:168" x14ac:dyDescent="0.15">
      <c r="A742" s="8">
        <v>700808</v>
      </c>
      <c r="B742" s="8" t="s">
        <v>232</v>
      </c>
      <c r="C742" s="8">
        <v>0</v>
      </c>
      <c r="D742" s="8">
        <f t="shared" si="109"/>
        <v>6</v>
      </c>
      <c r="E742" s="16">
        <f t="shared" si="110"/>
        <v>6</v>
      </c>
      <c r="F742" s="16">
        <f t="shared" si="100"/>
        <v>6</v>
      </c>
      <c r="G742" s="8" t="str">
        <f>IF(H742="","",VLOOKUP(H742,引用表合并!$A:$B,2,FALSE))</f>
        <v>月立碎片</v>
      </c>
      <c r="H742" s="76">
        <v>93013</v>
      </c>
      <c r="I742" s="35">
        <v>1</v>
      </c>
      <c r="J742" s="35">
        <f t="shared" si="101"/>
        <v>2350</v>
      </c>
      <c r="K742" s="8" t="str">
        <f>IF(L742="","",VLOOKUP(L742,引用表合并!$A:$B,2,FALSE))</f>
        <v>赤金戒指碎片</v>
      </c>
      <c r="L742" s="76">
        <v>93223</v>
      </c>
      <c r="M742" s="35">
        <v>1</v>
      </c>
      <c r="N742" s="35">
        <f t="shared" si="102"/>
        <v>2350</v>
      </c>
      <c r="O742" s="8" t="str">
        <f>IF(P742="","",VLOOKUP(P742,引用表合并!$A:$B,2,FALSE))</f>
        <v>宾倪碎片</v>
      </c>
      <c r="P742" s="75">
        <v>93279</v>
      </c>
      <c r="Q742" s="34">
        <v>1</v>
      </c>
      <c r="R742" s="34">
        <f t="shared" si="103"/>
        <v>2350</v>
      </c>
      <c r="S742" s="8" t="str">
        <f>IF(T742="","",VLOOKUP(T742,引用表合并!$A:$B,2,FALSE))</f>
        <v>大迭钞票碎片</v>
      </c>
      <c r="T742" s="75">
        <v>93284</v>
      </c>
      <c r="U742" s="34">
        <v>1</v>
      </c>
      <c r="V742" s="34">
        <f t="shared" si="104"/>
        <v>2350</v>
      </c>
      <c r="W742" s="8" t="str">
        <f>IF(X742="","",VLOOKUP(X742,引用表合并!$A:$B,2,FALSE))</f>
        <v>稀有装备升级石</v>
      </c>
      <c r="X742" s="8">
        <v>85300</v>
      </c>
      <c r="Y742" s="10">
        <v>1</v>
      </c>
      <c r="Z742" s="10">
        <f t="shared" si="106"/>
        <v>3100</v>
      </c>
      <c r="AA742" s="8" t="str">
        <f>IF(AB742="","",VLOOKUP(AB742,引用表合并!$A:$B,2,FALSE))</f>
        <v>高级装备升级石</v>
      </c>
      <c r="AB742" s="8">
        <v>85200</v>
      </c>
      <c r="AC742" s="8">
        <v>1</v>
      </c>
      <c r="AD742" s="10">
        <f t="shared" si="107"/>
        <v>3200</v>
      </c>
      <c r="AE742" s="8" t="str">
        <f>IF(AF742="","",VLOOKUP(AF742,引用表合并!$A:$B,2,FALSE))</f>
        <v/>
      </c>
      <c r="AF742" s="8"/>
      <c r="AI742" s="8"/>
      <c r="AJ742" s="8"/>
      <c r="AK742" s="8"/>
      <c r="AM742" s="8" t="str">
        <f>IF(AN742="","",VLOOKUP(AN742,引用表合并!$A:$B,2,FALSE))</f>
        <v/>
      </c>
      <c r="AN742" s="8"/>
      <c r="AO742" s="8"/>
      <c r="AQ742" s="8" t="str">
        <f>IF(AR742="","",VLOOKUP(AR742,引用表合并!$A:$B,2,FALSE))</f>
        <v/>
      </c>
      <c r="AR742" s="8"/>
      <c r="AS742" s="8"/>
      <c r="AU742" s="8" t="str">
        <f>IF(AV742="","",VLOOKUP(AV742,引用表合并!$A:$B,2,FALSE))</f>
        <v/>
      </c>
      <c r="AV742" s="8"/>
      <c r="AW742" s="8"/>
      <c r="AY742" s="8" t="str">
        <f>IF(AZ742="","",VLOOKUP(AZ742,引用表合并!$A:$B,2,FALSE))</f>
        <v/>
      </c>
      <c r="AZ742" s="8"/>
      <c r="BA742" s="8"/>
      <c r="BC742" s="8" t="str">
        <f>IF(BD742="","",VLOOKUP(BD742,引用表合并!$A:$B,2,FALSE))</f>
        <v/>
      </c>
      <c r="BD742" s="8"/>
      <c r="BF742" s="10"/>
      <c r="BG742" s="8" t="str">
        <f>IF(BH742="","",VLOOKUP(BH742,引用表合并!$A:$B,2,FALSE))</f>
        <v/>
      </c>
      <c r="BH742" s="8"/>
      <c r="BJ742" s="10"/>
      <c r="BK742" s="8" t="str">
        <f>IF(BL742="","",VLOOKUP(BL742,引用表合并!$A:$B,2,FALSE))</f>
        <v/>
      </c>
      <c r="BL742" s="8"/>
      <c r="BN742" s="10"/>
      <c r="FK742" s="8">
        <v>7</v>
      </c>
      <c r="FL742" s="8">
        <v>0</v>
      </c>
    </row>
    <row r="743" spans="1:168" x14ac:dyDescent="0.15">
      <c r="A743" s="8">
        <v>700809</v>
      </c>
      <c r="B743" s="8" t="s">
        <v>233</v>
      </c>
      <c r="C743" s="8">
        <v>0</v>
      </c>
      <c r="D743" s="8">
        <f t="shared" si="109"/>
        <v>6</v>
      </c>
      <c r="E743" s="16">
        <f t="shared" si="110"/>
        <v>6</v>
      </c>
      <c r="F743" s="16">
        <f t="shared" si="100"/>
        <v>6</v>
      </c>
      <c r="G743" s="8" t="str">
        <f>IF(H743="","",VLOOKUP(H743,引用表合并!$A:$B,2,FALSE))</f>
        <v>猫妖项链碎片</v>
      </c>
      <c r="H743" s="76">
        <v>93253</v>
      </c>
      <c r="I743" s="35">
        <v>1</v>
      </c>
      <c r="J743" s="35">
        <f t="shared" si="101"/>
        <v>3050</v>
      </c>
      <c r="K743" s="8" t="str">
        <f>IF(L743="","",VLOOKUP(L743,引用表合并!$A:$B,2,FALSE))</f>
        <v>王者手环碎片</v>
      </c>
      <c r="L743" s="76">
        <v>93227</v>
      </c>
      <c r="M743" s="35">
        <v>1</v>
      </c>
      <c r="N743" s="35">
        <f t="shared" si="102"/>
        <v>3050</v>
      </c>
      <c r="O743" s="8" t="str">
        <f>IF(P743="","",VLOOKUP(P743,引用表合并!$A:$B,2,FALSE))</f>
        <v>大迭钞票碎片</v>
      </c>
      <c r="P743" s="75">
        <v>93284</v>
      </c>
      <c r="Q743" s="34">
        <v>1</v>
      </c>
      <c r="R743" s="34">
        <f t="shared" si="103"/>
        <v>3050</v>
      </c>
      <c r="S743" s="8" t="str">
        <f>IF(T743="","",VLOOKUP(T743,引用表合并!$A:$B,2,FALSE))</f>
        <v>大金块碎片</v>
      </c>
      <c r="T743" s="75">
        <v>93288</v>
      </c>
      <c r="U743" s="34">
        <v>1</v>
      </c>
      <c r="V743" s="34">
        <f t="shared" si="104"/>
        <v>3050</v>
      </c>
      <c r="W743" s="8" t="str">
        <f>IF(X743="","",VLOOKUP(X743,引用表合并!$A:$B,2,FALSE))</f>
        <v>稀有装备升级石</v>
      </c>
      <c r="X743" s="8">
        <v>85300</v>
      </c>
      <c r="Y743" s="10">
        <v>1</v>
      </c>
      <c r="Z743" s="10">
        <f t="shared" si="106"/>
        <v>10000</v>
      </c>
      <c r="AA743" s="8" t="str">
        <f>IF(AB743="","",VLOOKUP(AB743,引用表合并!$A:$B,2,FALSE))</f>
        <v>高级装备升级石</v>
      </c>
      <c r="AB743" s="8">
        <v>85200</v>
      </c>
      <c r="AC743" s="8">
        <v>1</v>
      </c>
      <c r="AD743" s="10">
        <f t="shared" si="107"/>
        <v>2000</v>
      </c>
      <c r="AE743" s="8" t="str">
        <f>IF(AF743="","",VLOOKUP(AF743,引用表合并!$A:$B,2,FALSE))</f>
        <v/>
      </c>
      <c r="AF743" s="8"/>
      <c r="AI743" s="8"/>
      <c r="AJ743" s="8"/>
      <c r="AK743" s="8"/>
      <c r="AM743" s="8" t="str">
        <f>IF(AN743="","",VLOOKUP(AN743,引用表合并!$A:$B,2,FALSE))</f>
        <v/>
      </c>
      <c r="AN743" s="8"/>
      <c r="AO743" s="8"/>
      <c r="AQ743" s="8" t="str">
        <f>IF(AR743="","",VLOOKUP(AR743,引用表合并!$A:$B,2,FALSE))</f>
        <v/>
      </c>
      <c r="AR743" s="8"/>
      <c r="AS743" s="8"/>
      <c r="AU743" s="8" t="str">
        <f>IF(AV743="","",VLOOKUP(AV743,引用表合并!$A:$B,2,FALSE))</f>
        <v/>
      </c>
      <c r="AV743" s="8"/>
      <c r="AW743" s="8"/>
      <c r="AY743" s="8" t="str">
        <f>IF(AZ743="","",VLOOKUP(AZ743,引用表合并!$A:$B,2,FALSE))</f>
        <v/>
      </c>
      <c r="AZ743" s="8"/>
      <c r="BA743" s="8"/>
      <c r="BC743" s="8" t="str">
        <f>IF(BD743="","",VLOOKUP(BD743,引用表合并!$A:$B,2,FALSE))</f>
        <v/>
      </c>
      <c r="BD743" s="8"/>
      <c r="BF743" s="10"/>
      <c r="BG743" s="8" t="str">
        <f>IF(BH743="","",VLOOKUP(BH743,引用表合并!$A:$B,2,FALSE))</f>
        <v/>
      </c>
      <c r="BH743" s="8"/>
      <c r="BJ743" s="10"/>
      <c r="BK743" s="8" t="str">
        <f>IF(BL743="","",VLOOKUP(BL743,引用表合并!$A:$B,2,FALSE))</f>
        <v/>
      </c>
      <c r="BL743" s="8"/>
      <c r="BN743" s="10"/>
      <c r="FK743" s="8">
        <v>7</v>
      </c>
      <c r="FL743" s="8">
        <v>14</v>
      </c>
    </row>
    <row r="744" spans="1:168" x14ac:dyDescent="0.15">
      <c r="A744" s="8">
        <v>700810</v>
      </c>
      <c r="B744" s="8" t="s">
        <v>234</v>
      </c>
      <c r="C744" s="8">
        <v>0</v>
      </c>
      <c r="D744" s="8">
        <f t="shared" si="109"/>
        <v>6</v>
      </c>
      <c r="E744" s="16">
        <f t="shared" si="110"/>
        <v>6</v>
      </c>
      <c r="F744" s="16">
        <f t="shared" si="100"/>
        <v>6</v>
      </c>
      <c r="G744" s="8" t="str">
        <f>IF(H744="","",VLOOKUP(H744,引用表合并!$A:$B,2,FALSE))</f>
        <v>苍蓝项链碎片</v>
      </c>
      <c r="H744" s="76">
        <v>93254</v>
      </c>
      <c r="I744" s="35">
        <v>1</v>
      </c>
      <c r="J744" s="35">
        <f t="shared" si="101"/>
        <v>2750</v>
      </c>
      <c r="K744" s="8" t="str">
        <f>IF(L744="","",VLOOKUP(L744,引用表合并!$A:$B,2,FALSE))</f>
        <v>符文手环碎片</v>
      </c>
      <c r="L744" s="76">
        <v>93236</v>
      </c>
      <c r="M744" s="35">
        <v>1</v>
      </c>
      <c r="N744" s="35">
        <f t="shared" si="102"/>
        <v>2750</v>
      </c>
      <c r="O744" s="8" t="str">
        <f>IF(P744="","",VLOOKUP(P744,引用表合并!$A:$B,2,FALSE))</f>
        <v>大金块碎片</v>
      </c>
      <c r="P744" s="75">
        <v>93288</v>
      </c>
      <c r="Q744" s="35">
        <v>1</v>
      </c>
      <c r="R744" s="35">
        <f t="shared" si="103"/>
        <v>2750</v>
      </c>
      <c r="S744" s="8" t="str">
        <f>IF(T744="","",VLOOKUP(T744,引用表合并!$A:$B,2,FALSE))</f>
        <v>黄金戒指碎片</v>
      </c>
      <c r="T744" s="75">
        <v>93142</v>
      </c>
      <c r="U744" s="35">
        <v>1</v>
      </c>
      <c r="V744" s="35">
        <f t="shared" si="104"/>
        <v>2750</v>
      </c>
      <c r="W744" s="8" t="str">
        <f>IF(X744="","",VLOOKUP(X744,引用表合并!$A:$B,2,FALSE))</f>
        <v>稀有装备升级石</v>
      </c>
      <c r="X744" s="8">
        <v>85300</v>
      </c>
      <c r="Y744" s="10">
        <v>1</v>
      </c>
      <c r="Z744" s="10">
        <f t="shared" si="106"/>
        <v>3300</v>
      </c>
      <c r="AA744" s="8" t="str">
        <f>IF(AB744="","",VLOOKUP(AB744,引用表合并!$A:$B,2,FALSE))</f>
        <v>高级装备升级石</v>
      </c>
      <c r="AB744" s="8">
        <v>85200</v>
      </c>
      <c r="AC744" s="8">
        <v>1</v>
      </c>
      <c r="AD744" s="10">
        <f t="shared" si="107"/>
        <v>3400</v>
      </c>
      <c r="AE744" s="8" t="str">
        <f>IF(AF744="","",VLOOKUP(AF744,引用表合并!$A:$B,2,FALSE))</f>
        <v/>
      </c>
      <c r="AF744" s="8"/>
      <c r="AI744" s="8"/>
      <c r="AJ744" s="8"/>
      <c r="AK744" s="8"/>
      <c r="AM744" s="8" t="str">
        <f>IF(AN744="","",VLOOKUP(AN744,引用表合并!$A:$B,2,FALSE))</f>
        <v/>
      </c>
      <c r="AN744" s="8"/>
      <c r="AO744" s="8"/>
      <c r="AQ744" s="8" t="str">
        <f>IF(AR744="","",VLOOKUP(AR744,引用表合并!$A:$B,2,FALSE))</f>
        <v/>
      </c>
      <c r="AR744" s="8"/>
      <c r="AS744" s="8"/>
      <c r="AU744" s="8" t="str">
        <f>IF(AV744="","",VLOOKUP(AV744,引用表合并!$A:$B,2,FALSE))</f>
        <v/>
      </c>
      <c r="AV744" s="8"/>
      <c r="AW744" s="8"/>
      <c r="AY744" s="8" t="str">
        <f>IF(AZ744="","",VLOOKUP(AZ744,引用表合并!$A:$B,2,FALSE))</f>
        <v/>
      </c>
      <c r="AZ744" s="8"/>
      <c r="BA744" s="8"/>
      <c r="BC744" s="8" t="str">
        <f>IF(BD744="","",VLOOKUP(BD744,引用表合并!$A:$B,2,FALSE))</f>
        <v/>
      </c>
      <c r="BD744" s="8"/>
      <c r="BF744" s="10"/>
      <c r="BG744" s="8" t="str">
        <f>IF(BH744="","",VLOOKUP(BH744,引用表合并!$A:$B,2,FALSE))</f>
        <v/>
      </c>
      <c r="BH744" s="8"/>
      <c r="BJ744" s="10"/>
      <c r="BK744" s="8" t="str">
        <f>IF(BL744="","",VLOOKUP(BL744,引用表合并!$A:$B,2,FALSE))</f>
        <v/>
      </c>
      <c r="BL744" s="8"/>
      <c r="BN744" s="10"/>
      <c r="FK744" s="8">
        <v>7</v>
      </c>
      <c r="FL744" s="8">
        <v>8</v>
      </c>
    </row>
    <row r="745" spans="1:168" x14ac:dyDescent="0.15">
      <c r="A745" s="8">
        <v>700811</v>
      </c>
      <c r="B745" s="8" t="s">
        <v>235</v>
      </c>
      <c r="C745" s="8">
        <v>0</v>
      </c>
      <c r="D745" s="8">
        <f t="shared" si="109"/>
        <v>6</v>
      </c>
      <c r="E745" s="16">
        <f t="shared" si="110"/>
        <v>6</v>
      </c>
      <c r="F745" s="16">
        <f t="shared" si="100"/>
        <v>6</v>
      </c>
      <c r="G745" s="8" t="str">
        <f>IF(H745="","",VLOOKUP(H745,引用表合并!$A:$B,2,FALSE))</f>
        <v>汉密手表碎片</v>
      </c>
      <c r="H745" s="76">
        <v>93274</v>
      </c>
      <c r="I745" s="36">
        <v>1</v>
      </c>
      <c r="J745" s="36">
        <f t="shared" si="101"/>
        <v>2750</v>
      </c>
      <c r="K745" s="8" t="str">
        <f>IF(L745="","",VLOOKUP(L745,引用表合并!$A:$B,2,FALSE))</f>
        <v>月立碎片</v>
      </c>
      <c r="L745" s="76">
        <v>93013</v>
      </c>
      <c r="M745" s="36">
        <v>1</v>
      </c>
      <c r="N745" s="36">
        <f t="shared" si="102"/>
        <v>2750</v>
      </c>
      <c r="O745" s="35" t="str">
        <f>IF(P745="","",VLOOKUP(P745,引用表合并!$A:$B,2,FALSE))</f>
        <v>红石耳钉碎片</v>
      </c>
      <c r="P745" s="76">
        <v>93125</v>
      </c>
      <c r="Q745" s="35">
        <v>1</v>
      </c>
      <c r="R745" s="35">
        <f t="shared" si="103"/>
        <v>2750</v>
      </c>
      <c r="S745" s="8" t="str">
        <f>IF(T745="","",VLOOKUP(T745,引用表合并!$A:$B,2,FALSE))</f>
        <v>月立碎片</v>
      </c>
      <c r="T745" s="76">
        <v>93013</v>
      </c>
      <c r="U745" s="35">
        <v>1</v>
      </c>
      <c r="V745" s="35">
        <f t="shared" si="104"/>
        <v>2750</v>
      </c>
      <c r="W745" s="8" t="str">
        <f>IF(X745="","",VLOOKUP(X745,引用表合并!$A:$B,2,FALSE))</f>
        <v>史诗装备升级石</v>
      </c>
      <c r="X745" s="8">
        <v>85400</v>
      </c>
      <c r="Y745" s="8">
        <v>1</v>
      </c>
      <c r="Z745" s="10">
        <f t="shared" si="106"/>
        <v>3500</v>
      </c>
      <c r="AA745" s="8" t="str">
        <f>IF(AB745="","",VLOOKUP(AB745,引用表合并!$A:$B,2,FALSE))</f>
        <v>高级装备升级石</v>
      </c>
      <c r="AB745" s="8">
        <v>85200</v>
      </c>
      <c r="AC745" s="8">
        <v>1</v>
      </c>
      <c r="AD745" s="10">
        <f t="shared" si="107"/>
        <v>3600</v>
      </c>
      <c r="AE745" s="8" t="str">
        <f>IF(AF745="","",VLOOKUP(AF745,引用表合并!$A:$B,2,FALSE))</f>
        <v/>
      </c>
      <c r="AF745" s="8"/>
      <c r="AI745" s="8" t="str">
        <f>IF(AJ745="","",VLOOKUP(AJ745,引用表合并!$A:$B,2,FALSE))</f>
        <v/>
      </c>
      <c r="AJ745" s="8"/>
      <c r="AK745" s="8"/>
      <c r="AM745" s="8" t="str">
        <f>IF(AN745="","",VLOOKUP(AN745,引用表合并!$A:$B,2,FALSE))</f>
        <v/>
      </c>
      <c r="AN745" s="8"/>
      <c r="AO745" s="8"/>
      <c r="AQ745" s="8" t="str">
        <f>IF(AR745="","",VLOOKUP(AR745,引用表合并!$A:$B,2,FALSE))</f>
        <v/>
      </c>
      <c r="AR745" s="8"/>
      <c r="AS745" s="8"/>
      <c r="AU745" s="8" t="str">
        <f>IF(AV745="","",VLOOKUP(AV745,引用表合并!$A:$B,2,FALSE))</f>
        <v/>
      </c>
      <c r="AV745" s="8"/>
      <c r="AW745" s="8"/>
      <c r="AY745" s="8" t="str">
        <f>IF(AZ745="","",VLOOKUP(AZ745,引用表合并!$A:$B,2,FALSE))</f>
        <v/>
      </c>
      <c r="AZ745" s="8"/>
      <c r="BA745" s="8"/>
      <c r="BC745" s="8" t="str">
        <f>IF(BD745="","",VLOOKUP(BD745,引用表合并!$A:$B,2,FALSE))</f>
        <v/>
      </c>
      <c r="BD745" s="8"/>
      <c r="BF745" s="10"/>
      <c r="BG745" s="8" t="str">
        <f>IF(BH745="","",VLOOKUP(BH745,引用表合并!$A:$B,2,FALSE))</f>
        <v/>
      </c>
      <c r="BH745" s="8"/>
      <c r="BJ745" s="10"/>
      <c r="BK745" s="8" t="str">
        <f>IF(BL745="","",VLOOKUP(BL745,引用表合并!$A:$B,2,FALSE))</f>
        <v/>
      </c>
      <c r="BL745" s="8"/>
      <c r="BN745" s="10"/>
      <c r="FK745" s="8">
        <v>7</v>
      </c>
      <c r="FL745" s="8">
        <v>8</v>
      </c>
    </row>
    <row r="746" spans="1:168" x14ac:dyDescent="0.15">
      <c r="A746" s="8">
        <v>700812</v>
      </c>
      <c r="B746" s="8" t="s">
        <v>236</v>
      </c>
      <c r="C746" s="8">
        <v>0</v>
      </c>
      <c r="D746" s="8">
        <f t="shared" si="109"/>
        <v>6</v>
      </c>
      <c r="E746" s="16">
        <f t="shared" si="110"/>
        <v>6</v>
      </c>
      <c r="F746" s="16">
        <f t="shared" si="100"/>
        <v>6</v>
      </c>
      <c r="G746" s="8" t="str">
        <f>IF(H746="","",VLOOKUP(H746,引用表合并!$A:$B,2,FALSE))</f>
        <v>法拉捷碎片</v>
      </c>
      <c r="H746" s="76">
        <v>93280</v>
      </c>
      <c r="I746" s="36">
        <v>1</v>
      </c>
      <c r="J746" s="36">
        <f t="shared" si="101"/>
        <v>3150</v>
      </c>
      <c r="K746" s="8" t="str">
        <f>IF(L746="","",VLOOKUP(L746,引用表合并!$A:$B,2,FALSE))</f>
        <v>猫妖项链碎片</v>
      </c>
      <c r="L746" s="76">
        <v>93253</v>
      </c>
      <c r="M746" s="36">
        <v>1</v>
      </c>
      <c r="N746" s="36">
        <f t="shared" si="102"/>
        <v>3150</v>
      </c>
      <c r="O746" s="35" t="str">
        <f>IF(P746="","",VLOOKUP(P746,引用表合并!$A:$B,2,FALSE))</f>
        <v>毒蝎耳钉碎片</v>
      </c>
      <c r="P746" s="76">
        <v>93134</v>
      </c>
      <c r="Q746" s="35">
        <v>1</v>
      </c>
      <c r="R746" s="35">
        <f t="shared" si="103"/>
        <v>3150</v>
      </c>
      <c r="S746" s="8" t="str">
        <f>IF(T746="","",VLOOKUP(T746,引用表合并!$A:$B,2,FALSE))</f>
        <v>猫妖项链碎片</v>
      </c>
      <c r="T746" s="76">
        <v>93253</v>
      </c>
      <c r="U746" s="35">
        <v>1</v>
      </c>
      <c r="V746" s="35">
        <f t="shared" si="104"/>
        <v>3150</v>
      </c>
      <c r="W746" s="8" t="str">
        <f>IF(X746="","",VLOOKUP(X746,引用表合并!$A:$B,2,FALSE))</f>
        <v>史诗装备升级石</v>
      </c>
      <c r="X746" s="8">
        <v>85400</v>
      </c>
      <c r="Y746" s="8">
        <v>1</v>
      </c>
      <c r="Z746" s="10">
        <f t="shared" si="106"/>
        <v>4700</v>
      </c>
      <c r="AA746" s="8" t="str">
        <f>IF(AB746="","",VLOOKUP(AB746,引用表合并!$A:$B,2,FALSE))</f>
        <v>稀有装备升级石</v>
      </c>
      <c r="AB746" s="8">
        <v>85300</v>
      </c>
      <c r="AC746" s="10">
        <v>1</v>
      </c>
      <c r="AD746" s="10">
        <f t="shared" si="107"/>
        <v>10000</v>
      </c>
      <c r="AE746" s="8" t="str">
        <f>IF(AF746="","",VLOOKUP(AF746,引用表合并!$A:$B,2,FALSE))</f>
        <v/>
      </c>
      <c r="AF746" s="8"/>
      <c r="AG746" s="8"/>
      <c r="AI746" s="8" t="str">
        <f>IF(AJ746="","",VLOOKUP(AJ746,引用表合并!$A:$B,2,FALSE))</f>
        <v/>
      </c>
      <c r="AJ746" s="8"/>
      <c r="AK746" s="8"/>
      <c r="AM746" s="8" t="str">
        <f>IF(AN746="","",VLOOKUP(AN746,引用表合并!$A:$B,2,FALSE))</f>
        <v/>
      </c>
      <c r="AN746" s="8"/>
      <c r="AO746" s="8"/>
      <c r="AQ746" s="8" t="str">
        <f>IF(AR746="","",VLOOKUP(AR746,引用表合并!$A:$B,2,FALSE))</f>
        <v/>
      </c>
      <c r="AR746" s="8"/>
      <c r="AS746" s="8"/>
      <c r="AU746" s="8" t="str">
        <f>IF(AV746="","",VLOOKUP(AV746,引用表合并!$A:$B,2,FALSE))</f>
        <v/>
      </c>
      <c r="AV746" s="8"/>
      <c r="AW746" s="8"/>
      <c r="AY746" s="8" t="str">
        <f>IF(AZ746="","",VLOOKUP(AZ746,引用表合并!$A:$B,2,FALSE))</f>
        <v/>
      </c>
      <c r="AZ746" s="8"/>
      <c r="BA746" s="8"/>
      <c r="BC746" s="8" t="str">
        <f>IF(BD746="","",VLOOKUP(BD746,引用表合并!$A:$B,2,FALSE))</f>
        <v/>
      </c>
      <c r="BD746" s="8"/>
      <c r="BF746" s="10"/>
      <c r="BG746" s="8" t="str">
        <f>IF(BH746="","",VLOOKUP(BH746,引用表合并!$A:$B,2,FALSE))</f>
        <v/>
      </c>
      <c r="BH746" s="8"/>
      <c r="BJ746" s="10"/>
      <c r="BK746" s="8" t="str">
        <f>IF(BL746="","",VLOOKUP(BL746,引用表合并!$A:$B,2,FALSE))</f>
        <v/>
      </c>
      <c r="BL746" s="8"/>
      <c r="BN746" s="10"/>
      <c r="FK746" s="8">
        <v>7</v>
      </c>
      <c r="FL746" s="8">
        <v>16</v>
      </c>
    </row>
    <row r="747" spans="1:168" x14ac:dyDescent="0.15">
      <c r="A747" s="8">
        <v>700813</v>
      </c>
      <c r="B747" s="8" t="s">
        <v>237</v>
      </c>
      <c r="C747" s="8">
        <v>0</v>
      </c>
      <c r="D747" s="8">
        <f t="shared" si="109"/>
        <v>6</v>
      </c>
      <c r="E747" s="16">
        <f t="shared" si="110"/>
        <v>6</v>
      </c>
      <c r="F747" s="16">
        <f t="shared" si="100"/>
        <v>6</v>
      </c>
      <c r="G747" s="8" t="str">
        <f>IF(H747="","",VLOOKUP(H747,引用表合并!$A:$B,2,FALSE))</f>
        <v>大堆钞票碎片</v>
      </c>
      <c r="H747" s="76">
        <v>93285</v>
      </c>
      <c r="I747" s="36">
        <v>1</v>
      </c>
      <c r="J747" s="36">
        <f t="shared" si="101"/>
        <v>2850</v>
      </c>
      <c r="K747" s="8" t="str">
        <f>IF(L747="","",VLOOKUP(L747,引用表合并!$A:$B,2,FALSE))</f>
        <v>苍蓝项链碎片</v>
      </c>
      <c r="L747" s="76">
        <v>93254</v>
      </c>
      <c r="M747" s="36">
        <v>1</v>
      </c>
      <c r="N747" s="36">
        <f t="shared" si="102"/>
        <v>2850</v>
      </c>
      <c r="O747" s="35" t="str">
        <f>IF(P747="","",VLOOKUP(P747,引用表合并!$A:$B,2,FALSE))</f>
        <v>赤金戒指碎片</v>
      </c>
      <c r="P747" s="76">
        <v>93223</v>
      </c>
      <c r="Q747" s="35">
        <v>1</v>
      </c>
      <c r="R747" s="35">
        <f t="shared" si="103"/>
        <v>2850</v>
      </c>
      <c r="S747" s="8" t="str">
        <f>IF(T747="","",VLOOKUP(T747,引用表合并!$A:$B,2,FALSE))</f>
        <v>苍蓝项链碎片</v>
      </c>
      <c r="T747" s="76">
        <v>93254</v>
      </c>
      <c r="U747" s="35">
        <v>1</v>
      </c>
      <c r="V747" s="35">
        <f t="shared" si="104"/>
        <v>2850</v>
      </c>
      <c r="W747" s="8" t="str">
        <f>IF(X747="","",VLOOKUP(X747,引用表合并!$A:$B,2,FALSE))</f>
        <v>史诗装备升级石</v>
      </c>
      <c r="X747" s="8">
        <v>85400</v>
      </c>
      <c r="Y747" s="8">
        <v>1</v>
      </c>
      <c r="Z747" s="10">
        <f t="shared" si="106"/>
        <v>3200</v>
      </c>
      <c r="AA747" s="8" t="str">
        <f>IF(AB747="","",VLOOKUP(AB747,引用表合并!$A:$B,2,FALSE))</f>
        <v>高级装备升级石</v>
      </c>
      <c r="AB747" s="8">
        <v>85200</v>
      </c>
      <c r="AC747" s="8">
        <v>1</v>
      </c>
      <c r="AD747" s="10">
        <f t="shared" si="107"/>
        <v>4000</v>
      </c>
      <c r="AE747" s="8" t="str">
        <f>IF(AF747="","",VLOOKUP(AF747,引用表合并!$A:$B,2,FALSE))</f>
        <v/>
      </c>
      <c r="AF747" s="8"/>
      <c r="AI747" s="8" t="str">
        <f>IF(AJ747="","",VLOOKUP(AJ747,引用表合并!$A:$B,2,FALSE))</f>
        <v/>
      </c>
      <c r="AJ747" s="8"/>
      <c r="AK747" s="8"/>
      <c r="AM747" s="8" t="str">
        <f>IF(AN747="","",VLOOKUP(AN747,引用表合并!$A:$B,2,FALSE))</f>
        <v/>
      </c>
      <c r="AN747" s="8"/>
      <c r="AO747" s="8"/>
      <c r="AQ747" s="8" t="str">
        <f>IF(AR747="","",VLOOKUP(AR747,引用表合并!$A:$B,2,FALSE))</f>
        <v/>
      </c>
      <c r="AR747" s="8"/>
      <c r="AS747" s="8"/>
      <c r="AU747" s="8" t="str">
        <f>IF(AV747="","",VLOOKUP(AV747,引用表合并!$A:$B,2,FALSE))</f>
        <v/>
      </c>
      <c r="AV747" s="8"/>
      <c r="AW747" s="8"/>
      <c r="AY747" s="8" t="str">
        <f>IF(AZ747="","",VLOOKUP(AZ747,引用表合并!$A:$B,2,FALSE))</f>
        <v/>
      </c>
      <c r="AZ747" s="8"/>
      <c r="BA747" s="8"/>
      <c r="BC747" s="8" t="str">
        <f>IF(BD747="","",VLOOKUP(BD747,引用表合并!$A:$B,2,FALSE))</f>
        <v/>
      </c>
      <c r="BD747" s="8"/>
      <c r="BF747" s="10"/>
      <c r="BG747" s="8" t="str">
        <f>IF(BH747="","",VLOOKUP(BH747,引用表合并!$A:$B,2,FALSE))</f>
        <v/>
      </c>
      <c r="BH747" s="8"/>
      <c r="BJ747" s="10"/>
      <c r="BK747" s="8" t="str">
        <f>IF(BL747="","",VLOOKUP(BL747,引用表合并!$A:$B,2,FALSE))</f>
        <v/>
      </c>
      <c r="BL747" s="8"/>
      <c r="BN747" s="10"/>
      <c r="FK747" s="8">
        <v>7</v>
      </c>
      <c r="FL747" s="8">
        <v>10</v>
      </c>
    </row>
    <row r="748" spans="1:168" x14ac:dyDescent="0.15">
      <c r="A748" s="8">
        <v>700814</v>
      </c>
      <c r="B748" s="8" t="s">
        <v>238</v>
      </c>
      <c r="C748" s="8">
        <v>0</v>
      </c>
      <c r="D748" s="8">
        <f t="shared" si="109"/>
        <v>6</v>
      </c>
      <c r="E748" s="16">
        <f t="shared" si="110"/>
        <v>6</v>
      </c>
      <c r="F748" s="16">
        <f t="shared" si="100"/>
        <v>6</v>
      </c>
      <c r="G748" s="8" t="str">
        <f>IF(H748="","",VLOOKUP(H748,引用表合并!$A:$B,2,FALSE))</f>
        <v>小堆金块碎片</v>
      </c>
      <c r="H748" s="76">
        <v>93289</v>
      </c>
      <c r="I748" s="36">
        <v>1</v>
      </c>
      <c r="J748" s="36">
        <f t="shared" si="101"/>
        <v>2850</v>
      </c>
      <c r="K748" s="8" t="str">
        <f>IF(L748="","",VLOOKUP(L748,引用表合并!$A:$B,2,FALSE))</f>
        <v>汉密手表碎片</v>
      </c>
      <c r="L748" s="76">
        <v>93274</v>
      </c>
      <c r="M748" s="36">
        <v>1</v>
      </c>
      <c r="N748" s="36">
        <f t="shared" si="102"/>
        <v>2850</v>
      </c>
      <c r="O748" s="35" t="str">
        <f>IF(P748="","",VLOOKUP(P748,引用表合并!$A:$B,2,FALSE))</f>
        <v>王者手环碎片</v>
      </c>
      <c r="P748" s="76">
        <v>93227</v>
      </c>
      <c r="Q748" s="35">
        <v>1</v>
      </c>
      <c r="R748" s="35">
        <f t="shared" si="103"/>
        <v>2850</v>
      </c>
      <c r="S748" s="8" t="str">
        <f>IF(T748="","",VLOOKUP(T748,引用表合并!$A:$B,2,FALSE))</f>
        <v>汉密手表碎片</v>
      </c>
      <c r="T748" s="76">
        <v>93274</v>
      </c>
      <c r="U748" s="35">
        <v>1</v>
      </c>
      <c r="V748" s="35">
        <f t="shared" si="104"/>
        <v>2850</v>
      </c>
      <c r="W748" s="8" t="str">
        <f>IF(X748="","",VLOOKUP(X748,引用表合并!$A:$B,2,FALSE))</f>
        <v>史诗装备升级石</v>
      </c>
      <c r="X748" s="8">
        <v>85400</v>
      </c>
      <c r="Y748" s="8">
        <v>1</v>
      </c>
      <c r="Z748" s="10">
        <f t="shared" si="106"/>
        <v>3400</v>
      </c>
      <c r="AA748" s="8" t="str">
        <f>IF(AB748="","",VLOOKUP(AB748,引用表合并!$A:$B,2,FALSE))</f>
        <v>高级装备升级石</v>
      </c>
      <c r="AB748" s="8">
        <v>85200</v>
      </c>
      <c r="AC748" s="8">
        <v>1</v>
      </c>
      <c r="AD748" s="10">
        <f t="shared" si="107"/>
        <v>4200</v>
      </c>
      <c r="AE748" s="8" t="str">
        <f>IF(AF748="","",VLOOKUP(AF748,引用表合并!$A:$B,2,FALSE))</f>
        <v/>
      </c>
      <c r="AF748" s="8"/>
      <c r="AI748" s="8" t="str">
        <f>IF(AJ748="","",VLOOKUP(AJ748,引用表合并!$A:$B,2,FALSE))</f>
        <v/>
      </c>
      <c r="AJ748" s="8"/>
      <c r="AK748" s="8"/>
      <c r="AM748" s="8" t="str">
        <f>IF(AN748="","",VLOOKUP(AN748,引用表合并!$A:$B,2,FALSE))</f>
        <v/>
      </c>
      <c r="AN748" s="8"/>
      <c r="AO748" s="8"/>
      <c r="AQ748" s="8" t="str">
        <f>IF(AR748="","",VLOOKUP(AR748,引用表合并!$A:$B,2,FALSE))</f>
        <v/>
      </c>
      <c r="AR748" s="8"/>
      <c r="AS748" s="8"/>
      <c r="AU748" s="8" t="str">
        <f>IF(AV748="","",VLOOKUP(AV748,引用表合并!$A:$B,2,FALSE))</f>
        <v/>
      </c>
      <c r="AV748" s="8"/>
      <c r="AW748" s="8"/>
      <c r="AY748" s="8" t="str">
        <f>IF(AZ748="","",VLOOKUP(AZ748,引用表合并!$A:$B,2,FALSE))</f>
        <v/>
      </c>
      <c r="AZ748" s="8"/>
      <c r="BA748" s="8"/>
      <c r="BC748" s="8" t="str">
        <f>IF(BD748="","",VLOOKUP(BD748,引用表合并!$A:$B,2,FALSE))</f>
        <v/>
      </c>
      <c r="BD748" s="8"/>
      <c r="BF748" s="10"/>
      <c r="BG748" s="8" t="str">
        <f>IF(BH748="","",VLOOKUP(BH748,引用表合并!$A:$B,2,FALSE))</f>
        <v/>
      </c>
      <c r="BH748" s="8"/>
      <c r="BJ748" s="10"/>
      <c r="BK748" s="8" t="str">
        <f>IF(BL748="","",VLOOKUP(BL748,引用表合并!$A:$B,2,FALSE))</f>
        <v/>
      </c>
      <c r="BL748" s="8"/>
      <c r="BN748" s="10"/>
      <c r="FK748" s="8">
        <v>7</v>
      </c>
      <c r="FL748" s="8">
        <v>10</v>
      </c>
    </row>
    <row r="749" spans="1:168" x14ac:dyDescent="0.15">
      <c r="A749" s="8">
        <v>700815</v>
      </c>
      <c r="B749" s="8" t="s">
        <v>239</v>
      </c>
      <c r="C749" s="8">
        <v>0</v>
      </c>
      <c r="D749" s="8">
        <f t="shared" si="109"/>
        <v>7</v>
      </c>
      <c r="E749" s="16">
        <f t="shared" si="110"/>
        <v>7</v>
      </c>
      <c r="F749" s="16">
        <f t="shared" si="100"/>
        <v>7</v>
      </c>
      <c r="G749" s="8" t="str">
        <f>IF(H749="","",VLOOKUP(H749,引用表合并!$A:$B,2,FALSE))</f>
        <v>红石耳钉碎片</v>
      </c>
      <c r="H749" s="76">
        <v>93125</v>
      </c>
      <c r="I749" s="36">
        <v>1</v>
      </c>
      <c r="J749" s="36">
        <f t="shared" si="101"/>
        <v>3350</v>
      </c>
      <c r="K749" s="8" t="str">
        <f>IF(L749="","",VLOOKUP(L749,引用表合并!$A:$B,2,FALSE))</f>
        <v>法拉捷碎片</v>
      </c>
      <c r="L749" s="76">
        <v>93280</v>
      </c>
      <c r="M749" s="36">
        <v>1</v>
      </c>
      <c r="N749" s="36">
        <f t="shared" si="102"/>
        <v>3350</v>
      </c>
      <c r="O749" s="35" t="str">
        <f>IF(P749="","",VLOOKUP(P749,引用表合并!$A:$B,2,FALSE))</f>
        <v>符文手环碎片</v>
      </c>
      <c r="P749" s="76">
        <v>93236</v>
      </c>
      <c r="Q749" s="35">
        <v>1</v>
      </c>
      <c r="R749" s="35">
        <f t="shared" si="103"/>
        <v>3350</v>
      </c>
      <c r="S749" s="35" t="str">
        <f>IF(T749="","",VLOOKUP(T749,引用表合并!$A:$B,2,FALSE))</f>
        <v>法拉捷碎片</v>
      </c>
      <c r="T749" s="76">
        <v>93280</v>
      </c>
      <c r="U749" s="35">
        <v>1</v>
      </c>
      <c r="V749" s="35">
        <f t="shared" si="104"/>
        <v>3350</v>
      </c>
      <c r="W749" s="8" t="str">
        <f>IF(X749="","",VLOOKUP(X749,引用表合并!$A:$B,2,FALSE))</f>
        <v>史诗装备升级石</v>
      </c>
      <c r="X749" s="8">
        <v>85400</v>
      </c>
      <c r="Y749" s="8">
        <v>1</v>
      </c>
      <c r="Z749" s="10">
        <f t="shared" si="106"/>
        <v>10000</v>
      </c>
      <c r="AA749" s="8" t="str">
        <f>IF(AB749="","",VLOOKUP(AB749,引用表合并!$A:$B,2,FALSE))</f>
        <v>稀有装备升级石</v>
      </c>
      <c r="AB749" s="8">
        <v>85300</v>
      </c>
      <c r="AC749" s="10">
        <v>1</v>
      </c>
      <c r="AD749" s="10">
        <f t="shared" si="107"/>
        <v>5000</v>
      </c>
      <c r="AE749" s="8" t="str">
        <f>IF(AF749="","",VLOOKUP(AF749,引用表合并!$A:$B,2,FALSE))</f>
        <v>马仔经验甘露</v>
      </c>
      <c r="AF749" s="31">
        <f t="shared" ref="AF749" si="112">IF(CO749=100,91100,IF(CO749=500,91200,91300))</f>
        <v>91300</v>
      </c>
      <c r="AG749" s="8">
        <v>1</v>
      </c>
      <c r="AH749" s="10">
        <v>10000</v>
      </c>
      <c r="AI749" s="8" t="str">
        <f>IF(AJ749="","",VLOOKUP(AJ749,引用表合并!$A:$B,2,FALSE))</f>
        <v/>
      </c>
      <c r="AM749" s="8" t="str">
        <f>IF(AN749="","",VLOOKUP(AN749,引用表合并!$A:$B,2,FALSE))</f>
        <v/>
      </c>
      <c r="AN749" s="8"/>
      <c r="AO749" s="8"/>
      <c r="AQ749" s="8" t="str">
        <f>IF(AR749="","",VLOOKUP(AR749,引用表合并!$A:$B,2,FALSE))</f>
        <v/>
      </c>
      <c r="AR749" s="8"/>
      <c r="AS749" s="8"/>
      <c r="AU749" s="8" t="str">
        <f>IF(AV749="","",VLOOKUP(AV749,引用表合并!$A:$B,2,FALSE))</f>
        <v/>
      </c>
      <c r="AV749" s="8"/>
      <c r="AW749" s="8"/>
      <c r="AY749" s="8" t="str">
        <f>IF(AZ749="","",VLOOKUP(AZ749,引用表合并!$A:$B,2,FALSE))</f>
        <v/>
      </c>
      <c r="AZ749" s="8"/>
      <c r="BA749" s="8"/>
      <c r="BC749" s="8" t="str">
        <f>IF(BD749="","",VLOOKUP(BD749,引用表合并!$A:$B,2,FALSE))</f>
        <v/>
      </c>
      <c r="BD749" s="8"/>
      <c r="BF749" s="10"/>
      <c r="BG749" s="8" t="str">
        <f>IF(BH749="","",VLOOKUP(BH749,引用表合并!$A:$B,2,FALSE))</f>
        <v/>
      </c>
      <c r="BH749" s="8"/>
      <c r="BJ749" s="10"/>
      <c r="BK749" s="8" t="str">
        <f>IF(BL749="","",VLOOKUP(BL749,引用表合并!$A:$B,2,FALSE))</f>
        <v/>
      </c>
      <c r="BL749" s="8"/>
      <c r="BN749" s="10"/>
      <c r="FK749" s="8">
        <v>7</v>
      </c>
      <c r="FL749" s="8">
        <v>20</v>
      </c>
    </row>
    <row r="750" spans="1:168" x14ac:dyDescent="0.15">
      <c r="A750" s="8">
        <v>700901</v>
      </c>
      <c r="B750" s="8" t="s">
        <v>240</v>
      </c>
      <c r="C750" s="8">
        <v>0</v>
      </c>
      <c r="D750" s="8">
        <f t="shared" si="109"/>
        <v>5</v>
      </c>
      <c r="E750" s="16">
        <f t="shared" si="110"/>
        <v>5</v>
      </c>
      <c r="F750" s="16">
        <f t="shared" si="100"/>
        <v>5</v>
      </c>
      <c r="G750" s="8" t="str">
        <f>IF(H750="","",VLOOKUP(H750,引用表合并!$A:$B,2,FALSE))</f>
        <v>毒蝎耳钉碎片</v>
      </c>
      <c r="H750" s="76">
        <v>93134</v>
      </c>
      <c r="I750" s="35">
        <v>1</v>
      </c>
      <c r="J750" s="35">
        <f t="shared" si="101"/>
        <v>2400</v>
      </c>
      <c r="K750" s="8" t="str">
        <f>IF(L750="","",VLOOKUP(L750,引用表合并!$A:$B,2,FALSE))</f>
        <v>大堆钞票碎片</v>
      </c>
      <c r="L750" s="76">
        <v>93285</v>
      </c>
      <c r="M750" s="35">
        <v>1</v>
      </c>
      <c r="N750" s="35">
        <f t="shared" si="102"/>
        <v>2400</v>
      </c>
      <c r="O750" s="8" t="str">
        <f>IF(P750="","",VLOOKUP(P750,引用表合并!$A:$B,2,FALSE))</f>
        <v>智能手表碎片</v>
      </c>
      <c r="P750" s="75">
        <v>93273</v>
      </c>
      <c r="Q750" s="34">
        <v>1</v>
      </c>
      <c r="R750" s="34">
        <f t="shared" si="103"/>
        <v>2400</v>
      </c>
      <c r="S750" s="34" t="str">
        <f>IF(T750="","",VLOOKUP(T750,引用表合并!$A:$B,2,FALSE))</f>
        <v>黄金戒指碎片</v>
      </c>
      <c r="T750" s="75">
        <v>93142</v>
      </c>
      <c r="U750" s="34">
        <v>1</v>
      </c>
      <c r="V750" s="34">
        <f t="shared" si="104"/>
        <v>2400</v>
      </c>
      <c r="W750" s="8" t="str">
        <f>IF(X750="","",VLOOKUP(X750,引用表合并!$A:$B,2,FALSE))</f>
        <v>高级装备升级石</v>
      </c>
      <c r="X750" s="8">
        <v>85200</v>
      </c>
      <c r="Y750" s="8">
        <v>1</v>
      </c>
      <c r="Z750" s="10">
        <f t="shared" si="106"/>
        <v>3300</v>
      </c>
      <c r="AA750" s="8" t="str">
        <f>IF(AB750="","",VLOOKUP(AB750,引用表合并!$A:$B,2,FALSE))</f>
        <v/>
      </c>
      <c r="AB750" s="8"/>
      <c r="AC750" s="8"/>
      <c r="AD750" s="10">
        <f t="shared" si="107"/>
        <v>0</v>
      </c>
      <c r="AE750" s="8" t="str">
        <f>IF(AF750="","",VLOOKUP(AF750,引用表合并!$A:$B,2,FALSE))</f>
        <v/>
      </c>
      <c r="AF750" s="8"/>
      <c r="AG750" s="8"/>
      <c r="AI750" s="8" t="str">
        <f>IF(AJ750="","",VLOOKUP(AJ750,引用表合并!$A:$B,2,FALSE))</f>
        <v/>
      </c>
      <c r="AJ750" s="8"/>
      <c r="AK750" s="8"/>
      <c r="AM750" s="8" t="str">
        <f>IF(AN750="","",VLOOKUP(AN750,引用表合并!$A:$B,2,FALSE))</f>
        <v/>
      </c>
      <c r="AN750" s="8"/>
      <c r="AO750" s="8"/>
      <c r="AQ750" s="8" t="str">
        <f>IF(AR750="","",VLOOKUP(AR750,引用表合并!$A:$B,2,FALSE))</f>
        <v/>
      </c>
      <c r="AR750" s="8"/>
      <c r="AS750" s="8"/>
      <c r="AU750" s="8" t="str">
        <f>IF(AV750="","",VLOOKUP(AV750,引用表合并!$A:$B,2,FALSE))</f>
        <v/>
      </c>
      <c r="AV750" s="8"/>
      <c r="AW750" s="8"/>
      <c r="AY750" s="8" t="str">
        <f>IF(AZ750="","",VLOOKUP(AZ750,引用表合并!$A:$B,2,FALSE))</f>
        <v/>
      </c>
      <c r="AZ750" s="8"/>
      <c r="BA750" s="8"/>
      <c r="BC750" s="8" t="str">
        <f>IF(BD750="","",VLOOKUP(BD750,引用表合并!$A:$B,2,FALSE))</f>
        <v/>
      </c>
      <c r="BD750" s="8"/>
      <c r="BF750" s="10"/>
      <c r="BG750" s="8" t="str">
        <f>IF(BH750="","",VLOOKUP(BH750,引用表合并!$A:$B,2,FALSE))</f>
        <v/>
      </c>
      <c r="BH750" s="8"/>
      <c r="BJ750" s="10"/>
      <c r="BK750" s="8" t="str">
        <f>IF(BL750="","",VLOOKUP(BL750,引用表合并!$A:$B,2,FALSE))</f>
        <v/>
      </c>
      <c r="BL750" s="8"/>
      <c r="BN750" s="10"/>
      <c r="FK750" s="8">
        <v>8</v>
      </c>
      <c r="FL750" s="8">
        <v>0</v>
      </c>
    </row>
    <row r="751" spans="1:168" x14ac:dyDescent="0.15">
      <c r="A751" s="8">
        <v>700902</v>
      </c>
      <c r="B751" s="8" t="s">
        <v>241</v>
      </c>
      <c r="C751" s="8">
        <v>0</v>
      </c>
      <c r="D751" s="8">
        <f t="shared" si="109"/>
        <v>5</v>
      </c>
      <c r="E751" s="16">
        <f t="shared" si="110"/>
        <v>5</v>
      </c>
      <c r="F751" s="16">
        <f t="shared" si="100"/>
        <v>5</v>
      </c>
      <c r="G751" s="8" t="str">
        <f>IF(H751="","",VLOOKUP(H751,引用表合并!$A:$B,2,FALSE))</f>
        <v>赤金戒指碎片</v>
      </c>
      <c r="H751" s="76">
        <v>93223</v>
      </c>
      <c r="I751" s="35">
        <v>1</v>
      </c>
      <c r="J751" s="35">
        <f t="shared" si="101"/>
        <v>2400</v>
      </c>
      <c r="K751" s="8" t="str">
        <f>IF(L751="","",VLOOKUP(L751,引用表合并!$A:$B,2,FALSE))</f>
        <v>小堆金块碎片</v>
      </c>
      <c r="L751" s="76">
        <v>93289</v>
      </c>
      <c r="M751" s="35">
        <v>1</v>
      </c>
      <c r="N751" s="35">
        <f t="shared" si="102"/>
        <v>2400</v>
      </c>
      <c r="O751" s="8" t="str">
        <f>IF(P751="","",VLOOKUP(P751,引用表合并!$A:$B,2,FALSE))</f>
        <v>宾倪碎片</v>
      </c>
      <c r="P751" s="75">
        <v>93279</v>
      </c>
      <c r="Q751" s="34">
        <v>1</v>
      </c>
      <c r="R751" s="34">
        <f t="shared" si="103"/>
        <v>2400</v>
      </c>
      <c r="S751" s="34" t="str">
        <f>IF(T751="","",VLOOKUP(T751,引用表合并!$A:$B,2,FALSE))</f>
        <v>宝石手环碎片</v>
      </c>
      <c r="T751" s="75">
        <v>93235</v>
      </c>
      <c r="U751" s="34">
        <v>1</v>
      </c>
      <c r="V751" s="34">
        <f t="shared" si="104"/>
        <v>2400</v>
      </c>
      <c r="W751" s="8" t="str">
        <f>IF(X751="","",VLOOKUP(X751,引用表合并!$A:$B,2,FALSE))</f>
        <v>高级装备升级石</v>
      </c>
      <c r="X751" s="8">
        <v>85200</v>
      </c>
      <c r="Y751" s="8">
        <v>1</v>
      </c>
      <c r="Z751" s="10">
        <f t="shared" si="106"/>
        <v>3400</v>
      </c>
      <c r="AA751" s="8" t="str">
        <f>IF(AB751="","",VLOOKUP(AB751,引用表合并!$A:$B,2,FALSE))</f>
        <v/>
      </c>
      <c r="AB751" s="8"/>
      <c r="AC751" s="8"/>
      <c r="AD751" s="10">
        <f t="shared" si="107"/>
        <v>0</v>
      </c>
      <c r="AE751" s="8" t="str">
        <f>IF(AF751="","",VLOOKUP(AF751,引用表合并!$A:$B,2,FALSE))</f>
        <v/>
      </c>
      <c r="AF751" s="8"/>
      <c r="AG751" s="8"/>
      <c r="AI751" s="8" t="str">
        <f>IF(AJ751="","",VLOOKUP(AJ751,引用表合并!$A:$B,2,FALSE))</f>
        <v/>
      </c>
      <c r="AJ751" s="8"/>
      <c r="AK751" s="8"/>
      <c r="AM751" s="8" t="str">
        <f>IF(AN751="","",VLOOKUP(AN751,引用表合并!$A:$B,2,FALSE))</f>
        <v/>
      </c>
      <c r="AN751" s="8"/>
      <c r="AO751" s="8"/>
      <c r="AQ751" s="8" t="str">
        <f>IF(AR751="","",VLOOKUP(AR751,引用表合并!$A:$B,2,FALSE))</f>
        <v/>
      </c>
      <c r="AR751" s="8"/>
      <c r="AS751" s="8"/>
      <c r="AU751" s="8" t="str">
        <f>IF(AV751="","",VLOOKUP(AV751,引用表合并!$A:$B,2,FALSE))</f>
        <v/>
      </c>
      <c r="AV751" s="8"/>
      <c r="AW751" s="8"/>
      <c r="AY751" s="8" t="str">
        <f>IF(AZ751="","",VLOOKUP(AZ751,引用表合并!$A:$B,2,FALSE))</f>
        <v/>
      </c>
      <c r="AZ751" s="8"/>
      <c r="BA751" s="8"/>
      <c r="BC751" s="8" t="str">
        <f>IF(BD751="","",VLOOKUP(BD751,引用表合并!$A:$B,2,FALSE))</f>
        <v/>
      </c>
      <c r="BD751" s="8"/>
      <c r="BF751" s="10"/>
      <c r="BG751" s="8" t="str">
        <f>IF(BH751="","",VLOOKUP(BH751,引用表合并!$A:$B,2,FALSE))</f>
        <v/>
      </c>
      <c r="BH751" s="8"/>
      <c r="BJ751" s="10"/>
      <c r="BK751" s="8" t="str">
        <f>IF(BL751="","",VLOOKUP(BL751,引用表合并!$A:$B,2,FALSE))</f>
        <v/>
      </c>
      <c r="BL751" s="8"/>
      <c r="BN751" s="10"/>
      <c r="FK751" s="8">
        <v>8</v>
      </c>
      <c r="FL751" s="8">
        <v>0</v>
      </c>
    </row>
    <row r="752" spans="1:168" x14ac:dyDescent="0.15">
      <c r="A752" s="8">
        <v>700903</v>
      </c>
      <c r="B752" s="8" t="s">
        <v>242</v>
      </c>
      <c r="C752" s="8">
        <v>0</v>
      </c>
      <c r="D752" s="8">
        <f t="shared" si="109"/>
        <v>5</v>
      </c>
      <c r="E752" s="16">
        <f t="shared" si="110"/>
        <v>5</v>
      </c>
      <c r="F752" s="16">
        <f t="shared" si="100"/>
        <v>5</v>
      </c>
      <c r="G752" s="8" t="str">
        <f>IF(H752="","",VLOOKUP(H752,引用表合并!$A:$B,2,FALSE))</f>
        <v>王者手环碎片</v>
      </c>
      <c r="H752" s="76">
        <v>93227</v>
      </c>
      <c r="I752" s="35">
        <v>1</v>
      </c>
      <c r="J752" s="35">
        <f t="shared" si="101"/>
        <v>2900</v>
      </c>
      <c r="K752" s="8" t="str">
        <f>IF(L752="","",VLOOKUP(L752,引用表合并!$A:$B,2,FALSE))</f>
        <v>红石耳钉碎片</v>
      </c>
      <c r="L752" s="76">
        <v>93125</v>
      </c>
      <c r="M752" s="35">
        <v>1</v>
      </c>
      <c r="N752" s="35">
        <f t="shared" si="102"/>
        <v>2900</v>
      </c>
      <c r="O752" s="8" t="str">
        <f>IF(P752="","",VLOOKUP(P752,引用表合并!$A:$B,2,FALSE))</f>
        <v>大迭钞票碎片</v>
      </c>
      <c r="P752" s="75">
        <v>93284</v>
      </c>
      <c r="Q752" s="34">
        <v>1</v>
      </c>
      <c r="R752" s="34">
        <f t="shared" si="103"/>
        <v>2900</v>
      </c>
      <c r="S752" s="34" t="str">
        <f>IF(T752="","",VLOOKUP(T752,引用表合并!$A:$B,2,FALSE))</f>
        <v>摩拉碎片</v>
      </c>
      <c r="T752" s="75">
        <v>93012</v>
      </c>
      <c r="U752" s="34">
        <v>1</v>
      </c>
      <c r="V752" s="34">
        <f t="shared" si="104"/>
        <v>2900</v>
      </c>
      <c r="W752" s="8" t="str">
        <f>IF(X752="","",VLOOKUP(X752,引用表合并!$A:$B,2,FALSE))</f>
        <v>高级装备升级石</v>
      </c>
      <c r="X752" s="8">
        <v>85200</v>
      </c>
      <c r="Y752" s="8">
        <v>1</v>
      </c>
      <c r="Z752" s="10">
        <f t="shared" si="106"/>
        <v>5800</v>
      </c>
      <c r="AA752" s="8" t="str">
        <f>IF(AB752="","",VLOOKUP(AB752,引用表合并!$A:$B,2,FALSE))</f>
        <v/>
      </c>
      <c r="AB752" s="8"/>
      <c r="AC752" s="8"/>
      <c r="AD752" s="10">
        <f t="shared" si="107"/>
        <v>0</v>
      </c>
      <c r="AE752" s="8" t="str">
        <f>IF(AF752="","",VLOOKUP(AF752,引用表合并!$A:$B,2,FALSE))</f>
        <v/>
      </c>
      <c r="AF752" s="8"/>
      <c r="AG752" s="8"/>
      <c r="AI752" s="8" t="str">
        <f>IF(AJ752="","",VLOOKUP(AJ752,引用表合并!$A:$B,2,FALSE))</f>
        <v/>
      </c>
      <c r="AJ752" s="8"/>
      <c r="AK752" s="8"/>
      <c r="AM752" s="8" t="str">
        <f>IF(AN752="","",VLOOKUP(AN752,引用表合并!$A:$B,2,FALSE))</f>
        <v/>
      </c>
      <c r="AN752" s="8"/>
      <c r="AO752" s="8"/>
      <c r="AQ752" s="8" t="str">
        <f>IF(AR752="","",VLOOKUP(AR752,引用表合并!$A:$B,2,FALSE))</f>
        <v/>
      </c>
      <c r="AR752" s="8"/>
      <c r="AS752" s="8"/>
      <c r="AU752" s="8" t="str">
        <f>IF(AV752="","",VLOOKUP(AV752,引用表合并!$A:$B,2,FALSE))</f>
        <v/>
      </c>
      <c r="AV752" s="8"/>
      <c r="AW752" s="8"/>
      <c r="AY752" s="8" t="str">
        <f>IF(AZ752="","",VLOOKUP(AZ752,引用表合并!$A:$B,2,FALSE))</f>
        <v/>
      </c>
      <c r="AZ752" s="8"/>
      <c r="BA752" s="8"/>
      <c r="BC752" s="8" t="str">
        <f>IF(BD752="","",VLOOKUP(BD752,引用表合并!$A:$B,2,FALSE))</f>
        <v/>
      </c>
      <c r="BD752" s="8"/>
      <c r="BF752" s="10"/>
      <c r="BG752" s="8" t="str">
        <f>IF(BH752="","",VLOOKUP(BH752,引用表合并!$A:$B,2,FALSE))</f>
        <v/>
      </c>
      <c r="BH752" s="8"/>
      <c r="BJ752" s="10"/>
      <c r="BK752" s="8" t="str">
        <f>IF(BL752="","",VLOOKUP(BL752,引用表合并!$A:$B,2,FALSE))</f>
        <v/>
      </c>
      <c r="BL752" s="8"/>
      <c r="BN752" s="10"/>
      <c r="FK752" s="8">
        <v>8</v>
      </c>
      <c r="FL752" s="8">
        <v>10</v>
      </c>
    </row>
    <row r="753" spans="1:168" x14ac:dyDescent="0.15">
      <c r="A753" s="8">
        <v>700904</v>
      </c>
      <c r="B753" s="8" t="s">
        <v>243</v>
      </c>
      <c r="C753" s="8">
        <v>0</v>
      </c>
      <c r="D753" s="8">
        <f t="shared" si="109"/>
        <v>5</v>
      </c>
      <c r="E753" s="16">
        <f t="shared" si="110"/>
        <v>5</v>
      </c>
      <c r="F753" s="16">
        <f t="shared" si="100"/>
        <v>5</v>
      </c>
      <c r="G753" s="8" t="str">
        <f>IF(H753="","",VLOOKUP(H753,引用表合并!$A:$B,2,FALSE))</f>
        <v>符文手环碎片</v>
      </c>
      <c r="H753" s="76">
        <v>93236</v>
      </c>
      <c r="I753" s="35">
        <v>1</v>
      </c>
      <c r="J753" s="35">
        <f t="shared" si="101"/>
        <v>2400</v>
      </c>
      <c r="K753" s="8" t="str">
        <f>IF(L753="","",VLOOKUP(L753,引用表合并!$A:$B,2,FALSE))</f>
        <v>毒蝎耳钉碎片</v>
      </c>
      <c r="L753" s="76">
        <v>93134</v>
      </c>
      <c r="M753" s="35">
        <v>1</v>
      </c>
      <c r="N753" s="35">
        <f t="shared" si="102"/>
        <v>2400</v>
      </c>
      <c r="O753" s="8" t="str">
        <f>IF(P753="","",VLOOKUP(P753,引用表合并!$A:$B,2,FALSE))</f>
        <v>大金块碎片</v>
      </c>
      <c r="P753" s="75">
        <v>93288</v>
      </c>
      <c r="Q753" s="34">
        <v>1</v>
      </c>
      <c r="R753" s="34">
        <f t="shared" si="103"/>
        <v>2400</v>
      </c>
      <c r="S753" s="34" t="str">
        <f>IF(T753="","",VLOOKUP(T753,引用表合并!$A:$B,2,FALSE))</f>
        <v>青玉项链碎片</v>
      </c>
      <c r="T753" s="75">
        <v>93252</v>
      </c>
      <c r="U753" s="34">
        <v>1</v>
      </c>
      <c r="V753" s="34">
        <f t="shared" si="104"/>
        <v>2400</v>
      </c>
      <c r="W753" s="8" t="str">
        <f>IF(X753="","",VLOOKUP(X753,引用表合并!$A:$B,2,FALSE))</f>
        <v>高级装备升级石</v>
      </c>
      <c r="X753" s="8">
        <v>85200</v>
      </c>
      <c r="Y753" s="8">
        <v>1</v>
      </c>
      <c r="Z753" s="10">
        <f t="shared" si="106"/>
        <v>3500</v>
      </c>
      <c r="AA753" s="8" t="str">
        <f>IF(AB753="","",VLOOKUP(AB753,引用表合并!$A:$B,2,FALSE))</f>
        <v/>
      </c>
      <c r="AB753" s="8"/>
      <c r="AC753" s="8"/>
      <c r="AD753" s="10">
        <f t="shared" si="107"/>
        <v>0</v>
      </c>
      <c r="AE753" s="8" t="str">
        <f>IF(AF753="","",VLOOKUP(AF753,引用表合并!$A:$B,2,FALSE))</f>
        <v/>
      </c>
      <c r="AF753" s="8"/>
      <c r="AG753" s="8"/>
      <c r="AI753" s="8" t="str">
        <f>IF(AJ753="","",VLOOKUP(AJ753,引用表合并!$A:$B,2,FALSE))</f>
        <v/>
      </c>
      <c r="AJ753" s="8"/>
      <c r="AK753" s="8"/>
      <c r="AM753" s="8" t="str">
        <f>IF(AN753="","",VLOOKUP(AN753,引用表合并!$A:$B,2,FALSE))</f>
        <v/>
      </c>
      <c r="AN753" s="8"/>
      <c r="AO753" s="8"/>
      <c r="AQ753" s="8" t="str">
        <f>IF(AR753="","",VLOOKUP(AR753,引用表合并!$A:$B,2,FALSE))</f>
        <v/>
      </c>
      <c r="AR753" s="8"/>
      <c r="AS753" s="8"/>
      <c r="AU753" s="8" t="str">
        <f>IF(AV753="","",VLOOKUP(AV753,引用表合并!$A:$B,2,FALSE))</f>
        <v/>
      </c>
      <c r="AV753" s="8"/>
      <c r="AW753" s="8"/>
      <c r="AY753" s="8" t="str">
        <f>IF(AZ753="","",VLOOKUP(AZ753,引用表合并!$A:$B,2,FALSE))</f>
        <v/>
      </c>
      <c r="AZ753" s="8"/>
      <c r="BA753" s="8"/>
      <c r="BC753" s="8" t="str">
        <f>IF(BD753="","",VLOOKUP(BD753,引用表合并!$A:$B,2,FALSE))</f>
        <v/>
      </c>
      <c r="BD753" s="8"/>
      <c r="BF753" s="10"/>
      <c r="BG753" s="8" t="str">
        <f>IF(BH753="","",VLOOKUP(BH753,引用表合并!$A:$B,2,FALSE))</f>
        <v/>
      </c>
      <c r="BH753" s="8"/>
      <c r="BJ753" s="10"/>
      <c r="BK753" s="8" t="str">
        <f>IF(BL753="","",VLOOKUP(BL753,引用表合并!$A:$B,2,FALSE))</f>
        <v/>
      </c>
      <c r="BL753" s="8"/>
      <c r="BN753" s="10"/>
      <c r="FK753" s="8">
        <v>8</v>
      </c>
      <c r="FL753" s="8">
        <v>0</v>
      </c>
    </row>
    <row r="754" spans="1:168" x14ac:dyDescent="0.15">
      <c r="A754" s="8">
        <v>700905</v>
      </c>
      <c r="B754" s="8" t="s">
        <v>244</v>
      </c>
      <c r="C754" s="8">
        <v>0</v>
      </c>
      <c r="D754" s="8">
        <f t="shared" si="109"/>
        <v>5</v>
      </c>
      <c r="E754" s="16">
        <f t="shared" si="110"/>
        <v>5</v>
      </c>
      <c r="F754" s="16">
        <f t="shared" si="100"/>
        <v>5</v>
      </c>
      <c r="G754" s="8" t="str">
        <f>IF(H754="","",VLOOKUP(H754,引用表合并!$A:$B,2,FALSE))</f>
        <v>月立碎片</v>
      </c>
      <c r="H754" s="76">
        <v>93013</v>
      </c>
      <c r="I754" s="35">
        <v>1</v>
      </c>
      <c r="J754" s="35">
        <f t="shared" si="101"/>
        <v>2400</v>
      </c>
      <c r="K754" s="36" t="str">
        <f>IF(L754="","",VLOOKUP(L754,引用表合并!$A:$B,2,FALSE))</f>
        <v>赤金戒指碎片</v>
      </c>
      <c r="L754" s="76">
        <v>93223</v>
      </c>
      <c r="M754" s="35">
        <v>1</v>
      </c>
      <c r="N754" s="35">
        <f t="shared" si="102"/>
        <v>2400</v>
      </c>
      <c r="O754" s="8" t="str">
        <f>IF(P754="","",VLOOKUP(P754,引用表合并!$A:$B,2,FALSE))</f>
        <v>红石耳钉碎片</v>
      </c>
      <c r="P754" s="76">
        <v>93125</v>
      </c>
      <c r="Q754" s="35">
        <v>1</v>
      </c>
      <c r="R754" s="35">
        <f t="shared" si="103"/>
        <v>2400</v>
      </c>
      <c r="S754" s="35" t="str">
        <f>IF(T754="","",VLOOKUP(T754,引用表合并!$A:$B,2,FALSE))</f>
        <v>毒蝎耳钉碎片</v>
      </c>
      <c r="T754" s="76">
        <v>93134</v>
      </c>
      <c r="U754" s="35">
        <v>1</v>
      </c>
      <c r="V754" s="35">
        <f t="shared" si="104"/>
        <v>2400</v>
      </c>
      <c r="W754" s="8" t="str">
        <f>IF(X754="","",VLOOKUP(X754,引用表合并!$A:$B,2,FALSE))</f>
        <v>高级装备升级石</v>
      </c>
      <c r="X754" s="8">
        <v>85200</v>
      </c>
      <c r="Y754" s="8">
        <v>1</v>
      </c>
      <c r="Z754" s="10">
        <f t="shared" si="106"/>
        <v>3600</v>
      </c>
      <c r="AA754" s="8" t="str">
        <f>IF(AB754="","",VLOOKUP(AB754,引用表合并!$A:$B,2,FALSE))</f>
        <v/>
      </c>
      <c r="AB754" s="8"/>
      <c r="AC754" s="8"/>
      <c r="AD754" s="10">
        <f t="shared" si="107"/>
        <v>0</v>
      </c>
      <c r="AE754" s="8" t="str">
        <f>IF(AF754="","",VLOOKUP(AF754,引用表合并!$A:$B,2,FALSE))</f>
        <v/>
      </c>
      <c r="AF754" s="8"/>
      <c r="AG754" s="8"/>
      <c r="AI754" s="8" t="str">
        <f>IF(AJ754="","",VLOOKUP(AJ754,引用表合并!$A:$B,2,FALSE))</f>
        <v/>
      </c>
      <c r="AJ754" s="8"/>
      <c r="AK754" s="8"/>
      <c r="AM754" s="8" t="str">
        <f>IF(AN754="","",VLOOKUP(AN754,引用表合并!$A:$B,2,FALSE))</f>
        <v/>
      </c>
      <c r="AN754" s="8"/>
      <c r="AO754" s="8"/>
      <c r="AQ754" s="8" t="str">
        <f>IF(AR754="","",VLOOKUP(AR754,引用表合并!$A:$B,2,FALSE))</f>
        <v/>
      </c>
      <c r="AR754" s="8"/>
      <c r="AS754" s="8"/>
      <c r="AU754" s="8" t="str">
        <f>IF(AV754="","",VLOOKUP(AV754,引用表合并!$A:$B,2,FALSE))</f>
        <v/>
      </c>
      <c r="AV754" s="8"/>
      <c r="AW754" s="8"/>
      <c r="AY754" s="8" t="str">
        <f>IF(AZ754="","",VLOOKUP(AZ754,引用表合并!$A:$B,2,FALSE))</f>
        <v/>
      </c>
      <c r="AZ754" s="8"/>
      <c r="BA754" s="8"/>
      <c r="BC754" s="8" t="str">
        <f>IF(BD754="","",VLOOKUP(BD754,引用表合并!$A:$B,2,FALSE))</f>
        <v/>
      </c>
      <c r="BD754" s="8"/>
      <c r="BF754" s="10"/>
      <c r="BG754" s="8" t="str">
        <f>IF(BH754="","",VLOOKUP(BH754,引用表合并!$A:$B,2,FALSE))</f>
        <v/>
      </c>
      <c r="BH754" s="8"/>
      <c r="BJ754" s="10"/>
      <c r="BK754" s="8" t="str">
        <f>IF(BL754="","",VLOOKUP(BL754,引用表合并!$A:$B,2,FALSE))</f>
        <v/>
      </c>
      <c r="BL754" s="8"/>
      <c r="BN754" s="10"/>
      <c r="FK754" s="8">
        <v>8</v>
      </c>
      <c r="FL754" s="8">
        <v>0</v>
      </c>
    </row>
    <row r="755" spans="1:168" x14ac:dyDescent="0.15">
      <c r="A755" s="8">
        <v>700906</v>
      </c>
      <c r="B755" s="8" t="s">
        <v>245</v>
      </c>
      <c r="C755" s="8">
        <v>0</v>
      </c>
      <c r="D755" s="8">
        <f t="shared" si="109"/>
        <v>6</v>
      </c>
      <c r="E755" s="16">
        <f t="shared" si="110"/>
        <v>6</v>
      </c>
      <c r="F755" s="16">
        <f t="shared" si="100"/>
        <v>6</v>
      </c>
      <c r="G755" s="8" t="str">
        <f>IF(H755="","",VLOOKUP(H755,引用表合并!$A:$B,2,FALSE))</f>
        <v>猫妖项链碎片</v>
      </c>
      <c r="H755" s="76">
        <v>93253</v>
      </c>
      <c r="I755" s="36">
        <v>1</v>
      </c>
      <c r="J755" s="36">
        <f t="shared" si="101"/>
        <v>3000</v>
      </c>
      <c r="K755" s="36" t="str">
        <f>IF(L755="","",VLOOKUP(L755,引用表合并!$A:$B,2,FALSE))</f>
        <v>王者手环碎片</v>
      </c>
      <c r="L755" s="76">
        <v>93227</v>
      </c>
      <c r="M755" s="36">
        <v>1</v>
      </c>
      <c r="N755" s="36">
        <f t="shared" si="102"/>
        <v>3000</v>
      </c>
      <c r="O755" s="35" t="str">
        <f>IF(P755="","",VLOOKUP(P755,引用表合并!$A:$B,2,FALSE))</f>
        <v>毒蝎耳钉碎片</v>
      </c>
      <c r="P755" s="76">
        <v>93134</v>
      </c>
      <c r="Q755" s="35">
        <v>1</v>
      </c>
      <c r="R755" s="35">
        <f t="shared" si="103"/>
        <v>3000</v>
      </c>
      <c r="S755" s="35" t="str">
        <f>IF(T755="","",VLOOKUP(T755,引用表合并!$A:$B,2,FALSE))</f>
        <v>赤金戒指碎片</v>
      </c>
      <c r="T755" s="76">
        <v>93223</v>
      </c>
      <c r="U755" s="35">
        <v>1</v>
      </c>
      <c r="V755" s="35">
        <f t="shared" si="104"/>
        <v>3000</v>
      </c>
      <c r="W755" s="8" t="str">
        <f>IF(X755="","",VLOOKUP(X755,引用表合并!$A:$B,2,FALSE))</f>
        <v>稀有装备升级石</v>
      </c>
      <c r="X755" s="8">
        <v>85300</v>
      </c>
      <c r="Y755" s="10">
        <v>1</v>
      </c>
      <c r="Z755" s="10">
        <f t="shared" si="106"/>
        <v>2800</v>
      </c>
      <c r="AA755" s="8" t="str">
        <f>IF(AB755="","",VLOOKUP(AB755,引用表合并!$A:$B,2,FALSE))</f>
        <v>高级装备升级石</v>
      </c>
      <c r="AB755" s="8">
        <v>85200</v>
      </c>
      <c r="AC755" s="8">
        <v>1</v>
      </c>
      <c r="AD755" s="10">
        <f t="shared" si="107"/>
        <v>10000</v>
      </c>
      <c r="AE755" s="8" t="str">
        <f>IF(AF755="","",VLOOKUP(AF755,引用表合并!$A:$B,2,FALSE))</f>
        <v/>
      </c>
      <c r="AF755" s="8"/>
      <c r="AI755" s="8"/>
      <c r="AJ755" s="8"/>
      <c r="AK755" s="8"/>
      <c r="AM755" s="8" t="str">
        <f>IF(AN755="","",VLOOKUP(AN755,引用表合并!$A:$B,2,FALSE))</f>
        <v/>
      </c>
      <c r="AN755" s="8"/>
      <c r="AO755" s="8"/>
      <c r="AQ755" s="8" t="str">
        <f>IF(AR755="","",VLOOKUP(AR755,引用表合并!$A:$B,2,FALSE))</f>
        <v/>
      </c>
      <c r="AR755" s="8"/>
      <c r="AS755" s="8"/>
      <c r="AU755" s="8" t="str">
        <f>IF(AV755="","",VLOOKUP(AV755,引用表合并!$A:$B,2,FALSE))</f>
        <v/>
      </c>
      <c r="AV755" s="8"/>
      <c r="AW755" s="8"/>
      <c r="AY755" s="8" t="str">
        <f>IF(AZ755="","",VLOOKUP(AZ755,引用表合并!$A:$B,2,FALSE))</f>
        <v/>
      </c>
      <c r="AZ755" s="8"/>
      <c r="BA755" s="8"/>
      <c r="BC755" s="8" t="str">
        <f>IF(BD755="","",VLOOKUP(BD755,引用表合并!$A:$B,2,FALSE))</f>
        <v/>
      </c>
      <c r="BD755" s="8"/>
      <c r="BF755" s="10"/>
      <c r="BG755" s="8" t="str">
        <f>IF(BH755="","",VLOOKUP(BH755,引用表合并!$A:$B,2,FALSE))</f>
        <v/>
      </c>
      <c r="BH755" s="8"/>
      <c r="BJ755" s="10"/>
      <c r="BK755" s="8" t="str">
        <f>IF(BL755="","",VLOOKUP(BL755,引用表合并!$A:$B,2,FALSE))</f>
        <v/>
      </c>
      <c r="BL755" s="8"/>
      <c r="BN755" s="10"/>
      <c r="FK755" s="8">
        <v>8</v>
      </c>
      <c r="FL755" s="8">
        <v>12</v>
      </c>
    </row>
    <row r="756" spans="1:168" x14ac:dyDescent="0.15">
      <c r="A756" s="8">
        <v>700907</v>
      </c>
      <c r="B756" s="8" t="s">
        <v>246</v>
      </c>
      <c r="C756" s="8">
        <v>0</v>
      </c>
      <c r="D756" s="8">
        <f t="shared" si="109"/>
        <v>6</v>
      </c>
      <c r="E756" s="16">
        <f t="shared" si="110"/>
        <v>6</v>
      </c>
      <c r="F756" s="16">
        <f t="shared" si="100"/>
        <v>6</v>
      </c>
      <c r="G756" s="8" t="str">
        <f>IF(H756="","",VLOOKUP(H756,引用表合并!$A:$B,2,FALSE))</f>
        <v>苍蓝项链碎片</v>
      </c>
      <c r="H756" s="76">
        <v>93254</v>
      </c>
      <c r="I756" s="36">
        <v>1</v>
      </c>
      <c r="J756" s="36">
        <f t="shared" si="101"/>
        <v>2400</v>
      </c>
      <c r="K756" s="36" t="str">
        <f>IF(L756="","",VLOOKUP(L756,引用表合并!$A:$B,2,FALSE))</f>
        <v>符文手环碎片</v>
      </c>
      <c r="L756" s="76">
        <v>93236</v>
      </c>
      <c r="M756" s="36">
        <v>1</v>
      </c>
      <c r="N756" s="36">
        <f t="shared" si="102"/>
        <v>2400</v>
      </c>
      <c r="O756" s="35" t="str">
        <f>IF(P756="","",VLOOKUP(P756,引用表合并!$A:$B,2,FALSE))</f>
        <v>赤金戒指碎片</v>
      </c>
      <c r="P756" s="76">
        <v>93223</v>
      </c>
      <c r="Q756" s="35">
        <v>1</v>
      </c>
      <c r="R756" s="35">
        <f t="shared" si="103"/>
        <v>2400</v>
      </c>
      <c r="S756" s="35" t="str">
        <f>IF(T756="","",VLOOKUP(T756,引用表合并!$A:$B,2,FALSE))</f>
        <v>王者手环碎片</v>
      </c>
      <c r="T756" s="76">
        <v>93227</v>
      </c>
      <c r="U756" s="35">
        <v>1</v>
      </c>
      <c r="V756" s="35">
        <f t="shared" si="104"/>
        <v>2400</v>
      </c>
      <c r="W756" s="8" t="str">
        <f>IF(X756="","",VLOOKUP(X756,引用表合并!$A:$B,2,FALSE))</f>
        <v>稀有装备升级石</v>
      </c>
      <c r="X756" s="8">
        <v>85300</v>
      </c>
      <c r="Y756" s="10">
        <v>1</v>
      </c>
      <c r="Z756" s="10">
        <f t="shared" si="106"/>
        <v>3000</v>
      </c>
      <c r="AA756" s="8" t="str">
        <f>IF(AB756="","",VLOOKUP(AB756,引用表合并!$A:$B,2,FALSE))</f>
        <v>高级装备升级石</v>
      </c>
      <c r="AB756" s="8">
        <v>85200</v>
      </c>
      <c r="AC756" s="8">
        <v>1</v>
      </c>
      <c r="AD756" s="10">
        <f t="shared" si="107"/>
        <v>3000</v>
      </c>
      <c r="AE756" s="8" t="str">
        <f>IF(AF756="","",VLOOKUP(AF756,引用表合并!$A:$B,2,FALSE))</f>
        <v/>
      </c>
      <c r="AF756" s="8"/>
      <c r="AI756" s="8"/>
      <c r="AJ756" s="8"/>
      <c r="AK756" s="8"/>
      <c r="AM756" s="8" t="str">
        <f>IF(AN756="","",VLOOKUP(AN756,引用表合并!$A:$B,2,FALSE))</f>
        <v/>
      </c>
      <c r="AN756" s="8"/>
      <c r="AO756" s="8"/>
      <c r="AQ756" s="8" t="str">
        <f>IF(AR756="","",VLOOKUP(AR756,引用表合并!$A:$B,2,FALSE))</f>
        <v/>
      </c>
      <c r="AR756" s="8"/>
      <c r="AS756" s="8"/>
      <c r="AU756" s="8" t="str">
        <f>IF(AV756="","",VLOOKUP(AV756,引用表合并!$A:$B,2,FALSE))</f>
        <v/>
      </c>
      <c r="AV756" s="8"/>
      <c r="AW756" s="8"/>
      <c r="AY756" s="8" t="str">
        <f>IF(AZ756="","",VLOOKUP(AZ756,引用表合并!$A:$B,2,FALSE))</f>
        <v/>
      </c>
      <c r="AZ756" s="8"/>
      <c r="BA756" s="8"/>
      <c r="BC756" s="8" t="str">
        <f>IF(BD756="","",VLOOKUP(BD756,引用表合并!$A:$B,2,FALSE))</f>
        <v/>
      </c>
      <c r="BD756" s="8"/>
      <c r="BF756" s="10"/>
      <c r="BG756" s="8" t="str">
        <f>IF(BH756="","",VLOOKUP(BH756,引用表合并!$A:$B,2,FALSE))</f>
        <v/>
      </c>
      <c r="BH756" s="8"/>
      <c r="BJ756" s="10"/>
      <c r="BK756" s="8" t="str">
        <f>IF(BL756="","",VLOOKUP(BL756,引用表合并!$A:$B,2,FALSE))</f>
        <v/>
      </c>
      <c r="BL756" s="8"/>
      <c r="BN756" s="10"/>
      <c r="FK756" s="8">
        <v>8</v>
      </c>
      <c r="FL756" s="8">
        <v>0</v>
      </c>
    </row>
    <row r="757" spans="1:168" x14ac:dyDescent="0.15">
      <c r="A757" s="8">
        <v>700908</v>
      </c>
      <c r="B757" s="8" t="s">
        <v>247</v>
      </c>
      <c r="C757" s="8">
        <v>0</v>
      </c>
      <c r="D757" s="8">
        <f t="shared" si="109"/>
        <v>6</v>
      </c>
      <c r="E757" s="16">
        <f t="shared" si="110"/>
        <v>6</v>
      </c>
      <c r="F757" s="16">
        <f t="shared" si="100"/>
        <v>6</v>
      </c>
      <c r="G757" s="8" t="str">
        <f>IF(H757="","",VLOOKUP(H757,引用表合并!$A:$B,2,FALSE))</f>
        <v>汉密手表碎片</v>
      </c>
      <c r="H757" s="76">
        <v>93274</v>
      </c>
      <c r="I757" s="36">
        <v>1</v>
      </c>
      <c r="J757" s="36">
        <f t="shared" si="101"/>
        <v>2400</v>
      </c>
      <c r="K757" s="36" t="str">
        <f>IF(L757="","",VLOOKUP(L757,引用表合并!$A:$B,2,FALSE))</f>
        <v>月立碎片</v>
      </c>
      <c r="L757" s="76">
        <v>93013</v>
      </c>
      <c r="M757" s="36">
        <v>1</v>
      </c>
      <c r="N757" s="36">
        <f t="shared" si="102"/>
        <v>2400</v>
      </c>
      <c r="O757" s="35" t="str">
        <f>IF(P757="","",VLOOKUP(P757,引用表合并!$A:$B,2,FALSE))</f>
        <v>王者手环碎片</v>
      </c>
      <c r="P757" s="76">
        <v>93227</v>
      </c>
      <c r="Q757" s="35">
        <v>1</v>
      </c>
      <c r="R757" s="35">
        <f t="shared" si="103"/>
        <v>2400</v>
      </c>
      <c r="S757" s="35" t="str">
        <f>IF(T757="","",VLOOKUP(T757,引用表合并!$A:$B,2,FALSE))</f>
        <v>符文手环碎片</v>
      </c>
      <c r="T757" s="76">
        <v>93236</v>
      </c>
      <c r="U757" s="35">
        <v>1</v>
      </c>
      <c r="V757" s="35">
        <f t="shared" si="104"/>
        <v>2400</v>
      </c>
      <c r="W757" s="8" t="str">
        <f>IF(X757="","",VLOOKUP(X757,引用表合并!$A:$B,2,FALSE))</f>
        <v>稀有装备升级石</v>
      </c>
      <c r="X757" s="8">
        <v>85300</v>
      </c>
      <c r="Y757" s="10">
        <v>1</v>
      </c>
      <c r="Z757" s="10">
        <f t="shared" si="106"/>
        <v>3200</v>
      </c>
      <c r="AA757" s="8" t="str">
        <f>IF(AB757="","",VLOOKUP(AB757,引用表合并!$A:$B,2,FALSE))</f>
        <v>高级装备升级石</v>
      </c>
      <c r="AB757" s="8">
        <v>85200</v>
      </c>
      <c r="AC757" s="8">
        <v>1</v>
      </c>
      <c r="AD757" s="10">
        <f t="shared" si="107"/>
        <v>3200</v>
      </c>
      <c r="AE757" s="8" t="str">
        <f>IF(AF757="","",VLOOKUP(AF757,引用表合并!$A:$B,2,FALSE))</f>
        <v/>
      </c>
      <c r="AF757" s="8"/>
      <c r="AI757" s="8"/>
      <c r="AJ757" s="8"/>
      <c r="AK757" s="8"/>
      <c r="AM757" s="8" t="str">
        <f>IF(AN757="","",VLOOKUP(AN757,引用表合并!$A:$B,2,FALSE))</f>
        <v/>
      </c>
      <c r="AN757" s="8"/>
      <c r="AO757" s="8"/>
      <c r="AQ757" s="8" t="str">
        <f>IF(AR757="","",VLOOKUP(AR757,引用表合并!$A:$B,2,FALSE))</f>
        <v/>
      </c>
      <c r="AR757" s="8"/>
      <c r="AS757" s="8"/>
      <c r="AU757" s="8" t="str">
        <f>IF(AV757="","",VLOOKUP(AV757,引用表合并!$A:$B,2,FALSE))</f>
        <v/>
      </c>
      <c r="AV757" s="8"/>
      <c r="AW757" s="8"/>
      <c r="AY757" s="8" t="str">
        <f>IF(AZ757="","",VLOOKUP(AZ757,引用表合并!$A:$B,2,FALSE))</f>
        <v/>
      </c>
      <c r="AZ757" s="8"/>
      <c r="BA757" s="8"/>
      <c r="BC757" s="8" t="str">
        <f>IF(BD757="","",VLOOKUP(BD757,引用表合并!$A:$B,2,FALSE))</f>
        <v/>
      </c>
      <c r="BD757" s="8"/>
      <c r="BF757" s="10"/>
      <c r="BG757" s="8" t="str">
        <f>IF(BH757="","",VLOOKUP(BH757,引用表合并!$A:$B,2,FALSE))</f>
        <v/>
      </c>
      <c r="BH757" s="8"/>
      <c r="BJ757" s="10"/>
      <c r="BK757" s="8" t="str">
        <f>IF(BL757="","",VLOOKUP(BL757,引用表合并!$A:$B,2,FALSE))</f>
        <v/>
      </c>
      <c r="BL757" s="8"/>
      <c r="BN757" s="10"/>
      <c r="FK757" s="8">
        <v>8</v>
      </c>
      <c r="FL757" s="8">
        <v>0</v>
      </c>
    </row>
    <row r="758" spans="1:168" x14ac:dyDescent="0.15">
      <c r="A758" s="8">
        <v>700909</v>
      </c>
      <c r="B758" s="8" t="s">
        <v>248</v>
      </c>
      <c r="C758" s="8">
        <v>0</v>
      </c>
      <c r="D758" s="8">
        <f t="shared" si="109"/>
        <v>6</v>
      </c>
      <c r="E758" s="16">
        <f t="shared" si="110"/>
        <v>6</v>
      </c>
      <c r="F758" s="16">
        <f t="shared" ref="F758:F794" si="113">E758</f>
        <v>6</v>
      </c>
      <c r="G758" s="8" t="str">
        <f>IF(H758="","",VLOOKUP(H758,引用表合并!$A:$B,2,FALSE))</f>
        <v>法拉捷碎片</v>
      </c>
      <c r="H758" s="76">
        <v>93280</v>
      </c>
      <c r="I758" s="36">
        <v>1</v>
      </c>
      <c r="J758" s="36">
        <f t="shared" si="101"/>
        <v>3100</v>
      </c>
      <c r="K758" s="36" t="str">
        <f>IF(L758="","",VLOOKUP(L758,引用表合并!$A:$B,2,FALSE))</f>
        <v>猫妖项链碎片</v>
      </c>
      <c r="L758" s="76">
        <v>93253</v>
      </c>
      <c r="M758" s="36">
        <v>1</v>
      </c>
      <c r="N758" s="36">
        <f t="shared" si="102"/>
        <v>3100</v>
      </c>
      <c r="O758" s="35" t="str">
        <f>IF(P758="","",VLOOKUP(P758,引用表合并!$A:$B,2,FALSE))</f>
        <v>符文手环碎片</v>
      </c>
      <c r="P758" s="76">
        <v>93236</v>
      </c>
      <c r="Q758" s="35">
        <v>1</v>
      </c>
      <c r="R758" s="35">
        <f t="shared" si="103"/>
        <v>3100</v>
      </c>
      <c r="S758" s="35" t="str">
        <f>IF(T758="","",VLOOKUP(T758,引用表合并!$A:$B,2,FALSE))</f>
        <v>月立碎片</v>
      </c>
      <c r="T758" s="76">
        <v>93013</v>
      </c>
      <c r="U758" s="35">
        <v>1</v>
      </c>
      <c r="V758" s="35">
        <f t="shared" si="104"/>
        <v>3100</v>
      </c>
      <c r="W758" s="8" t="str">
        <f>IF(X758="","",VLOOKUP(X758,引用表合并!$A:$B,2,FALSE))</f>
        <v>稀有装备升级石</v>
      </c>
      <c r="X758" s="8">
        <v>85300</v>
      </c>
      <c r="Y758" s="10">
        <v>1</v>
      </c>
      <c r="Z758" s="10">
        <f t="shared" si="106"/>
        <v>10000</v>
      </c>
      <c r="AA758" s="8" t="str">
        <f>IF(AB758="","",VLOOKUP(AB758,引用表合并!$A:$B,2,FALSE))</f>
        <v>高级装备升级石</v>
      </c>
      <c r="AB758" s="8">
        <v>85200</v>
      </c>
      <c r="AC758" s="8">
        <v>1</v>
      </c>
      <c r="AD758" s="10">
        <f t="shared" si="107"/>
        <v>2000</v>
      </c>
      <c r="AE758" s="8" t="str">
        <f>IF(AF758="","",VLOOKUP(AF758,引用表合并!$A:$B,2,FALSE))</f>
        <v/>
      </c>
      <c r="AF758" s="8"/>
      <c r="AI758" s="8"/>
      <c r="AJ758" s="8"/>
      <c r="AK758" s="8"/>
      <c r="AM758" s="8" t="str">
        <f>IF(AN758="","",VLOOKUP(AN758,引用表合并!$A:$B,2,FALSE))</f>
        <v/>
      </c>
      <c r="AN758" s="8"/>
      <c r="AO758" s="8"/>
      <c r="AQ758" s="8" t="str">
        <f>IF(AR758="","",VLOOKUP(AR758,引用表合并!$A:$B,2,FALSE))</f>
        <v/>
      </c>
      <c r="AR758" s="8"/>
      <c r="AS758" s="8"/>
      <c r="AU758" s="8" t="str">
        <f>IF(AV758="","",VLOOKUP(AV758,引用表合并!$A:$B,2,FALSE))</f>
        <v/>
      </c>
      <c r="AV758" s="8"/>
      <c r="AW758" s="8"/>
      <c r="AY758" s="8" t="str">
        <f>IF(AZ758="","",VLOOKUP(AZ758,引用表合并!$A:$B,2,FALSE))</f>
        <v/>
      </c>
      <c r="AZ758" s="8"/>
      <c r="BA758" s="8"/>
      <c r="BC758" s="8" t="str">
        <f>IF(BD758="","",VLOOKUP(BD758,引用表合并!$A:$B,2,FALSE))</f>
        <v/>
      </c>
      <c r="BD758" s="8"/>
      <c r="BF758" s="10"/>
      <c r="BG758" s="8" t="str">
        <f>IF(BH758="","",VLOOKUP(BH758,引用表合并!$A:$B,2,FALSE))</f>
        <v/>
      </c>
      <c r="BH758" s="8"/>
      <c r="BJ758" s="10"/>
      <c r="BK758" s="8" t="str">
        <f>IF(BL758="","",VLOOKUP(BL758,引用表合并!$A:$B,2,FALSE))</f>
        <v/>
      </c>
      <c r="BL758" s="8"/>
      <c r="BN758" s="10"/>
      <c r="FK758" s="8">
        <v>8</v>
      </c>
      <c r="FL758" s="8">
        <v>14</v>
      </c>
    </row>
    <row r="759" spans="1:168" x14ac:dyDescent="0.15">
      <c r="A759" s="8">
        <v>700910</v>
      </c>
      <c r="B759" s="8" t="s">
        <v>249</v>
      </c>
      <c r="C759" s="8">
        <v>0</v>
      </c>
      <c r="D759" s="8">
        <f t="shared" si="109"/>
        <v>6</v>
      </c>
      <c r="E759" s="16">
        <f t="shared" si="110"/>
        <v>6</v>
      </c>
      <c r="F759" s="16">
        <f t="shared" si="113"/>
        <v>6</v>
      </c>
      <c r="G759" s="8" t="str">
        <f>IF(H759="","",VLOOKUP(H759,引用表合并!$A:$B,2,FALSE))</f>
        <v>大堆钞票碎片</v>
      </c>
      <c r="H759" s="76">
        <v>93285</v>
      </c>
      <c r="I759" s="36">
        <v>1</v>
      </c>
      <c r="J759" s="36">
        <f t="shared" ref="J759:J794" si="114">$FK759*50+$FL759*50+2000</f>
        <v>2800</v>
      </c>
      <c r="K759" s="36" t="str">
        <f>IF(L759="","",VLOOKUP(L759,引用表合并!$A:$B,2,FALSE))</f>
        <v>苍蓝项链碎片</v>
      </c>
      <c r="L759" s="76">
        <v>93254</v>
      </c>
      <c r="M759" s="36">
        <v>1</v>
      </c>
      <c r="N759" s="36">
        <f t="shared" ref="N759:N794" si="115">FK759*50+FL759*50+2000</f>
        <v>2800</v>
      </c>
      <c r="O759" s="35" t="str">
        <f>IF(P759="","",VLOOKUP(P759,引用表合并!$A:$B,2,FALSE))</f>
        <v>月立碎片</v>
      </c>
      <c r="P759" s="76">
        <v>93013</v>
      </c>
      <c r="Q759" s="36">
        <v>1</v>
      </c>
      <c r="R759" s="36">
        <f t="shared" ref="R759:R794" si="116">FK759*50+FL759*50+2000</f>
        <v>2800</v>
      </c>
      <c r="S759" s="36" t="str">
        <f>IF(T759="","",VLOOKUP(T759,引用表合并!$A:$B,2,FALSE))</f>
        <v>猫妖项链碎片</v>
      </c>
      <c r="T759" s="76">
        <v>93253</v>
      </c>
      <c r="U759" s="36">
        <v>1</v>
      </c>
      <c r="V759" s="36">
        <f t="shared" ref="V759:V794" si="117">FK759*50+FL759*50+2000</f>
        <v>2800</v>
      </c>
      <c r="W759" s="8" t="str">
        <f>IF(X759="","",VLOOKUP(X759,引用表合并!$A:$B,2,FALSE))</f>
        <v>稀有装备升级石</v>
      </c>
      <c r="X759" s="8">
        <v>85300</v>
      </c>
      <c r="Y759" s="10">
        <v>1</v>
      </c>
      <c r="Z759" s="10">
        <f t="shared" si="106"/>
        <v>3400</v>
      </c>
      <c r="AA759" s="8" t="str">
        <f>IF(AB759="","",VLOOKUP(AB759,引用表合并!$A:$B,2,FALSE))</f>
        <v>高级装备升级石</v>
      </c>
      <c r="AB759" s="8">
        <v>85200</v>
      </c>
      <c r="AC759" s="8">
        <v>1</v>
      </c>
      <c r="AD759" s="10">
        <f t="shared" si="107"/>
        <v>3400</v>
      </c>
      <c r="AE759" s="8" t="str">
        <f>IF(AF759="","",VLOOKUP(AF759,引用表合并!$A:$B,2,FALSE))</f>
        <v/>
      </c>
      <c r="AF759" s="8"/>
      <c r="AI759" s="8"/>
      <c r="AJ759" s="8"/>
      <c r="AK759" s="8"/>
      <c r="AM759" s="8" t="str">
        <f>IF(AN759="","",VLOOKUP(AN759,引用表合并!$A:$B,2,FALSE))</f>
        <v/>
      </c>
      <c r="AN759" s="8"/>
      <c r="AO759" s="8"/>
      <c r="AQ759" s="8" t="str">
        <f>IF(AR759="","",VLOOKUP(AR759,引用表合并!$A:$B,2,FALSE))</f>
        <v/>
      </c>
      <c r="AR759" s="8"/>
      <c r="AS759" s="8"/>
      <c r="AU759" s="8" t="str">
        <f>IF(AV759="","",VLOOKUP(AV759,引用表合并!$A:$B,2,FALSE))</f>
        <v/>
      </c>
      <c r="AV759" s="8"/>
      <c r="AW759" s="8"/>
      <c r="AY759" s="8" t="str">
        <f>IF(AZ759="","",VLOOKUP(AZ759,引用表合并!$A:$B,2,FALSE))</f>
        <v/>
      </c>
      <c r="AZ759" s="8"/>
      <c r="BA759" s="8"/>
      <c r="BC759" s="8" t="str">
        <f>IF(BD759="","",VLOOKUP(BD759,引用表合并!$A:$B,2,FALSE))</f>
        <v/>
      </c>
      <c r="BD759" s="8"/>
      <c r="BF759" s="10"/>
      <c r="BG759" s="8" t="str">
        <f>IF(BH759="","",VLOOKUP(BH759,引用表合并!$A:$B,2,FALSE))</f>
        <v/>
      </c>
      <c r="BH759" s="8"/>
      <c r="BJ759" s="10"/>
      <c r="BK759" s="8" t="str">
        <f>IF(BL759="","",VLOOKUP(BL759,引用表合并!$A:$B,2,FALSE))</f>
        <v/>
      </c>
      <c r="BL759" s="8"/>
      <c r="BN759" s="10"/>
      <c r="FK759" s="8">
        <v>8</v>
      </c>
      <c r="FL759" s="8">
        <v>8</v>
      </c>
    </row>
    <row r="760" spans="1:168" x14ac:dyDescent="0.15">
      <c r="A760" s="8">
        <v>700911</v>
      </c>
      <c r="B760" s="8" t="s">
        <v>250</v>
      </c>
      <c r="C760" s="8">
        <v>0</v>
      </c>
      <c r="D760" s="8">
        <f t="shared" si="109"/>
        <v>6</v>
      </c>
      <c r="E760" s="16">
        <f t="shared" si="110"/>
        <v>6</v>
      </c>
      <c r="F760" s="16">
        <f t="shared" si="113"/>
        <v>6</v>
      </c>
      <c r="G760" s="8" t="str">
        <f>IF(H760="","",VLOOKUP(H760,引用表合并!$A:$B,2,FALSE))</f>
        <v>小堆金块碎片</v>
      </c>
      <c r="H760" s="76">
        <v>93289</v>
      </c>
      <c r="I760" s="36">
        <v>1</v>
      </c>
      <c r="J760" s="36">
        <f t="shared" si="114"/>
        <v>2800</v>
      </c>
      <c r="K760" s="8" t="str">
        <f>IF(L760="","",VLOOKUP(L760,引用表合并!$A:$B,2,FALSE))</f>
        <v>汉密手表碎片</v>
      </c>
      <c r="L760" s="76">
        <v>93274</v>
      </c>
      <c r="M760" s="36">
        <v>1</v>
      </c>
      <c r="N760" s="36">
        <f t="shared" si="115"/>
        <v>2800</v>
      </c>
      <c r="O760" s="36" t="str">
        <f>IF(P760="","",VLOOKUP(P760,引用表合并!$A:$B,2,FALSE))</f>
        <v>猫妖项链碎片</v>
      </c>
      <c r="P760" s="76">
        <v>93253</v>
      </c>
      <c r="Q760" s="36">
        <v>1</v>
      </c>
      <c r="R760" s="36">
        <f t="shared" si="116"/>
        <v>2800</v>
      </c>
      <c r="S760" s="36" t="str">
        <f>IF(T760="","",VLOOKUP(T760,引用表合并!$A:$B,2,FALSE))</f>
        <v>苍蓝项链碎片</v>
      </c>
      <c r="T760" s="76">
        <v>93254</v>
      </c>
      <c r="U760" s="36">
        <v>1</v>
      </c>
      <c r="V760" s="36">
        <f t="shared" si="117"/>
        <v>2800</v>
      </c>
      <c r="W760" s="8" t="str">
        <f>IF(X760="","",VLOOKUP(X760,引用表合并!$A:$B,2,FALSE))</f>
        <v>史诗装备升级石</v>
      </c>
      <c r="X760" s="8">
        <v>85400</v>
      </c>
      <c r="Y760" s="8">
        <v>1</v>
      </c>
      <c r="Z760" s="10">
        <f t="shared" si="106"/>
        <v>3600</v>
      </c>
      <c r="AA760" s="8" t="str">
        <f>IF(AB760="","",VLOOKUP(AB760,引用表合并!$A:$B,2,FALSE))</f>
        <v>高级装备升级石</v>
      </c>
      <c r="AB760" s="8">
        <v>85200</v>
      </c>
      <c r="AC760" s="8">
        <v>1</v>
      </c>
      <c r="AD760" s="10">
        <f t="shared" si="107"/>
        <v>3600</v>
      </c>
      <c r="AE760" s="8" t="str">
        <f>IF(AF760="","",VLOOKUP(AF760,引用表合并!$A:$B,2,FALSE))</f>
        <v/>
      </c>
      <c r="AF760" s="8"/>
      <c r="AI760" s="8" t="str">
        <f>IF(AJ760="","",VLOOKUP(AJ760,引用表合并!$A:$B,2,FALSE))</f>
        <v/>
      </c>
      <c r="AJ760" s="8"/>
      <c r="AK760" s="8"/>
      <c r="AM760" s="8" t="str">
        <f>IF(AN760="","",VLOOKUP(AN760,引用表合并!$A:$B,2,FALSE))</f>
        <v/>
      </c>
      <c r="AN760" s="8"/>
      <c r="AO760" s="8"/>
      <c r="AQ760" s="8" t="str">
        <f>IF(AR760="","",VLOOKUP(AR760,引用表合并!$A:$B,2,FALSE))</f>
        <v/>
      </c>
      <c r="AR760" s="8"/>
      <c r="AS760" s="8"/>
      <c r="AU760" s="8" t="str">
        <f>IF(AV760="","",VLOOKUP(AV760,引用表合并!$A:$B,2,FALSE))</f>
        <v/>
      </c>
      <c r="AV760" s="8"/>
      <c r="AW760" s="8"/>
      <c r="AY760" s="8" t="str">
        <f>IF(AZ760="","",VLOOKUP(AZ760,引用表合并!$A:$B,2,FALSE))</f>
        <v/>
      </c>
      <c r="AZ760" s="8"/>
      <c r="BA760" s="8"/>
      <c r="BC760" s="8" t="str">
        <f>IF(BD760="","",VLOOKUP(BD760,引用表合并!$A:$B,2,FALSE))</f>
        <v/>
      </c>
      <c r="BD760" s="8"/>
      <c r="BF760" s="10"/>
      <c r="BG760" s="8" t="str">
        <f>IF(BH760="","",VLOOKUP(BH760,引用表合并!$A:$B,2,FALSE))</f>
        <v/>
      </c>
      <c r="BH760" s="8"/>
      <c r="BJ760" s="10"/>
      <c r="BK760" s="8" t="str">
        <f>IF(BL760="","",VLOOKUP(BL760,引用表合并!$A:$B,2,FALSE))</f>
        <v/>
      </c>
      <c r="BL760" s="8"/>
      <c r="BN760" s="10"/>
      <c r="FK760" s="8">
        <v>8</v>
      </c>
      <c r="FL760" s="8">
        <v>8</v>
      </c>
    </row>
    <row r="761" spans="1:168" x14ac:dyDescent="0.15">
      <c r="A761" s="8">
        <v>700912</v>
      </c>
      <c r="B761" s="8" t="s">
        <v>251</v>
      </c>
      <c r="C761" s="8">
        <v>0</v>
      </c>
      <c r="D761" s="8">
        <f t="shared" si="109"/>
        <v>6</v>
      </c>
      <c r="E761" s="16">
        <f t="shared" si="110"/>
        <v>6</v>
      </c>
      <c r="F761" s="16">
        <f t="shared" si="113"/>
        <v>6</v>
      </c>
      <c r="G761" s="8" t="str">
        <f>IF(H761="","",VLOOKUP(H761,引用表合并!$A:$B,2,FALSE))</f>
        <v>红石耳钉碎片</v>
      </c>
      <c r="H761" s="76">
        <v>93125</v>
      </c>
      <c r="I761" s="36">
        <v>1</v>
      </c>
      <c r="J761" s="36">
        <f t="shared" si="114"/>
        <v>3200</v>
      </c>
      <c r="K761" s="8" t="str">
        <f>IF(L761="","",VLOOKUP(L761,引用表合并!$A:$B,2,FALSE))</f>
        <v>法拉捷碎片</v>
      </c>
      <c r="L761" s="76">
        <v>93280</v>
      </c>
      <c r="M761" s="36">
        <v>1</v>
      </c>
      <c r="N761" s="36">
        <f t="shared" si="115"/>
        <v>3200</v>
      </c>
      <c r="O761" s="36" t="str">
        <f>IF(P761="","",VLOOKUP(P761,引用表合并!$A:$B,2,FALSE))</f>
        <v>苍蓝项链碎片</v>
      </c>
      <c r="P761" s="76">
        <v>93254</v>
      </c>
      <c r="Q761" s="36">
        <v>1</v>
      </c>
      <c r="R761" s="36">
        <f t="shared" si="116"/>
        <v>3200</v>
      </c>
      <c r="S761" s="36" t="str">
        <f>IF(T761="","",VLOOKUP(T761,引用表合并!$A:$B,2,FALSE))</f>
        <v>汉密手表碎片</v>
      </c>
      <c r="T761" s="76">
        <v>93274</v>
      </c>
      <c r="U761" s="36">
        <v>1</v>
      </c>
      <c r="V761" s="36">
        <f t="shared" si="117"/>
        <v>3200</v>
      </c>
      <c r="W761" s="8" t="str">
        <f>IF(X761="","",VLOOKUP(X761,引用表合并!$A:$B,2,FALSE))</f>
        <v>史诗装备升级石</v>
      </c>
      <c r="X761" s="8">
        <v>85400</v>
      </c>
      <c r="Y761" s="8">
        <v>1</v>
      </c>
      <c r="Z761" s="10">
        <f t="shared" si="106"/>
        <v>4800</v>
      </c>
      <c r="AA761" s="8" t="str">
        <f>IF(AB761="","",VLOOKUP(AB761,引用表合并!$A:$B,2,FALSE))</f>
        <v>稀有装备升级石</v>
      </c>
      <c r="AB761" s="8">
        <v>85300</v>
      </c>
      <c r="AC761" s="10">
        <v>1</v>
      </c>
      <c r="AD761" s="10">
        <f t="shared" si="107"/>
        <v>10000</v>
      </c>
      <c r="AE761" s="8" t="str">
        <f>IF(AF761="","",VLOOKUP(AF761,引用表合并!$A:$B,2,FALSE))</f>
        <v/>
      </c>
      <c r="AF761" s="8"/>
      <c r="AG761" s="8"/>
      <c r="AI761" s="8" t="str">
        <f>IF(AJ761="","",VLOOKUP(AJ761,引用表合并!$A:$B,2,FALSE))</f>
        <v/>
      </c>
      <c r="AJ761" s="8"/>
      <c r="AK761" s="8"/>
      <c r="AM761" s="8" t="str">
        <f>IF(AN761="","",VLOOKUP(AN761,引用表合并!$A:$B,2,FALSE))</f>
        <v/>
      </c>
      <c r="AN761" s="8"/>
      <c r="AO761" s="8"/>
      <c r="AQ761" s="8" t="str">
        <f>IF(AR761="","",VLOOKUP(AR761,引用表合并!$A:$B,2,FALSE))</f>
        <v/>
      </c>
      <c r="AR761" s="8"/>
      <c r="AS761" s="8"/>
      <c r="AU761" s="8" t="str">
        <f>IF(AV761="","",VLOOKUP(AV761,引用表合并!$A:$B,2,FALSE))</f>
        <v/>
      </c>
      <c r="AV761" s="8"/>
      <c r="AW761" s="8"/>
      <c r="AY761" s="8" t="str">
        <f>IF(AZ761="","",VLOOKUP(AZ761,引用表合并!$A:$B,2,FALSE))</f>
        <v/>
      </c>
      <c r="AZ761" s="8"/>
      <c r="BA761" s="8"/>
      <c r="BC761" s="8" t="str">
        <f>IF(BD761="","",VLOOKUP(BD761,引用表合并!$A:$B,2,FALSE))</f>
        <v/>
      </c>
      <c r="BD761" s="8"/>
      <c r="BF761" s="10"/>
      <c r="BG761" s="8" t="str">
        <f>IF(BH761="","",VLOOKUP(BH761,引用表合并!$A:$B,2,FALSE))</f>
        <v/>
      </c>
      <c r="BH761" s="8"/>
      <c r="BJ761" s="10"/>
      <c r="BK761" s="8" t="str">
        <f>IF(BL761="","",VLOOKUP(BL761,引用表合并!$A:$B,2,FALSE))</f>
        <v/>
      </c>
      <c r="BL761" s="8"/>
      <c r="BN761" s="10"/>
      <c r="FK761" s="8">
        <v>8</v>
      </c>
      <c r="FL761" s="8">
        <v>16</v>
      </c>
    </row>
    <row r="762" spans="1:168" x14ac:dyDescent="0.15">
      <c r="A762" s="8">
        <v>700913</v>
      </c>
      <c r="B762" s="8" t="s">
        <v>252</v>
      </c>
      <c r="C762" s="8">
        <v>0</v>
      </c>
      <c r="D762" s="8">
        <f t="shared" si="109"/>
        <v>6</v>
      </c>
      <c r="E762" s="16">
        <f t="shared" si="110"/>
        <v>6</v>
      </c>
      <c r="F762" s="16">
        <f t="shared" si="113"/>
        <v>6</v>
      </c>
      <c r="G762" s="8" t="str">
        <f>IF(H762="","",VLOOKUP(H762,引用表合并!$A:$B,2,FALSE))</f>
        <v>毒蝎耳钉碎片</v>
      </c>
      <c r="H762" s="76">
        <v>93134</v>
      </c>
      <c r="I762" s="36">
        <v>1</v>
      </c>
      <c r="J762" s="36">
        <f t="shared" si="114"/>
        <v>2900</v>
      </c>
      <c r="K762" s="8" t="str">
        <f>IF(L762="","",VLOOKUP(L762,引用表合并!$A:$B,2,FALSE))</f>
        <v>大堆钞票碎片</v>
      </c>
      <c r="L762" s="76">
        <v>93285</v>
      </c>
      <c r="M762" s="36">
        <v>1</v>
      </c>
      <c r="N762" s="36">
        <f t="shared" si="115"/>
        <v>2900</v>
      </c>
      <c r="O762" s="36" t="str">
        <f>IF(P762="","",VLOOKUP(P762,引用表合并!$A:$B,2,FALSE))</f>
        <v>汉密手表碎片</v>
      </c>
      <c r="P762" s="76">
        <v>93274</v>
      </c>
      <c r="Q762" s="36">
        <v>1</v>
      </c>
      <c r="R762" s="36">
        <f t="shared" si="116"/>
        <v>2900</v>
      </c>
      <c r="S762" s="36" t="str">
        <f>IF(T762="","",VLOOKUP(T762,引用表合并!$A:$B,2,FALSE))</f>
        <v>法拉捷碎片</v>
      </c>
      <c r="T762" s="76">
        <v>93280</v>
      </c>
      <c r="U762" s="36">
        <v>1</v>
      </c>
      <c r="V762" s="36">
        <f t="shared" si="117"/>
        <v>2900</v>
      </c>
      <c r="W762" s="8" t="str">
        <f>IF(X762="","",VLOOKUP(X762,引用表合并!$A:$B,2,FALSE))</f>
        <v>史诗装备升级石</v>
      </c>
      <c r="X762" s="8">
        <v>85400</v>
      </c>
      <c r="Y762" s="8">
        <v>1</v>
      </c>
      <c r="Z762" s="10">
        <f t="shared" si="106"/>
        <v>3300</v>
      </c>
      <c r="AA762" s="8" t="str">
        <f>IF(AB762="","",VLOOKUP(AB762,引用表合并!$A:$B,2,FALSE))</f>
        <v>高级装备升级石</v>
      </c>
      <c r="AB762" s="8">
        <v>85200</v>
      </c>
      <c r="AC762" s="8">
        <v>1</v>
      </c>
      <c r="AD762" s="10">
        <f t="shared" si="107"/>
        <v>4000</v>
      </c>
      <c r="AE762" s="8" t="str">
        <f>IF(AF762="","",VLOOKUP(AF762,引用表合并!$A:$B,2,FALSE))</f>
        <v/>
      </c>
      <c r="AF762" s="8"/>
      <c r="AI762" s="8" t="str">
        <f>IF(AJ762="","",VLOOKUP(AJ762,引用表合并!$A:$B,2,FALSE))</f>
        <v/>
      </c>
      <c r="AJ762" s="8"/>
      <c r="AK762" s="8"/>
      <c r="AM762" s="8" t="str">
        <f>IF(AN762="","",VLOOKUP(AN762,引用表合并!$A:$B,2,FALSE))</f>
        <v/>
      </c>
      <c r="AN762" s="8"/>
      <c r="AO762" s="8"/>
      <c r="AQ762" s="8" t="str">
        <f>IF(AR762="","",VLOOKUP(AR762,引用表合并!$A:$B,2,FALSE))</f>
        <v/>
      </c>
      <c r="AR762" s="8"/>
      <c r="AS762" s="8"/>
      <c r="AU762" s="8" t="str">
        <f>IF(AV762="","",VLOOKUP(AV762,引用表合并!$A:$B,2,FALSE))</f>
        <v/>
      </c>
      <c r="AV762" s="8"/>
      <c r="AW762" s="8"/>
      <c r="AY762" s="8" t="str">
        <f>IF(AZ762="","",VLOOKUP(AZ762,引用表合并!$A:$B,2,FALSE))</f>
        <v/>
      </c>
      <c r="AZ762" s="8"/>
      <c r="BA762" s="8"/>
      <c r="BC762" s="8" t="str">
        <f>IF(BD762="","",VLOOKUP(BD762,引用表合并!$A:$B,2,FALSE))</f>
        <v/>
      </c>
      <c r="BD762" s="8"/>
      <c r="BF762" s="10"/>
      <c r="BG762" s="8" t="str">
        <f>IF(BH762="","",VLOOKUP(BH762,引用表合并!$A:$B,2,FALSE))</f>
        <v/>
      </c>
      <c r="BH762" s="8"/>
      <c r="BJ762" s="10"/>
      <c r="BK762" s="8" t="str">
        <f>IF(BL762="","",VLOOKUP(BL762,引用表合并!$A:$B,2,FALSE))</f>
        <v/>
      </c>
      <c r="BL762" s="8"/>
      <c r="BN762" s="10"/>
      <c r="FK762" s="8">
        <v>8</v>
      </c>
      <c r="FL762" s="8">
        <v>10</v>
      </c>
    </row>
    <row r="763" spans="1:168" x14ac:dyDescent="0.15">
      <c r="A763" s="8">
        <v>700914</v>
      </c>
      <c r="B763" s="8" t="s">
        <v>253</v>
      </c>
      <c r="C763" s="8">
        <v>0</v>
      </c>
      <c r="D763" s="8">
        <f t="shared" si="109"/>
        <v>6</v>
      </c>
      <c r="E763" s="16">
        <f t="shared" si="110"/>
        <v>6</v>
      </c>
      <c r="F763" s="16">
        <f t="shared" si="113"/>
        <v>6</v>
      </c>
      <c r="G763" s="8" t="str">
        <f>IF(H763="","",VLOOKUP(H763,引用表合并!$A:$B,2,FALSE))</f>
        <v>赤金戒指碎片</v>
      </c>
      <c r="H763" s="76">
        <v>93223</v>
      </c>
      <c r="I763" s="36">
        <v>1</v>
      </c>
      <c r="J763" s="36">
        <f t="shared" si="114"/>
        <v>2900</v>
      </c>
      <c r="K763" s="8" t="str">
        <f>IF(L763="","",VLOOKUP(L763,引用表合并!$A:$B,2,FALSE))</f>
        <v>小堆金块碎片</v>
      </c>
      <c r="L763" s="76">
        <v>93289</v>
      </c>
      <c r="M763" s="36">
        <v>1</v>
      </c>
      <c r="N763" s="36">
        <f t="shared" si="115"/>
        <v>2900</v>
      </c>
      <c r="O763" s="36" t="str">
        <f>IF(P763="","",VLOOKUP(P763,引用表合并!$A:$B,2,FALSE))</f>
        <v>法拉捷碎片</v>
      </c>
      <c r="P763" s="76">
        <v>93280</v>
      </c>
      <c r="Q763" s="36">
        <v>1</v>
      </c>
      <c r="R763" s="36">
        <f t="shared" si="116"/>
        <v>2900</v>
      </c>
      <c r="S763" s="36" t="str">
        <f>IF(T763="","",VLOOKUP(T763,引用表合并!$A:$B,2,FALSE))</f>
        <v>大堆钞票碎片</v>
      </c>
      <c r="T763" s="76">
        <v>93285</v>
      </c>
      <c r="U763" s="36">
        <v>1</v>
      </c>
      <c r="V763" s="36">
        <f t="shared" si="117"/>
        <v>2900</v>
      </c>
      <c r="W763" s="8" t="str">
        <f>IF(X763="","",VLOOKUP(X763,引用表合并!$A:$B,2,FALSE))</f>
        <v>史诗装备升级石</v>
      </c>
      <c r="X763" s="8">
        <v>85400</v>
      </c>
      <c r="Y763" s="8">
        <v>1</v>
      </c>
      <c r="Z763" s="10">
        <f t="shared" si="106"/>
        <v>3500</v>
      </c>
      <c r="AA763" s="8" t="str">
        <f>IF(AB763="","",VLOOKUP(AB763,引用表合并!$A:$B,2,FALSE))</f>
        <v>高级装备升级石</v>
      </c>
      <c r="AB763" s="8">
        <v>85200</v>
      </c>
      <c r="AC763" s="8">
        <v>1</v>
      </c>
      <c r="AD763" s="10">
        <f t="shared" si="107"/>
        <v>4200</v>
      </c>
      <c r="AE763" s="8" t="str">
        <f>IF(AF763="","",VLOOKUP(AF763,引用表合并!$A:$B,2,FALSE))</f>
        <v/>
      </c>
      <c r="AF763" s="8"/>
      <c r="AI763" s="8" t="str">
        <f>IF(AJ763="","",VLOOKUP(AJ763,引用表合并!$A:$B,2,FALSE))</f>
        <v/>
      </c>
      <c r="AJ763" s="8"/>
      <c r="AK763" s="8"/>
      <c r="AM763" s="8" t="str">
        <f>IF(AN763="","",VLOOKUP(AN763,引用表合并!$A:$B,2,FALSE))</f>
        <v/>
      </c>
      <c r="AN763" s="8"/>
      <c r="AO763" s="8"/>
      <c r="AQ763" s="8" t="str">
        <f>IF(AR763="","",VLOOKUP(AR763,引用表合并!$A:$B,2,FALSE))</f>
        <v/>
      </c>
      <c r="AR763" s="8"/>
      <c r="AS763" s="8"/>
      <c r="AU763" s="8" t="str">
        <f>IF(AV763="","",VLOOKUP(AV763,引用表合并!$A:$B,2,FALSE))</f>
        <v/>
      </c>
      <c r="AV763" s="8"/>
      <c r="AW763" s="8"/>
      <c r="AY763" s="8" t="str">
        <f>IF(AZ763="","",VLOOKUP(AZ763,引用表合并!$A:$B,2,FALSE))</f>
        <v/>
      </c>
      <c r="AZ763" s="8"/>
      <c r="BA763" s="8"/>
      <c r="BC763" s="8" t="str">
        <f>IF(BD763="","",VLOOKUP(BD763,引用表合并!$A:$B,2,FALSE))</f>
        <v/>
      </c>
      <c r="BD763" s="8"/>
      <c r="BF763" s="10"/>
      <c r="BG763" s="8" t="str">
        <f>IF(BH763="","",VLOOKUP(BH763,引用表合并!$A:$B,2,FALSE))</f>
        <v/>
      </c>
      <c r="BH763" s="8"/>
      <c r="BJ763" s="10"/>
      <c r="BK763" s="8" t="str">
        <f>IF(BL763="","",VLOOKUP(BL763,引用表合并!$A:$B,2,FALSE))</f>
        <v/>
      </c>
      <c r="BL763" s="8"/>
      <c r="BN763" s="10"/>
      <c r="FK763" s="8">
        <v>8</v>
      </c>
      <c r="FL763" s="8">
        <v>10</v>
      </c>
    </row>
    <row r="764" spans="1:168" x14ac:dyDescent="0.15">
      <c r="A764" s="8">
        <v>700915</v>
      </c>
      <c r="B764" s="8" t="s">
        <v>254</v>
      </c>
      <c r="C764" s="8">
        <v>0</v>
      </c>
      <c r="D764" s="8">
        <f t="shared" si="109"/>
        <v>7</v>
      </c>
      <c r="E764" s="16">
        <f t="shared" si="110"/>
        <v>7</v>
      </c>
      <c r="F764" s="16">
        <f t="shared" si="113"/>
        <v>7</v>
      </c>
      <c r="G764" s="8" t="str">
        <f>IF(H764="","",VLOOKUP(H764,引用表合并!$A:$B,2,FALSE))</f>
        <v>王者手环碎片</v>
      </c>
      <c r="H764" s="76">
        <v>93227</v>
      </c>
      <c r="I764" s="36">
        <v>1</v>
      </c>
      <c r="J764" s="36">
        <f t="shared" si="114"/>
        <v>3400</v>
      </c>
      <c r="K764" s="8" t="str">
        <f>IF(L764="","",VLOOKUP(L764,引用表合并!$A:$B,2,FALSE))</f>
        <v>红石耳钉碎片</v>
      </c>
      <c r="L764" s="76">
        <v>93125</v>
      </c>
      <c r="M764" s="36">
        <v>1</v>
      </c>
      <c r="N764" s="36">
        <f t="shared" si="115"/>
        <v>3400</v>
      </c>
      <c r="O764" s="36" t="str">
        <f>IF(P764="","",VLOOKUP(P764,引用表合并!$A:$B,2,FALSE))</f>
        <v>大堆钞票碎片</v>
      </c>
      <c r="P764" s="76">
        <v>93285</v>
      </c>
      <c r="Q764" s="36">
        <v>1</v>
      </c>
      <c r="R764" s="36">
        <f t="shared" si="116"/>
        <v>3400</v>
      </c>
      <c r="S764" s="36" t="str">
        <f>IF(T764="","",VLOOKUP(T764,引用表合并!$A:$B,2,FALSE))</f>
        <v>小堆金块碎片</v>
      </c>
      <c r="T764" s="76">
        <v>93289</v>
      </c>
      <c r="U764" s="36">
        <v>1</v>
      </c>
      <c r="V764" s="36">
        <f t="shared" si="117"/>
        <v>3400</v>
      </c>
      <c r="W764" s="8" t="str">
        <f>IF(X764="","",VLOOKUP(X764,引用表合并!$A:$B,2,FALSE))</f>
        <v>史诗装备升级石</v>
      </c>
      <c r="X764" s="8">
        <v>85400</v>
      </c>
      <c r="Y764" s="8">
        <v>1</v>
      </c>
      <c r="Z764" s="10">
        <f t="shared" si="106"/>
        <v>10000</v>
      </c>
      <c r="AA764" s="8" t="str">
        <f>IF(AB764="","",VLOOKUP(AB764,引用表合并!$A:$B,2,FALSE))</f>
        <v>稀有装备升级石</v>
      </c>
      <c r="AB764" s="8">
        <v>85300</v>
      </c>
      <c r="AC764" s="10">
        <v>1</v>
      </c>
      <c r="AD764" s="10">
        <f t="shared" si="107"/>
        <v>5000</v>
      </c>
      <c r="AE764" s="8" t="str">
        <f>IF(AF764="","",VLOOKUP(AF764,引用表合并!$A:$B,2,FALSE))</f>
        <v>马仔经验甘露</v>
      </c>
      <c r="AF764" s="31">
        <f t="shared" ref="AF764" si="118">IF(CO764=100,91100,IF(CO764=500,91200,91300))</f>
        <v>91300</v>
      </c>
      <c r="AG764" s="8">
        <v>1</v>
      </c>
      <c r="AH764" s="10">
        <v>10000</v>
      </c>
      <c r="AI764" s="8" t="str">
        <f>IF(AJ764="","",VLOOKUP(AJ764,引用表合并!$A:$B,2,FALSE))</f>
        <v/>
      </c>
      <c r="AM764" s="8" t="str">
        <f>IF(AN764="","",VLOOKUP(AN764,引用表合并!$A:$B,2,FALSE))</f>
        <v/>
      </c>
      <c r="AN764" s="8"/>
      <c r="AO764" s="8"/>
      <c r="AQ764" s="8" t="str">
        <f>IF(AR764="","",VLOOKUP(AR764,引用表合并!$A:$B,2,FALSE))</f>
        <v/>
      </c>
      <c r="AR764" s="8"/>
      <c r="AS764" s="8"/>
      <c r="AU764" s="8" t="str">
        <f>IF(AV764="","",VLOOKUP(AV764,引用表合并!$A:$B,2,FALSE))</f>
        <v/>
      </c>
      <c r="AV764" s="8"/>
      <c r="AW764" s="8"/>
      <c r="AY764" s="8" t="str">
        <f>IF(AZ764="","",VLOOKUP(AZ764,引用表合并!$A:$B,2,FALSE))</f>
        <v/>
      </c>
      <c r="AZ764" s="8"/>
      <c r="BA764" s="8"/>
      <c r="BC764" s="8" t="str">
        <f>IF(BD764="","",VLOOKUP(BD764,引用表合并!$A:$B,2,FALSE))</f>
        <v/>
      </c>
      <c r="BD764" s="8"/>
      <c r="BF764" s="10"/>
      <c r="BG764" s="8" t="str">
        <f>IF(BH764="","",VLOOKUP(BH764,引用表合并!$A:$B,2,FALSE))</f>
        <v/>
      </c>
      <c r="BH764" s="8"/>
      <c r="BJ764" s="10"/>
      <c r="BK764" s="8" t="str">
        <f>IF(BL764="","",VLOOKUP(BL764,引用表合并!$A:$B,2,FALSE))</f>
        <v/>
      </c>
      <c r="BL764" s="8"/>
      <c r="BN764" s="10"/>
      <c r="FK764" s="8">
        <v>8</v>
      </c>
      <c r="FL764" s="8">
        <v>20</v>
      </c>
    </row>
    <row r="765" spans="1:168" x14ac:dyDescent="0.15">
      <c r="A765" s="8">
        <v>701001</v>
      </c>
      <c r="B765" s="8" t="s">
        <v>255</v>
      </c>
      <c r="C765" s="8">
        <v>0</v>
      </c>
      <c r="D765" s="8">
        <f t="shared" si="109"/>
        <v>5</v>
      </c>
      <c r="E765" s="16">
        <f t="shared" si="110"/>
        <v>5</v>
      </c>
      <c r="F765" s="16">
        <f t="shared" si="113"/>
        <v>5</v>
      </c>
      <c r="G765" s="8" t="str">
        <f>IF(H765="","",VLOOKUP(H765,引用表合并!$A:$B,2,FALSE))</f>
        <v>符文手环碎片</v>
      </c>
      <c r="H765" s="76">
        <v>93236</v>
      </c>
      <c r="I765" s="35">
        <v>1</v>
      </c>
      <c r="J765" s="35">
        <f t="shared" si="114"/>
        <v>2450</v>
      </c>
      <c r="K765" s="8" t="str">
        <f>IF(L765="","",VLOOKUP(L765,引用表合并!$A:$B,2,FALSE))</f>
        <v>毒蝎耳钉碎片</v>
      </c>
      <c r="L765" s="76">
        <v>93134</v>
      </c>
      <c r="M765" s="35">
        <v>1</v>
      </c>
      <c r="N765" s="35">
        <f t="shared" si="115"/>
        <v>2450</v>
      </c>
      <c r="O765" s="8" t="str">
        <f>IF(P765="","",VLOOKUP(P765,引用表合并!$A:$B,2,FALSE))</f>
        <v>水晶耳钉碎片</v>
      </c>
      <c r="P765" s="75">
        <v>93124</v>
      </c>
      <c r="Q765" s="35">
        <v>1</v>
      </c>
      <c r="R765" s="35">
        <f t="shared" si="116"/>
        <v>2450</v>
      </c>
      <c r="S765" s="35" t="str">
        <f>IF(T765="","",VLOOKUP(T765,引用表合并!$A:$B,2,FALSE))</f>
        <v>大迭钞票碎片</v>
      </c>
      <c r="T765" s="75">
        <v>93284</v>
      </c>
      <c r="U765" s="35">
        <v>1</v>
      </c>
      <c r="V765" s="35">
        <f t="shared" si="117"/>
        <v>2450</v>
      </c>
      <c r="W765" s="8" t="str">
        <f>IF(X765="","",VLOOKUP(X765,引用表合并!$A:$B,2,FALSE))</f>
        <v>高级装备升级石</v>
      </c>
      <c r="X765" s="8">
        <v>85200</v>
      </c>
      <c r="Y765" s="8">
        <v>1</v>
      </c>
      <c r="Z765" s="10">
        <f t="shared" si="106"/>
        <v>3400</v>
      </c>
      <c r="AA765" s="8" t="str">
        <f>IF(AB765="","",VLOOKUP(AB765,引用表合并!$A:$B,2,FALSE))</f>
        <v/>
      </c>
      <c r="AB765" s="8"/>
      <c r="AC765" s="8"/>
      <c r="AD765" s="10">
        <f t="shared" si="107"/>
        <v>0</v>
      </c>
      <c r="AE765" s="8" t="str">
        <f>IF(AF765="","",VLOOKUP(AF765,引用表合并!$A:$B,2,FALSE))</f>
        <v/>
      </c>
      <c r="AF765" s="8"/>
      <c r="AG765" s="8"/>
      <c r="AI765" s="8" t="str">
        <f>IF(AJ765="","",VLOOKUP(AJ765,引用表合并!$A:$B,2,FALSE))</f>
        <v/>
      </c>
      <c r="AJ765" s="8"/>
      <c r="AK765" s="8"/>
      <c r="AM765" s="8" t="str">
        <f>IF(AN765="","",VLOOKUP(AN765,引用表合并!$A:$B,2,FALSE))</f>
        <v/>
      </c>
      <c r="AN765" s="8"/>
      <c r="AO765" s="8"/>
      <c r="AQ765" s="8" t="str">
        <f>IF(AR765="","",VLOOKUP(AR765,引用表合并!$A:$B,2,FALSE))</f>
        <v/>
      </c>
      <c r="AR765" s="8"/>
      <c r="AS765" s="8"/>
      <c r="AU765" s="8" t="str">
        <f>IF(AV765="","",VLOOKUP(AV765,引用表合并!$A:$B,2,FALSE))</f>
        <v/>
      </c>
      <c r="AV765" s="8"/>
      <c r="AW765" s="8"/>
      <c r="AY765" s="8" t="str">
        <f>IF(AZ765="","",VLOOKUP(AZ765,引用表合并!$A:$B,2,FALSE))</f>
        <v/>
      </c>
      <c r="AZ765" s="8"/>
      <c r="BA765" s="8"/>
      <c r="BC765" s="8" t="str">
        <f>IF(BD765="","",VLOOKUP(BD765,引用表合并!$A:$B,2,FALSE))</f>
        <v/>
      </c>
      <c r="BD765" s="8"/>
      <c r="BF765" s="10"/>
      <c r="BG765" s="8" t="str">
        <f>IF(BH765="","",VLOOKUP(BH765,引用表合并!$A:$B,2,FALSE))</f>
        <v/>
      </c>
      <c r="BH765" s="8"/>
      <c r="BJ765" s="10"/>
      <c r="BK765" s="8" t="str">
        <f>IF(BL765="","",VLOOKUP(BL765,引用表合并!$A:$B,2,FALSE))</f>
        <v/>
      </c>
      <c r="BL765" s="8"/>
      <c r="BN765" s="10"/>
      <c r="FK765" s="8">
        <v>9</v>
      </c>
      <c r="FL765" s="8">
        <v>0</v>
      </c>
    </row>
    <row r="766" spans="1:168" x14ac:dyDescent="0.15">
      <c r="A766" s="8">
        <v>701002</v>
      </c>
      <c r="B766" s="8" t="s">
        <v>256</v>
      </c>
      <c r="C766" s="8">
        <v>0</v>
      </c>
      <c r="D766" s="8">
        <f t="shared" si="109"/>
        <v>5</v>
      </c>
      <c r="E766" s="16">
        <f t="shared" si="110"/>
        <v>5</v>
      </c>
      <c r="F766" s="16">
        <f t="shared" si="113"/>
        <v>5</v>
      </c>
      <c r="G766" s="8" t="str">
        <f>IF(H766="","",VLOOKUP(H766,引用表合并!$A:$B,2,FALSE))</f>
        <v>月立碎片</v>
      </c>
      <c r="H766" s="76">
        <v>93013</v>
      </c>
      <c r="I766" s="35">
        <v>1</v>
      </c>
      <c r="J766" s="35">
        <f t="shared" si="114"/>
        <v>2450</v>
      </c>
      <c r="K766" s="8" t="str">
        <f>IF(L766="","",VLOOKUP(L766,引用表合并!$A:$B,2,FALSE))</f>
        <v>赤金戒指碎片</v>
      </c>
      <c r="L766" s="76">
        <v>93223</v>
      </c>
      <c r="M766" s="35">
        <v>1</v>
      </c>
      <c r="N766" s="35">
        <f t="shared" si="115"/>
        <v>2450</v>
      </c>
      <c r="O766" s="8" t="str">
        <f>IF(P766="","",VLOOKUP(P766,引用表合并!$A:$B,2,FALSE))</f>
        <v>金针手表碎片</v>
      </c>
      <c r="P766" s="75">
        <v>93272</v>
      </c>
      <c r="Q766" s="35">
        <v>1</v>
      </c>
      <c r="R766" s="35">
        <f t="shared" si="116"/>
        <v>2450</v>
      </c>
      <c r="S766" s="35" t="str">
        <f>IF(T766="","",VLOOKUP(T766,引用表合并!$A:$B,2,FALSE))</f>
        <v>大金块碎片</v>
      </c>
      <c r="T766" s="75">
        <v>93288</v>
      </c>
      <c r="U766" s="35">
        <v>1</v>
      </c>
      <c r="V766" s="35">
        <f t="shared" si="117"/>
        <v>2450</v>
      </c>
      <c r="W766" s="8" t="str">
        <f>IF(X766="","",VLOOKUP(X766,引用表合并!$A:$B,2,FALSE))</f>
        <v>高级装备升级石</v>
      </c>
      <c r="X766" s="8">
        <v>85200</v>
      </c>
      <c r="Y766" s="8">
        <v>1</v>
      </c>
      <c r="Z766" s="10">
        <f t="shared" si="106"/>
        <v>3500</v>
      </c>
      <c r="AA766" s="8" t="str">
        <f>IF(AB766="","",VLOOKUP(AB766,引用表合并!$A:$B,2,FALSE))</f>
        <v/>
      </c>
      <c r="AB766" s="8"/>
      <c r="AC766" s="8"/>
      <c r="AD766" s="10">
        <f t="shared" si="107"/>
        <v>0</v>
      </c>
      <c r="AE766" s="8" t="str">
        <f>IF(AF766="","",VLOOKUP(AF766,引用表合并!$A:$B,2,FALSE))</f>
        <v/>
      </c>
      <c r="AF766" s="8"/>
      <c r="AG766" s="8"/>
      <c r="AI766" s="8" t="str">
        <f>IF(AJ766="","",VLOOKUP(AJ766,引用表合并!$A:$B,2,FALSE))</f>
        <v/>
      </c>
      <c r="AJ766" s="8"/>
      <c r="AK766" s="8"/>
      <c r="AM766" s="8" t="str">
        <f>IF(AN766="","",VLOOKUP(AN766,引用表合并!$A:$B,2,FALSE))</f>
        <v/>
      </c>
      <c r="AN766" s="8"/>
      <c r="AO766" s="8"/>
      <c r="AQ766" s="8" t="str">
        <f>IF(AR766="","",VLOOKUP(AR766,引用表合并!$A:$B,2,FALSE))</f>
        <v/>
      </c>
      <c r="AR766" s="8"/>
      <c r="AS766" s="8"/>
      <c r="AU766" s="8" t="str">
        <f>IF(AV766="","",VLOOKUP(AV766,引用表合并!$A:$B,2,FALSE))</f>
        <v/>
      </c>
      <c r="AV766" s="8"/>
      <c r="AW766" s="8"/>
      <c r="AY766" s="8" t="str">
        <f>IF(AZ766="","",VLOOKUP(AZ766,引用表合并!$A:$B,2,FALSE))</f>
        <v/>
      </c>
      <c r="AZ766" s="8"/>
      <c r="BA766" s="8"/>
      <c r="BC766" s="8" t="str">
        <f>IF(BD766="","",VLOOKUP(BD766,引用表合并!$A:$B,2,FALSE))</f>
        <v/>
      </c>
      <c r="BD766" s="8"/>
      <c r="BF766" s="10"/>
      <c r="BG766" s="8" t="str">
        <f>IF(BH766="","",VLOOKUP(BH766,引用表合并!$A:$B,2,FALSE))</f>
        <v/>
      </c>
      <c r="BH766" s="8"/>
      <c r="BJ766" s="10"/>
      <c r="BK766" s="8" t="str">
        <f>IF(BL766="","",VLOOKUP(BL766,引用表合并!$A:$B,2,FALSE))</f>
        <v/>
      </c>
      <c r="BL766" s="8"/>
      <c r="BN766" s="10"/>
      <c r="FK766" s="8">
        <v>9</v>
      </c>
      <c r="FL766" s="8">
        <v>0</v>
      </c>
    </row>
    <row r="767" spans="1:168" x14ac:dyDescent="0.15">
      <c r="A767" s="8">
        <v>701003</v>
      </c>
      <c r="B767" s="8" t="s">
        <v>257</v>
      </c>
      <c r="C767" s="8">
        <v>0</v>
      </c>
      <c r="D767" s="8">
        <f t="shared" si="109"/>
        <v>5</v>
      </c>
      <c r="E767" s="16">
        <f t="shared" si="110"/>
        <v>5</v>
      </c>
      <c r="F767" s="16">
        <f t="shared" si="113"/>
        <v>5</v>
      </c>
      <c r="G767" s="8" t="str">
        <f>IF(H767="","",VLOOKUP(H767,引用表合并!$A:$B,2,FALSE))</f>
        <v>猫妖项链碎片</v>
      </c>
      <c r="H767" s="76">
        <v>93253</v>
      </c>
      <c r="I767" s="35">
        <v>1</v>
      </c>
      <c r="J767" s="35">
        <f t="shared" si="114"/>
        <v>2950</v>
      </c>
      <c r="K767" s="8" t="str">
        <f>IF(L767="","",VLOOKUP(L767,引用表合并!$A:$B,2,FALSE))</f>
        <v>王者手环碎片</v>
      </c>
      <c r="L767" s="76">
        <v>93227</v>
      </c>
      <c r="M767" s="35">
        <v>1</v>
      </c>
      <c r="N767" s="35">
        <f t="shared" si="115"/>
        <v>2950</v>
      </c>
      <c r="O767" s="8" t="str">
        <f>IF(P767="","",VLOOKUP(P767,引用表合并!$A:$B,2,FALSE))</f>
        <v>智能手表碎片</v>
      </c>
      <c r="P767" s="75">
        <v>93273</v>
      </c>
      <c r="Q767" s="35">
        <v>1</v>
      </c>
      <c r="R767" s="35">
        <f t="shared" si="116"/>
        <v>2950</v>
      </c>
      <c r="S767" s="35" t="str">
        <f>IF(T767="","",VLOOKUP(T767,引用表合并!$A:$B,2,FALSE))</f>
        <v>黄金戒指碎片</v>
      </c>
      <c r="T767" s="75">
        <v>93142</v>
      </c>
      <c r="U767" s="35">
        <v>1</v>
      </c>
      <c r="V767" s="35">
        <f t="shared" si="117"/>
        <v>2950</v>
      </c>
      <c r="W767" s="8" t="str">
        <f>IF(X767="","",VLOOKUP(X767,引用表合并!$A:$B,2,FALSE))</f>
        <v>高级装备升级石</v>
      </c>
      <c r="X767" s="8">
        <v>85200</v>
      </c>
      <c r="Y767" s="8">
        <v>1</v>
      </c>
      <c r="Z767" s="10">
        <f t="shared" si="106"/>
        <v>5900</v>
      </c>
      <c r="AA767" s="8" t="str">
        <f>IF(AB767="","",VLOOKUP(AB767,引用表合并!$A:$B,2,FALSE))</f>
        <v/>
      </c>
      <c r="AB767" s="8"/>
      <c r="AC767" s="8"/>
      <c r="AD767" s="10">
        <f t="shared" si="107"/>
        <v>0</v>
      </c>
      <c r="AE767" s="8" t="str">
        <f>IF(AF767="","",VLOOKUP(AF767,引用表合并!$A:$B,2,FALSE))</f>
        <v/>
      </c>
      <c r="AF767" s="8"/>
      <c r="AG767" s="8"/>
      <c r="AI767" s="8" t="str">
        <f>IF(AJ767="","",VLOOKUP(AJ767,引用表合并!$A:$B,2,FALSE))</f>
        <v/>
      </c>
      <c r="AJ767" s="8"/>
      <c r="AK767" s="8"/>
      <c r="AM767" s="8" t="str">
        <f>IF(AN767="","",VLOOKUP(AN767,引用表合并!$A:$B,2,FALSE))</f>
        <v/>
      </c>
      <c r="AN767" s="8"/>
      <c r="AO767" s="8"/>
      <c r="AQ767" s="8" t="str">
        <f>IF(AR767="","",VLOOKUP(AR767,引用表合并!$A:$B,2,FALSE))</f>
        <v/>
      </c>
      <c r="AR767" s="8"/>
      <c r="AS767" s="8"/>
      <c r="AU767" s="8" t="str">
        <f>IF(AV767="","",VLOOKUP(AV767,引用表合并!$A:$B,2,FALSE))</f>
        <v/>
      </c>
      <c r="AV767" s="8"/>
      <c r="AW767" s="8"/>
      <c r="AY767" s="8" t="str">
        <f>IF(AZ767="","",VLOOKUP(AZ767,引用表合并!$A:$B,2,FALSE))</f>
        <v/>
      </c>
      <c r="AZ767" s="8"/>
      <c r="BA767" s="8"/>
      <c r="BC767" s="8" t="str">
        <f>IF(BD767="","",VLOOKUP(BD767,引用表合并!$A:$B,2,FALSE))</f>
        <v/>
      </c>
      <c r="BD767" s="8"/>
      <c r="BF767" s="10"/>
      <c r="BG767" s="8" t="str">
        <f>IF(BH767="","",VLOOKUP(BH767,引用表合并!$A:$B,2,FALSE))</f>
        <v/>
      </c>
      <c r="BH767" s="8"/>
      <c r="BJ767" s="10"/>
      <c r="BK767" s="8" t="str">
        <f>IF(BL767="","",VLOOKUP(BL767,引用表合并!$A:$B,2,FALSE))</f>
        <v/>
      </c>
      <c r="BL767" s="8"/>
      <c r="BN767" s="10"/>
      <c r="FK767" s="8">
        <v>9</v>
      </c>
      <c r="FL767" s="8">
        <v>10</v>
      </c>
    </row>
    <row r="768" spans="1:168" x14ac:dyDescent="0.15">
      <c r="A768" s="8">
        <v>701004</v>
      </c>
      <c r="B768" s="8" t="s">
        <v>258</v>
      </c>
      <c r="C768" s="8">
        <v>0</v>
      </c>
      <c r="D768" s="8">
        <f t="shared" si="109"/>
        <v>5</v>
      </c>
      <c r="E768" s="16">
        <f t="shared" si="110"/>
        <v>5</v>
      </c>
      <c r="F768" s="16">
        <f t="shared" si="113"/>
        <v>5</v>
      </c>
      <c r="G768" s="8" t="str">
        <f>IF(H768="","",VLOOKUP(H768,引用表合并!$A:$B,2,FALSE))</f>
        <v>苍蓝项链碎片</v>
      </c>
      <c r="H768" s="76">
        <v>93254</v>
      </c>
      <c r="I768" s="35">
        <v>1</v>
      </c>
      <c r="J768" s="35">
        <f t="shared" si="114"/>
        <v>2450</v>
      </c>
      <c r="K768" s="8" t="str">
        <f>IF(L768="","",VLOOKUP(L768,引用表合并!$A:$B,2,FALSE))</f>
        <v>符文手环碎片</v>
      </c>
      <c r="L768" s="76">
        <v>93236</v>
      </c>
      <c r="M768" s="35">
        <v>1</v>
      </c>
      <c r="N768" s="35">
        <f t="shared" si="115"/>
        <v>2450</v>
      </c>
      <c r="O768" s="8" t="str">
        <f>IF(P768="","",VLOOKUP(P768,引用表合并!$A:$B,2,FALSE))</f>
        <v>宾倪碎片</v>
      </c>
      <c r="P768" s="75">
        <v>93279</v>
      </c>
      <c r="Q768" s="35">
        <v>1</v>
      </c>
      <c r="R768" s="35">
        <f t="shared" si="116"/>
        <v>2450</v>
      </c>
      <c r="S768" s="35" t="str">
        <f>IF(T768="","",VLOOKUP(T768,引用表合并!$A:$B,2,FALSE))</f>
        <v>宝石手环碎片</v>
      </c>
      <c r="T768" s="75">
        <v>93235</v>
      </c>
      <c r="U768" s="35">
        <v>1</v>
      </c>
      <c r="V768" s="35">
        <f t="shared" si="117"/>
        <v>2450</v>
      </c>
      <c r="W768" s="8" t="str">
        <f>IF(X768="","",VLOOKUP(X768,引用表合并!$A:$B,2,FALSE))</f>
        <v>高级装备升级石</v>
      </c>
      <c r="X768" s="8">
        <v>85200</v>
      </c>
      <c r="Y768" s="8">
        <v>1</v>
      </c>
      <c r="Z768" s="10">
        <f t="shared" si="106"/>
        <v>3600</v>
      </c>
      <c r="AA768" s="8" t="str">
        <f>IF(AB768="","",VLOOKUP(AB768,引用表合并!$A:$B,2,FALSE))</f>
        <v/>
      </c>
      <c r="AB768" s="8"/>
      <c r="AC768" s="8"/>
      <c r="AD768" s="10">
        <f t="shared" si="107"/>
        <v>0</v>
      </c>
      <c r="AE768" s="8" t="str">
        <f>IF(AF768="","",VLOOKUP(AF768,引用表合并!$A:$B,2,FALSE))</f>
        <v/>
      </c>
      <c r="AF768" s="8"/>
      <c r="AG768" s="8"/>
      <c r="AI768" s="8" t="str">
        <f>IF(AJ768="","",VLOOKUP(AJ768,引用表合并!$A:$B,2,FALSE))</f>
        <v/>
      </c>
      <c r="AJ768" s="8"/>
      <c r="AK768" s="8"/>
      <c r="AM768" s="8" t="str">
        <f>IF(AN768="","",VLOOKUP(AN768,引用表合并!$A:$B,2,FALSE))</f>
        <v/>
      </c>
      <c r="AN768" s="8"/>
      <c r="AO768" s="8"/>
      <c r="AQ768" s="8" t="str">
        <f>IF(AR768="","",VLOOKUP(AR768,引用表合并!$A:$B,2,FALSE))</f>
        <v/>
      </c>
      <c r="AR768" s="8"/>
      <c r="AS768" s="8"/>
      <c r="AU768" s="8" t="str">
        <f>IF(AV768="","",VLOOKUP(AV768,引用表合并!$A:$B,2,FALSE))</f>
        <v/>
      </c>
      <c r="AV768" s="8"/>
      <c r="AW768" s="8"/>
      <c r="AY768" s="8" t="str">
        <f>IF(AZ768="","",VLOOKUP(AZ768,引用表合并!$A:$B,2,FALSE))</f>
        <v/>
      </c>
      <c r="AZ768" s="8"/>
      <c r="BA768" s="8"/>
      <c r="BC768" s="8" t="str">
        <f>IF(BD768="","",VLOOKUP(BD768,引用表合并!$A:$B,2,FALSE))</f>
        <v/>
      </c>
      <c r="BD768" s="8"/>
      <c r="BF768" s="10"/>
      <c r="BG768" s="8" t="str">
        <f>IF(BH768="","",VLOOKUP(BH768,引用表合并!$A:$B,2,FALSE))</f>
        <v/>
      </c>
      <c r="BH768" s="8"/>
      <c r="BJ768" s="10"/>
      <c r="BK768" s="8" t="str">
        <f>IF(BL768="","",VLOOKUP(BL768,引用表合并!$A:$B,2,FALSE))</f>
        <v/>
      </c>
      <c r="BL768" s="8"/>
      <c r="BN768" s="10"/>
      <c r="FK768" s="8">
        <v>9</v>
      </c>
      <c r="FL768" s="8">
        <v>0</v>
      </c>
    </row>
    <row r="769" spans="1:168" x14ac:dyDescent="0.15">
      <c r="A769" s="8">
        <v>701005</v>
      </c>
      <c r="B769" s="8" t="s">
        <v>259</v>
      </c>
      <c r="C769" s="8">
        <v>0</v>
      </c>
      <c r="D769" s="8">
        <f t="shared" si="109"/>
        <v>5</v>
      </c>
      <c r="E769" s="16">
        <f t="shared" si="110"/>
        <v>5</v>
      </c>
      <c r="F769" s="16">
        <f t="shared" si="113"/>
        <v>5</v>
      </c>
      <c r="G769" s="8" t="str">
        <f>IF(H769="","",VLOOKUP(H769,引用表合并!$A:$B,2,FALSE))</f>
        <v>汉密手表碎片</v>
      </c>
      <c r="H769" s="76">
        <v>93274</v>
      </c>
      <c r="I769" s="35">
        <v>1</v>
      </c>
      <c r="J769" s="35">
        <f t="shared" si="114"/>
        <v>2450</v>
      </c>
      <c r="K769" s="8" t="str">
        <f>IF(L769="","",VLOOKUP(L769,引用表合并!$A:$B,2,FALSE))</f>
        <v>月立碎片</v>
      </c>
      <c r="L769" s="76">
        <v>93013</v>
      </c>
      <c r="M769" s="35">
        <v>1</v>
      </c>
      <c r="N769" s="35">
        <f t="shared" si="115"/>
        <v>2450</v>
      </c>
      <c r="O769" s="35" t="str">
        <f>IF(P769="","",VLOOKUP(P769,引用表合并!$A:$B,2,FALSE))</f>
        <v>红石耳钉碎片</v>
      </c>
      <c r="P769" s="76">
        <v>93125</v>
      </c>
      <c r="Q769" s="35">
        <v>1</v>
      </c>
      <c r="R769" s="35">
        <f t="shared" si="116"/>
        <v>2450</v>
      </c>
      <c r="S769" s="35" t="str">
        <f>IF(T769="","",VLOOKUP(T769,引用表合并!$A:$B,2,FALSE))</f>
        <v>毒蝎耳钉碎片</v>
      </c>
      <c r="T769" s="76">
        <v>93134</v>
      </c>
      <c r="U769" s="35">
        <v>1</v>
      </c>
      <c r="V769" s="35">
        <f t="shared" si="117"/>
        <v>2450</v>
      </c>
      <c r="W769" s="8" t="str">
        <f>IF(X769="","",VLOOKUP(X769,引用表合并!$A:$B,2,FALSE))</f>
        <v>高级装备升级石</v>
      </c>
      <c r="X769" s="8">
        <v>85200</v>
      </c>
      <c r="Y769" s="8">
        <v>1</v>
      </c>
      <c r="Z769" s="10">
        <f t="shared" si="106"/>
        <v>3700</v>
      </c>
      <c r="AA769" s="8" t="str">
        <f>IF(AB769="","",VLOOKUP(AB769,引用表合并!$A:$B,2,FALSE))</f>
        <v/>
      </c>
      <c r="AB769" s="8"/>
      <c r="AC769" s="8"/>
      <c r="AD769" s="10">
        <f t="shared" si="107"/>
        <v>0</v>
      </c>
      <c r="AE769" s="8" t="str">
        <f>IF(AF769="","",VLOOKUP(AF769,引用表合并!$A:$B,2,FALSE))</f>
        <v/>
      </c>
      <c r="AF769" s="8"/>
      <c r="AG769" s="8"/>
      <c r="AI769" s="8" t="str">
        <f>IF(AJ769="","",VLOOKUP(AJ769,引用表合并!$A:$B,2,FALSE))</f>
        <v/>
      </c>
      <c r="AJ769" s="8"/>
      <c r="AK769" s="8"/>
      <c r="AM769" s="8" t="str">
        <f>IF(AN769="","",VLOOKUP(AN769,引用表合并!$A:$B,2,FALSE))</f>
        <v/>
      </c>
      <c r="AN769" s="8"/>
      <c r="AO769" s="8"/>
      <c r="AQ769" s="8" t="str">
        <f>IF(AR769="","",VLOOKUP(AR769,引用表合并!$A:$B,2,FALSE))</f>
        <v/>
      </c>
      <c r="AR769" s="8"/>
      <c r="AS769" s="8"/>
      <c r="AU769" s="8" t="str">
        <f>IF(AV769="","",VLOOKUP(AV769,引用表合并!$A:$B,2,FALSE))</f>
        <v/>
      </c>
      <c r="AV769" s="8"/>
      <c r="AW769" s="8"/>
      <c r="AY769" s="8" t="str">
        <f>IF(AZ769="","",VLOOKUP(AZ769,引用表合并!$A:$B,2,FALSE))</f>
        <v/>
      </c>
      <c r="AZ769" s="8"/>
      <c r="BA769" s="8"/>
      <c r="BC769" s="8" t="str">
        <f>IF(BD769="","",VLOOKUP(BD769,引用表合并!$A:$B,2,FALSE))</f>
        <v/>
      </c>
      <c r="BD769" s="8"/>
      <c r="BF769" s="10"/>
      <c r="BG769" s="8" t="str">
        <f>IF(BH769="","",VLOOKUP(BH769,引用表合并!$A:$B,2,FALSE))</f>
        <v/>
      </c>
      <c r="BH769" s="8"/>
      <c r="BJ769" s="10"/>
      <c r="BK769" s="8" t="str">
        <f>IF(BL769="","",VLOOKUP(BL769,引用表合并!$A:$B,2,FALSE))</f>
        <v/>
      </c>
      <c r="BL769" s="8"/>
      <c r="BN769" s="10"/>
      <c r="FK769" s="8">
        <v>9</v>
      </c>
      <c r="FL769" s="8">
        <v>0</v>
      </c>
    </row>
    <row r="770" spans="1:168" x14ac:dyDescent="0.15">
      <c r="A770" s="8">
        <v>701006</v>
      </c>
      <c r="B770" s="8" t="s">
        <v>260</v>
      </c>
      <c r="C770" s="8">
        <v>0</v>
      </c>
      <c r="D770" s="8">
        <f t="shared" si="109"/>
        <v>6</v>
      </c>
      <c r="E770" s="16">
        <f t="shared" si="110"/>
        <v>6</v>
      </c>
      <c r="F770" s="16">
        <f t="shared" si="113"/>
        <v>6</v>
      </c>
      <c r="G770" s="8" t="str">
        <f>IF(H770="","",VLOOKUP(H770,引用表合并!$A:$B,2,FALSE))</f>
        <v>法拉捷碎片</v>
      </c>
      <c r="H770" s="76">
        <v>93280</v>
      </c>
      <c r="I770" s="36">
        <v>1</v>
      </c>
      <c r="J770" s="36">
        <f t="shared" si="114"/>
        <v>3050</v>
      </c>
      <c r="K770" s="36" t="str">
        <f>IF(L770="","",VLOOKUP(L770,引用表合并!$A:$B,2,FALSE))</f>
        <v>猫妖项链碎片</v>
      </c>
      <c r="L770" s="76">
        <v>93253</v>
      </c>
      <c r="M770" s="36">
        <v>1</v>
      </c>
      <c r="N770" s="36">
        <f t="shared" si="115"/>
        <v>3050</v>
      </c>
      <c r="O770" s="35" t="str">
        <f>IF(P770="","",VLOOKUP(P770,引用表合并!$A:$B,2,FALSE))</f>
        <v>毒蝎耳钉碎片</v>
      </c>
      <c r="P770" s="76">
        <v>93134</v>
      </c>
      <c r="Q770" s="35">
        <v>1</v>
      </c>
      <c r="R770" s="35">
        <f t="shared" si="116"/>
        <v>3050</v>
      </c>
      <c r="S770" s="35" t="str">
        <f>IF(T770="","",VLOOKUP(T770,引用表合并!$A:$B,2,FALSE))</f>
        <v>赤金戒指碎片</v>
      </c>
      <c r="T770" s="76">
        <v>93223</v>
      </c>
      <c r="U770" s="35">
        <v>1</v>
      </c>
      <c r="V770" s="35">
        <f t="shared" si="117"/>
        <v>3050</v>
      </c>
      <c r="W770" s="8" t="str">
        <f>IF(X770="","",VLOOKUP(X770,引用表合并!$A:$B,2,FALSE))</f>
        <v>稀有装备升级石</v>
      </c>
      <c r="X770" s="8">
        <v>85300</v>
      </c>
      <c r="Y770" s="10">
        <v>1</v>
      </c>
      <c r="Z770" s="10">
        <f t="shared" si="106"/>
        <v>2900</v>
      </c>
      <c r="AA770" s="8" t="str">
        <f>IF(AB770="","",VLOOKUP(AB770,引用表合并!$A:$B,2,FALSE))</f>
        <v>高级装备升级石</v>
      </c>
      <c r="AB770" s="8">
        <v>85200</v>
      </c>
      <c r="AC770" s="8">
        <v>1</v>
      </c>
      <c r="AD770" s="10">
        <f t="shared" si="107"/>
        <v>10000</v>
      </c>
      <c r="AE770" s="8" t="str">
        <f>IF(AF770="","",VLOOKUP(AF770,引用表合并!$A:$B,2,FALSE))</f>
        <v/>
      </c>
      <c r="AF770" s="8"/>
      <c r="AI770" s="8"/>
      <c r="AJ770" s="8"/>
      <c r="AK770" s="8"/>
      <c r="AM770" s="8" t="str">
        <f>IF(AN770="","",VLOOKUP(AN770,引用表合并!$A:$B,2,FALSE))</f>
        <v/>
      </c>
      <c r="AN770" s="8"/>
      <c r="AO770" s="8"/>
      <c r="AQ770" s="8" t="str">
        <f>IF(AR770="","",VLOOKUP(AR770,引用表合并!$A:$B,2,FALSE))</f>
        <v/>
      </c>
      <c r="AR770" s="8"/>
      <c r="AS770" s="8"/>
      <c r="AU770" s="8" t="str">
        <f>IF(AV770="","",VLOOKUP(AV770,引用表合并!$A:$B,2,FALSE))</f>
        <v/>
      </c>
      <c r="AV770" s="8"/>
      <c r="AW770" s="8"/>
      <c r="AY770" s="8" t="str">
        <f>IF(AZ770="","",VLOOKUP(AZ770,引用表合并!$A:$B,2,FALSE))</f>
        <v/>
      </c>
      <c r="AZ770" s="8"/>
      <c r="BA770" s="8"/>
      <c r="BC770" s="8" t="str">
        <f>IF(BD770="","",VLOOKUP(BD770,引用表合并!$A:$B,2,FALSE))</f>
        <v/>
      </c>
      <c r="BD770" s="8"/>
      <c r="BF770" s="10"/>
      <c r="BG770" s="8" t="str">
        <f>IF(BH770="","",VLOOKUP(BH770,引用表合并!$A:$B,2,FALSE))</f>
        <v/>
      </c>
      <c r="BH770" s="8"/>
      <c r="BJ770" s="10"/>
      <c r="BK770" s="8" t="str">
        <f>IF(BL770="","",VLOOKUP(BL770,引用表合并!$A:$B,2,FALSE))</f>
        <v/>
      </c>
      <c r="BL770" s="8"/>
      <c r="BN770" s="10"/>
      <c r="FK770" s="8">
        <v>9</v>
      </c>
      <c r="FL770" s="8">
        <v>12</v>
      </c>
    </row>
    <row r="771" spans="1:168" x14ac:dyDescent="0.15">
      <c r="A771" s="8">
        <v>701007</v>
      </c>
      <c r="B771" s="8" t="s">
        <v>261</v>
      </c>
      <c r="C771" s="8">
        <v>0</v>
      </c>
      <c r="D771" s="8">
        <f t="shared" si="109"/>
        <v>6</v>
      </c>
      <c r="E771" s="16">
        <f t="shared" si="110"/>
        <v>6</v>
      </c>
      <c r="F771" s="16">
        <f t="shared" si="113"/>
        <v>6</v>
      </c>
      <c r="G771" s="8" t="str">
        <f>IF(H771="","",VLOOKUP(H771,引用表合并!$A:$B,2,FALSE))</f>
        <v>大堆钞票碎片</v>
      </c>
      <c r="H771" s="76">
        <v>93285</v>
      </c>
      <c r="I771" s="36">
        <v>1</v>
      </c>
      <c r="J771" s="36">
        <f t="shared" si="114"/>
        <v>2450</v>
      </c>
      <c r="K771" s="36" t="str">
        <f>IF(L771="","",VLOOKUP(L771,引用表合并!$A:$B,2,FALSE))</f>
        <v>苍蓝项链碎片</v>
      </c>
      <c r="L771" s="76">
        <v>93254</v>
      </c>
      <c r="M771" s="36">
        <v>1</v>
      </c>
      <c r="N771" s="36">
        <f t="shared" si="115"/>
        <v>2450</v>
      </c>
      <c r="O771" s="35" t="str">
        <f>IF(P771="","",VLOOKUP(P771,引用表合并!$A:$B,2,FALSE))</f>
        <v>赤金戒指碎片</v>
      </c>
      <c r="P771" s="76">
        <v>93223</v>
      </c>
      <c r="Q771" s="35">
        <v>1</v>
      </c>
      <c r="R771" s="35">
        <f t="shared" si="116"/>
        <v>2450</v>
      </c>
      <c r="S771" s="35" t="str">
        <f>IF(T771="","",VLOOKUP(T771,引用表合并!$A:$B,2,FALSE))</f>
        <v>王者手环碎片</v>
      </c>
      <c r="T771" s="76">
        <v>93227</v>
      </c>
      <c r="U771" s="35">
        <v>1</v>
      </c>
      <c r="V771" s="35">
        <f t="shared" si="117"/>
        <v>2450</v>
      </c>
      <c r="W771" s="8" t="str">
        <f>IF(X771="","",VLOOKUP(X771,引用表合并!$A:$B,2,FALSE))</f>
        <v>稀有装备升级石</v>
      </c>
      <c r="X771" s="8">
        <v>85300</v>
      </c>
      <c r="Y771" s="10">
        <v>1</v>
      </c>
      <c r="Z771" s="10">
        <f t="shared" si="106"/>
        <v>3100</v>
      </c>
      <c r="AA771" s="8" t="str">
        <f>IF(AB771="","",VLOOKUP(AB771,引用表合并!$A:$B,2,FALSE))</f>
        <v>高级装备升级石</v>
      </c>
      <c r="AB771" s="8">
        <v>85200</v>
      </c>
      <c r="AC771" s="8">
        <v>1</v>
      </c>
      <c r="AD771" s="10">
        <f t="shared" si="107"/>
        <v>3000</v>
      </c>
      <c r="AE771" s="8" t="str">
        <f>IF(AF771="","",VLOOKUP(AF771,引用表合并!$A:$B,2,FALSE))</f>
        <v/>
      </c>
      <c r="AF771" s="8"/>
      <c r="AI771" s="8"/>
      <c r="AJ771" s="8"/>
      <c r="AK771" s="8"/>
      <c r="AM771" s="8" t="str">
        <f>IF(AN771="","",VLOOKUP(AN771,引用表合并!$A:$B,2,FALSE))</f>
        <v/>
      </c>
      <c r="AN771" s="8"/>
      <c r="AO771" s="8"/>
      <c r="AQ771" s="8" t="str">
        <f>IF(AR771="","",VLOOKUP(AR771,引用表合并!$A:$B,2,FALSE))</f>
        <v/>
      </c>
      <c r="AR771" s="8"/>
      <c r="AS771" s="8"/>
      <c r="AU771" s="8" t="str">
        <f>IF(AV771="","",VLOOKUP(AV771,引用表合并!$A:$B,2,FALSE))</f>
        <v/>
      </c>
      <c r="AV771" s="8"/>
      <c r="AW771" s="8"/>
      <c r="AY771" s="8" t="str">
        <f>IF(AZ771="","",VLOOKUP(AZ771,引用表合并!$A:$B,2,FALSE))</f>
        <v/>
      </c>
      <c r="AZ771" s="8"/>
      <c r="BA771" s="8"/>
      <c r="BC771" s="8" t="str">
        <f>IF(BD771="","",VLOOKUP(BD771,引用表合并!$A:$B,2,FALSE))</f>
        <v/>
      </c>
      <c r="BD771" s="8"/>
      <c r="BF771" s="10"/>
      <c r="BG771" s="8" t="str">
        <f>IF(BH771="","",VLOOKUP(BH771,引用表合并!$A:$B,2,FALSE))</f>
        <v/>
      </c>
      <c r="BH771" s="8"/>
      <c r="BJ771" s="10"/>
      <c r="BK771" s="8" t="str">
        <f>IF(BL771="","",VLOOKUP(BL771,引用表合并!$A:$B,2,FALSE))</f>
        <v/>
      </c>
      <c r="BL771" s="8"/>
      <c r="BN771" s="10"/>
      <c r="FK771" s="8">
        <v>9</v>
      </c>
      <c r="FL771" s="8">
        <v>0</v>
      </c>
    </row>
    <row r="772" spans="1:168" x14ac:dyDescent="0.15">
      <c r="A772" s="8">
        <v>701008</v>
      </c>
      <c r="B772" s="8" t="s">
        <v>262</v>
      </c>
      <c r="C772" s="8">
        <v>0</v>
      </c>
      <c r="D772" s="8">
        <f t="shared" si="109"/>
        <v>6</v>
      </c>
      <c r="E772" s="16">
        <f t="shared" si="110"/>
        <v>6</v>
      </c>
      <c r="F772" s="16">
        <f t="shared" si="113"/>
        <v>6</v>
      </c>
      <c r="G772" s="8" t="str">
        <f>IF(H772="","",VLOOKUP(H772,引用表合并!$A:$B,2,FALSE))</f>
        <v>小堆金块碎片</v>
      </c>
      <c r="H772" s="76">
        <v>93289</v>
      </c>
      <c r="I772" s="36">
        <v>1</v>
      </c>
      <c r="J772" s="36">
        <f t="shared" si="114"/>
        <v>2450</v>
      </c>
      <c r="K772" s="36" t="str">
        <f>IF(L772="","",VLOOKUP(L772,引用表合并!$A:$B,2,FALSE))</f>
        <v>汉密手表碎片</v>
      </c>
      <c r="L772" s="76">
        <v>93274</v>
      </c>
      <c r="M772" s="36">
        <v>1</v>
      </c>
      <c r="N772" s="36">
        <f t="shared" si="115"/>
        <v>2450</v>
      </c>
      <c r="O772" s="35" t="str">
        <f>IF(P772="","",VLOOKUP(P772,引用表合并!$A:$B,2,FALSE))</f>
        <v>王者手环碎片</v>
      </c>
      <c r="P772" s="76">
        <v>93227</v>
      </c>
      <c r="Q772" s="35">
        <v>1</v>
      </c>
      <c r="R772" s="35">
        <f t="shared" si="116"/>
        <v>2450</v>
      </c>
      <c r="S772" s="35" t="str">
        <f>IF(T772="","",VLOOKUP(T772,引用表合并!$A:$B,2,FALSE))</f>
        <v>符文手环碎片</v>
      </c>
      <c r="T772" s="76">
        <v>93236</v>
      </c>
      <c r="U772" s="35">
        <v>1</v>
      </c>
      <c r="V772" s="35">
        <f t="shared" si="117"/>
        <v>2450</v>
      </c>
      <c r="W772" s="8" t="str">
        <f>IF(X772="","",VLOOKUP(X772,引用表合并!$A:$B,2,FALSE))</f>
        <v>稀有装备升级石</v>
      </c>
      <c r="X772" s="8">
        <v>85300</v>
      </c>
      <c r="Y772" s="10">
        <v>1</v>
      </c>
      <c r="Z772" s="10">
        <f t="shared" si="106"/>
        <v>3300</v>
      </c>
      <c r="AA772" s="8" t="str">
        <f>IF(AB772="","",VLOOKUP(AB772,引用表合并!$A:$B,2,FALSE))</f>
        <v>高级装备升级石</v>
      </c>
      <c r="AB772" s="8">
        <v>85200</v>
      </c>
      <c r="AC772" s="8">
        <v>1</v>
      </c>
      <c r="AD772" s="10">
        <f t="shared" si="107"/>
        <v>3200</v>
      </c>
      <c r="AE772" s="8" t="str">
        <f>IF(AF772="","",VLOOKUP(AF772,引用表合并!$A:$B,2,FALSE))</f>
        <v/>
      </c>
      <c r="AF772" s="8"/>
      <c r="AI772" s="8"/>
      <c r="AJ772" s="8"/>
      <c r="AK772" s="8"/>
      <c r="AM772" s="8" t="str">
        <f>IF(AN772="","",VLOOKUP(AN772,引用表合并!$A:$B,2,FALSE))</f>
        <v/>
      </c>
      <c r="AN772" s="8"/>
      <c r="AO772" s="8"/>
      <c r="AQ772" s="8" t="str">
        <f>IF(AR772="","",VLOOKUP(AR772,引用表合并!$A:$B,2,FALSE))</f>
        <v/>
      </c>
      <c r="AR772" s="8"/>
      <c r="AS772" s="8"/>
      <c r="AU772" s="8" t="str">
        <f>IF(AV772="","",VLOOKUP(AV772,引用表合并!$A:$B,2,FALSE))</f>
        <v/>
      </c>
      <c r="AV772" s="8"/>
      <c r="AW772" s="8"/>
      <c r="AY772" s="8" t="str">
        <f>IF(AZ772="","",VLOOKUP(AZ772,引用表合并!$A:$B,2,FALSE))</f>
        <v/>
      </c>
      <c r="AZ772" s="8"/>
      <c r="BA772" s="8"/>
      <c r="BC772" s="8" t="str">
        <f>IF(BD772="","",VLOOKUP(BD772,引用表合并!$A:$B,2,FALSE))</f>
        <v/>
      </c>
      <c r="BD772" s="8"/>
      <c r="BF772" s="10"/>
      <c r="BG772" s="8" t="str">
        <f>IF(BH772="","",VLOOKUP(BH772,引用表合并!$A:$B,2,FALSE))</f>
        <v/>
      </c>
      <c r="BH772" s="8"/>
      <c r="BJ772" s="10"/>
      <c r="BK772" s="8" t="str">
        <f>IF(BL772="","",VLOOKUP(BL772,引用表合并!$A:$B,2,FALSE))</f>
        <v/>
      </c>
      <c r="BL772" s="8"/>
      <c r="BN772" s="10"/>
      <c r="FK772" s="8">
        <v>9</v>
      </c>
      <c r="FL772" s="8">
        <v>0</v>
      </c>
    </row>
    <row r="773" spans="1:168" x14ac:dyDescent="0.15">
      <c r="A773" s="8">
        <v>701009</v>
      </c>
      <c r="B773" s="8" t="s">
        <v>263</v>
      </c>
      <c r="C773" s="8">
        <v>0</v>
      </c>
      <c r="D773" s="8">
        <f t="shared" si="109"/>
        <v>6</v>
      </c>
      <c r="E773" s="16">
        <f t="shared" si="110"/>
        <v>6</v>
      </c>
      <c r="F773" s="16">
        <f t="shared" si="113"/>
        <v>6</v>
      </c>
      <c r="G773" s="8" t="str">
        <f>IF(H773="","",VLOOKUP(H773,引用表合并!$A:$B,2,FALSE))</f>
        <v>红石耳钉碎片</v>
      </c>
      <c r="H773" s="76">
        <v>93125</v>
      </c>
      <c r="I773" s="36">
        <v>1</v>
      </c>
      <c r="J773" s="36">
        <f t="shared" si="114"/>
        <v>3150</v>
      </c>
      <c r="K773" s="36" t="str">
        <f>IF(L773="","",VLOOKUP(L773,引用表合并!$A:$B,2,FALSE))</f>
        <v>法拉捷碎片</v>
      </c>
      <c r="L773" s="76">
        <v>93280</v>
      </c>
      <c r="M773" s="36">
        <v>1</v>
      </c>
      <c r="N773" s="36">
        <f t="shared" si="115"/>
        <v>3150</v>
      </c>
      <c r="O773" s="35" t="str">
        <f>IF(P773="","",VLOOKUP(P773,引用表合并!$A:$B,2,FALSE))</f>
        <v>符文手环碎片</v>
      </c>
      <c r="P773" s="76">
        <v>93236</v>
      </c>
      <c r="Q773" s="35">
        <v>1</v>
      </c>
      <c r="R773" s="35">
        <f t="shared" si="116"/>
        <v>3150</v>
      </c>
      <c r="S773" s="35" t="str">
        <f>IF(T773="","",VLOOKUP(T773,引用表合并!$A:$B,2,FALSE))</f>
        <v>月立碎片</v>
      </c>
      <c r="T773" s="76">
        <v>93013</v>
      </c>
      <c r="U773" s="35">
        <v>1</v>
      </c>
      <c r="V773" s="35">
        <f t="shared" si="117"/>
        <v>3150</v>
      </c>
      <c r="W773" s="8" t="str">
        <f>IF(X773="","",VLOOKUP(X773,引用表合并!$A:$B,2,FALSE))</f>
        <v>稀有装备升级石</v>
      </c>
      <c r="X773" s="8">
        <v>85300</v>
      </c>
      <c r="Y773" s="10">
        <v>1</v>
      </c>
      <c r="Z773" s="10">
        <f t="shared" si="106"/>
        <v>10000</v>
      </c>
      <c r="AA773" s="8" t="str">
        <f>IF(AB773="","",VLOOKUP(AB773,引用表合并!$A:$B,2,FALSE))</f>
        <v>高级装备升级石</v>
      </c>
      <c r="AB773" s="8">
        <v>85200</v>
      </c>
      <c r="AC773" s="8">
        <v>1</v>
      </c>
      <c r="AD773" s="10">
        <f t="shared" si="107"/>
        <v>2000</v>
      </c>
      <c r="AE773" s="8" t="str">
        <f>IF(AF773="","",VLOOKUP(AF773,引用表合并!$A:$B,2,FALSE))</f>
        <v/>
      </c>
      <c r="AF773" s="8"/>
      <c r="AI773" s="8"/>
      <c r="AJ773" s="8"/>
      <c r="AK773" s="8"/>
      <c r="AM773" s="8" t="str">
        <f>IF(AN773="","",VLOOKUP(AN773,引用表合并!$A:$B,2,FALSE))</f>
        <v/>
      </c>
      <c r="AN773" s="8"/>
      <c r="AO773" s="8"/>
      <c r="AQ773" s="8" t="str">
        <f>IF(AR773="","",VLOOKUP(AR773,引用表合并!$A:$B,2,FALSE))</f>
        <v/>
      </c>
      <c r="AR773" s="8"/>
      <c r="AS773" s="8"/>
      <c r="AU773" s="8" t="str">
        <f>IF(AV773="","",VLOOKUP(AV773,引用表合并!$A:$B,2,FALSE))</f>
        <v/>
      </c>
      <c r="AV773" s="8"/>
      <c r="AW773" s="8"/>
      <c r="AY773" s="8" t="str">
        <f>IF(AZ773="","",VLOOKUP(AZ773,引用表合并!$A:$B,2,FALSE))</f>
        <v/>
      </c>
      <c r="AZ773" s="8"/>
      <c r="BA773" s="8"/>
      <c r="BC773" s="8" t="str">
        <f>IF(BD773="","",VLOOKUP(BD773,引用表合并!$A:$B,2,FALSE))</f>
        <v/>
      </c>
      <c r="BD773" s="8"/>
      <c r="BF773" s="10"/>
      <c r="BG773" s="8" t="str">
        <f>IF(BH773="","",VLOOKUP(BH773,引用表合并!$A:$B,2,FALSE))</f>
        <v/>
      </c>
      <c r="BH773" s="8"/>
      <c r="BJ773" s="10"/>
      <c r="BK773" s="8" t="str">
        <f>IF(BL773="","",VLOOKUP(BL773,引用表合并!$A:$B,2,FALSE))</f>
        <v/>
      </c>
      <c r="BL773" s="8"/>
      <c r="BN773" s="10"/>
      <c r="FK773" s="8">
        <v>9</v>
      </c>
      <c r="FL773" s="8">
        <v>14</v>
      </c>
    </row>
    <row r="774" spans="1:168" x14ac:dyDescent="0.15">
      <c r="A774" s="8">
        <v>701010</v>
      </c>
      <c r="B774" s="8" t="s">
        <v>264</v>
      </c>
      <c r="C774" s="8">
        <v>0</v>
      </c>
      <c r="D774" s="8">
        <f t="shared" si="109"/>
        <v>6</v>
      </c>
      <c r="E774" s="16">
        <f t="shared" si="110"/>
        <v>6</v>
      </c>
      <c r="F774" s="16">
        <f t="shared" si="113"/>
        <v>6</v>
      </c>
      <c r="G774" s="8" t="str">
        <f>IF(H774="","",VLOOKUP(H774,引用表合并!$A:$B,2,FALSE))</f>
        <v>毒蝎耳钉碎片</v>
      </c>
      <c r="H774" s="76">
        <v>93134</v>
      </c>
      <c r="I774" s="36">
        <v>1</v>
      </c>
      <c r="J774" s="36">
        <f t="shared" si="114"/>
        <v>2850</v>
      </c>
      <c r="K774" s="36" t="str">
        <f>IF(L774="","",VLOOKUP(L774,引用表合并!$A:$B,2,FALSE))</f>
        <v>大堆钞票碎片</v>
      </c>
      <c r="L774" s="76">
        <v>93285</v>
      </c>
      <c r="M774" s="36">
        <v>1</v>
      </c>
      <c r="N774" s="36">
        <f t="shared" si="115"/>
        <v>2850</v>
      </c>
      <c r="O774" s="36" t="str">
        <f>IF(P774="","",VLOOKUP(P774,引用表合并!$A:$B,2,FALSE))</f>
        <v>月立碎片</v>
      </c>
      <c r="P774" s="76">
        <v>93013</v>
      </c>
      <c r="Q774" s="36">
        <v>1</v>
      </c>
      <c r="R774" s="36">
        <f t="shared" si="116"/>
        <v>2850</v>
      </c>
      <c r="S774" s="36" t="str">
        <f>IF(T774="","",VLOOKUP(T774,引用表合并!$A:$B,2,FALSE))</f>
        <v>猫妖项链碎片</v>
      </c>
      <c r="T774" s="76">
        <v>93253</v>
      </c>
      <c r="U774" s="36">
        <v>1</v>
      </c>
      <c r="V774" s="36">
        <f t="shared" si="117"/>
        <v>2850</v>
      </c>
      <c r="W774" s="8" t="str">
        <f>IF(X774="","",VLOOKUP(X774,引用表合并!$A:$B,2,FALSE))</f>
        <v>稀有装备升级石</v>
      </c>
      <c r="X774" s="8">
        <v>85300</v>
      </c>
      <c r="Y774" s="10">
        <v>1</v>
      </c>
      <c r="Z774" s="10">
        <f t="shared" ref="Z774:Z794" si="119">MIN(Z759+100,10000)</f>
        <v>3500</v>
      </c>
      <c r="AA774" s="8" t="str">
        <f>IF(AB774="","",VLOOKUP(AB774,引用表合并!$A:$B,2,FALSE))</f>
        <v>高级装备升级石</v>
      </c>
      <c r="AB774" s="8">
        <v>85200</v>
      </c>
      <c r="AC774" s="8">
        <v>1</v>
      </c>
      <c r="AD774" s="10">
        <f t="shared" si="107"/>
        <v>3400</v>
      </c>
      <c r="AE774" s="8" t="str">
        <f>IF(AF774="","",VLOOKUP(AF774,引用表合并!$A:$B,2,FALSE))</f>
        <v/>
      </c>
      <c r="AF774" s="8"/>
      <c r="AI774" s="8"/>
      <c r="AJ774" s="8"/>
      <c r="AK774" s="8"/>
      <c r="AM774" s="8" t="str">
        <f>IF(AN774="","",VLOOKUP(AN774,引用表合并!$A:$B,2,FALSE))</f>
        <v/>
      </c>
      <c r="AN774" s="8"/>
      <c r="AO774" s="8"/>
      <c r="AQ774" s="8" t="str">
        <f>IF(AR774="","",VLOOKUP(AR774,引用表合并!$A:$B,2,FALSE))</f>
        <v/>
      </c>
      <c r="AR774" s="8"/>
      <c r="AS774" s="8"/>
      <c r="AU774" s="8" t="str">
        <f>IF(AV774="","",VLOOKUP(AV774,引用表合并!$A:$B,2,FALSE))</f>
        <v/>
      </c>
      <c r="AV774" s="8"/>
      <c r="AW774" s="8"/>
      <c r="AY774" s="8" t="str">
        <f>IF(AZ774="","",VLOOKUP(AZ774,引用表合并!$A:$B,2,FALSE))</f>
        <v/>
      </c>
      <c r="AZ774" s="8"/>
      <c r="BA774" s="8"/>
      <c r="BC774" s="8" t="str">
        <f>IF(BD774="","",VLOOKUP(BD774,引用表合并!$A:$B,2,FALSE))</f>
        <v/>
      </c>
      <c r="BD774" s="8"/>
      <c r="BF774" s="10"/>
      <c r="BG774" s="8" t="str">
        <f>IF(BH774="","",VLOOKUP(BH774,引用表合并!$A:$B,2,FALSE))</f>
        <v/>
      </c>
      <c r="BH774" s="8"/>
      <c r="BJ774" s="10"/>
      <c r="BK774" s="8" t="str">
        <f>IF(BL774="","",VLOOKUP(BL774,引用表合并!$A:$B,2,FALSE))</f>
        <v/>
      </c>
      <c r="BL774" s="8"/>
      <c r="BN774" s="10"/>
      <c r="FK774" s="8">
        <v>9</v>
      </c>
      <c r="FL774" s="8">
        <v>8</v>
      </c>
    </row>
    <row r="775" spans="1:168" x14ac:dyDescent="0.15">
      <c r="A775" s="8">
        <v>701011</v>
      </c>
      <c r="B775" s="8" t="s">
        <v>265</v>
      </c>
      <c r="C775" s="8">
        <v>0</v>
      </c>
      <c r="D775" s="8">
        <f t="shared" si="109"/>
        <v>6</v>
      </c>
      <c r="E775" s="16">
        <f t="shared" si="110"/>
        <v>6</v>
      </c>
      <c r="F775" s="16">
        <f t="shared" si="113"/>
        <v>6</v>
      </c>
      <c r="G775" s="8" t="str">
        <f>IF(H775="","",VLOOKUP(H775,引用表合并!$A:$B,2,FALSE))</f>
        <v>赤金戒指碎片</v>
      </c>
      <c r="H775" s="76">
        <v>93223</v>
      </c>
      <c r="I775" s="36">
        <v>1</v>
      </c>
      <c r="J775" s="36">
        <f t="shared" si="114"/>
        <v>2850</v>
      </c>
      <c r="K775" s="8" t="str">
        <f>IF(L775="","",VLOOKUP(L775,引用表合并!$A:$B,2,FALSE))</f>
        <v>小堆金块碎片</v>
      </c>
      <c r="L775" s="76">
        <v>93289</v>
      </c>
      <c r="M775" s="36">
        <v>1</v>
      </c>
      <c r="N775" s="36">
        <f t="shared" si="115"/>
        <v>2850</v>
      </c>
      <c r="O775" s="36" t="str">
        <f>IF(P775="","",VLOOKUP(P775,引用表合并!$A:$B,2,FALSE))</f>
        <v>猫妖项链碎片</v>
      </c>
      <c r="P775" s="76">
        <v>93253</v>
      </c>
      <c r="Q775" s="36">
        <v>1</v>
      </c>
      <c r="R775" s="36">
        <f t="shared" si="116"/>
        <v>2850</v>
      </c>
      <c r="S775" s="36" t="str">
        <f>IF(T775="","",VLOOKUP(T775,引用表合并!$A:$B,2,FALSE))</f>
        <v>苍蓝项链碎片</v>
      </c>
      <c r="T775" s="76">
        <v>93254</v>
      </c>
      <c r="U775" s="36">
        <v>1</v>
      </c>
      <c r="V775" s="36">
        <f t="shared" si="117"/>
        <v>2850</v>
      </c>
      <c r="W775" s="8" t="str">
        <f>IF(X775="","",VLOOKUP(X775,引用表合并!$A:$B,2,FALSE))</f>
        <v>史诗装备升级石</v>
      </c>
      <c r="X775" s="8">
        <v>85400</v>
      </c>
      <c r="Y775" s="8">
        <v>1</v>
      </c>
      <c r="Z775" s="10">
        <f t="shared" si="119"/>
        <v>3700</v>
      </c>
      <c r="AA775" s="8" t="str">
        <f>IF(AB775="","",VLOOKUP(AB775,引用表合并!$A:$B,2,FALSE))</f>
        <v>高级装备升级石</v>
      </c>
      <c r="AB775" s="8">
        <v>85200</v>
      </c>
      <c r="AC775" s="8">
        <v>1</v>
      </c>
      <c r="AD775" s="10">
        <f t="shared" si="107"/>
        <v>3600</v>
      </c>
      <c r="AE775" s="8" t="str">
        <f>IF(AF775="","",VLOOKUP(AF775,引用表合并!$A:$B,2,FALSE))</f>
        <v/>
      </c>
      <c r="AF775" s="8"/>
      <c r="AI775" s="8" t="str">
        <f>IF(AJ775="","",VLOOKUP(AJ775,引用表合并!$A:$B,2,FALSE))</f>
        <v/>
      </c>
      <c r="AJ775" s="8"/>
      <c r="AK775" s="8"/>
      <c r="AM775" s="8" t="str">
        <f>IF(AN775="","",VLOOKUP(AN775,引用表合并!$A:$B,2,FALSE))</f>
        <v/>
      </c>
      <c r="AN775" s="8"/>
      <c r="AO775" s="8"/>
      <c r="AQ775" s="8" t="str">
        <f>IF(AR775="","",VLOOKUP(AR775,引用表合并!$A:$B,2,FALSE))</f>
        <v/>
      </c>
      <c r="AR775" s="8"/>
      <c r="AS775" s="8"/>
      <c r="AU775" s="8" t="str">
        <f>IF(AV775="","",VLOOKUP(AV775,引用表合并!$A:$B,2,FALSE))</f>
        <v/>
      </c>
      <c r="AV775" s="8"/>
      <c r="AW775" s="8"/>
      <c r="AY775" s="8" t="str">
        <f>IF(AZ775="","",VLOOKUP(AZ775,引用表合并!$A:$B,2,FALSE))</f>
        <v/>
      </c>
      <c r="AZ775" s="8"/>
      <c r="BA775" s="8"/>
      <c r="BC775" s="8" t="str">
        <f>IF(BD775="","",VLOOKUP(BD775,引用表合并!$A:$B,2,FALSE))</f>
        <v/>
      </c>
      <c r="BD775" s="8"/>
      <c r="BF775" s="10"/>
      <c r="BG775" s="8" t="str">
        <f>IF(BH775="","",VLOOKUP(BH775,引用表合并!$A:$B,2,FALSE))</f>
        <v/>
      </c>
      <c r="BH775" s="8"/>
      <c r="BJ775" s="10"/>
      <c r="BK775" s="8" t="str">
        <f>IF(BL775="","",VLOOKUP(BL775,引用表合并!$A:$B,2,FALSE))</f>
        <v/>
      </c>
      <c r="BL775" s="8"/>
      <c r="BN775" s="10"/>
      <c r="FK775" s="8">
        <v>9</v>
      </c>
      <c r="FL775" s="8">
        <v>8</v>
      </c>
    </row>
    <row r="776" spans="1:168" x14ac:dyDescent="0.15">
      <c r="A776" s="8">
        <v>701012</v>
      </c>
      <c r="B776" s="8" t="s">
        <v>266</v>
      </c>
      <c r="C776" s="8">
        <v>0</v>
      </c>
      <c r="D776" s="8">
        <f t="shared" si="109"/>
        <v>6</v>
      </c>
      <c r="E776" s="16">
        <f t="shared" si="110"/>
        <v>6</v>
      </c>
      <c r="F776" s="16">
        <f t="shared" si="113"/>
        <v>6</v>
      </c>
      <c r="G776" s="8" t="str">
        <f>IF(H776="","",VLOOKUP(H776,引用表合并!$A:$B,2,FALSE))</f>
        <v>王者手环碎片</v>
      </c>
      <c r="H776" s="76">
        <v>93227</v>
      </c>
      <c r="I776" s="36">
        <v>1</v>
      </c>
      <c r="J776" s="36">
        <f t="shared" si="114"/>
        <v>3250</v>
      </c>
      <c r="K776" s="8" t="str">
        <f>IF(L776="","",VLOOKUP(L776,引用表合并!$A:$B,2,FALSE))</f>
        <v>红石耳钉碎片</v>
      </c>
      <c r="L776" s="76">
        <v>93125</v>
      </c>
      <c r="M776" s="36">
        <v>1</v>
      </c>
      <c r="N776" s="36">
        <f t="shared" si="115"/>
        <v>3250</v>
      </c>
      <c r="O776" s="36" t="str">
        <f>IF(P776="","",VLOOKUP(P776,引用表合并!$A:$B,2,FALSE))</f>
        <v>苍蓝项链碎片</v>
      </c>
      <c r="P776" s="76">
        <v>93254</v>
      </c>
      <c r="Q776" s="36">
        <v>1</v>
      </c>
      <c r="R776" s="36">
        <f t="shared" si="116"/>
        <v>3250</v>
      </c>
      <c r="S776" s="36" t="str">
        <f>IF(T776="","",VLOOKUP(T776,引用表合并!$A:$B,2,FALSE))</f>
        <v>汉密手表碎片</v>
      </c>
      <c r="T776" s="76">
        <v>93274</v>
      </c>
      <c r="U776" s="36">
        <v>1</v>
      </c>
      <c r="V776" s="36">
        <f t="shared" si="117"/>
        <v>3250</v>
      </c>
      <c r="W776" s="8" t="str">
        <f>IF(X776="","",VLOOKUP(X776,引用表合并!$A:$B,2,FALSE))</f>
        <v>史诗装备升级石</v>
      </c>
      <c r="X776" s="8">
        <v>85400</v>
      </c>
      <c r="Y776" s="8">
        <v>1</v>
      </c>
      <c r="Z776" s="10">
        <f t="shared" si="119"/>
        <v>4900</v>
      </c>
      <c r="AA776" s="8" t="str">
        <f>IF(AB776="","",VLOOKUP(AB776,引用表合并!$A:$B,2,FALSE))</f>
        <v>稀有装备升级石</v>
      </c>
      <c r="AB776" s="8">
        <v>85300</v>
      </c>
      <c r="AC776" s="10">
        <v>1</v>
      </c>
      <c r="AD776" s="10">
        <f t="shared" si="107"/>
        <v>10000</v>
      </c>
      <c r="AE776" s="8" t="str">
        <f>IF(AF776="","",VLOOKUP(AF776,引用表合并!$A:$B,2,FALSE))</f>
        <v/>
      </c>
      <c r="AF776" s="8"/>
      <c r="AG776" s="8"/>
      <c r="AI776" s="8" t="str">
        <f>IF(AJ776="","",VLOOKUP(AJ776,引用表合并!$A:$B,2,FALSE))</f>
        <v/>
      </c>
      <c r="AJ776" s="8"/>
      <c r="AK776" s="8"/>
      <c r="AM776" s="8" t="str">
        <f>IF(AN776="","",VLOOKUP(AN776,引用表合并!$A:$B,2,FALSE))</f>
        <v/>
      </c>
      <c r="AN776" s="8"/>
      <c r="AO776" s="8"/>
      <c r="AQ776" s="8" t="str">
        <f>IF(AR776="","",VLOOKUP(AR776,引用表合并!$A:$B,2,FALSE))</f>
        <v/>
      </c>
      <c r="AR776" s="8"/>
      <c r="AS776" s="8"/>
      <c r="AU776" s="8" t="str">
        <f>IF(AV776="","",VLOOKUP(AV776,引用表合并!$A:$B,2,FALSE))</f>
        <v/>
      </c>
      <c r="AV776" s="8"/>
      <c r="AW776" s="8"/>
      <c r="AY776" s="8" t="str">
        <f>IF(AZ776="","",VLOOKUP(AZ776,引用表合并!$A:$B,2,FALSE))</f>
        <v/>
      </c>
      <c r="AZ776" s="8"/>
      <c r="BA776" s="8"/>
      <c r="BC776" s="8" t="str">
        <f>IF(BD776="","",VLOOKUP(BD776,引用表合并!$A:$B,2,FALSE))</f>
        <v/>
      </c>
      <c r="BD776" s="8"/>
      <c r="BF776" s="10"/>
      <c r="BG776" s="8" t="str">
        <f>IF(BH776="","",VLOOKUP(BH776,引用表合并!$A:$B,2,FALSE))</f>
        <v/>
      </c>
      <c r="BH776" s="8"/>
      <c r="BJ776" s="10"/>
      <c r="BK776" s="8" t="str">
        <f>IF(BL776="","",VLOOKUP(BL776,引用表合并!$A:$B,2,FALSE))</f>
        <v/>
      </c>
      <c r="BL776" s="8"/>
      <c r="BN776" s="10"/>
      <c r="FK776" s="8">
        <v>9</v>
      </c>
      <c r="FL776" s="8">
        <v>16</v>
      </c>
    </row>
    <row r="777" spans="1:168" x14ac:dyDescent="0.15">
      <c r="A777" s="8">
        <v>701013</v>
      </c>
      <c r="B777" s="8" t="s">
        <v>267</v>
      </c>
      <c r="C777" s="8">
        <v>0</v>
      </c>
      <c r="D777" s="8">
        <f t="shared" si="109"/>
        <v>6</v>
      </c>
      <c r="E777" s="16">
        <f t="shared" si="110"/>
        <v>6</v>
      </c>
      <c r="F777" s="16">
        <f t="shared" si="113"/>
        <v>6</v>
      </c>
      <c r="G777" s="8" t="str">
        <f>IF(H777="","",VLOOKUP(H777,引用表合并!$A:$B,2,FALSE))</f>
        <v>符文手环碎片</v>
      </c>
      <c r="H777" s="76">
        <v>93236</v>
      </c>
      <c r="I777" s="36">
        <v>1</v>
      </c>
      <c r="J777" s="36">
        <f t="shared" si="114"/>
        <v>2950</v>
      </c>
      <c r="K777" s="8" t="str">
        <f>IF(L777="","",VLOOKUP(L777,引用表合并!$A:$B,2,FALSE))</f>
        <v>毒蝎耳钉碎片</v>
      </c>
      <c r="L777" s="76">
        <v>93134</v>
      </c>
      <c r="M777" s="36">
        <v>1</v>
      </c>
      <c r="N777" s="36">
        <f t="shared" si="115"/>
        <v>2950</v>
      </c>
      <c r="O777" s="36" t="str">
        <f>IF(P777="","",VLOOKUP(P777,引用表合并!$A:$B,2,FALSE))</f>
        <v>汉密手表碎片</v>
      </c>
      <c r="P777" s="76">
        <v>93274</v>
      </c>
      <c r="Q777" s="36">
        <v>1</v>
      </c>
      <c r="R777" s="36">
        <f t="shared" si="116"/>
        <v>2950</v>
      </c>
      <c r="S777" s="36" t="str">
        <f>IF(T777="","",VLOOKUP(T777,引用表合并!$A:$B,2,FALSE))</f>
        <v>法拉捷碎片</v>
      </c>
      <c r="T777" s="76">
        <v>93280</v>
      </c>
      <c r="U777" s="36">
        <v>1</v>
      </c>
      <c r="V777" s="36">
        <f t="shared" si="117"/>
        <v>2950</v>
      </c>
      <c r="W777" s="8" t="str">
        <f>IF(X777="","",VLOOKUP(X777,引用表合并!$A:$B,2,FALSE))</f>
        <v>史诗装备升级石</v>
      </c>
      <c r="X777" s="8">
        <v>85400</v>
      </c>
      <c r="Y777" s="8">
        <v>1</v>
      </c>
      <c r="Z777" s="10">
        <f t="shared" si="119"/>
        <v>3400</v>
      </c>
      <c r="AA777" s="8" t="str">
        <f>IF(AB777="","",VLOOKUP(AB777,引用表合并!$A:$B,2,FALSE))</f>
        <v>高级装备升级石</v>
      </c>
      <c r="AB777" s="8">
        <v>85200</v>
      </c>
      <c r="AC777" s="8">
        <v>1</v>
      </c>
      <c r="AD777" s="10">
        <f t="shared" si="107"/>
        <v>4000</v>
      </c>
      <c r="AE777" s="8" t="str">
        <f>IF(AF777="","",VLOOKUP(AF777,引用表合并!$A:$B,2,FALSE))</f>
        <v/>
      </c>
      <c r="AF777" s="8"/>
      <c r="AI777" s="8" t="str">
        <f>IF(AJ777="","",VLOOKUP(AJ777,引用表合并!$A:$B,2,FALSE))</f>
        <v/>
      </c>
      <c r="AJ777" s="8"/>
      <c r="AK777" s="8"/>
      <c r="AM777" s="8" t="str">
        <f>IF(AN777="","",VLOOKUP(AN777,引用表合并!$A:$B,2,FALSE))</f>
        <v/>
      </c>
      <c r="AN777" s="8"/>
      <c r="AO777" s="8"/>
      <c r="AQ777" s="8" t="str">
        <f>IF(AR777="","",VLOOKUP(AR777,引用表合并!$A:$B,2,FALSE))</f>
        <v/>
      </c>
      <c r="AR777" s="8"/>
      <c r="AS777" s="8"/>
      <c r="AU777" s="8" t="str">
        <f>IF(AV777="","",VLOOKUP(AV777,引用表合并!$A:$B,2,FALSE))</f>
        <v/>
      </c>
      <c r="AV777" s="8"/>
      <c r="AW777" s="8"/>
      <c r="AY777" s="8" t="str">
        <f>IF(AZ777="","",VLOOKUP(AZ777,引用表合并!$A:$B,2,FALSE))</f>
        <v/>
      </c>
      <c r="AZ777" s="8"/>
      <c r="BA777" s="8"/>
      <c r="BC777" s="8" t="str">
        <f>IF(BD777="","",VLOOKUP(BD777,引用表合并!$A:$B,2,FALSE))</f>
        <v/>
      </c>
      <c r="BD777" s="8"/>
      <c r="BF777" s="10"/>
      <c r="BG777" s="8" t="str">
        <f>IF(BH777="","",VLOOKUP(BH777,引用表合并!$A:$B,2,FALSE))</f>
        <v/>
      </c>
      <c r="BH777" s="8"/>
      <c r="BJ777" s="10"/>
      <c r="BK777" s="8" t="str">
        <f>IF(BL777="","",VLOOKUP(BL777,引用表合并!$A:$B,2,FALSE))</f>
        <v/>
      </c>
      <c r="BL777" s="8"/>
      <c r="BN777" s="10"/>
      <c r="FK777" s="8">
        <v>9</v>
      </c>
      <c r="FL777" s="8">
        <v>10</v>
      </c>
    </row>
    <row r="778" spans="1:168" x14ac:dyDescent="0.15">
      <c r="A778" s="8">
        <v>701014</v>
      </c>
      <c r="B778" s="8" t="s">
        <v>268</v>
      </c>
      <c r="C778" s="8">
        <v>0</v>
      </c>
      <c r="D778" s="8">
        <f t="shared" si="109"/>
        <v>6</v>
      </c>
      <c r="E778" s="16">
        <f t="shared" si="110"/>
        <v>6</v>
      </c>
      <c r="F778" s="16">
        <f t="shared" si="113"/>
        <v>6</v>
      </c>
      <c r="G778" s="8" t="str">
        <f>IF(H778="","",VLOOKUP(H778,引用表合并!$A:$B,2,FALSE))</f>
        <v>月立碎片</v>
      </c>
      <c r="H778" s="76">
        <v>93013</v>
      </c>
      <c r="I778" s="36">
        <v>1</v>
      </c>
      <c r="J778" s="36">
        <f t="shared" si="114"/>
        <v>2950</v>
      </c>
      <c r="K778" s="8" t="str">
        <f>IF(L778="","",VLOOKUP(L778,引用表合并!$A:$B,2,FALSE))</f>
        <v>赤金戒指碎片</v>
      </c>
      <c r="L778" s="76">
        <v>93223</v>
      </c>
      <c r="M778" s="36">
        <v>1</v>
      </c>
      <c r="N778" s="36">
        <f t="shared" si="115"/>
        <v>2950</v>
      </c>
      <c r="O778" s="36" t="str">
        <f>IF(P778="","",VLOOKUP(P778,引用表合并!$A:$B,2,FALSE))</f>
        <v>法拉捷碎片</v>
      </c>
      <c r="P778" s="76">
        <v>93280</v>
      </c>
      <c r="Q778" s="36">
        <v>1</v>
      </c>
      <c r="R778" s="36">
        <f t="shared" si="116"/>
        <v>2950</v>
      </c>
      <c r="S778" s="36" t="str">
        <f>IF(T778="","",VLOOKUP(T778,引用表合并!$A:$B,2,FALSE))</f>
        <v>大堆钞票碎片</v>
      </c>
      <c r="T778" s="76">
        <v>93285</v>
      </c>
      <c r="U778" s="36">
        <v>1</v>
      </c>
      <c r="V778" s="36">
        <f t="shared" si="117"/>
        <v>2950</v>
      </c>
      <c r="W778" s="8" t="str">
        <f>IF(X778="","",VLOOKUP(X778,引用表合并!$A:$B,2,FALSE))</f>
        <v>史诗装备升级石</v>
      </c>
      <c r="X778" s="8">
        <v>85400</v>
      </c>
      <c r="Y778" s="8">
        <v>1</v>
      </c>
      <c r="Z778" s="10">
        <f t="shared" si="119"/>
        <v>3600</v>
      </c>
      <c r="AA778" s="8" t="str">
        <f>IF(AB778="","",VLOOKUP(AB778,引用表合并!$A:$B,2,FALSE))</f>
        <v>高级装备升级石</v>
      </c>
      <c r="AB778" s="8">
        <v>85200</v>
      </c>
      <c r="AC778" s="8">
        <v>1</v>
      </c>
      <c r="AD778" s="10">
        <f t="shared" si="107"/>
        <v>4200</v>
      </c>
      <c r="AE778" s="8" t="str">
        <f>IF(AF778="","",VLOOKUP(AF778,引用表合并!$A:$B,2,FALSE))</f>
        <v/>
      </c>
      <c r="AF778" s="8"/>
      <c r="AI778" s="8" t="str">
        <f>IF(AJ778="","",VLOOKUP(AJ778,引用表合并!$A:$B,2,FALSE))</f>
        <v/>
      </c>
      <c r="AJ778" s="8"/>
      <c r="AK778" s="8"/>
      <c r="AM778" s="8" t="str">
        <f>IF(AN778="","",VLOOKUP(AN778,引用表合并!$A:$B,2,FALSE))</f>
        <v/>
      </c>
      <c r="AN778" s="8"/>
      <c r="AO778" s="8"/>
      <c r="AQ778" s="8" t="str">
        <f>IF(AR778="","",VLOOKUP(AR778,引用表合并!$A:$B,2,FALSE))</f>
        <v/>
      </c>
      <c r="AR778" s="8"/>
      <c r="AS778" s="8"/>
      <c r="AU778" s="8" t="str">
        <f>IF(AV778="","",VLOOKUP(AV778,引用表合并!$A:$B,2,FALSE))</f>
        <v/>
      </c>
      <c r="AV778" s="8"/>
      <c r="AW778" s="8"/>
      <c r="AY778" s="8" t="str">
        <f>IF(AZ778="","",VLOOKUP(AZ778,引用表合并!$A:$B,2,FALSE))</f>
        <v/>
      </c>
      <c r="AZ778" s="8"/>
      <c r="BA778" s="8"/>
      <c r="BC778" s="8" t="str">
        <f>IF(BD778="","",VLOOKUP(BD778,引用表合并!$A:$B,2,FALSE))</f>
        <v/>
      </c>
      <c r="BD778" s="8"/>
      <c r="BF778" s="10"/>
      <c r="BG778" s="8" t="str">
        <f>IF(BH778="","",VLOOKUP(BH778,引用表合并!$A:$B,2,FALSE))</f>
        <v/>
      </c>
      <c r="BH778" s="8"/>
      <c r="BJ778" s="10"/>
      <c r="BK778" s="8" t="str">
        <f>IF(BL778="","",VLOOKUP(BL778,引用表合并!$A:$B,2,FALSE))</f>
        <v/>
      </c>
      <c r="BL778" s="8"/>
      <c r="BN778" s="10"/>
      <c r="FK778" s="8">
        <v>9</v>
      </c>
      <c r="FL778" s="8">
        <v>10</v>
      </c>
    </row>
    <row r="779" spans="1:168" x14ac:dyDescent="0.15">
      <c r="A779" s="8">
        <v>701015</v>
      </c>
      <c r="B779" s="8" t="s">
        <v>269</v>
      </c>
      <c r="C779" s="8">
        <v>0</v>
      </c>
      <c r="D779" s="8">
        <f t="shared" si="109"/>
        <v>7</v>
      </c>
      <c r="E779" s="16">
        <f t="shared" si="110"/>
        <v>7</v>
      </c>
      <c r="F779" s="16">
        <f t="shared" si="113"/>
        <v>7</v>
      </c>
      <c r="G779" s="8" t="str">
        <f>IF(H779="","",VLOOKUP(H779,引用表合并!$A:$B,2,FALSE))</f>
        <v>猫妖项链碎片</v>
      </c>
      <c r="H779" s="76">
        <v>93253</v>
      </c>
      <c r="I779" s="36">
        <v>1</v>
      </c>
      <c r="J779" s="36">
        <f t="shared" si="114"/>
        <v>3450</v>
      </c>
      <c r="K779" s="8" t="str">
        <f>IF(L779="","",VLOOKUP(L779,引用表合并!$A:$B,2,FALSE))</f>
        <v>王者手环碎片</v>
      </c>
      <c r="L779" s="76">
        <v>93227</v>
      </c>
      <c r="M779" s="36">
        <v>1</v>
      </c>
      <c r="N779" s="36">
        <f t="shared" si="115"/>
        <v>3450</v>
      </c>
      <c r="O779" s="36" t="str">
        <f>IF(P779="","",VLOOKUP(P779,引用表合并!$A:$B,2,FALSE))</f>
        <v>大堆钞票碎片</v>
      </c>
      <c r="P779" s="76">
        <v>93285</v>
      </c>
      <c r="Q779" s="36">
        <v>1</v>
      </c>
      <c r="R779" s="36">
        <f t="shared" si="116"/>
        <v>3450</v>
      </c>
      <c r="S779" s="36" t="str">
        <f>IF(T779="","",VLOOKUP(T779,引用表合并!$A:$B,2,FALSE))</f>
        <v>小堆金块碎片</v>
      </c>
      <c r="T779" s="76">
        <v>93289</v>
      </c>
      <c r="U779" s="36">
        <v>1</v>
      </c>
      <c r="V779" s="36">
        <f t="shared" si="117"/>
        <v>3450</v>
      </c>
      <c r="W779" s="8" t="str">
        <f>IF(X779="","",VLOOKUP(X779,引用表合并!$A:$B,2,FALSE))</f>
        <v>史诗装备升级石</v>
      </c>
      <c r="X779" s="8">
        <v>85400</v>
      </c>
      <c r="Y779" s="8">
        <v>1</v>
      </c>
      <c r="Z779" s="10">
        <f t="shared" si="119"/>
        <v>10000</v>
      </c>
      <c r="AA779" s="8" t="str">
        <f>IF(AB779="","",VLOOKUP(AB779,引用表合并!$A:$B,2,FALSE))</f>
        <v>稀有装备升级石</v>
      </c>
      <c r="AB779" s="8">
        <v>85300</v>
      </c>
      <c r="AC779" s="10">
        <v>1</v>
      </c>
      <c r="AD779" s="10">
        <f t="shared" ref="AD779:AD794" si="120">AD764</f>
        <v>5000</v>
      </c>
      <c r="AE779" s="8" t="str">
        <f>IF(AF779="","",VLOOKUP(AF779,引用表合并!$A:$B,2,FALSE))</f>
        <v>马仔经验甘露</v>
      </c>
      <c r="AF779" s="31">
        <f t="shared" ref="AF779" si="121">IF(CO779=100,91100,IF(CO779=500,91200,91300))</f>
        <v>91300</v>
      </c>
      <c r="AG779" s="8">
        <v>1</v>
      </c>
      <c r="AH779" s="10">
        <v>10000</v>
      </c>
      <c r="AI779" s="8" t="str">
        <f>IF(AJ779="","",VLOOKUP(AJ779,引用表合并!$A:$B,2,FALSE))</f>
        <v/>
      </c>
      <c r="AM779" s="8" t="str">
        <f>IF(AN779="","",VLOOKUP(AN779,引用表合并!$A:$B,2,FALSE))</f>
        <v/>
      </c>
      <c r="AN779" s="8"/>
      <c r="AO779" s="8"/>
      <c r="AQ779" s="8" t="str">
        <f>IF(AR779="","",VLOOKUP(AR779,引用表合并!$A:$B,2,FALSE))</f>
        <v/>
      </c>
      <c r="AR779" s="8"/>
      <c r="AS779" s="8"/>
      <c r="AU779" s="8" t="str">
        <f>IF(AV779="","",VLOOKUP(AV779,引用表合并!$A:$B,2,FALSE))</f>
        <v/>
      </c>
      <c r="AV779" s="8"/>
      <c r="AW779" s="8"/>
      <c r="AY779" s="8" t="str">
        <f>IF(AZ779="","",VLOOKUP(AZ779,引用表合并!$A:$B,2,FALSE))</f>
        <v/>
      </c>
      <c r="AZ779" s="8"/>
      <c r="BA779" s="8"/>
      <c r="BC779" s="8" t="str">
        <f>IF(BD779="","",VLOOKUP(BD779,引用表合并!$A:$B,2,FALSE))</f>
        <v/>
      </c>
      <c r="BD779" s="8"/>
      <c r="BF779" s="10"/>
      <c r="BG779" s="8" t="str">
        <f>IF(BH779="","",VLOOKUP(BH779,引用表合并!$A:$B,2,FALSE))</f>
        <v/>
      </c>
      <c r="BH779" s="8"/>
      <c r="BJ779" s="10"/>
      <c r="BK779" s="8" t="str">
        <f>IF(BL779="","",VLOOKUP(BL779,引用表合并!$A:$B,2,FALSE))</f>
        <v/>
      </c>
      <c r="BL779" s="8"/>
      <c r="BN779" s="10"/>
      <c r="FK779" s="8">
        <v>9</v>
      </c>
      <c r="FL779" s="8">
        <v>20</v>
      </c>
    </row>
    <row r="780" spans="1:168" x14ac:dyDescent="0.15">
      <c r="A780" s="8">
        <v>701101</v>
      </c>
      <c r="B780" s="8" t="s">
        <v>270</v>
      </c>
      <c r="C780" s="8">
        <v>0</v>
      </c>
      <c r="D780" s="8">
        <f t="shared" si="109"/>
        <v>5</v>
      </c>
      <c r="E780" s="16">
        <f t="shared" si="110"/>
        <v>5</v>
      </c>
      <c r="F780" s="16">
        <f t="shared" si="113"/>
        <v>5</v>
      </c>
      <c r="G780" s="8" t="str">
        <f>IF(H780="","",VLOOKUP(H780,引用表合并!$A:$B,2,FALSE))</f>
        <v>苍蓝项链碎片</v>
      </c>
      <c r="H780" s="76">
        <v>93254</v>
      </c>
      <c r="I780" s="35">
        <v>1</v>
      </c>
      <c r="J780" s="35">
        <f t="shared" si="114"/>
        <v>2500</v>
      </c>
      <c r="K780" s="8" t="str">
        <f>IF(L780="","",VLOOKUP(L780,引用表合并!$A:$B,2,FALSE))</f>
        <v>符文手环碎片</v>
      </c>
      <c r="L780" s="76">
        <v>93236</v>
      </c>
      <c r="M780" s="35">
        <v>1</v>
      </c>
      <c r="N780" s="35">
        <f t="shared" si="115"/>
        <v>2500</v>
      </c>
      <c r="O780" s="34" t="str">
        <f>IF(P780="","",VLOOKUP(P780,引用表合并!$A:$B,2,FALSE))</f>
        <v>摩拉碎片</v>
      </c>
      <c r="P780" s="75">
        <v>93012</v>
      </c>
      <c r="Q780" s="35">
        <v>1</v>
      </c>
      <c r="R780" s="35">
        <f t="shared" si="116"/>
        <v>2500</v>
      </c>
      <c r="S780" s="35" t="str">
        <f>IF(T780="","",VLOOKUP(T780,引用表合并!$A:$B,2,FALSE))</f>
        <v>智能手表碎片</v>
      </c>
      <c r="T780" s="75">
        <v>93273</v>
      </c>
      <c r="U780" s="35">
        <v>1</v>
      </c>
      <c r="V780" s="35">
        <f t="shared" si="117"/>
        <v>2500</v>
      </c>
      <c r="W780" s="8" t="str">
        <f>IF(X780="","",VLOOKUP(X780,引用表合并!$A:$B,2,FALSE))</f>
        <v>高级装备升级石</v>
      </c>
      <c r="X780" s="8">
        <v>85200</v>
      </c>
      <c r="Y780" s="8">
        <v>1</v>
      </c>
      <c r="Z780" s="10">
        <f t="shared" si="119"/>
        <v>3500</v>
      </c>
      <c r="AA780" s="8" t="str">
        <f>IF(AB780="","",VLOOKUP(AB780,引用表合并!$A:$B,2,FALSE))</f>
        <v/>
      </c>
      <c r="AB780" s="8"/>
      <c r="AC780" s="8"/>
      <c r="AD780" s="10">
        <f t="shared" si="120"/>
        <v>0</v>
      </c>
      <c r="AE780" s="8" t="str">
        <f>IF(AF780="","",VLOOKUP(AF780,引用表合并!$A:$B,2,FALSE))</f>
        <v/>
      </c>
      <c r="AF780" s="8"/>
      <c r="AG780" s="8"/>
      <c r="AI780" s="8" t="str">
        <f>IF(AJ780="","",VLOOKUP(AJ780,引用表合并!$A:$B,2,FALSE))</f>
        <v/>
      </c>
      <c r="AJ780" s="8"/>
      <c r="AK780" s="8"/>
      <c r="AM780" s="8" t="str">
        <f>IF(AN780="","",VLOOKUP(AN780,引用表合并!$A:$B,2,FALSE))</f>
        <v/>
      </c>
      <c r="AN780" s="8"/>
      <c r="AO780" s="8"/>
      <c r="AQ780" s="8" t="str">
        <f>IF(AR780="","",VLOOKUP(AR780,引用表合并!$A:$B,2,FALSE))</f>
        <v/>
      </c>
      <c r="AR780" s="8"/>
      <c r="AS780" s="8"/>
      <c r="AU780" s="8" t="str">
        <f>IF(AV780="","",VLOOKUP(AV780,引用表合并!$A:$B,2,FALSE))</f>
        <v/>
      </c>
      <c r="AV780" s="8"/>
      <c r="AW780" s="8"/>
      <c r="AY780" s="8" t="str">
        <f>IF(AZ780="","",VLOOKUP(AZ780,引用表合并!$A:$B,2,FALSE))</f>
        <v/>
      </c>
      <c r="AZ780" s="8"/>
      <c r="BA780" s="8"/>
      <c r="BC780" s="8" t="str">
        <f>IF(BD780="","",VLOOKUP(BD780,引用表合并!$A:$B,2,FALSE))</f>
        <v/>
      </c>
      <c r="BD780" s="8"/>
      <c r="BF780" s="10"/>
      <c r="BG780" s="8" t="str">
        <f>IF(BH780="","",VLOOKUP(BH780,引用表合并!$A:$B,2,FALSE))</f>
        <v/>
      </c>
      <c r="BH780" s="8"/>
      <c r="BJ780" s="10"/>
      <c r="BK780" s="8" t="str">
        <f>IF(BL780="","",VLOOKUP(BL780,引用表合并!$A:$B,2,FALSE))</f>
        <v/>
      </c>
      <c r="BL780" s="8"/>
      <c r="BN780" s="10"/>
      <c r="FK780" s="8">
        <v>10</v>
      </c>
      <c r="FL780" s="8">
        <v>0</v>
      </c>
    </row>
    <row r="781" spans="1:168" x14ac:dyDescent="0.15">
      <c r="A781" s="8">
        <v>701102</v>
      </c>
      <c r="B781" s="8" t="s">
        <v>271</v>
      </c>
      <c r="C781" s="8">
        <v>0</v>
      </c>
      <c r="D781" s="8">
        <f t="shared" si="109"/>
        <v>5</v>
      </c>
      <c r="E781" s="16">
        <f t="shared" si="110"/>
        <v>5</v>
      </c>
      <c r="F781" s="16">
        <f t="shared" si="113"/>
        <v>5</v>
      </c>
      <c r="G781" s="8" t="str">
        <f>IF(H781="","",VLOOKUP(H781,引用表合并!$A:$B,2,FALSE))</f>
        <v>汉密手表碎片</v>
      </c>
      <c r="H781" s="76">
        <v>93274</v>
      </c>
      <c r="I781" s="35">
        <v>1</v>
      </c>
      <c r="J781" s="35">
        <f t="shared" si="114"/>
        <v>2500</v>
      </c>
      <c r="K781" s="8" t="str">
        <f>IF(L781="","",VLOOKUP(L781,引用表合并!$A:$B,2,FALSE))</f>
        <v>月立碎片</v>
      </c>
      <c r="L781" s="76">
        <v>93013</v>
      </c>
      <c r="M781" s="35">
        <v>1</v>
      </c>
      <c r="N781" s="35">
        <f t="shared" si="115"/>
        <v>2500</v>
      </c>
      <c r="O781" s="34" t="str">
        <f>IF(P781="","",VLOOKUP(P781,引用表合并!$A:$B,2,FALSE))</f>
        <v>青玉项链碎片</v>
      </c>
      <c r="P781" s="75">
        <v>93252</v>
      </c>
      <c r="Q781" s="35">
        <v>1</v>
      </c>
      <c r="R781" s="35">
        <f t="shared" si="116"/>
        <v>2500</v>
      </c>
      <c r="S781" s="35" t="str">
        <f>IF(T781="","",VLOOKUP(T781,引用表合并!$A:$B,2,FALSE))</f>
        <v>宾倪碎片</v>
      </c>
      <c r="T781" s="75">
        <v>93279</v>
      </c>
      <c r="U781" s="35">
        <v>1</v>
      </c>
      <c r="V781" s="35">
        <f t="shared" si="117"/>
        <v>2500</v>
      </c>
      <c r="W781" s="8" t="str">
        <f>IF(X781="","",VLOOKUP(X781,引用表合并!$A:$B,2,FALSE))</f>
        <v>高级装备升级石</v>
      </c>
      <c r="X781" s="8">
        <v>85200</v>
      </c>
      <c r="Y781" s="8">
        <v>1</v>
      </c>
      <c r="Z781" s="10">
        <f t="shared" si="119"/>
        <v>3600</v>
      </c>
      <c r="AA781" s="8" t="str">
        <f>IF(AB781="","",VLOOKUP(AB781,引用表合并!$A:$B,2,FALSE))</f>
        <v/>
      </c>
      <c r="AB781" s="8"/>
      <c r="AC781" s="8"/>
      <c r="AD781" s="10">
        <f t="shared" si="120"/>
        <v>0</v>
      </c>
      <c r="AE781" s="8" t="str">
        <f>IF(AF781="","",VLOOKUP(AF781,引用表合并!$A:$B,2,FALSE))</f>
        <v/>
      </c>
      <c r="AF781" s="8"/>
      <c r="AG781" s="8"/>
      <c r="AI781" s="8" t="str">
        <f>IF(AJ781="","",VLOOKUP(AJ781,引用表合并!$A:$B,2,FALSE))</f>
        <v/>
      </c>
      <c r="AJ781" s="8"/>
      <c r="AK781" s="8"/>
      <c r="AM781" s="8" t="str">
        <f>IF(AN781="","",VLOOKUP(AN781,引用表合并!$A:$B,2,FALSE))</f>
        <v/>
      </c>
      <c r="AN781" s="8"/>
      <c r="AO781" s="8"/>
      <c r="AQ781" s="8" t="str">
        <f>IF(AR781="","",VLOOKUP(AR781,引用表合并!$A:$B,2,FALSE))</f>
        <v/>
      </c>
      <c r="AR781" s="8"/>
      <c r="AS781" s="8"/>
      <c r="AU781" s="8" t="str">
        <f>IF(AV781="","",VLOOKUP(AV781,引用表合并!$A:$B,2,FALSE))</f>
        <v/>
      </c>
      <c r="AV781" s="8"/>
      <c r="AW781" s="8"/>
      <c r="AY781" s="8" t="str">
        <f>IF(AZ781="","",VLOOKUP(AZ781,引用表合并!$A:$B,2,FALSE))</f>
        <v/>
      </c>
      <c r="AZ781" s="8"/>
      <c r="BA781" s="8"/>
      <c r="BC781" s="8" t="str">
        <f>IF(BD781="","",VLOOKUP(BD781,引用表合并!$A:$B,2,FALSE))</f>
        <v/>
      </c>
      <c r="BD781" s="8"/>
      <c r="BF781" s="10"/>
      <c r="BG781" s="8" t="str">
        <f>IF(BH781="","",VLOOKUP(BH781,引用表合并!$A:$B,2,FALSE))</f>
        <v/>
      </c>
      <c r="BH781" s="8"/>
      <c r="BJ781" s="10"/>
      <c r="BK781" s="8" t="str">
        <f>IF(BL781="","",VLOOKUP(BL781,引用表合并!$A:$B,2,FALSE))</f>
        <v/>
      </c>
      <c r="BL781" s="8"/>
      <c r="BN781" s="10"/>
      <c r="FK781" s="8">
        <v>10</v>
      </c>
      <c r="FL781" s="8">
        <v>0</v>
      </c>
    </row>
    <row r="782" spans="1:168" x14ac:dyDescent="0.15">
      <c r="A782" s="8">
        <v>701103</v>
      </c>
      <c r="B782" s="8" t="s">
        <v>272</v>
      </c>
      <c r="C782" s="8">
        <v>0</v>
      </c>
      <c r="D782" s="8">
        <f t="shared" si="109"/>
        <v>5</v>
      </c>
      <c r="E782" s="16">
        <f t="shared" si="110"/>
        <v>5</v>
      </c>
      <c r="F782" s="16">
        <f t="shared" si="113"/>
        <v>5</v>
      </c>
      <c r="G782" s="8" t="str">
        <f>IF(H782="","",VLOOKUP(H782,引用表合并!$A:$B,2,FALSE))</f>
        <v>法拉捷碎片</v>
      </c>
      <c r="H782" s="76">
        <v>93280</v>
      </c>
      <c r="I782" s="35">
        <v>1</v>
      </c>
      <c r="J782" s="35">
        <f t="shared" si="114"/>
        <v>3000</v>
      </c>
      <c r="K782" s="8" t="str">
        <f>IF(L782="","",VLOOKUP(L782,引用表合并!$A:$B,2,FALSE))</f>
        <v>猫妖项链碎片</v>
      </c>
      <c r="L782" s="76">
        <v>93253</v>
      </c>
      <c r="M782" s="35">
        <v>1</v>
      </c>
      <c r="N782" s="35">
        <f t="shared" si="115"/>
        <v>3000</v>
      </c>
      <c r="O782" s="34" t="str">
        <f>IF(P782="","",VLOOKUP(P782,引用表合并!$A:$B,2,FALSE))</f>
        <v>水晶耳钉碎片</v>
      </c>
      <c r="P782" s="75">
        <v>93124</v>
      </c>
      <c r="Q782" s="35">
        <v>1</v>
      </c>
      <c r="R782" s="35">
        <f t="shared" si="116"/>
        <v>3000</v>
      </c>
      <c r="S782" s="35" t="str">
        <f>IF(T782="","",VLOOKUP(T782,引用表合并!$A:$B,2,FALSE))</f>
        <v>大迭钞票碎片</v>
      </c>
      <c r="T782" s="75">
        <v>93284</v>
      </c>
      <c r="U782" s="35">
        <v>1</v>
      </c>
      <c r="V782" s="35">
        <f t="shared" si="117"/>
        <v>3000</v>
      </c>
      <c r="W782" s="8" t="str">
        <f>IF(X782="","",VLOOKUP(X782,引用表合并!$A:$B,2,FALSE))</f>
        <v>高级装备升级石</v>
      </c>
      <c r="X782" s="8">
        <v>85200</v>
      </c>
      <c r="Y782" s="8">
        <v>1</v>
      </c>
      <c r="Z782" s="10">
        <f t="shared" si="119"/>
        <v>6000</v>
      </c>
      <c r="AA782" s="8" t="str">
        <f>IF(AB782="","",VLOOKUP(AB782,引用表合并!$A:$B,2,FALSE))</f>
        <v/>
      </c>
      <c r="AB782" s="8"/>
      <c r="AC782" s="8"/>
      <c r="AD782" s="10">
        <f t="shared" si="120"/>
        <v>0</v>
      </c>
      <c r="AE782" s="8" t="str">
        <f>IF(AF782="","",VLOOKUP(AF782,引用表合并!$A:$B,2,FALSE))</f>
        <v/>
      </c>
      <c r="AF782" s="8"/>
      <c r="AG782" s="8"/>
      <c r="AI782" s="8" t="str">
        <f>IF(AJ782="","",VLOOKUP(AJ782,引用表合并!$A:$B,2,FALSE))</f>
        <v/>
      </c>
      <c r="AJ782" s="8"/>
      <c r="AK782" s="8"/>
      <c r="AM782" s="8" t="str">
        <f>IF(AN782="","",VLOOKUP(AN782,引用表合并!$A:$B,2,FALSE))</f>
        <v/>
      </c>
      <c r="AN782" s="8"/>
      <c r="AO782" s="8"/>
      <c r="AQ782" s="8" t="str">
        <f>IF(AR782="","",VLOOKUP(AR782,引用表合并!$A:$B,2,FALSE))</f>
        <v/>
      </c>
      <c r="AR782" s="8"/>
      <c r="AS782" s="8"/>
      <c r="AU782" s="8" t="str">
        <f>IF(AV782="","",VLOOKUP(AV782,引用表合并!$A:$B,2,FALSE))</f>
        <v/>
      </c>
      <c r="AV782" s="8"/>
      <c r="AW782" s="8"/>
      <c r="AY782" s="8" t="str">
        <f>IF(AZ782="","",VLOOKUP(AZ782,引用表合并!$A:$B,2,FALSE))</f>
        <v/>
      </c>
      <c r="AZ782" s="8"/>
      <c r="BA782" s="8"/>
      <c r="BC782" s="8" t="str">
        <f>IF(BD782="","",VLOOKUP(BD782,引用表合并!$A:$B,2,FALSE))</f>
        <v/>
      </c>
      <c r="BD782" s="8"/>
      <c r="BF782" s="10"/>
      <c r="BG782" s="8" t="str">
        <f>IF(BH782="","",VLOOKUP(BH782,引用表合并!$A:$B,2,FALSE))</f>
        <v/>
      </c>
      <c r="BH782" s="8"/>
      <c r="BJ782" s="10"/>
      <c r="BK782" s="8" t="str">
        <f>IF(BL782="","",VLOOKUP(BL782,引用表合并!$A:$B,2,FALSE))</f>
        <v/>
      </c>
      <c r="BL782" s="8"/>
      <c r="BN782" s="10"/>
      <c r="FK782" s="8">
        <v>10</v>
      </c>
      <c r="FL782" s="8">
        <v>10</v>
      </c>
    </row>
    <row r="783" spans="1:168" x14ac:dyDescent="0.15">
      <c r="A783" s="8">
        <v>701104</v>
      </c>
      <c r="B783" s="8" t="s">
        <v>273</v>
      </c>
      <c r="C783" s="8">
        <v>0</v>
      </c>
      <c r="D783" s="8">
        <f t="shared" si="109"/>
        <v>5</v>
      </c>
      <c r="E783" s="16">
        <f t="shared" si="110"/>
        <v>5</v>
      </c>
      <c r="F783" s="16">
        <f t="shared" si="113"/>
        <v>5</v>
      </c>
      <c r="G783" s="8" t="str">
        <f>IF(H783="","",VLOOKUP(H783,引用表合并!$A:$B,2,FALSE))</f>
        <v>大堆钞票碎片</v>
      </c>
      <c r="H783" s="76">
        <v>93285</v>
      </c>
      <c r="I783" s="35">
        <v>1</v>
      </c>
      <c r="J783" s="35">
        <f t="shared" si="114"/>
        <v>2500</v>
      </c>
      <c r="K783" s="8" t="str">
        <f>IF(L783="","",VLOOKUP(L783,引用表合并!$A:$B,2,FALSE))</f>
        <v>苍蓝项链碎片</v>
      </c>
      <c r="L783" s="76">
        <v>93254</v>
      </c>
      <c r="M783" s="35">
        <v>1</v>
      </c>
      <c r="N783" s="35">
        <f t="shared" si="115"/>
        <v>2500</v>
      </c>
      <c r="O783" s="34" t="str">
        <f>IF(P783="","",VLOOKUP(P783,引用表合并!$A:$B,2,FALSE))</f>
        <v>金针手表碎片</v>
      </c>
      <c r="P783" s="75">
        <v>93272</v>
      </c>
      <c r="Q783" s="35">
        <v>1</v>
      </c>
      <c r="R783" s="35">
        <f t="shared" si="116"/>
        <v>2500</v>
      </c>
      <c r="S783" s="35" t="str">
        <f>IF(T783="","",VLOOKUP(T783,引用表合并!$A:$B,2,FALSE))</f>
        <v>大金块碎片</v>
      </c>
      <c r="T783" s="75">
        <v>93288</v>
      </c>
      <c r="U783" s="35">
        <v>1</v>
      </c>
      <c r="V783" s="35">
        <f t="shared" si="117"/>
        <v>2500</v>
      </c>
      <c r="W783" s="8" t="str">
        <f>IF(X783="","",VLOOKUP(X783,引用表合并!$A:$B,2,FALSE))</f>
        <v>高级装备升级石</v>
      </c>
      <c r="X783" s="8">
        <v>85200</v>
      </c>
      <c r="Y783" s="8">
        <v>1</v>
      </c>
      <c r="Z783" s="10">
        <f t="shared" si="119"/>
        <v>3700</v>
      </c>
      <c r="AA783" s="8" t="str">
        <f>IF(AB783="","",VLOOKUP(AB783,引用表合并!$A:$B,2,FALSE))</f>
        <v/>
      </c>
      <c r="AB783" s="8"/>
      <c r="AC783" s="8"/>
      <c r="AD783" s="10">
        <f t="shared" si="120"/>
        <v>0</v>
      </c>
      <c r="AE783" s="8" t="str">
        <f>IF(AF783="","",VLOOKUP(AF783,引用表合并!$A:$B,2,FALSE))</f>
        <v/>
      </c>
      <c r="AF783" s="8"/>
      <c r="AG783" s="8"/>
      <c r="AI783" s="8" t="str">
        <f>IF(AJ783="","",VLOOKUP(AJ783,引用表合并!$A:$B,2,FALSE))</f>
        <v/>
      </c>
      <c r="AJ783" s="8"/>
      <c r="AK783" s="8"/>
      <c r="AM783" s="8" t="str">
        <f>IF(AN783="","",VLOOKUP(AN783,引用表合并!$A:$B,2,FALSE))</f>
        <v/>
      </c>
      <c r="AN783" s="8"/>
      <c r="AO783" s="8"/>
      <c r="AQ783" s="8" t="str">
        <f>IF(AR783="","",VLOOKUP(AR783,引用表合并!$A:$B,2,FALSE))</f>
        <v/>
      </c>
      <c r="AR783" s="8"/>
      <c r="AS783" s="8"/>
      <c r="AU783" s="8" t="str">
        <f>IF(AV783="","",VLOOKUP(AV783,引用表合并!$A:$B,2,FALSE))</f>
        <v/>
      </c>
      <c r="AV783" s="8"/>
      <c r="AW783" s="8"/>
      <c r="AY783" s="8" t="str">
        <f>IF(AZ783="","",VLOOKUP(AZ783,引用表合并!$A:$B,2,FALSE))</f>
        <v/>
      </c>
      <c r="AZ783" s="8"/>
      <c r="BA783" s="8"/>
      <c r="BC783" s="8" t="str">
        <f>IF(BD783="","",VLOOKUP(BD783,引用表合并!$A:$B,2,FALSE))</f>
        <v/>
      </c>
      <c r="BD783" s="8"/>
      <c r="BF783" s="10"/>
      <c r="BG783" s="8" t="str">
        <f>IF(BH783="","",VLOOKUP(BH783,引用表合并!$A:$B,2,FALSE))</f>
        <v/>
      </c>
      <c r="BH783" s="8"/>
      <c r="BJ783" s="10"/>
      <c r="BK783" s="8" t="str">
        <f>IF(BL783="","",VLOOKUP(BL783,引用表合并!$A:$B,2,FALSE))</f>
        <v/>
      </c>
      <c r="BL783" s="8"/>
      <c r="BN783" s="10"/>
      <c r="FK783" s="8">
        <v>10</v>
      </c>
      <c r="FL783" s="8">
        <v>0</v>
      </c>
    </row>
    <row r="784" spans="1:168" x14ac:dyDescent="0.15">
      <c r="A784" s="8">
        <v>701105</v>
      </c>
      <c r="B784" s="8" t="s">
        <v>274</v>
      </c>
      <c r="C784" s="8">
        <v>0</v>
      </c>
      <c r="D784" s="8">
        <f t="shared" si="109"/>
        <v>5</v>
      </c>
      <c r="E784" s="16">
        <f t="shared" si="110"/>
        <v>5</v>
      </c>
      <c r="F784" s="16">
        <f t="shared" si="113"/>
        <v>5</v>
      </c>
      <c r="G784" s="8" t="str">
        <f>IF(H784="","",VLOOKUP(H784,引用表合并!$A:$B,2,FALSE))</f>
        <v>小堆金块碎片</v>
      </c>
      <c r="H784" s="76">
        <v>93289</v>
      </c>
      <c r="I784" s="35">
        <v>1</v>
      </c>
      <c r="J784" s="35">
        <f t="shared" si="114"/>
        <v>2500</v>
      </c>
      <c r="K784" s="8" t="str">
        <f>IF(L784="","",VLOOKUP(L784,引用表合并!$A:$B,2,FALSE))</f>
        <v>汉密手表碎片</v>
      </c>
      <c r="L784" s="76">
        <v>93274</v>
      </c>
      <c r="M784" s="35">
        <v>1</v>
      </c>
      <c r="N784" s="35">
        <f t="shared" si="115"/>
        <v>2500</v>
      </c>
      <c r="O784" s="34" t="str">
        <f>IF(P784="","",VLOOKUP(P784,引用表合并!$A:$B,2,FALSE))</f>
        <v>红石耳钉碎片</v>
      </c>
      <c r="P784" s="76">
        <v>93125</v>
      </c>
      <c r="Q784" s="35">
        <v>1</v>
      </c>
      <c r="R784" s="35">
        <f t="shared" si="116"/>
        <v>2500</v>
      </c>
      <c r="S784" s="35" t="str">
        <f>IF(T784="","",VLOOKUP(T784,引用表合并!$A:$B,2,FALSE))</f>
        <v>毒蝎耳钉碎片</v>
      </c>
      <c r="T784" s="76">
        <v>93134</v>
      </c>
      <c r="U784" s="35">
        <v>1</v>
      </c>
      <c r="V784" s="35">
        <f t="shared" si="117"/>
        <v>2500</v>
      </c>
      <c r="W784" s="8" t="str">
        <f>IF(X784="","",VLOOKUP(X784,引用表合并!$A:$B,2,FALSE))</f>
        <v>高级装备升级石</v>
      </c>
      <c r="X784" s="8">
        <v>85200</v>
      </c>
      <c r="Y784" s="8">
        <v>1</v>
      </c>
      <c r="Z784" s="10">
        <f t="shared" si="119"/>
        <v>3800</v>
      </c>
      <c r="AA784" s="8" t="str">
        <f>IF(AB784="","",VLOOKUP(AB784,引用表合并!$A:$B,2,FALSE))</f>
        <v/>
      </c>
      <c r="AB784" s="8"/>
      <c r="AC784" s="8"/>
      <c r="AD784" s="10">
        <f t="shared" si="120"/>
        <v>0</v>
      </c>
      <c r="AE784" s="8" t="str">
        <f>IF(AF784="","",VLOOKUP(AF784,引用表合并!$A:$B,2,FALSE))</f>
        <v/>
      </c>
      <c r="AF784" s="8"/>
      <c r="AG784" s="8"/>
      <c r="AI784" s="8" t="str">
        <f>IF(AJ784="","",VLOOKUP(AJ784,引用表合并!$A:$B,2,FALSE))</f>
        <v/>
      </c>
      <c r="AJ784" s="8"/>
      <c r="AK784" s="8"/>
      <c r="AM784" s="8" t="str">
        <f>IF(AN784="","",VLOOKUP(AN784,引用表合并!$A:$B,2,FALSE))</f>
        <v/>
      </c>
      <c r="AN784" s="8"/>
      <c r="AO784" s="8"/>
      <c r="AQ784" s="8" t="str">
        <f>IF(AR784="","",VLOOKUP(AR784,引用表合并!$A:$B,2,FALSE))</f>
        <v/>
      </c>
      <c r="AR784" s="8"/>
      <c r="AS784" s="8"/>
      <c r="AU784" s="8" t="str">
        <f>IF(AV784="","",VLOOKUP(AV784,引用表合并!$A:$B,2,FALSE))</f>
        <v/>
      </c>
      <c r="AV784" s="8"/>
      <c r="AW784" s="8"/>
      <c r="AY784" s="8" t="str">
        <f>IF(AZ784="","",VLOOKUP(AZ784,引用表合并!$A:$B,2,FALSE))</f>
        <v/>
      </c>
      <c r="AZ784" s="8"/>
      <c r="BA784" s="8"/>
      <c r="BC784" s="8" t="str">
        <f>IF(BD784="","",VLOOKUP(BD784,引用表合并!$A:$B,2,FALSE))</f>
        <v/>
      </c>
      <c r="BD784" s="8"/>
      <c r="BF784" s="10"/>
      <c r="BG784" s="8" t="str">
        <f>IF(BH784="","",VLOOKUP(BH784,引用表合并!$A:$B,2,FALSE))</f>
        <v/>
      </c>
      <c r="BH784" s="8"/>
      <c r="BJ784" s="10"/>
      <c r="BK784" s="8" t="str">
        <f>IF(BL784="","",VLOOKUP(BL784,引用表合并!$A:$B,2,FALSE))</f>
        <v/>
      </c>
      <c r="BL784" s="8"/>
      <c r="BN784" s="10"/>
      <c r="FK784" s="8">
        <v>10</v>
      </c>
      <c r="FL784" s="8">
        <v>0</v>
      </c>
    </row>
    <row r="785" spans="1:168" x14ac:dyDescent="0.15">
      <c r="A785" s="8">
        <v>701106</v>
      </c>
      <c r="B785" s="8" t="s">
        <v>275</v>
      </c>
      <c r="C785" s="8">
        <v>0</v>
      </c>
      <c r="D785" s="8">
        <f t="shared" ref="D785:D794" si="122">E785</f>
        <v>6</v>
      </c>
      <c r="E785" s="16">
        <f t="shared" si="110"/>
        <v>6</v>
      </c>
      <c r="F785" s="16">
        <f t="shared" si="113"/>
        <v>6</v>
      </c>
      <c r="G785" s="8" t="str">
        <f>IF(H785="","",VLOOKUP(H785,引用表合并!$A:$B,2,FALSE))</f>
        <v>红石耳钉碎片</v>
      </c>
      <c r="H785" s="76">
        <v>93125</v>
      </c>
      <c r="I785" s="36">
        <v>1</v>
      </c>
      <c r="J785" s="36">
        <f t="shared" si="114"/>
        <v>3100</v>
      </c>
      <c r="K785" s="8" t="str">
        <f>IF(L785="","",VLOOKUP(L785,引用表合并!$A:$B,2,FALSE))</f>
        <v>法拉捷碎片</v>
      </c>
      <c r="L785" s="76">
        <v>93280</v>
      </c>
      <c r="M785" s="36">
        <v>1</v>
      </c>
      <c r="N785" s="36">
        <f t="shared" si="115"/>
        <v>3100</v>
      </c>
      <c r="O785" s="35" t="str">
        <f>IF(P785="","",VLOOKUP(P785,引用表合并!$A:$B,2,FALSE))</f>
        <v>毒蝎耳钉碎片</v>
      </c>
      <c r="P785" s="76">
        <v>93134</v>
      </c>
      <c r="Q785" s="35">
        <v>1</v>
      </c>
      <c r="R785" s="35">
        <f t="shared" si="116"/>
        <v>3100</v>
      </c>
      <c r="S785" s="35" t="str">
        <f>IF(T785="","",VLOOKUP(T785,引用表合并!$A:$B,2,FALSE))</f>
        <v>赤金戒指碎片</v>
      </c>
      <c r="T785" s="76">
        <v>93223</v>
      </c>
      <c r="U785" s="35">
        <v>1</v>
      </c>
      <c r="V785" s="35">
        <f t="shared" si="117"/>
        <v>3100</v>
      </c>
      <c r="W785" s="8" t="str">
        <f>IF(X785="","",VLOOKUP(X785,引用表合并!$A:$B,2,FALSE))</f>
        <v>稀有装备升级石</v>
      </c>
      <c r="X785" s="8">
        <v>85300</v>
      </c>
      <c r="Y785" s="10">
        <v>1</v>
      </c>
      <c r="Z785" s="10">
        <f t="shared" si="119"/>
        <v>3000</v>
      </c>
      <c r="AA785" s="8" t="str">
        <f>IF(AB785="","",VLOOKUP(AB785,引用表合并!$A:$B,2,FALSE))</f>
        <v>高级装备升级石</v>
      </c>
      <c r="AB785" s="8">
        <v>85200</v>
      </c>
      <c r="AC785" s="8">
        <v>1</v>
      </c>
      <c r="AD785" s="10">
        <f t="shared" si="120"/>
        <v>10000</v>
      </c>
      <c r="AE785" s="8" t="str">
        <f>IF(AF785="","",VLOOKUP(AF785,引用表合并!$A:$B,2,FALSE))</f>
        <v/>
      </c>
      <c r="AF785" s="8"/>
      <c r="AI785" s="8"/>
      <c r="AJ785" s="8"/>
      <c r="AK785" s="8"/>
      <c r="AM785" s="8" t="str">
        <f>IF(AN785="","",VLOOKUP(AN785,引用表合并!$A:$B,2,FALSE))</f>
        <v/>
      </c>
      <c r="AN785" s="8"/>
      <c r="AO785" s="8"/>
      <c r="AQ785" s="8" t="str">
        <f>IF(AR785="","",VLOOKUP(AR785,引用表合并!$A:$B,2,FALSE))</f>
        <v/>
      </c>
      <c r="AR785" s="8"/>
      <c r="AS785" s="8"/>
      <c r="AU785" s="8" t="str">
        <f>IF(AV785="","",VLOOKUP(AV785,引用表合并!$A:$B,2,FALSE))</f>
        <v/>
      </c>
      <c r="AV785" s="8"/>
      <c r="AW785" s="8"/>
      <c r="AY785" s="8" t="str">
        <f>IF(AZ785="","",VLOOKUP(AZ785,引用表合并!$A:$B,2,FALSE))</f>
        <v/>
      </c>
      <c r="AZ785" s="8"/>
      <c r="BA785" s="8"/>
      <c r="BC785" s="8" t="str">
        <f>IF(BD785="","",VLOOKUP(BD785,引用表合并!$A:$B,2,FALSE))</f>
        <v/>
      </c>
      <c r="BD785" s="8"/>
      <c r="BF785" s="10"/>
      <c r="BG785" s="8" t="str">
        <f>IF(BH785="","",VLOOKUP(BH785,引用表合并!$A:$B,2,FALSE))</f>
        <v/>
      </c>
      <c r="BH785" s="8"/>
      <c r="BJ785" s="10"/>
      <c r="BK785" s="8" t="str">
        <f>IF(BL785="","",VLOOKUP(BL785,引用表合并!$A:$B,2,FALSE))</f>
        <v/>
      </c>
      <c r="BL785" s="8"/>
      <c r="BN785" s="10"/>
      <c r="FK785" s="8">
        <v>10</v>
      </c>
      <c r="FL785" s="8">
        <v>12</v>
      </c>
    </row>
    <row r="786" spans="1:168" x14ac:dyDescent="0.15">
      <c r="A786" s="8">
        <v>701107</v>
      </c>
      <c r="B786" s="8" t="s">
        <v>276</v>
      </c>
      <c r="C786" s="8">
        <v>0</v>
      </c>
      <c r="D786" s="8">
        <f t="shared" si="122"/>
        <v>6</v>
      </c>
      <c r="E786" s="16">
        <f t="shared" si="110"/>
        <v>6</v>
      </c>
      <c r="F786" s="16">
        <f t="shared" si="113"/>
        <v>6</v>
      </c>
      <c r="G786" s="8" t="str">
        <f>IF(H786="","",VLOOKUP(H786,引用表合并!$A:$B,2,FALSE))</f>
        <v>毒蝎耳钉碎片</v>
      </c>
      <c r="H786" s="76">
        <v>93134</v>
      </c>
      <c r="I786" s="36">
        <v>1</v>
      </c>
      <c r="J786" s="36">
        <f t="shared" si="114"/>
        <v>2500</v>
      </c>
      <c r="K786" s="8" t="str">
        <f>IF(L786="","",VLOOKUP(L786,引用表合并!$A:$B,2,FALSE))</f>
        <v>大堆钞票碎片</v>
      </c>
      <c r="L786" s="76">
        <v>93285</v>
      </c>
      <c r="M786" s="36">
        <v>1</v>
      </c>
      <c r="N786" s="36">
        <f t="shared" si="115"/>
        <v>2500</v>
      </c>
      <c r="O786" s="35" t="str">
        <f>IF(P786="","",VLOOKUP(P786,引用表合并!$A:$B,2,FALSE))</f>
        <v>赤金戒指碎片</v>
      </c>
      <c r="P786" s="76">
        <v>93223</v>
      </c>
      <c r="Q786" s="35">
        <v>1</v>
      </c>
      <c r="R786" s="35">
        <f t="shared" si="116"/>
        <v>2500</v>
      </c>
      <c r="S786" s="35" t="str">
        <f>IF(T786="","",VLOOKUP(T786,引用表合并!$A:$B,2,FALSE))</f>
        <v>王者手环碎片</v>
      </c>
      <c r="T786" s="76">
        <v>93227</v>
      </c>
      <c r="U786" s="35">
        <v>1</v>
      </c>
      <c r="V786" s="35">
        <f t="shared" si="117"/>
        <v>2500</v>
      </c>
      <c r="W786" s="8" t="str">
        <f>IF(X786="","",VLOOKUP(X786,引用表合并!$A:$B,2,FALSE))</f>
        <v>稀有装备升级石</v>
      </c>
      <c r="X786" s="8">
        <v>85300</v>
      </c>
      <c r="Y786" s="10">
        <v>1</v>
      </c>
      <c r="Z786" s="10">
        <f t="shared" si="119"/>
        <v>3200</v>
      </c>
      <c r="AA786" s="8" t="str">
        <f>IF(AB786="","",VLOOKUP(AB786,引用表合并!$A:$B,2,FALSE))</f>
        <v>高级装备升级石</v>
      </c>
      <c r="AB786" s="8">
        <v>85200</v>
      </c>
      <c r="AC786" s="8">
        <v>1</v>
      </c>
      <c r="AD786" s="10">
        <f t="shared" si="120"/>
        <v>3000</v>
      </c>
      <c r="AE786" s="8" t="str">
        <f>IF(AF786="","",VLOOKUP(AF786,引用表合并!$A:$B,2,FALSE))</f>
        <v/>
      </c>
      <c r="AF786" s="8"/>
      <c r="AI786" s="8"/>
      <c r="AJ786" s="8"/>
      <c r="AK786" s="8"/>
      <c r="AM786" s="8" t="str">
        <f>IF(AN786="","",VLOOKUP(AN786,引用表合并!$A:$B,2,FALSE))</f>
        <v/>
      </c>
      <c r="AN786" s="8"/>
      <c r="AO786" s="8"/>
      <c r="AQ786" s="8" t="str">
        <f>IF(AR786="","",VLOOKUP(AR786,引用表合并!$A:$B,2,FALSE))</f>
        <v/>
      </c>
      <c r="AR786" s="8"/>
      <c r="AS786" s="8"/>
      <c r="AU786" s="8" t="str">
        <f>IF(AV786="","",VLOOKUP(AV786,引用表合并!$A:$B,2,FALSE))</f>
        <v/>
      </c>
      <c r="AV786" s="8"/>
      <c r="AW786" s="8"/>
      <c r="AY786" s="8" t="str">
        <f>IF(AZ786="","",VLOOKUP(AZ786,引用表合并!$A:$B,2,FALSE))</f>
        <v/>
      </c>
      <c r="AZ786" s="8"/>
      <c r="BA786" s="8"/>
      <c r="BC786" s="8" t="str">
        <f>IF(BD786="","",VLOOKUP(BD786,引用表合并!$A:$B,2,FALSE))</f>
        <v/>
      </c>
      <c r="BD786" s="8"/>
      <c r="BF786" s="10"/>
      <c r="BG786" s="8" t="str">
        <f>IF(BH786="","",VLOOKUP(BH786,引用表合并!$A:$B,2,FALSE))</f>
        <v/>
      </c>
      <c r="BH786" s="8"/>
      <c r="BJ786" s="10"/>
      <c r="BK786" s="8" t="str">
        <f>IF(BL786="","",VLOOKUP(BL786,引用表合并!$A:$B,2,FALSE))</f>
        <v/>
      </c>
      <c r="BL786" s="8"/>
      <c r="BN786" s="10"/>
      <c r="FK786" s="8">
        <v>10</v>
      </c>
      <c r="FL786" s="8">
        <v>0</v>
      </c>
    </row>
    <row r="787" spans="1:168" x14ac:dyDescent="0.15">
      <c r="A787" s="8">
        <v>701108</v>
      </c>
      <c r="B787" s="8" t="s">
        <v>277</v>
      </c>
      <c r="C787" s="8">
        <v>0</v>
      </c>
      <c r="D787" s="8">
        <f t="shared" si="122"/>
        <v>6</v>
      </c>
      <c r="E787" s="16">
        <f t="shared" si="110"/>
        <v>6</v>
      </c>
      <c r="F787" s="16">
        <f t="shared" si="113"/>
        <v>6</v>
      </c>
      <c r="G787" s="8" t="str">
        <f>IF(H787="","",VLOOKUP(H787,引用表合并!$A:$B,2,FALSE))</f>
        <v>赤金戒指碎片</v>
      </c>
      <c r="H787" s="76">
        <v>93223</v>
      </c>
      <c r="I787" s="36">
        <v>1</v>
      </c>
      <c r="J787" s="36">
        <f t="shared" si="114"/>
        <v>2500</v>
      </c>
      <c r="K787" s="8" t="str">
        <f>IF(L787="","",VLOOKUP(L787,引用表合并!$A:$B,2,FALSE))</f>
        <v>小堆金块碎片</v>
      </c>
      <c r="L787" s="76">
        <v>93289</v>
      </c>
      <c r="M787" s="36">
        <v>1</v>
      </c>
      <c r="N787" s="36">
        <f t="shared" si="115"/>
        <v>2500</v>
      </c>
      <c r="O787" s="35" t="str">
        <f>IF(P787="","",VLOOKUP(P787,引用表合并!$A:$B,2,FALSE))</f>
        <v>王者手环碎片</v>
      </c>
      <c r="P787" s="76">
        <v>93227</v>
      </c>
      <c r="Q787" s="35">
        <v>1</v>
      </c>
      <c r="R787" s="35">
        <f t="shared" si="116"/>
        <v>2500</v>
      </c>
      <c r="S787" s="35" t="str">
        <f>IF(T787="","",VLOOKUP(T787,引用表合并!$A:$B,2,FALSE))</f>
        <v>符文手环碎片</v>
      </c>
      <c r="T787" s="76">
        <v>93236</v>
      </c>
      <c r="U787" s="35">
        <v>1</v>
      </c>
      <c r="V787" s="35">
        <f t="shared" si="117"/>
        <v>2500</v>
      </c>
      <c r="W787" s="8" t="str">
        <f>IF(X787="","",VLOOKUP(X787,引用表合并!$A:$B,2,FALSE))</f>
        <v>稀有装备升级石</v>
      </c>
      <c r="X787" s="8">
        <v>85300</v>
      </c>
      <c r="Y787" s="10">
        <v>1</v>
      </c>
      <c r="Z787" s="10">
        <f t="shared" si="119"/>
        <v>3400</v>
      </c>
      <c r="AA787" s="8" t="str">
        <f>IF(AB787="","",VLOOKUP(AB787,引用表合并!$A:$B,2,FALSE))</f>
        <v>高级装备升级石</v>
      </c>
      <c r="AB787" s="8">
        <v>85200</v>
      </c>
      <c r="AC787" s="8">
        <v>1</v>
      </c>
      <c r="AD787" s="10">
        <f t="shared" si="120"/>
        <v>3200</v>
      </c>
      <c r="AE787" s="8" t="str">
        <f>IF(AF787="","",VLOOKUP(AF787,引用表合并!$A:$B,2,FALSE))</f>
        <v/>
      </c>
      <c r="AF787" s="8"/>
      <c r="AI787" s="8"/>
      <c r="AJ787" s="8"/>
      <c r="AK787" s="8"/>
      <c r="AM787" s="8" t="str">
        <f>IF(AN787="","",VLOOKUP(AN787,引用表合并!$A:$B,2,FALSE))</f>
        <v/>
      </c>
      <c r="AN787" s="8"/>
      <c r="AO787" s="8"/>
      <c r="AQ787" s="8" t="str">
        <f>IF(AR787="","",VLOOKUP(AR787,引用表合并!$A:$B,2,FALSE))</f>
        <v/>
      </c>
      <c r="AR787" s="8"/>
      <c r="AS787" s="8"/>
      <c r="AU787" s="8" t="str">
        <f>IF(AV787="","",VLOOKUP(AV787,引用表合并!$A:$B,2,FALSE))</f>
        <v/>
      </c>
      <c r="AV787" s="8"/>
      <c r="AW787" s="8"/>
      <c r="AY787" s="8" t="str">
        <f>IF(AZ787="","",VLOOKUP(AZ787,引用表合并!$A:$B,2,FALSE))</f>
        <v/>
      </c>
      <c r="AZ787" s="8"/>
      <c r="BA787" s="8"/>
      <c r="BC787" s="8" t="str">
        <f>IF(BD787="","",VLOOKUP(BD787,引用表合并!$A:$B,2,FALSE))</f>
        <v/>
      </c>
      <c r="BD787" s="8"/>
      <c r="BF787" s="10"/>
      <c r="BG787" s="8" t="str">
        <f>IF(BH787="","",VLOOKUP(BH787,引用表合并!$A:$B,2,FALSE))</f>
        <v/>
      </c>
      <c r="BH787" s="8"/>
      <c r="BJ787" s="10"/>
      <c r="BK787" s="8" t="str">
        <f>IF(BL787="","",VLOOKUP(BL787,引用表合并!$A:$B,2,FALSE))</f>
        <v/>
      </c>
      <c r="BL787" s="8"/>
      <c r="BN787" s="10"/>
      <c r="FK787" s="8">
        <v>10</v>
      </c>
      <c r="FL787" s="8">
        <v>0</v>
      </c>
    </row>
    <row r="788" spans="1:168" x14ac:dyDescent="0.15">
      <c r="A788" s="8">
        <v>701109</v>
      </c>
      <c r="B788" s="8" t="s">
        <v>278</v>
      </c>
      <c r="C788" s="8">
        <v>0</v>
      </c>
      <c r="D788" s="8">
        <f t="shared" si="122"/>
        <v>6</v>
      </c>
      <c r="E788" s="16">
        <f t="shared" ref="E788:E794" si="123">COUNTIF(G788:FJ788,"&gt;0")/3</f>
        <v>6</v>
      </c>
      <c r="F788" s="16">
        <f t="shared" si="113"/>
        <v>6</v>
      </c>
      <c r="G788" s="8" t="str">
        <f>IF(H788="","",VLOOKUP(H788,引用表合并!$A:$B,2,FALSE))</f>
        <v>王者手环碎片</v>
      </c>
      <c r="H788" s="76">
        <v>93227</v>
      </c>
      <c r="I788" s="36">
        <v>1</v>
      </c>
      <c r="J788" s="36">
        <f t="shared" si="114"/>
        <v>3200</v>
      </c>
      <c r="K788" s="8" t="str">
        <f>IF(L788="","",VLOOKUP(L788,引用表合并!$A:$B,2,FALSE))</f>
        <v>红石耳钉碎片</v>
      </c>
      <c r="L788" s="76">
        <v>93125</v>
      </c>
      <c r="M788" s="36">
        <v>1</v>
      </c>
      <c r="N788" s="36">
        <f t="shared" si="115"/>
        <v>3200</v>
      </c>
      <c r="O788" s="35" t="str">
        <f>IF(P788="","",VLOOKUP(P788,引用表合并!$A:$B,2,FALSE))</f>
        <v>符文手环碎片</v>
      </c>
      <c r="P788" s="76">
        <v>93236</v>
      </c>
      <c r="Q788" s="35">
        <v>1</v>
      </c>
      <c r="R788" s="35">
        <f t="shared" si="116"/>
        <v>3200</v>
      </c>
      <c r="S788" s="35" t="str">
        <f>IF(T788="","",VLOOKUP(T788,引用表合并!$A:$B,2,FALSE))</f>
        <v>月立碎片</v>
      </c>
      <c r="T788" s="76">
        <v>93013</v>
      </c>
      <c r="U788" s="35">
        <v>1</v>
      </c>
      <c r="V788" s="35">
        <f t="shared" si="117"/>
        <v>3200</v>
      </c>
      <c r="W788" s="8" t="str">
        <f>IF(X788="","",VLOOKUP(X788,引用表合并!$A:$B,2,FALSE))</f>
        <v>稀有装备升级石</v>
      </c>
      <c r="X788" s="8">
        <v>85300</v>
      </c>
      <c r="Y788" s="10">
        <v>1</v>
      </c>
      <c r="Z788" s="10">
        <f t="shared" si="119"/>
        <v>10000</v>
      </c>
      <c r="AA788" s="8" t="str">
        <f>IF(AB788="","",VLOOKUP(AB788,引用表合并!$A:$B,2,FALSE))</f>
        <v>高级装备升级石</v>
      </c>
      <c r="AB788" s="8">
        <v>85200</v>
      </c>
      <c r="AC788" s="8">
        <v>1</v>
      </c>
      <c r="AD788" s="10">
        <f t="shared" si="120"/>
        <v>2000</v>
      </c>
      <c r="AE788" s="8" t="str">
        <f>IF(AF788="","",VLOOKUP(AF788,引用表合并!$A:$B,2,FALSE))</f>
        <v/>
      </c>
      <c r="AF788" s="8"/>
      <c r="AI788" s="8"/>
      <c r="AJ788" s="8"/>
      <c r="AK788" s="8"/>
      <c r="AM788" s="8" t="str">
        <f>IF(AN788="","",VLOOKUP(AN788,引用表合并!$A:$B,2,FALSE))</f>
        <v/>
      </c>
      <c r="AN788" s="8"/>
      <c r="AO788" s="8"/>
      <c r="AQ788" s="8" t="str">
        <f>IF(AR788="","",VLOOKUP(AR788,引用表合并!$A:$B,2,FALSE))</f>
        <v/>
      </c>
      <c r="AR788" s="8"/>
      <c r="AS788" s="8"/>
      <c r="AU788" s="8" t="str">
        <f>IF(AV788="","",VLOOKUP(AV788,引用表合并!$A:$B,2,FALSE))</f>
        <v/>
      </c>
      <c r="AV788" s="8"/>
      <c r="AW788" s="8"/>
      <c r="AY788" s="8" t="str">
        <f>IF(AZ788="","",VLOOKUP(AZ788,引用表合并!$A:$B,2,FALSE))</f>
        <v/>
      </c>
      <c r="AZ788" s="8"/>
      <c r="BA788" s="8"/>
      <c r="BC788" s="8" t="str">
        <f>IF(BD788="","",VLOOKUP(BD788,引用表合并!$A:$B,2,FALSE))</f>
        <v/>
      </c>
      <c r="BD788" s="8"/>
      <c r="BF788" s="10"/>
      <c r="BG788" s="8" t="str">
        <f>IF(BH788="","",VLOOKUP(BH788,引用表合并!$A:$B,2,FALSE))</f>
        <v/>
      </c>
      <c r="BH788" s="8"/>
      <c r="BJ788" s="10"/>
      <c r="BK788" s="8" t="str">
        <f>IF(BL788="","",VLOOKUP(BL788,引用表合并!$A:$B,2,FALSE))</f>
        <v/>
      </c>
      <c r="BL788" s="8"/>
      <c r="BN788" s="10"/>
      <c r="FK788" s="8">
        <v>10</v>
      </c>
      <c r="FL788" s="8">
        <v>14</v>
      </c>
    </row>
    <row r="789" spans="1:168" x14ac:dyDescent="0.15">
      <c r="A789" s="8">
        <v>701110</v>
      </c>
      <c r="B789" s="8" t="s">
        <v>279</v>
      </c>
      <c r="C789" s="8">
        <v>0</v>
      </c>
      <c r="D789" s="8">
        <f t="shared" si="122"/>
        <v>6</v>
      </c>
      <c r="E789" s="16">
        <f t="shared" si="123"/>
        <v>6</v>
      </c>
      <c r="F789" s="16">
        <f t="shared" si="113"/>
        <v>6</v>
      </c>
      <c r="G789" s="8" t="str">
        <f>IF(H789="","",VLOOKUP(H789,引用表合并!$A:$B,2,FALSE))</f>
        <v>符文手环碎片</v>
      </c>
      <c r="H789" s="76">
        <v>93236</v>
      </c>
      <c r="I789" s="36">
        <v>1</v>
      </c>
      <c r="J789" s="36">
        <f t="shared" si="114"/>
        <v>2900</v>
      </c>
      <c r="K789" s="8" t="str">
        <f>IF(L789="","",VLOOKUP(L789,引用表合并!$A:$B,2,FALSE))</f>
        <v>毒蝎耳钉碎片</v>
      </c>
      <c r="L789" s="76">
        <v>93134</v>
      </c>
      <c r="M789" s="36">
        <v>1</v>
      </c>
      <c r="N789" s="36">
        <f t="shared" si="115"/>
        <v>2900</v>
      </c>
      <c r="O789" s="35" t="str">
        <f>IF(P789="","",VLOOKUP(P789,引用表合并!$A:$B,2,FALSE))</f>
        <v>月立碎片</v>
      </c>
      <c r="P789" s="76">
        <v>93013</v>
      </c>
      <c r="Q789" s="36">
        <v>1</v>
      </c>
      <c r="R789" s="36">
        <f t="shared" si="116"/>
        <v>2900</v>
      </c>
      <c r="S789" s="36" t="str">
        <f>IF(T789="","",VLOOKUP(T789,引用表合并!$A:$B,2,FALSE))</f>
        <v>猫妖项链碎片</v>
      </c>
      <c r="T789" s="76">
        <v>93253</v>
      </c>
      <c r="U789" s="36">
        <v>1</v>
      </c>
      <c r="V789" s="36">
        <f t="shared" si="117"/>
        <v>2900</v>
      </c>
      <c r="W789" s="8" t="str">
        <f>IF(X789="","",VLOOKUP(X789,引用表合并!$A:$B,2,FALSE))</f>
        <v>稀有装备升级石</v>
      </c>
      <c r="X789" s="8">
        <v>85300</v>
      </c>
      <c r="Y789" s="10">
        <v>1</v>
      </c>
      <c r="Z789" s="10">
        <f t="shared" si="119"/>
        <v>3600</v>
      </c>
      <c r="AA789" s="8" t="str">
        <f>IF(AB789="","",VLOOKUP(AB789,引用表合并!$A:$B,2,FALSE))</f>
        <v>高级装备升级石</v>
      </c>
      <c r="AB789" s="8">
        <v>85200</v>
      </c>
      <c r="AC789" s="8">
        <v>1</v>
      </c>
      <c r="AD789" s="10">
        <f t="shared" si="120"/>
        <v>3400</v>
      </c>
      <c r="AE789" s="8" t="str">
        <f>IF(AF789="","",VLOOKUP(AF789,引用表合并!$A:$B,2,FALSE))</f>
        <v/>
      </c>
      <c r="AF789" s="8"/>
      <c r="AI789" s="8"/>
      <c r="AJ789" s="8"/>
      <c r="AK789" s="8"/>
      <c r="AM789" s="8" t="str">
        <f>IF(AN789="","",VLOOKUP(AN789,引用表合并!$A:$B,2,FALSE))</f>
        <v/>
      </c>
      <c r="AN789" s="8"/>
      <c r="AO789" s="8"/>
      <c r="AQ789" s="8" t="str">
        <f>IF(AR789="","",VLOOKUP(AR789,引用表合并!$A:$B,2,FALSE))</f>
        <v/>
      </c>
      <c r="AR789" s="8"/>
      <c r="AS789" s="8"/>
      <c r="AU789" s="8" t="str">
        <f>IF(AV789="","",VLOOKUP(AV789,引用表合并!$A:$B,2,FALSE))</f>
        <v/>
      </c>
      <c r="AV789" s="8"/>
      <c r="AW789" s="8"/>
      <c r="AY789" s="8" t="str">
        <f>IF(AZ789="","",VLOOKUP(AZ789,引用表合并!$A:$B,2,FALSE))</f>
        <v/>
      </c>
      <c r="AZ789" s="8"/>
      <c r="BA789" s="8"/>
      <c r="BC789" s="8" t="str">
        <f>IF(BD789="","",VLOOKUP(BD789,引用表合并!$A:$B,2,FALSE))</f>
        <v/>
      </c>
      <c r="BD789" s="8"/>
      <c r="BF789" s="10"/>
      <c r="BG789" s="8" t="str">
        <f>IF(BH789="","",VLOOKUP(BH789,引用表合并!$A:$B,2,FALSE))</f>
        <v/>
      </c>
      <c r="BH789" s="8"/>
      <c r="BJ789" s="10"/>
      <c r="BK789" s="8" t="str">
        <f>IF(BL789="","",VLOOKUP(BL789,引用表合并!$A:$B,2,FALSE))</f>
        <v/>
      </c>
      <c r="BL789" s="8"/>
      <c r="BN789" s="10"/>
      <c r="FK789" s="8">
        <v>10</v>
      </c>
      <c r="FL789" s="8">
        <v>8</v>
      </c>
    </row>
    <row r="790" spans="1:168" x14ac:dyDescent="0.15">
      <c r="A790" s="8">
        <v>701111</v>
      </c>
      <c r="B790" s="8" t="s">
        <v>280</v>
      </c>
      <c r="C790" s="8">
        <v>0</v>
      </c>
      <c r="D790" s="8">
        <f t="shared" si="122"/>
        <v>6</v>
      </c>
      <c r="E790" s="16">
        <f t="shared" si="123"/>
        <v>6</v>
      </c>
      <c r="F790" s="16">
        <f t="shared" si="113"/>
        <v>6</v>
      </c>
      <c r="G790" s="8" t="str">
        <f>IF(H790="","",VLOOKUP(H790,引用表合并!$A:$B,2,FALSE))</f>
        <v>月立碎片</v>
      </c>
      <c r="H790" s="76">
        <v>93013</v>
      </c>
      <c r="I790" s="36">
        <v>1</v>
      </c>
      <c r="J790" s="36">
        <f t="shared" si="114"/>
        <v>2900</v>
      </c>
      <c r="K790" s="8" t="str">
        <f>IF(L790="","",VLOOKUP(L790,引用表合并!$A:$B,2,FALSE))</f>
        <v>赤金戒指碎片</v>
      </c>
      <c r="L790" s="76">
        <v>93223</v>
      </c>
      <c r="M790" s="36">
        <v>1</v>
      </c>
      <c r="N790" s="36">
        <f t="shared" si="115"/>
        <v>2900</v>
      </c>
      <c r="O790" s="36" t="str">
        <f>IF(P790="","",VLOOKUP(P790,引用表合并!$A:$B,2,FALSE))</f>
        <v>猫妖项链碎片</v>
      </c>
      <c r="P790" s="76">
        <v>93253</v>
      </c>
      <c r="Q790" s="36">
        <v>1</v>
      </c>
      <c r="R790" s="36">
        <f t="shared" si="116"/>
        <v>2900</v>
      </c>
      <c r="S790" s="36" t="str">
        <f>IF(T790="","",VLOOKUP(T790,引用表合并!$A:$B,2,FALSE))</f>
        <v>苍蓝项链碎片</v>
      </c>
      <c r="T790" s="76">
        <v>93254</v>
      </c>
      <c r="U790" s="36">
        <v>1</v>
      </c>
      <c r="V790" s="36">
        <f t="shared" si="117"/>
        <v>2900</v>
      </c>
      <c r="W790" s="8" t="str">
        <f>IF(X790="","",VLOOKUP(X790,引用表合并!$A:$B,2,FALSE))</f>
        <v>史诗装备升级石</v>
      </c>
      <c r="X790" s="8">
        <v>85400</v>
      </c>
      <c r="Y790" s="8">
        <v>1</v>
      </c>
      <c r="Z790" s="10">
        <f t="shared" si="119"/>
        <v>3800</v>
      </c>
      <c r="AA790" s="8" t="str">
        <f>IF(AB790="","",VLOOKUP(AB790,引用表合并!$A:$B,2,FALSE))</f>
        <v>高级装备升级石</v>
      </c>
      <c r="AB790" s="8">
        <v>85200</v>
      </c>
      <c r="AC790" s="8">
        <v>1</v>
      </c>
      <c r="AD790" s="10">
        <f t="shared" si="120"/>
        <v>3600</v>
      </c>
      <c r="AE790" s="8" t="str">
        <f>IF(AF790="","",VLOOKUP(AF790,引用表合并!$A:$B,2,FALSE))</f>
        <v/>
      </c>
      <c r="AF790" s="8"/>
      <c r="AI790" s="8" t="str">
        <f>IF(AJ790="","",VLOOKUP(AJ790,引用表合并!$A:$B,2,FALSE))</f>
        <v/>
      </c>
      <c r="AJ790" s="8"/>
      <c r="AK790" s="8"/>
      <c r="AM790" s="8" t="str">
        <f>IF(AN790="","",VLOOKUP(AN790,引用表合并!$A:$B,2,FALSE))</f>
        <v/>
      </c>
      <c r="AN790" s="8"/>
      <c r="AO790" s="8"/>
      <c r="AQ790" s="8" t="str">
        <f>IF(AR790="","",VLOOKUP(AR790,引用表合并!$A:$B,2,FALSE))</f>
        <v/>
      </c>
      <c r="AR790" s="8"/>
      <c r="AS790" s="8"/>
      <c r="AU790" s="8" t="str">
        <f>IF(AV790="","",VLOOKUP(AV790,引用表合并!$A:$B,2,FALSE))</f>
        <v/>
      </c>
      <c r="AV790" s="8"/>
      <c r="AW790" s="8"/>
      <c r="AY790" s="8" t="str">
        <f>IF(AZ790="","",VLOOKUP(AZ790,引用表合并!$A:$B,2,FALSE))</f>
        <v/>
      </c>
      <c r="AZ790" s="8"/>
      <c r="BA790" s="8"/>
      <c r="BC790" s="8" t="str">
        <f>IF(BD790="","",VLOOKUP(BD790,引用表合并!$A:$B,2,FALSE))</f>
        <v/>
      </c>
      <c r="BD790" s="8"/>
      <c r="BF790" s="10"/>
      <c r="BG790" s="8" t="str">
        <f>IF(BH790="","",VLOOKUP(BH790,引用表合并!$A:$B,2,FALSE))</f>
        <v/>
      </c>
      <c r="BH790" s="8"/>
      <c r="BJ790" s="10"/>
      <c r="BK790" s="8" t="str">
        <f>IF(BL790="","",VLOOKUP(BL790,引用表合并!$A:$B,2,FALSE))</f>
        <v/>
      </c>
      <c r="BL790" s="8"/>
      <c r="BN790" s="10"/>
      <c r="FK790" s="8">
        <v>10</v>
      </c>
      <c r="FL790" s="8">
        <v>8</v>
      </c>
    </row>
    <row r="791" spans="1:168" x14ac:dyDescent="0.15">
      <c r="A791" s="8">
        <v>701112</v>
      </c>
      <c r="B791" s="8" t="s">
        <v>281</v>
      </c>
      <c r="C791" s="8">
        <v>0</v>
      </c>
      <c r="D791" s="8">
        <f t="shared" si="122"/>
        <v>6</v>
      </c>
      <c r="E791" s="16">
        <f t="shared" si="123"/>
        <v>6</v>
      </c>
      <c r="F791" s="16">
        <f t="shared" si="113"/>
        <v>6</v>
      </c>
      <c r="G791" s="8" t="str">
        <f>IF(H791="","",VLOOKUP(H791,引用表合并!$A:$B,2,FALSE))</f>
        <v>猫妖项链碎片</v>
      </c>
      <c r="H791" s="76">
        <v>93253</v>
      </c>
      <c r="I791" s="36">
        <v>1</v>
      </c>
      <c r="J791" s="36">
        <f t="shared" si="114"/>
        <v>3300</v>
      </c>
      <c r="K791" s="8" t="str">
        <f>IF(L791="","",VLOOKUP(L791,引用表合并!$A:$B,2,FALSE))</f>
        <v>王者手环碎片</v>
      </c>
      <c r="L791" s="76">
        <v>93227</v>
      </c>
      <c r="M791" s="36">
        <v>1</v>
      </c>
      <c r="N791" s="36">
        <f t="shared" si="115"/>
        <v>3300</v>
      </c>
      <c r="O791" s="36" t="str">
        <f>IF(P791="","",VLOOKUP(P791,引用表合并!$A:$B,2,FALSE))</f>
        <v>苍蓝项链碎片</v>
      </c>
      <c r="P791" s="76">
        <v>93254</v>
      </c>
      <c r="Q791" s="36">
        <v>1</v>
      </c>
      <c r="R791" s="36">
        <f t="shared" si="116"/>
        <v>3300</v>
      </c>
      <c r="S791" s="36" t="str">
        <f>IF(T791="","",VLOOKUP(T791,引用表合并!$A:$B,2,FALSE))</f>
        <v>汉密手表碎片</v>
      </c>
      <c r="T791" s="76">
        <v>93274</v>
      </c>
      <c r="U791" s="36">
        <v>1</v>
      </c>
      <c r="V791" s="36">
        <f t="shared" si="117"/>
        <v>3300</v>
      </c>
      <c r="W791" s="8" t="str">
        <f>IF(X791="","",VLOOKUP(X791,引用表合并!$A:$B,2,FALSE))</f>
        <v>史诗装备升级石</v>
      </c>
      <c r="X791" s="8">
        <v>85400</v>
      </c>
      <c r="Y791" s="8">
        <v>1</v>
      </c>
      <c r="Z791" s="10">
        <f t="shared" si="119"/>
        <v>5000</v>
      </c>
      <c r="AA791" s="8" t="str">
        <f>IF(AB791="","",VLOOKUP(AB791,引用表合并!$A:$B,2,FALSE))</f>
        <v>稀有装备升级石</v>
      </c>
      <c r="AB791" s="8">
        <v>85300</v>
      </c>
      <c r="AC791" s="10">
        <v>1</v>
      </c>
      <c r="AD791" s="10">
        <f t="shared" si="120"/>
        <v>10000</v>
      </c>
      <c r="AE791" s="8" t="str">
        <f>IF(AF791="","",VLOOKUP(AF791,引用表合并!$A:$B,2,FALSE))</f>
        <v/>
      </c>
      <c r="AF791" s="8"/>
      <c r="AG791" s="8"/>
      <c r="AI791" s="8" t="str">
        <f>IF(AJ791="","",VLOOKUP(AJ791,引用表合并!$A:$B,2,FALSE))</f>
        <v/>
      </c>
      <c r="AJ791" s="8"/>
      <c r="AK791" s="8"/>
      <c r="AM791" s="8" t="str">
        <f>IF(AN791="","",VLOOKUP(AN791,引用表合并!$A:$B,2,FALSE))</f>
        <v/>
      </c>
      <c r="AN791" s="8"/>
      <c r="AO791" s="8"/>
      <c r="AQ791" s="8" t="str">
        <f>IF(AR791="","",VLOOKUP(AR791,引用表合并!$A:$B,2,FALSE))</f>
        <v/>
      </c>
      <c r="AR791" s="8"/>
      <c r="AS791" s="8"/>
      <c r="AU791" s="8" t="str">
        <f>IF(AV791="","",VLOOKUP(AV791,引用表合并!$A:$B,2,FALSE))</f>
        <v/>
      </c>
      <c r="AV791" s="8"/>
      <c r="AW791" s="8"/>
      <c r="AY791" s="8" t="str">
        <f>IF(AZ791="","",VLOOKUP(AZ791,引用表合并!$A:$B,2,FALSE))</f>
        <v/>
      </c>
      <c r="AZ791" s="8"/>
      <c r="BA791" s="8"/>
      <c r="BC791" s="8" t="str">
        <f>IF(BD791="","",VLOOKUP(BD791,引用表合并!$A:$B,2,FALSE))</f>
        <v/>
      </c>
      <c r="BD791" s="8"/>
      <c r="BF791" s="10"/>
      <c r="BG791" s="8" t="str">
        <f>IF(BH791="","",VLOOKUP(BH791,引用表合并!$A:$B,2,FALSE))</f>
        <v/>
      </c>
      <c r="BH791" s="8"/>
      <c r="BJ791" s="10"/>
      <c r="BK791" s="8" t="str">
        <f>IF(BL791="","",VLOOKUP(BL791,引用表合并!$A:$B,2,FALSE))</f>
        <v/>
      </c>
      <c r="BL791" s="8"/>
      <c r="BN791" s="10"/>
      <c r="FK791" s="8">
        <v>10</v>
      </c>
      <c r="FL791" s="8">
        <v>16</v>
      </c>
    </row>
    <row r="792" spans="1:168" x14ac:dyDescent="0.15">
      <c r="A792" s="8">
        <v>701113</v>
      </c>
      <c r="B792" s="8" t="s">
        <v>282</v>
      </c>
      <c r="C792" s="8">
        <v>0</v>
      </c>
      <c r="D792" s="8">
        <f t="shared" si="122"/>
        <v>6</v>
      </c>
      <c r="E792" s="16">
        <f t="shared" si="123"/>
        <v>6</v>
      </c>
      <c r="F792" s="16">
        <f t="shared" si="113"/>
        <v>6</v>
      </c>
      <c r="G792" s="8" t="str">
        <f>IF(H792="","",VLOOKUP(H792,引用表合并!$A:$B,2,FALSE))</f>
        <v>苍蓝项链碎片</v>
      </c>
      <c r="H792" s="76">
        <v>93254</v>
      </c>
      <c r="I792" s="36">
        <v>1</v>
      </c>
      <c r="J792" s="36">
        <f t="shared" si="114"/>
        <v>3000</v>
      </c>
      <c r="K792" s="8" t="str">
        <f>IF(L792="","",VLOOKUP(L792,引用表合并!$A:$B,2,FALSE))</f>
        <v>符文手环碎片</v>
      </c>
      <c r="L792" s="76">
        <v>93236</v>
      </c>
      <c r="M792" s="36">
        <v>1</v>
      </c>
      <c r="N792" s="36">
        <f t="shared" si="115"/>
        <v>3000</v>
      </c>
      <c r="O792" s="36" t="str">
        <f>IF(P792="","",VLOOKUP(P792,引用表合并!$A:$B,2,FALSE))</f>
        <v>汉密手表碎片</v>
      </c>
      <c r="P792" s="76">
        <v>93274</v>
      </c>
      <c r="Q792" s="36">
        <v>1</v>
      </c>
      <c r="R792" s="36">
        <f t="shared" si="116"/>
        <v>3000</v>
      </c>
      <c r="S792" s="36" t="str">
        <f>IF(T792="","",VLOOKUP(T792,引用表合并!$A:$B,2,FALSE))</f>
        <v>法拉捷碎片</v>
      </c>
      <c r="T792" s="76">
        <v>93280</v>
      </c>
      <c r="U792" s="36">
        <v>1</v>
      </c>
      <c r="V792" s="36">
        <f t="shared" si="117"/>
        <v>3000</v>
      </c>
      <c r="W792" s="8" t="str">
        <f>IF(X792="","",VLOOKUP(X792,引用表合并!$A:$B,2,FALSE))</f>
        <v>史诗装备升级石</v>
      </c>
      <c r="X792" s="8">
        <v>85400</v>
      </c>
      <c r="Y792" s="8">
        <v>1</v>
      </c>
      <c r="Z792" s="10">
        <f t="shared" si="119"/>
        <v>3500</v>
      </c>
      <c r="AA792" s="8" t="str">
        <f>IF(AB792="","",VLOOKUP(AB792,引用表合并!$A:$B,2,FALSE))</f>
        <v>高级装备升级石</v>
      </c>
      <c r="AB792" s="8">
        <v>85200</v>
      </c>
      <c r="AC792" s="8">
        <v>1</v>
      </c>
      <c r="AD792" s="10">
        <f t="shared" si="120"/>
        <v>4000</v>
      </c>
      <c r="AE792" s="8" t="str">
        <f>IF(AF792="","",VLOOKUP(AF792,引用表合并!$A:$B,2,FALSE))</f>
        <v/>
      </c>
      <c r="AF792" s="8"/>
      <c r="AI792" s="8" t="str">
        <f>IF(AJ792="","",VLOOKUP(AJ792,引用表合并!$A:$B,2,FALSE))</f>
        <v/>
      </c>
      <c r="AJ792" s="8"/>
      <c r="AK792" s="8"/>
      <c r="AM792" s="8" t="str">
        <f>IF(AN792="","",VLOOKUP(AN792,引用表合并!$A:$B,2,FALSE))</f>
        <v/>
      </c>
      <c r="AN792" s="8"/>
      <c r="AO792" s="8"/>
      <c r="AQ792" s="8" t="str">
        <f>IF(AR792="","",VLOOKUP(AR792,引用表合并!$A:$B,2,FALSE))</f>
        <v/>
      </c>
      <c r="AR792" s="8"/>
      <c r="AS792" s="8"/>
      <c r="AU792" s="8" t="str">
        <f>IF(AV792="","",VLOOKUP(AV792,引用表合并!$A:$B,2,FALSE))</f>
        <v/>
      </c>
      <c r="AV792" s="8"/>
      <c r="AW792" s="8"/>
      <c r="AY792" s="8" t="str">
        <f>IF(AZ792="","",VLOOKUP(AZ792,引用表合并!$A:$B,2,FALSE))</f>
        <v/>
      </c>
      <c r="AZ792" s="8"/>
      <c r="BA792" s="8"/>
      <c r="BC792" s="8" t="str">
        <f>IF(BD792="","",VLOOKUP(BD792,引用表合并!$A:$B,2,FALSE))</f>
        <v/>
      </c>
      <c r="BD792" s="8"/>
      <c r="BF792" s="10"/>
      <c r="BG792" s="8" t="str">
        <f>IF(BH792="","",VLOOKUP(BH792,引用表合并!$A:$B,2,FALSE))</f>
        <v/>
      </c>
      <c r="BH792" s="8"/>
      <c r="BJ792" s="10"/>
      <c r="BK792" s="8" t="str">
        <f>IF(BL792="","",VLOOKUP(BL792,引用表合并!$A:$B,2,FALSE))</f>
        <v/>
      </c>
      <c r="BL792" s="8"/>
      <c r="BN792" s="10"/>
      <c r="FK792" s="8">
        <v>10</v>
      </c>
      <c r="FL792" s="8">
        <v>10</v>
      </c>
    </row>
    <row r="793" spans="1:168" x14ac:dyDescent="0.15">
      <c r="A793" s="8">
        <v>701114</v>
      </c>
      <c r="B793" s="8" t="s">
        <v>283</v>
      </c>
      <c r="C793" s="8">
        <v>0</v>
      </c>
      <c r="D793" s="8">
        <f t="shared" si="122"/>
        <v>6</v>
      </c>
      <c r="E793" s="16">
        <f t="shared" si="123"/>
        <v>6</v>
      </c>
      <c r="F793" s="16">
        <f t="shared" si="113"/>
        <v>6</v>
      </c>
      <c r="G793" s="8" t="str">
        <f>IF(H793="","",VLOOKUP(H793,引用表合并!$A:$B,2,FALSE))</f>
        <v>汉密手表碎片</v>
      </c>
      <c r="H793" s="76">
        <v>93274</v>
      </c>
      <c r="I793" s="36">
        <v>1</v>
      </c>
      <c r="J793" s="36">
        <f t="shared" si="114"/>
        <v>3000</v>
      </c>
      <c r="K793" s="8" t="str">
        <f>IF(L793="","",VLOOKUP(L793,引用表合并!$A:$B,2,FALSE))</f>
        <v>月立碎片</v>
      </c>
      <c r="L793" s="76">
        <v>93013</v>
      </c>
      <c r="M793" s="36">
        <v>1</v>
      </c>
      <c r="N793" s="36">
        <f t="shared" si="115"/>
        <v>3000</v>
      </c>
      <c r="O793" s="36" t="str">
        <f>IF(P793="","",VLOOKUP(P793,引用表合并!$A:$B,2,FALSE))</f>
        <v>法拉捷碎片</v>
      </c>
      <c r="P793" s="76">
        <v>93280</v>
      </c>
      <c r="Q793" s="36">
        <v>1</v>
      </c>
      <c r="R793" s="36">
        <f t="shared" si="116"/>
        <v>3000</v>
      </c>
      <c r="S793" s="36" t="str">
        <f>IF(T793="","",VLOOKUP(T793,引用表合并!$A:$B,2,FALSE))</f>
        <v>大堆钞票碎片</v>
      </c>
      <c r="T793" s="76">
        <v>93285</v>
      </c>
      <c r="U793" s="36">
        <v>1</v>
      </c>
      <c r="V793" s="36">
        <f t="shared" si="117"/>
        <v>3000</v>
      </c>
      <c r="W793" s="8" t="str">
        <f>IF(X793="","",VLOOKUP(X793,引用表合并!$A:$B,2,FALSE))</f>
        <v>史诗装备升级石</v>
      </c>
      <c r="X793" s="8">
        <v>85400</v>
      </c>
      <c r="Y793" s="8">
        <v>1</v>
      </c>
      <c r="Z793" s="10">
        <f t="shared" si="119"/>
        <v>3700</v>
      </c>
      <c r="AA793" s="8" t="str">
        <f>IF(AB793="","",VLOOKUP(AB793,引用表合并!$A:$B,2,FALSE))</f>
        <v>高级装备升级石</v>
      </c>
      <c r="AB793" s="8">
        <v>85200</v>
      </c>
      <c r="AC793" s="8">
        <v>1</v>
      </c>
      <c r="AD793" s="10">
        <f t="shared" si="120"/>
        <v>4200</v>
      </c>
      <c r="AE793" s="8" t="str">
        <f>IF(AF793="","",VLOOKUP(AF793,引用表合并!$A:$B,2,FALSE))</f>
        <v/>
      </c>
      <c r="AF793" s="8"/>
      <c r="AI793" s="8" t="str">
        <f>IF(AJ793="","",VLOOKUP(AJ793,引用表合并!$A:$B,2,FALSE))</f>
        <v/>
      </c>
      <c r="AJ793" s="8"/>
      <c r="AK793" s="8"/>
      <c r="AM793" s="8" t="str">
        <f>IF(AN793="","",VLOOKUP(AN793,引用表合并!$A:$B,2,FALSE))</f>
        <v/>
      </c>
      <c r="AN793" s="8"/>
      <c r="AO793" s="8"/>
      <c r="AQ793" s="8" t="str">
        <f>IF(AR793="","",VLOOKUP(AR793,引用表合并!$A:$B,2,FALSE))</f>
        <v/>
      </c>
      <c r="AR793" s="8"/>
      <c r="AS793" s="8"/>
      <c r="AU793" s="8" t="str">
        <f>IF(AV793="","",VLOOKUP(AV793,引用表合并!$A:$B,2,FALSE))</f>
        <v/>
      </c>
      <c r="AV793" s="8"/>
      <c r="AW793" s="8"/>
      <c r="AY793" s="8" t="str">
        <f>IF(AZ793="","",VLOOKUP(AZ793,引用表合并!$A:$B,2,FALSE))</f>
        <v/>
      </c>
      <c r="AZ793" s="8"/>
      <c r="BA793" s="8"/>
      <c r="BC793" s="8" t="str">
        <f>IF(BD793="","",VLOOKUP(BD793,引用表合并!$A:$B,2,FALSE))</f>
        <v/>
      </c>
      <c r="BD793" s="8"/>
      <c r="BF793" s="10"/>
      <c r="BG793" s="8" t="str">
        <f>IF(BH793="","",VLOOKUP(BH793,引用表合并!$A:$B,2,FALSE))</f>
        <v/>
      </c>
      <c r="BH793" s="8"/>
      <c r="BJ793" s="10"/>
      <c r="BK793" s="8" t="str">
        <f>IF(BL793="","",VLOOKUP(BL793,引用表合并!$A:$B,2,FALSE))</f>
        <v/>
      </c>
      <c r="BL793" s="8"/>
      <c r="BN793" s="10"/>
      <c r="FK793" s="8">
        <v>10</v>
      </c>
      <c r="FL793" s="8">
        <v>10</v>
      </c>
    </row>
    <row r="794" spans="1:168" x14ac:dyDescent="0.15">
      <c r="A794" s="8">
        <v>701115</v>
      </c>
      <c r="B794" s="8" t="s">
        <v>284</v>
      </c>
      <c r="C794" s="8">
        <v>0</v>
      </c>
      <c r="D794" s="8">
        <f t="shared" si="122"/>
        <v>7</v>
      </c>
      <c r="E794" s="16">
        <f t="shared" si="123"/>
        <v>7</v>
      </c>
      <c r="F794" s="16">
        <f t="shared" si="113"/>
        <v>7</v>
      </c>
      <c r="G794" s="8" t="str">
        <f>IF(H794="","",VLOOKUP(H794,引用表合并!$A:$B,2,FALSE))</f>
        <v>法拉捷碎片</v>
      </c>
      <c r="H794" s="76">
        <v>93280</v>
      </c>
      <c r="I794" s="36">
        <v>1</v>
      </c>
      <c r="J794" s="36">
        <f t="shared" si="114"/>
        <v>3500</v>
      </c>
      <c r="K794" s="8" t="str">
        <f>IF(L794="","",VLOOKUP(L794,引用表合并!$A:$B,2,FALSE))</f>
        <v>猫妖项链碎片</v>
      </c>
      <c r="L794" s="76">
        <v>93253</v>
      </c>
      <c r="M794" s="36">
        <v>1</v>
      </c>
      <c r="N794" s="36">
        <f t="shared" si="115"/>
        <v>3500</v>
      </c>
      <c r="O794" s="36" t="str">
        <f>IF(P794="","",VLOOKUP(P794,引用表合并!$A:$B,2,FALSE))</f>
        <v>大堆钞票碎片</v>
      </c>
      <c r="P794" s="76">
        <v>93285</v>
      </c>
      <c r="Q794" s="36">
        <v>1</v>
      </c>
      <c r="R794" s="36">
        <f t="shared" si="116"/>
        <v>3500</v>
      </c>
      <c r="S794" s="36" t="str">
        <f>IF(T794="","",VLOOKUP(T794,引用表合并!$A:$B,2,FALSE))</f>
        <v>小堆金块碎片</v>
      </c>
      <c r="T794" s="76">
        <v>93289</v>
      </c>
      <c r="U794" s="36">
        <v>1</v>
      </c>
      <c r="V794" s="36">
        <f t="shared" si="117"/>
        <v>3500</v>
      </c>
      <c r="W794" s="8" t="str">
        <f>IF(X794="","",VLOOKUP(X794,引用表合并!$A:$B,2,FALSE))</f>
        <v>史诗装备升级石</v>
      </c>
      <c r="X794" s="8">
        <v>85400</v>
      </c>
      <c r="Y794" s="8">
        <v>1</v>
      </c>
      <c r="Z794" s="10">
        <f t="shared" si="119"/>
        <v>10000</v>
      </c>
      <c r="AA794" s="8" t="str">
        <f>IF(AB794="","",VLOOKUP(AB794,引用表合并!$A:$B,2,FALSE))</f>
        <v>稀有装备升级石</v>
      </c>
      <c r="AB794" s="8">
        <v>85300</v>
      </c>
      <c r="AC794" s="10">
        <v>1</v>
      </c>
      <c r="AD794" s="10">
        <f t="shared" si="120"/>
        <v>5000</v>
      </c>
      <c r="AE794" s="8" t="str">
        <f>IF(AF794="","",VLOOKUP(AF794,引用表合并!$A:$B,2,FALSE))</f>
        <v>马仔经验甘露</v>
      </c>
      <c r="AF794" s="31">
        <f t="shared" ref="AF794" si="124">IF(CO794=100,91100,IF(CO794=500,91200,91300))</f>
        <v>91300</v>
      </c>
      <c r="AG794" s="8">
        <v>1</v>
      </c>
      <c r="AH794" s="10">
        <v>10000</v>
      </c>
      <c r="AI794" s="8" t="str">
        <f>IF(AJ794="","",VLOOKUP(AJ794,引用表合并!$A:$B,2,FALSE))</f>
        <v/>
      </c>
      <c r="AM794" s="8" t="str">
        <f>IF(AN794="","",VLOOKUP(AN794,引用表合并!$A:$B,2,FALSE))</f>
        <v/>
      </c>
      <c r="AN794" s="8"/>
      <c r="AO794" s="8"/>
      <c r="AQ794" s="8" t="str">
        <f>IF(AR794="","",VLOOKUP(AR794,引用表合并!$A:$B,2,FALSE))</f>
        <v/>
      </c>
      <c r="AR794" s="8"/>
      <c r="AS794" s="8"/>
      <c r="AU794" s="8" t="str">
        <f>IF(AV794="","",VLOOKUP(AV794,引用表合并!$A:$B,2,FALSE))</f>
        <v/>
      </c>
      <c r="AV794" s="8"/>
      <c r="AW794" s="8"/>
      <c r="AY794" s="8" t="str">
        <f>IF(AZ794="","",VLOOKUP(AZ794,引用表合并!$A:$B,2,FALSE))</f>
        <v/>
      </c>
      <c r="AZ794" s="8"/>
      <c r="BA794" s="8"/>
      <c r="BC794" s="8" t="str">
        <f>IF(BD794="","",VLOOKUP(BD794,引用表合并!$A:$B,2,FALSE))</f>
        <v/>
      </c>
      <c r="BD794" s="8"/>
      <c r="BF794" s="10"/>
      <c r="BG794" s="8" t="str">
        <f>IF(BH794="","",VLOOKUP(BH794,引用表合并!$A:$B,2,FALSE))</f>
        <v/>
      </c>
      <c r="BH794" s="8"/>
      <c r="BJ794" s="10"/>
      <c r="BK794" s="8" t="str">
        <f>IF(BL794="","",VLOOKUP(BL794,引用表合并!$A:$B,2,FALSE))</f>
        <v/>
      </c>
      <c r="BL794" s="8"/>
      <c r="BN794" s="10"/>
      <c r="FK794" s="8">
        <v>10</v>
      </c>
      <c r="FL794" s="8">
        <v>20</v>
      </c>
    </row>
    <row r="795" spans="1:168" x14ac:dyDescent="0.15">
      <c r="AI795" s="8"/>
    </row>
    <row r="801" spans="55:55" x14ac:dyDescent="0.15">
      <c r="BC801" s="10"/>
    </row>
    <row r="802" spans="55:55" x14ac:dyDescent="0.15">
      <c r="BC802" s="10"/>
    </row>
    <row r="803" spans="55:55" x14ac:dyDescent="0.15">
      <c r="BC803" s="10"/>
    </row>
    <row r="804" spans="55:55" x14ac:dyDescent="0.15">
      <c r="BC804" s="10"/>
    </row>
    <row r="805" spans="55:55" x14ac:dyDescent="0.15">
      <c r="BC805" s="10"/>
    </row>
    <row r="806" spans="55:55" x14ac:dyDescent="0.15">
      <c r="BC806" s="10"/>
    </row>
    <row r="807" spans="55:55" x14ac:dyDescent="0.15">
      <c r="BC807" s="10"/>
    </row>
    <row r="808" spans="55:55" x14ac:dyDescent="0.15">
      <c r="BC808" s="10"/>
    </row>
    <row r="809" spans="55:55" x14ac:dyDescent="0.15">
      <c r="BC809" s="10"/>
    </row>
    <row r="810" spans="55:55" x14ac:dyDescent="0.15">
      <c r="BC810" s="10"/>
    </row>
    <row r="811" spans="55:55" x14ac:dyDescent="0.15">
      <c r="BC811" s="10"/>
    </row>
    <row r="812" spans="55:55" x14ac:dyDescent="0.15">
      <c r="BC812" s="10"/>
    </row>
    <row r="813" spans="55:55" x14ac:dyDescent="0.15">
      <c r="BC813" s="10"/>
    </row>
    <row r="814" spans="55:55" x14ac:dyDescent="0.15">
      <c r="BC814" s="10"/>
    </row>
    <row r="815" spans="55:55" x14ac:dyDescent="0.15">
      <c r="BC815" s="10"/>
    </row>
  </sheetData>
  <autoFilter ref="A1:BN794"/>
  <phoneticPr fontId="1" type="noConversion"/>
  <conditionalFormatting sqref="B324:B365 BO233:XFD235 BO324:XFD365 BO237:XFD238 BO240:XFD280 B233:B280">
    <cfRule type="colorScale" priority="346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">
    <cfRule type="expression" dxfId="35556" priority="31764">
      <formula>AND(H1&gt;70000,H1&lt;70004)</formula>
    </cfRule>
    <cfRule type="expression" dxfId="35555" priority="31765">
      <formula>AND(H1&gt;=70010,H1&lt;=76000)</formula>
    </cfRule>
    <cfRule type="expression" dxfId="35554" priority="31766">
      <formula>OR(AND(H1&gt;=10000,H1&lt;=56999),AND(H1&gt;=57000,H1&lt;=57999))</formula>
    </cfRule>
    <cfRule type="expression" dxfId="35553" priority="31767">
      <formula>AND(H1&gt;=8000,H1&lt;=9999)</formula>
    </cfRule>
    <cfRule type="expression" dxfId="35552" priority="31768">
      <formula>AND(H1&gt;=78100,H1&lt;=78199)</formula>
    </cfRule>
    <cfRule type="expression" dxfId="35551" priority="31769">
      <formula>AND(H1&gt;=92000,H1&lt;=98999)</formula>
    </cfRule>
    <cfRule type="expression" dxfId="35550" priority="31770">
      <formula>AND(H1&gt;=78100,H1&lt;=78199)</formula>
    </cfRule>
    <cfRule type="expression" dxfId="35549" priority="31771">
      <formula>AND(H1&gt;=91000,H1&lt;=91999)</formula>
    </cfRule>
  </conditionalFormatting>
  <conditionalFormatting sqref="G2 G148:G196 AY705:AY794 BC705:BC794 BG705:BG794 BK705:BK794 AQ705:AQ794 AU705:AU794 K660:K794 O660:O794 S660:S794 W660:W704 AQ660:AQ674 AA660:AA704 AU660:AU674 AM660:AM704 AE660:AE679 AI660:AI679 AI690:AI694 AE690:AE694 AE705:AE709 AE720:AE724 AE735:AE739 AE750:AE754 AE765:AE769 AE780:AE784 K148:K196 S148:S196 O148:O196 BK148:BK196 BG148:BG196 BC148:BC196 AY148:AY196 AU148:AU196 AQ148:AQ196 W148:W196 AM148:AM196 AA148:AA196 AI148:AI196 AE148:AE196 K383:K448 G660:G794 G383:G448 K531:K570 O531:O570 S531:S570 W531:W570 AA531:AA570 AE531:AE570 AI531:AI570 AM531:AM570 AQ531:AQ570 AU531:AU570 AY531:AY570 BC531:BC570 BG531:BG570 BK531:BK570 K324:K381 O324:O448 G324:G381 W324:W448 S324:S448 AA324:AA448 AY324:AY448 BC324:BC448 BG324:BG448 BK324:BK448 AQ324:AQ448 AI324:AI448 AU324:AU448 AM324:AM448 AE324:AE448 AE458:AE494 AM458:AM494 AU458:AU494 AI458:AI494 AQ458:AQ494 BK458:BK494 BG458:BG494 BC458:BC494 AY458:AY494 AA458:AA494 S458:S494 W458:W494 O458:O494 G458:G506 K458:K494 G531:G586 AE233:AE238 AM233:AM238 AU233:AU238 AI233:AI238 AQ233:AQ238 BK233:BK238 BG233:BG238 BC233:BC238 AY233:AY238 AA233:AA238 S233:S238 W233:W238 G233:G238 O238 O233:O236 K238 K233:K236 G590:G629 AE306:AE308 AM306:AM308 AU306:AU308 AI306:AI308 AQ306:AQ308 BK306:BK308 BG306:BG308 BC306:BC308 AY306:AY308 AA306:AA308 S306:S308 W306:W308 G306:G308 O306:O308 K306:K308 W240:W294 S240:S294 AA240:AA294 AY240:AY294 BC240:BC294 BG240:BG294 BK240:BK294 AQ240:AQ294 AI240:AI294 AU240:AU294 AM240:AM294 AE240:AE294 G240:G294 K240:K294 O240:O294">
    <cfRule type="expression" dxfId="35548" priority="31020">
      <formula>AND(H2&gt;=79001,H2&lt;79900)</formula>
    </cfRule>
    <cfRule type="expression" dxfId="35547" priority="31021" stopIfTrue="1">
      <formula>AND(H2&gt;=70101,H2&lt;=70301)</formula>
    </cfRule>
    <cfRule type="expression" dxfId="35546" priority="31022" stopIfTrue="1">
      <formula>AND(H2&gt;70000,H2&lt;70004)</formula>
    </cfRule>
    <cfRule type="expression" dxfId="35545" priority="31023" stopIfTrue="1">
      <formula>AND(H2&gt;=70010,H2&lt;=76000)</formula>
    </cfRule>
    <cfRule type="expression" dxfId="35544" priority="31024">
      <formula>AND(H2&gt;70000,H2&lt;70004)</formula>
    </cfRule>
    <cfRule type="expression" dxfId="35543" priority="31025" stopIfTrue="1">
      <formula>OR(AND(H2&gt;=10000,H2&lt;=56999),AND(H2&gt;=57000,H2&lt;=57999))</formula>
    </cfRule>
    <cfRule type="expression" dxfId="35542" priority="31026" stopIfTrue="1">
      <formula>AND(H2&gt;=8000,H2&lt;=9999)</formula>
    </cfRule>
    <cfRule type="expression" dxfId="35541" priority="31027" stopIfTrue="1">
      <formula>AND(H2&gt;=78100,H2&lt;=78199)</formula>
    </cfRule>
    <cfRule type="expression" dxfId="35540" priority="31028" stopIfTrue="1">
      <formula>AND(H2&gt;=92000,H2&lt;=98999)</formula>
    </cfRule>
    <cfRule type="expression" dxfId="35539" priority="31029" stopIfTrue="1">
      <formula>AND(H2&gt;=78100,H2&lt;=78199)</formula>
    </cfRule>
    <cfRule type="expression" dxfId="35538" priority="31030" stopIfTrue="1">
      <formula>AND(H2&gt;=91000,H2&lt;=91999)</formula>
    </cfRule>
  </conditionalFormatting>
  <conditionalFormatting sqref="G2:G8 G130:G135 G139:G141 G145:G146 G58:G63 G67:G69 G73:G81 G12:G18 G22:G27 G31:G36 G40:G45 G49:G54 G85:G90 G94:G99 G103:G108 G112:G117 G121:G126">
    <cfRule type="expression" dxfId="35537" priority="31009">
      <formula>AND(H2&gt;=79001,H2&lt;79900)</formula>
    </cfRule>
    <cfRule type="expression" dxfId="35536" priority="31010" stopIfTrue="1">
      <formula>AND(H2&gt;=70101,H2&lt;=70301)</formula>
    </cfRule>
    <cfRule type="expression" dxfId="35535" priority="31011" stopIfTrue="1">
      <formula>AND(H2&gt;70000,H2&lt;70004)</formula>
    </cfRule>
    <cfRule type="expression" dxfId="35534" priority="31012" stopIfTrue="1">
      <formula>AND(H2&gt;=70010,H2&lt;=76000)</formula>
    </cfRule>
    <cfRule type="expression" dxfId="35533" priority="31013">
      <formula>AND(H2&gt;70000,H2&lt;70004)</formula>
    </cfRule>
    <cfRule type="expression" dxfId="35532" priority="31014" stopIfTrue="1">
      <formula>OR(AND(H2&gt;=10000,H2&lt;=56999),AND(H2&gt;=57000,H2&lt;=57999))</formula>
    </cfRule>
    <cfRule type="expression" dxfId="35531" priority="31015" stopIfTrue="1">
      <formula>AND(H2&gt;=8000,H2&lt;=9999)</formula>
    </cfRule>
    <cfRule type="expression" dxfId="35530" priority="31016" stopIfTrue="1">
      <formula>AND(H2&gt;=78100,H2&lt;=78199)</formula>
    </cfRule>
    <cfRule type="expression" dxfId="35529" priority="31017" stopIfTrue="1">
      <formula>AND(H2&gt;=92000,H2&lt;=98999)</formula>
    </cfRule>
    <cfRule type="expression" dxfId="35528" priority="31018" stopIfTrue="1">
      <formula>AND(H2&gt;=78100,H2&lt;=78199)</formula>
    </cfRule>
    <cfRule type="expression" dxfId="35527" priority="31019" stopIfTrue="1">
      <formula>AND(H2&gt;=91000,H2&lt;=91999)</formula>
    </cfRule>
  </conditionalFormatting>
  <conditionalFormatting sqref="AI795">
    <cfRule type="expression" dxfId="35526" priority="30613">
      <formula>AND(AJ795&gt;=79001,AJ795&lt;79900)</formula>
    </cfRule>
    <cfRule type="expression" dxfId="35525" priority="30614" stopIfTrue="1">
      <formula>AND(AJ795&gt;=70101,AJ795&lt;=70301)</formula>
    </cfRule>
    <cfRule type="expression" dxfId="35524" priority="30615" stopIfTrue="1">
      <formula>AND(AJ795&gt;70000,AJ795&lt;70004)</formula>
    </cfRule>
    <cfRule type="expression" dxfId="35523" priority="30616" stopIfTrue="1">
      <formula>AND(AJ795&gt;=70010,AJ795&lt;=76000)</formula>
    </cfRule>
    <cfRule type="expression" dxfId="35522" priority="30617">
      <formula>AND(AJ795&gt;70000,AJ795&lt;70004)</formula>
    </cfRule>
    <cfRule type="expression" dxfId="35521" priority="30618" stopIfTrue="1">
      <formula>OR(AND(AJ795&gt;=10000,AJ795&lt;=56999),AND(AJ795&gt;=57000,AJ795&lt;=57999))</formula>
    </cfRule>
    <cfRule type="expression" dxfId="35520" priority="30619" stopIfTrue="1">
      <formula>AND(AJ795&gt;=8000,AJ795&lt;=9999)</formula>
    </cfRule>
    <cfRule type="expression" dxfId="35519" priority="30620" stopIfTrue="1">
      <formula>AND(AJ795&gt;=78100,AJ795&lt;=78199)</formula>
    </cfRule>
    <cfRule type="expression" dxfId="35518" priority="30621" stopIfTrue="1">
      <formula>AND(AJ795&gt;=92000,AJ795&lt;=98999)</formula>
    </cfRule>
    <cfRule type="expression" dxfId="35517" priority="30622" stopIfTrue="1">
      <formula>AND(AJ795&gt;=78100,AJ795&lt;=78199)</formula>
    </cfRule>
    <cfRule type="expression" dxfId="35516" priority="30623" stopIfTrue="1">
      <formula>AND(AJ795&gt;=91000,AJ795&lt;=91999)</formula>
    </cfRule>
  </conditionalFormatting>
  <conditionalFormatting sqref="D802:D812">
    <cfRule type="duplicateValues" dxfId="35515" priority="27027" stopIfTrue="1"/>
  </conditionalFormatting>
  <conditionalFormatting sqref="G147">
    <cfRule type="expression" dxfId="35514" priority="17694">
      <formula>AND(H147&gt;=79001,H147&lt;79900)</formula>
    </cfRule>
    <cfRule type="expression" dxfId="35513" priority="17695" stopIfTrue="1">
      <formula>AND(H147&gt;=70101,H147&lt;=70301)</formula>
    </cfRule>
    <cfRule type="expression" dxfId="35512" priority="17696" stopIfTrue="1">
      <formula>AND(H147&gt;70000,H147&lt;70004)</formula>
    </cfRule>
    <cfRule type="expression" dxfId="35511" priority="17697" stopIfTrue="1">
      <formula>AND(H147&gt;=70010,H147&lt;=76000)</formula>
    </cfRule>
    <cfRule type="expression" dxfId="35510" priority="17698">
      <formula>AND(H147&gt;70000,H147&lt;70004)</formula>
    </cfRule>
    <cfRule type="expression" dxfId="35509" priority="17699" stopIfTrue="1">
      <formula>OR(AND(H147&gt;=10000,H147&lt;=56999),AND(H147&gt;=57000,H147&lt;=57999))</formula>
    </cfRule>
    <cfRule type="expression" dxfId="35508" priority="17700" stopIfTrue="1">
      <formula>AND(H147&gt;=8000,H147&lt;=9999)</formula>
    </cfRule>
    <cfRule type="expression" dxfId="35507" priority="17701" stopIfTrue="1">
      <formula>AND(H147&gt;=78100,H147&lt;=78199)</formula>
    </cfRule>
    <cfRule type="expression" dxfId="35506" priority="17702" stopIfTrue="1">
      <formula>AND(H147&gt;=92000,H147&lt;=98999)</formula>
    </cfRule>
    <cfRule type="expression" dxfId="35505" priority="17703" stopIfTrue="1">
      <formula>AND(H147&gt;=78100,H147&lt;=78199)</formula>
    </cfRule>
    <cfRule type="expression" dxfId="35504" priority="17704" stopIfTrue="1">
      <formula>AND(H147&gt;=91000,H147&lt;=91999)</formula>
    </cfRule>
  </conditionalFormatting>
  <conditionalFormatting sqref="K2">
    <cfRule type="expression" dxfId="35503" priority="8828">
      <formula>AND(L2&gt;=79001,L2&lt;79900)</formula>
    </cfRule>
    <cfRule type="expression" dxfId="35502" priority="8829" stopIfTrue="1">
      <formula>AND(L2&gt;=70101,L2&lt;=70301)</formula>
    </cfRule>
    <cfRule type="expression" dxfId="35501" priority="8830" stopIfTrue="1">
      <formula>AND(L2&gt;70000,L2&lt;70004)</formula>
    </cfRule>
    <cfRule type="expression" dxfId="35500" priority="8831" stopIfTrue="1">
      <formula>AND(L2&gt;=70010,L2&lt;=76000)</formula>
    </cfRule>
    <cfRule type="expression" dxfId="35499" priority="8832">
      <formula>AND(L2&gt;70000,L2&lt;70004)</formula>
    </cfRule>
    <cfRule type="expression" dxfId="35498" priority="8833" stopIfTrue="1">
      <formula>OR(AND(L2&gt;=10000,L2&lt;=56999),AND(L2&gt;=57000,L2&lt;=57999))</formula>
    </cfRule>
    <cfRule type="expression" dxfId="35497" priority="8834" stopIfTrue="1">
      <formula>AND(L2&gt;=8000,L2&lt;=9999)</formula>
    </cfRule>
    <cfRule type="expression" dxfId="35496" priority="8835" stopIfTrue="1">
      <formula>AND(L2&gt;=78100,L2&lt;=78199)</formula>
    </cfRule>
    <cfRule type="expression" dxfId="35495" priority="8836" stopIfTrue="1">
      <formula>AND(L2&gt;=92000,L2&lt;=98999)</formula>
    </cfRule>
    <cfRule type="expression" dxfId="35494" priority="8837" stopIfTrue="1">
      <formula>AND(L2&gt;=78100,L2&lt;=78199)</formula>
    </cfRule>
    <cfRule type="expression" dxfId="35493" priority="8838" stopIfTrue="1">
      <formula>AND(L2&gt;=91000,L2&lt;=91999)</formula>
    </cfRule>
  </conditionalFormatting>
  <conditionalFormatting sqref="K2:K8 K130:K135 K139:K141 K145:K146 K58:K63 K67:K69 K73:K81 K12:K18 K22:K27 K31:K36 K40:K45 K49:K54 K85:K90 K94:K99 K103:K108 K112:K117 K121:K126">
    <cfRule type="expression" dxfId="35492" priority="8817">
      <formula>AND(L2&gt;=79001,L2&lt;79900)</formula>
    </cfRule>
    <cfRule type="expression" dxfId="35491" priority="8818" stopIfTrue="1">
      <formula>AND(L2&gt;=70101,L2&lt;=70301)</formula>
    </cfRule>
    <cfRule type="expression" dxfId="35490" priority="8819" stopIfTrue="1">
      <formula>AND(L2&gt;70000,L2&lt;70004)</formula>
    </cfRule>
    <cfRule type="expression" dxfId="35489" priority="8820" stopIfTrue="1">
      <formula>AND(L2&gt;=70010,L2&lt;=76000)</formula>
    </cfRule>
    <cfRule type="expression" dxfId="35488" priority="8821">
      <formula>AND(L2&gt;70000,L2&lt;70004)</formula>
    </cfRule>
    <cfRule type="expression" dxfId="35487" priority="8822" stopIfTrue="1">
      <formula>OR(AND(L2&gt;=10000,L2&lt;=56999),AND(L2&gt;=57000,L2&lt;=57999))</formula>
    </cfRule>
    <cfRule type="expression" dxfId="35486" priority="8823" stopIfTrue="1">
      <formula>AND(L2&gt;=8000,L2&lt;=9999)</formula>
    </cfRule>
    <cfRule type="expression" dxfId="35485" priority="8824" stopIfTrue="1">
      <formula>AND(L2&gt;=78100,L2&lt;=78199)</formula>
    </cfRule>
    <cfRule type="expression" dxfId="35484" priority="8825" stopIfTrue="1">
      <formula>AND(L2&gt;=92000,L2&lt;=98999)</formula>
    </cfRule>
    <cfRule type="expression" dxfId="35483" priority="8826" stopIfTrue="1">
      <formula>AND(L2&gt;=78100,L2&lt;=78199)</formula>
    </cfRule>
    <cfRule type="expression" dxfId="35482" priority="8827" stopIfTrue="1">
      <formula>AND(L2&gt;=91000,L2&lt;=91999)</formula>
    </cfRule>
  </conditionalFormatting>
  <conditionalFormatting sqref="K147">
    <cfRule type="expression" dxfId="35481" priority="8806">
      <formula>AND(L147&gt;=79001,L147&lt;79900)</formula>
    </cfRule>
    <cfRule type="expression" dxfId="35480" priority="8807" stopIfTrue="1">
      <formula>AND(L147&gt;=70101,L147&lt;=70301)</formula>
    </cfRule>
    <cfRule type="expression" dxfId="35479" priority="8808" stopIfTrue="1">
      <formula>AND(L147&gt;70000,L147&lt;70004)</formula>
    </cfRule>
    <cfRule type="expression" dxfId="35478" priority="8809" stopIfTrue="1">
      <formula>AND(L147&gt;=70010,L147&lt;=76000)</formula>
    </cfRule>
    <cfRule type="expression" dxfId="35477" priority="8810">
      <formula>AND(L147&gt;70000,L147&lt;70004)</formula>
    </cfRule>
    <cfRule type="expression" dxfId="35476" priority="8811" stopIfTrue="1">
      <formula>OR(AND(L147&gt;=10000,L147&lt;=56999),AND(L147&gt;=57000,L147&lt;=57999))</formula>
    </cfRule>
    <cfRule type="expression" dxfId="35475" priority="8812" stopIfTrue="1">
      <formula>AND(L147&gt;=8000,L147&lt;=9999)</formula>
    </cfRule>
    <cfRule type="expression" dxfId="35474" priority="8813" stopIfTrue="1">
      <formula>AND(L147&gt;=78100,L147&lt;=78199)</formula>
    </cfRule>
    <cfRule type="expression" dxfId="35473" priority="8814" stopIfTrue="1">
      <formula>AND(L147&gt;=92000,L147&lt;=98999)</formula>
    </cfRule>
    <cfRule type="expression" dxfId="35472" priority="8815" stopIfTrue="1">
      <formula>AND(L147&gt;=78100,L147&lt;=78199)</formula>
    </cfRule>
    <cfRule type="expression" dxfId="35471" priority="8816" stopIfTrue="1">
      <formula>AND(L147&gt;=91000,L147&lt;=91999)</formula>
    </cfRule>
  </conditionalFormatting>
  <conditionalFormatting sqref="O2">
    <cfRule type="expression" dxfId="35470" priority="8789">
      <formula>AND(P2&gt;=79001,P2&lt;79900)</formula>
    </cfRule>
    <cfRule type="expression" dxfId="35469" priority="8790" stopIfTrue="1">
      <formula>AND(P2&gt;=70101,P2&lt;=70301)</formula>
    </cfRule>
    <cfRule type="expression" dxfId="35468" priority="8791" stopIfTrue="1">
      <formula>AND(P2&gt;70000,P2&lt;70004)</formula>
    </cfRule>
    <cfRule type="expression" dxfId="35467" priority="8792" stopIfTrue="1">
      <formula>AND(P2&gt;=70010,P2&lt;=76000)</formula>
    </cfRule>
    <cfRule type="expression" dxfId="35466" priority="8793">
      <formula>AND(P2&gt;70000,P2&lt;70004)</formula>
    </cfRule>
    <cfRule type="expression" dxfId="35465" priority="8794" stopIfTrue="1">
      <formula>OR(AND(P2&gt;=10000,P2&lt;=56999),AND(P2&gt;=57000,P2&lt;=57999))</formula>
    </cfRule>
    <cfRule type="expression" dxfId="35464" priority="8795" stopIfTrue="1">
      <formula>AND(P2&gt;=8000,P2&lt;=9999)</formula>
    </cfRule>
    <cfRule type="expression" dxfId="35463" priority="8796" stopIfTrue="1">
      <formula>AND(P2&gt;=78100,P2&lt;=78199)</formula>
    </cfRule>
    <cfRule type="expression" dxfId="35462" priority="8797" stopIfTrue="1">
      <formula>AND(P2&gt;=92000,P2&lt;=98999)</formula>
    </cfRule>
    <cfRule type="expression" dxfId="35461" priority="8798" stopIfTrue="1">
      <formula>AND(P2&gt;=78100,P2&lt;=78199)</formula>
    </cfRule>
    <cfRule type="expression" dxfId="35460" priority="8799" stopIfTrue="1">
      <formula>AND(P2&gt;=91000,P2&lt;=91999)</formula>
    </cfRule>
  </conditionalFormatting>
  <conditionalFormatting sqref="O2:O8 O130:O135 O139:O141 O145:O146 O76:O81 O12:O18 O22:O27 O31:O36 O40:O45 O49:O54 O85:O90 O94:O99 O103:O108 O112:O117 O121:O126">
    <cfRule type="expression" dxfId="35459" priority="8778">
      <formula>AND(P2&gt;=79001,P2&lt;79900)</formula>
    </cfRule>
    <cfRule type="expression" dxfId="35458" priority="8779" stopIfTrue="1">
      <formula>AND(P2&gt;=70101,P2&lt;=70301)</formula>
    </cfRule>
    <cfRule type="expression" dxfId="35457" priority="8780" stopIfTrue="1">
      <formula>AND(P2&gt;70000,P2&lt;70004)</formula>
    </cfRule>
    <cfRule type="expression" dxfId="35456" priority="8781" stopIfTrue="1">
      <formula>AND(P2&gt;=70010,P2&lt;=76000)</formula>
    </cfRule>
    <cfRule type="expression" dxfId="35455" priority="8782">
      <formula>AND(P2&gt;70000,P2&lt;70004)</formula>
    </cfRule>
    <cfRule type="expression" dxfId="35454" priority="8783" stopIfTrue="1">
      <formula>OR(AND(P2&gt;=10000,P2&lt;=56999),AND(P2&gt;=57000,P2&lt;=57999))</formula>
    </cfRule>
    <cfRule type="expression" dxfId="35453" priority="8784" stopIfTrue="1">
      <formula>AND(P2&gt;=8000,P2&lt;=9999)</formula>
    </cfRule>
    <cfRule type="expression" dxfId="35452" priority="8785" stopIfTrue="1">
      <formula>AND(P2&gt;=78100,P2&lt;=78199)</formula>
    </cfRule>
    <cfRule type="expression" dxfId="35451" priority="8786" stopIfTrue="1">
      <formula>AND(P2&gt;=92000,P2&lt;=98999)</formula>
    </cfRule>
    <cfRule type="expression" dxfId="35450" priority="8787" stopIfTrue="1">
      <formula>AND(P2&gt;=78100,P2&lt;=78199)</formula>
    </cfRule>
    <cfRule type="expression" dxfId="35449" priority="8788" stopIfTrue="1">
      <formula>AND(P2&gt;=91000,P2&lt;=91999)</formula>
    </cfRule>
  </conditionalFormatting>
  <conditionalFormatting sqref="O147">
    <cfRule type="expression" dxfId="35448" priority="8767">
      <formula>AND(P147&gt;=79001,P147&lt;79900)</formula>
    </cfRule>
    <cfRule type="expression" dxfId="35447" priority="8768" stopIfTrue="1">
      <formula>AND(P147&gt;=70101,P147&lt;=70301)</formula>
    </cfRule>
    <cfRule type="expression" dxfId="35446" priority="8769" stopIfTrue="1">
      <formula>AND(P147&gt;70000,P147&lt;70004)</formula>
    </cfRule>
    <cfRule type="expression" dxfId="35445" priority="8770" stopIfTrue="1">
      <formula>AND(P147&gt;=70010,P147&lt;=76000)</formula>
    </cfRule>
    <cfRule type="expression" dxfId="35444" priority="8771">
      <formula>AND(P147&gt;70000,P147&lt;70004)</formula>
    </cfRule>
    <cfRule type="expression" dxfId="35443" priority="8772" stopIfTrue="1">
      <formula>OR(AND(P147&gt;=10000,P147&lt;=56999),AND(P147&gt;=57000,P147&lt;=57999))</formula>
    </cfRule>
    <cfRule type="expression" dxfId="35442" priority="8773" stopIfTrue="1">
      <formula>AND(P147&gt;=8000,P147&lt;=9999)</formula>
    </cfRule>
    <cfRule type="expression" dxfId="35441" priority="8774" stopIfTrue="1">
      <formula>AND(P147&gt;=78100,P147&lt;=78199)</formula>
    </cfRule>
    <cfRule type="expression" dxfId="35440" priority="8775" stopIfTrue="1">
      <formula>AND(P147&gt;=92000,P147&lt;=98999)</formula>
    </cfRule>
    <cfRule type="expression" dxfId="35439" priority="8776" stopIfTrue="1">
      <formula>AND(P147&gt;=78100,P147&lt;=78199)</formula>
    </cfRule>
    <cfRule type="expression" dxfId="35438" priority="8777" stopIfTrue="1">
      <formula>AND(P147&gt;=91000,P147&lt;=91999)</formula>
    </cfRule>
  </conditionalFormatting>
  <conditionalFormatting sqref="S2">
    <cfRule type="expression" dxfId="35437" priority="8750">
      <formula>AND(T2&gt;=79001,T2&lt;79900)</formula>
    </cfRule>
    <cfRule type="expression" dxfId="35436" priority="8751" stopIfTrue="1">
      <formula>AND(T2&gt;=70101,T2&lt;=70301)</formula>
    </cfRule>
    <cfRule type="expression" dxfId="35435" priority="8752" stopIfTrue="1">
      <formula>AND(T2&gt;70000,T2&lt;70004)</formula>
    </cfRule>
    <cfRule type="expression" dxfId="35434" priority="8753" stopIfTrue="1">
      <formula>AND(T2&gt;=70010,T2&lt;=76000)</formula>
    </cfRule>
    <cfRule type="expression" dxfId="35433" priority="8754">
      <formula>AND(T2&gt;70000,T2&lt;70004)</formula>
    </cfRule>
    <cfRule type="expression" dxfId="35432" priority="8755" stopIfTrue="1">
      <formula>OR(AND(T2&gt;=10000,T2&lt;=56999),AND(T2&gt;=57000,T2&lt;=57999))</formula>
    </cfRule>
    <cfRule type="expression" dxfId="35431" priority="8756" stopIfTrue="1">
      <formula>AND(T2&gt;=8000,T2&lt;=9999)</formula>
    </cfRule>
    <cfRule type="expression" dxfId="35430" priority="8757" stopIfTrue="1">
      <formula>AND(T2&gt;=78100,T2&lt;=78199)</formula>
    </cfRule>
    <cfRule type="expression" dxfId="35429" priority="8758" stopIfTrue="1">
      <formula>AND(T2&gt;=92000,T2&lt;=98999)</formula>
    </cfRule>
    <cfRule type="expression" dxfId="35428" priority="8759" stopIfTrue="1">
      <formula>AND(T2&gt;=78100,T2&lt;=78199)</formula>
    </cfRule>
    <cfRule type="expression" dxfId="35427" priority="8760" stopIfTrue="1">
      <formula>AND(T2&gt;=91000,T2&lt;=91999)</formula>
    </cfRule>
  </conditionalFormatting>
  <conditionalFormatting sqref="S2:S8 S58:S63 S67:S69 S73:S81 S12:S18 S22:S27 S31:S36 S40:S45 S49:S54">
    <cfRule type="expression" dxfId="35426" priority="8739">
      <formula>AND(T2&gt;=79001,T2&lt;79900)</formula>
    </cfRule>
    <cfRule type="expression" dxfId="35425" priority="8740" stopIfTrue="1">
      <formula>AND(T2&gt;=70101,T2&lt;=70301)</formula>
    </cfRule>
    <cfRule type="expression" dxfId="35424" priority="8741" stopIfTrue="1">
      <formula>AND(T2&gt;70000,T2&lt;70004)</formula>
    </cfRule>
    <cfRule type="expression" dxfId="35423" priority="8742" stopIfTrue="1">
      <formula>AND(T2&gt;=70010,T2&lt;=76000)</formula>
    </cfRule>
    <cfRule type="expression" dxfId="35422" priority="8743">
      <formula>AND(T2&gt;70000,T2&lt;70004)</formula>
    </cfRule>
    <cfRule type="expression" dxfId="35421" priority="8744" stopIfTrue="1">
      <formula>OR(AND(T2&gt;=10000,T2&lt;=56999),AND(T2&gt;=57000,T2&lt;=57999))</formula>
    </cfRule>
    <cfRule type="expression" dxfId="35420" priority="8745" stopIfTrue="1">
      <formula>AND(T2&gt;=8000,T2&lt;=9999)</formula>
    </cfRule>
    <cfRule type="expression" dxfId="35419" priority="8746" stopIfTrue="1">
      <formula>AND(T2&gt;=78100,T2&lt;=78199)</formula>
    </cfRule>
    <cfRule type="expression" dxfId="35418" priority="8747" stopIfTrue="1">
      <formula>AND(T2&gt;=92000,T2&lt;=98999)</formula>
    </cfRule>
    <cfRule type="expression" dxfId="35417" priority="8748" stopIfTrue="1">
      <formula>AND(T2&gt;=78100,T2&lt;=78199)</formula>
    </cfRule>
    <cfRule type="expression" dxfId="35416" priority="8749" stopIfTrue="1">
      <formula>AND(T2&gt;=91000,T2&lt;=91999)</formula>
    </cfRule>
  </conditionalFormatting>
  <conditionalFormatting sqref="W2">
    <cfRule type="expression" dxfId="35415" priority="8711">
      <formula>AND(X2&gt;=79001,X2&lt;79900)</formula>
    </cfRule>
    <cfRule type="expression" dxfId="35414" priority="8712" stopIfTrue="1">
      <formula>AND(X2&gt;=70101,X2&lt;=70301)</formula>
    </cfRule>
    <cfRule type="expression" dxfId="35413" priority="8713" stopIfTrue="1">
      <formula>AND(X2&gt;70000,X2&lt;70004)</formula>
    </cfRule>
    <cfRule type="expression" dxfId="35412" priority="8714" stopIfTrue="1">
      <formula>AND(X2&gt;=70010,X2&lt;=76000)</formula>
    </cfRule>
    <cfRule type="expression" dxfId="35411" priority="8715">
      <formula>AND(X2&gt;70000,X2&lt;70004)</formula>
    </cfRule>
    <cfRule type="expression" dxfId="35410" priority="8716" stopIfTrue="1">
      <formula>OR(AND(X2&gt;=10000,X2&lt;=56999),AND(X2&gt;=57000,X2&lt;=57999))</formula>
    </cfRule>
    <cfRule type="expression" dxfId="35409" priority="8717" stopIfTrue="1">
      <formula>AND(X2&gt;=8000,X2&lt;=9999)</formula>
    </cfRule>
    <cfRule type="expression" dxfId="35408" priority="8718" stopIfTrue="1">
      <formula>AND(X2&gt;=78100,X2&lt;=78199)</formula>
    </cfRule>
    <cfRule type="expression" dxfId="35407" priority="8719" stopIfTrue="1">
      <formula>AND(X2&gt;=92000,X2&lt;=98999)</formula>
    </cfRule>
    <cfRule type="expression" dxfId="35406" priority="8720" stopIfTrue="1">
      <formula>AND(X2&gt;=78100,X2&lt;=78199)</formula>
    </cfRule>
    <cfRule type="expression" dxfId="35405" priority="8721" stopIfTrue="1">
      <formula>AND(X2&gt;=91000,X2&lt;=91999)</formula>
    </cfRule>
  </conditionalFormatting>
  <conditionalFormatting sqref="W2:W8 W58:W63 W67:W69 W73:W81 W12:W18 W22:W27 W31:W36 W40:W45 W49:W54 W85:W90 W94:W99 W103">
    <cfRule type="expression" dxfId="35404" priority="8700">
      <formula>AND(X2&gt;=79001,X2&lt;79900)</formula>
    </cfRule>
    <cfRule type="expression" dxfId="35403" priority="8701" stopIfTrue="1">
      <formula>AND(X2&gt;=70101,X2&lt;=70301)</formula>
    </cfRule>
    <cfRule type="expression" dxfId="35402" priority="8702" stopIfTrue="1">
      <formula>AND(X2&gt;70000,X2&lt;70004)</formula>
    </cfRule>
    <cfRule type="expression" dxfId="35401" priority="8703" stopIfTrue="1">
      <formula>AND(X2&gt;=70010,X2&lt;=76000)</formula>
    </cfRule>
    <cfRule type="expression" dxfId="35400" priority="8704">
      <formula>AND(X2&gt;70000,X2&lt;70004)</formula>
    </cfRule>
    <cfRule type="expression" dxfId="35399" priority="8705" stopIfTrue="1">
      <formula>OR(AND(X2&gt;=10000,X2&lt;=56999),AND(X2&gt;=57000,X2&lt;=57999))</formula>
    </cfRule>
    <cfRule type="expression" dxfId="35398" priority="8706" stopIfTrue="1">
      <formula>AND(X2&gt;=8000,X2&lt;=9999)</formula>
    </cfRule>
    <cfRule type="expression" dxfId="35397" priority="8707" stopIfTrue="1">
      <formula>AND(X2&gt;=78100,X2&lt;=78199)</formula>
    </cfRule>
    <cfRule type="expression" dxfId="35396" priority="8708" stopIfTrue="1">
      <formula>AND(X2&gt;=92000,X2&lt;=98999)</formula>
    </cfRule>
    <cfRule type="expression" dxfId="35395" priority="8709" stopIfTrue="1">
      <formula>AND(X2&gt;=78100,X2&lt;=78199)</formula>
    </cfRule>
    <cfRule type="expression" dxfId="35394" priority="8710" stopIfTrue="1">
      <formula>AND(X2&gt;=91000,X2&lt;=91999)</formula>
    </cfRule>
  </conditionalFormatting>
  <conditionalFormatting sqref="AA2">
    <cfRule type="expression" dxfId="35393" priority="8672">
      <formula>AND(AB2&gt;=79001,AB2&lt;79900)</formula>
    </cfRule>
    <cfRule type="expression" dxfId="35392" priority="8673" stopIfTrue="1">
      <formula>AND(AB2&gt;=70101,AB2&lt;=70301)</formula>
    </cfRule>
    <cfRule type="expression" dxfId="35391" priority="8674" stopIfTrue="1">
      <formula>AND(AB2&gt;70000,AB2&lt;70004)</formula>
    </cfRule>
    <cfRule type="expression" dxfId="35390" priority="8675" stopIfTrue="1">
      <formula>AND(AB2&gt;=70010,AB2&lt;=76000)</formula>
    </cfRule>
    <cfRule type="expression" dxfId="35389" priority="8676">
      <formula>AND(AB2&gt;70000,AB2&lt;70004)</formula>
    </cfRule>
    <cfRule type="expression" dxfId="35388" priority="8677" stopIfTrue="1">
      <formula>OR(AND(AB2&gt;=10000,AB2&lt;=56999),AND(AB2&gt;=57000,AB2&lt;=57999))</formula>
    </cfRule>
    <cfRule type="expression" dxfId="35387" priority="8678" stopIfTrue="1">
      <formula>AND(AB2&gt;=8000,AB2&lt;=9999)</formula>
    </cfRule>
    <cfRule type="expression" dxfId="35386" priority="8679" stopIfTrue="1">
      <formula>AND(AB2&gt;=78100,AB2&lt;=78199)</formula>
    </cfRule>
    <cfRule type="expression" dxfId="35385" priority="8680" stopIfTrue="1">
      <formula>AND(AB2&gt;=92000,AB2&lt;=98999)</formula>
    </cfRule>
    <cfRule type="expression" dxfId="35384" priority="8681" stopIfTrue="1">
      <formula>AND(AB2&gt;=78100,AB2&lt;=78199)</formula>
    </cfRule>
    <cfRule type="expression" dxfId="35383" priority="8682" stopIfTrue="1">
      <formula>AND(AB2&gt;=91000,AB2&lt;=91999)</formula>
    </cfRule>
  </conditionalFormatting>
  <conditionalFormatting sqref="AA2:AA8 AA130:AA135 AA139:AA141 AA145:AA146 AA58:AA63 AA67:AA69 AA73:AA81 AA12:AA18 AA22:AA27 AA31:AA36 AA40:AA45 AA49:AA54 AA85:AA90 AA94:AA99 AA103:AA108 AA112:AA117 AA121:AA126">
    <cfRule type="expression" dxfId="35382" priority="8661">
      <formula>AND(AB2&gt;=79001,AB2&lt;79900)</formula>
    </cfRule>
    <cfRule type="expression" dxfId="35381" priority="8662" stopIfTrue="1">
      <formula>AND(AB2&gt;=70101,AB2&lt;=70301)</formula>
    </cfRule>
    <cfRule type="expression" dxfId="35380" priority="8663" stopIfTrue="1">
      <formula>AND(AB2&gt;70000,AB2&lt;70004)</formula>
    </cfRule>
    <cfRule type="expression" dxfId="35379" priority="8664" stopIfTrue="1">
      <formula>AND(AB2&gt;=70010,AB2&lt;=76000)</formula>
    </cfRule>
    <cfRule type="expression" dxfId="35378" priority="8665">
      <formula>AND(AB2&gt;70000,AB2&lt;70004)</formula>
    </cfRule>
    <cfRule type="expression" dxfId="35377" priority="8666" stopIfTrue="1">
      <formula>OR(AND(AB2&gt;=10000,AB2&lt;=56999),AND(AB2&gt;=57000,AB2&lt;=57999))</formula>
    </cfRule>
    <cfRule type="expression" dxfId="35376" priority="8667" stopIfTrue="1">
      <formula>AND(AB2&gt;=8000,AB2&lt;=9999)</formula>
    </cfRule>
    <cfRule type="expression" dxfId="35375" priority="8668" stopIfTrue="1">
      <formula>AND(AB2&gt;=78100,AB2&lt;=78199)</formula>
    </cfRule>
    <cfRule type="expression" dxfId="35374" priority="8669" stopIfTrue="1">
      <formula>AND(AB2&gt;=92000,AB2&lt;=98999)</formula>
    </cfRule>
    <cfRule type="expression" dxfId="35373" priority="8670" stopIfTrue="1">
      <formula>AND(AB2&gt;=78100,AB2&lt;=78199)</formula>
    </cfRule>
    <cfRule type="expression" dxfId="35372" priority="8671" stopIfTrue="1">
      <formula>AND(AB2&gt;=91000,AB2&lt;=91999)</formula>
    </cfRule>
  </conditionalFormatting>
  <conditionalFormatting sqref="AA147">
    <cfRule type="expression" dxfId="35371" priority="8650">
      <formula>AND(AB147&gt;=79001,AB147&lt;79900)</formula>
    </cfRule>
    <cfRule type="expression" dxfId="35370" priority="8651" stopIfTrue="1">
      <formula>AND(AB147&gt;=70101,AB147&lt;=70301)</formula>
    </cfRule>
    <cfRule type="expression" dxfId="35369" priority="8652" stopIfTrue="1">
      <formula>AND(AB147&gt;70000,AB147&lt;70004)</formula>
    </cfRule>
    <cfRule type="expression" dxfId="35368" priority="8653" stopIfTrue="1">
      <formula>AND(AB147&gt;=70010,AB147&lt;=76000)</formula>
    </cfRule>
    <cfRule type="expression" dxfId="35367" priority="8654">
      <formula>AND(AB147&gt;70000,AB147&lt;70004)</formula>
    </cfRule>
    <cfRule type="expression" dxfId="35366" priority="8655" stopIfTrue="1">
      <formula>OR(AND(AB147&gt;=10000,AB147&lt;=56999),AND(AB147&gt;=57000,AB147&lt;=57999))</formula>
    </cfRule>
    <cfRule type="expression" dxfId="35365" priority="8656" stopIfTrue="1">
      <formula>AND(AB147&gt;=8000,AB147&lt;=9999)</formula>
    </cfRule>
    <cfRule type="expression" dxfId="35364" priority="8657" stopIfTrue="1">
      <formula>AND(AB147&gt;=78100,AB147&lt;=78199)</formula>
    </cfRule>
    <cfRule type="expression" dxfId="35363" priority="8658" stopIfTrue="1">
      <formula>AND(AB147&gt;=92000,AB147&lt;=98999)</formula>
    </cfRule>
    <cfRule type="expression" dxfId="35362" priority="8659" stopIfTrue="1">
      <formula>AND(AB147&gt;=78100,AB147&lt;=78199)</formula>
    </cfRule>
    <cfRule type="expression" dxfId="35361" priority="8660" stopIfTrue="1">
      <formula>AND(AB147&gt;=91000,AB147&lt;=91999)</formula>
    </cfRule>
  </conditionalFormatting>
  <conditionalFormatting sqref="AE2">
    <cfRule type="expression" dxfId="35360" priority="8633">
      <formula>AND(AF2&gt;=79001,AF2&lt;79900)</formula>
    </cfRule>
    <cfRule type="expression" dxfId="35359" priority="8634" stopIfTrue="1">
      <formula>AND(AF2&gt;=70101,AF2&lt;=70301)</formula>
    </cfRule>
    <cfRule type="expression" dxfId="35358" priority="8635" stopIfTrue="1">
      <formula>AND(AF2&gt;70000,AF2&lt;70004)</formula>
    </cfRule>
    <cfRule type="expression" dxfId="35357" priority="8636" stopIfTrue="1">
      <formula>AND(AF2&gt;=70010,AF2&lt;=76000)</formula>
    </cfRule>
    <cfRule type="expression" dxfId="35356" priority="8637">
      <formula>AND(AF2&gt;70000,AF2&lt;70004)</formula>
    </cfRule>
    <cfRule type="expression" dxfId="35355" priority="8638" stopIfTrue="1">
      <formula>OR(AND(AF2&gt;=10000,AF2&lt;=56999),AND(AF2&gt;=57000,AF2&lt;=57999))</formula>
    </cfRule>
    <cfRule type="expression" dxfId="35354" priority="8639" stopIfTrue="1">
      <formula>AND(AF2&gt;=8000,AF2&lt;=9999)</formula>
    </cfRule>
    <cfRule type="expression" dxfId="35353" priority="8640" stopIfTrue="1">
      <formula>AND(AF2&gt;=78100,AF2&lt;=78199)</formula>
    </cfRule>
    <cfRule type="expression" dxfId="35352" priority="8641" stopIfTrue="1">
      <formula>AND(AF2&gt;=92000,AF2&lt;=98999)</formula>
    </cfRule>
    <cfRule type="expression" dxfId="35351" priority="8642" stopIfTrue="1">
      <formula>AND(AF2&gt;=78100,AF2&lt;=78199)</formula>
    </cfRule>
    <cfRule type="expression" dxfId="35350" priority="8643" stopIfTrue="1">
      <formula>AND(AF2&gt;=91000,AF2&lt;=91999)</formula>
    </cfRule>
  </conditionalFormatting>
  <conditionalFormatting sqref="AE2:AE8 AE130:AE135 AE139:AE141 AE145:AE146 AE58:AE63 AE67:AE69 AE73:AE81 AE12:AE18 AE22:AE27 AE31:AE36 AE40:AE45 AE49:AE54 AE85:AE90 AE94:AE99 AE103:AE108 AE112:AE117 AE121:AE126">
    <cfRule type="expression" dxfId="35349" priority="8622">
      <formula>AND(AF2&gt;=79001,AF2&lt;79900)</formula>
    </cfRule>
    <cfRule type="expression" dxfId="35348" priority="8623" stopIfTrue="1">
      <formula>AND(AF2&gt;=70101,AF2&lt;=70301)</formula>
    </cfRule>
    <cfRule type="expression" dxfId="35347" priority="8624" stopIfTrue="1">
      <formula>AND(AF2&gt;70000,AF2&lt;70004)</formula>
    </cfRule>
    <cfRule type="expression" dxfId="35346" priority="8625" stopIfTrue="1">
      <formula>AND(AF2&gt;=70010,AF2&lt;=76000)</formula>
    </cfRule>
    <cfRule type="expression" dxfId="35345" priority="8626">
      <formula>AND(AF2&gt;70000,AF2&lt;70004)</formula>
    </cfRule>
    <cfRule type="expression" dxfId="35344" priority="8627" stopIfTrue="1">
      <formula>OR(AND(AF2&gt;=10000,AF2&lt;=56999),AND(AF2&gt;=57000,AF2&lt;=57999))</formula>
    </cfRule>
    <cfRule type="expression" dxfId="35343" priority="8628" stopIfTrue="1">
      <formula>AND(AF2&gt;=8000,AF2&lt;=9999)</formula>
    </cfRule>
    <cfRule type="expression" dxfId="35342" priority="8629" stopIfTrue="1">
      <formula>AND(AF2&gt;=78100,AF2&lt;=78199)</formula>
    </cfRule>
    <cfRule type="expression" dxfId="35341" priority="8630" stopIfTrue="1">
      <formula>AND(AF2&gt;=92000,AF2&lt;=98999)</formula>
    </cfRule>
    <cfRule type="expression" dxfId="35340" priority="8631" stopIfTrue="1">
      <formula>AND(AF2&gt;=78100,AF2&lt;=78199)</formula>
    </cfRule>
    <cfRule type="expression" dxfId="35339" priority="8632" stopIfTrue="1">
      <formula>AND(AF2&gt;=91000,AF2&lt;=91999)</formula>
    </cfRule>
  </conditionalFormatting>
  <conditionalFormatting sqref="AE147">
    <cfRule type="expression" dxfId="35338" priority="8611">
      <formula>AND(AF147&gt;=79001,AF147&lt;79900)</formula>
    </cfRule>
    <cfRule type="expression" dxfId="35337" priority="8612" stopIfTrue="1">
      <formula>AND(AF147&gt;=70101,AF147&lt;=70301)</formula>
    </cfRule>
    <cfRule type="expression" dxfId="35336" priority="8613" stopIfTrue="1">
      <formula>AND(AF147&gt;70000,AF147&lt;70004)</formula>
    </cfRule>
    <cfRule type="expression" dxfId="35335" priority="8614" stopIfTrue="1">
      <formula>AND(AF147&gt;=70010,AF147&lt;=76000)</formula>
    </cfRule>
    <cfRule type="expression" dxfId="35334" priority="8615">
      <formula>AND(AF147&gt;70000,AF147&lt;70004)</formula>
    </cfRule>
    <cfRule type="expression" dxfId="35333" priority="8616" stopIfTrue="1">
      <formula>OR(AND(AF147&gt;=10000,AF147&lt;=56999),AND(AF147&gt;=57000,AF147&lt;=57999))</formula>
    </cfRule>
    <cfRule type="expression" dxfId="35332" priority="8617" stopIfTrue="1">
      <formula>AND(AF147&gt;=8000,AF147&lt;=9999)</formula>
    </cfRule>
    <cfRule type="expression" dxfId="35331" priority="8618" stopIfTrue="1">
      <formula>AND(AF147&gt;=78100,AF147&lt;=78199)</formula>
    </cfRule>
    <cfRule type="expression" dxfId="35330" priority="8619" stopIfTrue="1">
      <formula>AND(AF147&gt;=92000,AF147&lt;=98999)</formula>
    </cfRule>
    <cfRule type="expression" dxfId="35329" priority="8620" stopIfTrue="1">
      <formula>AND(AF147&gt;=78100,AF147&lt;=78199)</formula>
    </cfRule>
    <cfRule type="expression" dxfId="35328" priority="8621" stopIfTrue="1">
      <formula>AND(AF147&gt;=91000,AF147&lt;=91999)</formula>
    </cfRule>
  </conditionalFormatting>
  <conditionalFormatting sqref="AI2">
    <cfRule type="expression" dxfId="35327" priority="8594">
      <formula>AND(AJ2&gt;=79001,AJ2&lt;79900)</formula>
    </cfRule>
    <cfRule type="expression" dxfId="35326" priority="8595" stopIfTrue="1">
      <formula>AND(AJ2&gt;=70101,AJ2&lt;=70301)</formula>
    </cfRule>
    <cfRule type="expression" dxfId="35325" priority="8596" stopIfTrue="1">
      <formula>AND(AJ2&gt;70000,AJ2&lt;70004)</formula>
    </cfRule>
    <cfRule type="expression" dxfId="35324" priority="8597" stopIfTrue="1">
      <formula>AND(AJ2&gt;=70010,AJ2&lt;=76000)</formula>
    </cfRule>
    <cfRule type="expression" dxfId="35323" priority="8598">
      <formula>AND(AJ2&gt;70000,AJ2&lt;70004)</formula>
    </cfRule>
    <cfRule type="expression" dxfId="35322" priority="8599" stopIfTrue="1">
      <formula>OR(AND(AJ2&gt;=10000,AJ2&lt;=56999),AND(AJ2&gt;=57000,AJ2&lt;=57999))</formula>
    </cfRule>
    <cfRule type="expression" dxfId="35321" priority="8600" stopIfTrue="1">
      <formula>AND(AJ2&gt;=8000,AJ2&lt;=9999)</formula>
    </cfRule>
    <cfRule type="expression" dxfId="35320" priority="8601" stopIfTrue="1">
      <formula>AND(AJ2&gt;=78100,AJ2&lt;=78199)</formula>
    </cfRule>
    <cfRule type="expression" dxfId="35319" priority="8602" stopIfTrue="1">
      <formula>AND(AJ2&gt;=92000,AJ2&lt;=98999)</formula>
    </cfRule>
    <cfRule type="expression" dxfId="35318" priority="8603" stopIfTrue="1">
      <formula>AND(AJ2&gt;=78100,AJ2&lt;=78199)</formula>
    </cfRule>
    <cfRule type="expression" dxfId="35317" priority="8604" stopIfTrue="1">
      <formula>AND(AJ2&gt;=91000,AJ2&lt;=91999)</formula>
    </cfRule>
  </conditionalFormatting>
  <conditionalFormatting sqref="AI2:AI8 AI130:AI135 AI139:AI141 AI145:AI146 AI58:AI63 AI67:AI69 AI73:AI81 AI12:AI18 AI22:AI27 AI31:AI36 AI40:AI45 AI49:AI54 AI85:AI90 AI94:AI99 AI103:AI108 AI112:AI117 AI121:AI126">
    <cfRule type="expression" dxfId="35316" priority="8583">
      <formula>AND(AJ2&gt;=79001,AJ2&lt;79900)</formula>
    </cfRule>
    <cfRule type="expression" dxfId="35315" priority="8584" stopIfTrue="1">
      <formula>AND(AJ2&gt;=70101,AJ2&lt;=70301)</formula>
    </cfRule>
    <cfRule type="expression" dxfId="35314" priority="8585" stopIfTrue="1">
      <formula>AND(AJ2&gt;70000,AJ2&lt;70004)</formula>
    </cfRule>
    <cfRule type="expression" dxfId="35313" priority="8586" stopIfTrue="1">
      <formula>AND(AJ2&gt;=70010,AJ2&lt;=76000)</formula>
    </cfRule>
    <cfRule type="expression" dxfId="35312" priority="8587">
      <formula>AND(AJ2&gt;70000,AJ2&lt;70004)</formula>
    </cfRule>
    <cfRule type="expression" dxfId="35311" priority="8588" stopIfTrue="1">
      <formula>OR(AND(AJ2&gt;=10000,AJ2&lt;=56999),AND(AJ2&gt;=57000,AJ2&lt;=57999))</formula>
    </cfRule>
    <cfRule type="expression" dxfId="35310" priority="8589" stopIfTrue="1">
      <formula>AND(AJ2&gt;=8000,AJ2&lt;=9999)</formula>
    </cfRule>
    <cfRule type="expression" dxfId="35309" priority="8590" stopIfTrue="1">
      <formula>AND(AJ2&gt;=78100,AJ2&lt;=78199)</formula>
    </cfRule>
    <cfRule type="expression" dxfId="35308" priority="8591" stopIfTrue="1">
      <formula>AND(AJ2&gt;=92000,AJ2&lt;=98999)</formula>
    </cfRule>
    <cfRule type="expression" dxfId="35307" priority="8592" stopIfTrue="1">
      <formula>AND(AJ2&gt;=78100,AJ2&lt;=78199)</formula>
    </cfRule>
    <cfRule type="expression" dxfId="35306" priority="8593" stopIfTrue="1">
      <formula>AND(AJ2&gt;=91000,AJ2&lt;=91999)</formula>
    </cfRule>
  </conditionalFormatting>
  <conditionalFormatting sqref="AI147">
    <cfRule type="expression" dxfId="35305" priority="8572">
      <formula>AND(AJ147&gt;=79001,AJ147&lt;79900)</formula>
    </cfRule>
    <cfRule type="expression" dxfId="35304" priority="8573" stopIfTrue="1">
      <formula>AND(AJ147&gt;=70101,AJ147&lt;=70301)</formula>
    </cfRule>
    <cfRule type="expression" dxfId="35303" priority="8574" stopIfTrue="1">
      <formula>AND(AJ147&gt;70000,AJ147&lt;70004)</formula>
    </cfRule>
    <cfRule type="expression" dxfId="35302" priority="8575" stopIfTrue="1">
      <formula>AND(AJ147&gt;=70010,AJ147&lt;=76000)</formula>
    </cfRule>
    <cfRule type="expression" dxfId="35301" priority="8576">
      <formula>AND(AJ147&gt;70000,AJ147&lt;70004)</formula>
    </cfRule>
    <cfRule type="expression" dxfId="35300" priority="8577" stopIfTrue="1">
      <formula>OR(AND(AJ147&gt;=10000,AJ147&lt;=56999),AND(AJ147&gt;=57000,AJ147&lt;=57999))</formula>
    </cfRule>
    <cfRule type="expression" dxfId="35299" priority="8578" stopIfTrue="1">
      <formula>AND(AJ147&gt;=8000,AJ147&lt;=9999)</formula>
    </cfRule>
    <cfRule type="expression" dxfId="35298" priority="8579" stopIfTrue="1">
      <formula>AND(AJ147&gt;=78100,AJ147&lt;=78199)</formula>
    </cfRule>
    <cfRule type="expression" dxfId="35297" priority="8580" stopIfTrue="1">
      <formula>AND(AJ147&gt;=92000,AJ147&lt;=98999)</formula>
    </cfRule>
    <cfRule type="expression" dxfId="35296" priority="8581" stopIfTrue="1">
      <formula>AND(AJ147&gt;=78100,AJ147&lt;=78199)</formula>
    </cfRule>
    <cfRule type="expression" dxfId="35295" priority="8582" stopIfTrue="1">
      <formula>AND(AJ147&gt;=91000,AJ147&lt;=91999)</formula>
    </cfRule>
  </conditionalFormatting>
  <conditionalFormatting sqref="AM2">
    <cfRule type="expression" dxfId="35294" priority="8555">
      <formula>AND(AN2&gt;=79001,AN2&lt;79900)</formula>
    </cfRule>
    <cfRule type="expression" dxfId="35293" priority="8556" stopIfTrue="1">
      <formula>AND(AN2&gt;=70101,AN2&lt;=70301)</formula>
    </cfRule>
    <cfRule type="expression" dxfId="35292" priority="8557" stopIfTrue="1">
      <formula>AND(AN2&gt;70000,AN2&lt;70004)</formula>
    </cfRule>
    <cfRule type="expression" dxfId="35291" priority="8558" stopIfTrue="1">
      <formula>AND(AN2&gt;=70010,AN2&lt;=76000)</formula>
    </cfRule>
    <cfRule type="expression" dxfId="35290" priority="8559">
      <formula>AND(AN2&gt;70000,AN2&lt;70004)</formula>
    </cfRule>
    <cfRule type="expression" dxfId="35289" priority="8560" stopIfTrue="1">
      <formula>OR(AND(AN2&gt;=10000,AN2&lt;=56999),AND(AN2&gt;=57000,AN2&lt;=57999))</formula>
    </cfRule>
    <cfRule type="expression" dxfId="35288" priority="8561" stopIfTrue="1">
      <formula>AND(AN2&gt;=8000,AN2&lt;=9999)</formula>
    </cfRule>
    <cfRule type="expression" dxfId="35287" priority="8562" stopIfTrue="1">
      <formula>AND(AN2&gt;=78100,AN2&lt;=78199)</formula>
    </cfRule>
    <cfRule type="expression" dxfId="35286" priority="8563" stopIfTrue="1">
      <formula>AND(AN2&gt;=92000,AN2&lt;=98999)</formula>
    </cfRule>
    <cfRule type="expression" dxfId="35285" priority="8564" stopIfTrue="1">
      <formula>AND(AN2&gt;=78100,AN2&lt;=78199)</formula>
    </cfRule>
    <cfRule type="expression" dxfId="35284" priority="8565" stopIfTrue="1">
      <formula>AND(AN2&gt;=91000,AN2&lt;=91999)</formula>
    </cfRule>
  </conditionalFormatting>
  <conditionalFormatting sqref="AM2:AM8 AM130:AM135 AM139:AM141 AM145:AM146 AM58:AM63 AM67:AM69 AM73:AM81 AM12:AM18 AM22:AM27 AM31:AM36 AM40:AM45 AM49:AM54 AM85:AM90 AM94:AM99 AM103:AM108 AM112:AM117 AM121:AM126">
    <cfRule type="expression" dxfId="35283" priority="8544">
      <formula>AND(AN2&gt;=79001,AN2&lt;79900)</formula>
    </cfRule>
    <cfRule type="expression" dxfId="35282" priority="8545" stopIfTrue="1">
      <formula>AND(AN2&gt;=70101,AN2&lt;=70301)</formula>
    </cfRule>
    <cfRule type="expression" dxfId="35281" priority="8546" stopIfTrue="1">
      <formula>AND(AN2&gt;70000,AN2&lt;70004)</formula>
    </cfRule>
    <cfRule type="expression" dxfId="35280" priority="8547" stopIfTrue="1">
      <formula>AND(AN2&gt;=70010,AN2&lt;=76000)</formula>
    </cfRule>
    <cfRule type="expression" dxfId="35279" priority="8548">
      <formula>AND(AN2&gt;70000,AN2&lt;70004)</formula>
    </cfRule>
    <cfRule type="expression" dxfId="35278" priority="8549" stopIfTrue="1">
      <formula>OR(AND(AN2&gt;=10000,AN2&lt;=56999),AND(AN2&gt;=57000,AN2&lt;=57999))</formula>
    </cfRule>
    <cfRule type="expression" dxfId="35277" priority="8550" stopIfTrue="1">
      <formula>AND(AN2&gt;=8000,AN2&lt;=9999)</formula>
    </cfRule>
    <cfRule type="expression" dxfId="35276" priority="8551" stopIfTrue="1">
      <formula>AND(AN2&gt;=78100,AN2&lt;=78199)</formula>
    </cfRule>
    <cfRule type="expression" dxfId="35275" priority="8552" stopIfTrue="1">
      <formula>AND(AN2&gt;=92000,AN2&lt;=98999)</formula>
    </cfRule>
    <cfRule type="expression" dxfId="35274" priority="8553" stopIfTrue="1">
      <formula>AND(AN2&gt;=78100,AN2&lt;=78199)</formula>
    </cfRule>
    <cfRule type="expression" dxfId="35273" priority="8554" stopIfTrue="1">
      <formula>AND(AN2&gt;=91000,AN2&lt;=91999)</formula>
    </cfRule>
  </conditionalFormatting>
  <conditionalFormatting sqref="AM147">
    <cfRule type="expression" dxfId="35272" priority="8533">
      <formula>AND(AN147&gt;=79001,AN147&lt;79900)</formula>
    </cfRule>
    <cfRule type="expression" dxfId="35271" priority="8534" stopIfTrue="1">
      <formula>AND(AN147&gt;=70101,AN147&lt;=70301)</formula>
    </cfRule>
    <cfRule type="expression" dxfId="35270" priority="8535" stopIfTrue="1">
      <formula>AND(AN147&gt;70000,AN147&lt;70004)</formula>
    </cfRule>
    <cfRule type="expression" dxfId="35269" priority="8536" stopIfTrue="1">
      <formula>AND(AN147&gt;=70010,AN147&lt;=76000)</formula>
    </cfRule>
    <cfRule type="expression" dxfId="35268" priority="8537">
      <formula>AND(AN147&gt;70000,AN147&lt;70004)</formula>
    </cfRule>
    <cfRule type="expression" dxfId="35267" priority="8538" stopIfTrue="1">
      <formula>OR(AND(AN147&gt;=10000,AN147&lt;=56999),AND(AN147&gt;=57000,AN147&lt;=57999))</formula>
    </cfRule>
    <cfRule type="expression" dxfId="35266" priority="8539" stopIfTrue="1">
      <formula>AND(AN147&gt;=8000,AN147&lt;=9999)</formula>
    </cfRule>
    <cfRule type="expression" dxfId="35265" priority="8540" stopIfTrue="1">
      <formula>AND(AN147&gt;=78100,AN147&lt;=78199)</formula>
    </cfRule>
    <cfRule type="expression" dxfId="35264" priority="8541" stopIfTrue="1">
      <formula>AND(AN147&gt;=92000,AN147&lt;=98999)</formula>
    </cfRule>
    <cfRule type="expression" dxfId="35263" priority="8542" stopIfTrue="1">
      <formula>AND(AN147&gt;=78100,AN147&lt;=78199)</formula>
    </cfRule>
    <cfRule type="expression" dxfId="35262" priority="8543" stopIfTrue="1">
      <formula>AND(AN147&gt;=91000,AN147&lt;=91999)</formula>
    </cfRule>
  </conditionalFormatting>
  <conditionalFormatting sqref="AQ2">
    <cfRule type="expression" dxfId="35261" priority="8516">
      <formula>AND(AR2&gt;=79001,AR2&lt;79900)</formula>
    </cfRule>
    <cfRule type="expression" dxfId="35260" priority="8517" stopIfTrue="1">
      <formula>AND(AR2&gt;=70101,AR2&lt;=70301)</formula>
    </cfRule>
    <cfRule type="expression" dxfId="35259" priority="8518" stopIfTrue="1">
      <formula>AND(AR2&gt;70000,AR2&lt;70004)</formula>
    </cfRule>
    <cfRule type="expression" dxfId="35258" priority="8519" stopIfTrue="1">
      <formula>AND(AR2&gt;=70010,AR2&lt;=76000)</formula>
    </cfRule>
    <cfRule type="expression" dxfId="35257" priority="8520">
      <formula>AND(AR2&gt;70000,AR2&lt;70004)</formula>
    </cfRule>
    <cfRule type="expression" dxfId="35256" priority="8521" stopIfTrue="1">
      <formula>OR(AND(AR2&gt;=10000,AR2&lt;=56999),AND(AR2&gt;=57000,AR2&lt;=57999))</formula>
    </cfRule>
    <cfRule type="expression" dxfId="35255" priority="8522" stopIfTrue="1">
      <formula>AND(AR2&gt;=8000,AR2&lt;=9999)</formula>
    </cfRule>
    <cfRule type="expression" dxfId="35254" priority="8523" stopIfTrue="1">
      <formula>AND(AR2&gt;=78100,AR2&lt;=78199)</formula>
    </cfRule>
    <cfRule type="expression" dxfId="35253" priority="8524" stopIfTrue="1">
      <formula>AND(AR2&gt;=92000,AR2&lt;=98999)</formula>
    </cfRule>
    <cfRule type="expression" dxfId="35252" priority="8525" stopIfTrue="1">
      <formula>AND(AR2&gt;=78100,AR2&lt;=78199)</formula>
    </cfRule>
    <cfRule type="expression" dxfId="35251" priority="8526" stopIfTrue="1">
      <formula>AND(AR2&gt;=91000,AR2&lt;=91999)</formula>
    </cfRule>
  </conditionalFormatting>
  <conditionalFormatting sqref="AQ2:AQ8 AQ130:AQ135 AQ139:AQ141 AQ145:AQ146 AQ58:AQ63 AQ67:AQ69 AQ73:AQ81 AQ12:AQ18 AQ22:AQ27 AQ31:AQ36 AQ40:AQ45 AQ49:AQ54 AQ85:AQ90 AQ94:AQ99 AQ103:AQ108 AQ112:AQ117 AQ121:AQ126">
    <cfRule type="expression" dxfId="35250" priority="8505">
      <formula>AND(AR2&gt;=79001,AR2&lt;79900)</formula>
    </cfRule>
    <cfRule type="expression" dxfId="35249" priority="8506" stopIfTrue="1">
      <formula>AND(AR2&gt;=70101,AR2&lt;=70301)</formula>
    </cfRule>
    <cfRule type="expression" dxfId="35248" priority="8507" stopIfTrue="1">
      <formula>AND(AR2&gt;70000,AR2&lt;70004)</formula>
    </cfRule>
    <cfRule type="expression" dxfId="35247" priority="8508" stopIfTrue="1">
      <formula>AND(AR2&gt;=70010,AR2&lt;=76000)</formula>
    </cfRule>
    <cfRule type="expression" dxfId="35246" priority="8509">
      <formula>AND(AR2&gt;70000,AR2&lt;70004)</formula>
    </cfRule>
    <cfRule type="expression" dxfId="35245" priority="8510" stopIfTrue="1">
      <formula>OR(AND(AR2&gt;=10000,AR2&lt;=56999),AND(AR2&gt;=57000,AR2&lt;=57999))</formula>
    </cfRule>
    <cfRule type="expression" dxfId="35244" priority="8511" stopIfTrue="1">
      <formula>AND(AR2&gt;=8000,AR2&lt;=9999)</formula>
    </cfRule>
    <cfRule type="expression" dxfId="35243" priority="8512" stopIfTrue="1">
      <formula>AND(AR2&gt;=78100,AR2&lt;=78199)</formula>
    </cfRule>
    <cfRule type="expression" dxfId="35242" priority="8513" stopIfTrue="1">
      <formula>AND(AR2&gt;=92000,AR2&lt;=98999)</formula>
    </cfRule>
    <cfRule type="expression" dxfId="35241" priority="8514" stopIfTrue="1">
      <formula>AND(AR2&gt;=78100,AR2&lt;=78199)</formula>
    </cfRule>
    <cfRule type="expression" dxfId="35240" priority="8515" stopIfTrue="1">
      <formula>AND(AR2&gt;=91000,AR2&lt;=91999)</formula>
    </cfRule>
  </conditionalFormatting>
  <conditionalFormatting sqref="AQ147">
    <cfRule type="expression" dxfId="35239" priority="8494">
      <formula>AND(AR147&gt;=79001,AR147&lt;79900)</formula>
    </cfRule>
    <cfRule type="expression" dxfId="35238" priority="8495" stopIfTrue="1">
      <formula>AND(AR147&gt;=70101,AR147&lt;=70301)</formula>
    </cfRule>
    <cfRule type="expression" dxfId="35237" priority="8496" stopIfTrue="1">
      <formula>AND(AR147&gt;70000,AR147&lt;70004)</formula>
    </cfRule>
    <cfRule type="expression" dxfId="35236" priority="8497" stopIfTrue="1">
      <formula>AND(AR147&gt;=70010,AR147&lt;=76000)</formula>
    </cfRule>
    <cfRule type="expression" dxfId="35235" priority="8498">
      <formula>AND(AR147&gt;70000,AR147&lt;70004)</formula>
    </cfRule>
    <cfRule type="expression" dxfId="35234" priority="8499" stopIfTrue="1">
      <formula>OR(AND(AR147&gt;=10000,AR147&lt;=56999),AND(AR147&gt;=57000,AR147&lt;=57999))</formula>
    </cfRule>
    <cfRule type="expression" dxfId="35233" priority="8500" stopIfTrue="1">
      <formula>AND(AR147&gt;=8000,AR147&lt;=9999)</formula>
    </cfRule>
    <cfRule type="expression" dxfId="35232" priority="8501" stopIfTrue="1">
      <formula>AND(AR147&gt;=78100,AR147&lt;=78199)</formula>
    </cfRule>
    <cfRule type="expression" dxfId="35231" priority="8502" stopIfTrue="1">
      <formula>AND(AR147&gt;=92000,AR147&lt;=98999)</formula>
    </cfRule>
    <cfRule type="expression" dxfId="35230" priority="8503" stopIfTrue="1">
      <formula>AND(AR147&gt;=78100,AR147&lt;=78199)</formula>
    </cfRule>
    <cfRule type="expression" dxfId="35229" priority="8504" stopIfTrue="1">
      <formula>AND(AR147&gt;=91000,AR147&lt;=91999)</formula>
    </cfRule>
  </conditionalFormatting>
  <conditionalFormatting sqref="AU2">
    <cfRule type="expression" dxfId="35228" priority="8477">
      <formula>AND(AV2&gt;=79001,AV2&lt;79900)</formula>
    </cfRule>
    <cfRule type="expression" dxfId="35227" priority="8478" stopIfTrue="1">
      <formula>AND(AV2&gt;=70101,AV2&lt;=70301)</formula>
    </cfRule>
    <cfRule type="expression" dxfId="35226" priority="8479" stopIfTrue="1">
      <formula>AND(AV2&gt;70000,AV2&lt;70004)</formula>
    </cfRule>
    <cfRule type="expression" dxfId="35225" priority="8480" stopIfTrue="1">
      <formula>AND(AV2&gt;=70010,AV2&lt;=76000)</formula>
    </cfRule>
    <cfRule type="expression" dxfId="35224" priority="8481">
      <formula>AND(AV2&gt;70000,AV2&lt;70004)</formula>
    </cfRule>
    <cfRule type="expression" dxfId="35223" priority="8482" stopIfTrue="1">
      <formula>OR(AND(AV2&gt;=10000,AV2&lt;=56999),AND(AV2&gt;=57000,AV2&lt;=57999))</formula>
    </cfRule>
    <cfRule type="expression" dxfId="35222" priority="8483" stopIfTrue="1">
      <formula>AND(AV2&gt;=8000,AV2&lt;=9999)</formula>
    </cfRule>
    <cfRule type="expression" dxfId="35221" priority="8484" stopIfTrue="1">
      <formula>AND(AV2&gt;=78100,AV2&lt;=78199)</formula>
    </cfRule>
    <cfRule type="expression" dxfId="35220" priority="8485" stopIfTrue="1">
      <formula>AND(AV2&gt;=92000,AV2&lt;=98999)</formula>
    </cfRule>
    <cfRule type="expression" dxfId="35219" priority="8486" stopIfTrue="1">
      <formula>AND(AV2&gt;=78100,AV2&lt;=78199)</formula>
    </cfRule>
    <cfRule type="expression" dxfId="35218" priority="8487" stopIfTrue="1">
      <formula>AND(AV2&gt;=91000,AV2&lt;=91999)</formula>
    </cfRule>
  </conditionalFormatting>
  <conditionalFormatting sqref="AU2:AU8 AU130:AU135 AU139:AU141 AU145:AU146 AU58:AU63 AU67:AU69 AU73:AU81 AU12:AU18 AU22:AU27 AU31:AU36 AU40:AU45 AU49:AU54 AU85:AU90 AU94:AU99 AU103:AU108 AU112:AU117 AU121:AU126">
    <cfRule type="expression" dxfId="35217" priority="8466">
      <formula>AND(AV2&gt;=79001,AV2&lt;79900)</formula>
    </cfRule>
    <cfRule type="expression" dxfId="35216" priority="8467" stopIfTrue="1">
      <formula>AND(AV2&gt;=70101,AV2&lt;=70301)</formula>
    </cfRule>
    <cfRule type="expression" dxfId="35215" priority="8468" stopIfTrue="1">
      <formula>AND(AV2&gt;70000,AV2&lt;70004)</formula>
    </cfRule>
    <cfRule type="expression" dxfId="35214" priority="8469" stopIfTrue="1">
      <formula>AND(AV2&gt;=70010,AV2&lt;=76000)</formula>
    </cfRule>
    <cfRule type="expression" dxfId="35213" priority="8470">
      <formula>AND(AV2&gt;70000,AV2&lt;70004)</formula>
    </cfRule>
    <cfRule type="expression" dxfId="35212" priority="8471" stopIfTrue="1">
      <formula>OR(AND(AV2&gt;=10000,AV2&lt;=56999),AND(AV2&gt;=57000,AV2&lt;=57999))</formula>
    </cfRule>
    <cfRule type="expression" dxfId="35211" priority="8472" stopIfTrue="1">
      <formula>AND(AV2&gt;=8000,AV2&lt;=9999)</formula>
    </cfRule>
    <cfRule type="expression" dxfId="35210" priority="8473" stopIfTrue="1">
      <formula>AND(AV2&gt;=78100,AV2&lt;=78199)</formula>
    </cfRule>
    <cfRule type="expression" dxfId="35209" priority="8474" stopIfTrue="1">
      <formula>AND(AV2&gt;=92000,AV2&lt;=98999)</formula>
    </cfRule>
    <cfRule type="expression" dxfId="35208" priority="8475" stopIfTrue="1">
      <formula>AND(AV2&gt;=78100,AV2&lt;=78199)</formula>
    </cfRule>
    <cfRule type="expression" dxfId="35207" priority="8476" stopIfTrue="1">
      <formula>AND(AV2&gt;=91000,AV2&lt;=91999)</formula>
    </cfRule>
  </conditionalFormatting>
  <conditionalFormatting sqref="AU147">
    <cfRule type="expression" dxfId="35206" priority="8455">
      <formula>AND(AV147&gt;=79001,AV147&lt;79900)</formula>
    </cfRule>
    <cfRule type="expression" dxfId="35205" priority="8456" stopIfTrue="1">
      <formula>AND(AV147&gt;=70101,AV147&lt;=70301)</formula>
    </cfRule>
    <cfRule type="expression" dxfId="35204" priority="8457" stopIfTrue="1">
      <formula>AND(AV147&gt;70000,AV147&lt;70004)</formula>
    </cfRule>
    <cfRule type="expression" dxfId="35203" priority="8458" stopIfTrue="1">
      <formula>AND(AV147&gt;=70010,AV147&lt;=76000)</formula>
    </cfRule>
    <cfRule type="expression" dxfId="35202" priority="8459">
      <formula>AND(AV147&gt;70000,AV147&lt;70004)</formula>
    </cfRule>
    <cfRule type="expression" dxfId="35201" priority="8460" stopIfTrue="1">
      <formula>OR(AND(AV147&gt;=10000,AV147&lt;=56999),AND(AV147&gt;=57000,AV147&lt;=57999))</formula>
    </cfRule>
    <cfRule type="expression" dxfId="35200" priority="8461" stopIfTrue="1">
      <formula>AND(AV147&gt;=8000,AV147&lt;=9999)</formula>
    </cfRule>
    <cfRule type="expression" dxfId="35199" priority="8462" stopIfTrue="1">
      <formula>AND(AV147&gt;=78100,AV147&lt;=78199)</formula>
    </cfRule>
    <cfRule type="expression" dxfId="35198" priority="8463" stopIfTrue="1">
      <formula>AND(AV147&gt;=92000,AV147&lt;=98999)</formula>
    </cfRule>
    <cfRule type="expression" dxfId="35197" priority="8464" stopIfTrue="1">
      <formula>AND(AV147&gt;=78100,AV147&lt;=78199)</formula>
    </cfRule>
    <cfRule type="expression" dxfId="35196" priority="8465" stopIfTrue="1">
      <formula>AND(AV147&gt;=91000,AV147&lt;=91999)</formula>
    </cfRule>
  </conditionalFormatting>
  <conditionalFormatting sqref="AY2">
    <cfRule type="expression" dxfId="35195" priority="8438">
      <formula>AND(AZ2&gt;=79001,AZ2&lt;79900)</formula>
    </cfRule>
    <cfRule type="expression" dxfId="35194" priority="8439" stopIfTrue="1">
      <formula>AND(AZ2&gt;=70101,AZ2&lt;=70301)</formula>
    </cfRule>
    <cfRule type="expression" dxfId="35193" priority="8440" stopIfTrue="1">
      <formula>AND(AZ2&gt;70000,AZ2&lt;70004)</formula>
    </cfRule>
    <cfRule type="expression" dxfId="35192" priority="8441" stopIfTrue="1">
      <formula>AND(AZ2&gt;=70010,AZ2&lt;=76000)</formula>
    </cfRule>
    <cfRule type="expression" dxfId="35191" priority="8442">
      <formula>AND(AZ2&gt;70000,AZ2&lt;70004)</formula>
    </cfRule>
    <cfRule type="expression" dxfId="35190" priority="8443" stopIfTrue="1">
      <formula>OR(AND(AZ2&gt;=10000,AZ2&lt;=56999),AND(AZ2&gt;=57000,AZ2&lt;=57999))</formula>
    </cfRule>
    <cfRule type="expression" dxfId="35189" priority="8444" stopIfTrue="1">
      <formula>AND(AZ2&gt;=8000,AZ2&lt;=9999)</formula>
    </cfRule>
    <cfRule type="expression" dxfId="35188" priority="8445" stopIfTrue="1">
      <formula>AND(AZ2&gt;=78100,AZ2&lt;=78199)</formula>
    </cfRule>
    <cfRule type="expression" dxfId="35187" priority="8446" stopIfTrue="1">
      <formula>AND(AZ2&gt;=92000,AZ2&lt;=98999)</formula>
    </cfRule>
    <cfRule type="expression" dxfId="35186" priority="8447" stopIfTrue="1">
      <formula>AND(AZ2&gt;=78100,AZ2&lt;=78199)</formula>
    </cfRule>
    <cfRule type="expression" dxfId="35185" priority="8448" stopIfTrue="1">
      <formula>AND(AZ2&gt;=91000,AZ2&lt;=91999)</formula>
    </cfRule>
  </conditionalFormatting>
  <conditionalFormatting sqref="AY2:AY8 AY130:AY135 AY139:AY141 AY145:AY146 AY58:AY63 AY67:AY69 AY73:AY81 AY12:AY18 AY22:AY27 AY31:AY36 AY40:AY45 AY49:AY54 AY85:AY90 AY94:AY99 AY103:AY108 AY112:AY117 AY121:AY126">
    <cfRule type="expression" dxfId="35184" priority="8427">
      <formula>AND(AZ2&gt;=79001,AZ2&lt;79900)</formula>
    </cfRule>
    <cfRule type="expression" dxfId="35183" priority="8428" stopIfTrue="1">
      <formula>AND(AZ2&gt;=70101,AZ2&lt;=70301)</formula>
    </cfRule>
    <cfRule type="expression" dxfId="35182" priority="8429" stopIfTrue="1">
      <formula>AND(AZ2&gt;70000,AZ2&lt;70004)</formula>
    </cfRule>
    <cfRule type="expression" dxfId="35181" priority="8430" stopIfTrue="1">
      <formula>AND(AZ2&gt;=70010,AZ2&lt;=76000)</formula>
    </cfRule>
    <cfRule type="expression" dxfId="35180" priority="8431">
      <formula>AND(AZ2&gt;70000,AZ2&lt;70004)</formula>
    </cfRule>
    <cfRule type="expression" dxfId="35179" priority="8432" stopIfTrue="1">
      <formula>OR(AND(AZ2&gt;=10000,AZ2&lt;=56999),AND(AZ2&gt;=57000,AZ2&lt;=57999))</formula>
    </cfRule>
    <cfRule type="expression" dxfId="35178" priority="8433" stopIfTrue="1">
      <formula>AND(AZ2&gt;=8000,AZ2&lt;=9999)</formula>
    </cfRule>
    <cfRule type="expression" dxfId="35177" priority="8434" stopIfTrue="1">
      <formula>AND(AZ2&gt;=78100,AZ2&lt;=78199)</formula>
    </cfRule>
    <cfRule type="expression" dxfId="35176" priority="8435" stopIfTrue="1">
      <formula>AND(AZ2&gt;=92000,AZ2&lt;=98999)</formula>
    </cfRule>
    <cfRule type="expression" dxfId="35175" priority="8436" stopIfTrue="1">
      <formula>AND(AZ2&gt;=78100,AZ2&lt;=78199)</formula>
    </cfRule>
    <cfRule type="expression" dxfId="35174" priority="8437" stopIfTrue="1">
      <formula>AND(AZ2&gt;=91000,AZ2&lt;=91999)</formula>
    </cfRule>
  </conditionalFormatting>
  <conditionalFormatting sqref="AY147">
    <cfRule type="expression" dxfId="35173" priority="8416">
      <formula>AND(AZ147&gt;=79001,AZ147&lt;79900)</formula>
    </cfRule>
    <cfRule type="expression" dxfId="35172" priority="8417" stopIfTrue="1">
      <formula>AND(AZ147&gt;=70101,AZ147&lt;=70301)</formula>
    </cfRule>
    <cfRule type="expression" dxfId="35171" priority="8418" stopIfTrue="1">
      <formula>AND(AZ147&gt;70000,AZ147&lt;70004)</formula>
    </cfRule>
    <cfRule type="expression" dxfId="35170" priority="8419" stopIfTrue="1">
      <formula>AND(AZ147&gt;=70010,AZ147&lt;=76000)</formula>
    </cfRule>
    <cfRule type="expression" dxfId="35169" priority="8420">
      <formula>AND(AZ147&gt;70000,AZ147&lt;70004)</formula>
    </cfRule>
    <cfRule type="expression" dxfId="35168" priority="8421" stopIfTrue="1">
      <formula>OR(AND(AZ147&gt;=10000,AZ147&lt;=56999),AND(AZ147&gt;=57000,AZ147&lt;=57999))</formula>
    </cfRule>
    <cfRule type="expression" dxfId="35167" priority="8422" stopIfTrue="1">
      <formula>AND(AZ147&gt;=8000,AZ147&lt;=9999)</formula>
    </cfRule>
    <cfRule type="expression" dxfId="35166" priority="8423" stopIfTrue="1">
      <formula>AND(AZ147&gt;=78100,AZ147&lt;=78199)</formula>
    </cfRule>
    <cfRule type="expression" dxfId="35165" priority="8424" stopIfTrue="1">
      <formula>AND(AZ147&gt;=92000,AZ147&lt;=98999)</formula>
    </cfRule>
    <cfRule type="expression" dxfId="35164" priority="8425" stopIfTrue="1">
      <formula>AND(AZ147&gt;=78100,AZ147&lt;=78199)</formula>
    </cfRule>
    <cfRule type="expression" dxfId="35163" priority="8426" stopIfTrue="1">
      <formula>AND(AZ147&gt;=91000,AZ147&lt;=91999)</formula>
    </cfRule>
  </conditionalFormatting>
  <conditionalFormatting sqref="BC2">
    <cfRule type="expression" dxfId="35162" priority="8399">
      <formula>AND(BD2&gt;=79001,BD2&lt;79900)</formula>
    </cfRule>
    <cfRule type="expression" dxfId="35161" priority="8400" stopIfTrue="1">
      <formula>AND(BD2&gt;=70101,BD2&lt;=70301)</formula>
    </cfRule>
    <cfRule type="expression" dxfId="35160" priority="8401" stopIfTrue="1">
      <formula>AND(BD2&gt;70000,BD2&lt;70004)</formula>
    </cfRule>
    <cfRule type="expression" dxfId="35159" priority="8402" stopIfTrue="1">
      <formula>AND(BD2&gt;=70010,BD2&lt;=76000)</formula>
    </cfRule>
    <cfRule type="expression" dxfId="35158" priority="8403">
      <formula>AND(BD2&gt;70000,BD2&lt;70004)</formula>
    </cfRule>
    <cfRule type="expression" dxfId="35157" priority="8404" stopIfTrue="1">
      <formula>OR(AND(BD2&gt;=10000,BD2&lt;=56999),AND(BD2&gt;=57000,BD2&lt;=57999))</formula>
    </cfRule>
    <cfRule type="expression" dxfId="35156" priority="8405" stopIfTrue="1">
      <formula>AND(BD2&gt;=8000,BD2&lt;=9999)</formula>
    </cfRule>
    <cfRule type="expression" dxfId="35155" priority="8406" stopIfTrue="1">
      <formula>AND(BD2&gt;=78100,BD2&lt;=78199)</formula>
    </cfRule>
    <cfRule type="expression" dxfId="35154" priority="8407" stopIfTrue="1">
      <formula>AND(BD2&gt;=92000,BD2&lt;=98999)</formula>
    </cfRule>
    <cfRule type="expression" dxfId="35153" priority="8408" stopIfTrue="1">
      <formula>AND(BD2&gt;=78100,BD2&lt;=78199)</formula>
    </cfRule>
    <cfRule type="expression" dxfId="35152" priority="8409" stopIfTrue="1">
      <formula>AND(BD2&gt;=91000,BD2&lt;=91999)</formula>
    </cfRule>
  </conditionalFormatting>
  <conditionalFormatting sqref="BC2:BC8 BC130:BC135 BC139:BC141 BC145:BC146 BC58:BC63 BC67:BC69 BC73:BC81 BC12:BC18 BC22:BC27 BC31:BC36 BC40:BC45 BC49:BC54 BC85:BC90 BC94:BC99 BC103:BC108 BC112:BC117 BC121:BC126">
    <cfRule type="expression" dxfId="35151" priority="8388">
      <formula>AND(BD2&gt;=79001,BD2&lt;79900)</formula>
    </cfRule>
    <cfRule type="expression" dxfId="35150" priority="8389" stopIfTrue="1">
      <formula>AND(BD2&gt;=70101,BD2&lt;=70301)</formula>
    </cfRule>
    <cfRule type="expression" dxfId="35149" priority="8390" stopIfTrue="1">
      <formula>AND(BD2&gt;70000,BD2&lt;70004)</formula>
    </cfRule>
    <cfRule type="expression" dxfId="35148" priority="8391" stopIfTrue="1">
      <formula>AND(BD2&gt;=70010,BD2&lt;=76000)</formula>
    </cfRule>
    <cfRule type="expression" dxfId="35147" priority="8392">
      <formula>AND(BD2&gt;70000,BD2&lt;70004)</formula>
    </cfRule>
    <cfRule type="expression" dxfId="35146" priority="8393" stopIfTrue="1">
      <formula>OR(AND(BD2&gt;=10000,BD2&lt;=56999),AND(BD2&gt;=57000,BD2&lt;=57999))</formula>
    </cfRule>
    <cfRule type="expression" dxfId="35145" priority="8394" stopIfTrue="1">
      <formula>AND(BD2&gt;=8000,BD2&lt;=9999)</formula>
    </cfRule>
    <cfRule type="expression" dxfId="35144" priority="8395" stopIfTrue="1">
      <formula>AND(BD2&gt;=78100,BD2&lt;=78199)</formula>
    </cfRule>
    <cfRule type="expression" dxfId="35143" priority="8396" stopIfTrue="1">
      <formula>AND(BD2&gt;=92000,BD2&lt;=98999)</formula>
    </cfRule>
    <cfRule type="expression" dxfId="35142" priority="8397" stopIfTrue="1">
      <formula>AND(BD2&gt;=78100,BD2&lt;=78199)</formula>
    </cfRule>
    <cfRule type="expression" dxfId="35141" priority="8398" stopIfTrue="1">
      <formula>AND(BD2&gt;=91000,BD2&lt;=91999)</formula>
    </cfRule>
  </conditionalFormatting>
  <conditionalFormatting sqref="BC147">
    <cfRule type="expression" dxfId="35140" priority="8377">
      <formula>AND(BD147&gt;=79001,BD147&lt;79900)</formula>
    </cfRule>
    <cfRule type="expression" dxfId="35139" priority="8378" stopIfTrue="1">
      <formula>AND(BD147&gt;=70101,BD147&lt;=70301)</formula>
    </cfRule>
    <cfRule type="expression" dxfId="35138" priority="8379" stopIfTrue="1">
      <formula>AND(BD147&gt;70000,BD147&lt;70004)</formula>
    </cfRule>
    <cfRule type="expression" dxfId="35137" priority="8380" stopIfTrue="1">
      <formula>AND(BD147&gt;=70010,BD147&lt;=76000)</formula>
    </cfRule>
    <cfRule type="expression" dxfId="35136" priority="8381">
      <formula>AND(BD147&gt;70000,BD147&lt;70004)</formula>
    </cfRule>
    <cfRule type="expression" dxfId="35135" priority="8382" stopIfTrue="1">
      <formula>OR(AND(BD147&gt;=10000,BD147&lt;=56999),AND(BD147&gt;=57000,BD147&lt;=57999))</formula>
    </cfRule>
    <cfRule type="expression" dxfId="35134" priority="8383" stopIfTrue="1">
      <formula>AND(BD147&gt;=8000,BD147&lt;=9999)</formula>
    </cfRule>
    <cfRule type="expression" dxfId="35133" priority="8384" stopIfTrue="1">
      <formula>AND(BD147&gt;=78100,BD147&lt;=78199)</formula>
    </cfRule>
    <cfRule type="expression" dxfId="35132" priority="8385" stopIfTrue="1">
      <formula>AND(BD147&gt;=92000,BD147&lt;=98999)</formula>
    </cfRule>
    <cfRule type="expression" dxfId="35131" priority="8386" stopIfTrue="1">
      <formula>AND(BD147&gt;=78100,BD147&lt;=78199)</formula>
    </cfRule>
    <cfRule type="expression" dxfId="35130" priority="8387" stopIfTrue="1">
      <formula>AND(BD147&gt;=91000,BD147&lt;=91999)</formula>
    </cfRule>
  </conditionalFormatting>
  <conditionalFormatting sqref="BG2">
    <cfRule type="expression" dxfId="35129" priority="8360">
      <formula>AND(BH2&gt;=79001,BH2&lt;79900)</formula>
    </cfRule>
    <cfRule type="expression" dxfId="35128" priority="8361" stopIfTrue="1">
      <formula>AND(BH2&gt;=70101,BH2&lt;=70301)</formula>
    </cfRule>
    <cfRule type="expression" dxfId="35127" priority="8362" stopIfTrue="1">
      <formula>AND(BH2&gt;70000,BH2&lt;70004)</formula>
    </cfRule>
    <cfRule type="expression" dxfId="35126" priority="8363" stopIfTrue="1">
      <formula>AND(BH2&gt;=70010,BH2&lt;=76000)</formula>
    </cfRule>
    <cfRule type="expression" dxfId="35125" priority="8364">
      <formula>AND(BH2&gt;70000,BH2&lt;70004)</formula>
    </cfRule>
    <cfRule type="expression" dxfId="35124" priority="8365" stopIfTrue="1">
      <formula>OR(AND(BH2&gt;=10000,BH2&lt;=56999),AND(BH2&gt;=57000,BH2&lt;=57999))</formula>
    </cfRule>
    <cfRule type="expression" dxfId="35123" priority="8366" stopIfTrue="1">
      <formula>AND(BH2&gt;=8000,BH2&lt;=9999)</formula>
    </cfRule>
    <cfRule type="expression" dxfId="35122" priority="8367" stopIfTrue="1">
      <formula>AND(BH2&gt;=78100,BH2&lt;=78199)</formula>
    </cfRule>
    <cfRule type="expression" dxfId="35121" priority="8368" stopIfTrue="1">
      <formula>AND(BH2&gt;=92000,BH2&lt;=98999)</formula>
    </cfRule>
    <cfRule type="expression" dxfId="35120" priority="8369" stopIfTrue="1">
      <formula>AND(BH2&gt;=78100,BH2&lt;=78199)</formula>
    </cfRule>
    <cfRule type="expression" dxfId="35119" priority="8370" stopIfTrue="1">
      <formula>AND(BH2&gt;=91000,BH2&lt;=91999)</formula>
    </cfRule>
  </conditionalFormatting>
  <conditionalFormatting sqref="BG2:BG8 BG130:BG135 BG139:BG141 BG145:BG146 BG58:BG63 BG67:BG69 BG73:BG81 BG12:BG18 BG22:BG27 BG31:BG36 BG40:BG45 BG49:BG54 BG85:BG90 BG94:BG99 BG103:BG108 BG112:BG117 BG121:BG126">
    <cfRule type="expression" dxfId="35118" priority="8349">
      <formula>AND(BH2&gt;=79001,BH2&lt;79900)</formula>
    </cfRule>
    <cfRule type="expression" dxfId="35117" priority="8350" stopIfTrue="1">
      <formula>AND(BH2&gt;=70101,BH2&lt;=70301)</formula>
    </cfRule>
    <cfRule type="expression" dxfId="35116" priority="8351" stopIfTrue="1">
      <formula>AND(BH2&gt;70000,BH2&lt;70004)</formula>
    </cfRule>
    <cfRule type="expression" dxfId="35115" priority="8352" stopIfTrue="1">
      <formula>AND(BH2&gt;=70010,BH2&lt;=76000)</formula>
    </cfRule>
    <cfRule type="expression" dxfId="35114" priority="8353">
      <formula>AND(BH2&gt;70000,BH2&lt;70004)</formula>
    </cfRule>
    <cfRule type="expression" dxfId="35113" priority="8354" stopIfTrue="1">
      <formula>OR(AND(BH2&gt;=10000,BH2&lt;=56999),AND(BH2&gt;=57000,BH2&lt;=57999))</formula>
    </cfRule>
    <cfRule type="expression" dxfId="35112" priority="8355" stopIfTrue="1">
      <formula>AND(BH2&gt;=8000,BH2&lt;=9999)</formula>
    </cfRule>
    <cfRule type="expression" dxfId="35111" priority="8356" stopIfTrue="1">
      <formula>AND(BH2&gt;=78100,BH2&lt;=78199)</formula>
    </cfRule>
    <cfRule type="expression" dxfId="35110" priority="8357" stopIfTrue="1">
      <formula>AND(BH2&gt;=92000,BH2&lt;=98999)</formula>
    </cfRule>
    <cfRule type="expression" dxfId="35109" priority="8358" stopIfTrue="1">
      <formula>AND(BH2&gt;=78100,BH2&lt;=78199)</formula>
    </cfRule>
    <cfRule type="expression" dxfId="35108" priority="8359" stopIfTrue="1">
      <formula>AND(BH2&gt;=91000,BH2&lt;=91999)</formula>
    </cfRule>
  </conditionalFormatting>
  <conditionalFormatting sqref="BG147">
    <cfRule type="expression" dxfId="35107" priority="8338">
      <formula>AND(BH147&gt;=79001,BH147&lt;79900)</formula>
    </cfRule>
    <cfRule type="expression" dxfId="35106" priority="8339" stopIfTrue="1">
      <formula>AND(BH147&gt;=70101,BH147&lt;=70301)</formula>
    </cfRule>
    <cfRule type="expression" dxfId="35105" priority="8340" stopIfTrue="1">
      <formula>AND(BH147&gt;70000,BH147&lt;70004)</formula>
    </cfRule>
    <cfRule type="expression" dxfId="35104" priority="8341" stopIfTrue="1">
      <formula>AND(BH147&gt;=70010,BH147&lt;=76000)</formula>
    </cfRule>
    <cfRule type="expression" dxfId="35103" priority="8342">
      <formula>AND(BH147&gt;70000,BH147&lt;70004)</formula>
    </cfRule>
    <cfRule type="expression" dxfId="35102" priority="8343" stopIfTrue="1">
      <formula>OR(AND(BH147&gt;=10000,BH147&lt;=56999),AND(BH147&gt;=57000,BH147&lt;=57999))</formula>
    </cfRule>
    <cfRule type="expression" dxfId="35101" priority="8344" stopIfTrue="1">
      <formula>AND(BH147&gt;=8000,BH147&lt;=9999)</formula>
    </cfRule>
    <cfRule type="expression" dxfId="35100" priority="8345" stopIfTrue="1">
      <formula>AND(BH147&gt;=78100,BH147&lt;=78199)</formula>
    </cfRule>
    <cfRule type="expression" dxfId="35099" priority="8346" stopIfTrue="1">
      <formula>AND(BH147&gt;=92000,BH147&lt;=98999)</formula>
    </cfRule>
    <cfRule type="expression" dxfId="35098" priority="8347" stopIfTrue="1">
      <formula>AND(BH147&gt;=78100,BH147&lt;=78199)</formula>
    </cfRule>
    <cfRule type="expression" dxfId="35097" priority="8348" stopIfTrue="1">
      <formula>AND(BH147&gt;=91000,BH147&lt;=91999)</formula>
    </cfRule>
  </conditionalFormatting>
  <conditionalFormatting sqref="BK2">
    <cfRule type="expression" dxfId="35096" priority="8321">
      <formula>AND(BL2&gt;=79001,BL2&lt;79900)</formula>
    </cfRule>
    <cfRule type="expression" dxfId="35095" priority="8322" stopIfTrue="1">
      <formula>AND(BL2&gt;=70101,BL2&lt;=70301)</formula>
    </cfRule>
    <cfRule type="expression" dxfId="35094" priority="8323" stopIfTrue="1">
      <formula>AND(BL2&gt;70000,BL2&lt;70004)</formula>
    </cfRule>
    <cfRule type="expression" dxfId="35093" priority="8324" stopIfTrue="1">
      <formula>AND(BL2&gt;=70010,BL2&lt;=76000)</formula>
    </cfRule>
    <cfRule type="expression" dxfId="35092" priority="8325">
      <formula>AND(BL2&gt;70000,BL2&lt;70004)</formula>
    </cfRule>
    <cfRule type="expression" dxfId="35091" priority="8326" stopIfTrue="1">
      <formula>OR(AND(BL2&gt;=10000,BL2&lt;=56999),AND(BL2&gt;=57000,BL2&lt;=57999))</formula>
    </cfRule>
    <cfRule type="expression" dxfId="35090" priority="8327" stopIfTrue="1">
      <formula>AND(BL2&gt;=8000,BL2&lt;=9999)</formula>
    </cfRule>
    <cfRule type="expression" dxfId="35089" priority="8328" stopIfTrue="1">
      <formula>AND(BL2&gt;=78100,BL2&lt;=78199)</formula>
    </cfRule>
    <cfRule type="expression" dxfId="35088" priority="8329" stopIfTrue="1">
      <formula>AND(BL2&gt;=92000,BL2&lt;=98999)</formula>
    </cfRule>
    <cfRule type="expression" dxfId="35087" priority="8330" stopIfTrue="1">
      <formula>AND(BL2&gt;=78100,BL2&lt;=78199)</formula>
    </cfRule>
    <cfRule type="expression" dxfId="35086" priority="8331" stopIfTrue="1">
      <formula>AND(BL2&gt;=91000,BL2&lt;=91999)</formula>
    </cfRule>
  </conditionalFormatting>
  <conditionalFormatting sqref="BK2:BK8 BK130:BK135 BK139:BK141 BK145:BK146 BK58:BK63 BK67:BK69 BK73:BK81 BK12:BK18 BK22:BK27 BK31:BK36 BK40:BK45 BK49:BK54 BK85:BK90 BK94:BK99 BK103:BK108 BK112:BK117 BK121:BK126">
    <cfRule type="expression" dxfId="35085" priority="8310">
      <formula>AND(BL2&gt;=79001,BL2&lt;79900)</formula>
    </cfRule>
    <cfRule type="expression" dxfId="35084" priority="8311" stopIfTrue="1">
      <formula>AND(BL2&gt;=70101,BL2&lt;=70301)</formula>
    </cfRule>
    <cfRule type="expression" dxfId="35083" priority="8312" stopIfTrue="1">
      <formula>AND(BL2&gt;70000,BL2&lt;70004)</formula>
    </cfRule>
    <cfRule type="expression" dxfId="35082" priority="8313" stopIfTrue="1">
      <formula>AND(BL2&gt;=70010,BL2&lt;=76000)</formula>
    </cfRule>
    <cfRule type="expression" dxfId="35081" priority="8314">
      <formula>AND(BL2&gt;70000,BL2&lt;70004)</formula>
    </cfRule>
    <cfRule type="expression" dxfId="35080" priority="8315" stopIfTrue="1">
      <formula>OR(AND(BL2&gt;=10000,BL2&lt;=56999),AND(BL2&gt;=57000,BL2&lt;=57999))</formula>
    </cfRule>
    <cfRule type="expression" dxfId="35079" priority="8316" stopIfTrue="1">
      <formula>AND(BL2&gt;=8000,BL2&lt;=9999)</formula>
    </cfRule>
    <cfRule type="expression" dxfId="35078" priority="8317" stopIfTrue="1">
      <formula>AND(BL2&gt;=78100,BL2&lt;=78199)</formula>
    </cfRule>
    <cfRule type="expression" dxfId="35077" priority="8318" stopIfTrue="1">
      <formula>AND(BL2&gt;=92000,BL2&lt;=98999)</formula>
    </cfRule>
    <cfRule type="expression" dxfId="35076" priority="8319" stopIfTrue="1">
      <formula>AND(BL2&gt;=78100,BL2&lt;=78199)</formula>
    </cfRule>
    <cfRule type="expression" dxfId="35075" priority="8320" stopIfTrue="1">
      <formula>AND(BL2&gt;=91000,BL2&lt;=91999)</formula>
    </cfRule>
  </conditionalFormatting>
  <conditionalFormatting sqref="BK147">
    <cfRule type="expression" dxfId="35074" priority="8299">
      <formula>AND(BL147&gt;=79001,BL147&lt;79900)</formula>
    </cfRule>
    <cfRule type="expression" dxfId="35073" priority="8300" stopIfTrue="1">
      <formula>AND(BL147&gt;=70101,BL147&lt;=70301)</formula>
    </cfRule>
    <cfRule type="expression" dxfId="35072" priority="8301" stopIfTrue="1">
      <formula>AND(BL147&gt;70000,BL147&lt;70004)</formula>
    </cfRule>
    <cfRule type="expression" dxfId="35071" priority="8302" stopIfTrue="1">
      <formula>AND(BL147&gt;=70010,BL147&lt;=76000)</formula>
    </cfRule>
    <cfRule type="expression" dxfId="35070" priority="8303">
      <formula>AND(BL147&gt;70000,BL147&lt;70004)</formula>
    </cfRule>
    <cfRule type="expression" dxfId="35069" priority="8304" stopIfTrue="1">
      <formula>OR(AND(BL147&gt;=10000,BL147&lt;=56999),AND(BL147&gt;=57000,BL147&lt;=57999))</formula>
    </cfRule>
    <cfRule type="expression" dxfId="35068" priority="8305" stopIfTrue="1">
      <formula>AND(BL147&gt;=8000,BL147&lt;=9999)</formula>
    </cfRule>
    <cfRule type="expression" dxfId="35067" priority="8306" stopIfTrue="1">
      <formula>AND(BL147&gt;=78100,BL147&lt;=78199)</formula>
    </cfRule>
    <cfRule type="expression" dxfId="35066" priority="8307" stopIfTrue="1">
      <formula>AND(BL147&gt;=92000,BL147&lt;=98999)</formula>
    </cfRule>
    <cfRule type="expression" dxfId="35065" priority="8308" stopIfTrue="1">
      <formula>AND(BL147&gt;=78100,BL147&lt;=78199)</formula>
    </cfRule>
    <cfRule type="expression" dxfId="35064" priority="8309" stopIfTrue="1">
      <formula>AND(BL147&gt;=91000,BL147&lt;=91999)</formula>
    </cfRule>
  </conditionalFormatting>
  <conditionalFormatting sqref="BD708:BD714">
    <cfRule type="expression" dxfId="35063" priority="8244">
      <formula>$G708=4</formula>
    </cfRule>
    <cfRule type="expression" dxfId="35062" priority="8245">
      <formula>$G708=3</formula>
    </cfRule>
    <cfRule type="expression" dxfId="35061" priority="8246">
      <formula>$G708=2</formula>
    </cfRule>
    <cfRule type="expression" dxfId="35060" priority="8247">
      <formula>$G708=1</formula>
    </cfRule>
    <cfRule type="expression" dxfId="35059" priority="8248">
      <formula>$G708=0</formula>
    </cfRule>
  </conditionalFormatting>
  <conditionalFormatting sqref="BH708:BH714">
    <cfRule type="expression" dxfId="35058" priority="8239">
      <formula>$G708=4</formula>
    </cfRule>
    <cfRule type="expression" dxfId="35057" priority="8240">
      <formula>$G708=3</formula>
    </cfRule>
    <cfRule type="expression" dxfId="35056" priority="8241">
      <formula>$G708=2</formula>
    </cfRule>
    <cfRule type="expression" dxfId="35055" priority="8242">
      <formula>$G708=1</formula>
    </cfRule>
    <cfRule type="expression" dxfId="35054" priority="8243">
      <formula>$G708=0</formula>
    </cfRule>
  </conditionalFormatting>
  <conditionalFormatting sqref="BL708:BL714">
    <cfRule type="expression" dxfId="35053" priority="8234">
      <formula>$G708=4</formula>
    </cfRule>
    <cfRule type="expression" dxfId="35052" priority="8235">
      <formula>$G708=3</formula>
    </cfRule>
    <cfRule type="expression" dxfId="35051" priority="8236">
      <formula>$G708=2</formula>
    </cfRule>
    <cfRule type="expression" dxfId="35050" priority="8237">
      <formula>$G708=1</formula>
    </cfRule>
    <cfRule type="expression" dxfId="35049" priority="8238">
      <formula>$G708=0</formula>
    </cfRule>
  </conditionalFormatting>
  <conditionalFormatting sqref="G103:G108 G130:G135 G139:G141 G145:G146 G112:G117 G121:G126">
    <cfRule type="expression" dxfId="35048" priority="8221">
      <formula>AND(H103&gt;=79001,H103&lt;79900)</formula>
    </cfRule>
    <cfRule type="expression" dxfId="35047" priority="8222" stopIfTrue="1">
      <formula>AND(H103&gt;=70101,H103&lt;=70301)</formula>
    </cfRule>
    <cfRule type="expression" dxfId="35046" priority="8223" stopIfTrue="1">
      <formula>AND(H103&gt;70000,H103&lt;70004)</formula>
    </cfRule>
    <cfRule type="expression" dxfId="35045" priority="8224" stopIfTrue="1">
      <formula>AND(H103&gt;=70010,H103&lt;=76000)</formula>
    </cfRule>
    <cfRule type="expression" dxfId="35044" priority="8225">
      <formula>AND(H103&gt;70000,H103&lt;70004)</formula>
    </cfRule>
    <cfRule type="expression" dxfId="35043" priority="8226" stopIfTrue="1">
      <formula>OR(AND(H103&gt;=10000,H103&lt;=56999),AND(H103&gt;=57000,H103&lt;=57999))</formula>
    </cfRule>
    <cfRule type="expression" dxfId="35042" priority="8227" stopIfTrue="1">
      <formula>AND(H103&gt;=8000,H103&lt;=9999)</formula>
    </cfRule>
    <cfRule type="expression" dxfId="35041" priority="8228" stopIfTrue="1">
      <formula>AND(H103&gt;=78100,H103&lt;=78199)</formula>
    </cfRule>
    <cfRule type="expression" dxfId="35040" priority="8229" stopIfTrue="1">
      <formula>AND(H103&gt;=92000,H103&lt;=98999)</formula>
    </cfRule>
    <cfRule type="expression" dxfId="35039" priority="8230" stopIfTrue="1">
      <formula>AND(H103&gt;=78100,H103&lt;=78199)</formula>
    </cfRule>
    <cfRule type="expression" dxfId="35038" priority="8231" stopIfTrue="1">
      <formula>AND(H103&gt;=91000,H103&lt;=91999)</formula>
    </cfRule>
  </conditionalFormatting>
  <conditionalFormatting sqref="G147">
    <cfRule type="expression" dxfId="35037" priority="8210">
      <formula>AND(H147&gt;=79001,H147&lt;79900)</formula>
    </cfRule>
    <cfRule type="expression" dxfId="35036" priority="8211" stopIfTrue="1">
      <formula>AND(H147&gt;=70101,H147&lt;=70301)</formula>
    </cfRule>
    <cfRule type="expression" dxfId="35035" priority="8212" stopIfTrue="1">
      <formula>AND(H147&gt;70000,H147&lt;70004)</formula>
    </cfRule>
    <cfRule type="expression" dxfId="35034" priority="8213" stopIfTrue="1">
      <formula>AND(H147&gt;=70010,H147&lt;=76000)</formula>
    </cfRule>
    <cfRule type="expression" dxfId="35033" priority="8214">
      <formula>AND(H147&gt;70000,H147&lt;70004)</formula>
    </cfRule>
    <cfRule type="expression" dxfId="35032" priority="8215" stopIfTrue="1">
      <formula>OR(AND(H147&gt;=10000,H147&lt;=56999),AND(H147&gt;=57000,H147&lt;=57999))</formula>
    </cfRule>
    <cfRule type="expression" dxfId="35031" priority="8216" stopIfTrue="1">
      <formula>AND(H147&gt;=8000,H147&lt;=9999)</formula>
    </cfRule>
    <cfRule type="expression" dxfId="35030" priority="8217" stopIfTrue="1">
      <formula>AND(H147&gt;=78100,H147&lt;=78199)</formula>
    </cfRule>
    <cfRule type="expression" dxfId="35029" priority="8218" stopIfTrue="1">
      <formula>AND(H147&gt;=92000,H147&lt;=98999)</formula>
    </cfRule>
    <cfRule type="expression" dxfId="35028" priority="8219" stopIfTrue="1">
      <formula>AND(H147&gt;=78100,H147&lt;=78199)</formula>
    </cfRule>
    <cfRule type="expression" dxfId="35027" priority="8220" stopIfTrue="1">
      <formula>AND(H147&gt;=91000,H147&lt;=91999)</formula>
    </cfRule>
  </conditionalFormatting>
  <conditionalFormatting sqref="K103:K108 K130:K135 K139:K141 K145:K146 K112:K117 K121:K126">
    <cfRule type="expression" dxfId="35026" priority="8199">
      <formula>AND(L103&gt;=79001,L103&lt;79900)</formula>
    </cfRule>
    <cfRule type="expression" dxfId="35025" priority="8200" stopIfTrue="1">
      <formula>AND(L103&gt;=70101,L103&lt;=70301)</formula>
    </cfRule>
    <cfRule type="expression" dxfId="35024" priority="8201" stopIfTrue="1">
      <formula>AND(L103&gt;70000,L103&lt;70004)</formula>
    </cfRule>
    <cfRule type="expression" dxfId="35023" priority="8202" stopIfTrue="1">
      <formula>AND(L103&gt;=70010,L103&lt;=76000)</formula>
    </cfRule>
    <cfRule type="expression" dxfId="35022" priority="8203">
      <formula>AND(L103&gt;70000,L103&lt;70004)</formula>
    </cfRule>
    <cfRule type="expression" dxfId="35021" priority="8204" stopIfTrue="1">
      <formula>OR(AND(L103&gt;=10000,L103&lt;=56999),AND(L103&gt;=57000,L103&lt;=57999))</formula>
    </cfRule>
    <cfRule type="expression" dxfId="35020" priority="8205" stopIfTrue="1">
      <formula>AND(L103&gt;=8000,L103&lt;=9999)</formula>
    </cfRule>
    <cfRule type="expression" dxfId="35019" priority="8206" stopIfTrue="1">
      <formula>AND(L103&gt;=78100,L103&lt;=78199)</formula>
    </cfRule>
    <cfRule type="expression" dxfId="35018" priority="8207" stopIfTrue="1">
      <formula>AND(L103&gt;=92000,L103&lt;=98999)</formula>
    </cfRule>
    <cfRule type="expression" dxfId="35017" priority="8208" stopIfTrue="1">
      <formula>AND(L103&gt;=78100,L103&lt;=78199)</formula>
    </cfRule>
    <cfRule type="expression" dxfId="35016" priority="8209" stopIfTrue="1">
      <formula>AND(L103&gt;=91000,L103&lt;=91999)</formula>
    </cfRule>
  </conditionalFormatting>
  <conditionalFormatting sqref="K147">
    <cfRule type="expression" dxfId="35015" priority="8188">
      <formula>AND(L147&gt;=79001,L147&lt;79900)</formula>
    </cfRule>
    <cfRule type="expression" dxfId="35014" priority="8189" stopIfTrue="1">
      <formula>AND(L147&gt;=70101,L147&lt;=70301)</formula>
    </cfRule>
    <cfRule type="expression" dxfId="35013" priority="8190" stopIfTrue="1">
      <formula>AND(L147&gt;70000,L147&lt;70004)</formula>
    </cfRule>
    <cfRule type="expression" dxfId="35012" priority="8191" stopIfTrue="1">
      <formula>AND(L147&gt;=70010,L147&lt;=76000)</formula>
    </cfRule>
    <cfRule type="expression" dxfId="35011" priority="8192">
      <formula>AND(L147&gt;70000,L147&lt;70004)</formula>
    </cfRule>
    <cfRule type="expression" dxfId="35010" priority="8193" stopIfTrue="1">
      <formula>OR(AND(L147&gt;=10000,L147&lt;=56999),AND(L147&gt;=57000,L147&lt;=57999))</formula>
    </cfRule>
    <cfRule type="expression" dxfId="35009" priority="8194" stopIfTrue="1">
      <formula>AND(L147&gt;=8000,L147&lt;=9999)</formula>
    </cfRule>
    <cfRule type="expression" dxfId="35008" priority="8195" stopIfTrue="1">
      <formula>AND(L147&gt;=78100,L147&lt;=78199)</formula>
    </cfRule>
    <cfRule type="expression" dxfId="35007" priority="8196" stopIfTrue="1">
      <formula>AND(L147&gt;=92000,L147&lt;=98999)</formula>
    </cfRule>
    <cfRule type="expression" dxfId="35006" priority="8197" stopIfTrue="1">
      <formula>AND(L147&gt;=78100,L147&lt;=78199)</formula>
    </cfRule>
    <cfRule type="expression" dxfId="35005" priority="8198" stopIfTrue="1">
      <formula>AND(L147&gt;=91000,L147&lt;=91999)</formula>
    </cfRule>
  </conditionalFormatting>
  <conditionalFormatting sqref="O103:O108 O130:O135 O139:O141 O145:O146 O112:O117 O121:O126">
    <cfRule type="expression" dxfId="35004" priority="8177">
      <formula>AND(P103&gt;=79001,P103&lt;79900)</formula>
    </cfRule>
    <cfRule type="expression" dxfId="35003" priority="8178" stopIfTrue="1">
      <formula>AND(P103&gt;=70101,P103&lt;=70301)</formula>
    </cfRule>
    <cfRule type="expression" dxfId="35002" priority="8179" stopIfTrue="1">
      <formula>AND(P103&gt;70000,P103&lt;70004)</formula>
    </cfRule>
    <cfRule type="expression" dxfId="35001" priority="8180" stopIfTrue="1">
      <formula>AND(P103&gt;=70010,P103&lt;=76000)</formula>
    </cfRule>
    <cfRule type="expression" dxfId="35000" priority="8181">
      <formula>AND(P103&gt;70000,P103&lt;70004)</formula>
    </cfRule>
    <cfRule type="expression" dxfId="34999" priority="8182" stopIfTrue="1">
      <formula>OR(AND(P103&gt;=10000,P103&lt;=56999),AND(P103&gt;=57000,P103&lt;=57999))</formula>
    </cfRule>
    <cfRule type="expression" dxfId="34998" priority="8183" stopIfTrue="1">
      <formula>AND(P103&gt;=8000,P103&lt;=9999)</formula>
    </cfRule>
    <cfRule type="expression" dxfId="34997" priority="8184" stopIfTrue="1">
      <formula>AND(P103&gt;=78100,P103&lt;=78199)</formula>
    </cfRule>
    <cfRule type="expression" dxfId="34996" priority="8185" stopIfTrue="1">
      <formula>AND(P103&gt;=92000,P103&lt;=98999)</formula>
    </cfRule>
    <cfRule type="expression" dxfId="34995" priority="8186" stopIfTrue="1">
      <formula>AND(P103&gt;=78100,P103&lt;=78199)</formula>
    </cfRule>
    <cfRule type="expression" dxfId="34994" priority="8187" stopIfTrue="1">
      <formula>AND(P103&gt;=91000,P103&lt;=91999)</formula>
    </cfRule>
  </conditionalFormatting>
  <conditionalFormatting sqref="O147">
    <cfRule type="expression" dxfId="34993" priority="8166">
      <formula>AND(P147&gt;=79001,P147&lt;79900)</formula>
    </cfRule>
    <cfRule type="expression" dxfId="34992" priority="8167" stopIfTrue="1">
      <formula>AND(P147&gt;=70101,P147&lt;=70301)</formula>
    </cfRule>
    <cfRule type="expression" dxfId="34991" priority="8168" stopIfTrue="1">
      <formula>AND(P147&gt;70000,P147&lt;70004)</formula>
    </cfRule>
    <cfRule type="expression" dxfId="34990" priority="8169" stopIfTrue="1">
      <formula>AND(P147&gt;=70010,P147&lt;=76000)</formula>
    </cfRule>
    <cfRule type="expression" dxfId="34989" priority="8170">
      <formula>AND(P147&gt;70000,P147&lt;70004)</formula>
    </cfRule>
    <cfRule type="expression" dxfId="34988" priority="8171" stopIfTrue="1">
      <formula>OR(AND(P147&gt;=10000,P147&lt;=56999),AND(P147&gt;=57000,P147&lt;=57999))</formula>
    </cfRule>
    <cfRule type="expression" dxfId="34987" priority="8172" stopIfTrue="1">
      <formula>AND(P147&gt;=8000,P147&lt;=9999)</formula>
    </cfRule>
    <cfRule type="expression" dxfId="34986" priority="8173" stopIfTrue="1">
      <formula>AND(P147&gt;=78100,P147&lt;=78199)</formula>
    </cfRule>
    <cfRule type="expression" dxfId="34985" priority="8174" stopIfTrue="1">
      <formula>AND(P147&gt;=92000,P147&lt;=98999)</formula>
    </cfRule>
    <cfRule type="expression" dxfId="34984" priority="8175" stopIfTrue="1">
      <formula>AND(P147&gt;=78100,P147&lt;=78199)</formula>
    </cfRule>
    <cfRule type="expression" dxfId="34983" priority="8176" stopIfTrue="1">
      <formula>AND(P147&gt;=91000,P147&lt;=91999)</formula>
    </cfRule>
  </conditionalFormatting>
  <conditionalFormatting sqref="G108">
    <cfRule type="expression" dxfId="34982" priority="8111">
      <formula>AND(H108&gt;=79001,H108&lt;79900)</formula>
    </cfRule>
    <cfRule type="expression" dxfId="34981" priority="8112" stopIfTrue="1">
      <formula>AND(H108&gt;=70101,H108&lt;=70301)</formula>
    </cfRule>
    <cfRule type="expression" dxfId="34980" priority="8113" stopIfTrue="1">
      <formula>AND(H108&gt;70000,H108&lt;70004)</formula>
    </cfRule>
    <cfRule type="expression" dxfId="34979" priority="8114" stopIfTrue="1">
      <formula>AND(H108&gt;=70010,H108&lt;=76000)</formula>
    </cfRule>
    <cfRule type="expression" dxfId="34978" priority="8115">
      <formula>AND(H108&gt;70000,H108&lt;70004)</formula>
    </cfRule>
    <cfRule type="expression" dxfId="34977" priority="8116" stopIfTrue="1">
      <formula>OR(AND(H108&gt;=10000,H108&lt;=56999),AND(H108&gt;=57000,H108&lt;=57999))</formula>
    </cfRule>
    <cfRule type="expression" dxfId="34976" priority="8117" stopIfTrue="1">
      <formula>AND(H108&gt;=8000,H108&lt;=9999)</formula>
    </cfRule>
    <cfRule type="expression" dxfId="34975" priority="8118" stopIfTrue="1">
      <formula>AND(H108&gt;=78100,H108&lt;=78199)</formula>
    </cfRule>
    <cfRule type="expression" dxfId="34974" priority="8119" stopIfTrue="1">
      <formula>AND(H108&gt;=92000,H108&lt;=98999)</formula>
    </cfRule>
    <cfRule type="expression" dxfId="34973" priority="8120" stopIfTrue="1">
      <formula>AND(H108&gt;=78100,H108&lt;=78199)</formula>
    </cfRule>
    <cfRule type="expression" dxfId="34972" priority="8121" stopIfTrue="1">
      <formula>AND(H108&gt;=91000,H108&lt;=91999)</formula>
    </cfRule>
  </conditionalFormatting>
  <conditionalFormatting sqref="K108">
    <cfRule type="expression" dxfId="34971" priority="8100">
      <formula>AND(L108&gt;=79001,L108&lt;79900)</formula>
    </cfRule>
    <cfRule type="expression" dxfId="34970" priority="8101" stopIfTrue="1">
      <formula>AND(L108&gt;=70101,L108&lt;=70301)</formula>
    </cfRule>
    <cfRule type="expression" dxfId="34969" priority="8102" stopIfTrue="1">
      <formula>AND(L108&gt;70000,L108&lt;70004)</formula>
    </cfRule>
    <cfRule type="expression" dxfId="34968" priority="8103" stopIfTrue="1">
      <formula>AND(L108&gt;=70010,L108&lt;=76000)</formula>
    </cfRule>
    <cfRule type="expression" dxfId="34967" priority="8104">
      <formula>AND(L108&gt;70000,L108&lt;70004)</formula>
    </cfRule>
    <cfRule type="expression" dxfId="34966" priority="8105" stopIfTrue="1">
      <formula>OR(AND(L108&gt;=10000,L108&lt;=56999),AND(L108&gt;=57000,L108&lt;=57999))</formula>
    </cfRule>
    <cfRule type="expression" dxfId="34965" priority="8106" stopIfTrue="1">
      <formula>AND(L108&gt;=8000,L108&lt;=9999)</formula>
    </cfRule>
    <cfRule type="expression" dxfId="34964" priority="8107" stopIfTrue="1">
      <formula>AND(L108&gt;=78100,L108&lt;=78199)</formula>
    </cfRule>
    <cfRule type="expression" dxfId="34963" priority="8108" stopIfTrue="1">
      <formula>AND(L108&gt;=92000,L108&lt;=98999)</formula>
    </cfRule>
    <cfRule type="expression" dxfId="34962" priority="8109" stopIfTrue="1">
      <formula>AND(L108&gt;=78100,L108&lt;=78199)</formula>
    </cfRule>
    <cfRule type="expression" dxfId="34961" priority="8110" stopIfTrue="1">
      <formula>AND(L108&gt;=91000,L108&lt;=91999)</formula>
    </cfRule>
  </conditionalFormatting>
  <conditionalFormatting sqref="O108">
    <cfRule type="expression" dxfId="34960" priority="8089">
      <formula>AND(P108&gt;=79001,P108&lt;79900)</formula>
    </cfRule>
    <cfRule type="expression" dxfId="34959" priority="8090" stopIfTrue="1">
      <formula>AND(P108&gt;=70101,P108&lt;=70301)</formula>
    </cfRule>
    <cfRule type="expression" dxfId="34958" priority="8091" stopIfTrue="1">
      <formula>AND(P108&gt;70000,P108&lt;70004)</formula>
    </cfRule>
    <cfRule type="expression" dxfId="34957" priority="8092" stopIfTrue="1">
      <formula>AND(P108&gt;=70010,P108&lt;=76000)</formula>
    </cfRule>
    <cfRule type="expression" dxfId="34956" priority="8093">
      <formula>AND(P108&gt;70000,P108&lt;70004)</formula>
    </cfRule>
    <cfRule type="expression" dxfId="34955" priority="8094" stopIfTrue="1">
      <formula>OR(AND(P108&gt;=10000,P108&lt;=56999),AND(P108&gt;=57000,P108&lt;=57999))</formula>
    </cfRule>
    <cfRule type="expression" dxfId="34954" priority="8095" stopIfTrue="1">
      <formula>AND(P108&gt;=8000,P108&lt;=9999)</formula>
    </cfRule>
    <cfRule type="expression" dxfId="34953" priority="8096" stopIfTrue="1">
      <formula>AND(P108&gt;=78100,P108&lt;=78199)</formula>
    </cfRule>
    <cfRule type="expression" dxfId="34952" priority="8097" stopIfTrue="1">
      <formula>AND(P108&gt;=92000,P108&lt;=98999)</formula>
    </cfRule>
    <cfRule type="expression" dxfId="34951" priority="8098" stopIfTrue="1">
      <formula>AND(P108&gt;=78100,P108&lt;=78199)</formula>
    </cfRule>
    <cfRule type="expression" dxfId="34950" priority="8099" stopIfTrue="1">
      <formula>AND(P108&gt;=91000,P108&lt;=91999)</formula>
    </cfRule>
  </conditionalFormatting>
  <conditionalFormatting sqref="G108">
    <cfRule type="expression" dxfId="34949" priority="8045">
      <formula>AND(H108&gt;=79001,H108&lt;79900)</formula>
    </cfRule>
    <cfRule type="expression" dxfId="34948" priority="8046" stopIfTrue="1">
      <formula>AND(H108&gt;=70101,H108&lt;=70301)</formula>
    </cfRule>
    <cfRule type="expression" dxfId="34947" priority="8047" stopIfTrue="1">
      <formula>AND(H108&gt;70000,H108&lt;70004)</formula>
    </cfRule>
    <cfRule type="expression" dxfId="34946" priority="8048" stopIfTrue="1">
      <formula>AND(H108&gt;=70010,H108&lt;=76000)</formula>
    </cfRule>
    <cfRule type="expression" dxfId="34945" priority="8049">
      <formula>AND(H108&gt;70000,H108&lt;70004)</formula>
    </cfRule>
    <cfRule type="expression" dxfId="34944" priority="8050" stopIfTrue="1">
      <formula>OR(AND(H108&gt;=10000,H108&lt;=56999),AND(H108&gt;=57000,H108&lt;=57999))</formula>
    </cfRule>
    <cfRule type="expression" dxfId="34943" priority="8051" stopIfTrue="1">
      <formula>AND(H108&gt;=8000,H108&lt;=9999)</formula>
    </cfRule>
    <cfRule type="expression" dxfId="34942" priority="8052" stopIfTrue="1">
      <formula>AND(H108&gt;=78100,H108&lt;=78199)</formula>
    </cfRule>
    <cfRule type="expression" dxfId="34941" priority="8053" stopIfTrue="1">
      <formula>AND(H108&gt;=92000,H108&lt;=98999)</formula>
    </cfRule>
    <cfRule type="expression" dxfId="34940" priority="8054" stopIfTrue="1">
      <formula>AND(H108&gt;=78100,H108&lt;=78199)</formula>
    </cfRule>
    <cfRule type="expression" dxfId="34939" priority="8055" stopIfTrue="1">
      <formula>AND(H108&gt;=91000,H108&lt;=91999)</formula>
    </cfRule>
  </conditionalFormatting>
  <conditionalFormatting sqref="AA108">
    <cfRule type="expression" dxfId="34938" priority="8056">
      <formula>AND(AB108&gt;=79001,AB108&lt;79900)</formula>
    </cfRule>
    <cfRule type="expression" dxfId="34937" priority="8057" stopIfTrue="1">
      <formula>AND(AB108&gt;=70101,AB108&lt;=70301)</formula>
    </cfRule>
    <cfRule type="expression" dxfId="34936" priority="8058" stopIfTrue="1">
      <formula>AND(AB108&gt;70000,AB108&lt;70004)</formula>
    </cfRule>
    <cfRule type="expression" dxfId="34935" priority="8059" stopIfTrue="1">
      <formula>AND(AB108&gt;=70010,AB108&lt;=76000)</formula>
    </cfRule>
    <cfRule type="expression" dxfId="34934" priority="8060">
      <formula>AND(AB108&gt;70000,AB108&lt;70004)</formula>
    </cfRule>
    <cfRule type="expression" dxfId="34933" priority="8061" stopIfTrue="1">
      <formula>OR(AND(AB108&gt;=10000,AB108&lt;=56999),AND(AB108&gt;=57000,AB108&lt;=57999))</formula>
    </cfRule>
    <cfRule type="expression" dxfId="34932" priority="8062" stopIfTrue="1">
      <formula>AND(AB108&gt;=8000,AB108&lt;=9999)</formula>
    </cfRule>
    <cfRule type="expression" dxfId="34931" priority="8063" stopIfTrue="1">
      <formula>AND(AB108&gt;=78100,AB108&lt;=78199)</formula>
    </cfRule>
    <cfRule type="expression" dxfId="34930" priority="8064" stopIfTrue="1">
      <formula>AND(AB108&gt;=92000,AB108&lt;=98999)</formula>
    </cfRule>
    <cfRule type="expression" dxfId="34929" priority="8065" stopIfTrue="1">
      <formula>AND(AB108&gt;=78100,AB108&lt;=78199)</formula>
    </cfRule>
    <cfRule type="expression" dxfId="34928" priority="8066" stopIfTrue="1">
      <formula>AND(AB108&gt;=91000,AB108&lt;=91999)</formula>
    </cfRule>
  </conditionalFormatting>
  <conditionalFormatting sqref="K108">
    <cfRule type="expression" dxfId="34927" priority="8034">
      <formula>AND(L108&gt;=79001,L108&lt;79900)</formula>
    </cfRule>
    <cfRule type="expression" dxfId="34926" priority="8035" stopIfTrue="1">
      <formula>AND(L108&gt;=70101,L108&lt;=70301)</formula>
    </cfRule>
    <cfRule type="expression" dxfId="34925" priority="8036" stopIfTrue="1">
      <formula>AND(L108&gt;70000,L108&lt;70004)</formula>
    </cfRule>
    <cfRule type="expression" dxfId="34924" priority="8037" stopIfTrue="1">
      <formula>AND(L108&gt;=70010,L108&lt;=76000)</formula>
    </cfRule>
    <cfRule type="expression" dxfId="34923" priority="8038">
      <formula>AND(L108&gt;70000,L108&lt;70004)</formula>
    </cfRule>
    <cfRule type="expression" dxfId="34922" priority="8039" stopIfTrue="1">
      <formula>OR(AND(L108&gt;=10000,L108&lt;=56999),AND(L108&gt;=57000,L108&lt;=57999))</formula>
    </cfRule>
    <cfRule type="expression" dxfId="34921" priority="8040" stopIfTrue="1">
      <formula>AND(L108&gt;=8000,L108&lt;=9999)</formula>
    </cfRule>
    <cfRule type="expression" dxfId="34920" priority="8041" stopIfTrue="1">
      <formula>AND(L108&gt;=78100,L108&lt;=78199)</formula>
    </cfRule>
    <cfRule type="expression" dxfId="34919" priority="8042" stopIfTrue="1">
      <formula>AND(L108&gt;=92000,L108&lt;=98999)</formula>
    </cfRule>
    <cfRule type="expression" dxfId="34918" priority="8043" stopIfTrue="1">
      <formula>AND(L108&gt;=78100,L108&lt;=78199)</formula>
    </cfRule>
    <cfRule type="expression" dxfId="34917" priority="8044" stopIfTrue="1">
      <formula>AND(L108&gt;=91000,L108&lt;=91999)</formula>
    </cfRule>
  </conditionalFormatting>
  <conditionalFormatting sqref="O108">
    <cfRule type="expression" dxfId="34916" priority="8023">
      <formula>AND(P108&gt;=79001,P108&lt;79900)</formula>
    </cfRule>
    <cfRule type="expression" dxfId="34915" priority="8024" stopIfTrue="1">
      <formula>AND(P108&gt;=70101,P108&lt;=70301)</formula>
    </cfRule>
    <cfRule type="expression" dxfId="34914" priority="8025" stopIfTrue="1">
      <formula>AND(P108&gt;70000,P108&lt;70004)</formula>
    </cfRule>
    <cfRule type="expression" dxfId="34913" priority="8026" stopIfTrue="1">
      <formula>AND(P108&gt;=70010,P108&lt;=76000)</formula>
    </cfRule>
    <cfRule type="expression" dxfId="34912" priority="8027">
      <formula>AND(P108&gt;70000,P108&lt;70004)</formula>
    </cfRule>
    <cfRule type="expression" dxfId="34911" priority="8028" stopIfTrue="1">
      <formula>OR(AND(P108&gt;=10000,P108&lt;=56999),AND(P108&gt;=57000,P108&lt;=57999))</formula>
    </cfRule>
    <cfRule type="expression" dxfId="34910" priority="8029" stopIfTrue="1">
      <formula>AND(P108&gt;=8000,P108&lt;=9999)</formula>
    </cfRule>
    <cfRule type="expression" dxfId="34909" priority="8030" stopIfTrue="1">
      <formula>AND(P108&gt;=78100,P108&lt;=78199)</formula>
    </cfRule>
    <cfRule type="expression" dxfId="34908" priority="8031" stopIfTrue="1">
      <formula>AND(P108&gt;=92000,P108&lt;=98999)</formula>
    </cfRule>
    <cfRule type="expression" dxfId="34907" priority="8032" stopIfTrue="1">
      <formula>AND(P108&gt;=78100,P108&lt;=78199)</formula>
    </cfRule>
    <cfRule type="expression" dxfId="34906" priority="8033" stopIfTrue="1">
      <formula>AND(P108&gt;=91000,P108&lt;=91999)</formula>
    </cfRule>
  </conditionalFormatting>
  <conditionalFormatting sqref="G117">
    <cfRule type="expression" dxfId="34905" priority="8012">
      <formula>AND(H117&gt;=79001,H117&lt;79900)</formula>
    </cfRule>
    <cfRule type="expression" dxfId="34904" priority="8013" stopIfTrue="1">
      <formula>AND(H117&gt;=70101,H117&lt;=70301)</formula>
    </cfRule>
    <cfRule type="expression" dxfId="34903" priority="8014" stopIfTrue="1">
      <formula>AND(H117&gt;70000,H117&lt;70004)</formula>
    </cfRule>
    <cfRule type="expression" dxfId="34902" priority="8015" stopIfTrue="1">
      <formula>AND(H117&gt;=70010,H117&lt;=76000)</formula>
    </cfRule>
    <cfRule type="expression" dxfId="34901" priority="8016">
      <formula>AND(H117&gt;70000,H117&lt;70004)</formula>
    </cfRule>
    <cfRule type="expression" dxfId="34900" priority="8017" stopIfTrue="1">
      <formula>OR(AND(H117&gt;=10000,H117&lt;=56999),AND(H117&gt;=57000,H117&lt;=57999))</formula>
    </cfRule>
    <cfRule type="expression" dxfId="34899" priority="8018" stopIfTrue="1">
      <formula>AND(H117&gt;=8000,H117&lt;=9999)</formula>
    </cfRule>
    <cfRule type="expression" dxfId="34898" priority="8019" stopIfTrue="1">
      <formula>AND(H117&gt;=78100,H117&lt;=78199)</formula>
    </cfRule>
    <cfRule type="expression" dxfId="34897" priority="8020" stopIfTrue="1">
      <formula>AND(H117&gt;=92000,H117&lt;=98999)</formula>
    </cfRule>
    <cfRule type="expression" dxfId="34896" priority="8021" stopIfTrue="1">
      <formula>AND(H117&gt;=78100,H117&lt;=78199)</formula>
    </cfRule>
    <cfRule type="expression" dxfId="34895" priority="8022" stopIfTrue="1">
      <formula>AND(H117&gt;=91000,H117&lt;=91999)</formula>
    </cfRule>
  </conditionalFormatting>
  <conditionalFormatting sqref="K117">
    <cfRule type="expression" dxfId="34894" priority="8001">
      <formula>AND(L117&gt;=79001,L117&lt;79900)</formula>
    </cfRule>
    <cfRule type="expression" dxfId="34893" priority="8002" stopIfTrue="1">
      <formula>AND(L117&gt;=70101,L117&lt;=70301)</formula>
    </cfRule>
    <cfRule type="expression" dxfId="34892" priority="8003" stopIfTrue="1">
      <formula>AND(L117&gt;70000,L117&lt;70004)</formula>
    </cfRule>
    <cfRule type="expression" dxfId="34891" priority="8004" stopIfTrue="1">
      <formula>AND(L117&gt;=70010,L117&lt;=76000)</formula>
    </cfRule>
    <cfRule type="expression" dxfId="34890" priority="8005">
      <formula>AND(L117&gt;70000,L117&lt;70004)</formula>
    </cfRule>
    <cfRule type="expression" dxfId="34889" priority="8006" stopIfTrue="1">
      <formula>OR(AND(L117&gt;=10000,L117&lt;=56999),AND(L117&gt;=57000,L117&lt;=57999))</formula>
    </cfRule>
    <cfRule type="expression" dxfId="34888" priority="8007" stopIfTrue="1">
      <formula>AND(L117&gt;=8000,L117&lt;=9999)</formula>
    </cfRule>
    <cfRule type="expression" dxfId="34887" priority="8008" stopIfTrue="1">
      <formula>AND(L117&gt;=78100,L117&lt;=78199)</formula>
    </cfRule>
    <cfRule type="expression" dxfId="34886" priority="8009" stopIfTrue="1">
      <formula>AND(L117&gt;=92000,L117&lt;=98999)</formula>
    </cfRule>
    <cfRule type="expression" dxfId="34885" priority="8010" stopIfTrue="1">
      <formula>AND(L117&gt;=78100,L117&lt;=78199)</formula>
    </cfRule>
    <cfRule type="expression" dxfId="34884" priority="8011" stopIfTrue="1">
      <formula>AND(L117&gt;=91000,L117&lt;=91999)</formula>
    </cfRule>
  </conditionalFormatting>
  <conditionalFormatting sqref="O117">
    <cfRule type="expression" dxfId="34883" priority="7990">
      <formula>AND(P117&gt;=79001,P117&lt;79900)</formula>
    </cfRule>
    <cfRule type="expression" dxfId="34882" priority="7991" stopIfTrue="1">
      <formula>AND(P117&gt;=70101,P117&lt;=70301)</formula>
    </cfRule>
    <cfRule type="expression" dxfId="34881" priority="7992" stopIfTrue="1">
      <formula>AND(P117&gt;70000,P117&lt;70004)</formula>
    </cfRule>
    <cfRule type="expression" dxfId="34880" priority="7993" stopIfTrue="1">
      <formula>AND(P117&gt;=70010,P117&lt;=76000)</formula>
    </cfRule>
    <cfRule type="expression" dxfId="34879" priority="7994">
      <formula>AND(P117&gt;70000,P117&lt;70004)</formula>
    </cfRule>
    <cfRule type="expression" dxfId="34878" priority="7995" stopIfTrue="1">
      <formula>OR(AND(P117&gt;=10000,P117&lt;=56999),AND(P117&gt;=57000,P117&lt;=57999))</formula>
    </cfRule>
    <cfRule type="expression" dxfId="34877" priority="7996" stopIfTrue="1">
      <formula>AND(P117&gt;=8000,P117&lt;=9999)</formula>
    </cfRule>
    <cfRule type="expression" dxfId="34876" priority="7997" stopIfTrue="1">
      <formula>AND(P117&gt;=78100,P117&lt;=78199)</formula>
    </cfRule>
    <cfRule type="expression" dxfId="34875" priority="7998" stopIfTrue="1">
      <formula>AND(P117&gt;=92000,P117&lt;=98999)</formula>
    </cfRule>
    <cfRule type="expression" dxfId="34874" priority="7999" stopIfTrue="1">
      <formula>AND(P117&gt;=78100,P117&lt;=78199)</formula>
    </cfRule>
    <cfRule type="expression" dxfId="34873" priority="8000" stopIfTrue="1">
      <formula>AND(P117&gt;=91000,P117&lt;=91999)</formula>
    </cfRule>
  </conditionalFormatting>
  <conditionalFormatting sqref="AE117">
    <cfRule type="expression" dxfId="34872" priority="7946">
      <formula>AND(AF117&gt;=79001,AF117&lt;79900)</formula>
    </cfRule>
    <cfRule type="expression" dxfId="34871" priority="7947" stopIfTrue="1">
      <formula>AND(AF117&gt;=70101,AF117&lt;=70301)</formula>
    </cfRule>
    <cfRule type="expression" dxfId="34870" priority="7948" stopIfTrue="1">
      <formula>AND(AF117&gt;70000,AF117&lt;70004)</formula>
    </cfRule>
    <cfRule type="expression" dxfId="34869" priority="7949" stopIfTrue="1">
      <formula>AND(AF117&gt;=70010,AF117&lt;=76000)</formula>
    </cfRule>
    <cfRule type="expression" dxfId="34868" priority="7950">
      <formula>AND(AF117&gt;70000,AF117&lt;70004)</formula>
    </cfRule>
    <cfRule type="expression" dxfId="34867" priority="7951" stopIfTrue="1">
      <formula>OR(AND(AF117&gt;=10000,AF117&lt;=56999),AND(AF117&gt;=57000,AF117&lt;=57999))</formula>
    </cfRule>
    <cfRule type="expression" dxfId="34866" priority="7952" stopIfTrue="1">
      <formula>AND(AF117&gt;=8000,AF117&lt;=9999)</formula>
    </cfRule>
    <cfRule type="expression" dxfId="34865" priority="7953" stopIfTrue="1">
      <formula>AND(AF117&gt;=78100,AF117&lt;=78199)</formula>
    </cfRule>
    <cfRule type="expression" dxfId="34864" priority="7954" stopIfTrue="1">
      <formula>AND(AF117&gt;=92000,AF117&lt;=98999)</formula>
    </cfRule>
    <cfRule type="expression" dxfId="34863" priority="7955" stopIfTrue="1">
      <formula>AND(AF117&gt;=78100,AF117&lt;=78199)</formula>
    </cfRule>
    <cfRule type="expression" dxfId="34862" priority="7956" stopIfTrue="1">
      <formula>AND(AF117&gt;=91000,AF117&lt;=91999)</formula>
    </cfRule>
  </conditionalFormatting>
  <conditionalFormatting sqref="AA117">
    <cfRule type="expression" dxfId="34861" priority="7957">
      <formula>AND(AB117&gt;=79001,AB117&lt;79900)</formula>
    </cfRule>
    <cfRule type="expression" dxfId="34860" priority="7958" stopIfTrue="1">
      <formula>AND(AB117&gt;=70101,AB117&lt;=70301)</formula>
    </cfRule>
    <cfRule type="expression" dxfId="34859" priority="7959" stopIfTrue="1">
      <formula>AND(AB117&gt;70000,AB117&lt;70004)</formula>
    </cfRule>
    <cfRule type="expression" dxfId="34858" priority="7960" stopIfTrue="1">
      <formula>AND(AB117&gt;=70010,AB117&lt;=76000)</formula>
    </cfRule>
    <cfRule type="expression" dxfId="34857" priority="7961">
      <formula>AND(AB117&gt;70000,AB117&lt;70004)</formula>
    </cfRule>
    <cfRule type="expression" dxfId="34856" priority="7962" stopIfTrue="1">
      <formula>OR(AND(AB117&gt;=10000,AB117&lt;=56999),AND(AB117&gt;=57000,AB117&lt;=57999))</formula>
    </cfRule>
    <cfRule type="expression" dxfId="34855" priority="7963" stopIfTrue="1">
      <formula>AND(AB117&gt;=8000,AB117&lt;=9999)</formula>
    </cfRule>
    <cfRule type="expression" dxfId="34854" priority="7964" stopIfTrue="1">
      <formula>AND(AB117&gt;=78100,AB117&lt;=78199)</formula>
    </cfRule>
    <cfRule type="expression" dxfId="34853" priority="7965" stopIfTrue="1">
      <formula>AND(AB117&gt;=92000,AB117&lt;=98999)</formula>
    </cfRule>
    <cfRule type="expression" dxfId="34852" priority="7966" stopIfTrue="1">
      <formula>AND(AB117&gt;=78100,AB117&lt;=78199)</formula>
    </cfRule>
    <cfRule type="expression" dxfId="34851" priority="7967" stopIfTrue="1">
      <formula>AND(AB117&gt;=91000,AB117&lt;=91999)</formula>
    </cfRule>
  </conditionalFormatting>
  <conditionalFormatting sqref="G117">
    <cfRule type="expression" dxfId="34850" priority="7935">
      <formula>AND(H117&gt;=79001,H117&lt;79900)</formula>
    </cfRule>
    <cfRule type="expression" dxfId="34849" priority="7936" stopIfTrue="1">
      <formula>AND(H117&gt;=70101,H117&lt;=70301)</formula>
    </cfRule>
    <cfRule type="expression" dxfId="34848" priority="7937" stopIfTrue="1">
      <formula>AND(H117&gt;70000,H117&lt;70004)</formula>
    </cfRule>
    <cfRule type="expression" dxfId="34847" priority="7938" stopIfTrue="1">
      <formula>AND(H117&gt;=70010,H117&lt;=76000)</formula>
    </cfRule>
    <cfRule type="expression" dxfId="34846" priority="7939">
      <formula>AND(H117&gt;70000,H117&lt;70004)</formula>
    </cfRule>
    <cfRule type="expression" dxfId="34845" priority="7940" stopIfTrue="1">
      <formula>OR(AND(H117&gt;=10000,H117&lt;=56999),AND(H117&gt;=57000,H117&lt;=57999))</formula>
    </cfRule>
    <cfRule type="expression" dxfId="34844" priority="7941" stopIfTrue="1">
      <formula>AND(H117&gt;=8000,H117&lt;=9999)</formula>
    </cfRule>
    <cfRule type="expression" dxfId="34843" priority="7942" stopIfTrue="1">
      <formula>AND(H117&gt;=78100,H117&lt;=78199)</formula>
    </cfRule>
    <cfRule type="expression" dxfId="34842" priority="7943" stopIfTrue="1">
      <formula>AND(H117&gt;=92000,H117&lt;=98999)</formula>
    </cfRule>
    <cfRule type="expression" dxfId="34841" priority="7944" stopIfTrue="1">
      <formula>AND(H117&gt;=78100,H117&lt;=78199)</formula>
    </cfRule>
    <cfRule type="expression" dxfId="34840" priority="7945" stopIfTrue="1">
      <formula>AND(H117&gt;=91000,H117&lt;=91999)</formula>
    </cfRule>
  </conditionalFormatting>
  <conditionalFormatting sqref="K117">
    <cfRule type="expression" dxfId="34839" priority="7924">
      <formula>AND(L117&gt;=79001,L117&lt;79900)</formula>
    </cfRule>
    <cfRule type="expression" dxfId="34838" priority="7925" stopIfTrue="1">
      <formula>AND(L117&gt;=70101,L117&lt;=70301)</formula>
    </cfRule>
    <cfRule type="expression" dxfId="34837" priority="7926" stopIfTrue="1">
      <formula>AND(L117&gt;70000,L117&lt;70004)</formula>
    </cfRule>
    <cfRule type="expression" dxfId="34836" priority="7927" stopIfTrue="1">
      <formula>AND(L117&gt;=70010,L117&lt;=76000)</formula>
    </cfRule>
    <cfRule type="expression" dxfId="34835" priority="7928">
      <formula>AND(L117&gt;70000,L117&lt;70004)</formula>
    </cfRule>
    <cfRule type="expression" dxfId="34834" priority="7929" stopIfTrue="1">
      <formula>OR(AND(L117&gt;=10000,L117&lt;=56999),AND(L117&gt;=57000,L117&lt;=57999))</formula>
    </cfRule>
    <cfRule type="expression" dxfId="34833" priority="7930" stopIfTrue="1">
      <formula>AND(L117&gt;=8000,L117&lt;=9999)</formula>
    </cfRule>
    <cfRule type="expression" dxfId="34832" priority="7931" stopIfTrue="1">
      <formula>AND(L117&gt;=78100,L117&lt;=78199)</formula>
    </cfRule>
    <cfRule type="expression" dxfId="34831" priority="7932" stopIfTrue="1">
      <formula>AND(L117&gt;=92000,L117&lt;=98999)</formula>
    </cfRule>
    <cfRule type="expression" dxfId="34830" priority="7933" stopIfTrue="1">
      <formula>AND(L117&gt;=78100,L117&lt;=78199)</formula>
    </cfRule>
    <cfRule type="expression" dxfId="34829" priority="7934" stopIfTrue="1">
      <formula>AND(L117&gt;=91000,L117&lt;=91999)</formula>
    </cfRule>
  </conditionalFormatting>
  <conditionalFormatting sqref="O117">
    <cfRule type="expression" dxfId="34828" priority="7913">
      <formula>AND(P117&gt;=79001,P117&lt;79900)</formula>
    </cfRule>
    <cfRule type="expression" dxfId="34827" priority="7914" stopIfTrue="1">
      <formula>AND(P117&gt;=70101,P117&lt;=70301)</formula>
    </cfRule>
    <cfRule type="expression" dxfId="34826" priority="7915" stopIfTrue="1">
      <formula>AND(P117&gt;70000,P117&lt;70004)</formula>
    </cfRule>
    <cfRule type="expression" dxfId="34825" priority="7916" stopIfTrue="1">
      <formula>AND(P117&gt;=70010,P117&lt;=76000)</formula>
    </cfRule>
    <cfRule type="expression" dxfId="34824" priority="7917">
      <formula>AND(P117&gt;70000,P117&lt;70004)</formula>
    </cfRule>
    <cfRule type="expression" dxfId="34823" priority="7918" stopIfTrue="1">
      <formula>OR(AND(P117&gt;=10000,P117&lt;=56999),AND(P117&gt;=57000,P117&lt;=57999))</formula>
    </cfRule>
    <cfRule type="expression" dxfId="34822" priority="7919" stopIfTrue="1">
      <formula>AND(P117&gt;=8000,P117&lt;=9999)</formula>
    </cfRule>
    <cfRule type="expression" dxfId="34821" priority="7920" stopIfTrue="1">
      <formula>AND(P117&gt;=78100,P117&lt;=78199)</formula>
    </cfRule>
    <cfRule type="expression" dxfId="34820" priority="7921" stopIfTrue="1">
      <formula>AND(P117&gt;=92000,P117&lt;=98999)</formula>
    </cfRule>
    <cfRule type="expression" dxfId="34819" priority="7922" stopIfTrue="1">
      <formula>AND(P117&gt;=78100,P117&lt;=78199)</formula>
    </cfRule>
    <cfRule type="expression" dxfId="34818" priority="7923" stopIfTrue="1">
      <formula>AND(P117&gt;=91000,P117&lt;=91999)</formula>
    </cfRule>
  </conditionalFormatting>
  <conditionalFormatting sqref="G126">
    <cfRule type="expression" dxfId="34817" priority="7902">
      <formula>AND(H126&gt;=79001,H126&lt;79900)</formula>
    </cfRule>
    <cfRule type="expression" dxfId="34816" priority="7903" stopIfTrue="1">
      <formula>AND(H126&gt;=70101,H126&lt;=70301)</formula>
    </cfRule>
    <cfRule type="expression" dxfId="34815" priority="7904" stopIfTrue="1">
      <formula>AND(H126&gt;70000,H126&lt;70004)</formula>
    </cfRule>
    <cfRule type="expression" dxfId="34814" priority="7905" stopIfTrue="1">
      <formula>AND(H126&gt;=70010,H126&lt;=76000)</formula>
    </cfRule>
    <cfRule type="expression" dxfId="34813" priority="7906">
      <formula>AND(H126&gt;70000,H126&lt;70004)</formula>
    </cfRule>
    <cfRule type="expression" dxfId="34812" priority="7907" stopIfTrue="1">
      <formula>OR(AND(H126&gt;=10000,H126&lt;=56999),AND(H126&gt;=57000,H126&lt;=57999))</formula>
    </cfRule>
    <cfRule type="expression" dxfId="34811" priority="7908" stopIfTrue="1">
      <formula>AND(H126&gt;=8000,H126&lt;=9999)</formula>
    </cfRule>
    <cfRule type="expression" dxfId="34810" priority="7909" stopIfTrue="1">
      <formula>AND(H126&gt;=78100,H126&lt;=78199)</formula>
    </cfRule>
    <cfRule type="expression" dxfId="34809" priority="7910" stopIfTrue="1">
      <formula>AND(H126&gt;=92000,H126&lt;=98999)</formula>
    </cfRule>
    <cfRule type="expression" dxfId="34808" priority="7911" stopIfTrue="1">
      <formula>AND(H126&gt;=78100,H126&lt;=78199)</formula>
    </cfRule>
    <cfRule type="expression" dxfId="34807" priority="7912" stopIfTrue="1">
      <formula>AND(H126&gt;=91000,H126&lt;=91999)</formula>
    </cfRule>
  </conditionalFormatting>
  <conditionalFormatting sqref="K126">
    <cfRule type="expression" dxfId="34806" priority="7891">
      <formula>AND(L126&gt;=79001,L126&lt;79900)</formula>
    </cfRule>
    <cfRule type="expression" dxfId="34805" priority="7892" stopIfTrue="1">
      <formula>AND(L126&gt;=70101,L126&lt;=70301)</formula>
    </cfRule>
    <cfRule type="expression" dxfId="34804" priority="7893" stopIfTrue="1">
      <formula>AND(L126&gt;70000,L126&lt;70004)</formula>
    </cfRule>
    <cfRule type="expression" dxfId="34803" priority="7894" stopIfTrue="1">
      <formula>AND(L126&gt;=70010,L126&lt;=76000)</formula>
    </cfRule>
    <cfRule type="expression" dxfId="34802" priority="7895">
      <formula>AND(L126&gt;70000,L126&lt;70004)</formula>
    </cfRule>
    <cfRule type="expression" dxfId="34801" priority="7896" stopIfTrue="1">
      <formula>OR(AND(L126&gt;=10000,L126&lt;=56999),AND(L126&gt;=57000,L126&lt;=57999))</formula>
    </cfRule>
    <cfRule type="expression" dxfId="34800" priority="7897" stopIfTrue="1">
      <formula>AND(L126&gt;=8000,L126&lt;=9999)</formula>
    </cfRule>
    <cfRule type="expression" dxfId="34799" priority="7898" stopIfTrue="1">
      <formula>AND(L126&gt;=78100,L126&lt;=78199)</formula>
    </cfRule>
    <cfRule type="expression" dxfId="34798" priority="7899" stopIfTrue="1">
      <formula>AND(L126&gt;=92000,L126&lt;=98999)</formula>
    </cfRule>
    <cfRule type="expression" dxfId="34797" priority="7900" stopIfTrue="1">
      <formula>AND(L126&gt;=78100,L126&lt;=78199)</formula>
    </cfRule>
    <cfRule type="expression" dxfId="34796" priority="7901" stopIfTrue="1">
      <formula>AND(L126&gt;=91000,L126&lt;=91999)</formula>
    </cfRule>
  </conditionalFormatting>
  <conditionalFormatting sqref="O126">
    <cfRule type="expression" dxfId="34795" priority="7880">
      <formula>AND(P126&gt;=79001,P126&lt;79900)</formula>
    </cfRule>
    <cfRule type="expression" dxfId="34794" priority="7881" stopIfTrue="1">
      <formula>AND(P126&gt;=70101,P126&lt;=70301)</formula>
    </cfRule>
    <cfRule type="expression" dxfId="34793" priority="7882" stopIfTrue="1">
      <formula>AND(P126&gt;70000,P126&lt;70004)</formula>
    </cfRule>
    <cfRule type="expression" dxfId="34792" priority="7883" stopIfTrue="1">
      <formula>AND(P126&gt;=70010,P126&lt;=76000)</formula>
    </cfRule>
    <cfRule type="expression" dxfId="34791" priority="7884">
      <formula>AND(P126&gt;70000,P126&lt;70004)</formula>
    </cfRule>
    <cfRule type="expression" dxfId="34790" priority="7885" stopIfTrue="1">
      <formula>OR(AND(P126&gt;=10000,P126&lt;=56999),AND(P126&gt;=57000,P126&lt;=57999))</formula>
    </cfRule>
    <cfRule type="expression" dxfId="34789" priority="7886" stopIfTrue="1">
      <formula>AND(P126&gt;=8000,P126&lt;=9999)</formula>
    </cfRule>
    <cfRule type="expression" dxfId="34788" priority="7887" stopIfTrue="1">
      <formula>AND(P126&gt;=78100,P126&lt;=78199)</formula>
    </cfRule>
    <cfRule type="expression" dxfId="34787" priority="7888" stopIfTrue="1">
      <formula>AND(P126&gt;=92000,P126&lt;=98999)</formula>
    </cfRule>
    <cfRule type="expression" dxfId="34786" priority="7889" stopIfTrue="1">
      <formula>AND(P126&gt;=78100,P126&lt;=78199)</formula>
    </cfRule>
    <cfRule type="expression" dxfId="34785" priority="7890" stopIfTrue="1">
      <formula>AND(P126&gt;=91000,P126&lt;=91999)</formula>
    </cfRule>
  </conditionalFormatting>
  <conditionalFormatting sqref="AE126">
    <cfRule type="expression" dxfId="34784" priority="7836">
      <formula>AND(AF126&gt;=79001,AF126&lt;79900)</formula>
    </cfRule>
    <cfRule type="expression" dxfId="34783" priority="7837" stopIfTrue="1">
      <formula>AND(AF126&gt;=70101,AF126&lt;=70301)</formula>
    </cfRule>
    <cfRule type="expression" dxfId="34782" priority="7838" stopIfTrue="1">
      <formula>AND(AF126&gt;70000,AF126&lt;70004)</formula>
    </cfRule>
    <cfRule type="expression" dxfId="34781" priority="7839" stopIfTrue="1">
      <formula>AND(AF126&gt;=70010,AF126&lt;=76000)</formula>
    </cfRule>
    <cfRule type="expression" dxfId="34780" priority="7840">
      <formula>AND(AF126&gt;70000,AF126&lt;70004)</formula>
    </cfRule>
    <cfRule type="expression" dxfId="34779" priority="7841" stopIfTrue="1">
      <formula>OR(AND(AF126&gt;=10000,AF126&lt;=56999),AND(AF126&gt;=57000,AF126&lt;=57999))</formula>
    </cfRule>
    <cfRule type="expression" dxfId="34778" priority="7842" stopIfTrue="1">
      <formula>AND(AF126&gt;=8000,AF126&lt;=9999)</formula>
    </cfRule>
    <cfRule type="expression" dxfId="34777" priority="7843" stopIfTrue="1">
      <formula>AND(AF126&gt;=78100,AF126&lt;=78199)</formula>
    </cfRule>
    <cfRule type="expression" dxfId="34776" priority="7844" stopIfTrue="1">
      <formula>AND(AF126&gt;=92000,AF126&lt;=98999)</formula>
    </cfRule>
    <cfRule type="expression" dxfId="34775" priority="7845" stopIfTrue="1">
      <formula>AND(AF126&gt;=78100,AF126&lt;=78199)</formula>
    </cfRule>
    <cfRule type="expression" dxfId="34774" priority="7846" stopIfTrue="1">
      <formula>AND(AF126&gt;=91000,AF126&lt;=91999)</formula>
    </cfRule>
  </conditionalFormatting>
  <conditionalFormatting sqref="AA126">
    <cfRule type="expression" dxfId="34773" priority="7847">
      <formula>AND(AB126&gt;=79001,AB126&lt;79900)</formula>
    </cfRule>
    <cfRule type="expression" dxfId="34772" priority="7848" stopIfTrue="1">
      <formula>AND(AB126&gt;=70101,AB126&lt;=70301)</formula>
    </cfRule>
    <cfRule type="expression" dxfId="34771" priority="7849" stopIfTrue="1">
      <formula>AND(AB126&gt;70000,AB126&lt;70004)</formula>
    </cfRule>
    <cfRule type="expression" dxfId="34770" priority="7850" stopIfTrue="1">
      <formula>AND(AB126&gt;=70010,AB126&lt;=76000)</formula>
    </cfRule>
    <cfRule type="expression" dxfId="34769" priority="7851">
      <formula>AND(AB126&gt;70000,AB126&lt;70004)</formula>
    </cfRule>
    <cfRule type="expression" dxfId="34768" priority="7852" stopIfTrue="1">
      <formula>OR(AND(AB126&gt;=10000,AB126&lt;=56999),AND(AB126&gt;=57000,AB126&lt;=57999))</formula>
    </cfRule>
    <cfRule type="expression" dxfId="34767" priority="7853" stopIfTrue="1">
      <formula>AND(AB126&gt;=8000,AB126&lt;=9999)</formula>
    </cfRule>
    <cfRule type="expression" dxfId="34766" priority="7854" stopIfTrue="1">
      <formula>AND(AB126&gt;=78100,AB126&lt;=78199)</formula>
    </cfRule>
    <cfRule type="expression" dxfId="34765" priority="7855" stopIfTrue="1">
      <formula>AND(AB126&gt;=92000,AB126&lt;=98999)</formula>
    </cfRule>
    <cfRule type="expression" dxfId="34764" priority="7856" stopIfTrue="1">
      <formula>AND(AB126&gt;=78100,AB126&lt;=78199)</formula>
    </cfRule>
    <cfRule type="expression" dxfId="34763" priority="7857" stopIfTrue="1">
      <formula>AND(AB126&gt;=91000,AB126&lt;=91999)</formula>
    </cfRule>
  </conditionalFormatting>
  <conditionalFormatting sqref="G126">
    <cfRule type="expression" dxfId="34762" priority="7825">
      <formula>AND(H126&gt;=79001,H126&lt;79900)</formula>
    </cfRule>
    <cfRule type="expression" dxfId="34761" priority="7826" stopIfTrue="1">
      <formula>AND(H126&gt;=70101,H126&lt;=70301)</formula>
    </cfRule>
    <cfRule type="expression" dxfId="34760" priority="7827" stopIfTrue="1">
      <formula>AND(H126&gt;70000,H126&lt;70004)</formula>
    </cfRule>
    <cfRule type="expression" dxfId="34759" priority="7828" stopIfTrue="1">
      <formula>AND(H126&gt;=70010,H126&lt;=76000)</formula>
    </cfRule>
    <cfRule type="expression" dxfId="34758" priority="7829">
      <formula>AND(H126&gt;70000,H126&lt;70004)</formula>
    </cfRule>
    <cfRule type="expression" dxfId="34757" priority="7830" stopIfTrue="1">
      <formula>OR(AND(H126&gt;=10000,H126&lt;=56999),AND(H126&gt;=57000,H126&lt;=57999))</formula>
    </cfRule>
    <cfRule type="expression" dxfId="34756" priority="7831" stopIfTrue="1">
      <formula>AND(H126&gt;=8000,H126&lt;=9999)</formula>
    </cfRule>
    <cfRule type="expression" dxfId="34755" priority="7832" stopIfTrue="1">
      <formula>AND(H126&gt;=78100,H126&lt;=78199)</formula>
    </cfRule>
    <cfRule type="expression" dxfId="34754" priority="7833" stopIfTrue="1">
      <formula>AND(H126&gt;=92000,H126&lt;=98999)</formula>
    </cfRule>
    <cfRule type="expression" dxfId="34753" priority="7834" stopIfTrue="1">
      <formula>AND(H126&gt;=78100,H126&lt;=78199)</formula>
    </cfRule>
    <cfRule type="expression" dxfId="34752" priority="7835" stopIfTrue="1">
      <formula>AND(H126&gt;=91000,H126&lt;=91999)</formula>
    </cfRule>
  </conditionalFormatting>
  <conditionalFormatting sqref="K126">
    <cfRule type="expression" dxfId="34751" priority="7814">
      <formula>AND(L126&gt;=79001,L126&lt;79900)</formula>
    </cfRule>
    <cfRule type="expression" dxfId="34750" priority="7815" stopIfTrue="1">
      <formula>AND(L126&gt;=70101,L126&lt;=70301)</formula>
    </cfRule>
    <cfRule type="expression" dxfId="34749" priority="7816" stopIfTrue="1">
      <formula>AND(L126&gt;70000,L126&lt;70004)</formula>
    </cfRule>
    <cfRule type="expression" dxfId="34748" priority="7817" stopIfTrue="1">
      <formula>AND(L126&gt;=70010,L126&lt;=76000)</formula>
    </cfRule>
    <cfRule type="expression" dxfId="34747" priority="7818">
      <formula>AND(L126&gt;70000,L126&lt;70004)</formula>
    </cfRule>
    <cfRule type="expression" dxfId="34746" priority="7819" stopIfTrue="1">
      <formula>OR(AND(L126&gt;=10000,L126&lt;=56999),AND(L126&gt;=57000,L126&lt;=57999))</formula>
    </cfRule>
    <cfRule type="expression" dxfId="34745" priority="7820" stopIfTrue="1">
      <formula>AND(L126&gt;=8000,L126&lt;=9999)</formula>
    </cfRule>
    <cfRule type="expression" dxfId="34744" priority="7821" stopIfTrue="1">
      <formula>AND(L126&gt;=78100,L126&lt;=78199)</formula>
    </cfRule>
    <cfRule type="expression" dxfId="34743" priority="7822" stopIfTrue="1">
      <formula>AND(L126&gt;=92000,L126&lt;=98999)</formula>
    </cfRule>
    <cfRule type="expression" dxfId="34742" priority="7823" stopIfTrue="1">
      <formula>AND(L126&gt;=78100,L126&lt;=78199)</formula>
    </cfRule>
    <cfRule type="expression" dxfId="34741" priority="7824" stopIfTrue="1">
      <formula>AND(L126&gt;=91000,L126&lt;=91999)</formula>
    </cfRule>
  </conditionalFormatting>
  <conditionalFormatting sqref="O126">
    <cfRule type="expression" dxfId="34740" priority="7803">
      <formula>AND(P126&gt;=79001,P126&lt;79900)</formula>
    </cfRule>
    <cfRule type="expression" dxfId="34739" priority="7804" stopIfTrue="1">
      <formula>AND(P126&gt;=70101,P126&lt;=70301)</formula>
    </cfRule>
    <cfRule type="expression" dxfId="34738" priority="7805" stopIfTrue="1">
      <formula>AND(P126&gt;70000,P126&lt;70004)</formula>
    </cfRule>
    <cfRule type="expression" dxfId="34737" priority="7806" stopIfTrue="1">
      <formula>AND(P126&gt;=70010,P126&lt;=76000)</formula>
    </cfRule>
    <cfRule type="expression" dxfId="34736" priority="7807">
      <formula>AND(P126&gt;70000,P126&lt;70004)</formula>
    </cfRule>
    <cfRule type="expression" dxfId="34735" priority="7808" stopIfTrue="1">
      <formula>OR(AND(P126&gt;=10000,P126&lt;=56999),AND(P126&gt;=57000,P126&lt;=57999))</formula>
    </cfRule>
    <cfRule type="expression" dxfId="34734" priority="7809" stopIfTrue="1">
      <formula>AND(P126&gt;=8000,P126&lt;=9999)</formula>
    </cfRule>
    <cfRule type="expression" dxfId="34733" priority="7810" stopIfTrue="1">
      <formula>AND(P126&gt;=78100,P126&lt;=78199)</formula>
    </cfRule>
    <cfRule type="expression" dxfId="34732" priority="7811" stopIfTrue="1">
      <formula>AND(P126&gt;=92000,P126&lt;=98999)</formula>
    </cfRule>
    <cfRule type="expression" dxfId="34731" priority="7812" stopIfTrue="1">
      <formula>AND(P126&gt;=78100,P126&lt;=78199)</formula>
    </cfRule>
    <cfRule type="expression" dxfId="34730" priority="7813" stopIfTrue="1">
      <formula>AND(P126&gt;=91000,P126&lt;=91999)</formula>
    </cfRule>
  </conditionalFormatting>
  <conditionalFormatting sqref="G135">
    <cfRule type="expression" dxfId="34729" priority="7792">
      <formula>AND(H135&gt;=79001,H135&lt;79900)</formula>
    </cfRule>
    <cfRule type="expression" dxfId="34728" priority="7793" stopIfTrue="1">
      <formula>AND(H135&gt;=70101,H135&lt;=70301)</formula>
    </cfRule>
    <cfRule type="expression" dxfId="34727" priority="7794" stopIfTrue="1">
      <formula>AND(H135&gt;70000,H135&lt;70004)</formula>
    </cfRule>
    <cfRule type="expression" dxfId="34726" priority="7795" stopIfTrue="1">
      <formula>AND(H135&gt;=70010,H135&lt;=76000)</formula>
    </cfRule>
    <cfRule type="expression" dxfId="34725" priority="7796">
      <formula>AND(H135&gt;70000,H135&lt;70004)</formula>
    </cfRule>
    <cfRule type="expression" dxfId="34724" priority="7797" stopIfTrue="1">
      <formula>OR(AND(H135&gt;=10000,H135&lt;=56999),AND(H135&gt;=57000,H135&lt;=57999))</formula>
    </cfRule>
    <cfRule type="expression" dxfId="34723" priority="7798" stopIfTrue="1">
      <formula>AND(H135&gt;=8000,H135&lt;=9999)</formula>
    </cfRule>
    <cfRule type="expression" dxfId="34722" priority="7799" stopIfTrue="1">
      <formula>AND(H135&gt;=78100,H135&lt;=78199)</formula>
    </cfRule>
    <cfRule type="expression" dxfId="34721" priority="7800" stopIfTrue="1">
      <formula>AND(H135&gt;=92000,H135&lt;=98999)</formula>
    </cfRule>
    <cfRule type="expression" dxfId="34720" priority="7801" stopIfTrue="1">
      <formula>AND(H135&gt;=78100,H135&lt;=78199)</formula>
    </cfRule>
    <cfRule type="expression" dxfId="34719" priority="7802" stopIfTrue="1">
      <formula>AND(H135&gt;=91000,H135&lt;=91999)</formula>
    </cfRule>
  </conditionalFormatting>
  <conditionalFormatting sqref="K135">
    <cfRule type="expression" dxfId="34718" priority="7781">
      <formula>AND(L135&gt;=79001,L135&lt;79900)</formula>
    </cfRule>
    <cfRule type="expression" dxfId="34717" priority="7782" stopIfTrue="1">
      <formula>AND(L135&gt;=70101,L135&lt;=70301)</formula>
    </cfRule>
    <cfRule type="expression" dxfId="34716" priority="7783" stopIfTrue="1">
      <formula>AND(L135&gt;70000,L135&lt;70004)</formula>
    </cfRule>
    <cfRule type="expression" dxfId="34715" priority="7784" stopIfTrue="1">
      <formula>AND(L135&gt;=70010,L135&lt;=76000)</formula>
    </cfRule>
    <cfRule type="expression" dxfId="34714" priority="7785">
      <formula>AND(L135&gt;70000,L135&lt;70004)</formula>
    </cfRule>
    <cfRule type="expression" dxfId="34713" priority="7786" stopIfTrue="1">
      <formula>OR(AND(L135&gt;=10000,L135&lt;=56999),AND(L135&gt;=57000,L135&lt;=57999))</formula>
    </cfRule>
    <cfRule type="expression" dxfId="34712" priority="7787" stopIfTrue="1">
      <formula>AND(L135&gt;=8000,L135&lt;=9999)</formula>
    </cfRule>
    <cfRule type="expression" dxfId="34711" priority="7788" stopIfTrue="1">
      <formula>AND(L135&gt;=78100,L135&lt;=78199)</formula>
    </cfRule>
    <cfRule type="expression" dxfId="34710" priority="7789" stopIfTrue="1">
      <formula>AND(L135&gt;=92000,L135&lt;=98999)</formula>
    </cfRule>
    <cfRule type="expression" dxfId="34709" priority="7790" stopIfTrue="1">
      <formula>AND(L135&gt;=78100,L135&lt;=78199)</formula>
    </cfRule>
    <cfRule type="expression" dxfId="34708" priority="7791" stopIfTrue="1">
      <formula>AND(L135&gt;=91000,L135&lt;=91999)</formula>
    </cfRule>
  </conditionalFormatting>
  <conditionalFormatting sqref="O135">
    <cfRule type="expression" dxfId="34707" priority="7770">
      <formula>AND(P135&gt;=79001,P135&lt;79900)</formula>
    </cfRule>
    <cfRule type="expression" dxfId="34706" priority="7771" stopIfTrue="1">
      <formula>AND(P135&gt;=70101,P135&lt;=70301)</formula>
    </cfRule>
    <cfRule type="expression" dxfId="34705" priority="7772" stopIfTrue="1">
      <formula>AND(P135&gt;70000,P135&lt;70004)</formula>
    </cfRule>
    <cfRule type="expression" dxfId="34704" priority="7773" stopIfTrue="1">
      <formula>AND(P135&gt;=70010,P135&lt;=76000)</formula>
    </cfRule>
    <cfRule type="expression" dxfId="34703" priority="7774">
      <formula>AND(P135&gt;70000,P135&lt;70004)</formula>
    </cfRule>
    <cfRule type="expression" dxfId="34702" priority="7775" stopIfTrue="1">
      <formula>OR(AND(P135&gt;=10000,P135&lt;=56999),AND(P135&gt;=57000,P135&lt;=57999))</formula>
    </cfRule>
    <cfRule type="expression" dxfId="34701" priority="7776" stopIfTrue="1">
      <formula>AND(P135&gt;=8000,P135&lt;=9999)</formula>
    </cfRule>
    <cfRule type="expression" dxfId="34700" priority="7777" stopIfTrue="1">
      <formula>AND(P135&gt;=78100,P135&lt;=78199)</formula>
    </cfRule>
    <cfRule type="expression" dxfId="34699" priority="7778" stopIfTrue="1">
      <formula>AND(P135&gt;=92000,P135&lt;=98999)</formula>
    </cfRule>
    <cfRule type="expression" dxfId="34698" priority="7779" stopIfTrue="1">
      <formula>AND(P135&gt;=78100,P135&lt;=78199)</formula>
    </cfRule>
    <cfRule type="expression" dxfId="34697" priority="7780" stopIfTrue="1">
      <formula>AND(P135&gt;=91000,P135&lt;=91999)</formula>
    </cfRule>
  </conditionalFormatting>
  <conditionalFormatting sqref="AE135">
    <cfRule type="expression" dxfId="34696" priority="7726">
      <formula>AND(AF135&gt;=79001,AF135&lt;79900)</formula>
    </cfRule>
    <cfRule type="expression" dxfId="34695" priority="7727" stopIfTrue="1">
      <formula>AND(AF135&gt;=70101,AF135&lt;=70301)</formula>
    </cfRule>
    <cfRule type="expression" dxfId="34694" priority="7728" stopIfTrue="1">
      <formula>AND(AF135&gt;70000,AF135&lt;70004)</formula>
    </cfRule>
    <cfRule type="expression" dxfId="34693" priority="7729" stopIfTrue="1">
      <formula>AND(AF135&gt;=70010,AF135&lt;=76000)</formula>
    </cfRule>
    <cfRule type="expression" dxfId="34692" priority="7730">
      <formula>AND(AF135&gt;70000,AF135&lt;70004)</formula>
    </cfRule>
    <cfRule type="expression" dxfId="34691" priority="7731" stopIfTrue="1">
      <formula>OR(AND(AF135&gt;=10000,AF135&lt;=56999),AND(AF135&gt;=57000,AF135&lt;=57999))</formula>
    </cfRule>
    <cfRule type="expression" dxfId="34690" priority="7732" stopIfTrue="1">
      <formula>AND(AF135&gt;=8000,AF135&lt;=9999)</formula>
    </cfRule>
    <cfRule type="expression" dxfId="34689" priority="7733" stopIfTrue="1">
      <formula>AND(AF135&gt;=78100,AF135&lt;=78199)</formula>
    </cfRule>
    <cfRule type="expression" dxfId="34688" priority="7734" stopIfTrue="1">
      <formula>AND(AF135&gt;=92000,AF135&lt;=98999)</formula>
    </cfRule>
    <cfRule type="expression" dxfId="34687" priority="7735" stopIfTrue="1">
      <formula>AND(AF135&gt;=78100,AF135&lt;=78199)</formula>
    </cfRule>
    <cfRule type="expression" dxfId="34686" priority="7736" stopIfTrue="1">
      <formula>AND(AF135&gt;=91000,AF135&lt;=91999)</formula>
    </cfRule>
  </conditionalFormatting>
  <conditionalFormatting sqref="AA135">
    <cfRule type="expression" dxfId="34685" priority="7737">
      <formula>AND(AB135&gt;=79001,AB135&lt;79900)</formula>
    </cfRule>
    <cfRule type="expression" dxfId="34684" priority="7738" stopIfTrue="1">
      <formula>AND(AB135&gt;=70101,AB135&lt;=70301)</formula>
    </cfRule>
    <cfRule type="expression" dxfId="34683" priority="7739" stopIfTrue="1">
      <formula>AND(AB135&gt;70000,AB135&lt;70004)</formula>
    </cfRule>
    <cfRule type="expression" dxfId="34682" priority="7740" stopIfTrue="1">
      <formula>AND(AB135&gt;=70010,AB135&lt;=76000)</formula>
    </cfRule>
    <cfRule type="expression" dxfId="34681" priority="7741">
      <formula>AND(AB135&gt;70000,AB135&lt;70004)</formula>
    </cfRule>
    <cfRule type="expression" dxfId="34680" priority="7742" stopIfTrue="1">
      <formula>OR(AND(AB135&gt;=10000,AB135&lt;=56999),AND(AB135&gt;=57000,AB135&lt;=57999))</formula>
    </cfRule>
    <cfRule type="expression" dxfId="34679" priority="7743" stopIfTrue="1">
      <formula>AND(AB135&gt;=8000,AB135&lt;=9999)</formula>
    </cfRule>
    <cfRule type="expression" dxfId="34678" priority="7744" stopIfTrue="1">
      <formula>AND(AB135&gt;=78100,AB135&lt;=78199)</formula>
    </cfRule>
    <cfRule type="expression" dxfId="34677" priority="7745" stopIfTrue="1">
      <formula>AND(AB135&gt;=92000,AB135&lt;=98999)</formula>
    </cfRule>
    <cfRule type="expression" dxfId="34676" priority="7746" stopIfTrue="1">
      <formula>AND(AB135&gt;=78100,AB135&lt;=78199)</formula>
    </cfRule>
    <cfRule type="expression" dxfId="34675" priority="7747" stopIfTrue="1">
      <formula>AND(AB135&gt;=91000,AB135&lt;=91999)</formula>
    </cfRule>
  </conditionalFormatting>
  <conditionalFormatting sqref="AI135">
    <cfRule type="expression" dxfId="34674" priority="7715">
      <formula>AND(AJ135&gt;=79001,AJ135&lt;79900)</formula>
    </cfRule>
    <cfRule type="expression" dxfId="34673" priority="7716" stopIfTrue="1">
      <formula>AND(AJ135&gt;=70101,AJ135&lt;=70301)</formula>
    </cfRule>
    <cfRule type="expression" dxfId="34672" priority="7717" stopIfTrue="1">
      <formula>AND(AJ135&gt;70000,AJ135&lt;70004)</formula>
    </cfRule>
    <cfRule type="expression" dxfId="34671" priority="7718" stopIfTrue="1">
      <formula>AND(AJ135&gt;=70010,AJ135&lt;=76000)</formula>
    </cfRule>
    <cfRule type="expression" dxfId="34670" priority="7719">
      <formula>AND(AJ135&gt;70000,AJ135&lt;70004)</formula>
    </cfRule>
    <cfRule type="expression" dxfId="34669" priority="7720" stopIfTrue="1">
      <formula>OR(AND(AJ135&gt;=10000,AJ135&lt;=56999),AND(AJ135&gt;=57000,AJ135&lt;=57999))</formula>
    </cfRule>
    <cfRule type="expression" dxfId="34668" priority="7721" stopIfTrue="1">
      <formula>AND(AJ135&gt;=8000,AJ135&lt;=9999)</formula>
    </cfRule>
    <cfRule type="expression" dxfId="34667" priority="7722" stopIfTrue="1">
      <formula>AND(AJ135&gt;=78100,AJ135&lt;=78199)</formula>
    </cfRule>
    <cfRule type="expression" dxfId="34666" priority="7723" stopIfTrue="1">
      <formula>AND(AJ135&gt;=92000,AJ135&lt;=98999)</formula>
    </cfRule>
    <cfRule type="expression" dxfId="34665" priority="7724" stopIfTrue="1">
      <formula>AND(AJ135&gt;=78100,AJ135&lt;=78199)</formula>
    </cfRule>
    <cfRule type="expression" dxfId="34664" priority="7725" stopIfTrue="1">
      <formula>AND(AJ135&gt;=91000,AJ135&lt;=91999)</formula>
    </cfRule>
  </conditionalFormatting>
  <conditionalFormatting sqref="AM135">
    <cfRule type="expression" dxfId="34663" priority="7704">
      <formula>AND(AN135&gt;=79001,AN135&lt;79900)</formula>
    </cfRule>
    <cfRule type="expression" dxfId="34662" priority="7705" stopIfTrue="1">
      <formula>AND(AN135&gt;=70101,AN135&lt;=70301)</formula>
    </cfRule>
    <cfRule type="expression" dxfId="34661" priority="7706" stopIfTrue="1">
      <formula>AND(AN135&gt;70000,AN135&lt;70004)</formula>
    </cfRule>
    <cfRule type="expression" dxfId="34660" priority="7707" stopIfTrue="1">
      <formula>AND(AN135&gt;=70010,AN135&lt;=76000)</formula>
    </cfRule>
    <cfRule type="expression" dxfId="34659" priority="7708">
      <formula>AND(AN135&gt;70000,AN135&lt;70004)</formula>
    </cfRule>
    <cfRule type="expression" dxfId="34658" priority="7709" stopIfTrue="1">
      <formula>OR(AND(AN135&gt;=10000,AN135&lt;=56999),AND(AN135&gt;=57000,AN135&lt;=57999))</formula>
    </cfRule>
    <cfRule type="expression" dxfId="34657" priority="7710" stopIfTrue="1">
      <formula>AND(AN135&gt;=8000,AN135&lt;=9999)</formula>
    </cfRule>
    <cfRule type="expression" dxfId="34656" priority="7711" stopIfTrue="1">
      <formula>AND(AN135&gt;=78100,AN135&lt;=78199)</formula>
    </cfRule>
    <cfRule type="expression" dxfId="34655" priority="7712" stopIfTrue="1">
      <formula>AND(AN135&gt;=92000,AN135&lt;=98999)</formula>
    </cfRule>
    <cfRule type="expression" dxfId="34654" priority="7713" stopIfTrue="1">
      <formula>AND(AN135&gt;=78100,AN135&lt;=78199)</formula>
    </cfRule>
    <cfRule type="expression" dxfId="34653" priority="7714" stopIfTrue="1">
      <formula>AND(AN135&gt;=91000,AN135&lt;=91999)</formula>
    </cfRule>
  </conditionalFormatting>
  <conditionalFormatting sqref="AQ135">
    <cfRule type="expression" dxfId="34652" priority="7693">
      <formula>AND(AR135&gt;=79001,AR135&lt;79900)</formula>
    </cfRule>
    <cfRule type="expression" dxfId="34651" priority="7694" stopIfTrue="1">
      <formula>AND(AR135&gt;=70101,AR135&lt;=70301)</formula>
    </cfRule>
    <cfRule type="expression" dxfId="34650" priority="7695" stopIfTrue="1">
      <formula>AND(AR135&gt;70000,AR135&lt;70004)</formula>
    </cfRule>
    <cfRule type="expression" dxfId="34649" priority="7696" stopIfTrue="1">
      <formula>AND(AR135&gt;=70010,AR135&lt;=76000)</formula>
    </cfRule>
    <cfRule type="expression" dxfId="34648" priority="7697">
      <formula>AND(AR135&gt;70000,AR135&lt;70004)</formula>
    </cfRule>
    <cfRule type="expression" dxfId="34647" priority="7698" stopIfTrue="1">
      <formula>OR(AND(AR135&gt;=10000,AR135&lt;=56999),AND(AR135&gt;=57000,AR135&lt;=57999))</formula>
    </cfRule>
    <cfRule type="expression" dxfId="34646" priority="7699" stopIfTrue="1">
      <formula>AND(AR135&gt;=8000,AR135&lt;=9999)</formula>
    </cfRule>
    <cfRule type="expression" dxfId="34645" priority="7700" stopIfTrue="1">
      <formula>AND(AR135&gt;=78100,AR135&lt;=78199)</formula>
    </cfRule>
    <cfRule type="expression" dxfId="34644" priority="7701" stopIfTrue="1">
      <formula>AND(AR135&gt;=92000,AR135&lt;=98999)</formula>
    </cfRule>
    <cfRule type="expression" dxfId="34643" priority="7702" stopIfTrue="1">
      <formula>AND(AR135&gt;=78100,AR135&lt;=78199)</formula>
    </cfRule>
    <cfRule type="expression" dxfId="34642" priority="7703" stopIfTrue="1">
      <formula>AND(AR135&gt;=91000,AR135&lt;=91999)</formula>
    </cfRule>
  </conditionalFormatting>
  <conditionalFormatting sqref="AU135">
    <cfRule type="expression" dxfId="34641" priority="7682">
      <formula>AND(AV135&gt;=79001,AV135&lt;79900)</formula>
    </cfRule>
    <cfRule type="expression" dxfId="34640" priority="7683" stopIfTrue="1">
      <formula>AND(AV135&gt;=70101,AV135&lt;=70301)</formula>
    </cfRule>
    <cfRule type="expression" dxfId="34639" priority="7684" stopIfTrue="1">
      <formula>AND(AV135&gt;70000,AV135&lt;70004)</formula>
    </cfRule>
    <cfRule type="expression" dxfId="34638" priority="7685" stopIfTrue="1">
      <formula>AND(AV135&gt;=70010,AV135&lt;=76000)</formula>
    </cfRule>
    <cfRule type="expression" dxfId="34637" priority="7686">
      <formula>AND(AV135&gt;70000,AV135&lt;70004)</formula>
    </cfRule>
    <cfRule type="expression" dxfId="34636" priority="7687" stopIfTrue="1">
      <formula>OR(AND(AV135&gt;=10000,AV135&lt;=56999),AND(AV135&gt;=57000,AV135&lt;=57999))</formula>
    </cfRule>
    <cfRule type="expression" dxfId="34635" priority="7688" stopIfTrue="1">
      <formula>AND(AV135&gt;=8000,AV135&lt;=9999)</formula>
    </cfRule>
    <cfRule type="expression" dxfId="34634" priority="7689" stopIfTrue="1">
      <formula>AND(AV135&gt;=78100,AV135&lt;=78199)</formula>
    </cfRule>
    <cfRule type="expression" dxfId="34633" priority="7690" stopIfTrue="1">
      <formula>AND(AV135&gt;=92000,AV135&lt;=98999)</formula>
    </cfRule>
    <cfRule type="expression" dxfId="34632" priority="7691" stopIfTrue="1">
      <formula>AND(AV135&gt;=78100,AV135&lt;=78199)</formula>
    </cfRule>
    <cfRule type="expression" dxfId="34631" priority="7692" stopIfTrue="1">
      <formula>AND(AV135&gt;=91000,AV135&lt;=91999)</formula>
    </cfRule>
  </conditionalFormatting>
  <conditionalFormatting sqref="AY135">
    <cfRule type="expression" dxfId="34630" priority="7671">
      <formula>AND(AZ135&gt;=79001,AZ135&lt;79900)</formula>
    </cfRule>
    <cfRule type="expression" dxfId="34629" priority="7672" stopIfTrue="1">
      <formula>AND(AZ135&gt;=70101,AZ135&lt;=70301)</formula>
    </cfRule>
    <cfRule type="expression" dxfId="34628" priority="7673" stopIfTrue="1">
      <formula>AND(AZ135&gt;70000,AZ135&lt;70004)</formula>
    </cfRule>
    <cfRule type="expression" dxfId="34627" priority="7674" stopIfTrue="1">
      <formula>AND(AZ135&gt;=70010,AZ135&lt;=76000)</formula>
    </cfRule>
    <cfRule type="expression" dxfId="34626" priority="7675">
      <formula>AND(AZ135&gt;70000,AZ135&lt;70004)</formula>
    </cfRule>
    <cfRule type="expression" dxfId="34625" priority="7676" stopIfTrue="1">
      <formula>OR(AND(AZ135&gt;=10000,AZ135&lt;=56999),AND(AZ135&gt;=57000,AZ135&lt;=57999))</formula>
    </cfRule>
    <cfRule type="expression" dxfId="34624" priority="7677" stopIfTrue="1">
      <formula>AND(AZ135&gt;=8000,AZ135&lt;=9999)</formula>
    </cfRule>
    <cfRule type="expression" dxfId="34623" priority="7678" stopIfTrue="1">
      <formula>AND(AZ135&gt;=78100,AZ135&lt;=78199)</formula>
    </cfRule>
    <cfRule type="expression" dxfId="34622" priority="7679" stopIfTrue="1">
      <formula>AND(AZ135&gt;=92000,AZ135&lt;=98999)</formula>
    </cfRule>
    <cfRule type="expression" dxfId="34621" priority="7680" stopIfTrue="1">
      <formula>AND(AZ135&gt;=78100,AZ135&lt;=78199)</formula>
    </cfRule>
    <cfRule type="expression" dxfId="34620" priority="7681" stopIfTrue="1">
      <formula>AND(AZ135&gt;=91000,AZ135&lt;=91999)</formula>
    </cfRule>
  </conditionalFormatting>
  <conditionalFormatting sqref="G135">
    <cfRule type="expression" dxfId="34619" priority="7660">
      <formula>AND(H135&gt;=79001,H135&lt;79900)</formula>
    </cfRule>
    <cfRule type="expression" dxfId="34618" priority="7661" stopIfTrue="1">
      <formula>AND(H135&gt;=70101,H135&lt;=70301)</formula>
    </cfRule>
    <cfRule type="expression" dxfId="34617" priority="7662" stopIfTrue="1">
      <formula>AND(H135&gt;70000,H135&lt;70004)</formula>
    </cfRule>
    <cfRule type="expression" dxfId="34616" priority="7663" stopIfTrue="1">
      <formula>AND(H135&gt;=70010,H135&lt;=76000)</formula>
    </cfRule>
    <cfRule type="expression" dxfId="34615" priority="7664">
      <formula>AND(H135&gt;70000,H135&lt;70004)</formula>
    </cfRule>
    <cfRule type="expression" dxfId="34614" priority="7665" stopIfTrue="1">
      <formula>OR(AND(H135&gt;=10000,H135&lt;=56999),AND(H135&gt;=57000,H135&lt;=57999))</formula>
    </cfRule>
    <cfRule type="expression" dxfId="34613" priority="7666" stopIfTrue="1">
      <formula>AND(H135&gt;=8000,H135&lt;=9999)</formula>
    </cfRule>
    <cfRule type="expression" dxfId="34612" priority="7667" stopIfTrue="1">
      <formula>AND(H135&gt;=78100,H135&lt;=78199)</formula>
    </cfRule>
    <cfRule type="expression" dxfId="34611" priority="7668" stopIfTrue="1">
      <formula>AND(H135&gt;=92000,H135&lt;=98999)</formula>
    </cfRule>
    <cfRule type="expression" dxfId="34610" priority="7669" stopIfTrue="1">
      <formula>AND(H135&gt;=78100,H135&lt;=78199)</formula>
    </cfRule>
    <cfRule type="expression" dxfId="34609" priority="7670" stopIfTrue="1">
      <formula>AND(H135&gt;=91000,H135&lt;=91999)</formula>
    </cfRule>
  </conditionalFormatting>
  <conditionalFormatting sqref="K135">
    <cfRule type="expression" dxfId="34608" priority="7649">
      <formula>AND(L135&gt;=79001,L135&lt;79900)</formula>
    </cfRule>
    <cfRule type="expression" dxfId="34607" priority="7650" stopIfTrue="1">
      <formula>AND(L135&gt;=70101,L135&lt;=70301)</formula>
    </cfRule>
    <cfRule type="expression" dxfId="34606" priority="7651" stopIfTrue="1">
      <formula>AND(L135&gt;70000,L135&lt;70004)</formula>
    </cfRule>
    <cfRule type="expression" dxfId="34605" priority="7652" stopIfTrue="1">
      <formula>AND(L135&gt;=70010,L135&lt;=76000)</formula>
    </cfRule>
    <cfRule type="expression" dxfId="34604" priority="7653">
      <formula>AND(L135&gt;70000,L135&lt;70004)</formula>
    </cfRule>
    <cfRule type="expression" dxfId="34603" priority="7654" stopIfTrue="1">
      <formula>OR(AND(L135&gt;=10000,L135&lt;=56999),AND(L135&gt;=57000,L135&lt;=57999))</formula>
    </cfRule>
    <cfRule type="expression" dxfId="34602" priority="7655" stopIfTrue="1">
      <formula>AND(L135&gt;=8000,L135&lt;=9999)</formula>
    </cfRule>
    <cfRule type="expression" dxfId="34601" priority="7656" stopIfTrue="1">
      <formula>AND(L135&gt;=78100,L135&lt;=78199)</formula>
    </cfRule>
    <cfRule type="expression" dxfId="34600" priority="7657" stopIfTrue="1">
      <formula>AND(L135&gt;=92000,L135&lt;=98999)</formula>
    </cfRule>
    <cfRule type="expression" dxfId="34599" priority="7658" stopIfTrue="1">
      <formula>AND(L135&gt;=78100,L135&lt;=78199)</formula>
    </cfRule>
    <cfRule type="expression" dxfId="34598" priority="7659" stopIfTrue="1">
      <formula>AND(L135&gt;=91000,L135&lt;=91999)</formula>
    </cfRule>
  </conditionalFormatting>
  <conditionalFormatting sqref="O135">
    <cfRule type="expression" dxfId="34597" priority="7638">
      <formula>AND(P135&gt;=79001,P135&lt;79900)</formula>
    </cfRule>
    <cfRule type="expression" dxfId="34596" priority="7639" stopIfTrue="1">
      <formula>AND(P135&gt;=70101,P135&lt;=70301)</formula>
    </cfRule>
    <cfRule type="expression" dxfId="34595" priority="7640" stopIfTrue="1">
      <formula>AND(P135&gt;70000,P135&lt;70004)</formula>
    </cfRule>
    <cfRule type="expression" dxfId="34594" priority="7641" stopIfTrue="1">
      <formula>AND(P135&gt;=70010,P135&lt;=76000)</formula>
    </cfRule>
    <cfRule type="expression" dxfId="34593" priority="7642">
      <formula>AND(P135&gt;70000,P135&lt;70004)</formula>
    </cfRule>
    <cfRule type="expression" dxfId="34592" priority="7643" stopIfTrue="1">
      <formula>OR(AND(P135&gt;=10000,P135&lt;=56999),AND(P135&gt;=57000,P135&lt;=57999))</formula>
    </cfRule>
    <cfRule type="expression" dxfId="34591" priority="7644" stopIfTrue="1">
      <formula>AND(P135&gt;=8000,P135&lt;=9999)</formula>
    </cfRule>
    <cfRule type="expression" dxfId="34590" priority="7645" stopIfTrue="1">
      <formula>AND(P135&gt;=78100,P135&lt;=78199)</formula>
    </cfRule>
    <cfRule type="expression" dxfId="34589" priority="7646" stopIfTrue="1">
      <formula>AND(P135&gt;=92000,P135&lt;=98999)</formula>
    </cfRule>
    <cfRule type="expression" dxfId="34588" priority="7647" stopIfTrue="1">
      <formula>AND(P135&gt;=78100,P135&lt;=78199)</formula>
    </cfRule>
    <cfRule type="expression" dxfId="34587" priority="7648" stopIfTrue="1">
      <formula>AND(P135&gt;=91000,P135&lt;=91999)</formula>
    </cfRule>
  </conditionalFormatting>
  <conditionalFormatting sqref="G147">
    <cfRule type="expression" dxfId="34586" priority="7627">
      <formula>AND(H147&gt;=79001,H147&lt;79900)</formula>
    </cfRule>
    <cfRule type="expression" dxfId="34585" priority="7628" stopIfTrue="1">
      <formula>AND(H147&gt;=70101,H147&lt;=70301)</formula>
    </cfRule>
    <cfRule type="expression" dxfId="34584" priority="7629" stopIfTrue="1">
      <formula>AND(H147&gt;70000,H147&lt;70004)</formula>
    </cfRule>
    <cfRule type="expression" dxfId="34583" priority="7630" stopIfTrue="1">
      <formula>AND(H147&gt;=70010,H147&lt;=76000)</formula>
    </cfRule>
    <cfRule type="expression" dxfId="34582" priority="7631">
      <formula>AND(H147&gt;70000,H147&lt;70004)</formula>
    </cfRule>
    <cfRule type="expression" dxfId="34581" priority="7632" stopIfTrue="1">
      <formula>OR(AND(H147&gt;=10000,H147&lt;=56999),AND(H147&gt;=57000,H147&lt;=57999))</formula>
    </cfRule>
    <cfRule type="expression" dxfId="34580" priority="7633" stopIfTrue="1">
      <formula>AND(H147&gt;=8000,H147&lt;=9999)</formula>
    </cfRule>
    <cfRule type="expression" dxfId="34579" priority="7634" stopIfTrue="1">
      <formula>AND(H147&gt;=78100,H147&lt;=78199)</formula>
    </cfRule>
    <cfRule type="expression" dxfId="34578" priority="7635" stopIfTrue="1">
      <formula>AND(H147&gt;=92000,H147&lt;=98999)</formula>
    </cfRule>
    <cfRule type="expression" dxfId="34577" priority="7636" stopIfTrue="1">
      <formula>AND(H147&gt;=78100,H147&lt;=78199)</formula>
    </cfRule>
    <cfRule type="expression" dxfId="34576" priority="7637" stopIfTrue="1">
      <formula>AND(H147&gt;=91000,H147&lt;=91999)</formula>
    </cfRule>
  </conditionalFormatting>
  <conditionalFormatting sqref="K147">
    <cfRule type="expression" dxfId="34575" priority="7616">
      <formula>AND(L147&gt;=79001,L147&lt;79900)</formula>
    </cfRule>
    <cfRule type="expression" dxfId="34574" priority="7617" stopIfTrue="1">
      <formula>AND(L147&gt;=70101,L147&lt;=70301)</formula>
    </cfRule>
    <cfRule type="expression" dxfId="34573" priority="7618" stopIfTrue="1">
      <formula>AND(L147&gt;70000,L147&lt;70004)</formula>
    </cfRule>
    <cfRule type="expression" dxfId="34572" priority="7619" stopIfTrue="1">
      <formula>AND(L147&gt;=70010,L147&lt;=76000)</formula>
    </cfRule>
    <cfRule type="expression" dxfId="34571" priority="7620">
      <formula>AND(L147&gt;70000,L147&lt;70004)</formula>
    </cfRule>
    <cfRule type="expression" dxfId="34570" priority="7621" stopIfTrue="1">
      <formula>OR(AND(L147&gt;=10000,L147&lt;=56999),AND(L147&gt;=57000,L147&lt;=57999))</formula>
    </cfRule>
    <cfRule type="expression" dxfId="34569" priority="7622" stopIfTrue="1">
      <formula>AND(L147&gt;=8000,L147&lt;=9999)</formula>
    </cfRule>
    <cfRule type="expression" dxfId="34568" priority="7623" stopIfTrue="1">
      <formula>AND(L147&gt;=78100,L147&lt;=78199)</formula>
    </cfRule>
    <cfRule type="expression" dxfId="34567" priority="7624" stopIfTrue="1">
      <formula>AND(L147&gt;=92000,L147&lt;=98999)</formula>
    </cfRule>
    <cfRule type="expression" dxfId="34566" priority="7625" stopIfTrue="1">
      <formula>AND(L147&gt;=78100,L147&lt;=78199)</formula>
    </cfRule>
    <cfRule type="expression" dxfId="34565" priority="7626" stopIfTrue="1">
      <formula>AND(L147&gt;=91000,L147&lt;=91999)</formula>
    </cfRule>
  </conditionalFormatting>
  <conditionalFormatting sqref="O147">
    <cfRule type="expression" dxfId="34564" priority="7605">
      <formula>AND(P147&gt;=79001,P147&lt;79900)</formula>
    </cfRule>
    <cfRule type="expression" dxfId="34563" priority="7606" stopIfTrue="1">
      <formula>AND(P147&gt;=70101,P147&lt;=70301)</formula>
    </cfRule>
    <cfRule type="expression" dxfId="34562" priority="7607" stopIfTrue="1">
      <formula>AND(P147&gt;70000,P147&lt;70004)</formula>
    </cfRule>
    <cfRule type="expression" dxfId="34561" priority="7608" stopIfTrue="1">
      <formula>AND(P147&gt;=70010,P147&lt;=76000)</formula>
    </cfRule>
    <cfRule type="expression" dxfId="34560" priority="7609">
      <formula>AND(P147&gt;70000,P147&lt;70004)</formula>
    </cfRule>
    <cfRule type="expression" dxfId="34559" priority="7610" stopIfTrue="1">
      <formula>OR(AND(P147&gt;=10000,P147&lt;=56999),AND(P147&gt;=57000,P147&lt;=57999))</formula>
    </cfRule>
    <cfRule type="expression" dxfId="34558" priority="7611" stopIfTrue="1">
      <formula>AND(P147&gt;=8000,P147&lt;=9999)</formula>
    </cfRule>
    <cfRule type="expression" dxfId="34557" priority="7612" stopIfTrue="1">
      <formula>AND(P147&gt;=78100,P147&lt;=78199)</formula>
    </cfRule>
    <cfRule type="expression" dxfId="34556" priority="7613" stopIfTrue="1">
      <formula>AND(P147&gt;=92000,P147&lt;=98999)</formula>
    </cfRule>
    <cfRule type="expression" dxfId="34555" priority="7614" stopIfTrue="1">
      <formula>AND(P147&gt;=78100,P147&lt;=78199)</formula>
    </cfRule>
    <cfRule type="expression" dxfId="34554" priority="7615" stopIfTrue="1">
      <formula>AND(P147&gt;=91000,P147&lt;=91999)</formula>
    </cfRule>
  </conditionalFormatting>
  <conditionalFormatting sqref="G147">
    <cfRule type="expression" dxfId="34553" priority="7561">
      <formula>AND(H147&gt;=79001,H147&lt;79900)</formula>
    </cfRule>
    <cfRule type="expression" dxfId="34552" priority="7562" stopIfTrue="1">
      <formula>AND(H147&gt;=70101,H147&lt;=70301)</formula>
    </cfRule>
    <cfRule type="expression" dxfId="34551" priority="7563" stopIfTrue="1">
      <formula>AND(H147&gt;70000,H147&lt;70004)</formula>
    </cfRule>
    <cfRule type="expression" dxfId="34550" priority="7564" stopIfTrue="1">
      <formula>AND(H147&gt;=70010,H147&lt;=76000)</formula>
    </cfRule>
    <cfRule type="expression" dxfId="34549" priority="7565">
      <formula>AND(H147&gt;70000,H147&lt;70004)</formula>
    </cfRule>
    <cfRule type="expression" dxfId="34548" priority="7566" stopIfTrue="1">
      <formula>OR(AND(H147&gt;=10000,H147&lt;=56999),AND(H147&gt;=57000,H147&lt;=57999))</formula>
    </cfRule>
    <cfRule type="expression" dxfId="34547" priority="7567" stopIfTrue="1">
      <formula>AND(H147&gt;=8000,H147&lt;=9999)</formula>
    </cfRule>
    <cfRule type="expression" dxfId="34546" priority="7568" stopIfTrue="1">
      <formula>AND(H147&gt;=78100,H147&lt;=78199)</formula>
    </cfRule>
    <cfRule type="expression" dxfId="34545" priority="7569" stopIfTrue="1">
      <formula>AND(H147&gt;=92000,H147&lt;=98999)</formula>
    </cfRule>
    <cfRule type="expression" dxfId="34544" priority="7570" stopIfTrue="1">
      <formula>AND(H147&gt;=78100,H147&lt;=78199)</formula>
    </cfRule>
    <cfRule type="expression" dxfId="34543" priority="7571" stopIfTrue="1">
      <formula>AND(H147&gt;=91000,H147&lt;=91999)</formula>
    </cfRule>
  </conditionalFormatting>
  <conditionalFormatting sqref="AA147">
    <cfRule type="expression" dxfId="34542" priority="7572">
      <formula>AND(AB147&gt;=79001,AB147&lt;79900)</formula>
    </cfRule>
    <cfRule type="expression" dxfId="34541" priority="7573" stopIfTrue="1">
      <formula>AND(AB147&gt;=70101,AB147&lt;=70301)</formula>
    </cfRule>
    <cfRule type="expression" dxfId="34540" priority="7574" stopIfTrue="1">
      <formula>AND(AB147&gt;70000,AB147&lt;70004)</formula>
    </cfRule>
    <cfRule type="expression" dxfId="34539" priority="7575" stopIfTrue="1">
      <formula>AND(AB147&gt;=70010,AB147&lt;=76000)</formula>
    </cfRule>
    <cfRule type="expression" dxfId="34538" priority="7576">
      <formula>AND(AB147&gt;70000,AB147&lt;70004)</formula>
    </cfRule>
    <cfRule type="expression" dxfId="34537" priority="7577" stopIfTrue="1">
      <formula>OR(AND(AB147&gt;=10000,AB147&lt;=56999),AND(AB147&gt;=57000,AB147&lt;=57999))</formula>
    </cfRule>
    <cfRule type="expression" dxfId="34536" priority="7578" stopIfTrue="1">
      <formula>AND(AB147&gt;=8000,AB147&lt;=9999)</formula>
    </cfRule>
    <cfRule type="expression" dxfId="34535" priority="7579" stopIfTrue="1">
      <formula>AND(AB147&gt;=78100,AB147&lt;=78199)</formula>
    </cfRule>
    <cfRule type="expression" dxfId="34534" priority="7580" stopIfTrue="1">
      <formula>AND(AB147&gt;=92000,AB147&lt;=98999)</formula>
    </cfRule>
    <cfRule type="expression" dxfId="34533" priority="7581" stopIfTrue="1">
      <formula>AND(AB147&gt;=78100,AB147&lt;=78199)</formula>
    </cfRule>
    <cfRule type="expression" dxfId="34532" priority="7582" stopIfTrue="1">
      <formula>AND(AB147&gt;=91000,AB147&lt;=91999)</formula>
    </cfRule>
  </conditionalFormatting>
  <conditionalFormatting sqref="K147">
    <cfRule type="expression" dxfId="34531" priority="7550">
      <formula>AND(L147&gt;=79001,L147&lt;79900)</formula>
    </cfRule>
    <cfRule type="expression" dxfId="34530" priority="7551" stopIfTrue="1">
      <formula>AND(L147&gt;=70101,L147&lt;=70301)</formula>
    </cfRule>
    <cfRule type="expression" dxfId="34529" priority="7552" stopIfTrue="1">
      <formula>AND(L147&gt;70000,L147&lt;70004)</formula>
    </cfRule>
    <cfRule type="expression" dxfId="34528" priority="7553" stopIfTrue="1">
      <formula>AND(L147&gt;=70010,L147&lt;=76000)</formula>
    </cfRule>
    <cfRule type="expression" dxfId="34527" priority="7554">
      <formula>AND(L147&gt;70000,L147&lt;70004)</formula>
    </cfRule>
    <cfRule type="expression" dxfId="34526" priority="7555" stopIfTrue="1">
      <formula>OR(AND(L147&gt;=10000,L147&lt;=56999),AND(L147&gt;=57000,L147&lt;=57999))</formula>
    </cfRule>
    <cfRule type="expression" dxfId="34525" priority="7556" stopIfTrue="1">
      <formula>AND(L147&gt;=8000,L147&lt;=9999)</formula>
    </cfRule>
    <cfRule type="expression" dxfId="34524" priority="7557" stopIfTrue="1">
      <formula>AND(L147&gt;=78100,L147&lt;=78199)</formula>
    </cfRule>
    <cfRule type="expression" dxfId="34523" priority="7558" stopIfTrue="1">
      <formula>AND(L147&gt;=92000,L147&lt;=98999)</formula>
    </cfRule>
    <cfRule type="expression" dxfId="34522" priority="7559" stopIfTrue="1">
      <formula>AND(L147&gt;=78100,L147&lt;=78199)</formula>
    </cfRule>
    <cfRule type="expression" dxfId="34521" priority="7560" stopIfTrue="1">
      <formula>AND(L147&gt;=91000,L147&lt;=91999)</formula>
    </cfRule>
  </conditionalFormatting>
  <conditionalFormatting sqref="O147">
    <cfRule type="expression" dxfId="34520" priority="7539">
      <formula>AND(P147&gt;=79001,P147&lt;79900)</formula>
    </cfRule>
    <cfRule type="expression" dxfId="34519" priority="7540" stopIfTrue="1">
      <formula>AND(P147&gt;=70101,P147&lt;=70301)</formula>
    </cfRule>
    <cfRule type="expression" dxfId="34518" priority="7541" stopIfTrue="1">
      <formula>AND(P147&gt;70000,P147&lt;70004)</formula>
    </cfRule>
    <cfRule type="expression" dxfId="34517" priority="7542" stopIfTrue="1">
      <formula>AND(P147&gt;=70010,P147&lt;=76000)</formula>
    </cfRule>
    <cfRule type="expression" dxfId="34516" priority="7543">
      <formula>AND(P147&gt;70000,P147&lt;70004)</formula>
    </cfRule>
    <cfRule type="expression" dxfId="34515" priority="7544" stopIfTrue="1">
      <formula>OR(AND(P147&gt;=10000,P147&lt;=56999),AND(P147&gt;=57000,P147&lt;=57999))</formula>
    </cfRule>
    <cfRule type="expression" dxfId="34514" priority="7545" stopIfTrue="1">
      <formula>AND(P147&gt;=8000,P147&lt;=9999)</formula>
    </cfRule>
    <cfRule type="expression" dxfId="34513" priority="7546" stopIfTrue="1">
      <formula>AND(P147&gt;=78100,P147&lt;=78199)</formula>
    </cfRule>
    <cfRule type="expression" dxfId="34512" priority="7547" stopIfTrue="1">
      <formula>AND(P147&gt;=92000,P147&lt;=98999)</formula>
    </cfRule>
    <cfRule type="expression" dxfId="34511" priority="7548" stopIfTrue="1">
      <formula>AND(P147&gt;=78100,P147&lt;=78199)</formula>
    </cfRule>
    <cfRule type="expression" dxfId="34510" priority="7549" stopIfTrue="1">
      <formula>AND(P147&gt;=91000,P147&lt;=91999)</formula>
    </cfRule>
  </conditionalFormatting>
  <conditionalFormatting sqref="W705:W794 AA705:AA794 AI705:AI709 AM705:AM794 AI720:AI724 AI735:AI739 AI750:AI754 AI765:AI769 AI780:AI784">
    <cfRule type="expression" dxfId="34509" priority="7528">
      <formula>AND(X705&gt;=79001,X705&lt;79900)</formula>
    </cfRule>
    <cfRule type="expression" dxfId="34508" priority="7529" stopIfTrue="1">
      <formula>AND(X705&gt;=70101,X705&lt;=70301)</formula>
    </cfRule>
    <cfRule type="expression" dxfId="34507" priority="7530" stopIfTrue="1">
      <formula>AND(X705&gt;70000,X705&lt;70004)</formula>
    </cfRule>
    <cfRule type="expression" dxfId="34506" priority="7531" stopIfTrue="1">
      <formula>AND(X705&gt;=70010,X705&lt;=76000)</formula>
    </cfRule>
    <cfRule type="expression" dxfId="34505" priority="7532">
      <formula>AND(X705&gt;70000,X705&lt;70004)</formula>
    </cfRule>
    <cfRule type="expression" dxfId="34504" priority="7533" stopIfTrue="1">
      <formula>OR(AND(X705&gt;=10000,X705&lt;=56999),AND(X705&gt;=57000,X705&lt;=57999))</formula>
    </cfRule>
    <cfRule type="expression" dxfId="34503" priority="7534" stopIfTrue="1">
      <formula>AND(X705&gt;=8000,X705&lt;=9999)</formula>
    </cfRule>
    <cfRule type="expression" dxfId="34502" priority="7535" stopIfTrue="1">
      <formula>AND(X705&gt;=78100,X705&lt;=78199)</formula>
    </cfRule>
    <cfRule type="expression" dxfId="34501" priority="7536" stopIfTrue="1">
      <formula>AND(X705&gt;=92000,X705&lt;=98999)</formula>
    </cfRule>
    <cfRule type="expression" dxfId="34500" priority="7537" stopIfTrue="1">
      <formula>AND(X705&gt;=78100,X705&lt;=78199)</formula>
    </cfRule>
    <cfRule type="expression" dxfId="34499" priority="7538" stopIfTrue="1">
      <formula>AND(X705&gt;=91000,X705&lt;=91999)</formula>
    </cfRule>
  </conditionalFormatting>
  <conditionalFormatting sqref="AF708:AF709">
    <cfRule type="expression" dxfId="34498" priority="7513">
      <formula>$G708=4</formula>
    </cfRule>
    <cfRule type="expression" dxfId="34497" priority="7514">
      <formula>$G708=3</formula>
    </cfRule>
    <cfRule type="expression" dxfId="34496" priority="7515">
      <formula>$G708=2</formula>
    </cfRule>
    <cfRule type="expression" dxfId="34495" priority="7516">
      <formula>$G708=1</formula>
    </cfRule>
    <cfRule type="expression" dxfId="34494" priority="7517">
      <formula>$G708=0</formula>
    </cfRule>
  </conditionalFormatting>
  <conditionalFormatting sqref="AJ708:AJ709">
    <cfRule type="expression" dxfId="34493" priority="7508">
      <formula>$G708=4</formula>
    </cfRule>
    <cfRule type="expression" dxfId="34492" priority="7509">
      <formula>$G708=3</formula>
    </cfRule>
    <cfRule type="expression" dxfId="34491" priority="7510">
      <formula>$G708=2</formula>
    </cfRule>
    <cfRule type="expression" dxfId="34490" priority="7511">
      <formula>$G708=1</formula>
    </cfRule>
    <cfRule type="expression" dxfId="34489" priority="7512">
      <formula>$G708=0</formula>
    </cfRule>
  </conditionalFormatting>
  <conditionalFormatting sqref="AN708:AN714">
    <cfRule type="expression" dxfId="34488" priority="7503">
      <formula>$G708=4</formula>
    </cfRule>
    <cfRule type="expression" dxfId="34487" priority="7504">
      <formula>$G708=3</formula>
    </cfRule>
    <cfRule type="expression" dxfId="34486" priority="7505">
      <formula>$G708=2</formula>
    </cfRule>
    <cfRule type="expression" dxfId="34485" priority="7506">
      <formula>$G708=1</formula>
    </cfRule>
    <cfRule type="expression" dxfId="34484" priority="7507">
      <formula>$G708=0</formula>
    </cfRule>
  </conditionalFormatting>
  <conditionalFormatting sqref="H342">
    <cfRule type="expression" dxfId="34483" priority="7493">
      <formula>$J342=4</formula>
    </cfRule>
    <cfRule type="expression" dxfId="34482" priority="7494">
      <formula>$J342=3</formula>
    </cfRule>
    <cfRule type="expression" dxfId="34481" priority="7495">
      <formula>$J342=2</formula>
    </cfRule>
    <cfRule type="expression" dxfId="34480" priority="7496">
      <formula>$J342=0</formula>
    </cfRule>
    <cfRule type="expression" dxfId="34479" priority="7497">
      <formula>$J342=1</formula>
    </cfRule>
  </conditionalFormatting>
  <conditionalFormatting sqref="S197:S198 AY197:AY198 BC197:BC198 BG197:BG198 BK197:BK198 W197:W198 AQ197:AQ198 AI197:AI198 AA197:AA198 AU197:AU198 AM197:AM198 AE197:AE198 AE203:AE204 AM203:AM204 AU203:AU204 AA203:AA204 AI203:AI204 AQ203:AQ204 W203:W204 BK203:BK204 BG203:BG204 BC203:BC204 AY203:AY204 S203:S204 S209:S210 AY209:AY210 BC209:BC210 BG209:BG210 BK209:BK210 W209:W210 AQ209:AQ210 AI209:AI210 AA209:AA210 AU209:AU210 AM209:AM210 AE209:AE210">
    <cfRule type="expression" dxfId="34478" priority="7482">
      <formula>AND(T197&gt;=79001,T197&lt;79900)</formula>
    </cfRule>
    <cfRule type="expression" dxfId="34477" priority="7483" stopIfTrue="1">
      <formula>AND(T197&gt;=70101,T197&lt;=70301)</formula>
    </cfRule>
    <cfRule type="expression" dxfId="34476" priority="7484" stopIfTrue="1">
      <formula>AND(T197&gt;70000,T197&lt;70004)</formula>
    </cfRule>
    <cfRule type="expression" dxfId="34475" priority="7485" stopIfTrue="1">
      <formula>AND(T197&gt;=70010,T197&lt;=76000)</formula>
    </cfRule>
    <cfRule type="expression" dxfId="34474" priority="7486">
      <formula>AND(T197&gt;70000,T197&lt;70004)</formula>
    </cfRule>
    <cfRule type="expression" dxfId="34473" priority="7487" stopIfTrue="1">
      <formula>OR(AND(T197&gt;=10000,T197&lt;=56999),AND(T197&gt;=57000,T197&lt;=57999))</formula>
    </cfRule>
    <cfRule type="expression" dxfId="34472" priority="7488" stopIfTrue="1">
      <formula>AND(T197&gt;=8000,T197&lt;=9999)</formula>
    </cfRule>
    <cfRule type="expression" dxfId="34471" priority="7489" stopIfTrue="1">
      <formula>AND(T197&gt;=78100,T197&lt;=78199)</formula>
    </cfRule>
    <cfRule type="expression" dxfId="34470" priority="7490" stopIfTrue="1">
      <formula>AND(T197&gt;=92000,T197&lt;=98999)</formula>
    </cfRule>
    <cfRule type="expression" dxfId="34469" priority="7491" stopIfTrue="1">
      <formula>AND(T197&gt;=78100,T197&lt;=78199)</formula>
    </cfRule>
    <cfRule type="expression" dxfId="34468" priority="7492" stopIfTrue="1">
      <formula>AND(T197&gt;=91000,T197&lt;=91999)</formula>
    </cfRule>
  </conditionalFormatting>
  <conditionalFormatting sqref="S215:S216 AY215:AY216 BC215:BC216 BG215:BG216 BK215:BK216 W215:W216 AQ215:AQ216 AI215:AI216 AA215:AA216 AU215:AU216 AM215:AM216 AE215:AE216 AE221:AE222 AM221:AM222 AU221:AU222 AA221:AA222 AI221:AI222 AQ221:AQ222 W221:W222 BK221:BK222 BG221:BG222 BC221:BC222 AY221:AY222 S221:S222 S227:S228 AY227:AY228 BC227:BC228 BG227:BG228 BK227:BK228 W227:W228 AQ227:AQ228 AI227:AI228 AA227:AA228 AU227:AU228 AM227:AM228 AE227:AE228">
    <cfRule type="expression" dxfId="34467" priority="7470">
      <formula>AND(T215&gt;=79001,T215&lt;79900)</formula>
    </cfRule>
    <cfRule type="expression" dxfId="34466" priority="7471" stopIfTrue="1">
      <formula>AND(T215&gt;=70101,T215&lt;=70301)</formula>
    </cfRule>
    <cfRule type="expression" dxfId="34465" priority="7472" stopIfTrue="1">
      <formula>AND(T215&gt;70000,T215&lt;70004)</formula>
    </cfRule>
    <cfRule type="expression" dxfId="34464" priority="7473" stopIfTrue="1">
      <formula>AND(T215&gt;=70010,T215&lt;=76000)</formula>
    </cfRule>
    <cfRule type="expression" dxfId="34463" priority="7474">
      <formula>AND(T215&gt;70000,T215&lt;70004)</formula>
    </cfRule>
    <cfRule type="expression" dxfId="34462" priority="7475" stopIfTrue="1">
      <formula>OR(AND(T215&gt;=10000,T215&lt;=56999),AND(T215&gt;=57000,T215&lt;=57999))</formula>
    </cfRule>
    <cfRule type="expression" dxfId="34461" priority="7476" stopIfTrue="1">
      <formula>AND(T215&gt;=8000,T215&lt;=9999)</formula>
    </cfRule>
    <cfRule type="expression" dxfId="34460" priority="7477" stopIfTrue="1">
      <formula>AND(T215&gt;=78100,T215&lt;=78199)</formula>
    </cfRule>
    <cfRule type="expression" dxfId="34459" priority="7478" stopIfTrue="1">
      <formula>AND(T215&gt;=92000,T215&lt;=98999)</formula>
    </cfRule>
    <cfRule type="expression" dxfId="34458" priority="7479" stopIfTrue="1">
      <formula>AND(T215&gt;=78100,T215&lt;=78199)</formula>
    </cfRule>
    <cfRule type="expression" dxfId="34457" priority="7480" stopIfTrue="1">
      <formula>AND(T215&gt;=91000,T215&lt;=91999)</formula>
    </cfRule>
  </conditionalFormatting>
  <conditionalFormatting sqref="G197 G203 G209">
    <cfRule type="expression" dxfId="34456" priority="7458">
      <formula>AND(H197&gt;=79001,H197&lt;79900)</formula>
    </cfRule>
    <cfRule type="expression" dxfId="34455" priority="7459" stopIfTrue="1">
      <formula>AND(H197&gt;=70101,H197&lt;=70301)</formula>
    </cfRule>
    <cfRule type="expression" dxfId="34454" priority="7460" stopIfTrue="1">
      <formula>AND(H197&gt;70000,H197&lt;70004)</formula>
    </cfRule>
    <cfRule type="expression" dxfId="34453" priority="7461" stopIfTrue="1">
      <formula>AND(H197&gt;=70010,H197&lt;=76000)</formula>
    </cfRule>
    <cfRule type="expression" dxfId="34452" priority="7462">
      <formula>AND(H197&gt;70000,H197&lt;70004)</formula>
    </cfRule>
    <cfRule type="expression" dxfId="34451" priority="7463" stopIfTrue="1">
      <formula>OR(AND(H197&gt;=10000,H197&lt;=56999),AND(H197&gt;=57000,H197&lt;=57999))</formula>
    </cfRule>
    <cfRule type="expression" dxfId="34450" priority="7464" stopIfTrue="1">
      <formula>AND(H197&gt;=8000,H197&lt;=9999)</formula>
    </cfRule>
    <cfRule type="expression" dxfId="34449" priority="7465" stopIfTrue="1">
      <formula>AND(H197&gt;=78100,H197&lt;=78199)</formula>
    </cfRule>
    <cfRule type="expression" dxfId="34448" priority="7466" stopIfTrue="1">
      <formula>AND(H197&gt;=92000,H197&lt;=98999)</formula>
    </cfRule>
    <cfRule type="expression" dxfId="34447" priority="7467" stopIfTrue="1">
      <formula>AND(H197&gt;=78100,H197&lt;=78199)</formula>
    </cfRule>
    <cfRule type="expression" dxfId="34446" priority="7468" stopIfTrue="1">
      <formula>AND(H197&gt;=91000,H197&lt;=91999)</formula>
    </cfRule>
  </conditionalFormatting>
  <conditionalFormatting sqref="G198 G204 G210">
    <cfRule type="expression" dxfId="34445" priority="7447">
      <formula>AND(H198&gt;=79001,H198&lt;79900)</formula>
    </cfRule>
    <cfRule type="expression" dxfId="34444" priority="7448" stopIfTrue="1">
      <formula>AND(H198&gt;=70101,H198&lt;=70301)</formula>
    </cfRule>
    <cfRule type="expression" dxfId="34443" priority="7449" stopIfTrue="1">
      <formula>AND(H198&gt;70000,H198&lt;70004)</formula>
    </cfRule>
    <cfRule type="expression" dxfId="34442" priority="7450" stopIfTrue="1">
      <formula>AND(H198&gt;=70010,H198&lt;=76000)</formula>
    </cfRule>
    <cfRule type="expression" dxfId="34441" priority="7451">
      <formula>AND(H198&gt;70000,H198&lt;70004)</formula>
    </cfRule>
    <cfRule type="expression" dxfId="34440" priority="7452" stopIfTrue="1">
      <formula>OR(AND(H198&gt;=10000,H198&lt;=56999),AND(H198&gt;=57000,H198&lt;=57999))</formula>
    </cfRule>
    <cfRule type="expression" dxfId="34439" priority="7453" stopIfTrue="1">
      <formula>AND(H198&gt;=8000,H198&lt;=9999)</formula>
    </cfRule>
    <cfRule type="expression" dxfId="34438" priority="7454" stopIfTrue="1">
      <formula>AND(H198&gt;=78100,H198&lt;=78199)</formula>
    </cfRule>
    <cfRule type="expression" dxfId="34437" priority="7455" stopIfTrue="1">
      <formula>AND(H198&gt;=92000,H198&lt;=98999)</formula>
    </cfRule>
    <cfRule type="expression" dxfId="34436" priority="7456" stopIfTrue="1">
      <formula>AND(H198&gt;=78100,H198&lt;=78199)</formula>
    </cfRule>
    <cfRule type="expression" dxfId="34435" priority="7457" stopIfTrue="1">
      <formula>AND(H198&gt;=91000,H198&lt;=91999)</formula>
    </cfRule>
  </conditionalFormatting>
  <conditionalFormatting sqref="K197 K203 K209">
    <cfRule type="expression" dxfId="34434" priority="7436">
      <formula>AND(L197&gt;=79001,L197&lt;79900)</formula>
    </cfRule>
    <cfRule type="expression" dxfId="34433" priority="7437" stopIfTrue="1">
      <formula>AND(L197&gt;=70101,L197&lt;=70301)</formula>
    </cfRule>
    <cfRule type="expression" dxfId="34432" priority="7438" stopIfTrue="1">
      <formula>AND(L197&gt;70000,L197&lt;70004)</formula>
    </cfRule>
    <cfRule type="expression" dxfId="34431" priority="7439" stopIfTrue="1">
      <formula>AND(L197&gt;=70010,L197&lt;=76000)</formula>
    </cfRule>
    <cfRule type="expression" dxfId="34430" priority="7440">
      <formula>AND(L197&gt;70000,L197&lt;70004)</formula>
    </cfRule>
    <cfRule type="expression" dxfId="34429" priority="7441" stopIfTrue="1">
      <formula>OR(AND(L197&gt;=10000,L197&lt;=56999),AND(L197&gt;=57000,L197&lt;=57999))</formula>
    </cfRule>
    <cfRule type="expression" dxfId="34428" priority="7442" stopIfTrue="1">
      <formula>AND(L197&gt;=8000,L197&lt;=9999)</formula>
    </cfRule>
    <cfRule type="expression" dxfId="34427" priority="7443" stopIfTrue="1">
      <formula>AND(L197&gt;=78100,L197&lt;=78199)</formula>
    </cfRule>
    <cfRule type="expression" dxfId="34426" priority="7444" stopIfTrue="1">
      <formula>AND(L197&gt;=92000,L197&lt;=98999)</formula>
    </cfRule>
    <cfRule type="expression" dxfId="34425" priority="7445" stopIfTrue="1">
      <formula>AND(L197&gt;=78100,L197&lt;=78199)</formula>
    </cfRule>
    <cfRule type="expression" dxfId="34424" priority="7446" stopIfTrue="1">
      <formula>AND(L197&gt;=91000,L197&lt;=91999)</formula>
    </cfRule>
  </conditionalFormatting>
  <conditionalFormatting sqref="K198 K204 K210">
    <cfRule type="expression" dxfId="34423" priority="7425">
      <formula>AND(L198&gt;=79001,L198&lt;79900)</formula>
    </cfRule>
    <cfRule type="expression" dxfId="34422" priority="7426" stopIfTrue="1">
      <formula>AND(L198&gt;=70101,L198&lt;=70301)</formula>
    </cfRule>
    <cfRule type="expression" dxfId="34421" priority="7427" stopIfTrue="1">
      <formula>AND(L198&gt;70000,L198&lt;70004)</formula>
    </cfRule>
    <cfRule type="expression" dxfId="34420" priority="7428" stopIfTrue="1">
      <formula>AND(L198&gt;=70010,L198&lt;=76000)</formula>
    </cfRule>
    <cfRule type="expression" dxfId="34419" priority="7429">
      <formula>AND(L198&gt;70000,L198&lt;70004)</formula>
    </cfRule>
    <cfRule type="expression" dxfId="34418" priority="7430" stopIfTrue="1">
      <formula>OR(AND(L198&gt;=10000,L198&lt;=56999),AND(L198&gt;=57000,L198&lt;=57999))</formula>
    </cfRule>
    <cfRule type="expression" dxfId="34417" priority="7431" stopIfTrue="1">
      <formula>AND(L198&gt;=8000,L198&lt;=9999)</formula>
    </cfRule>
    <cfRule type="expression" dxfId="34416" priority="7432" stopIfTrue="1">
      <formula>AND(L198&gt;=78100,L198&lt;=78199)</formula>
    </cfRule>
    <cfRule type="expression" dxfId="34415" priority="7433" stopIfTrue="1">
      <formula>AND(L198&gt;=92000,L198&lt;=98999)</formula>
    </cfRule>
    <cfRule type="expression" dxfId="34414" priority="7434" stopIfTrue="1">
      <formula>AND(L198&gt;=78100,L198&lt;=78199)</formula>
    </cfRule>
    <cfRule type="expression" dxfId="34413" priority="7435" stopIfTrue="1">
      <formula>AND(L198&gt;=91000,L198&lt;=91999)</formula>
    </cfRule>
  </conditionalFormatting>
  <conditionalFormatting sqref="G215 G221 G227">
    <cfRule type="expression" dxfId="34412" priority="7414">
      <formula>AND(H215&gt;=79001,H215&lt;79900)</formula>
    </cfRule>
    <cfRule type="expression" dxfId="34411" priority="7415" stopIfTrue="1">
      <formula>AND(H215&gt;=70101,H215&lt;=70301)</formula>
    </cfRule>
    <cfRule type="expression" dxfId="34410" priority="7416" stopIfTrue="1">
      <formula>AND(H215&gt;70000,H215&lt;70004)</formula>
    </cfRule>
    <cfRule type="expression" dxfId="34409" priority="7417" stopIfTrue="1">
      <formula>AND(H215&gt;=70010,H215&lt;=76000)</formula>
    </cfRule>
    <cfRule type="expression" dxfId="34408" priority="7418">
      <formula>AND(H215&gt;70000,H215&lt;70004)</formula>
    </cfRule>
    <cfRule type="expression" dxfId="34407" priority="7419" stopIfTrue="1">
      <formula>OR(AND(H215&gt;=10000,H215&lt;=56999),AND(H215&gt;=57000,H215&lt;=57999))</formula>
    </cfRule>
    <cfRule type="expression" dxfId="34406" priority="7420" stopIfTrue="1">
      <formula>AND(H215&gt;=8000,H215&lt;=9999)</formula>
    </cfRule>
    <cfRule type="expression" dxfId="34405" priority="7421" stopIfTrue="1">
      <formula>AND(H215&gt;=78100,H215&lt;=78199)</formula>
    </cfRule>
    <cfRule type="expression" dxfId="34404" priority="7422" stopIfTrue="1">
      <formula>AND(H215&gt;=92000,H215&lt;=98999)</formula>
    </cfRule>
    <cfRule type="expression" dxfId="34403" priority="7423" stopIfTrue="1">
      <formula>AND(H215&gt;=78100,H215&lt;=78199)</formula>
    </cfRule>
    <cfRule type="expression" dxfId="34402" priority="7424" stopIfTrue="1">
      <formula>AND(H215&gt;=91000,H215&lt;=91999)</formula>
    </cfRule>
  </conditionalFormatting>
  <conditionalFormatting sqref="G216 G222 G228">
    <cfRule type="expression" dxfId="34401" priority="7403">
      <formula>AND(H216&gt;=79001,H216&lt;79900)</formula>
    </cfRule>
    <cfRule type="expression" dxfId="34400" priority="7404" stopIfTrue="1">
      <formula>AND(H216&gt;=70101,H216&lt;=70301)</formula>
    </cfRule>
    <cfRule type="expression" dxfId="34399" priority="7405" stopIfTrue="1">
      <formula>AND(H216&gt;70000,H216&lt;70004)</formula>
    </cfRule>
    <cfRule type="expression" dxfId="34398" priority="7406" stopIfTrue="1">
      <formula>AND(H216&gt;=70010,H216&lt;=76000)</formula>
    </cfRule>
    <cfRule type="expression" dxfId="34397" priority="7407">
      <formula>AND(H216&gt;70000,H216&lt;70004)</formula>
    </cfRule>
    <cfRule type="expression" dxfId="34396" priority="7408" stopIfTrue="1">
      <formula>OR(AND(H216&gt;=10000,H216&lt;=56999),AND(H216&gt;=57000,H216&lt;=57999))</formula>
    </cfRule>
    <cfRule type="expression" dxfId="34395" priority="7409" stopIfTrue="1">
      <formula>AND(H216&gt;=8000,H216&lt;=9999)</formula>
    </cfRule>
    <cfRule type="expression" dxfId="34394" priority="7410" stopIfTrue="1">
      <formula>AND(H216&gt;=78100,H216&lt;=78199)</formula>
    </cfRule>
    <cfRule type="expression" dxfId="34393" priority="7411" stopIfTrue="1">
      <formula>AND(H216&gt;=92000,H216&lt;=98999)</formula>
    </cfRule>
    <cfRule type="expression" dxfId="34392" priority="7412" stopIfTrue="1">
      <formula>AND(H216&gt;=78100,H216&lt;=78199)</formula>
    </cfRule>
    <cfRule type="expression" dxfId="34391" priority="7413" stopIfTrue="1">
      <formula>AND(H216&gt;=91000,H216&lt;=91999)</formula>
    </cfRule>
  </conditionalFormatting>
  <conditionalFormatting sqref="K215 K221 K227">
    <cfRule type="expression" dxfId="34390" priority="7392">
      <formula>AND(L215&gt;=79001,L215&lt;79900)</formula>
    </cfRule>
    <cfRule type="expression" dxfId="34389" priority="7393" stopIfTrue="1">
      <formula>AND(L215&gt;=70101,L215&lt;=70301)</formula>
    </cfRule>
    <cfRule type="expression" dxfId="34388" priority="7394" stopIfTrue="1">
      <formula>AND(L215&gt;70000,L215&lt;70004)</formula>
    </cfRule>
    <cfRule type="expression" dxfId="34387" priority="7395" stopIfTrue="1">
      <formula>AND(L215&gt;=70010,L215&lt;=76000)</formula>
    </cfRule>
    <cfRule type="expression" dxfId="34386" priority="7396">
      <formula>AND(L215&gt;70000,L215&lt;70004)</formula>
    </cfRule>
    <cfRule type="expression" dxfId="34385" priority="7397" stopIfTrue="1">
      <formula>OR(AND(L215&gt;=10000,L215&lt;=56999),AND(L215&gt;=57000,L215&lt;=57999))</formula>
    </cfRule>
    <cfRule type="expression" dxfId="34384" priority="7398" stopIfTrue="1">
      <formula>AND(L215&gt;=8000,L215&lt;=9999)</formula>
    </cfRule>
    <cfRule type="expression" dxfId="34383" priority="7399" stopIfTrue="1">
      <formula>AND(L215&gt;=78100,L215&lt;=78199)</formula>
    </cfRule>
    <cfRule type="expression" dxfId="34382" priority="7400" stopIfTrue="1">
      <formula>AND(L215&gt;=92000,L215&lt;=98999)</formula>
    </cfRule>
    <cfRule type="expression" dxfId="34381" priority="7401" stopIfTrue="1">
      <formula>AND(L215&gt;=78100,L215&lt;=78199)</formula>
    </cfRule>
    <cfRule type="expression" dxfId="34380" priority="7402" stopIfTrue="1">
      <formula>AND(L215&gt;=91000,L215&lt;=91999)</formula>
    </cfRule>
  </conditionalFormatting>
  <conditionalFormatting sqref="K216 K222 K228">
    <cfRule type="expression" dxfId="34379" priority="7381">
      <formula>AND(L216&gt;=79001,L216&lt;79900)</formula>
    </cfRule>
    <cfRule type="expression" dxfId="34378" priority="7382" stopIfTrue="1">
      <formula>AND(L216&gt;=70101,L216&lt;=70301)</formula>
    </cfRule>
    <cfRule type="expression" dxfId="34377" priority="7383" stopIfTrue="1">
      <formula>AND(L216&gt;70000,L216&lt;70004)</formula>
    </cfRule>
    <cfRule type="expression" dxfId="34376" priority="7384" stopIfTrue="1">
      <formula>AND(L216&gt;=70010,L216&lt;=76000)</formula>
    </cfRule>
    <cfRule type="expression" dxfId="34375" priority="7385">
      <formula>AND(L216&gt;70000,L216&lt;70004)</formula>
    </cfRule>
    <cfRule type="expression" dxfId="34374" priority="7386" stopIfTrue="1">
      <formula>OR(AND(L216&gt;=10000,L216&lt;=56999),AND(L216&gt;=57000,L216&lt;=57999))</formula>
    </cfRule>
    <cfRule type="expression" dxfId="34373" priority="7387" stopIfTrue="1">
      <formula>AND(L216&gt;=8000,L216&lt;=9999)</formula>
    </cfRule>
    <cfRule type="expression" dxfId="34372" priority="7388" stopIfTrue="1">
      <formula>AND(L216&gt;=78100,L216&lt;=78199)</formula>
    </cfRule>
    <cfRule type="expression" dxfId="34371" priority="7389" stopIfTrue="1">
      <formula>AND(L216&gt;=92000,L216&lt;=98999)</formula>
    </cfRule>
    <cfRule type="expression" dxfId="34370" priority="7390" stopIfTrue="1">
      <formula>AND(L216&gt;=78100,L216&lt;=78199)</formula>
    </cfRule>
    <cfRule type="expression" dxfId="34369" priority="7391" stopIfTrue="1">
      <formula>AND(L216&gt;=91000,L216&lt;=91999)</formula>
    </cfRule>
  </conditionalFormatting>
  <conditionalFormatting sqref="S199:S200 AY199:AY200 BC199:BC200 BG199:BG200 BK199:BK200 W199:W200 AQ199:AQ200 AI199:AI200 AA199:AA200 AU199:AU200 AM199:AM200 AE199:AE200">
    <cfRule type="expression" dxfId="34368" priority="7370">
      <formula>AND(T199&gt;=79001,T199&lt;79900)</formula>
    </cfRule>
    <cfRule type="expression" dxfId="34367" priority="7371" stopIfTrue="1">
      <formula>AND(T199&gt;=70101,T199&lt;=70301)</formula>
    </cfRule>
    <cfRule type="expression" dxfId="34366" priority="7372" stopIfTrue="1">
      <formula>AND(T199&gt;70000,T199&lt;70004)</formula>
    </cfRule>
    <cfRule type="expression" dxfId="34365" priority="7373" stopIfTrue="1">
      <formula>AND(T199&gt;=70010,T199&lt;=76000)</formula>
    </cfRule>
    <cfRule type="expression" dxfId="34364" priority="7374">
      <formula>AND(T199&gt;70000,T199&lt;70004)</formula>
    </cfRule>
    <cfRule type="expression" dxfId="34363" priority="7375" stopIfTrue="1">
      <formula>OR(AND(T199&gt;=10000,T199&lt;=56999),AND(T199&gt;=57000,T199&lt;=57999))</formula>
    </cfRule>
    <cfRule type="expression" dxfId="34362" priority="7376" stopIfTrue="1">
      <formula>AND(T199&gt;=8000,T199&lt;=9999)</formula>
    </cfRule>
    <cfRule type="expression" dxfId="34361" priority="7377" stopIfTrue="1">
      <formula>AND(T199&gt;=78100,T199&lt;=78199)</formula>
    </cfRule>
    <cfRule type="expression" dxfId="34360" priority="7378" stopIfTrue="1">
      <formula>AND(T199&gt;=92000,T199&lt;=98999)</formula>
    </cfRule>
    <cfRule type="expression" dxfId="34359" priority="7379" stopIfTrue="1">
      <formula>AND(T199&gt;=78100,T199&lt;=78199)</formula>
    </cfRule>
    <cfRule type="expression" dxfId="34358" priority="7380" stopIfTrue="1">
      <formula>AND(T199&gt;=91000,T199&lt;=91999)</formula>
    </cfRule>
  </conditionalFormatting>
  <conditionalFormatting sqref="G199">
    <cfRule type="expression" dxfId="34357" priority="7358">
      <formula>AND(H199&gt;=79001,H199&lt;79900)</formula>
    </cfRule>
    <cfRule type="expression" dxfId="34356" priority="7359" stopIfTrue="1">
      <formula>AND(H199&gt;=70101,H199&lt;=70301)</formula>
    </cfRule>
    <cfRule type="expression" dxfId="34355" priority="7360" stopIfTrue="1">
      <formula>AND(H199&gt;70000,H199&lt;70004)</formula>
    </cfRule>
    <cfRule type="expression" dxfId="34354" priority="7361" stopIfTrue="1">
      <formula>AND(H199&gt;=70010,H199&lt;=76000)</formula>
    </cfRule>
    <cfRule type="expression" dxfId="34353" priority="7362">
      <formula>AND(H199&gt;70000,H199&lt;70004)</formula>
    </cfRule>
    <cfRule type="expression" dxfId="34352" priority="7363" stopIfTrue="1">
      <formula>OR(AND(H199&gt;=10000,H199&lt;=56999),AND(H199&gt;=57000,H199&lt;=57999))</formula>
    </cfRule>
    <cfRule type="expression" dxfId="34351" priority="7364" stopIfTrue="1">
      <formula>AND(H199&gt;=8000,H199&lt;=9999)</formula>
    </cfRule>
    <cfRule type="expression" dxfId="34350" priority="7365" stopIfTrue="1">
      <formula>AND(H199&gt;=78100,H199&lt;=78199)</formula>
    </cfRule>
    <cfRule type="expression" dxfId="34349" priority="7366" stopIfTrue="1">
      <formula>AND(H199&gt;=92000,H199&lt;=98999)</formula>
    </cfRule>
    <cfRule type="expression" dxfId="34348" priority="7367" stopIfTrue="1">
      <formula>AND(H199&gt;=78100,H199&lt;=78199)</formula>
    </cfRule>
    <cfRule type="expression" dxfId="34347" priority="7368" stopIfTrue="1">
      <formula>AND(H199&gt;=91000,H199&lt;=91999)</formula>
    </cfRule>
  </conditionalFormatting>
  <conditionalFormatting sqref="G200">
    <cfRule type="expression" dxfId="34346" priority="7347">
      <formula>AND(H200&gt;=79001,H200&lt;79900)</formula>
    </cfRule>
    <cfRule type="expression" dxfId="34345" priority="7348" stopIfTrue="1">
      <formula>AND(H200&gt;=70101,H200&lt;=70301)</formula>
    </cfRule>
    <cfRule type="expression" dxfId="34344" priority="7349" stopIfTrue="1">
      <formula>AND(H200&gt;70000,H200&lt;70004)</formula>
    </cfRule>
    <cfRule type="expression" dxfId="34343" priority="7350" stopIfTrue="1">
      <formula>AND(H200&gt;=70010,H200&lt;=76000)</formula>
    </cfRule>
    <cfRule type="expression" dxfId="34342" priority="7351">
      <formula>AND(H200&gt;70000,H200&lt;70004)</formula>
    </cfRule>
    <cfRule type="expression" dxfId="34341" priority="7352" stopIfTrue="1">
      <formula>OR(AND(H200&gt;=10000,H200&lt;=56999),AND(H200&gt;=57000,H200&lt;=57999))</formula>
    </cfRule>
    <cfRule type="expression" dxfId="34340" priority="7353" stopIfTrue="1">
      <formula>AND(H200&gt;=8000,H200&lt;=9999)</formula>
    </cfRule>
    <cfRule type="expression" dxfId="34339" priority="7354" stopIfTrue="1">
      <formula>AND(H200&gt;=78100,H200&lt;=78199)</formula>
    </cfRule>
    <cfRule type="expression" dxfId="34338" priority="7355" stopIfTrue="1">
      <formula>AND(H200&gt;=92000,H200&lt;=98999)</formula>
    </cfRule>
    <cfRule type="expression" dxfId="34337" priority="7356" stopIfTrue="1">
      <formula>AND(H200&gt;=78100,H200&lt;=78199)</formula>
    </cfRule>
    <cfRule type="expression" dxfId="34336" priority="7357" stopIfTrue="1">
      <formula>AND(H200&gt;=91000,H200&lt;=91999)</formula>
    </cfRule>
  </conditionalFormatting>
  <conditionalFormatting sqref="K199">
    <cfRule type="expression" dxfId="34335" priority="7336">
      <formula>AND(L199&gt;=79001,L199&lt;79900)</formula>
    </cfRule>
    <cfRule type="expression" dxfId="34334" priority="7337" stopIfTrue="1">
      <formula>AND(L199&gt;=70101,L199&lt;=70301)</formula>
    </cfRule>
    <cfRule type="expression" dxfId="34333" priority="7338" stopIfTrue="1">
      <formula>AND(L199&gt;70000,L199&lt;70004)</formula>
    </cfRule>
    <cfRule type="expression" dxfId="34332" priority="7339" stopIfTrue="1">
      <formula>AND(L199&gt;=70010,L199&lt;=76000)</formula>
    </cfRule>
    <cfRule type="expression" dxfId="34331" priority="7340">
      <formula>AND(L199&gt;70000,L199&lt;70004)</formula>
    </cfRule>
    <cfRule type="expression" dxfId="34330" priority="7341" stopIfTrue="1">
      <formula>OR(AND(L199&gt;=10000,L199&lt;=56999),AND(L199&gt;=57000,L199&lt;=57999))</formula>
    </cfRule>
    <cfRule type="expression" dxfId="34329" priority="7342" stopIfTrue="1">
      <formula>AND(L199&gt;=8000,L199&lt;=9999)</formula>
    </cfRule>
    <cfRule type="expression" dxfId="34328" priority="7343" stopIfTrue="1">
      <formula>AND(L199&gt;=78100,L199&lt;=78199)</formula>
    </cfRule>
    <cfRule type="expression" dxfId="34327" priority="7344" stopIfTrue="1">
      <formula>AND(L199&gt;=92000,L199&lt;=98999)</formula>
    </cfRule>
    <cfRule type="expression" dxfId="34326" priority="7345" stopIfTrue="1">
      <formula>AND(L199&gt;=78100,L199&lt;=78199)</formula>
    </cfRule>
    <cfRule type="expression" dxfId="34325" priority="7346" stopIfTrue="1">
      <formula>AND(L199&gt;=91000,L199&lt;=91999)</formula>
    </cfRule>
  </conditionalFormatting>
  <conditionalFormatting sqref="K200">
    <cfRule type="expression" dxfId="34324" priority="7325">
      <formula>AND(L200&gt;=79001,L200&lt;79900)</formula>
    </cfRule>
    <cfRule type="expression" dxfId="34323" priority="7326" stopIfTrue="1">
      <formula>AND(L200&gt;=70101,L200&lt;=70301)</formula>
    </cfRule>
    <cfRule type="expression" dxfId="34322" priority="7327" stopIfTrue="1">
      <formula>AND(L200&gt;70000,L200&lt;70004)</formula>
    </cfRule>
    <cfRule type="expression" dxfId="34321" priority="7328" stopIfTrue="1">
      <formula>AND(L200&gt;=70010,L200&lt;=76000)</formula>
    </cfRule>
    <cfRule type="expression" dxfId="34320" priority="7329">
      <formula>AND(L200&gt;70000,L200&lt;70004)</formula>
    </cfRule>
    <cfRule type="expression" dxfId="34319" priority="7330" stopIfTrue="1">
      <formula>OR(AND(L200&gt;=10000,L200&lt;=56999),AND(L200&gt;=57000,L200&lt;=57999))</formula>
    </cfRule>
    <cfRule type="expression" dxfId="34318" priority="7331" stopIfTrue="1">
      <formula>AND(L200&gt;=8000,L200&lt;=9999)</formula>
    </cfRule>
    <cfRule type="expression" dxfId="34317" priority="7332" stopIfTrue="1">
      <formula>AND(L200&gt;=78100,L200&lt;=78199)</formula>
    </cfRule>
    <cfRule type="expression" dxfId="34316" priority="7333" stopIfTrue="1">
      <formula>AND(L200&gt;=92000,L200&lt;=98999)</formula>
    </cfRule>
    <cfRule type="expression" dxfId="34315" priority="7334" stopIfTrue="1">
      <formula>AND(L200&gt;=78100,L200&lt;=78199)</formula>
    </cfRule>
    <cfRule type="expression" dxfId="34314" priority="7335" stopIfTrue="1">
      <formula>AND(L200&gt;=91000,L200&lt;=91999)</formula>
    </cfRule>
  </conditionalFormatting>
  <conditionalFormatting sqref="S201:S202 AY201:AY202 BC201:BC202 BG201:BG202 BK201:BK202 W201:W202 AQ201:AQ202 AI201:AI202 AA201:AA202 AU201:AU202 AM201:AM202 AE201:AE202">
    <cfRule type="expression" dxfId="34313" priority="7314">
      <formula>AND(T201&gt;=79001,T201&lt;79900)</formula>
    </cfRule>
    <cfRule type="expression" dxfId="34312" priority="7315" stopIfTrue="1">
      <formula>AND(T201&gt;=70101,T201&lt;=70301)</formula>
    </cfRule>
    <cfRule type="expression" dxfId="34311" priority="7316" stopIfTrue="1">
      <formula>AND(T201&gt;70000,T201&lt;70004)</formula>
    </cfRule>
    <cfRule type="expression" dxfId="34310" priority="7317" stopIfTrue="1">
      <formula>AND(T201&gt;=70010,T201&lt;=76000)</formula>
    </cfRule>
    <cfRule type="expression" dxfId="34309" priority="7318">
      <formula>AND(T201&gt;70000,T201&lt;70004)</formula>
    </cfRule>
    <cfRule type="expression" dxfId="34308" priority="7319" stopIfTrue="1">
      <formula>OR(AND(T201&gt;=10000,T201&lt;=56999),AND(T201&gt;=57000,T201&lt;=57999))</formula>
    </cfRule>
    <cfRule type="expression" dxfId="34307" priority="7320" stopIfTrue="1">
      <formula>AND(T201&gt;=8000,T201&lt;=9999)</formula>
    </cfRule>
    <cfRule type="expression" dxfId="34306" priority="7321" stopIfTrue="1">
      <formula>AND(T201&gt;=78100,T201&lt;=78199)</formula>
    </cfRule>
    <cfRule type="expression" dxfId="34305" priority="7322" stopIfTrue="1">
      <formula>AND(T201&gt;=92000,T201&lt;=98999)</formula>
    </cfRule>
    <cfRule type="expression" dxfId="34304" priority="7323" stopIfTrue="1">
      <formula>AND(T201&gt;=78100,T201&lt;=78199)</formula>
    </cfRule>
    <cfRule type="expression" dxfId="34303" priority="7324" stopIfTrue="1">
      <formula>AND(T201&gt;=91000,T201&lt;=91999)</formula>
    </cfRule>
  </conditionalFormatting>
  <conditionalFormatting sqref="G201">
    <cfRule type="expression" dxfId="34302" priority="7302">
      <formula>AND(H201&gt;=79001,H201&lt;79900)</formula>
    </cfRule>
    <cfRule type="expression" dxfId="34301" priority="7303" stopIfTrue="1">
      <formula>AND(H201&gt;=70101,H201&lt;=70301)</formula>
    </cfRule>
    <cfRule type="expression" dxfId="34300" priority="7304" stopIfTrue="1">
      <formula>AND(H201&gt;70000,H201&lt;70004)</formula>
    </cfRule>
    <cfRule type="expression" dxfId="34299" priority="7305" stopIfTrue="1">
      <formula>AND(H201&gt;=70010,H201&lt;=76000)</formula>
    </cfRule>
    <cfRule type="expression" dxfId="34298" priority="7306">
      <formula>AND(H201&gt;70000,H201&lt;70004)</formula>
    </cfRule>
    <cfRule type="expression" dxfId="34297" priority="7307" stopIfTrue="1">
      <formula>OR(AND(H201&gt;=10000,H201&lt;=56999),AND(H201&gt;=57000,H201&lt;=57999))</formula>
    </cfRule>
    <cfRule type="expression" dxfId="34296" priority="7308" stopIfTrue="1">
      <formula>AND(H201&gt;=8000,H201&lt;=9999)</formula>
    </cfRule>
    <cfRule type="expression" dxfId="34295" priority="7309" stopIfTrue="1">
      <formula>AND(H201&gt;=78100,H201&lt;=78199)</formula>
    </cfRule>
    <cfRule type="expression" dxfId="34294" priority="7310" stopIfTrue="1">
      <formula>AND(H201&gt;=92000,H201&lt;=98999)</formula>
    </cfRule>
    <cfRule type="expression" dxfId="34293" priority="7311" stopIfTrue="1">
      <formula>AND(H201&gt;=78100,H201&lt;=78199)</formula>
    </cfRule>
    <cfRule type="expression" dxfId="34292" priority="7312" stopIfTrue="1">
      <formula>AND(H201&gt;=91000,H201&lt;=91999)</formula>
    </cfRule>
  </conditionalFormatting>
  <conditionalFormatting sqref="G202">
    <cfRule type="expression" dxfId="34291" priority="7291">
      <formula>AND(H202&gt;=79001,H202&lt;79900)</formula>
    </cfRule>
    <cfRule type="expression" dxfId="34290" priority="7292" stopIfTrue="1">
      <formula>AND(H202&gt;=70101,H202&lt;=70301)</formula>
    </cfRule>
    <cfRule type="expression" dxfId="34289" priority="7293" stopIfTrue="1">
      <formula>AND(H202&gt;70000,H202&lt;70004)</formula>
    </cfRule>
    <cfRule type="expression" dxfId="34288" priority="7294" stopIfTrue="1">
      <formula>AND(H202&gt;=70010,H202&lt;=76000)</formula>
    </cfRule>
    <cfRule type="expression" dxfId="34287" priority="7295">
      <formula>AND(H202&gt;70000,H202&lt;70004)</formula>
    </cfRule>
    <cfRule type="expression" dxfId="34286" priority="7296" stopIfTrue="1">
      <formula>OR(AND(H202&gt;=10000,H202&lt;=56999),AND(H202&gt;=57000,H202&lt;=57999))</formula>
    </cfRule>
    <cfRule type="expression" dxfId="34285" priority="7297" stopIfTrue="1">
      <formula>AND(H202&gt;=8000,H202&lt;=9999)</formula>
    </cfRule>
    <cfRule type="expression" dxfId="34284" priority="7298" stopIfTrue="1">
      <formula>AND(H202&gt;=78100,H202&lt;=78199)</formula>
    </cfRule>
    <cfRule type="expression" dxfId="34283" priority="7299" stopIfTrue="1">
      <formula>AND(H202&gt;=92000,H202&lt;=98999)</formula>
    </cfRule>
    <cfRule type="expression" dxfId="34282" priority="7300" stopIfTrue="1">
      <formula>AND(H202&gt;=78100,H202&lt;=78199)</formula>
    </cfRule>
    <cfRule type="expression" dxfId="34281" priority="7301" stopIfTrue="1">
      <formula>AND(H202&gt;=91000,H202&lt;=91999)</formula>
    </cfRule>
  </conditionalFormatting>
  <conditionalFormatting sqref="K201">
    <cfRule type="expression" dxfId="34280" priority="7280">
      <formula>AND(L201&gt;=79001,L201&lt;79900)</formula>
    </cfRule>
    <cfRule type="expression" dxfId="34279" priority="7281" stopIfTrue="1">
      <formula>AND(L201&gt;=70101,L201&lt;=70301)</formula>
    </cfRule>
    <cfRule type="expression" dxfId="34278" priority="7282" stopIfTrue="1">
      <formula>AND(L201&gt;70000,L201&lt;70004)</formula>
    </cfRule>
    <cfRule type="expression" dxfId="34277" priority="7283" stopIfTrue="1">
      <formula>AND(L201&gt;=70010,L201&lt;=76000)</formula>
    </cfRule>
    <cfRule type="expression" dxfId="34276" priority="7284">
      <formula>AND(L201&gt;70000,L201&lt;70004)</formula>
    </cfRule>
    <cfRule type="expression" dxfId="34275" priority="7285" stopIfTrue="1">
      <formula>OR(AND(L201&gt;=10000,L201&lt;=56999),AND(L201&gt;=57000,L201&lt;=57999))</formula>
    </cfRule>
    <cfRule type="expression" dxfId="34274" priority="7286" stopIfTrue="1">
      <formula>AND(L201&gt;=8000,L201&lt;=9999)</formula>
    </cfRule>
    <cfRule type="expression" dxfId="34273" priority="7287" stopIfTrue="1">
      <formula>AND(L201&gt;=78100,L201&lt;=78199)</formula>
    </cfRule>
    <cfRule type="expression" dxfId="34272" priority="7288" stopIfTrue="1">
      <formula>AND(L201&gt;=92000,L201&lt;=98999)</formula>
    </cfRule>
    <cfRule type="expression" dxfId="34271" priority="7289" stopIfTrue="1">
      <formula>AND(L201&gt;=78100,L201&lt;=78199)</formula>
    </cfRule>
    <cfRule type="expression" dxfId="34270" priority="7290" stopIfTrue="1">
      <formula>AND(L201&gt;=91000,L201&lt;=91999)</formula>
    </cfRule>
  </conditionalFormatting>
  <conditionalFormatting sqref="K202">
    <cfRule type="expression" dxfId="34269" priority="7269">
      <formula>AND(L202&gt;=79001,L202&lt;79900)</formula>
    </cfRule>
    <cfRule type="expression" dxfId="34268" priority="7270" stopIfTrue="1">
      <formula>AND(L202&gt;=70101,L202&lt;=70301)</formula>
    </cfRule>
    <cfRule type="expression" dxfId="34267" priority="7271" stopIfTrue="1">
      <formula>AND(L202&gt;70000,L202&lt;70004)</formula>
    </cfRule>
    <cfRule type="expression" dxfId="34266" priority="7272" stopIfTrue="1">
      <formula>AND(L202&gt;=70010,L202&lt;=76000)</formula>
    </cfRule>
    <cfRule type="expression" dxfId="34265" priority="7273">
      <formula>AND(L202&gt;70000,L202&lt;70004)</formula>
    </cfRule>
    <cfRule type="expression" dxfId="34264" priority="7274" stopIfTrue="1">
      <formula>OR(AND(L202&gt;=10000,L202&lt;=56999),AND(L202&gt;=57000,L202&lt;=57999))</formula>
    </cfRule>
    <cfRule type="expression" dxfId="34263" priority="7275" stopIfTrue="1">
      <formula>AND(L202&gt;=8000,L202&lt;=9999)</formula>
    </cfRule>
    <cfRule type="expression" dxfId="34262" priority="7276" stopIfTrue="1">
      <formula>AND(L202&gt;=78100,L202&lt;=78199)</formula>
    </cfRule>
    <cfRule type="expression" dxfId="34261" priority="7277" stopIfTrue="1">
      <formula>AND(L202&gt;=92000,L202&lt;=98999)</formula>
    </cfRule>
    <cfRule type="expression" dxfId="34260" priority="7278" stopIfTrue="1">
      <formula>AND(L202&gt;=78100,L202&lt;=78199)</formula>
    </cfRule>
    <cfRule type="expression" dxfId="34259" priority="7279" stopIfTrue="1">
      <formula>AND(L202&gt;=91000,L202&lt;=91999)</formula>
    </cfRule>
  </conditionalFormatting>
  <conditionalFormatting sqref="O197">
    <cfRule type="expression" dxfId="34258" priority="7258">
      <formula>AND(P197&gt;=79001,P197&lt;79900)</formula>
    </cfRule>
    <cfRule type="expression" dxfId="34257" priority="7259" stopIfTrue="1">
      <formula>AND(P197&gt;=70101,P197&lt;=70301)</formula>
    </cfRule>
    <cfRule type="expression" dxfId="34256" priority="7260" stopIfTrue="1">
      <formula>AND(P197&gt;70000,P197&lt;70004)</formula>
    </cfRule>
    <cfRule type="expression" dxfId="34255" priority="7261" stopIfTrue="1">
      <formula>AND(P197&gt;=70010,P197&lt;=76000)</formula>
    </cfRule>
    <cfRule type="expression" dxfId="34254" priority="7262">
      <formula>AND(P197&gt;70000,P197&lt;70004)</formula>
    </cfRule>
    <cfRule type="expression" dxfId="34253" priority="7263" stopIfTrue="1">
      <formula>OR(AND(P197&gt;=10000,P197&lt;=56999),AND(P197&gt;=57000,P197&lt;=57999))</formula>
    </cfRule>
    <cfRule type="expression" dxfId="34252" priority="7264" stopIfTrue="1">
      <formula>AND(P197&gt;=8000,P197&lt;=9999)</formula>
    </cfRule>
    <cfRule type="expression" dxfId="34251" priority="7265" stopIfTrue="1">
      <formula>AND(P197&gt;=78100,P197&lt;=78199)</formula>
    </cfRule>
    <cfRule type="expression" dxfId="34250" priority="7266" stopIfTrue="1">
      <formula>AND(P197&gt;=92000,P197&lt;=98999)</formula>
    </cfRule>
    <cfRule type="expression" dxfId="34249" priority="7267" stopIfTrue="1">
      <formula>AND(P197&gt;=78100,P197&lt;=78199)</formula>
    </cfRule>
    <cfRule type="expression" dxfId="34248" priority="7268" stopIfTrue="1">
      <formula>AND(P197&gt;=91000,P197&lt;=91999)</formula>
    </cfRule>
  </conditionalFormatting>
  <conditionalFormatting sqref="O198">
    <cfRule type="expression" dxfId="34247" priority="7247">
      <formula>AND(P198&gt;=79001,P198&lt;79900)</formula>
    </cfRule>
    <cfRule type="expression" dxfId="34246" priority="7248" stopIfTrue="1">
      <formula>AND(P198&gt;=70101,P198&lt;=70301)</formula>
    </cfRule>
    <cfRule type="expression" dxfId="34245" priority="7249" stopIfTrue="1">
      <formula>AND(P198&gt;70000,P198&lt;70004)</formula>
    </cfRule>
    <cfRule type="expression" dxfId="34244" priority="7250" stopIfTrue="1">
      <formula>AND(P198&gt;=70010,P198&lt;=76000)</formula>
    </cfRule>
    <cfRule type="expression" dxfId="34243" priority="7251">
      <formula>AND(P198&gt;70000,P198&lt;70004)</formula>
    </cfRule>
    <cfRule type="expression" dxfId="34242" priority="7252" stopIfTrue="1">
      <formula>OR(AND(P198&gt;=10000,P198&lt;=56999),AND(P198&gt;=57000,P198&lt;=57999))</formula>
    </cfRule>
    <cfRule type="expression" dxfId="34241" priority="7253" stopIfTrue="1">
      <formula>AND(P198&gt;=8000,P198&lt;=9999)</formula>
    </cfRule>
    <cfRule type="expression" dxfId="34240" priority="7254" stopIfTrue="1">
      <formula>AND(P198&gt;=78100,P198&lt;=78199)</formula>
    </cfRule>
    <cfRule type="expression" dxfId="34239" priority="7255" stopIfTrue="1">
      <formula>AND(P198&gt;=92000,P198&lt;=98999)</formula>
    </cfRule>
    <cfRule type="expression" dxfId="34238" priority="7256" stopIfTrue="1">
      <formula>AND(P198&gt;=78100,P198&lt;=78199)</formula>
    </cfRule>
    <cfRule type="expression" dxfId="34237" priority="7257" stopIfTrue="1">
      <formula>AND(P198&gt;=91000,P198&lt;=91999)</formula>
    </cfRule>
  </conditionalFormatting>
  <conditionalFormatting sqref="O199">
    <cfRule type="expression" dxfId="34236" priority="7236">
      <formula>AND(P199&gt;=79001,P199&lt;79900)</formula>
    </cfRule>
    <cfRule type="expression" dxfId="34235" priority="7237" stopIfTrue="1">
      <formula>AND(P199&gt;=70101,P199&lt;=70301)</formula>
    </cfRule>
    <cfRule type="expression" dxfId="34234" priority="7238" stopIfTrue="1">
      <formula>AND(P199&gt;70000,P199&lt;70004)</formula>
    </cfRule>
    <cfRule type="expression" dxfId="34233" priority="7239" stopIfTrue="1">
      <formula>AND(P199&gt;=70010,P199&lt;=76000)</formula>
    </cfRule>
    <cfRule type="expression" dxfId="34232" priority="7240">
      <formula>AND(P199&gt;70000,P199&lt;70004)</formula>
    </cfRule>
    <cfRule type="expression" dxfId="34231" priority="7241" stopIfTrue="1">
      <formula>OR(AND(P199&gt;=10000,P199&lt;=56999),AND(P199&gt;=57000,P199&lt;=57999))</formula>
    </cfRule>
    <cfRule type="expression" dxfId="34230" priority="7242" stopIfTrue="1">
      <formula>AND(P199&gt;=8000,P199&lt;=9999)</formula>
    </cfRule>
    <cfRule type="expression" dxfId="34229" priority="7243" stopIfTrue="1">
      <formula>AND(P199&gt;=78100,P199&lt;=78199)</formula>
    </cfRule>
    <cfRule type="expression" dxfId="34228" priority="7244" stopIfTrue="1">
      <formula>AND(P199&gt;=92000,P199&lt;=98999)</formula>
    </cfRule>
    <cfRule type="expression" dxfId="34227" priority="7245" stopIfTrue="1">
      <formula>AND(P199&gt;=78100,P199&lt;=78199)</formula>
    </cfRule>
    <cfRule type="expression" dxfId="34226" priority="7246" stopIfTrue="1">
      <formula>AND(P199&gt;=91000,P199&lt;=91999)</formula>
    </cfRule>
  </conditionalFormatting>
  <conditionalFormatting sqref="O200">
    <cfRule type="expression" dxfId="34225" priority="7225">
      <formula>AND(P200&gt;=79001,P200&lt;79900)</formula>
    </cfRule>
    <cfRule type="expression" dxfId="34224" priority="7226" stopIfTrue="1">
      <formula>AND(P200&gt;=70101,P200&lt;=70301)</formula>
    </cfRule>
    <cfRule type="expression" dxfId="34223" priority="7227" stopIfTrue="1">
      <formula>AND(P200&gt;70000,P200&lt;70004)</formula>
    </cfRule>
    <cfRule type="expression" dxfId="34222" priority="7228" stopIfTrue="1">
      <formula>AND(P200&gt;=70010,P200&lt;=76000)</formula>
    </cfRule>
    <cfRule type="expression" dxfId="34221" priority="7229">
      <formula>AND(P200&gt;70000,P200&lt;70004)</formula>
    </cfRule>
    <cfRule type="expression" dxfId="34220" priority="7230" stopIfTrue="1">
      <formula>OR(AND(P200&gt;=10000,P200&lt;=56999),AND(P200&gt;=57000,P200&lt;=57999))</formula>
    </cfRule>
    <cfRule type="expression" dxfId="34219" priority="7231" stopIfTrue="1">
      <formula>AND(P200&gt;=8000,P200&lt;=9999)</formula>
    </cfRule>
    <cfRule type="expression" dxfId="34218" priority="7232" stopIfTrue="1">
      <formula>AND(P200&gt;=78100,P200&lt;=78199)</formula>
    </cfRule>
    <cfRule type="expression" dxfId="34217" priority="7233" stopIfTrue="1">
      <formula>AND(P200&gt;=92000,P200&lt;=98999)</formula>
    </cfRule>
    <cfRule type="expression" dxfId="34216" priority="7234" stopIfTrue="1">
      <formula>AND(P200&gt;=78100,P200&lt;=78199)</formula>
    </cfRule>
    <cfRule type="expression" dxfId="34215" priority="7235" stopIfTrue="1">
      <formula>AND(P200&gt;=91000,P200&lt;=91999)</formula>
    </cfRule>
  </conditionalFormatting>
  <conditionalFormatting sqref="O201">
    <cfRule type="expression" dxfId="34214" priority="7214">
      <formula>AND(P201&gt;=79001,P201&lt;79900)</formula>
    </cfRule>
    <cfRule type="expression" dxfId="34213" priority="7215" stopIfTrue="1">
      <formula>AND(P201&gt;=70101,P201&lt;=70301)</formula>
    </cfRule>
    <cfRule type="expression" dxfId="34212" priority="7216" stopIfTrue="1">
      <formula>AND(P201&gt;70000,P201&lt;70004)</formula>
    </cfRule>
    <cfRule type="expression" dxfId="34211" priority="7217" stopIfTrue="1">
      <formula>AND(P201&gt;=70010,P201&lt;=76000)</formula>
    </cfRule>
    <cfRule type="expression" dxfId="34210" priority="7218">
      <formula>AND(P201&gt;70000,P201&lt;70004)</formula>
    </cfRule>
    <cfRule type="expression" dxfId="34209" priority="7219" stopIfTrue="1">
      <formula>OR(AND(P201&gt;=10000,P201&lt;=56999),AND(P201&gt;=57000,P201&lt;=57999))</formula>
    </cfRule>
    <cfRule type="expression" dxfId="34208" priority="7220" stopIfTrue="1">
      <formula>AND(P201&gt;=8000,P201&lt;=9999)</formula>
    </cfRule>
    <cfRule type="expression" dxfId="34207" priority="7221" stopIfTrue="1">
      <formula>AND(P201&gt;=78100,P201&lt;=78199)</formula>
    </cfRule>
    <cfRule type="expression" dxfId="34206" priority="7222" stopIfTrue="1">
      <formula>AND(P201&gt;=92000,P201&lt;=98999)</formula>
    </cfRule>
    <cfRule type="expression" dxfId="34205" priority="7223" stopIfTrue="1">
      <formula>AND(P201&gt;=78100,P201&lt;=78199)</formula>
    </cfRule>
    <cfRule type="expression" dxfId="34204" priority="7224" stopIfTrue="1">
      <formula>AND(P201&gt;=91000,P201&lt;=91999)</formula>
    </cfRule>
  </conditionalFormatting>
  <conditionalFormatting sqref="O202">
    <cfRule type="expression" dxfId="34203" priority="7203">
      <formula>AND(P202&gt;=79001,P202&lt;79900)</formula>
    </cfRule>
    <cfRule type="expression" dxfId="34202" priority="7204" stopIfTrue="1">
      <formula>AND(P202&gt;=70101,P202&lt;=70301)</formula>
    </cfRule>
    <cfRule type="expression" dxfId="34201" priority="7205" stopIfTrue="1">
      <formula>AND(P202&gt;70000,P202&lt;70004)</formula>
    </cfRule>
    <cfRule type="expression" dxfId="34200" priority="7206" stopIfTrue="1">
      <formula>AND(P202&gt;=70010,P202&lt;=76000)</formula>
    </cfRule>
    <cfRule type="expression" dxfId="34199" priority="7207">
      <formula>AND(P202&gt;70000,P202&lt;70004)</formula>
    </cfRule>
    <cfRule type="expression" dxfId="34198" priority="7208" stopIfTrue="1">
      <formula>OR(AND(P202&gt;=10000,P202&lt;=56999),AND(P202&gt;=57000,P202&lt;=57999))</formula>
    </cfRule>
    <cfRule type="expression" dxfId="34197" priority="7209" stopIfTrue="1">
      <formula>AND(P202&gt;=8000,P202&lt;=9999)</formula>
    </cfRule>
    <cfRule type="expression" dxfId="34196" priority="7210" stopIfTrue="1">
      <formula>AND(P202&gt;=78100,P202&lt;=78199)</formula>
    </cfRule>
    <cfRule type="expression" dxfId="34195" priority="7211" stopIfTrue="1">
      <formula>AND(P202&gt;=92000,P202&lt;=98999)</formula>
    </cfRule>
    <cfRule type="expression" dxfId="34194" priority="7212" stopIfTrue="1">
      <formula>AND(P202&gt;=78100,P202&lt;=78199)</formula>
    </cfRule>
    <cfRule type="expression" dxfId="34193" priority="7213" stopIfTrue="1">
      <formula>AND(P202&gt;=91000,P202&lt;=91999)</formula>
    </cfRule>
  </conditionalFormatting>
  <conditionalFormatting sqref="AE205:AE206 AM205:AM206 AU205:AU206 AA205:AA206 AI205:AI206 AQ205:AQ206 W205:W206 BK205:BK206 BG205:BG206 BC205:BC206 AY205:AY206 S205:S206">
    <cfRule type="expression" dxfId="34192" priority="7192">
      <formula>AND(T205&gt;=79001,T205&lt;79900)</formula>
    </cfRule>
    <cfRule type="expression" dxfId="34191" priority="7193" stopIfTrue="1">
      <formula>AND(T205&gt;=70101,T205&lt;=70301)</formula>
    </cfRule>
    <cfRule type="expression" dxfId="34190" priority="7194" stopIfTrue="1">
      <formula>AND(T205&gt;70000,T205&lt;70004)</formula>
    </cfRule>
    <cfRule type="expression" dxfId="34189" priority="7195" stopIfTrue="1">
      <formula>AND(T205&gt;=70010,T205&lt;=76000)</formula>
    </cfRule>
    <cfRule type="expression" dxfId="34188" priority="7196">
      <formula>AND(T205&gt;70000,T205&lt;70004)</formula>
    </cfRule>
    <cfRule type="expression" dxfId="34187" priority="7197" stopIfTrue="1">
      <formula>OR(AND(T205&gt;=10000,T205&lt;=56999),AND(T205&gt;=57000,T205&lt;=57999))</formula>
    </cfRule>
    <cfRule type="expression" dxfId="34186" priority="7198" stopIfTrue="1">
      <formula>AND(T205&gt;=8000,T205&lt;=9999)</formula>
    </cfRule>
    <cfRule type="expression" dxfId="34185" priority="7199" stopIfTrue="1">
      <formula>AND(T205&gt;=78100,T205&lt;=78199)</formula>
    </cfRule>
    <cfRule type="expression" dxfId="34184" priority="7200" stopIfTrue="1">
      <formula>AND(T205&gt;=92000,T205&lt;=98999)</formula>
    </cfRule>
    <cfRule type="expression" dxfId="34183" priority="7201" stopIfTrue="1">
      <formula>AND(T205&gt;=78100,T205&lt;=78199)</formula>
    </cfRule>
    <cfRule type="expression" dxfId="34182" priority="7202" stopIfTrue="1">
      <formula>AND(T205&gt;=91000,T205&lt;=91999)</formula>
    </cfRule>
  </conditionalFormatting>
  <conditionalFormatting sqref="G205">
    <cfRule type="expression" dxfId="34181" priority="7180">
      <formula>AND(H205&gt;=79001,H205&lt;79900)</formula>
    </cfRule>
    <cfRule type="expression" dxfId="34180" priority="7181" stopIfTrue="1">
      <formula>AND(H205&gt;=70101,H205&lt;=70301)</formula>
    </cfRule>
    <cfRule type="expression" dxfId="34179" priority="7182" stopIfTrue="1">
      <formula>AND(H205&gt;70000,H205&lt;70004)</formula>
    </cfRule>
    <cfRule type="expression" dxfId="34178" priority="7183" stopIfTrue="1">
      <formula>AND(H205&gt;=70010,H205&lt;=76000)</formula>
    </cfRule>
    <cfRule type="expression" dxfId="34177" priority="7184">
      <formula>AND(H205&gt;70000,H205&lt;70004)</formula>
    </cfRule>
    <cfRule type="expression" dxfId="34176" priority="7185" stopIfTrue="1">
      <formula>OR(AND(H205&gt;=10000,H205&lt;=56999),AND(H205&gt;=57000,H205&lt;=57999))</formula>
    </cfRule>
    <cfRule type="expression" dxfId="34175" priority="7186" stopIfTrue="1">
      <formula>AND(H205&gt;=8000,H205&lt;=9999)</formula>
    </cfRule>
    <cfRule type="expression" dxfId="34174" priority="7187" stopIfTrue="1">
      <formula>AND(H205&gt;=78100,H205&lt;=78199)</formula>
    </cfRule>
    <cfRule type="expression" dxfId="34173" priority="7188" stopIfTrue="1">
      <formula>AND(H205&gt;=92000,H205&lt;=98999)</formula>
    </cfRule>
    <cfRule type="expression" dxfId="34172" priority="7189" stopIfTrue="1">
      <formula>AND(H205&gt;=78100,H205&lt;=78199)</formula>
    </cfRule>
    <cfRule type="expression" dxfId="34171" priority="7190" stopIfTrue="1">
      <formula>AND(H205&gt;=91000,H205&lt;=91999)</formula>
    </cfRule>
  </conditionalFormatting>
  <conditionalFormatting sqref="G206">
    <cfRule type="expression" dxfId="34170" priority="7169">
      <formula>AND(H206&gt;=79001,H206&lt;79900)</formula>
    </cfRule>
    <cfRule type="expression" dxfId="34169" priority="7170" stopIfTrue="1">
      <formula>AND(H206&gt;=70101,H206&lt;=70301)</formula>
    </cfRule>
    <cfRule type="expression" dxfId="34168" priority="7171" stopIfTrue="1">
      <formula>AND(H206&gt;70000,H206&lt;70004)</formula>
    </cfRule>
    <cfRule type="expression" dxfId="34167" priority="7172" stopIfTrue="1">
      <formula>AND(H206&gt;=70010,H206&lt;=76000)</formula>
    </cfRule>
    <cfRule type="expression" dxfId="34166" priority="7173">
      <formula>AND(H206&gt;70000,H206&lt;70004)</formula>
    </cfRule>
    <cfRule type="expression" dxfId="34165" priority="7174" stopIfTrue="1">
      <formula>OR(AND(H206&gt;=10000,H206&lt;=56999),AND(H206&gt;=57000,H206&lt;=57999))</formula>
    </cfRule>
    <cfRule type="expression" dxfId="34164" priority="7175" stopIfTrue="1">
      <formula>AND(H206&gt;=8000,H206&lt;=9999)</formula>
    </cfRule>
    <cfRule type="expression" dxfId="34163" priority="7176" stopIfTrue="1">
      <formula>AND(H206&gt;=78100,H206&lt;=78199)</formula>
    </cfRule>
    <cfRule type="expression" dxfId="34162" priority="7177" stopIfTrue="1">
      <formula>AND(H206&gt;=92000,H206&lt;=98999)</formula>
    </cfRule>
    <cfRule type="expression" dxfId="34161" priority="7178" stopIfTrue="1">
      <formula>AND(H206&gt;=78100,H206&lt;=78199)</formula>
    </cfRule>
    <cfRule type="expression" dxfId="34160" priority="7179" stopIfTrue="1">
      <formula>AND(H206&gt;=91000,H206&lt;=91999)</formula>
    </cfRule>
  </conditionalFormatting>
  <conditionalFormatting sqref="K205">
    <cfRule type="expression" dxfId="34159" priority="7158">
      <formula>AND(L205&gt;=79001,L205&lt;79900)</formula>
    </cfRule>
    <cfRule type="expression" dxfId="34158" priority="7159" stopIfTrue="1">
      <formula>AND(L205&gt;=70101,L205&lt;=70301)</formula>
    </cfRule>
    <cfRule type="expression" dxfId="34157" priority="7160" stopIfTrue="1">
      <formula>AND(L205&gt;70000,L205&lt;70004)</formula>
    </cfRule>
    <cfRule type="expression" dxfId="34156" priority="7161" stopIfTrue="1">
      <formula>AND(L205&gt;=70010,L205&lt;=76000)</formula>
    </cfRule>
    <cfRule type="expression" dxfId="34155" priority="7162">
      <formula>AND(L205&gt;70000,L205&lt;70004)</formula>
    </cfRule>
    <cfRule type="expression" dxfId="34154" priority="7163" stopIfTrue="1">
      <formula>OR(AND(L205&gt;=10000,L205&lt;=56999),AND(L205&gt;=57000,L205&lt;=57999))</formula>
    </cfRule>
    <cfRule type="expression" dxfId="34153" priority="7164" stopIfTrue="1">
      <formula>AND(L205&gt;=8000,L205&lt;=9999)</formula>
    </cfRule>
    <cfRule type="expression" dxfId="34152" priority="7165" stopIfTrue="1">
      <formula>AND(L205&gt;=78100,L205&lt;=78199)</formula>
    </cfRule>
    <cfRule type="expression" dxfId="34151" priority="7166" stopIfTrue="1">
      <formula>AND(L205&gt;=92000,L205&lt;=98999)</formula>
    </cfRule>
    <cfRule type="expression" dxfId="34150" priority="7167" stopIfTrue="1">
      <formula>AND(L205&gt;=78100,L205&lt;=78199)</formula>
    </cfRule>
    <cfRule type="expression" dxfId="34149" priority="7168" stopIfTrue="1">
      <formula>AND(L205&gt;=91000,L205&lt;=91999)</formula>
    </cfRule>
  </conditionalFormatting>
  <conditionalFormatting sqref="K206">
    <cfRule type="expression" dxfId="34148" priority="7147">
      <formula>AND(L206&gt;=79001,L206&lt;79900)</formula>
    </cfRule>
    <cfRule type="expression" dxfId="34147" priority="7148" stopIfTrue="1">
      <formula>AND(L206&gt;=70101,L206&lt;=70301)</formula>
    </cfRule>
    <cfRule type="expression" dxfId="34146" priority="7149" stopIfTrue="1">
      <formula>AND(L206&gt;70000,L206&lt;70004)</formula>
    </cfRule>
    <cfRule type="expression" dxfId="34145" priority="7150" stopIfTrue="1">
      <formula>AND(L206&gt;=70010,L206&lt;=76000)</formula>
    </cfRule>
    <cfRule type="expression" dxfId="34144" priority="7151">
      <formula>AND(L206&gt;70000,L206&lt;70004)</formula>
    </cfRule>
    <cfRule type="expression" dxfId="34143" priority="7152" stopIfTrue="1">
      <formula>OR(AND(L206&gt;=10000,L206&lt;=56999),AND(L206&gt;=57000,L206&lt;=57999))</formula>
    </cfRule>
    <cfRule type="expression" dxfId="34142" priority="7153" stopIfTrue="1">
      <formula>AND(L206&gt;=8000,L206&lt;=9999)</formula>
    </cfRule>
    <cfRule type="expression" dxfId="34141" priority="7154" stopIfTrue="1">
      <formula>AND(L206&gt;=78100,L206&lt;=78199)</formula>
    </cfRule>
    <cfRule type="expression" dxfId="34140" priority="7155" stopIfTrue="1">
      <formula>AND(L206&gt;=92000,L206&lt;=98999)</formula>
    </cfRule>
    <cfRule type="expression" dxfId="34139" priority="7156" stopIfTrue="1">
      <formula>AND(L206&gt;=78100,L206&lt;=78199)</formula>
    </cfRule>
    <cfRule type="expression" dxfId="34138" priority="7157" stopIfTrue="1">
      <formula>AND(L206&gt;=91000,L206&lt;=91999)</formula>
    </cfRule>
  </conditionalFormatting>
  <conditionalFormatting sqref="AE207:AE208 AM207:AM208 AU207:AU208 AA207:AA208 AI207:AI208 AQ207:AQ208 W207:W208 BK207:BK208 BG207:BG208 BC207:BC208 AY207:AY208 S207:S208">
    <cfRule type="expression" dxfId="34137" priority="7136">
      <formula>AND(T207&gt;=79001,T207&lt;79900)</formula>
    </cfRule>
    <cfRule type="expression" dxfId="34136" priority="7137" stopIfTrue="1">
      <formula>AND(T207&gt;=70101,T207&lt;=70301)</formula>
    </cfRule>
    <cfRule type="expression" dxfId="34135" priority="7138" stopIfTrue="1">
      <formula>AND(T207&gt;70000,T207&lt;70004)</formula>
    </cfRule>
    <cfRule type="expression" dxfId="34134" priority="7139" stopIfTrue="1">
      <formula>AND(T207&gt;=70010,T207&lt;=76000)</formula>
    </cfRule>
    <cfRule type="expression" dxfId="34133" priority="7140">
      <formula>AND(T207&gt;70000,T207&lt;70004)</formula>
    </cfRule>
    <cfRule type="expression" dxfId="34132" priority="7141" stopIfTrue="1">
      <formula>OR(AND(T207&gt;=10000,T207&lt;=56999),AND(T207&gt;=57000,T207&lt;=57999))</formula>
    </cfRule>
    <cfRule type="expression" dxfId="34131" priority="7142" stopIfTrue="1">
      <formula>AND(T207&gt;=8000,T207&lt;=9999)</formula>
    </cfRule>
    <cfRule type="expression" dxfId="34130" priority="7143" stopIfTrue="1">
      <formula>AND(T207&gt;=78100,T207&lt;=78199)</formula>
    </cfRule>
    <cfRule type="expression" dxfId="34129" priority="7144" stopIfTrue="1">
      <formula>AND(T207&gt;=92000,T207&lt;=98999)</formula>
    </cfRule>
    <cfRule type="expression" dxfId="34128" priority="7145" stopIfTrue="1">
      <formula>AND(T207&gt;=78100,T207&lt;=78199)</formula>
    </cfRule>
    <cfRule type="expression" dxfId="34127" priority="7146" stopIfTrue="1">
      <formula>AND(T207&gt;=91000,T207&lt;=91999)</formula>
    </cfRule>
  </conditionalFormatting>
  <conditionalFormatting sqref="G207">
    <cfRule type="expression" dxfId="34126" priority="7124">
      <formula>AND(H207&gt;=79001,H207&lt;79900)</formula>
    </cfRule>
    <cfRule type="expression" dxfId="34125" priority="7125" stopIfTrue="1">
      <formula>AND(H207&gt;=70101,H207&lt;=70301)</formula>
    </cfRule>
    <cfRule type="expression" dxfId="34124" priority="7126" stopIfTrue="1">
      <formula>AND(H207&gt;70000,H207&lt;70004)</formula>
    </cfRule>
    <cfRule type="expression" dxfId="34123" priority="7127" stopIfTrue="1">
      <formula>AND(H207&gt;=70010,H207&lt;=76000)</formula>
    </cfRule>
    <cfRule type="expression" dxfId="34122" priority="7128">
      <formula>AND(H207&gt;70000,H207&lt;70004)</formula>
    </cfRule>
    <cfRule type="expression" dxfId="34121" priority="7129" stopIfTrue="1">
      <formula>OR(AND(H207&gt;=10000,H207&lt;=56999),AND(H207&gt;=57000,H207&lt;=57999))</formula>
    </cfRule>
    <cfRule type="expression" dxfId="34120" priority="7130" stopIfTrue="1">
      <formula>AND(H207&gt;=8000,H207&lt;=9999)</formula>
    </cfRule>
    <cfRule type="expression" dxfId="34119" priority="7131" stopIfTrue="1">
      <formula>AND(H207&gt;=78100,H207&lt;=78199)</formula>
    </cfRule>
    <cfRule type="expression" dxfId="34118" priority="7132" stopIfTrue="1">
      <formula>AND(H207&gt;=92000,H207&lt;=98999)</formula>
    </cfRule>
    <cfRule type="expression" dxfId="34117" priority="7133" stopIfTrue="1">
      <formula>AND(H207&gt;=78100,H207&lt;=78199)</formula>
    </cfRule>
    <cfRule type="expression" dxfId="34116" priority="7134" stopIfTrue="1">
      <formula>AND(H207&gt;=91000,H207&lt;=91999)</formula>
    </cfRule>
  </conditionalFormatting>
  <conditionalFormatting sqref="G208">
    <cfRule type="expression" dxfId="34115" priority="7113">
      <formula>AND(H208&gt;=79001,H208&lt;79900)</formula>
    </cfRule>
    <cfRule type="expression" dxfId="34114" priority="7114" stopIfTrue="1">
      <formula>AND(H208&gt;=70101,H208&lt;=70301)</formula>
    </cfRule>
    <cfRule type="expression" dxfId="34113" priority="7115" stopIfTrue="1">
      <formula>AND(H208&gt;70000,H208&lt;70004)</formula>
    </cfRule>
    <cfRule type="expression" dxfId="34112" priority="7116" stopIfTrue="1">
      <formula>AND(H208&gt;=70010,H208&lt;=76000)</formula>
    </cfRule>
    <cfRule type="expression" dxfId="34111" priority="7117">
      <formula>AND(H208&gt;70000,H208&lt;70004)</formula>
    </cfRule>
    <cfRule type="expression" dxfId="34110" priority="7118" stopIfTrue="1">
      <formula>OR(AND(H208&gt;=10000,H208&lt;=56999),AND(H208&gt;=57000,H208&lt;=57999))</formula>
    </cfRule>
    <cfRule type="expression" dxfId="34109" priority="7119" stopIfTrue="1">
      <formula>AND(H208&gt;=8000,H208&lt;=9999)</formula>
    </cfRule>
    <cfRule type="expression" dxfId="34108" priority="7120" stopIfTrue="1">
      <formula>AND(H208&gt;=78100,H208&lt;=78199)</formula>
    </cfRule>
    <cfRule type="expression" dxfId="34107" priority="7121" stopIfTrue="1">
      <formula>AND(H208&gt;=92000,H208&lt;=98999)</formula>
    </cfRule>
    <cfRule type="expression" dxfId="34106" priority="7122" stopIfTrue="1">
      <formula>AND(H208&gt;=78100,H208&lt;=78199)</formula>
    </cfRule>
    <cfRule type="expression" dxfId="34105" priority="7123" stopIfTrue="1">
      <formula>AND(H208&gt;=91000,H208&lt;=91999)</formula>
    </cfRule>
  </conditionalFormatting>
  <conditionalFormatting sqref="K207">
    <cfRule type="expression" dxfId="34104" priority="7102">
      <formula>AND(L207&gt;=79001,L207&lt;79900)</formula>
    </cfRule>
    <cfRule type="expression" dxfId="34103" priority="7103" stopIfTrue="1">
      <formula>AND(L207&gt;=70101,L207&lt;=70301)</formula>
    </cfRule>
    <cfRule type="expression" dxfId="34102" priority="7104" stopIfTrue="1">
      <formula>AND(L207&gt;70000,L207&lt;70004)</formula>
    </cfRule>
    <cfRule type="expression" dxfId="34101" priority="7105" stopIfTrue="1">
      <formula>AND(L207&gt;=70010,L207&lt;=76000)</formula>
    </cfRule>
    <cfRule type="expression" dxfId="34100" priority="7106">
      <formula>AND(L207&gt;70000,L207&lt;70004)</formula>
    </cfRule>
    <cfRule type="expression" dxfId="34099" priority="7107" stopIfTrue="1">
      <formula>OR(AND(L207&gt;=10000,L207&lt;=56999),AND(L207&gt;=57000,L207&lt;=57999))</formula>
    </cfRule>
    <cfRule type="expression" dxfId="34098" priority="7108" stopIfTrue="1">
      <formula>AND(L207&gt;=8000,L207&lt;=9999)</formula>
    </cfRule>
    <cfRule type="expression" dxfId="34097" priority="7109" stopIfTrue="1">
      <formula>AND(L207&gt;=78100,L207&lt;=78199)</formula>
    </cfRule>
    <cfRule type="expression" dxfId="34096" priority="7110" stopIfTrue="1">
      <formula>AND(L207&gt;=92000,L207&lt;=98999)</formula>
    </cfRule>
    <cfRule type="expression" dxfId="34095" priority="7111" stopIfTrue="1">
      <formula>AND(L207&gt;=78100,L207&lt;=78199)</formula>
    </cfRule>
    <cfRule type="expression" dxfId="34094" priority="7112" stopIfTrue="1">
      <formula>AND(L207&gt;=91000,L207&lt;=91999)</formula>
    </cfRule>
  </conditionalFormatting>
  <conditionalFormatting sqref="K208">
    <cfRule type="expression" dxfId="34093" priority="7091">
      <formula>AND(L208&gt;=79001,L208&lt;79900)</formula>
    </cfRule>
    <cfRule type="expression" dxfId="34092" priority="7092" stopIfTrue="1">
      <formula>AND(L208&gt;=70101,L208&lt;=70301)</formula>
    </cfRule>
    <cfRule type="expression" dxfId="34091" priority="7093" stopIfTrue="1">
      <formula>AND(L208&gt;70000,L208&lt;70004)</formula>
    </cfRule>
    <cfRule type="expression" dxfId="34090" priority="7094" stopIfTrue="1">
      <formula>AND(L208&gt;=70010,L208&lt;=76000)</formula>
    </cfRule>
    <cfRule type="expression" dxfId="34089" priority="7095">
      <formula>AND(L208&gt;70000,L208&lt;70004)</formula>
    </cfRule>
    <cfRule type="expression" dxfId="34088" priority="7096" stopIfTrue="1">
      <formula>OR(AND(L208&gt;=10000,L208&lt;=56999),AND(L208&gt;=57000,L208&lt;=57999))</formula>
    </cfRule>
    <cfRule type="expression" dxfId="34087" priority="7097" stopIfTrue="1">
      <formula>AND(L208&gt;=8000,L208&lt;=9999)</formula>
    </cfRule>
    <cfRule type="expression" dxfId="34086" priority="7098" stopIfTrue="1">
      <formula>AND(L208&gt;=78100,L208&lt;=78199)</formula>
    </cfRule>
    <cfRule type="expression" dxfId="34085" priority="7099" stopIfTrue="1">
      <formula>AND(L208&gt;=92000,L208&lt;=98999)</formula>
    </cfRule>
    <cfRule type="expression" dxfId="34084" priority="7100" stopIfTrue="1">
      <formula>AND(L208&gt;=78100,L208&lt;=78199)</formula>
    </cfRule>
    <cfRule type="expression" dxfId="34083" priority="7101" stopIfTrue="1">
      <formula>AND(L208&gt;=91000,L208&lt;=91999)</formula>
    </cfRule>
  </conditionalFormatting>
  <conditionalFormatting sqref="S211:S212 AY211:AY212 BC211:BC212 BG211:BG212 BK211:BK212 W211:W212 AQ211:AQ212 AI211:AI212 AA211:AA212 AU211:AU212 AM211:AM212 AE211:AE212">
    <cfRule type="expression" dxfId="34082" priority="7080">
      <formula>AND(T211&gt;=79001,T211&lt;79900)</formula>
    </cfRule>
    <cfRule type="expression" dxfId="34081" priority="7081" stopIfTrue="1">
      <formula>AND(T211&gt;=70101,T211&lt;=70301)</formula>
    </cfRule>
    <cfRule type="expression" dxfId="34080" priority="7082" stopIfTrue="1">
      <formula>AND(T211&gt;70000,T211&lt;70004)</formula>
    </cfRule>
    <cfRule type="expression" dxfId="34079" priority="7083" stopIfTrue="1">
      <formula>AND(T211&gt;=70010,T211&lt;=76000)</formula>
    </cfRule>
    <cfRule type="expression" dxfId="34078" priority="7084">
      <formula>AND(T211&gt;70000,T211&lt;70004)</formula>
    </cfRule>
    <cfRule type="expression" dxfId="34077" priority="7085" stopIfTrue="1">
      <formula>OR(AND(T211&gt;=10000,T211&lt;=56999),AND(T211&gt;=57000,T211&lt;=57999))</formula>
    </cfRule>
    <cfRule type="expression" dxfId="34076" priority="7086" stopIfTrue="1">
      <formula>AND(T211&gt;=8000,T211&lt;=9999)</formula>
    </cfRule>
    <cfRule type="expression" dxfId="34075" priority="7087" stopIfTrue="1">
      <formula>AND(T211&gt;=78100,T211&lt;=78199)</formula>
    </cfRule>
    <cfRule type="expression" dxfId="34074" priority="7088" stopIfTrue="1">
      <formula>AND(T211&gt;=92000,T211&lt;=98999)</formula>
    </cfRule>
    <cfRule type="expression" dxfId="34073" priority="7089" stopIfTrue="1">
      <formula>AND(T211&gt;=78100,T211&lt;=78199)</formula>
    </cfRule>
    <cfRule type="expression" dxfId="34072" priority="7090" stopIfTrue="1">
      <formula>AND(T211&gt;=91000,T211&lt;=91999)</formula>
    </cfRule>
  </conditionalFormatting>
  <conditionalFormatting sqref="G211">
    <cfRule type="expression" dxfId="34071" priority="7068">
      <formula>AND(H211&gt;=79001,H211&lt;79900)</formula>
    </cfRule>
    <cfRule type="expression" dxfId="34070" priority="7069" stopIfTrue="1">
      <formula>AND(H211&gt;=70101,H211&lt;=70301)</formula>
    </cfRule>
    <cfRule type="expression" dxfId="34069" priority="7070" stopIfTrue="1">
      <formula>AND(H211&gt;70000,H211&lt;70004)</formula>
    </cfRule>
    <cfRule type="expression" dxfId="34068" priority="7071" stopIfTrue="1">
      <formula>AND(H211&gt;=70010,H211&lt;=76000)</formula>
    </cfRule>
    <cfRule type="expression" dxfId="34067" priority="7072">
      <formula>AND(H211&gt;70000,H211&lt;70004)</formula>
    </cfRule>
    <cfRule type="expression" dxfId="34066" priority="7073" stopIfTrue="1">
      <formula>OR(AND(H211&gt;=10000,H211&lt;=56999),AND(H211&gt;=57000,H211&lt;=57999))</formula>
    </cfRule>
    <cfRule type="expression" dxfId="34065" priority="7074" stopIfTrue="1">
      <formula>AND(H211&gt;=8000,H211&lt;=9999)</formula>
    </cfRule>
    <cfRule type="expression" dxfId="34064" priority="7075" stopIfTrue="1">
      <formula>AND(H211&gt;=78100,H211&lt;=78199)</formula>
    </cfRule>
    <cfRule type="expression" dxfId="34063" priority="7076" stopIfTrue="1">
      <formula>AND(H211&gt;=92000,H211&lt;=98999)</formula>
    </cfRule>
    <cfRule type="expression" dxfId="34062" priority="7077" stopIfTrue="1">
      <formula>AND(H211&gt;=78100,H211&lt;=78199)</formula>
    </cfRule>
    <cfRule type="expression" dxfId="34061" priority="7078" stopIfTrue="1">
      <formula>AND(H211&gt;=91000,H211&lt;=91999)</formula>
    </cfRule>
  </conditionalFormatting>
  <conditionalFormatting sqref="G212">
    <cfRule type="expression" dxfId="34060" priority="7057">
      <formula>AND(H212&gt;=79001,H212&lt;79900)</formula>
    </cfRule>
    <cfRule type="expression" dxfId="34059" priority="7058" stopIfTrue="1">
      <formula>AND(H212&gt;=70101,H212&lt;=70301)</formula>
    </cfRule>
    <cfRule type="expression" dxfId="34058" priority="7059" stopIfTrue="1">
      <formula>AND(H212&gt;70000,H212&lt;70004)</formula>
    </cfRule>
    <cfRule type="expression" dxfId="34057" priority="7060" stopIfTrue="1">
      <formula>AND(H212&gt;=70010,H212&lt;=76000)</formula>
    </cfRule>
    <cfRule type="expression" dxfId="34056" priority="7061">
      <formula>AND(H212&gt;70000,H212&lt;70004)</formula>
    </cfRule>
    <cfRule type="expression" dxfId="34055" priority="7062" stopIfTrue="1">
      <formula>OR(AND(H212&gt;=10000,H212&lt;=56999),AND(H212&gt;=57000,H212&lt;=57999))</formula>
    </cfRule>
    <cfRule type="expression" dxfId="34054" priority="7063" stopIfTrue="1">
      <formula>AND(H212&gt;=8000,H212&lt;=9999)</formula>
    </cfRule>
    <cfRule type="expression" dxfId="34053" priority="7064" stopIfTrue="1">
      <formula>AND(H212&gt;=78100,H212&lt;=78199)</formula>
    </cfRule>
    <cfRule type="expression" dxfId="34052" priority="7065" stopIfTrue="1">
      <formula>AND(H212&gt;=92000,H212&lt;=98999)</formula>
    </cfRule>
    <cfRule type="expression" dxfId="34051" priority="7066" stopIfTrue="1">
      <formula>AND(H212&gt;=78100,H212&lt;=78199)</formula>
    </cfRule>
    <cfRule type="expression" dxfId="34050" priority="7067" stopIfTrue="1">
      <formula>AND(H212&gt;=91000,H212&lt;=91999)</formula>
    </cfRule>
  </conditionalFormatting>
  <conditionalFormatting sqref="K211">
    <cfRule type="expression" dxfId="34049" priority="7046">
      <formula>AND(L211&gt;=79001,L211&lt;79900)</formula>
    </cfRule>
    <cfRule type="expression" dxfId="34048" priority="7047" stopIfTrue="1">
      <formula>AND(L211&gt;=70101,L211&lt;=70301)</formula>
    </cfRule>
    <cfRule type="expression" dxfId="34047" priority="7048" stopIfTrue="1">
      <formula>AND(L211&gt;70000,L211&lt;70004)</formula>
    </cfRule>
    <cfRule type="expression" dxfId="34046" priority="7049" stopIfTrue="1">
      <formula>AND(L211&gt;=70010,L211&lt;=76000)</formula>
    </cfRule>
    <cfRule type="expression" dxfId="34045" priority="7050">
      <formula>AND(L211&gt;70000,L211&lt;70004)</formula>
    </cfRule>
    <cfRule type="expression" dxfId="34044" priority="7051" stopIfTrue="1">
      <formula>OR(AND(L211&gt;=10000,L211&lt;=56999),AND(L211&gt;=57000,L211&lt;=57999))</formula>
    </cfRule>
    <cfRule type="expression" dxfId="34043" priority="7052" stopIfTrue="1">
      <formula>AND(L211&gt;=8000,L211&lt;=9999)</formula>
    </cfRule>
    <cfRule type="expression" dxfId="34042" priority="7053" stopIfTrue="1">
      <formula>AND(L211&gt;=78100,L211&lt;=78199)</formula>
    </cfRule>
    <cfRule type="expression" dxfId="34041" priority="7054" stopIfTrue="1">
      <formula>AND(L211&gt;=92000,L211&lt;=98999)</formula>
    </cfRule>
    <cfRule type="expression" dxfId="34040" priority="7055" stopIfTrue="1">
      <formula>AND(L211&gt;=78100,L211&lt;=78199)</formula>
    </cfRule>
    <cfRule type="expression" dxfId="34039" priority="7056" stopIfTrue="1">
      <formula>AND(L211&gt;=91000,L211&lt;=91999)</formula>
    </cfRule>
  </conditionalFormatting>
  <conditionalFormatting sqref="K212">
    <cfRule type="expression" dxfId="34038" priority="7035">
      <formula>AND(L212&gt;=79001,L212&lt;79900)</formula>
    </cfRule>
    <cfRule type="expression" dxfId="34037" priority="7036" stopIfTrue="1">
      <formula>AND(L212&gt;=70101,L212&lt;=70301)</formula>
    </cfRule>
    <cfRule type="expression" dxfId="34036" priority="7037" stopIfTrue="1">
      <formula>AND(L212&gt;70000,L212&lt;70004)</formula>
    </cfRule>
    <cfRule type="expression" dxfId="34035" priority="7038" stopIfTrue="1">
      <formula>AND(L212&gt;=70010,L212&lt;=76000)</formula>
    </cfRule>
    <cfRule type="expression" dxfId="34034" priority="7039">
      <formula>AND(L212&gt;70000,L212&lt;70004)</formula>
    </cfRule>
    <cfRule type="expression" dxfId="34033" priority="7040" stopIfTrue="1">
      <formula>OR(AND(L212&gt;=10000,L212&lt;=56999),AND(L212&gt;=57000,L212&lt;=57999))</formula>
    </cfRule>
    <cfRule type="expression" dxfId="34032" priority="7041" stopIfTrue="1">
      <formula>AND(L212&gt;=8000,L212&lt;=9999)</formula>
    </cfRule>
    <cfRule type="expression" dxfId="34031" priority="7042" stopIfTrue="1">
      <formula>AND(L212&gt;=78100,L212&lt;=78199)</formula>
    </cfRule>
    <cfRule type="expression" dxfId="34030" priority="7043" stopIfTrue="1">
      <formula>AND(L212&gt;=92000,L212&lt;=98999)</formula>
    </cfRule>
    <cfRule type="expression" dxfId="34029" priority="7044" stopIfTrue="1">
      <formula>AND(L212&gt;=78100,L212&lt;=78199)</formula>
    </cfRule>
    <cfRule type="expression" dxfId="34028" priority="7045" stopIfTrue="1">
      <formula>AND(L212&gt;=91000,L212&lt;=91999)</formula>
    </cfRule>
  </conditionalFormatting>
  <conditionalFormatting sqref="S213:S214 AY213:AY214 BC213:BC214 BG213:BG214 BK213:BK214 W213:W214 AQ213:AQ214 AI213:AI214 AA213:AA214 AU213:AU214 AM213:AM214 AE213:AE214">
    <cfRule type="expression" dxfId="34027" priority="7024">
      <formula>AND(T213&gt;=79001,T213&lt;79900)</formula>
    </cfRule>
    <cfRule type="expression" dxfId="34026" priority="7025" stopIfTrue="1">
      <formula>AND(T213&gt;=70101,T213&lt;=70301)</formula>
    </cfRule>
    <cfRule type="expression" dxfId="34025" priority="7026" stopIfTrue="1">
      <formula>AND(T213&gt;70000,T213&lt;70004)</formula>
    </cfRule>
    <cfRule type="expression" dxfId="34024" priority="7027" stopIfTrue="1">
      <formula>AND(T213&gt;=70010,T213&lt;=76000)</formula>
    </cfRule>
    <cfRule type="expression" dxfId="34023" priority="7028">
      <formula>AND(T213&gt;70000,T213&lt;70004)</formula>
    </cfRule>
    <cfRule type="expression" dxfId="34022" priority="7029" stopIfTrue="1">
      <formula>OR(AND(T213&gt;=10000,T213&lt;=56999),AND(T213&gt;=57000,T213&lt;=57999))</formula>
    </cfRule>
    <cfRule type="expression" dxfId="34021" priority="7030" stopIfTrue="1">
      <formula>AND(T213&gt;=8000,T213&lt;=9999)</formula>
    </cfRule>
    <cfRule type="expression" dxfId="34020" priority="7031" stopIfTrue="1">
      <formula>AND(T213&gt;=78100,T213&lt;=78199)</formula>
    </cfRule>
    <cfRule type="expression" dxfId="34019" priority="7032" stopIfTrue="1">
      <formula>AND(T213&gt;=92000,T213&lt;=98999)</formula>
    </cfRule>
    <cfRule type="expression" dxfId="34018" priority="7033" stopIfTrue="1">
      <formula>AND(T213&gt;=78100,T213&lt;=78199)</formula>
    </cfRule>
    <cfRule type="expression" dxfId="34017" priority="7034" stopIfTrue="1">
      <formula>AND(T213&gt;=91000,T213&lt;=91999)</formula>
    </cfRule>
  </conditionalFormatting>
  <conditionalFormatting sqref="G213">
    <cfRule type="expression" dxfId="34016" priority="7012">
      <formula>AND(H213&gt;=79001,H213&lt;79900)</formula>
    </cfRule>
    <cfRule type="expression" dxfId="34015" priority="7013" stopIfTrue="1">
      <formula>AND(H213&gt;=70101,H213&lt;=70301)</formula>
    </cfRule>
    <cfRule type="expression" dxfId="34014" priority="7014" stopIfTrue="1">
      <formula>AND(H213&gt;70000,H213&lt;70004)</formula>
    </cfRule>
    <cfRule type="expression" dxfId="34013" priority="7015" stopIfTrue="1">
      <formula>AND(H213&gt;=70010,H213&lt;=76000)</formula>
    </cfRule>
    <cfRule type="expression" dxfId="34012" priority="7016">
      <formula>AND(H213&gt;70000,H213&lt;70004)</formula>
    </cfRule>
    <cfRule type="expression" dxfId="34011" priority="7017" stopIfTrue="1">
      <formula>OR(AND(H213&gt;=10000,H213&lt;=56999),AND(H213&gt;=57000,H213&lt;=57999))</formula>
    </cfRule>
    <cfRule type="expression" dxfId="34010" priority="7018" stopIfTrue="1">
      <formula>AND(H213&gt;=8000,H213&lt;=9999)</formula>
    </cfRule>
    <cfRule type="expression" dxfId="34009" priority="7019" stopIfTrue="1">
      <formula>AND(H213&gt;=78100,H213&lt;=78199)</formula>
    </cfRule>
    <cfRule type="expression" dxfId="34008" priority="7020" stopIfTrue="1">
      <formula>AND(H213&gt;=92000,H213&lt;=98999)</formula>
    </cfRule>
    <cfRule type="expression" dxfId="34007" priority="7021" stopIfTrue="1">
      <formula>AND(H213&gt;=78100,H213&lt;=78199)</formula>
    </cfRule>
    <cfRule type="expression" dxfId="34006" priority="7022" stopIfTrue="1">
      <formula>AND(H213&gt;=91000,H213&lt;=91999)</formula>
    </cfRule>
  </conditionalFormatting>
  <conditionalFormatting sqref="G214">
    <cfRule type="expression" dxfId="34005" priority="7001">
      <formula>AND(H214&gt;=79001,H214&lt;79900)</formula>
    </cfRule>
    <cfRule type="expression" dxfId="34004" priority="7002" stopIfTrue="1">
      <formula>AND(H214&gt;=70101,H214&lt;=70301)</formula>
    </cfRule>
    <cfRule type="expression" dxfId="34003" priority="7003" stopIfTrue="1">
      <formula>AND(H214&gt;70000,H214&lt;70004)</formula>
    </cfRule>
    <cfRule type="expression" dxfId="34002" priority="7004" stopIfTrue="1">
      <formula>AND(H214&gt;=70010,H214&lt;=76000)</formula>
    </cfRule>
    <cfRule type="expression" dxfId="34001" priority="7005">
      <formula>AND(H214&gt;70000,H214&lt;70004)</formula>
    </cfRule>
    <cfRule type="expression" dxfId="34000" priority="7006" stopIfTrue="1">
      <formula>OR(AND(H214&gt;=10000,H214&lt;=56999),AND(H214&gt;=57000,H214&lt;=57999))</formula>
    </cfRule>
    <cfRule type="expression" dxfId="33999" priority="7007" stopIfTrue="1">
      <formula>AND(H214&gt;=8000,H214&lt;=9999)</formula>
    </cfRule>
    <cfRule type="expression" dxfId="33998" priority="7008" stopIfTrue="1">
      <formula>AND(H214&gt;=78100,H214&lt;=78199)</formula>
    </cfRule>
    <cfRule type="expression" dxfId="33997" priority="7009" stopIfTrue="1">
      <formula>AND(H214&gt;=92000,H214&lt;=98999)</formula>
    </cfRule>
    <cfRule type="expression" dxfId="33996" priority="7010" stopIfTrue="1">
      <formula>AND(H214&gt;=78100,H214&lt;=78199)</formula>
    </cfRule>
    <cfRule type="expression" dxfId="33995" priority="7011" stopIfTrue="1">
      <formula>AND(H214&gt;=91000,H214&lt;=91999)</formula>
    </cfRule>
  </conditionalFormatting>
  <conditionalFormatting sqref="K213">
    <cfRule type="expression" dxfId="33994" priority="6990">
      <formula>AND(L213&gt;=79001,L213&lt;79900)</formula>
    </cfRule>
    <cfRule type="expression" dxfId="33993" priority="6991" stopIfTrue="1">
      <formula>AND(L213&gt;=70101,L213&lt;=70301)</formula>
    </cfRule>
    <cfRule type="expression" dxfId="33992" priority="6992" stopIfTrue="1">
      <formula>AND(L213&gt;70000,L213&lt;70004)</formula>
    </cfRule>
    <cfRule type="expression" dxfId="33991" priority="6993" stopIfTrue="1">
      <formula>AND(L213&gt;=70010,L213&lt;=76000)</formula>
    </cfRule>
    <cfRule type="expression" dxfId="33990" priority="6994">
      <formula>AND(L213&gt;70000,L213&lt;70004)</formula>
    </cfRule>
    <cfRule type="expression" dxfId="33989" priority="6995" stopIfTrue="1">
      <formula>OR(AND(L213&gt;=10000,L213&lt;=56999),AND(L213&gt;=57000,L213&lt;=57999))</formula>
    </cfRule>
    <cfRule type="expression" dxfId="33988" priority="6996" stopIfTrue="1">
      <formula>AND(L213&gt;=8000,L213&lt;=9999)</formula>
    </cfRule>
    <cfRule type="expression" dxfId="33987" priority="6997" stopIfTrue="1">
      <formula>AND(L213&gt;=78100,L213&lt;=78199)</formula>
    </cfRule>
    <cfRule type="expression" dxfId="33986" priority="6998" stopIfTrue="1">
      <formula>AND(L213&gt;=92000,L213&lt;=98999)</formula>
    </cfRule>
    <cfRule type="expression" dxfId="33985" priority="6999" stopIfTrue="1">
      <formula>AND(L213&gt;=78100,L213&lt;=78199)</formula>
    </cfRule>
    <cfRule type="expression" dxfId="33984" priority="7000" stopIfTrue="1">
      <formula>AND(L213&gt;=91000,L213&lt;=91999)</formula>
    </cfRule>
  </conditionalFormatting>
  <conditionalFormatting sqref="K214">
    <cfRule type="expression" dxfId="33983" priority="6979">
      <formula>AND(L214&gt;=79001,L214&lt;79900)</formula>
    </cfRule>
    <cfRule type="expression" dxfId="33982" priority="6980" stopIfTrue="1">
      <formula>AND(L214&gt;=70101,L214&lt;=70301)</formula>
    </cfRule>
    <cfRule type="expression" dxfId="33981" priority="6981" stopIfTrue="1">
      <formula>AND(L214&gt;70000,L214&lt;70004)</formula>
    </cfRule>
    <cfRule type="expression" dxfId="33980" priority="6982" stopIfTrue="1">
      <formula>AND(L214&gt;=70010,L214&lt;=76000)</formula>
    </cfRule>
    <cfRule type="expression" dxfId="33979" priority="6983">
      <formula>AND(L214&gt;70000,L214&lt;70004)</formula>
    </cfRule>
    <cfRule type="expression" dxfId="33978" priority="6984" stopIfTrue="1">
      <formula>OR(AND(L214&gt;=10000,L214&lt;=56999),AND(L214&gt;=57000,L214&lt;=57999))</formula>
    </cfRule>
    <cfRule type="expression" dxfId="33977" priority="6985" stopIfTrue="1">
      <formula>AND(L214&gt;=8000,L214&lt;=9999)</formula>
    </cfRule>
    <cfRule type="expression" dxfId="33976" priority="6986" stopIfTrue="1">
      <formula>AND(L214&gt;=78100,L214&lt;=78199)</formula>
    </cfRule>
    <cfRule type="expression" dxfId="33975" priority="6987" stopIfTrue="1">
      <formula>AND(L214&gt;=92000,L214&lt;=98999)</formula>
    </cfRule>
    <cfRule type="expression" dxfId="33974" priority="6988" stopIfTrue="1">
      <formula>AND(L214&gt;=78100,L214&lt;=78199)</formula>
    </cfRule>
    <cfRule type="expression" dxfId="33973" priority="6989" stopIfTrue="1">
      <formula>AND(L214&gt;=91000,L214&lt;=91999)</formula>
    </cfRule>
  </conditionalFormatting>
  <conditionalFormatting sqref="S217:S218 AY217:AY218 BC217:BC218 BG217:BG218 BK217:BK218 W217:W218 AQ217:AQ218 AI217:AI218 AA217:AA218 AU217:AU218 AM217:AM218 AE217:AE218">
    <cfRule type="expression" dxfId="33972" priority="6968">
      <formula>AND(T217&gt;=79001,T217&lt;79900)</formula>
    </cfRule>
    <cfRule type="expression" dxfId="33971" priority="6969" stopIfTrue="1">
      <formula>AND(T217&gt;=70101,T217&lt;=70301)</formula>
    </cfRule>
    <cfRule type="expression" dxfId="33970" priority="6970" stopIfTrue="1">
      <formula>AND(T217&gt;70000,T217&lt;70004)</formula>
    </cfRule>
    <cfRule type="expression" dxfId="33969" priority="6971" stopIfTrue="1">
      <formula>AND(T217&gt;=70010,T217&lt;=76000)</formula>
    </cfRule>
    <cfRule type="expression" dxfId="33968" priority="6972">
      <formula>AND(T217&gt;70000,T217&lt;70004)</formula>
    </cfRule>
    <cfRule type="expression" dxfId="33967" priority="6973" stopIfTrue="1">
      <formula>OR(AND(T217&gt;=10000,T217&lt;=56999),AND(T217&gt;=57000,T217&lt;=57999))</formula>
    </cfRule>
    <cfRule type="expression" dxfId="33966" priority="6974" stopIfTrue="1">
      <formula>AND(T217&gt;=8000,T217&lt;=9999)</formula>
    </cfRule>
    <cfRule type="expression" dxfId="33965" priority="6975" stopIfTrue="1">
      <formula>AND(T217&gt;=78100,T217&lt;=78199)</formula>
    </cfRule>
    <cfRule type="expression" dxfId="33964" priority="6976" stopIfTrue="1">
      <formula>AND(T217&gt;=92000,T217&lt;=98999)</formula>
    </cfRule>
    <cfRule type="expression" dxfId="33963" priority="6977" stopIfTrue="1">
      <formula>AND(T217&gt;=78100,T217&lt;=78199)</formula>
    </cfRule>
    <cfRule type="expression" dxfId="33962" priority="6978" stopIfTrue="1">
      <formula>AND(T217&gt;=91000,T217&lt;=91999)</formula>
    </cfRule>
  </conditionalFormatting>
  <conditionalFormatting sqref="G217">
    <cfRule type="expression" dxfId="33961" priority="6956">
      <formula>AND(H217&gt;=79001,H217&lt;79900)</formula>
    </cfRule>
    <cfRule type="expression" dxfId="33960" priority="6957" stopIfTrue="1">
      <formula>AND(H217&gt;=70101,H217&lt;=70301)</formula>
    </cfRule>
    <cfRule type="expression" dxfId="33959" priority="6958" stopIfTrue="1">
      <formula>AND(H217&gt;70000,H217&lt;70004)</formula>
    </cfRule>
    <cfRule type="expression" dxfId="33958" priority="6959" stopIfTrue="1">
      <formula>AND(H217&gt;=70010,H217&lt;=76000)</formula>
    </cfRule>
    <cfRule type="expression" dxfId="33957" priority="6960">
      <formula>AND(H217&gt;70000,H217&lt;70004)</formula>
    </cfRule>
    <cfRule type="expression" dxfId="33956" priority="6961" stopIfTrue="1">
      <formula>OR(AND(H217&gt;=10000,H217&lt;=56999),AND(H217&gt;=57000,H217&lt;=57999))</formula>
    </cfRule>
    <cfRule type="expression" dxfId="33955" priority="6962" stopIfTrue="1">
      <formula>AND(H217&gt;=8000,H217&lt;=9999)</formula>
    </cfRule>
    <cfRule type="expression" dxfId="33954" priority="6963" stopIfTrue="1">
      <formula>AND(H217&gt;=78100,H217&lt;=78199)</formula>
    </cfRule>
    <cfRule type="expression" dxfId="33953" priority="6964" stopIfTrue="1">
      <formula>AND(H217&gt;=92000,H217&lt;=98999)</formula>
    </cfRule>
    <cfRule type="expression" dxfId="33952" priority="6965" stopIfTrue="1">
      <formula>AND(H217&gt;=78100,H217&lt;=78199)</formula>
    </cfRule>
    <cfRule type="expression" dxfId="33951" priority="6966" stopIfTrue="1">
      <formula>AND(H217&gt;=91000,H217&lt;=91999)</formula>
    </cfRule>
  </conditionalFormatting>
  <conditionalFormatting sqref="G218">
    <cfRule type="expression" dxfId="33950" priority="6945">
      <formula>AND(H218&gt;=79001,H218&lt;79900)</formula>
    </cfRule>
    <cfRule type="expression" dxfId="33949" priority="6946" stopIfTrue="1">
      <formula>AND(H218&gt;=70101,H218&lt;=70301)</formula>
    </cfRule>
    <cfRule type="expression" dxfId="33948" priority="6947" stopIfTrue="1">
      <formula>AND(H218&gt;70000,H218&lt;70004)</formula>
    </cfRule>
    <cfRule type="expression" dxfId="33947" priority="6948" stopIfTrue="1">
      <formula>AND(H218&gt;=70010,H218&lt;=76000)</formula>
    </cfRule>
    <cfRule type="expression" dxfId="33946" priority="6949">
      <formula>AND(H218&gt;70000,H218&lt;70004)</formula>
    </cfRule>
    <cfRule type="expression" dxfId="33945" priority="6950" stopIfTrue="1">
      <formula>OR(AND(H218&gt;=10000,H218&lt;=56999),AND(H218&gt;=57000,H218&lt;=57999))</formula>
    </cfRule>
    <cfRule type="expression" dxfId="33944" priority="6951" stopIfTrue="1">
      <formula>AND(H218&gt;=8000,H218&lt;=9999)</formula>
    </cfRule>
    <cfRule type="expression" dxfId="33943" priority="6952" stopIfTrue="1">
      <formula>AND(H218&gt;=78100,H218&lt;=78199)</formula>
    </cfRule>
    <cfRule type="expression" dxfId="33942" priority="6953" stopIfTrue="1">
      <formula>AND(H218&gt;=92000,H218&lt;=98999)</formula>
    </cfRule>
    <cfRule type="expression" dxfId="33941" priority="6954" stopIfTrue="1">
      <formula>AND(H218&gt;=78100,H218&lt;=78199)</formula>
    </cfRule>
    <cfRule type="expression" dxfId="33940" priority="6955" stopIfTrue="1">
      <formula>AND(H218&gt;=91000,H218&lt;=91999)</formula>
    </cfRule>
  </conditionalFormatting>
  <conditionalFormatting sqref="K217">
    <cfRule type="expression" dxfId="33939" priority="6934">
      <formula>AND(L217&gt;=79001,L217&lt;79900)</formula>
    </cfRule>
    <cfRule type="expression" dxfId="33938" priority="6935" stopIfTrue="1">
      <formula>AND(L217&gt;=70101,L217&lt;=70301)</formula>
    </cfRule>
    <cfRule type="expression" dxfId="33937" priority="6936" stopIfTrue="1">
      <formula>AND(L217&gt;70000,L217&lt;70004)</formula>
    </cfRule>
    <cfRule type="expression" dxfId="33936" priority="6937" stopIfTrue="1">
      <formula>AND(L217&gt;=70010,L217&lt;=76000)</formula>
    </cfRule>
    <cfRule type="expression" dxfId="33935" priority="6938">
      <formula>AND(L217&gt;70000,L217&lt;70004)</formula>
    </cfRule>
    <cfRule type="expression" dxfId="33934" priority="6939" stopIfTrue="1">
      <formula>OR(AND(L217&gt;=10000,L217&lt;=56999),AND(L217&gt;=57000,L217&lt;=57999))</formula>
    </cfRule>
    <cfRule type="expression" dxfId="33933" priority="6940" stopIfTrue="1">
      <formula>AND(L217&gt;=8000,L217&lt;=9999)</formula>
    </cfRule>
    <cfRule type="expression" dxfId="33932" priority="6941" stopIfTrue="1">
      <formula>AND(L217&gt;=78100,L217&lt;=78199)</formula>
    </cfRule>
    <cfRule type="expression" dxfId="33931" priority="6942" stopIfTrue="1">
      <formula>AND(L217&gt;=92000,L217&lt;=98999)</formula>
    </cfRule>
    <cfRule type="expression" dxfId="33930" priority="6943" stopIfTrue="1">
      <formula>AND(L217&gt;=78100,L217&lt;=78199)</formula>
    </cfRule>
    <cfRule type="expression" dxfId="33929" priority="6944" stopIfTrue="1">
      <formula>AND(L217&gt;=91000,L217&lt;=91999)</formula>
    </cfRule>
  </conditionalFormatting>
  <conditionalFormatting sqref="K218">
    <cfRule type="expression" dxfId="33928" priority="6923">
      <formula>AND(L218&gt;=79001,L218&lt;79900)</formula>
    </cfRule>
    <cfRule type="expression" dxfId="33927" priority="6924" stopIfTrue="1">
      <formula>AND(L218&gt;=70101,L218&lt;=70301)</formula>
    </cfRule>
    <cfRule type="expression" dxfId="33926" priority="6925" stopIfTrue="1">
      <formula>AND(L218&gt;70000,L218&lt;70004)</formula>
    </cfRule>
    <cfRule type="expression" dxfId="33925" priority="6926" stopIfTrue="1">
      <formula>AND(L218&gt;=70010,L218&lt;=76000)</formula>
    </cfRule>
    <cfRule type="expression" dxfId="33924" priority="6927">
      <formula>AND(L218&gt;70000,L218&lt;70004)</formula>
    </cfRule>
    <cfRule type="expression" dxfId="33923" priority="6928" stopIfTrue="1">
      <formula>OR(AND(L218&gt;=10000,L218&lt;=56999),AND(L218&gt;=57000,L218&lt;=57999))</formula>
    </cfRule>
    <cfRule type="expression" dxfId="33922" priority="6929" stopIfTrue="1">
      <formula>AND(L218&gt;=8000,L218&lt;=9999)</formula>
    </cfRule>
    <cfRule type="expression" dxfId="33921" priority="6930" stopIfTrue="1">
      <formula>AND(L218&gt;=78100,L218&lt;=78199)</formula>
    </cfRule>
    <cfRule type="expression" dxfId="33920" priority="6931" stopIfTrue="1">
      <formula>AND(L218&gt;=92000,L218&lt;=98999)</formula>
    </cfRule>
    <cfRule type="expression" dxfId="33919" priority="6932" stopIfTrue="1">
      <formula>AND(L218&gt;=78100,L218&lt;=78199)</formula>
    </cfRule>
    <cfRule type="expression" dxfId="33918" priority="6933" stopIfTrue="1">
      <formula>AND(L218&gt;=91000,L218&lt;=91999)</formula>
    </cfRule>
  </conditionalFormatting>
  <conditionalFormatting sqref="S219:S220 AY219:AY220 BC219:BC220 BG219:BG220 BK219:BK220 W219:W220 AQ219:AQ220 AI219:AI220 AA219:AA220 AU219:AU220 AM219:AM220 AE219:AE220">
    <cfRule type="expression" dxfId="33917" priority="6912">
      <formula>AND(T219&gt;=79001,T219&lt;79900)</formula>
    </cfRule>
    <cfRule type="expression" dxfId="33916" priority="6913" stopIfTrue="1">
      <formula>AND(T219&gt;=70101,T219&lt;=70301)</formula>
    </cfRule>
    <cfRule type="expression" dxfId="33915" priority="6914" stopIfTrue="1">
      <formula>AND(T219&gt;70000,T219&lt;70004)</formula>
    </cfRule>
    <cfRule type="expression" dxfId="33914" priority="6915" stopIfTrue="1">
      <formula>AND(T219&gt;=70010,T219&lt;=76000)</formula>
    </cfRule>
    <cfRule type="expression" dxfId="33913" priority="6916">
      <formula>AND(T219&gt;70000,T219&lt;70004)</formula>
    </cfRule>
    <cfRule type="expression" dxfId="33912" priority="6917" stopIfTrue="1">
      <formula>OR(AND(T219&gt;=10000,T219&lt;=56999),AND(T219&gt;=57000,T219&lt;=57999))</formula>
    </cfRule>
    <cfRule type="expression" dxfId="33911" priority="6918" stopIfTrue="1">
      <formula>AND(T219&gt;=8000,T219&lt;=9999)</formula>
    </cfRule>
    <cfRule type="expression" dxfId="33910" priority="6919" stopIfTrue="1">
      <formula>AND(T219&gt;=78100,T219&lt;=78199)</formula>
    </cfRule>
    <cfRule type="expression" dxfId="33909" priority="6920" stopIfTrue="1">
      <formula>AND(T219&gt;=92000,T219&lt;=98999)</formula>
    </cfRule>
    <cfRule type="expression" dxfId="33908" priority="6921" stopIfTrue="1">
      <formula>AND(T219&gt;=78100,T219&lt;=78199)</formula>
    </cfRule>
    <cfRule type="expression" dxfId="33907" priority="6922" stopIfTrue="1">
      <formula>AND(T219&gt;=91000,T219&lt;=91999)</formula>
    </cfRule>
  </conditionalFormatting>
  <conditionalFormatting sqref="G219">
    <cfRule type="expression" dxfId="33906" priority="6900">
      <formula>AND(H219&gt;=79001,H219&lt;79900)</formula>
    </cfRule>
    <cfRule type="expression" dxfId="33905" priority="6901" stopIfTrue="1">
      <formula>AND(H219&gt;=70101,H219&lt;=70301)</formula>
    </cfRule>
    <cfRule type="expression" dxfId="33904" priority="6902" stopIfTrue="1">
      <formula>AND(H219&gt;70000,H219&lt;70004)</formula>
    </cfRule>
    <cfRule type="expression" dxfId="33903" priority="6903" stopIfTrue="1">
      <formula>AND(H219&gt;=70010,H219&lt;=76000)</formula>
    </cfRule>
    <cfRule type="expression" dxfId="33902" priority="6904">
      <formula>AND(H219&gt;70000,H219&lt;70004)</formula>
    </cfRule>
    <cfRule type="expression" dxfId="33901" priority="6905" stopIfTrue="1">
      <formula>OR(AND(H219&gt;=10000,H219&lt;=56999),AND(H219&gt;=57000,H219&lt;=57999))</formula>
    </cfRule>
    <cfRule type="expression" dxfId="33900" priority="6906" stopIfTrue="1">
      <formula>AND(H219&gt;=8000,H219&lt;=9999)</formula>
    </cfRule>
    <cfRule type="expression" dxfId="33899" priority="6907" stopIfTrue="1">
      <formula>AND(H219&gt;=78100,H219&lt;=78199)</formula>
    </cfRule>
    <cfRule type="expression" dxfId="33898" priority="6908" stopIfTrue="1">
      <formula>AND(H219&gt;=92000,H219&lt;=98999)</formula>
    </cfRule>
    <cfRule type="expression" dxfId="33897" priority="6909" stopIfTrue="1">
      <formula>AND(H219&gt;=78100,H219&lt;=78199)</formula>
    </cfRule>
    <cfRule type="expression" dxfId="33896" priority="6910" stopIfTrue="1">
      <formula>AND(H219&gt;=91000,H219&lt;=91999)</formula>
    </cfRule>
  </conditionalFormatting>
  <conditionalFormatting sqref="G220">
    <cfRule type="expression" dxfId="33895" priority="6889">
      <formula>AND(H220&gt;=79001,H220&lt;79900)</formula>
    </cfRule>
    <cfRule type="expression" dxfId="33894" priority="6890" stopIfTrue="1">
      <formula>AND(H220&gt;=70101,H220&lt;=70301)</formula>
    </cfRule>
    <cfRule type="expression" dxfId="33893" priority="6891" stopIfTrue="1">
      <formula>AND(H220&gt;70000,H220&lt;70004)</formula>
    </cfRule>
    <cfRule type="expression" dxfId="33892" priority="6892" stopIfTrue="1">
      <formula>AND(H220&gt;=70010,H220&lt;=76000)</formula>
    </cfRule>
    <cfRule type="expression" dxfId="33891" priority="6893">
      <formula>AND(H220&gt;70000,H220&lt;70004)</formula>
    </cfRule>
    <cfRule type="expression" dxfId="33890" priority="6894" stopIfTrue="1">
      <formula>OR(AND(H220&gt;=10000,H220&lt;=56999),AND(H220&gt;=57000,H220&lt;=57999))</formula>
    </cfRule>
    <cfRule type="expression" dxfId="33889" priority="6895" stopIfTrue="1">
      <formula>AND(H220&gt;=8000,H220&lt;=9999)</formula>
    </cfRule>
    <cfRule type="expression" dxfId="33888" priority="6896" stopIfTrue="1">
      <formula>AND(H220&gt;=78100,H220&lt;=78199)</formula>
    </cfRule>
    <cfRule type="expression" dxfId="33887" priority="6897" stopIfTrue="1">
      <formula>AND(H220&gt;=92000,H220&lt;=98999)</formula>
    </cfRule>
    <cfRule type="expression" dxfId="33886" priority="6898" stopIfTrue="1">
      <formula>AND(H220&gt;=78100,H220&lt;=78199)</formula>
    </cfRule>
    <cfRule type="expression" dxfId="33885" priority="6899" stopIfTrue="1">
      <formula>AND(H220&gt;=91000,H220&lt;=91999)</formula>
    </cfRule>
  </conditionalFormatting>
  <conditionalFormatting sqref="K219">
    <cfRule type="expression" dxfId="33884" priority="6878">
      <formula>AND(L219&gt;=79001,L219&lt;79900)</formula>
    </cfRule>
    <cfRule type="expression" dxfId="33883" priority="6879" stopIfTrue="1">
      <formula>AND(L219&gt;=70101,L219&lt;=70301)</formula>
    </cfRule>
    <cfRule type="expression" dxfId="33882" priority="6880" stopIfTrue="1">
      <formula>AND(L219&gt;70000,L219&lt;70004)</formula>
    </cfRule>
    <cfRule type="expression" dxfId="33881" priority="6881" stopIfTrue="1">
      <formula>AND(L219&gt;=70010,L219&lt;=76000)</formula>
    </cfRule>
    <cfRule type="expression" dxfId="33880" priority="6882">
      <formula>AND(L219&gt;70000,L219&lt;70004)</formula>
    </cfRule>
    <cfRule type="expression" dxfId="33879" priority="6883" stopIfTrue="1">
      <formula>OR(AND(L219&gt;=10000,L219&lt;=56999),AND(L219&gt;=57000,L219&lt;=57999))</formula>
    </cfRule>
    <cfRule type="expression" dxfId="33878" priority="6884" stopIfTrue="1">
      <formula>AND(L219&gt;=8000,L219&lt;=9999)</formula>
    </cfRule>
    <cfRule type="expression" dxfId="33877" priority="6885" stopIfTrue="1">
      <formula>AND(L219&gt;=78100,L219&lt;=78199)</formula>
    </cfRule>
    <cfRule type="expression" dxfId="33876" priority="6886" stopIfTrue="1">
      <formula>AND(L219&gt;=92000,L219&lt;=98999)</formula>
    </cfRule>
    <cfRule type="expression" dxfId="33875" priority="6887" stopIfTrue="1">
      <formula>AND(L219&gt;=78100,L219&lt;=78199)</formula>
    </cfRule>
    <cfRule type="expression" dxfId="33874" priority="6888" stopIfTrue="1">
      <formula>AND(L219&gt;=91000,L219&lt;=91999)</formula>
    </cfRule>
  </conditionalFormatting>
  <conditionalFormatting sqref="K220">
    <cfRule type="expression" dxfId="33873" priority="6867">
      <formula>AND(L220&gt;=79001,L220&lt;79900)</formula>
    </cfRule>
    <cfRule type="expression" dxfId="33872" priority="6868" stopIfTrue="1">
      <formula>AND(L220&gt;=70101,L220&lt;=70301)</formula>
    </cfRule>
    <cfRule type="expression" dxfId="33871" priority="6869" stopIfTrue="1">
      <formula>AND(L220&gt;70000,L220&lt;70004)</formula>
    </cfRule>
    <cfRule type="expression" dxfId="33870" priority="6870" stopIfTrue="1">
      <formula>AND(L220&gt;=70010,L220&lt;=76000)</formula>
    </cfRule>
    <cfRule type="expression" dxfId="33869" priority="6871">
      <formula>AND(L220&gt;70000,L220&lt;70004)</formula>
    </cfRule>
    <cfRule type="expression" dxfId="33868" priority="6872" stopIfTrue="1">
      <formula>OR(AND(L220&gt;=10000,L220&lt;=56999),AND(L220&gt;=57000,L220&lt;=57999))</formula>
    </cfRule>
    <cfRule type="expression" dxfId="33867" priority="6873" stopIfTrue="1">
      <formula>AND(L220&gt;=8000,L220&lt;=9999)</formula>
    </cfRule>
    <cfRule type="expression" dxfId="33866" priority="6874" stopIfTrue="1">
      <formula>AND(L220&gt;=78100,L220&lt;=78199)</formula>
    </cfRule>
    <cfRule type="expression" dxfId="33865" priority="6875" stopIfTrue="1">
      <formula>AND(L220&gt;=92000,L220&lt;=98999)</formula>
    </cfRule>
    <cfRule type="expression" dxfId="33864" priority="6876" stopIfTrue="1">
      <formula>AND(L220&gt;=78100,L220&lt;=78199)</formula>
    </cfRule>
    <cfRule type="expression" dxfId="33863" priority="6877" stopIfTrue="1">
      <formula>AND(L220&gt;=91000,L220&lt;=91999)</formula>
    </cfRule>
  </conditionalFormatting>
  <conditionalFormatting sqref="AE223:AE224 AM223:AM224 AU223:AU224 AA223:AA224 AI223:AI224 AQ223:AQ224 W223:W224 BK223:BK224 BG223:BG224 BC223:BC224 AY223:AY224 S223:S224">
    <cfRule type="expression" dxfId="33862" priority="6856">
      <formula>AND(T223&gt;=79001,T223&lt;79900)</formula>
    </cfRule>
    <cfRule type="expression" dxfId="33861" priority="6857" stopIfTrue="1">
      <formula>AND(T223&gt;=70101,T223&lt;=70301)</formula>
    </cfRule>
    <cfRule type="expression" dxfId="33860" priority="6858" stopIfTrue="1">
      <formula>AND(T223&gt;70000,T223&lt;70004)</formula>
    </cfRule>
    <cfRule type="expression" dxfId="33859" priority="6859" stopIfTrue="1">
      <formula>AND(T223&gt;=70010,T223&lt;=76000)</formula>
    </cfRule>
    <cfRule type="expression" dxfId="33858" priority="6860">
      <formula>AND(T223&gt;70000,T223&lt;70004)</formula>
    </cfRule>
    <cfRule type="expression" dxfId="33857" priority="6861" stopIfTrue="1">
      <formula>OR(AND(T223&gt;=10000,T223&lt;=56999),AND(T223&gt;=57000,T223&lt;=57999))</formula>
    </cfRule>
    <cfRule type="expression" dxfId="33856" priority="6862" stopIfTrue="1">
      <formula>AND(T223&gt;=8000,T223&lt;=9999)</formula>
    </cfRule>
    <cfRule type="expression" dxfId="33855" priority="6863" stopIfTrue="1">
      <formula>AND(T223&gt;=78100,T223&lt;=78199)</formula>
    </cfRule>
    <cfRule type="expression" dxfId="33854" priority="6864" stopIfTrue="1">
      <formula>AND(T223&gt;=92000,T223&lt;=98999)</formula>
    </cfRule>
    <cfRule type="expression" dxfId="33853" priority="6865" stopIfTrue="1">
      <formula>AND(T223&gt;=78100,T223&lt;=78199)</formula>
    </cfRule>
    <cfRule type="expression" dxfId="33852" priority="6866" stopIfTrue="1">
      <formula>AND(T223&gt;=91000,T223&lt;=91999)</formula>
    </cfRule>
  </conditionalFormatting>
  <conditionalFormatting sqref="G223">
    <cfRule type="expression" dxfId="33851" priority="6844">
      <formula>AND(H223&gt;=79001,H223&lt;79900)</formula>
    </cfRule>
    <cfRule type="expression" dxfId="33850" priority="6845" stopIfTrue="1">
      <formula>AND(H223&gt;=70101,H223&lt;=70301)</formula>
    </cfRule>
    <cfRule type="expression" dxfId="33849" priority="6846" stopIfTrue="1">
      <formula>AND(H223&gt;70000,H223&lt;70004)</formula>
    </cfRule>
    <cfRule type="expression" dxfId="33848" priority="6847" stopIfTrue="1">
      <formula>AND(H223&gt;=70010,H223&lt;=76000)</formula>
    </cfRule>
    <cfRule type="expression" dxfId="33847" priority="6848">
      <formula>AND(H223&gt;70000,H223&lt;70004)</formula>
    </cfRule>
    <cfRule type="expression" dxfId="33846" priority="6849" stopIfTrue="1">
      <formula>OR(AND(H223&gt;=10000,H223&lt;=56999),AND(H223&gt;=57000,H223&lt;=57999))</formula>
    </cfRule>
    <cfRule type="expression" dxfId="33845" priority="6850" stopIfTrue="1">
      <formula>AND(H223&gt;=8000,H223&lt;=9999)</formula>
    </cfRule>
    <cfRule type="expression" dxfId="33844" priority="6851" stopIfTrue="1">
      <formula>AND(H223&gt;=78100,H223&lt;=78199)</formula>
    </cfRule>
    <cfRule type="expression" dxfId="33843" priority="6852" stopIfTrue="1">
      <formula>AND(H223&gt;=92000,H223&lt;=98999)</formula>
    </cfRule>
    <cfRule type="expression" dxfId="33842" priority="6853" stopIfTrue="1">
      <formula>AND(H223&gt;=78100,H223&lt;=78199)</formula>
    </cfRule>
    <cfRule type="expression" dxfId="33841" priority="6854" stopIfTrue="1">
      <formula>AND(H223&gt;=91000,H223&lt;=91999)</formula>
    </cfRule>
  </conditionalFormatting>
  <conditionalFormatting sqref="G224">
    <cfRule type="expression" dxfId="33840" priority="6833">
      <formula>AND(H224&gt;=79001,H224&lt;79900)</formula>
    </cfRule>
    <cfRule type="expression" dxfId="33839" priority="6834" stopIfTrue="1">
      <formula>AND(H224&gt;=70101,H224&lt;=70301)</formula>
    </cfRule>
    <cfRule type="expression" dxfId="33838" priority="6835" stopIfTrue="1">
      <formula>AND(H224&gt;70000,H224&lt;70004)</formula>
    </cfRule>
    <cfRule type="expression" dxfId="33837" priority="6836" stopIfTrue="1">
      <formula>AND(H224&gt;=70010,H224&lt;=76000)</formula>
    </cfRule>
    <cfRule type="expression" dxfId="33836" priority="6837">
      <formula>AND(H224&gt;70000,H224&lt;70004)</formula>
    </cfRule>
    <cfRule type="expression" dxfId="33835" priority="6838" stopIfTrue="1">
      <formula>OR(AND(H224&gt;=10000,H224&lt;=56999),AND(H224&gt;=57000,H224&lt;=57999))</formula>
    </cfRule>
    <cfRule type="expression" dxfId="33834" priority="6839" stopIfTrue="1">
      <formula>AND(H224&gt;=8000,H224&lt;=9999)</formula>
    </cfRule>
    <cfRule type="expression" dxfId="33833" priority="6840" stopIfTrue="1">
      <formula>AND(H224&gt;=78100,H224&lt;=78199)</formula>
    </cfRule>
    <cfRule type="expression" dxfId="33832" priority="6841" stopIfTrue="1">
      <formula>AND(H224&gt;=92000,H224&lt;=98999)</formula>
    </cfRule>
    <cfRule type="expression" dxfId="33831" priority="6842" stopIfTrue="1">
      <formula>AND(H224&gt;=78100,H224&lt;=78199)</formula>
    </cfRule>
    <cfRule type="expression" dxfId="33830" priority="6843" stopIfTrue="1">
      <formula>AND(H224&gt;=91000,H224&lt;=91999)</formula>
    </cfRule>
  </conditionalFormatting>
  <conditionalFormatting sqref="K223">
    <cfRule type="expression" dxfId="33829" priority="6822">
      <formula>AND(L223&gt;=79001,L223&lt;79900)</formula>
    </cfRule>
    <cfRule type="expression" dxfId="33828" priority="6823" stopIfTrue="1">
      <formula>AND(L223&gt;=70101,L223&lt;=70301)</formula>
    </cfRule>
    <cfRule type="expression" dxfId="33827" priority="6824" stopIfTrue="1">
      <formula>AND(L223&gt;70000,L223&lt;70004)</formula>
    </cfRule>
    <cfRule type="expression" dxfId="33826" priority="6825" stopIfTrue="1">
      <formula>AND(L223&gt;=70010,L223&lt;=76000)</formula>
    </cfRule>
    <cfRule type="expression" dxfId="33825" priority="6826">
      <formula>AND(L223&gt;70000,L223&lt;70004)</formula>
    </cfRule>
    <cfRule type="expression" dxfId="33824" priority="6827" stopIfTrue="1">
      <formula>OR(AND(L223&gt;=10000,L223&lt;=56999),AND(L223&gt;=57000,L223&lt;=57999))</formula>
    </cfRule>
    <cfRule type="expression" dxfId="33823" priority="6828" stopIfTrue="1">
      <formula>AND(L223&gt;=8000,L223&lt;=9999)</formula>
    </cfRule>
    <cfRule type="expression" dxfId="33822" priority="6829" stopIfTrue="1">
      <formula>AND(L223&gt;=78100,L223&lt;=78199)</formula>
    </cfRule>
    <cfRule type="expression" dxfId="33821" priority="6830" stopIfTrue="1">
      <formula>AND(L223&gt;=92000,L223&lt;=98999)</formula>
    </cfRule>
    <cfRule type="expression" dxfId="33820" priority="6831" stopIfTrue="1">
      <formula>AND(L223&gt;=78100,L223&lt;=78199)</formula>
    </cfRule>
    <cfRule type="expression" dxfId="33819" priority="6832" stopIfTrue="1">
      <formula>AND(L223&gt;=91000,L223&lt;=91999)</formula>
    </cfRule>
  </conditionalFormatting>
  <conditionalFormatting sqref="K224">
    <cfRule type="expression" dxfId="33818" priority="6811">
      <formula>AND(L224&gt;=79001,L224&lt;79900)</formula>
    </cfRule>
    <cfRule type="expression" dxfId="33817" priority="6812" stopIfTrue="1">
      <formula>AND(L224&gt;=70101,L224&lt;=70301)</formula>
    </cfRule>
    <cfRule type="expression" dxfId="33816" priority="6813" stopIfTrue="1">
      <formula>AND(L224&gt;70000,L224&lt;70004)</formula>
    </cfRule>
    <cfRule type="expression" dxfId="33815" priority="6814" stopIfTrue="1">
      <formula>AND(L224&gt;=70010,L224&lt;=76000)</formula>
    </cfRule>
    <cfRule type="expression" dxfId="33814" priority="6815">
      <formula>AND(L224&gt;70000,L224&lt;70004)</formula>
    </cfRule>
    <cfRule type="expression" dxfId="33813" priority="6816" stopIfTrue="1">
      <formula>OR(AND(L224&gt;=10000,L224&lt;=56999),AND(L224&gt;=57000,L224&lt;=57999))</formula>
    </cfRule>
    <cfRule type="expression" dxfId="33812" priority="6817" stopIfTrue="1">
      <formula>AND(L224&gt;=8000,L224&lt;=9999)</formula>
    </cfRule>
    <cfRule type="expression" dxfId="33811" priority="6818" stopIfTrue="1">
      <formula>AND(L224&gt;=78100,L224&lt;=78199)</formula>
    </cfRule>
    <cfRule type="expression" dxfId="33810" priority="6819" stopIfTrue="1">
      <formula>AND(L224&gt;=92000,L224&lt;=98999)</formula>
    </cfRule>
    <cfRule type="expression" dxfId="33809" priority="6820" stopIfTrue="1">
      <formula>AND(L224&gt;=78100,L224&lt;=78199)</formula>
    </cfRule>
    <cfRule type="expression" dxfId="33808" priority="6821" stopIfTrue="1">
      <formula>AND(L224&gt;=91000,L224&lt;=91999)</formula>
    </cfRule>
  </conditionalFormatting>
  <conditionalFormatting sqref="AE225:AE226 AM225:AM226 AU225:AU226 AA225:AA226 AI225:AI226 AQ225:AQ226 W225:W226 BK225:BK226 BG225:BG226 BC225:BC226 AY225:AY226 S225:S226">
    <cfRule type="expression" dxfId="33807" priority="6800">
      <formula>AND(T225&gt;=79001,T225&lt;79900)</formula>
    </cfRule>
    <cfRule type="expression" dxfId="33806" priority="6801" stopIfTrue="1">
      <formula>AND(T225&gt;=70101,T225&lt;=70301)</formula>
    </cfRule>
    <cfRule type="expression" dxfId="33805" priority="6802" stopIfTrue="1">
      <formula>AND(T225&gt;70000,T225&lt;70004)</formula>
    </cfRule>
    <cfRule type="expression" dxfId="33804" priority="6803" stopIfTrue="1">
      <formula>AND(T225&gt;=70010,T225&lt;=76000)</formula>
    </cfRule>
    <cfRule type="expression" dxfId="33803" priority="6804">
      <formula>AND(T225&gt;70000,T225&lt;70004)</formula>
    </cfRule>
    <cfRule type="expression" dxfId="33802" priority="6805" stopIfTrue="1">
      <formula>OR(AND(T225&gt;=10000,T225&lt;=56999),AND(T225&gt;=57000,T225&lt;=57999))</formula>
    </cfRule>
    <cfRule type="expression" dxfId="33801" priority="6806" stopIfTrue="1">
      <formula>AND(T225&gt;=8000,T225&lt;=9999)</formula>
    </cfRule>
    <cfRule type="expression" dxfId="33800" priority="6807" stopIfTrue="1">
      <formula>AND(T225&gt;=78100,T225&lt;=78199)</formula>
    </cfRule>
    <cfRule type="expression" dxfId="33799" priority="6808" stopIfTrue="1">
      <formula>AND(T225&gt;=92000,T225&lt;=98999)</formula>
    </cfRule>
    <cfRule type="expression" dxfId="33798" priority="6809" stopIfTrue="1">
      <formula>AND(T225&gt;=78100,T225&lt;=78199)</formula>
    </cfRule>
    <cfRule type="expression" dxfId="33797" priority="6810" stopIfTrue="1">
      <formula>AND(T225&gt;=91000,T225&lt;=91999)</formula>
    </cfRule>
  </conditionalFormatting>
  <conditionalFormatting sqref="G225">
    <cfRule type="expression" dxfId="33796" priority="6788">
      <formula>AND(H225&gt;=79001,H225&lt;79900)</formula>
    </cfRule>
    <cfRule type="expression" dxfId="33795" priority="6789" stopIfTrue="1">
      <formula>AND(H225&gt;=70101,H225&lt;=70301)</formula>
    </cfRule>
    <cfRule type="expression" dxfId="33794" priority="6790" stopIfTrue="1">
      <formula>AND(H225&gt;70000,H225&lt;70004)</formula>
    </cfRule>
    <cfRule type="expression" dxfId="33793" priority="6791" stopIfTrue="1">
      <formula>AND(H225&gt;=70010,H225&lt;=76000)</formula>
    </cfRule>
    <cfRule type="expression" dxfId="33792" priority="6792">
      <formula>AND(H225&gt;70000,H225&lt;70004)</formula>
    </cfRule>
    <cfRule type="expression" dxfId="33791" priority="6793" stopIfTrue="1">
      <formula>OR(AND(H225&gt;=10000,H225&lt;=56999),AND(H225&gt;=57000,H225&lt;=57999))</formula>
    </cfRule>
    <cfRule type="expression" dxfId="33790" priority="6794" stopIfTrue="1">
      <formula>AND(H225&gt;=8000,H225&lt;=9999)</formula>
    </cfRule>
    <cfRule type="expression" dxfId="33789" priority="6795" stopIfTrue="1">
      <formula>AND(H225&gt;=78100,H225&lt;=78199)</formula>
    </cfRule>
    <cfRule type="expression" dxfId="33788" priority="6796" stopIfTrue="1">
      <formula>AND(H225&gt;=92000,H225&lt;=98999)</formula>
    </cfRule>
    <cfRule type="expression" dxfId="33787" priority="6797" stopIfTrue="1">
      <formula>AND(H225&gt;=78100,H225&lt;=78199)</formula>
    </cfRule>
    <cfRule type="expression" dxfId="33786" priority="6798" stopIfTrue="1">
      <formula>AND(H225&gt;=91000,H225&lt;=91999)</formula>
    </cfRule>
  </conditionalFormatting>
  <conditionalFormatting sqref="G226">
    <cfRule type="expression" dxfId="33785" priority="6777">
      <formula>AND(H226&gt;=79001,H226&lt;79900)</formula>
    </cfRule>
    <cfRule type="expression" dxfId="33784" priority="6778" stopIfTrue="1">
      <formula>AND(H226&gt;=70101,H226&lt;=70301)</formula>
    </cfRule>
    <cfRule type="expression" dxfId="33783" priority="6779" stopIfTrue="1">
      <formula>AND(H226&gt;70000,H226&lt;70004)</formula>
    </cfRule>
    <cfRule type="expression" dxfId="33782" priority="6780" stopIfTrue="1">
      <formula>AND(H226&gt;=70010,H226&lt;=76000)</formula>
    </cfRule>
    <cfRule type="expression" dxfId="33781" priority="6781">
      <formula>AND(H226&gt;70000,H226&lt;70004)</formula>
    </cfRule>
    <cfRule type="expression" dxfId="33780" priority="6782" stopIfTrue="1">
      <formula>OR(AND(H226&gt;=10000,H226&lt;=56999),AND(H226&gt;=57000,H226&lt;=57999))</formula>
    </cfRule>
    <cfRule type="expression" dxfId="33779" priority="6783" stopIfTrue="1">
      <formula>AND(H226&gt;=8000,H226&lt;=9999)</formula>
    </cfRule>
    <cfRule type="expression" dxfId="33778" priority="6784" stopIfTrue="1">
      <formula>AND(H226&gt;=78100,H226&lt;=78199)</formula>
    </cfRule>
    <cfRule type="expression" dxfId="33777" priority="6785" stopIfTrue="1">
      <formula>AND(H226&gt;=92000,H226&lt;=98999)</formula>
    </cfRule>
    <cfRule type="expression" dxfId="33776" priority="6786" stopIfTrue="1">
      <formula>AND(H226&gt;=78100,H226&lt;=78199)</formula>
    </cfRule>
    <cfRule type="expression" dxfId="33775" priority="6787" stopIfTrue="1">
      <formula>AND(H226&gt;=91000,H226&lt;=91999)</formula>
    </cfRule>
  </conditionalFormatting>
  <conditionalFormatting sqref="K225">
    <cfRule type="expression" dxfId="33774" priority="6766">
      <formula>AND(L225&gt;=79001,L225&lt;79900)</formula>
    </cfRule>
    <cfRule type="expression" dxfId="33773" priority="6767" stopIfTrue="1">
      <formula>AND(L225&gt;=70101,L225&lt;=70301)</formula>
    </cfRule>
    <cfRule type="expression" dxfId="33772" priority="6768" stopIfTrue="1">
      <formula>AND(L225&gt;70000,L225&lt;70004)</formula>
    </cfRule>
    <cfRule type="expression" dxfId="33771" priority="6769" stopIfTrue="1">
      <formula>AND(L225&gt;=70010,L225&lt;=76000)</formula>
    </cfRule>
    <cfRule type="expression" dxfId="33770" priority="6770">
      <formula>AND(L225&gt;70000,L225&lt;70004)</formula>
    </cfRule>
    <cfRule type="expression" dxfId="33769" priority="6771" stopIfTrue="1">
      <formula>OR(AND(L225&gt;=10000,L225&lt;=56999),AND(L225&gt;=57000,L225&lt;=57999))</formula>
    </cfRule>
    <cfRule type="expression" dxfId="33768" priority="6772" stopIfTrue="1">
      <formula>AND(L225&gt;=8000,L225&lt;=9999)</formula>
    </cfRule>
    <cfRule type="expression" dxfId="33767" priority="6773" stopIfTrue="1">
      <formula>AND(L225&gt;=78100,L225&lt;=78199)</formula>
    </cfRule>
    <cfRule type="expression" dxfId="33766" priority="6774" stopIfTrue="1">
      <formula>AND(L225&gt;=92000,L225&lt;=98999)</formula>
    </cfRule>
    <cfRule type="expression" dxfId="33765" priority="6775" stopIfTrue="1">
      <formula>AND(L225&gt;=78100,L225&lt;=78199)</formula>
    </cfRule>
    <cfRule type="expression" dxfId="33764" priority="6776" stopIfTrue="1">
      <formula>AND(L225&gt;=91000,L225&lt;=91999)</formula>
    </cfRule>
  </conditionalFormatting>
  <conditionalFormatting sqref="K226">
    <cfRule type="expression" dxfId="33763" priority="6755">
      <formula>AND(L226&gt;=79001,L226&lt;79900)</formula>
    </cfRule>
    <cfRule type="expression" dxfId="33762" priority="6756" stopIfTrue="1">
      <formula>AND(L226&gt;=70101,L226&lt;=70301)</formula>
    </cfRule>
    <cfRule type="expression" dxfId="33761" priority="6757" stopIfTrue="1">
      <formula>AND(L226&gt;70000,L226&lt;70004)</formula>
    </cfRule>
    <cfRule type="expression" dxfId="33760" priority="6758" stopIfTrue="1">
      <formula>AND(L226&gt;=70010,L226&lt;=76000)</formula>
    </cfRule>
    <cfRule type="expression" dxfId="33759" priority="6759">
      <formula>AND(L226&gt;70000,L226&lt;70004)</formula>
    </cfRule>
    <cfRule type="expression" dxfId="33758" priority="6760" stopIfTrue="1">
      <formula>OR(AND(L226&gt;=10000,L226&lt;=56999),AND(L226&gt;=57000,L226&lt;=57999))</formula>
    </cfRule>
    <cfRule type="expression" dxfId="33757" priority="6761" stopIfTrue="1">
      <formula>AND(L226&gt;=8000,L226&lt;=9999)</formula>
    </cfRule>
    <cfRule type="expression" dxfId="33756" priority="6762" stopIfTrue="1">
      <formula>AND(L226&gt;=78100,L226&lt;=78199)</formula>
    </cfRule>
    <cfRule type="expression" dxfId="33755" priority="6763" stopIfTrue="1">
      <formula>AND(L226&gt;=92000,L226&lt;=98999)</formula>
    </cfRule>
    <cfRule type="expression" dxfId="33754" priority="6764" stopIfTrue="1">
      <formula>AND(L226&gt;=78100,L226&lt;=78199)</formula>
    </cfRule>
    <cfRule type="expression" dxfId="33753" priority="6765" stopIfTrue="1">
      <formula>AND(L226&gt;=91000,L226&lt;=91999)</formula>
    </cfRule>
  </conditionalFormatting>
  <conditionalFormatting sqref="S229:S230 AY229:AY230 BC229:BC230 BG229:BG230 BK229:BK230 W229:W230 AQ229:AQ230 AI229:AI230 AA229:AA230 AU229:AU230 AM229:AM230 AE229:AE230">
    <cfRule type="expression" dxfId="33752" priority="6744">
      <formula>AND(T229&gt;=79001,T229&lt;79900)</formula>
    </cfRule>
    <cfRule type="expression" dxfId="33751" priority="6745" stopIfTrue="1">
      <formula>AND(T229&gt;=70101,T229&lt;=70301)</formula>
    </cfRule>
    <cfRule type="expression" dxfId="33750" priority="6746" stopIfTrue="1">
      <formula>AND(T229&gt;70000,T229&lt;70004)</formula>
    </cfRule>
    <cfRule type="expression" dxfId="33749" priority="6747" stopIfTrue="1">
      <formula>AND(T229&gt;=70010,T229&lt;=76000)</formula>
    </cfRule>
    <cfRule type="expression" dxfId="33748" priority="6748">
      <formula>AND(T229&gt;70000,T229&lt;70004)</formula>
    </cfRule>
    <cfRule type="expression" dxfId="33747" priority="6749" stopIfTrue="1">
      <formula>OR(AND(T229&gt;=10000,T229&lt;=56999),AND(T229&gt;=57000,T229&lt;=57999))</formula>
    </cfRule>
    <cfRule type="expression" dxfId="33746" priority="6750" stopIfTrue="1">
      <formula>AND(T229&gt;=8000,T229&lt;=9999)</formula>
    </cfRule>
    <cfRule type="expression" dxfId="33745" priority="6751" stopIfTrue="1">
      <formula>AND(T229&gt;=78100,T229&lt;=78199)</formula>
    </cfRule>
    <cfRule type="expression" dxfId="33744" priority="6752" stopIfTrue="1">
      <formula>AND(T229&gt;=92000,T229&lt;=98999)</formula>
    </cfRule>
    <cfRule type="expression" dxfId="33743" priority="6753" stopIfTrue="1">
      <formula>AND(T229&gt;=78100,T229&lt;=78199)</formula>
    </cfRule>
    <cfRule type="expression" dxfId="33742" priority="6754" stopIfTrue="1">
      <formula>AND(T229&gt;=91000,T229&lt;=91999)</formula>
    </cfRule>
  </conditionalFormatting>
  <conditionalFormatting sqref="G229">
    <cfRule type="expression" dxfId="33741" priority="6732">
      <formula>AND(H229&gt;=79001,H229&lt;79900)</formula>
    </cfRule>
    <cfRule type="expression" dxfId="33740" priority="6733" stopIfTrue="1">
      <formula>AND(H229&gt;=70101,H229&lt;=70301)</formula>
    </cfRule>
    <cfRule type="expression" dxfId="33739" priority="6734" stopIfTrue="1">
      <formula>AND(H229&gt;70000,H229&lt;70004)</formula>
    </cfRule>
    <cfRule type="expression" dxfId="33738" priority="6735" stopIfTrue="1">
      <formula>AND(H229&gt;=70010,H229&lt;=76000)</formula>
    </cfRule>
    <cfRule type="expression" dxfId="33737" priority="6736">
      <formula>AND(H229&gt;70000,H229&lt;70004)</formula>
    </cfRule>
    <cfRule type="expression" dxfId="33736" priority="6737" stopIfTrue="1">
      <formula>OR(AND(H229&gt;=10000,H229&lt;=56999),AND(H229&gt;=57000,H229&lt;=57999))</formula>
    </cfRule>
    <cfRule type="expression" dxfId="33735" priority="6738" stopIfTrue="1">
      <formula>AND(H229&gt;=8000,H229&lt;=9999)</formula>
    </cfRule>
    <cfRule type="expression" dxfId="33734" priority="6739" stopIfTrue="1">
      <formula>AND(H229&gt;=78100,H229&lt;=78199)</formula>
    </cfRule>
    <cfRule type="expression" dxfId="33733" priority="6740" stopIfTrue="1">
      <formula>AND(H229&gt;=92000,H229&lt;=98999)</formula>
    </cfRule>
    <cfRule type="expression" dxfId="33732" priority="6741" stopIfTrue="1">
      <formula>AND(H229&gt;=78100,H229&lt;=78199)</formula>
    </cfRule>
    <cfRule type="expression" dxfId="33731" priority="6742" stopIfTrue="1">
      <formula>AND(H229&gt;=91000,H229&lt;=91999)</formula>
    </cfRule>
  </conditionalFormatting>
  <conditionalFormatting sqref="G230">
    <cfRule type="expression" dxfId="33730" priority="6721">
      <formula>AND(H230&gt;=79001,H230&lt;79900)</formula>
    </cfRule>
    <cfRule type="expression" dxfId="33729" priority="6722" stopIfTrue="1">
      <formula>AND(H230&gt;=70101,H230&lt;=70301)</formula>
    </cfRule>
    <cfRule type="expression" dxfId="33728" priority="6723" stopIfTrue="1">
      <formula>AND(H230&gt;70000,H230&lt;70004)</formula>
    </cfRule>
    <cfRule type="expression" dxfId="33727" priority="6724" stopIfTrue="1">
      <formula>AND(H230&gt;=70010,H230&lt;=76000)</formula>
    </cfRule>
    <cfRule type="expression" dxfId="33726" priority="6725">
      <formula>AND(H230&gt;70000,H230&lt;70004)</formula>
    </cfRule>
    <cfRule type="expression" dxfId="33725" priority="6726" stopIfTrue="1">
      <formula>OR(AND(H230&gt;=10000,H230&lt;=56999),AND(H230&gt;=57000,H230&lt;=57999))</formula>
    </cfRule>
    <cfRule type="expression" dxfId="33724" priority="6727" stopIfTrue="1">
      <formula>AND(H230&gt;=8000,H230&lt;=9999)</formula>
    </cfRule>
    <cfRule type="expression" dxfId="33723" priority="6728" stopIfTrue="1">
      <formula>AND(H230&gt;=78100,H230&lt;=78199)</formula>
    </cfRule>
    <cfRule type="expression" dxfId="33722" priority="6729" stopIfTrue="1">
      <formula>AND(H230&gt;=92000,H230&lt;=98999)</formula>
    </cfRule>
    <cfRule type="expression" dxfId="33721" priority="6730" stopIfTrue="1">
      <formula>AND(H230&gt;=78100,H230&lt;=78199)</formula>
    </cfRule>
    <cfRule type="expression" dxfId="33720" priority="6731" stopIfTrue="1">
      <formula>AND(H230&gt;=91000,H230&lt;=91999)</formula>
    </cfRule>
  </conditionalFormatting>
  <conditionalFormatting sqref="K229">
    <cfRule type="expression" dxfId="33719" priority="6710">
      <formula>AND(L229&gt;=79001,L229&lt;79900)</formula>
    </cfRule>
    <cfRule type="expression" dxfId="33718" priority="6711" stopIfTrue="1">
      <formula>AND(L229&gt;=70101,L229&lt;=70301)</formula>
    </cfRule>
    <cfRule type="expression" dxfId="33717" priority="6712" stopIfTrue="1">
      <formula>AND(L229&gt;70000,L229&lt;70004)</formula>
    </cfRule>
    <cfRule type="expression" dxfId="33716" priority="6713" stopIfTrue="1">
      <formula>AND(L229&gt;=70010,L229&lt;=76000)</formula>
    </cfRule>
    <cfRule type="expression" dxfId="33715" priority="6714">
      <formula>AND(L229&gt;70000,L229&lt;70004)</formula>
    </cfRule>
    <cfRule type="expression" dxfId="33714" priority="6715" stopIfTrue="1">
      <formula>OR(AND(L229&gt;=10000,L229&lt;=56999),AND(L229&gt;=57000,L229&lt;=57999))</formula>
    </cfRule>
    <cfRule type="expression" dxfId="33713" priority="6716" stopIfTrue="1">
      <formula>AND(L229&gt;=8000,L229&lt;=9999)</formula>
    </cfRule>
    <cfRule type="expression" dxfId="33712" priority="6717" stopIfTrue="1">
      <formula>AND(L229&gt;=78100,L229&lt;=78199)</formula>
    </cfRule>
    <cfRule type="expression" dxfId="33711" priority="6718" stopIfTrue="1">
      <formula>AND(L229&gt;=92000,L229&lt;=98999)</formula>
    </cfRule>
    <cfRule type="expression" dxfId="33710" priority="6719" stopIfTrue="1">
      <formula>AND(L229&gt;=78100,L229&lt;=78199)</formula>
    </cfRule>
    <cfRule type="expression" dxfId="33709" priority="6720" stopIfTrue="1">
      <formula>AND(L229&gt;=91000,L229&lt;=91999)</formula>
    </cfRule>
  </conditionalFormatting>
  <conditionalFormatting sqref="K230">
    <cfRule type="expression" dxfId="33708" priority="6699">
      <formula>AND(L230&gt;=79001,L230&lt;79900)</formula>
    </cfRule>
    <cfRule type="expression" dxfId="33707" priority="6700" stopIfTrue="1">
      <formula>AND(L230&gt;=70101,L230&lt;=70301)</formula>
    </cfRule>
    <cfRule type="expression" dxfId="33706" priority="6701" stopIfTrue="1">
      <formula>AND(L230&gt;70000,L230&lt;70004)</formula>
    </cfRule>
    <cfRule type="expression" dxfId="33705" priority="6702" stopIfTrue="1">
      <formula>AND(L230&gt;=70010,L230&lt;=76000)</formula>
    </cfRule>
    <cfRule type="expression" dxfId="33704" priority="6703">
      <formula>AND(L230&gt;70000,L230&lt;70004)</formula>
    </cfRule>
    <cfRule type="expression" dxfId="33703" priority="6704" stopIfTrue="1">
      <formula>OR(AND(L230&gt;=10000,L230&lt;=56999),AND(L230&gt;=57000,L230&lt;=57999))</formula>
    </cfRule>
    <cfRule type="expression" dxfId="33702" priority="6705" stopIfTrue="1">
      <formula>AND(L230&gt;=8000,L230&lt;=9999)</formula>
    </cfRule>
    <cfRule type="expression" dxfId="33701" priority="6706" stopIfTrue="1">
      <formula>AND(L230&gt;=78100,L230&lt;=78199)</formula>
    </cfRule>
    <cfRule type="expression" dxfId="33700" priority="6707" stopIfTrue="1">
      <formula>AND(L230&gt;=92000,L230&lt;=98999)</formula>
    </cfRule>
    <cfRule type="expression" dxfId="33699" priority="6708" stopIfTrue="1">
      <formula>AND(L230&gt;=78100,L230&lt;=78199)</formula>
    </cfRule>
    <cfRule type="expression" dxfId="33698" priority="6709" stopIfTrue="1">
      <formula>AND(L230&gt;=91000,L230&lt;=91999)</formula>
    </cfRule>
  </conditionalFormatting>
  <conditionalFormatting sqref="S231:S232 AY231:AY232 BC231:BC232 BG231:BG232 BK231:BK232 W231:W232 AQ231:AQ232 AI231:AI232 AA231:AA232 AU231:AU232 AM231:AM232 AE231:AE232">
    <cfRule type="expression" dxfId="33697" priority="6688">
      <formula>AND(T231&gt;=79001,T231&lt;79900)</formula>
    </cfRule>
    <cfRule type="expression" dxfId="33696" priority="6689" stopIfTrue="1">
      <formula>AND(T231&gt;=70101,T231&lt;=70301)</formula>
    </cfRule>
    <cfRule type="expression" dxfId="33695" priority="6690" stopIfTrue="1">
      <formula>AND(T231&gt;70000,T231&lt;70004)</formula>
    </cfRule>
    <cfRule type="expression" dxfId="33694" priority="6691" stopIfTrue="1">
      <formula>AND(T231&gt;=70010,T231&lt;=76000)</formula>
    </cfRule>
    <cfRule type="expression" dxfId="33693" priority="6692">
      <formula>AND(T231&gt;70000,T231&lt;70004)</formula>
    </cfRule>
    <cfRule type="expression" dxfId="33692" priority="6693" stopIfTrue="1">
      <formula>OR(AND(T231&gt;=10000,T231&lt;=56999),AND(T231&gt;=57000,T231&lt;=57999))</formula>
    </cfRule>
    <cfRule type="expression" dxfId="33691" priority="6694" stopIfTrue="1">
      <formula>AND(T231&gt;=8000,T231&lt;=9999)</formula>
    </cfRule>
    <cfRule type="expression" dxfId="33690" priority="6695" stopIfTrue="1">
      <formula>AND(T231&gt;=78100,T231&lt;=78199)</formula>
    </cfRule>
    <cfRule type="expression" dxfId="33689" priority="6696" stopIfTrue="1">
      <formula>AND(T231&gt;=92000,T231&lt;=98999)</formula>
    </cfRule>
    <cfRule type="expression" dxfId="33688" priority="6697" stopIfTrue="1">
      <formula>AND(T231&gt;=78100,T231&lt;=78199)</formula>
    </cfRule>
    <cfRule type="expression" dxfId="33687" priority="6698" stopIfTrue="1">
      <formula>AND(T231&gt;=91000,T231&lt;=91999)</formula>
    </cfRule>
  </conditionalFormatting>
  <conditionalFormatting sqref="G231">
    <cfRule type="expression" dxfId="33686" priority="6676">
      <formula>AND(H231&gt;=79001,H231&lt;79900)</formula>
    </cfRule>
    <cfRule type="expression" dxfId="33685" priority="6677" stopIfTrue="1">
      <formula>AND(H231&gt;=70101,H231&lt;=70301)</formula>
    </cfRule>
    <cfRule type="expression" dxfId="33684" priority="6678" stopIfTrue="1">
      <formula>AND(H231&gt;70000,H231&lt;70004)</formula>
    </cfRule>
    <cfRule type="expression" dxfId="33683" priority="6679" stopIfTrue="1">
      <formula>AND(H231&gt;=70010,H231&lt;=76000)</formula>
    </cfRule>
    <cfRule type="expression" dxfId="33682" priority="6680">
      <formula>AND(H231&gt;70000,H231&lt;70004)</formula>
    </cfRule>
    <cfRule type="expression" dxfId="33681" priority="6681" stopIfTrue="1">
      <formula>OR(AND(H231&gt;=10000,H231&lt;=56999),AND(H231&gt;=57000,H231&lt;=57999))</formula>
    </cfRule>
    <cfRule type="expression" dxfId="33680" priority="6682" stopIfTrue="1">
      <formula>AND(H231&gt;=8000,H231&lt;=9999)</formula>
    </cfRule>
    <cfRule type="expression" dxfId="33679" priority="6683" stopIfTrue="1">
      <formula>AND(H231&gt;=78100,H231&lt;=78199)</formula>
    </cfRule>
    <cfRule type="expression" dxfId="33678" priority="6684" stopIfTrue="1">
      <formula>AND(H231&gt;=92000,H231&lt;=98999)</formula>
    </cfRule>
    <cfRule type="expression" dxfId="33677" priority="6685" stopIfTrue="1">
      <formula>AND(H231&gt;=78100,H231&lt;=78199)</formula>
    </cfRule>
    <cfRule type="expression" dxfId="33676" priority="6686" stopIfTrue="1">
      <formula>AND(H231&gt;=91000,H231&lt;=91999)</formula>
    </cfRule>
  </conditionalFormatting>
  <conditionalFormatting sqref="G232">
    <cfRule type="expression" dxfId="33675" priority="6665">
      <formula>AND(H232&gt;=79001,H232&lt;79900)</formula>
    </cfRule>
    <cfRule type="expression" dxfId="33674" priority="6666" stopIfTrue="1">
      <formula>AND(H232&gt;=70101,H232&lt;=70301)</formula>
    </cfRule>
    <cfRule type="expression" dxfId="33673" priority="6667" stopIfTrue="1">
      <formula>AND(H232&gt;70000,H232&lt;70004)</formula>
    </cfRule>
    <cfRule type="expression" dxfId="33672" priority="6668" stopIfTrue="1">
      <formula>AND(H232&gt;=70010,H232&lt;=76000)</formula>
    </cfRule>
    <cfRule type="expression" dxfId="33671" priority="6669">
      <formula>AND(H232&gt;70000,H232&lt;70004)</formula>
    </cfRule>
    <cfRule type="expression" dxfId="33670" priority="6670" stopIfTrue="1">
      <formula>OR(AND(H232&gt;=10000,H232&lt;=56999),AND(H232&gt;=57000,H232&lt;=57999))</formula>
    </cfRule>
    <cfRule type="expression" dxfId="33669" priority="6671" stopIfTrue="1">
      <formula>AND(H232&gt;=8000,H232&lt;=9999)</formula>
    </cfRule>
    <cfRule type="expression" dxfId="33668" priority="6672" stopIfTrue="1">
      <formula>AND(H232&gt;=78100,H232&lt;=78199)</formula>
    </cfRule>
    <cfRule type="expression" dxfId="33667" priority="6673" stopIfTrue="1">
      <formula>AND(H232&gt;=92000,H232&lt;=98999)</formula>
    </cfRule>
    <cfRule type="expression" dxfId="33666" priority="6674" stopIfTrue="1">
      <formula>AND(H232&gt;=78100,H232&lt;=78199)</formula>
    </cfRule>
    <cfRule type="expression" dxfId="33665" priority="6675" stopIfTrue="1">
      <formula>AND(H232&gt;=91000,H232&lt;=91999)</formula>
    </cfRule>
  </conditionalFormatting>
  <conditionalFormatting sqref="K231">
    <cfRule type="expression" dxfId="33664" priority="6654">
      <formula>AND(L231&gt;=79001,L231&lt;79900)</formula>
    </cfRule>
    <cfRule type="expression" dxfId="33663" priority="6655" stopIfTrue="1">
      <formula>AND(L231&gt;=70101,L231&lt;=70301)</formula>
    </cfRule>
    <cfRule type="expression" dxfId="33662" priority="6656" stopIfTrue="1">
      <formula>AND(L231&gt;70000,L231&lt;70004)</formula>
    </cfRule>
    <cfRule type="expression" dxfId="33661" priority="6657" stopIfTrue="1">
      <formula>AND(L231&gt;=70010,L231&lt;=76000)</formula>
    </cfRule>
    <cfRule type="expression" dxfId="33660" priority="6658">
      <formula>AND(L231&gt;70000,L231&lt;70004)</formula>
    </cfRule>
    <cfRule type="expression" dxfId="33659" priority="6659" stopIfTrue="1">
      <formula>OR(AND(L231&gt;=10000,L231&lt;=56999),AND(L231&gt;=57000,L231&lt;=57999))</formula>
    </cfRule>
    <cfRule type="expression" dxfId="33658" priority="6660" stopIfTrue="1">
      <formula>AND(L231&gt;=8000,L231&lt;=9999)</formula>
    </cfRule>
    <cfRule type="expression" dxfId="33657" priority="6661" stopIfTrue="1">
      <formula>AND(L231&gt;=78100,L231&lt;=78199)</formula>
    </cfRule>
    <cfRule type="expression" dxfId="33656" priority="6662" stopIfTrue="1">
      <formula>AND(L231&gt;=92000,L231&lt;=98999)</formula>
    </cfRule>
    <cfRule type="expression" dxfId="33655" priority="6663" stopIfTrue="1">
      <formula>AND(L231&gt;=78100,L231&lt;=78199)</formula>
    </cfRule>
    <cfRule type="expression" dxfId="33654" priority="6664" stopIfTrue="1">
      <formula>AND(L231&gt;=91000,L231&lt;=91999)</formula>
    </cfRule>
  </conditionalFormatting>
  <conditionalFormatting sqref="K232">
    <cfRule type="expression" dxfId="33653" priority="6643">
      <formula>AND(L232&gt;=79001,L232&lt;79900)</formula>
    </cfRule>
    <cfRule type="expression" dxfId="33652" priority="6644" stopIfTrue="1">
      <formula>AND(L232&gt;=70101,L232&lt;=70301)</formula>
    </cfRule>
    <cfRule type="expression" dxfId="33651" priority="6645" stopIfTrue="1">
      <formula>AND(L232&gt;70000,L232&lt;70004)</formula>
    </cfRule>
    <cfRule type="expression" dxfId="33650" priority="6646" stopIfTrue="1">
      <formula>AND(L232&gt;=70010,L232&lt;=76000)</formula>
    </cfRule>
    <cfRule type="expression" dxfId="33649" priority="6647">
      <formula>AND(L232&gt;70000,L232&lt;70004)</formula>
    </cfRule>
    <cfRule type="expression" dxfId="33648" priority="6648" stopIfTrue="1">
      <formula>OR(AND(L232&gt;=10000,L232&lt;=56999),AND(L232&gt;=57000,L232&lt;=57999))</formula>
    </cfRule>
    <cfRule type="expression" dxfId="33647" priority="6649" stopIfTrue="1">
      <formula>AND(L232&gt;=8000,L232&lt;=9999)</formula>
    </cfRule>
    <cfRule type="expression" dxfId="33646" priority="6650" stopIfTrue="1">
      <formula>AND(L232&gt;=78100,L232&lt;=78199)</formula>
    </cfRule>
    <cfRule type="expression" dxfId="33645" priority="6651" stopIfTrue="1">
      <formula>AND(L232&gt;=92000,L232&lt;=98999)</formula>
    </cfRule>
    <cfRule type="expression" dxfId="33644" priority="6652" stopIfTrue="1">
      <formula>AND(L232&gt;=78100,L232&lt;=78199)</formula>
    </cfRule>
    <cfRule type="expression" dxfId="33643" priority="6653" stopIfTrue="1">
      <formula>AND(L232&gt;=91000,L232&lt;=91999)</formula>
    </cfRule>
  </conditionalFormatting>
  <conditionalFormatting sqref="O203">
    <cfRule type="expression" dxfId="33642" priority="6632">
      <formula>AND(P203&gt;=79001,P203&lt;79900)</formula>
    </cfRule>
    <cfRule type="expression" dxfId="33641" priority="6633" stopIfTrue="1">
      <formula>AND(P203&gt;=70101,P203&lt;=70301)</formula>
    </cfRule>
    <cfRule type="expression" dxfId="33640" priority="6634" stopIfTrue="1">
      <formula>AND(P203&gt;70000,P203&lt;70004)</formula>
    </cfRule>
    <cfRule type="expression" dxfId="33639" priority="6635" stopIfTrue="1">
      <formula>AND(P203&gt;=70010,P203&lt;=76000)</formula>
    </cfRule>
    <cfRule type="expression" dxfId="33638" priority="6636">
      <formula>AND(P203&gt;70000,P203&lt;70004)</formula>
    </cfRule>
    <cfRule type="expression" dxfId="33637" priority="6637" stopIfTrue="1">
      <formula>OR(AND(P203&gt;=10000,P203&lt;=56999),AND(P203&gt;=57000,P203&lt;=57999))</formula>
    </cfRule>
    <cfRule type="expression" dxfId="33636" priority="6638" stopIfTrue="1">
      <formula>AND(P203&gt;=8000,P203&lt;=9999)</formula>
    </cfRule>
    <cfRule type="expression" dxfId="33635" priority="6639" stopIfTrue="1">
      <formula>AND(P203&gt;=78100,P203&lt;=78199)</formula>
    </cfRule>
    <cfRule type="expression" dxfId="33634" priority="6640" stopIfTrue="1">
      <formula>AND(P203&gt;=92000,P203&lt;=98999)</formula>
    </cfRule>
    <cfRule type="expression" dxfId="33633" priority="6641" stopIfTrue="1">
      <formula>AND(P203&gt;=78100,P203&lt;=78199)</formula>
    </cfRule>
    <cfRule type="expression" dxfId="33632" priority="6642" stopIfTrue="1">
      <formula>AND(P203&gt;=91000,P203&lt;=91999)</formula>
    </cfRule>
  </conditionalFormatting>
  <conditionalFormatting sqref="O204">
    <cfRule type="expression" dxfId="33631" priority="6621">
      <formula>AND(P204&gt;=79001,P204&lt;79900)</formula>
    </cfRule>
    <cfRule type="expression" dxfId="33630" priority="6622" stopIfTrue="1">
      <formula>AND(P204&gt;=70101,P204&lt;=70301)</formula>
    </cfRule>
    <cfRule type="expression" dxfId="33629" priority="6623" stopIfTrue="1">
      <formula>AND(P204&gt;70000,P204&lt;70004)</formula>
    </cfRule>
    <cfRule type="expression" dxfId="33628" priority="6624" stopIfTrue="1">
      <formula>AND(P204&gt;=70010,P204&lt;=76000)</formula>
    </cfRule>
    <cfRule type="expression" dxfId="33627" priority="6625">
      <formula>AND(P204&gt;70000,P204&lt;70004)</formula>
    </cfRule>
    <cfRule type="expression" dxfId="33626" priority="6626" stopIfTrue="1">
      <formula>OR(AND(P204&gt;=10000,P204&lt;=56999),AND(P204&gt;=57000,P204&lt;=57999))</formula>
    </cfRule>
    <cfRule type="expression" dxfId="33625" priority="6627" stopIfTrue="1">
      <formula>AND(P204&gt;=8000,P204&lt;=9999)</formula>
    </cfRule>
    <cfRule type="expression" dxfId="33624" priority="6628" stopIfTrue="1">
      <formula>AND(P204&gt;=78100,P204&lt;=78199)</formula>
    </cfRule>
    <cfRule type="expression" dxfId="33623" priority="6629" stopIfTrue="1">
      <formula>AND(P204&gt;=92000,P204&lt;=98999)</formula>
    </cfRule>
    <cfRule type="expression" dxfId="33622" priority="6630" stopIfTrue="1">
      <formula>AND(P204&gt;=78100,P204&lt;=78199)</formula>
    </cfRule>
    <cfRule type="expression" dxfId="33621" priority="6631" stopIfTrue="1">
      <formula>AND(P204&gt;=91000,P204&lt;=91999)</formula>
    </cfRule>
  </conditionalFormatting>
  <conditionalFormatting sqref="O205">
    <cfRule type="expression" dxfId="33620" priority="6610">
      <formula>AND(P205&gt;=79001,P205&lt;79900)</formula>
    </cfRule>
    <cfRule type="expression" dxfId="33619" priority="6611" stopIfTrue="1">
      <formula>AND(P205&gt;=70101,P205&lt;=70301)</formula>
    </cfRule>
    <cfRule type="expression" dxfId="33618" priority="6612" stopIfTrue="1">
      <formula>AND(P205&gt;70000,P205&lt;70004)</formula>
    </cfRule>
    <cfRule type="expression" dxfId="33617" priority="6613" stopIfTrue="1">
      <formula>AND(P205&gt;=70010,P205&lt;=76000)</formula>
    </cfRule>
    <cfRule type="expression" dxfId="33616" priority="6614">
      <formula>AND(P205&gt;70000,P205&lt;70004)</formula>
    </cfRule>
    <cfRule type="expression" dxfId="33615" priority="6615" stopIfTrue="1">
      <formula>OR(AND(P205&gt;=10000,P205&lt;=56999),AND(P205&gt;=57000,P205&lt;=57999))</formula>
    </cfRule>
    <cfRule type="expression" dxfId="33614" priority="6616" stopIfTrue="1">
      <formula>AND(P205&gt;=8000,P205&lt;=9999)</formula>
    </cfRule>
    <cfRule type="expression" dxfId="33613" priority="6617" stopIfTrue="1">
      <formula>AND(P205&gt;=78100,P205&lt;=78199)</formula>
    </cfRule>
    <cfRule type="expression" dxfId="33612" priority="6618" stopIfTrue="1">
      <formula>AND(P205&gt;=92000,P205&lt;=98999)</formula>
    </cfRule>
    <cfRule type="expression" dxfId="33611" priority="6619" stopIfTrue="1">
      <formula>AND(P205&gt;=78100,P205&lt;=78199)</formula>
    </cfRule>
    <cfRule type="expression" dxfId="33610" priority="6620" stopIfTrue="1">
      <formula>AND(P205&gt;=91000,P205&lt;=91999)</formula>
    </cfRule>
  </conditionalFormatting>
  <conditionalFormatting sqref="O206">
    <cfRule type="expression" dxfId="33609" priority="6599">
      <formula>AND(P206&gt;=79001,P206&lt;79900)</formula>
    </cfRule>
    <cfRule type="expression" dxfId="33608" priority="6600" stopIfTrue="1">
      <formula>AND(P206&gt;=70101,P206&lt;=70301)</formula>
    </cfRule>
    <cfRule type="expression" dxfId="33607" priority="6601" stopIfTrue="1">
      <formula>AND(P206&gt;70000,P206&lt;70004)</formula>
    </cfRule>
    <cfRule type="expression" dxfId="33606" priority="6602" stopIfTrue="1">
      <formula>AND(P206&gt;=70010,P206&lt;=76000)</formula>
    </cfRule>
    <cfRule type="expression" dxfId="33605" priority="6603">
      <formula>AND(P206&gt;70000,P206&lt;70004)</formula>
    </cfRule>
    <cfRule type="expression" dxfId="33604" priority="6604" stopIfTrue="1">
      <formula>OR(AND(P206&gt;=10000,P206&lt;=56999),AND(P206&gt;=57000,P206&lt;=57999))</formula>
    </cfRule>
    <cfRule type="expression" dxfId="33603" priority="6605" stopIfTrue="1">
      <formula>AND(P206&gt;=8000,P206&lt;=9999)</formula>
    </cfRule>
    <cfRule type="expression" dxfId="33602" priority="6606" stopIfTrue="1">
      <formula>AND(P206&gt;=78100,P206&lt;=78199)</formula>
    </cfRule>
    <cfRule type="expression" dxfId="33601" priority="6607" stopIfTrue="1">
      <formula>AND(P206&gt;=92000,P206&lt;=98999)</formula>
    </cfRule>
    <cfRule type="expression" dxfId="33600" priority="6608" stopIfTrue="1">
      <formula>AND(P206&gt;=78100,P206&lt;=78199)</formula>
    </cfRule>
    <cfRule type="expression" dxfId="33599" priority="6609" stopIfTrue="1">
      <formula>AND(P206&gt;=91000,P206&lt;=91999)</formula>
    </cfRule>
  </conditionalFormatting>
  <conditionalFormatting sqref="O207">
    <cfRule type="expression" dxfId="33598" priority="6588">
      <formula>AND(P207&gt;=79001,P207&lt;79900)</formula>
    </cfRule>
    <cfRule type="expression" dxfId="33597" priority="6589" stopIfTrue="1">
      <formula>AND(P207&gt;=70101,P207&lt;=70301)</formula>
    </cfRule>
    <cfRule type="expression" dxfId="33596" priority="6590" stopIfTrue="1">
      <formula>AND(P207&gt;70000,P207&lt;70004)</formula>
    </cfRule>
    <cfRule type="expression" dxfId="33595" priority="6591" stopIfTrue="1">
      <formula>AND(P207&gt;=70010,P207&lt;=76000)</formula>
    </cfRule>
    <cfRule type="expression" dxfId="33594" priority="6592">
      <formula>AND(P207&gt;70000,P207&lt;70004)</formula>
    </cfRule>
    <cfRule type="expression" dxfId="33593" priority="6593" stopIfTrue="1">
      <formula>OR(AND(P207&gt;=10000,P207&lt;=56999),AND(P207&gt;=57000,P207&lt;=57999))</formula>
    </cfRule>
    <cfRule type="expression" dxfId="33592" priority="6594" stopIfTrue="1">
      <formula>AND(P207&gt;=8000,P207&lt;=9999)</formula>
    </cfRule>
    <cfRule type="expression" dxfId="33591" priority="6595" stopIfTrue="1">
      <formula>AND(P207&gt;=78100,P207&lt;=78199)</formula>
    </cfRule>
    <cfRule type="expression" dxfId="33590" priority="6596" stopIfTrue="1">
      <formula>AND(P207&gt;=92000,P207&lt;=98999)</formula>
    </cfRule>
    <cfRule type="expression" dxfId="33589" priority="6597" stopIfTrue="1">
      <formula>AND(P207&gt;=78100,P207&lt;=78199)</formula>
    </cfRule>
    <cfRule type="expression" dxfId="33588" priority="6598" stopIfTrue="1">
      <formula>AND(P207&gt;=91000,P207&lt;=91999)</formula>
    </cfRule>
  </conditionalFormatting>
  <conditionalFormatting sqref="O208">
    <cfRule type="expression" dxfId="33587" priority="6577">
      <formula>AND(P208&gt;=79001,P208&lt;79900)</formula>
    </cfRule>
    <cfRule type="expression" dxfId="33586" priority="6578" stopIfTrue="1">
      <formula>AND(P208&gt;=70101,P208&lt;=70301)</formula>
    </cfRule>
    <cfRule type="expression" dxfId="33585" priority="6579" stopIfTrue="1">
      <formula>AND(P208&gt;70000,P208&lt;70004)</formula>
    </cfRule>
    <cfRule type="expression" dxfId="33584" priority="6580" stopIfTrue="1">
      <formula>AND(P208&gt;=70010,P208&lt;=76000)</formula>
    </cfRule>
    <cfRule type="expression" dxfId="33583" priority="6581">
      <formula>AND(P208&gt;70000,P208&lt;70004)</formula>
    </cfRule>
    <cfRule type="expression" dxfId="33582" priority="6582" stopIfTrue="1">
      <formula>OR(AND(P208&gt;=10000,P208&lt;=56999),AND(P208&gt;=57000,P208&lt;=57999))</formula>
    </cfRule>
    <cfRule type="expression" dxfId="33581" priority="6583" stopIfTrue="1">
      <formula>AND(P208&gt;=8000,P208&lt;=9999)</formula>
    </cfRule>
    <cfRule type="expression" dxfId="33580" priority="6584" stopIfTrue="1">
      <formula>AND(P208&gt;=78100,P208&lt;=78199)</formula>
    </cfRule>
    <cfRule type="expression" dxfId="33579" priority="6585" stopIfTrue="1">
      <formula>AND(P208&gt;=92000,P208&lt;=98999)</formula>
    </cfRule>
    <cfRule type="expression" dxfId="33578" priority="6586" stopIfTrue="1">
      <formula>AND(P208&gt;=78100,P208&lt;=78199)</formula>
    </cfRule>
    <cfRule type="expression" dxfId="33577" priority="6587" stopIfTrue="1">
      <formula>AND(P208&gt;=91000,P208&lt;=91999)</formula>
    </cfRule>
  </conditionalFormatting>
  <conditionalFormatting sqref="O209">
    <cfRule type="expression" dxfId="33576" priority="6566">
      <formula>AND(P209&gt;=79001,P209&lt;79900)</formula>
    </cfRule>
    <cfRule type="expression" dxfId="33575" priority="6567" stopIfTrue="1">
      <formula>AND(P209&gt;=70101,P209&lt;=70301)</formula>
    </cfRule>
    <cfRule type="expression" dxfId="33574" priority="6568" stopIfTrue="1">
      <formula>AND(P209&gt;70000,P209&lt;70004)</formula>
    </cfRule>
    <cfRule type="expression" dxfId="33573" priority="6569" stopIfTrue="1">
      <formula>AND(P209&gt;=70010,P209&lt;=76000)</formula>
    </cfRule>
    <cfRule type="expression" dxfId="33572" priority="6570">
      <formula>AND(P209&gt;70000,P209&lt;70004)</formula>
    </cfRule>
    <cfRule type="expression" dxfId="33571" priority="6571" stopIfTrue="1">
      <formula>OR(AND(P209&gt;=10000,P209&lt;=56999),AND(P209&gt;=57000,P209&lt;=57999))</formula>
    </cfRule>
    <cfRule type="expression" dxfId="33570" priority="6572" stopIfTrue="1">
      <formula>AND(P209&gt;=8000,P209&lt;=9999)</formula>
    </cfRule>
    <cfRule type="expression" dxfId="33569" priority="6573" stopIfTrue="1">
      <formula>AND(P209&gt;=78100,P209&lt;=78199)</formula>
    </cfRule>
    <cfRule type="expression" dxfId="33568" priority="6574" stopIfTrue="1">
      <formula>AND(P209&gt;=92000,P209&lt;=98999)</formula>
    </cfRule>
    <cfRule type="expression" dxfId="33567" priority="6575" stopIfTrue="1">
      <formula>AND(P209&gt;=78100,P209&lt;=78199)</formula>
    </cfRule>
    <cfRule type="expression" dxfId="33566" priority="6576" stopIfTrue="1">
      <formula>AND(P209&gt;=91000,P209&lt;=91999)</formula>
    </cfRule>
  </conditionalFormatting>
  <conditionalFormatting sqref="O210">
    <cfRule type="expression" dxfId="33565" priority="6555">
      <formula>AND(P210&gt;=79001,P210&lt;79900)</formula>
    </cfRule>
    <cfRule type="expression" dxfId="33564" priority="6556" stopIfTrue="1">
      <formula>AND(P210&gt;=70101,P210&lt;=70301)</formula>
    </cfRule>
    <cfRule type="expression" dxfId="33563" priority="6557" stopIfTrue="1">
      <formula>AND(P210&gt;70000,P210&lt;70004)</formula>
    </cfRule>
    <cfRule type="expression" dxfId="33562" priority="6558" stopIfTrue="1">
      <formula>AND(P210&gt;=70010,P210&lt;=76000)</formula>
    </cfRule>
    <cfRule type="expression" dxfId="33561" priority="6559">
      <formula>AND(P210&gt;70000,P210&lt;70004)</formula>
    </cfRule>
    <cfRule type="expression" dxfId="33560" priority="6560" stopIfTrue="1">
      <formula>OR(AND(P210&gt;=10000,P210&lt;=56999),AND(P210&gt;=57000,P210&lt;=57999))</formula>
    </cfRule>
    <cfRule type="expression" dxfId="33559" priority="6561" stopIfTrue="1">
      <formula>AND(P210&gt;=8000,P210&lt;=9999)</formula>
    </cfRule>
    <cfRule type="expression" dxfId="33558" priority="6562" stopIfTrue="1">
      <formula>AND(P210&gt;=78100,P210&lt;=78199)</formula>
    </cfRule>
    <cfRule type="expression" dxfId="33557" priority="6563" stopIfTrue="1">
      <formula>AND(P210&gt;=92000,P210&lt;=98999)</formula>
    </cfRule>
    <cfRule type="expression" dxfId="33556" priority="6564" stopIfTrue="1">
      <formula>AND(P210&gt;=78100,P210&lt;=78199)</formula>
    </cfRule>
    <cfRule type="expression" dxfId="33555" priority="6565" stopIfTrue="1">
      <formula>AND(P210&gt;=91000,P210&lt;=91999)</formula>
    </cfRule>
  </conditionalFormatting>
  <conditionalFormatting sqref="O211">
    <cfRule type="expression" dxfId="33554" priority="6544">
      <formula>AND(P211&gt;=79001,P211&lt;79900)</formula>
    </cfRule>
    <cfRule type="expression" dxfId="33553" priority="6545" stopIfTrue="1">
      <formula>AND(P211&gt;=70101,P211&lt;=70301)</formula>
    </cfRule>
    <cfRule type="expression" dxfId="33552" priority="6546" stopIfTrue="1">
      <formula>AND(P211&gt;70000,P211&lt;70004)</formula>
    </cfRule>
    <cfRule type="expression" dxfId="33551" priority="6547" stopIfTrue="1">
      <formula>AND(P211&gt;=70010,P211&lt;=76000)</formula>
    </cfRule>
    <cfRule type="expression" dxfId="33550" priority="6548">
      <formula>AND(P211&gt;70000,P211&lt;70004)</formula>
    </cfRule>
    <cfRule type="expression" dxfId="33549" priority="6549" stopIfTrue="1">
      <formula>OR(AND(P211&gt;=10000,P211&lt;=56999),AND(P211&gt;=57000,P211&lt;=57999))</formula>
    </cfRule>
    <cfRule type="expression" dxfId="33548" priority="6550" stopIfTrue="1">
      <formula>AND(P211&gt;=8000,P211&lt;=9999)</formula>
    </cfRule>
    <cfRule type="expression" dxfId="33547" priority="6551" stopIfTrue="1">
      <formula>AND(P211&gt;=78100,P211&lt;=78199)</formula>
    </cfRule>
    <cfRule type="expression" dxfId="33546" priority="6552" stopIfTrue="1">
      <formula>AND(P211&gt;=92000,P211&lt;=98999)</formula>
    </cfRule>
    <cfRule type="expression" dxfId="33545" priority="6553" stopIfTrue="1">
      <formula>AND(P211&gt;=78100,P211&lt;=78199)</formula>
    </cfRule>
    <cfRule type="expression" dxfId="33544" priority="6554" stopIfTrue="1">
      <formula>AND(P211&gt;=91000,P211&lt;=91999)</formula>
    </cfRule>
  </conditionalFormatting>
  <conditionalFormatting sqref="O212">
    <cfRule type="expression" dxfId="33543" priority="6533">
      <formula>AND(P212&gt;=79001,P212&lt;79900)</formula>
    </cfRule>
    <cfRule type="expression" dxfId="33542" priority="6534" stopIfTrue="1">
      <formula>AND(P212&gt;=70101,P212&lt;=70301)</formula>
    </cfRule>
    <cfRule type="expression" dxfId="33541" priority="6535" stopIfTrue="1">
      <formula>AND(P212&gt;70000,P212&lt;70004)</formula>
    </cfRule>
    <cfRule type="expression" dxfId="33540" priority="6536" stopIfTrue="1">
      <formula>AND(P212&gt;=70010,P212&lt;=76000)</formula>
    </cfRule>
    <cfRule type="expression" dxfId="33539" priority="6537">
      <formula>AND(P212&gt;70000,P212&lt;70004)</formula>
    </cfRule>
    <cfRule type="expression" dxfId="33538" priority="6538" stopIfTrue="1">
      <formula>OR(AND(P212&gt;=10000,P212&lt;=56999),AND(P212&gt;=57000,P212&lt;=57999))</formula>
    </cfRule>
    <cfRule type="expression" dxfId="33537" priority="6539" stopIfTrue="1">
      <formula>AND(P212&gt;=8000,P212&lt;=9999)</formula>
    </cfRule>
    <cfRule type="expression" dxfId="33536" priority="6540" stopIfTrue="1">
      <formula>AND(P212&gt;=78100,P212&lt;=78199)</formula>
    </cfRule>
    <cfRule type="expression" dxfId="33535" priority="6541" stopIfTrue="1">
      <formula>AND(P212&gt;=92000,P212&lt;=98999)</formula>
    </cfRule>
    <cfRule type="expression" dxfId="33534" priority="6542" stopIfTrue="1">
      <formula>AND(P212&gt;=78100,P212&lt;=78199)</formula>
    </cfRule>
    <cfRule type="expression" dxfId="33533" priority="6543" stopIfTrue="1">
      <formula>AND(P212&gt;=91000,P212&lt;=91999)</formula>
    </cfRule>
  </conditionalFormatting>
  <conditionalFormatting sqref="O213">
    <cfRule type="expression" dxfId="33532" priority="6522">
      <formula>AND(P213&gt;=79001,P213&lt;79900)</formula>
    </cfRule>
    <cfRule type="expression" dxfId="33531" priority="6523" stopIfTrue="1">
      <formula>AND(P213&gt;=70101,P213&lt;=70301)</formula>
    </cfRule>
    <cfRule type="expression" dxfId="33530" priority="6524" stopIfTrue="1">
      <formula>AND(P213&gt;70000,P213&lt;70004)</formula>
    </cfRule>
    <cfRule type="expression" dxfId="33529" priority="6525" stopIfTrue="1">
      <formula>AND(P213&gt;=70010,P213&lt;=76000)</formula>
    </cfRule>
    <cfRule type="expression" dxfId="33528" priority="6526">
      <formula>AND(P213&gt;70000,P213&lt;70004)</formula>
    </cfRule>
    <cfRule type="expression" dxfId="33527" priority="6527" stopIfTrue="1">
      <formula>OR(AND(P213&gt;=10000,P213&lt;=56999),AND(P213&gt;=57000,P213&lt;=57999))</formula>
    </cfRule>
    <cfRule type="expression" dxfId="33526" priority="6528" stopIfTrue="1">
      <formula>AND(P213&gt;=8000,P213&lt;=9999)</formula>
    </cfRule>
    <cfRule type="expression" dxfId="33525" priority="6529" stopIfTrue="1">
      <formula>AND(P213&gt;=78100,P213&lt;=78199)</formula>
    </cfRule>
    <cfRule type="expression" dxfId="33524" priority="6530" stopIfTrue="1">
      <formula>AND(P213&gt;=92000,P213&lt;=98999)</formula>
    </cfRule>
    <cfRule type="expression" dxfId="33523" priority="6531" stopIfTrue="1">
      <formula>AND(P213&gt;=78100,P213&lt;=78199)</formula>
    </cfRule>
    <cfRule type="expression" dxfId="33522" priority="6532" stopIfTrue="1">
      <formula>AND(P213&gt;=91000,P213&lt;=91999)</formula>
    </cfRule>
  </conditionalFormatting>
  <conditionalFormatting sqref="O214">
    <cfRule type="expression" dxfId="33521" priority="6511">
      <formula>AND(P214&gt;=79001,P214&lt;79900)</formula>
    </cfRule>
    <cfRule type="expression" dxfId="33520" priority="6512" stopIfTrue="1">
      <formula>AND(P214&gt;=70101,P214&lt;=70301)</formula>
    </cfRule>
    <cfRule type="expression" dxfId="33519" priority="6513" stopIfTrue="1">
      <formula>AND(P214&gt;70000,P214&lt;70004)</formula>
    </cfRule>
    <cfRule type="expression" dxfId="33518" priority="6514" stopIfTrue="1">
      <formula>AND(P214&gt;=70010,P214&lt;=76000)</formula>
    </cfRule>
    <cfRule type="expression" dxfId="33517" priority="6515">
      <formula>AND(P214&gt;70000,P214&lt;70004)</formula>
    </cfRule>
    <cfRule type="expression" dxfId="33516" priority="6516" stopIfTrue="1">
      <formula>OR(AND(P214&gt;=10000,P214&lt;=56999),AND(P214&gt;=57000,P214&lt;=57999))</formula>
    </cfRule>
    <cfRule type="expression" dxfId="33515" priority="6517" stopIfTrue="1">
      <formula>AND(P214&gt;=8000,P214&lt;=9999)</formula>
    </cfRule>
    <cfRule type="expression" dxfId="33514" priority="6518" stopIfTrue="1">
      <formula>AND(P214&gt;=78100,P214&lt;=78199)</formula>
    </cfRule>
    <cfRule type="expression" dxfId="33513" priority="6519" stopIfTrue="1">
      <formula>AND(P214&gt;=92000,P214&lt;=98999)</formula>
    </cfRule>
    <cfRule type="expression" dxfId="33512" priority="6520" stopIfTrue="1">
      <formula>AND(P214&gt;=78100,P214&lt;=78199)</formula>
    </cfRule>
    <cfRule type="expression" dxfId="33511" priority="6521" stopIfTrue="1">
      <formula>AND(P214&gt;=91000,P214&lt;=91999)</formula>
    </cfRule>
  </conditionalFormatting>
  <conditionalFormatting sqref="O215">
    <cfRule type="expression" dxfId="33510" priority="6500">
      <formula>AND(P215&gt;=79001,P215&lt;79900)</formula>
    </cfRule>
    <cfRule type="expression" dxfId="33509" priority="6501" stopIfTrue="1">
      <formula>AND(P215&gt;=70101,P215&lt;=70301)</formula>
    </cfRule>
    <cfRule type="expression" dxfId="33508" priority="6502" stopIfTrue="1">
      <formula>AND(P215&gt;70000,P215&lt;70004)</formula>
    </cfRule>
    <cfRule type="expression" dxfId="33507" priority="6503" stopIfTrue="1">
      <formula>AND(P215&gt;=70010,P215&lt;=76000)</formula>
    </cfRule>
    <cfRule type="expression" dxfId="33506" priority="6504">
      <formula>AND(P215&gt;70000,P215&lt;70004)</formula>
    </cfRule>
    <cfRule type="expression" dxfId="33505" priority="6505" stopIfTrue="1">
      <formula>OR(AND(P215&gt;=10000,P215&lt;=56999),AND(P215&gt;=57000,P215&lt;=57999))</formula>
    </cfRule>
    <cfRule type="expression" dxfId="33504" priority="6506" stopIfTrue="1">
      <formula>AND(P215&gt;=8000,P215&lt;=9999)</formula>
    </cfRule>
    <cfRule type="expression" dxfId="33503" priority="6507" stopIfTrue="1">
      <formula>AND(P215&gt;=78100,P215&lt;=78199)</formula>
    </cfRule>
    <cfRule type="expression" dxfId="33502" priority="6508" stopIfTrue="1">
      <formula>AND(P215&gt;=92000,P215&lt;=98999)</formula>
    </cfRule>
    <cfRule type="expression" dxfId="33501" priority="6509" stopIfTrue="1">
      <formula>AND(P215&gt;=78100,P215&lt;=78199)</formula>
    </cfRule>
    <cfRule type="expression" dxfId="33500" priority="6510" stopIfTrue="1">
      <formula>AND(P215&gt;=91000,P215&lt;=91999)</formula>
    </cfRule>
  </conditionalFormatting>
  <conditionalFormatting sqref="O216">
    <cfRule type="expression" dxfId="33499" priority="6489">
      <formula>AND(P216&gt;=79001,P216&lt;79900)</formula>
    </cfRule>
    <cfRule type="expression" dxfId="33498" priority="6490" stopIfTrue="1">
      <formula>AND(P216&gt;=70101,P216&lt;=70301)</formula>
    </cfRule>
    <cfRule type="expression" dxfId="33497" priority="6491" stopIfTrue="1">
      <formula>AND(P216&gt;70000,P216&lt;70004)</formula>
    </cfRule>
    <cfRule type="expression" dxfId="33496" priority="6492" stopIfTrue="1">
      <formula>AND(P216&gt;=70010,P216&lt;=76000)</formula>
    </cfRule>
    <cfRule type="expression" dxfId="33495" priority="6493">
      <formula>AND(P216&gt;70000,P216&lt;70004)</formula>
    </cfRule>
    <cfRule type="expression" dxfId="33494" priority="6494" stopIfTrue="1">
      <formula>OR(AND(P216&gt;=10000,P216&lt;=56999),AND(P216&gt;=57000,P216&lt;=57999))</formula>
    </cfRule>
    <cfRule type="expression" dxfId="33493" priority="6495" stopIfTrue="1">
      <formula>AND(P216&gt;=8000,P216&lt;=9999)</formula>
    </cfRule>
    <cfRule type="expression" dxfId="33492" priority="6496" stopIfTrue="1">
      <formula>AND(P216&gt;=78100,P216&lt;=78199)</formula>
    </cfRule>
    <cfRule type="expression" dxfId="33491" priority="6497" stopIfTrue="1">
      <formula>AND(P216&gt;=92000,P216&lt;=98999)</formula>
    </cfRule>
    <cfRule type="expression" dxfId="33490" priority="6498" stopIfTrue="1">
      <formula>AND(P216&gt;=78100,P216&lt;=78199)</formula>
    </cfRule>
    <cfRule type="expression" dxfId="33489" priority="6499" stopIfTrue="1">
      <formula>AND(P216&gt;=91000,P216&lt;=91999)</formula>
    </cfRule>
  </conditionalFormatting>
  <conditionalFormatting sqref="O217">
    <cfRule type="expression" dxfId="33488" priority="6478">
      <formula>AND(P217&gt;=79001,P217&lt;79900)</formula>
    </cfRule>
    <cfRule type="expression" dxfId="33487" priority="6479" stopIfTrue="1">
      <formula>AND(P217&gt;=70101,P217&lt;=70301)</formula>
    </cfRule>
    <cfRule type="expression" dxfId="33486" priority="6480" stopIfTrue="1">
      <formula>AND(P217&gt;70000,P217&lt;70004)</formula>
    </cfRule>
    <cfRule type="expression" dxfId="33485" priority="6481" stopIfTrue="1">
      <formula>AND(P217&gt;=70010,P217&lt;=76000)</formula>
    </cfRule>
    <cfRule type="expression" dxfId="33484" priority="6482">
      <formula>AND(P217&gt;70000,P217&lt;70004)</formula>
    </cfRule>
    <cfRule type="expression" dxfId="33483" priority="6483" stopIfTrue="1">
      <formula>OR(AND(P217&gt;=10000,P217&lt;=56999),AND(P217&gt;=57000,P217&lt;=57999))</formula>
    </cfRule>
    <cfRule type="expression" dxfId="33482" priority="6484" stopIfTrue="1">
      <formula>AND(P217&gt;=8000,P217&lt;=9999)</formula>
    </cfRule>
    <cfRule type="expression" dxfId="33481" priority="6485" stopIfTrue="1">
      <formula>AND(P217&gt;=78100,P217&lt;=78199)</formula>
    </cfRule>
    <cfRule type="expression" dxfId="33480" priority="6486" stopIfTrue="1">
      <formula>AND(P217&gt;=92000,P217&lt;=98999)</formula>
    </cfRule>
    <cfRule type="expression" dxfId="33479" priority="6487" stopIfTrue="1">
      <formula>AND(P217&gt;=78100,P217&lt;=78199)</formula>
    </cfRule>
    <cfRule type="expression" dxfId="33478" priority="6488" stopIfTrue="1">
      <formula>AND(P217&gt;=91000,P217&lt;=91999)</formula>
    </cfRule>
  </conditionalFormatting>
  <conditionalFormatting sqref="O218">
    <cfRule type="expression" dxfId="33477" priority="6467">
      <formula>AND(P218&gt;=79001,P218&lt;79900)</formula>
    </cfRule>
    <cfRule type="expression" dxfId="33476" priority="6468" stopIfTrue="1">
      <formula>AND(P218&gt;=70101,P218&lt;=70301)</formula>
    </cfRule>
    <cfRule type="expression" dxfId="33475" priority="6469" stopIfTrue="1">
      <formula>AND(P218&gt;70000,P218&lt;70004)</formula>
    </cfRule>
    <cfRule type="expression" dxfId="33474" priority="6470" stopIfTrue="1">
      <formula>AND(P218&gt;=70010,P218&lt;=76000)</formula>
    </cfRule>
    <cfRule type="expression" dxfId="33473" priority="6471">
      <formula>AND(P218&gt;70000,P218&lt;70004)</formula>
    </cfRule>
    <cfRule type="expression" dxfId="33472" priority="6472" stopIfTrue="1">
      <formula>OR(AND(P218&gt;=10000,P218&lt;=56999),AND(P218&gt;=57000,P218&lt;=57999))</formula>
    </cfRule>
    <cfRule type="expression" dxfId="33471" priority="6473" stopIfTrue="1">
      <formula>AND(P218&gt;=8000,P218&lt;=9999)</formula>
    </cfRule>
    <cfRule type="expression" dxfId="33470" priority="6474" stopIfTrue="1">
      <formula>AND(P218&gt;=78100,P218&lt;=78199)</formula>
    </cfRule>
    <cfRule type="expression" dxfId="33469" priority="6475" stopIfTrue="1">
      <formula>AND(P218&gt;=92000,P218&lt;=98999)</formula>
    </cfRule>
    <cfRule type="expression" dxfId="33468" priority="6476" stopIfTrue="1">
      <formula>AND(P218&gt;=78100,P218&lt;=78199)</formula>
    </cfRule>
    <cfRule type="expression" dxfId="33467" priority="6477" stopIfTrue="1">
      <formula>AND(P218&gt;=91000,P218&lt;=91999)</formula>
    </cfRule>
  </conditionalFormatting>
  <conditionalFormatting sqref="O219">
    <cfRule type="expression" dxfId="33466" priority="6456">
      <formula>AND(P219&gt;=79001,P219&lt;79900)</formula>
    </cfRule>
    <cfRule type="expression" dxfId="33465" priority="6457" stopIfTrue="1">
      <formula>AND(P219&gt;=70101,P219&lt;=70301)</formula>
    </cfRule>
    <cfRule type="expression" dxfId="33464" priority="6458" stopIfTrue="1">
      <formula>AND(P219&gt;70000,P219&lt;70004)</formula>
    </cfRule>
    <cfRule type="expression" dxfId="33463" priority="6459" stopIfTrue="1">
      <formula>AND(P219&gt;=70010,P219&lt;=76000)</formula>
    </cfRule>
    <cfRule type="expression" dxfId="33462" priority="6460">
      <formula>AND(P219&gt;70000,P219&lt;70004)</formula>
    </cfRule>
    <cfRule type="expression" dxfId="33461" priority="6461" stopIfTrue="1">
      <formula>OR(AND(P219&gt;=10000,P219&lt;=56999),AND(P219&gt;=57000,P219&lt;=57999))</formula>
    </cfRule>
    <cfRule type="expression" dxfId="33460" priority="6462" stopIfTrue="1">
      <formula>AND(P219&gt;=8000,P219&lt;=9999)</formula>
    </cfRule>
    <cfRule type="expression" dxfId="33459" priority="6463" stopIfTrue="1">
      <formula>AND(P219&gt;=78100,P219&lt;=78199)</formula>
    </cfRule>
    <cfRule type="expression" dxfId="33458" priority="6464" stopIfTrue="1">
      <formula>AND(P219&gt;=92000,P219&lt;=98999)</formula>
    </cfRule>
    <cfRule type="expression" dxfId="33457" priority="6465" stopIfTrue="1">
      <formula>AND(P219&gt;=78100,P219&lt;=78199)</formula>
    </cfRule>
    <cfRule type="expression" dxfId="33456" priority="6466" stopIfTrue="1">
      <formula>AND(P219&gt;=91000,P219&lt;=91999)</formula>
    </cfRule>
  </conditionalFormatting>
  <conditionalFormatting sqref="O220">
    <cfRule type="expression" dxfId="33455" priority="6445">
      <formula>AND(P220&gt;=79001,P220&lt;79900)</formula>
    </cfRule>
    <cfRule type="expression" dxfId="33454" priority="6446" stopIfTrue="1">
      <formula>AND(P220&gt;=70101,P220&lt;=70301)</formula>
    </cfRule>
    <cfRule type="expression" dxfId="33453" priority="6447" stopIfTrue="1">
      <formula>AND(P220&gt;70000,P220&lt;70004)</formula>
    </cfRule>
    <cfRule type="expression" dxfId="33452" priority="6448" stopIfTrue="1">
      <formula>AND(P220&gt;=70010,P220&lt;=76000)</formula>
    </cfRule>
    <cfRule type="expression" dxfId="33451" priority="6449">
      <formula>AND(P220&gt;70000,P220&lt;70004)</formula>
    </cfRule>
    <cfRule type="expression" dxfId="33450" priority="6450" stopIfTrue="1">
      <formula>OR(AND(P220&gt;=10000,P220&lt;=56999),AND(P220&gt;=57000,P220&lt;=57999))</formula>
    </cfRule>
    <cfRule type="expression" dxfId="33449" priority="6451" stopIfTrue="1">
      <formula>AND(P220&gt;=8000,P220&lt;=9999)</formula>
    </cfRule>
    <cfRule type="expression" dxfId="33448" priority="6452" stopIfTrue="1">
      <formula>AND(P220&gt;=78100,P220&lt;=78199)</formula>
    </cfRule>
    <cfRule type="expression" dxfId="33447" priority="6453" stopIfTrue="1">
      <formula>AND(P220&gt;=92000,P220&lt;=98999)</formula>
    </cfRule>
    <cfRule type="expression" dxfId="33446" priority="6454" stopIfTrue="1">
      <formula>AND(P220&gt;=78100,P220&lt;=78199)</formula>
    </cfRule>
    <cfRule type="expression" dxfId="33445" priority="6455" stopIfTrue="1">
      <formula>AND(P220&gt;=91000,P220&lt;=91999)</formula>
    </cfRule>
  </conditionalFormatting>
  <conditionalFormatting sqref="O221">
    <cfRule type="expression" dxfId="33444" priority="6434">
      <formula>AND(P221&gt;=79001,P221&lt;79900)</formula>
    </cfRule>
    <cfRule type="expression" dxfId="33443" priority="6435" stopIfTrue="1">
      <formula>AND(P221&gt;=70101,P221&lt;=70301)</formula>
    </cfRule>
    <cfRule type="expression" dxfId="33442" priority="6436" stopIfTrue="1">
      <formula>AND(P221&gt;70000,P221&lt;70004)</formula>
    </cfRule>
    <cfRule type="expression" dxfId="33441" priority="6437" stopIfTrue="1">
      <formula>AND(P221&gt;=70010,P221&lt;=76000)</formula>
    </cfRule>
    <cfRule type="expression" dxfId="33440" priority="6438">
      <formula>AND(P221&gt;70000,P221&lt;70004)</formula>
    </cfRule>
    <cfRule type="expression" dxfId="33439" priority="6439" stopIfTrue="1">
      <formula>OR(AND(P221&gt;=10000,P221&lt;=56999),AND(P221&gt;=57000,P221&lt;=57999))</formula>
    </cfRule>
    <cfRule type="expression" dxfId="33438" priority="6440" stopIfTrue="1">
      <formula>AND(P221&gt;=8000,P221&lt;=9999)</formula>
    </cfRule>
    <cfRule type="expression" dxfId="33437" priority="6441" stopIfTrue="1">
      <formula>AND(P221&gt;=78100,P221&lt;=78199)</formula>
    </cfRule>
    <cfRule type="expression" dxfId="33436" priority="6442" stopIfTrue="1">
      <formula>AND(P221&gt;=92000,P221&lt;=98999)</formula>
    </cfRule>
    <cfRule type="expression" dxfId="33435" priority="6443" stopIfTrue="1">
      <formula>AND(P221&gt;=78100,P221&lt;=78199)</formula>
    </cfRule>
    <cfRule type="expression" dxfId="33434" priority="6444" stopIfTrue="1">
      <formula>AND(P221&gt;=91000,P221&lt;=91999)</formula>
    </cfRule>
  </conditionalFormatting>
  <conditionalFormatting sqref="O222">
    <cfRule type="expression" dxfId="33433" priority="6423">
      <formula>AND(P222&gt;=79001,P222&lt;79900)</formula>
    </cfRule>
    <cfRule type="expression" dxfId="33432" priority="6424" stopIfTrue="1">
      <formula>AND(P222&gt;=70101,P222&lt;=70301)</formula>
    </cfRule>
    <cfRule type="expression" dxfId="33431" priority="6425" stopIfTrue="1">
      <formula>AND(P222&gt;70000,P222&lt;70004)</formula>
    </cfRule>
    <cfRule type="expression" dxfId="33430" priority="6426" stopIfTrue="1">
      <formula>AND(P222&gt;=70010,P222&lt;=76000)</formula>
    </cfRule>
    <cfRule type="expression" dxfId="33429" priority="6427">
      <formula>AND(P222&gt;70000,P222&lt;70004)</formula>
    </cfRule>
    <cfRule type="expression" dxfId="33428" priority="6428" stopIfTrue="1">
      <formula>OR(AND(P222&gt;=10000,P222&lt;=56999),AND(P222&gt;=57000,P222&lt;=57999))</formula>
    </cfRule>
    <cfRule type="expression" dxfId="33427" priority="6429" stopIfTrue="1">
      <formula>AND(P222&gt;=8000,P222&lt;=9999)</formula>
    </cfRule>
    <cfRule type="expression" dxfId="33426" priority="6430" stopIfTrue="1">
      <formula>AND(P222&gt;=78100,P222&lt;=78199)</formula>
    </cfRule>
    <cfRule type="expression" dxfId="33425" priority="6431" stopIfTrue="1">
      <formula>AND(P222&gt;=92000,P222&lt;=98999)</formula>
    </cfRule>
    <cfRule type="expression" dxfId="33424" priority="6432" stopIfTrue="1">
      <formula>AND(P222&gt;=78100,P222&lt;=78199)</formula>
    </cfRule>
    <cfRule type="expression" dxfId="33423" priority="6433" stopIfTrue="1">
      <formula>AND(P222&gt;=91000,P222&lt;=91999)</formula>
    </cfRule>
  </conditionalFormatting>
  <conditionalFormatting sqref="O223">
    <cfRule type="expression" dxfId="33422" priority="6412">
      <formula>AND(P223&gt;=79001,P223&lt;79900)</formula>
    </cfRule>
    <cfRule type="expression" dxfId="33421" priority="6413" stopIfTrue="1">
      <formula>AND(P223&gt;=70101,P223&lt;=70301)</formula>
    </cfRule>
    <cfRule type="expression" dxfId="33420" priority="6414" stopIfTrue="1">
      <formula>AND(P223&gt;70000,P223&lt;70004)</formula>
    </cfRule>
    <cfRule type="expression" dxfId="33419" priority="6415" stopIfTrue="1">
      <formula>AND(P223&gt;=70010,P223&lt;=76000)</formula>
    </cfRule>
    <cfRule type="expression" dxfId="33418" priority="6416">
      <formula>AND(P223&gt;70000,P223&lt;70004)</formula>
    </cfRule>
    <cfRule type="expression" dxfId="33417" priority="6417" stopIfTrue="1">
      <formula>OR(AND(P223&gt;=10000,P223&lt;=56999),AND(P223&gt;=57000,P223&lt;=57999))</formula>
    </cfRule>
    <cfRule type="expression" dxfId="33416" priority="6418" stopIfTrue="1">
      <formula>AND(P223&gt;=8000,P223&lt;=9999)</formula>
    </cfRule>
    <cfRule type="expression" dxfId="33415" priority="6419" stopIfTrue="1">
      <formula>AND(P223&gt;=78100,P223&lt;=78199)</formula>
    </cfRule>
    <cfRule type="expression" dxfId="33414" priority="6420" stopIfTrue="1">
      <formula>AND(P223&gt;=92000,P223&lt;=98999)</formula>
    </cfRule>
    <cfRule type="expression" dxfId="33413" priority="6421" stopIfTrue="1">
      <formula>AND(P223&gt;=78100,P223&lt;=78199)</formula>
    </cfRule>
    <cfRule type="expression" dxfId="33412" priority="6422" stopIfTrue="1">
      <formula>AND(P223&gt;=91000,P223&lt;=91999)</formula>
    </cfRule>
  </conditionalFormatting>
  <conditionalFormatting sqref="O224">
    <cfRule type="expression" dxfId="33411" priority="6401">
      <formula>AND(P224&gt;=79001,P224&lt;79900)</formula>
    </cfRule>
    <cfRule type="expression" dxfId="33410" priority="6402" stopIfTrue="1">
      <formula>AND(P224&gt;=70101,P224&lt;=70301)</formula>
    </cfRule>
    <cfRule type="expression" dxfId="33409" priority="6403" stopIfTrue="1">
      <formula>AND(P224&gt;70000,P224&lt;70004)</formula>
    </cfRule>
    <cfRule type="expression" dxfId="33408" priority="6404" stopIfTrue="1">
      <formula>AND(P224&gt;=70010,P224&lt;=76000)</formula>
    </cfRule>
    <cfRule type="expression" dxfId="33407" priority="6405">
      <formula>AND(P224&gt;70000,P224&lt;70004)</formula>
    </cfRule>
    <cfRule type="expression" dxfId="33406" priority="6406" stopIfTrue="1">
      <formula>OR(AND(P224&gt;=10000,P224&lt;=56999),AND(P224&gt;=57000,P224&lt;=57999))</formula>
    </cfRule>
    <cfRule type="expression" dxfId="33405" priority="6407" stopIfTrue="1">
      <formula>AND(P224&gt;=8000,P224&lt;=9999)</formula>
    </cfRule>
    <cfRule type="expression" dxfId="33404" priority="6408" stopIfTrue="1">
      <formula>AND(P224&gt;=78100,P224&lt;=78199)</formula>
    </cfRule>
    <cfRule type="expression" dxfId="33403" priority="6409" stopIfTrue="1">
      <formula>AND(P224&gt;=92000,P224&lt;=98999)</formula>
    </cfRule>
    <cfRule type="expression" dxfId="33402" priority="6410" stopIfTrue="1">
      <formula>AND(P224&gt;=78100,P224&lt;=78199)</formula>
    </cfRule>
    <cfRule type="expression" dxfId="33401" priority="6411" stopIfTrue="1">
      <formula>AND(P224&gt;=91000,P224&lt;=91999)</formula>
    </cfRule>
  </conditionalFormatting>
  <conditionalFormatting sqref="O225">
    <cfRule type="expression" dxfId="33400" priority="6390">
      <formula>AND(P225&gt;=79001,P225&lt;79900)</formula>
    </cfRule>
    <cfRule type="expression" dxfId="33399" priority="6391" stopIfTrue="1">
      <formula>AND(P225&gt;=70101,P225&lt;=70301)</formula>
    </cfRule>
    <cfRule type="expression" dxfId="33398" priority="6392" stopIfTrue="1">
      <formula>AND(P225&gt;70000,P225&lt;70004)</formula>
    </cfRule>
    <cfRule type="expression" dxfId="33397" priority="6393" stopIfTrue="1">
      <formula>AND(P225&gt;=70010,P225&lt;=76000)</formula>
    </cfRule>
    <cfRule type="expression" dxfId="33396" priority="6394">
      <formula>AND(P225&gt;70000,P225&lt;70004)</formula>
    </cfRule>
    <cfRule type="expression" dxfId="33395" priority="6395" stopIfTrue="1">
      <formula>OR(AND(P225&gt;=10000,P225&lt;=56999),AND(P225&gt;=57000,P225&lt;=57999))</formula>
    </cfRule>
    <cfRule type="expression" dxfId="33394" priority="6396" stopIfTrue="1">
      <formula>AND(P225&gt;=8000,P225&lt;=9999)</formula>
    </cfRule>
    <cfRule type="expression" dxfId="33393" priority="6397" stopIfTrue="1">
      <formula>AND(P225&gt;=78100,P225&lt;=78199)</formula>
    </cfRule>
    <cfRule type="expression" dxfId="33392" priority="6398" stopIfTrue="1">
      <formula>AND(P225&gt;=92000,P225&lt;=98999)</formula>
    </cfRule>
    <cfRule type="expression" dxfId="33391" priority="6399" stopIfTrue="1">
      <formula>AND(P225&gt;=78100,P225&lt;=78199)</formula>
    </cfRule>
    <cfRule type="expression" dxfId="33390" priority="6400" stopIfTrue="1">
      <formula>AND(P225&gt;=91000,P225&lt;=91999)</formula>
    </cfRule>
  </conditionalFormatting>
  <conditionalFormatting sqref="O226">
    <cfRule type="expression" dxfId="33389" priority="6379">
      <formula>AND(P226&gt;=79001,P226&lt;79900)</formula>
    </cfRule>
    <cfRule type="expression" dxfId="33388" priority="6380" stopIfTrue="1">
      <formula>AND(P226&gt;=70101,P226&lt;=70301)</formula>
    </cfRule>
    <cfRule type="expression" dxfId="33387" priority="6381" stopIfTrue="1">
      <formula>AND(P226&gt;70000,P226&lt;70004)</formula>
    </cfRule>
    <cfRule type="expression" dxfId="33386" priority="6382" stopIfTrue="1">
      <formula>AND(P226&gt;=70010,P226&lt;=76000)</formula>
    </cfRule>
    <cfRule type="expression" dxfId="33385" priority="6383">
      <formula>AND(P226&gt;70000,P226&lt;70004)</formula>
    </cfRule>
    <cfRule type="expression" dxfId="33384" priority="6384" stopIfTrue="1">
      <formula>OR(AND(P226&gt;=10000,P226&lt;=56999),AND(P226&gt;=57000,P226&lt;=57999))</formula>
    </cfRule>
    <cfRule type="expression" dxfId="33383" priority="6385" stopIfTrue="1">
      <formula>AND(P226&gt;=8000,P226&lt;=9999)</formula>
    </cfRule>
    <cfRule type="expression" dxfId="33382" priority="6386" stopIfTrue="1">
      <formula>AND(P226&gt;=78100,P226&lt;=78199)</formula>
    </cfRule>
    <cfRule type="expression" dxfId="33381" priority="6387" stopIfTrue="1">
      <formula>AND(P226&gt;=92000,P226&lt;=98999)</formula>
    </cfRule>
    <cfRule type="expression" dxfId="33380" priority="6388" stopIfTrue="1">
      <formula>AND(P226&gt;=78100,P226&lt;=78199)</formula>
    </cfRule>
    <cfRule type="expression" dxfId="33379" priority="6389" stopIfTrue="1">
      <formula>AND(P226&gt;=91000,P226&lt;=91999)</formula>
    </cfRule>
  </conditionalFormatting>
  <conditionalFormatting sqref="O227">
    <cfRule type="expression" dxfId="33378" priority="6368">
      <formula>AND(P227&gt;=79001,P227&lt;79900)</formula>
    </cfRule>
    <cfRule type="expression" dxfId="33377" priority="6369" stopIfTrue="1">
      <formula>AND(P227&gt;=70101,P227&lt;=70301)</formula>
    </cfRule>
    <cfRule type="expression" dxfId="33376" priority="6370" stopIfTrue="1">
      <formula>AND(P227&gt;70000,P227&lt;70004)</formula>
    </cfRule>
    <cfRule type="expression" dxfId="33375" priority="6371" stopIfTrue="1">
      <formula>AND(P227&gt;=70010,P227&lt;=76000)</formula>
    </cfRule>
    <cfRule type="expression" dxfId="33374" priority="6372">
      <formula>AND(P227&gt;70000,P227&lt;70004)</formula>
    </cfRule>
    <cfRule type="expression" dxfId="33373" priority="6373" stopIfTrue="1">
      <formula>OR(AND(P227&gt;=10000,P227&lt;=56999),AND(P227&gt;=57000,P227&lt;=57999))</formula>
    </cfRule>
    <cfRule type="expression" dxfId="33372" priority="6374" stopIfTrue="1">
      <formula>AND(P227&gt;=8000,P227&lt;=9999)</formula>
    </cfRule>
    <cfRule type="expression" dxfId="33371" priority="6375" stopIfTrue="1">
      <formula>AND(P227&gt;=78100,P227&lt;=78199)</formula>
    </cfRule>
    <cfRule type="expression" dxfId="33370" priority="6376" stopIfTrue="1">
      <formula>AND(P227&gt;=92000,P227&lt;=98999)</formula>
    </cfRule>
    <cfRule type="expression" dxfId="33369" priority="6377" stopIfTrue="1">
      <formula>AND(P227&gt;=78100,P227&lt;=78199)</formula>
    </cfRule>
    <cfRule type="expression" dxfId="33368" priority="6378" stopIfTrue="1">
      <formula>AND(P227&gt;=91000,P227&lt;=91999)</formula>
    </cfRule>
  </conditionalFormatting>
  <conditionalFormatting sqref="O228">
    <cfRule type="expression" dxfId="33367" priority="6357">
      <formula>AND(P228&gt;=79001,P228&lt;79900)</formula>
    </cfRule>
    <cfRule type="expression" dxfId="33366" priority="6358" stopIfTrue="1">
      <formula>AND(P228&gt;=70101,P228&lt;=70301)</formula>
    </cfRule>
    <cfRule type="expression" dxfId="33365" priority="6359" stopIfTrue="1">
      <formula>AND(P228&gt;70000,P228&lt;70004)</formula>
    </cfRule>
    <cfRule type="expression" dxfId="33364" priority="6360" stopIfTrue="1">
      <formula>AND(P228&gt;=70010,P228&lt;=76000)</formula>
    </cfRule>
    <cfRule type="expression" dxfId="33363" priority="6361">
      <formula>AND(P228&gt;70000,P228&lt;70004)</formula>
    </cfRule>
    <cfRule type="expression" dxfId="33362" priority="6362" stopIfTrue="1">
      <formula>OR(AND(P228&gt;=10000,P228&lt;=56999),AND(P228&gt;=57000,P228&lt;=57999))</formula>
    </cfRule>
    <cfRule type="expression" dxfId="33361" priority="6363" stopIfTrue="1">
      <formula>AND(P228&gt;=8000,P228&lt;=9999)</formula>
    </cfRule>
    <cfRule type="expression" dxfId="33360" priority="6364" stopIfTrue="1">
      <formula>AND(P228&gt;=78100,P228&lt;=78199)</formula>
    </cfRule>
    <cfRule type="expression" dxfId="33359" priority="6365" stopIfTrue="1">
      <formula>AND(P228&gt;=92000,P228&lt;=98999)</formula>
    </cfRule>
    <cfRule type="expression" dxfId="33358" priority="6366" stopIfTrue="1">
      <formula>AND(P228&gt;=78100,P228&lt;=78199)</formula>
    </cfRule>
    <cfRule type="expression" dxfId="33357" priority="6367" stopIfTrue="1">
      <formula>AND(P228&gt;=91000,P228&lt;=91999)</formula>
    </cfRule>
  </conditionalFormatting>
  <conditionalFormatting sqref="O229">
    <cfRule type="expression" dxfId="33356" priority="6346">
      <formula>AND(P229&gt;=79001,P229&lt;79900)</formula>
    </cfRule>
    <cfRule type="expression" dxfId="33355" priority="6347" stopIfTrue="1">
      <formula>AND(P229&gt;=70101,P229&lt;=70301)</formula>
    </cfRule>
    <cfRule type="expression" dxfId="33354" priority="6348" stopIfTrue="1">
      <formula>AND(P229&gt;70000,P229&lt;70004)</formula>
    </cfRule>
    <cfRule type="expression" dxfId="33353" priority="6349" stopIfTrue="1">
      <formula>AND(P229&gt;=70010,P229&lt;=76000)</formula>
    </cfRule>
    <cfRule type="expression" dxfId="33352" priority="6350">
      <formula>AND(P229&gt;70000,P229&lt;70004)</formula>
    </cfRule>
    <cfRule type="expression" dxfId="33351" priority="6351" stopIfTrue="1">
      <formula>OR(AND(P229&gt;=10000,P229&lt;=56999),AND(P229&gt;=57000,P229&lt;=57999))</formula>
    </cfRule>
    <cfRule type="expression" dxfId="33350" priority="6352" stopIfTrue="1">
      <formula>AND(P229&gt;=8000,P229&lt;=9999)</formula>
    </cfRule>
    <cfRule type="expression" dxfId="33349" priority="6353" stopIfTrue="1">
      <formula>AND(P229&gt;=78100,P229&lt;=78199)</formula>
    </cfRule>
    <cfRule type="expression" dxfId="33348" priority="6354" stopIfTrue="1">
      <formula>AND(P229&gt;=92000,P229&lt;=98999)</formula>
    </cfRule>
    <cfRule type="expression" dxfId="33347" priority="6355" stopIfTrue="1">
      <formula>AND(P229&gt;=78100,P229&lt;=78199)</formula>
    </cfRule>
    <cfRule type="expression" dxfId="33346" priority="6356" stopIfTrue="1">
      <formula>AND(P229&gt;=91000,P229&lt;=91999)</formula>
    </cfRule>
  </conditionalFormatting>
  <conditionalFormatting sqref="O230">
    <cfRule type="expression" dxfId="33345" priority="6335">
      <formula>AND(P230&gt;=79001,P230&lt;79900)</formula>
    </cfRule>
    <cfRule type="expression" dxfId="33344" priority="6336" stopIfTrue="1">
      <formula>AND(P230&gt;=70101,P230&lt;=70301)</formula>
    </cfRule>
    <cfRule type="expression" dxfId="33343" priority="6337" stopIfTrue="1">
      <formula>AND(P230&gt;70000,P230&lt;70004)</formula>
    </cfRule>
    <cfRule type="expression" dxfId="33342" priority="6338" stopIfTrue="1">
      <formula>AND(P230&gt;=70010,P230&lt;=76000)</formula>
    </cfRule>
    <cfRule type="expression" dxfId="33341" priority="6339">
      <formula>AND(P230&gt;70000,P230&lt;70004)</formula>
    </cfRule>
    <cfRule type="expression" dxfId="33340" priority="6340" stopIfTrue="1">
      <formula>OR(AND(P230&gt;=10000,P230&lt;=56999),AND(P230&gt;=57000,P230&lt;=57999))</formula>
    </cfRule>
    <cfRule type="expression" dxfId="33339" priority="6341" stopIfTrue="1">
      <formula>AND(P230&gt;=8000,P230&lt;=9999)</formula>
    </cfRule>
    <cfRule type="expression" dxfId="33338" priority="6342" stopIfTrue="1">
      <formula>AND(P230&gt;=78100,P230&lt;=78199)</formula>
    </cfRule>
    <cfRule type="expression" dxfId="33337" priority="6343" stopIfTrue="1">
      <formula>AND(P230&gt;=92000,P230&lt;=98999)</formula>
    </cfRule>
    <cfRule type="expression" dxfId="33336" priority="6344" stopIfTrue="1">
      <formula>AND(P230&gt;=78100,P230&lt;=78199)</formula>
    </cfRule>
    <cfRule type="expression" dxfId="33335" priority="6345" stopIfTrue="1">
      <formula>AND(P230&gt;=91000,P230&lt;=91999)</formula>
    </cfRule>
  </conditionalFormatting>
  <conditionalFormatting sqref="O231">
    <cfRule type="expression" dxfId="33334" priority="6324">
      <formula>AND(P231&gt;=79001,P231&lt;79900)</formula>
    </cfRule>
    <cfRule type="expression" dxfId="33333" priority="6325" stopIfTrue="1">
      <formula>AND(P231&gt;=70101,P231&lt;=70301)</formula>
    </cfRule>
    <cfRule type="expression" dxfId="33332" priority="6326" stopIfTrue="1">
      <formula>AND(P231&gt;70000,P231&lt;70004)</formula>
    </cfRule>
    <cfRule type="expression" dxfId="33331" priority="6327" stopIfTrue="1">
      <formula>AND(P231&gt;=70010,P231&lt;=76000)</formula>
    </cfRule>
    <cfRule type="expression" dxfId="33330" priority="6328">
      <formula>AND(P231&gt;70000,P231&lt;70004)</formula>
    </cfRule>
    <cfRule type="expression" dxfId="33329" priority="6329" stopIfTrue="1">
      <formula>OR(AND(P231&gt;=10000,P231&lt;=56999),AND(P231&gt;=57000,P231&lt;=57999))</formula>
    </cfRule>
    <cfRule type="expression" dxfId="33328" priority="6330" stopIfTrue="1">
      <formula>AND(P231&gt;=8000,P231&lt;=9999)</formula>
    </cfRule>
    <cfRule type="expression" dxfId="33327" priority="6331" stopIfTrue="1">
      <formula>AND(P231&gt;=78100,P231&lt;=78199)</formula>
    </cfRule>
    <cfRule type="expression" dxfId="33326" priority="6332" stopIfTrue="1">
      <formula>AND(P231&gt;=92000,P231&lt;=98999)</formula>
    </cfRule>
    <cfRule type="expression" dxfId="33325" priority="6333" stopIfTrue="1">
      <formula>AND(P231&gt;=78100,P231&lt;=78199)</formula>
    </cfRule>
    <cfRule type="expression" dxfId="33324" priority="6334" stopIfTrue="1">
      <formula>AND(P231&gt;=91000,P231&lt;=91999)</formula>
    </cfRule>
  </conditionalFormatting>
  <conditionalFormatting sqref="O232">
    <cfRule type="expression" dxfId="33323" priority="6313">
      <formula>AND(P232&gt;=79001,P232&lt;79900)</formula>
    </cfRule>
    <cfRule type="expression" dxfId="33322" priority="6314" stopIfTrue="1">
      <formula>AND(P232&gt;=70101,P232&lt;=70301)</formula>
    </cfRule>
    <cfRule type="expression" dxfId="33321" priority="6315" stopIfTrue="1">
      <formula>AND(P232&gt;70000,P232&lt;70004)</formula>
    </cfRule>
    <cfRule type="expression" dxfId="33320" priority="6316" stopIfTrue="1">
      <formula>AND(P232&gt;=70010,P232&lt;=76000)</formula>
    </cfRule>
    <cfRule type="expression" dxfId="33319" priority="6317">
      <formula>AND(P232&gt;70000,P232&lt;70004)</formula>
    </cfRule>
    <cfRule type="expression" dxfId="33318" priority="6318" stopIfTrue="1">
      <formula>OR(AND(P232&gt;=10000,P232&lt;=56999),AND(P232&gt;=57000,P232&lt;=57999))</formula>
    </cfRule>
    <cfRule type="expression" dxfId="33317" priority="6319" stopIfTrue="1">
      <formula>AND(P232&gt;=8000,P232&lt;=9999)</formula>
    </cfRule>
    <cfRule type="expression" dxfId="33316" priority="6320" stopIfTrue="1">
      <formula>AND(P232&gt;=78100,P232&lt;=78199)</formula>
    </cfRule>
    <cfRule type="expression" dxfId="33315" priority="6321" stopIfTrue="1">
      <formula>AND(P232&gt;=92000,P232&lt;=98999)</formula>
    </cfRule>
    <cfRule type="expression" dxfId="33314" priority="6322" stopIfTrue="1">
      <formula>AND(P232&gt;=78100,P232&lt;=78199)</formula>
    </cfRule>
    <cfRule type="expression" dxfId="33313" priority="6323" stopIfTrue="1">
      <formula>AND(P232&gt;=91000,P232&lt;=91999)</formula>
    </cfRule>
  </conditionalFormatting>
  <conditionalFormatting sqref="AE571:AE574 AM571:AM574 AU571:AU574 AA571:AA574 AI571:AI574 AQ571:AQ574 W571:W574 BK571:BK574 BG571:BG574 BC571:BC574 AY571:AY574 S571:S574 O571:O574 K571:K574">
    <cfRule type="expression" dxfId="33312" priority="6301">
      <formula>AND(L571&gt;=79001,L571&lt;79900)</formula>
    </cfRule>
    <cfRule type="expression" dxfId="33311" priority="6302" stopIfTrue="1">
      <formula>AND(L571&gt;=70101,L571&lt;=70301)</formula>
    </cfRule>
    <cfRule type="expression" dxfId="33310" priority="6303" stopIfTrue="1">
      <formula>AND(L571&gt;70000,L571&lt;70004)</formula>
    </cfRule>
    <cfRule type="expression" dxfId="33309" priority="6304" stopIfTrue="1">
      <formula>AND(L571&gt;=70010,L571&lt;=76000)</formula>
    </cfRule>
    <cfRule type="expression" dxfId="33308" priority="6305">
      <formula>AND(L571&gt;70000,L571&lt;70004)</formula>
    </cfRule>
    <cfRule type="expression" dxfId="33307" priority="6306" stopIfTrue="1">
      <formula>OR(AND(L571&gt;=10000,L571&lt;=56999),AND(L571&gt;=57000,L571&lt;=57999))</formula>
    </cfRule>
    <cfRule type="expression" dxfId="33306" priority="6307" stopIfTrue="1">
      <formula>AND(L571&gt;=8000,L571&lt;=9999)</formula>
    </cfRule>
    <cfRule type="expression" dxfId="33305" priority="6308" stopIfTrue="1">
      <formula>AND(L571&gt;=78100,L571&lt;=78199)</formula>
    </cfRule>
    <cfRule type="expression" dxfId="33304" priority="6309" stopIfTrue="1">
      <formula>AND(L571&gt;=92000,L571&lt;=98999)</formula>
    </cfRule>
    <cfRule type="expression" dxfId="33303" priority="6310" stopIfTrue="1">
      <formula>AND(L571&gt;=78100,L571&lt;=78199)</formula>
    </cfRule>
    <cfRule type="expression" dxfId="33302" priority="6311" stopIfTrue="1">
      <formula>AND(L571&gt;=91000,L571&lt;=91999)</formula>
    </cfRule>
  </conditionalFormatting>
  <conditionalFormatting sqref="AE575:AE578 AM575:AM578 AU575:AU578 AA575:AA578 AI575:AI578 AQ575:AQ578 W575:W578 BK575:BK578 BG575:BG578 BC575:BC578 AY575:AY578 S575:S578 O575:O578 K575:K578">
    <cfRule type="expression" dxfId="33301" priority="6289">
      <formula>AND(L575&gt;=79001,L575&lt;79900)</formula>
    </cfRule>
    <cfRule type="expression" dxfId="33300" priority="6290" stopIfTrue="1">
      <formula>AND(L575&gt;=70101,L575&lt;=70301)</formula>
    </cfRule>
    <cfRule type="expression" dxfId="33299" priority="6291" stopIfTrue="1">
      <formula>AND(L575&gt;70000,L575&lt;70004)</formula>
    </cfRule>
    <cfRule type="expression" dxfId="33298" priority="6292" stopIfTrue="1">
      <formula>AND(L575&gt;=70010,L575&lt;=76000)</formula>
    </cfRule>
    <cfRule type="expression" dxfId="33297" priority="6293">
      <formula>AND(L575&gt;70000,L575&lt;70004)</formula>
    </cfRule>
    <cfRule type="expression" dxfId="33296" priority="6294" stopIfTrue="1">
      <formula>OR(AND(L575&gt;=10000,L575&lt;=56999),AND(L575&gt;=57000,L575&lt;=57999))</formula>
    </cfRule>
    <cfRule type="expression" dxfId="33295" priority="6295" stopIfTrue="1">
      <formula>AND(L575&gt;=8000,L575&lt;=9999)</formula>
    </cfRule>
    <cfRule type="expression" dxfId="33294" priority="6296" stopIfTrue="1">
      <formula>AND(L575&gt;=78100,L575&lt;=78199)</formula>
    </cfRule>
    <cfRule type="expression" dxfId="33293" priority="6297" stopIfTrue="1">
      <formula>AND(L575&gt;=92000,L575&lt;=98999)</formula>
    </cfRule>
    <cfRule type="expression" dxfId="33292" priority="6298" stopIfTrue="1">
      <formula>AND(L575&gt;=78100,L575&lt;=78199)</formula>
    </cfRule>
    <cfRule type="expression" dxfId="33291" priority="6299" stopIfTrue="1">
      <formula>AND(L575&gt;=91000,L575&lt;=91999)</formula>
    </cfRule>
  </conditionalFormatting>
  <conditionalFormatting sqref="AE579:AE582 AM579:AM582 AU579:AU582 AA579:AA582 AI579:AI582 AQ579:AQ582 W579:W582 BK579:BK582 BG579:BG582 BC579:BC582 AY579:AY582 S579:S582 O579:O582 K579:K582">
    <cfRule type="expression" dxfId="33290" priority="6278">
      <formula>AND(L579&gt;=79001,L579&lt;79900)</formula>
    </cfRule>
    <cfRule type="expression" dxfId="33289" priority="6279" stopIfTrue="1">
      <formula>AND(L579&gt;=70101,L579&lt;=70301)</formula>
    </cfRule>
    <cfRule type="expression" dxfId="33288" priority="6280" stopIfTrue="1">
      <formula>AND(L579&gt;70000,L579&lt;70004)</formula>
    </cfRule>
    <cfRule type="expression" dxfId="33287" priority="6281" stopIfTrue="1">
      <formula>AND(L579&gt;=70010,L579&lt;=76000)</formula>
    </cfRule>
    <cfRule type="expression" dxfId="33286" priority="6282">
      <formula>AND(L579&gt;70000,L579&lt;70004)</formula>
    </cfRule>
    <cfRule type="expression" dxfId="33285" priority="6283" stopIfTrue="1">
      <formula>OR(AND(L579&gt;=10000,L579&lt;=56999),AND(L579&gt;=57000,L579&lt;=57999))</formula>
    </cfRule>
    <cfRule type="expression" dxfId="33284" priority="6284" stopIfTrue="1">
      <formula>AND(L579&gt;=8000,L579&lt;=9999)</formula>
    </cfRule>
    <cfRule type="expression" dxfId="33283" priority="6285" stopIfTrue="1">
      <formula>AND(L579&gt;=78100,L579&lt;=78199)</formula>
    </cfRule>
    <cfRule type="expression" dxfId="33282" priority="6286" stopIfTrue="1">
      <formula>AND(L579&gt;=92000,L579&lt;=98999)</formula>
    </cfRule>
    <cfRule type="expression" dxfId="33281" priority="6287" stopIfTrue="1">
      <formula>AND(L579&gt;=78100,L579&lt;=78199)</formula>
    </cfRule>
    <cfRule type="expression" dxfId="33280" priority="6288" stopIfTrue="1">
      <formula>AND(L579&gt;=91000,L579&lt;=91999)</formula>
    </cfRule>
  </conditionalFormatting>
  <conditionalFormatting sqref="AE583:AE586 AM583:AM586 AU583:AU586 AA583:AA586 AI583:AI586 AQ583:AQ586 W583:W586 BK583:BK586 BG583:BG586 BC583:BC586 AY583:AY586 S583:S586 O583:O586 K583:K586">
    <cfRule type="expression" dxfId="33279" priority="6267">
      <formula>AND(L583&gt;=79001,L583&lt;79900)</formula>
    </cfRule>
    <cfRule type="expression" dxfId="33278" priority="6268" stopIfTrue="1">
      <formula>AND(L583&gt;=70101,L583&lt;=70301)</formula>
    </cfRule>
    <cfRule type="expression" dxfId="33277" priority="6269" stopIfTrue="1">
      <formula>AND(L583&gt;70000,L583&lt;70004)</formula>
    </cfRule>
    <cfRule type="expression" dxfId="33276" priority="6270" stopIfTrue="1">
      <formula>AND(L583&gt;=70010,L583&lt;=76000)</formula>
    </cfRule>
    <cfRule type="expression" dxfId="33275" priority="6271">
      <formula>AND(L583&gt;70000,L583&lt;70004)</formula>
    </cfRule>
    <cfRule type="expression" dxfId="33274" priority="6272" stopIfTrue="1">
      <formula>OR(AND(L583&gt;=10000,L583&lt;=56999),AND(L583&gt;=57000,L583&lt;=57999))</formula>
    </cfRule>
    <cfRule type="expression" dxfId="33273" priority="6273" stopIfTrue="1">
      <formula>AND(L583&gt;=8000,L583&lt;=9999)</formula>
    </cfRule>
    <cfRule type="expression" dxfId="33272" priority="6274" stopIfTrue="1">
      <formula>AND(L583&gt;=78100,L583&lt;=78199)</formula>
    </cfRule>
    <cfRule type="expression" dxfId="33271" priority="6275" stopIfTrue="1">
      <formula>AND(L583&gt;=92000,L583&lt;=98999)</formula>
    </cfRule>
    <cfRule type="expression" dxfId="33270" priority="6276" stopIfTrue="1">
      <formula>AND(L583&gt;=78100,L583&lt;=78199)</formula>
    </cfRule>
    <cfRule type="expression" dxfId="33269" priority="6277" stopIfTrue="1">
      <formula>AND(L583&gt;=91000,L583&lt;=91999)</formula>
    </cfRule>
  </conditionalFormatting>
  <conditionalFormatting sqref="AE590:AE593 AM590:AM593 AU590:AU593 AA590:AA593 AI590:AI593 AQ590:AQ593 W590:W593 BK590:BK593 BG590:BG593 BC590:BC593 AY590:AY593 S590:S593 O590:O593 K590:K593">
    <cfRule type="expression" dxfId="33268" priority="6256">
      <formula>AND(L590&gt;=79001,L590&lt;79900)</formula>
    </cfRule>
    <cfRule type="expression" dxfId="33267" priority="6257" stopIfTrue="1">
      <formula>AND(L590&gt;=70101,L590&lt;=70301)</formula>
    </cfRule>
    <cfRule type="expression" dxfId="33266" priority="6258" stopIfTrue="1">
      <formula>AND(L590&gt;70000,L590&lt;70004)</formula>
    </cfRule>
    <cfRule type="expression" dxfId="33265" priority="6259" stopIfTrue="1">
      <formula>AND(L590&gt;=70010,L590&lt;=76000)</formula>
    </cfRule>
    <cfRule type="expression" dxfId="33264" priority="6260">
      <formula>AND(L590&gt;70000,L590&lt;70004)</formula>
    </cfRule>
    <cfRule type="expression" dxfId="33263" priority="6261" stopIfTrue="1">
      <formula>OR(AND(L590&gt;=10000,L590&lt;=56999),AND(L590&gt;=57000,L590&lt;=57999))</formula>
    </cfRule>
    <cfRule type="expression" dxfId="33262" priority="6262" stopIfTrue="1">
      <formula>AND(L590&gt;=8000,L590&lt;=9999)</formula>
    </cfRule>
    <cfRule type="expression" dxfId="33261" priority="6263" stopIfTrue="1">
      <formula>AND(L590&gt;=78100,L590&lt;=78199)</formula>
    </cfRule>
    <cfRule type="expression" dxfId="33260" priority="6264" stopIfTrue="1">
      <formula>AND(L590&gt;=92000,L590&lt;=98999)</formula>
    </cfRule>
    <cfRule type="expression" dxfId="33259" priority="6265" stopIfTrue="1">
      <formula>AND(L590&gt;=78100,L590&lt;=78199)</formula>
    </cfRule>
    <cfRule type="expression" dxfId="33258" priority="6266" stopIfTrue="1">
      <formula>AND(L590&gt;=91000,L590&lt;=91999)</formula>
    </cfRule>
  </conditionalFormatting>
  <conditionalFormatting sqref="AE594:AE597 AM594:AM597 AU594:AU597 AA594:AA597 AI594:AI597 AQ594:AQ597 W594:W597 BK594:BK597 BG594:BG597 BC594:BC597 AY594:AY597 S594:S597 O594:O597 K594:K597">
    <cfRule type="expression" dxfId="33257" priority="6245">
      <formula>AND(L594&gt;=79001,L594&lt;79900)</formula>
    </cfRule>
    <cfRule type="expression" dxfId="33256" priority="6246" stopIfTrue="1">
      <formula>AND(L594&gt;=70101,L594&lt;=70301)</formula>
    </cfRule>
    <cfRule type="expression" dxfId="33255" priority="6247" stopIfTrue="1">
      <formula>AND(L594&gt;70000,L594&lt;70004)</formula>
    </cfRule>
    <cfRule type="expression" dxfId="33254" priority="6248" stopIfTrue="1">
      <formula>AND(L594&gt;=70010,L594&lt;=76000)</formula>
    </cfRule>
    <cfRule type="expression" dxfId="33253" priority="6249">
      <formula>AND(L594&gt;70000,L594&lt;70004)</formula>
    </cfRule>
    <cfRule type="expression" dxfId="33252" priority="6250" stopIfTrue="1">
      <formula>OR(AND(L594&gt;=10000,L594&lt;=56999),AND(L594&gt;=57000,L594&lt;=57999))</formula>
    </cfRule>
    <cfRule type="expression" dxfId="33251" priority="6251" stopIfTrue="1">
      <formula>AND(L594&gt;=8000,L594&lt;=9999)</formula>
    </cfRule>
    <cfRule type="expression" dxfId="33250" priority="6252" stopIfTrue="1">
      <formula>AND(L594&gt;=78100,L594&lt;=78199)</formula>
    </cfRule>
    <cfRule type="expression" dxfId="33249" priority="6253" stopIfTrue="1">
      <formula>AND(L594&gt;=92000,L594&lt;=98999)</formula>
    </cfRule>
    <cfRule type="expression" dxfId="33248" priority="6254" stopIfTrue="1">
      <formula>AND(L594&gt;=78100,L594&lt;=78199)</formula>
    </cfRule>
    <cfRule type="expression" dxfId="33247" priority="6255" stopIfTrue="1">
      <formula>AND(L594&gt;=91000,L594&lt;=91999)</formula>
    </cfRule>
  </conditionalFormatting>
  <conditionalFormatting sqref="K598:K601 O598:O601 S598:S601 AY598:AY601 BC598:BC601 BG598:BG601 BK598:BK601 W598:W601 AQ598:AQ601 AI598:AI601 AA598:AA601 AU598:AU601 AM598:AM601 AE598:AE601">
    <cfRule type="expression" dxfId="33246" priority="6234">
      <formula>AND(L598&gt;=79001,L598&lt;79900)</formula>
    </cfRule>
    <cfRule type="expression" dxfId="33245" priority="6235" stopIfTrue="1">
      <formula>AND(L598&gt;=70101,L598&lt;=70301)</formula>
    </cfRule>
    <cfRule type="expression" dxfId="33244" priority="6236" stopIfTrue="1">
      <formula>AND(L598&gt;70000,L598&lt;70004)</formula>
    </cfRule>
    <cfRule type="expression" dxfId="33243" priority="6237" stopIfTrue="1">
      <formula>AND(L598&gt;=70010,L598&lt;=76000)</formula>
    </cfRule>
    <cfRule type="expression" dxfId="33242" priority="6238">
      <formula>AND(L598&gt;70000,L598&lt;70004)</formula>
    </cfRule>
    <cfRule type="expression" dxfId="33241" priority="6239" stopIfTrue="1">
      <formula>OR(AND(L598&gt;=10000,L598&lt;=56999),AND(L598&gt;=57000,L598&lt;=57999))</formula>
    </cfRule>
    <cfRule type="expression" dxfId="33240" priority="6240" stopIfTrue="1">
      <formula>AND(L598&gt;=8000,L598&lt;=9999)</formula>
    </cfRule>
    <cfRule type="expression" dxfId="33239" priority="6241" stopIfTrue="1">
      <formula>AND(L598&gt;=78100,L598&lt;=78199)</formula>
    </cfRule>
    <cfRule type="expression" dxfId="33238" priority="6242" stopIfTrue="1">
      <formula>AND(L598&gt;=92000,L598&lt;=98999)</formula>
    </cfRule>
    <cfRule type="expression" dxfId="33237" priority="6243" stopIfTrue="1">
      <formula>AND(L598&gt;=78100,L598&lt;=78199)</formula>
    </cfRule>
    <cfRule type="expression" dxfId="33236" priority="6244" stopIfTrue="1">
      <formula>AND(L598&gt;=91000,L598&lt;=91999)</formula>
    </cfRule>
  </conditionalFormatting>
  <conditionalFormatting sqref="AE680:AE689 AI680:AI689">
    <cfRule type="expression" dxfId="33235" priority="6189">
      <formula>AND(AF680&gt;=79001,AF680&lt;79900)</formula>
    </cfRule>
    <cfRule type="expression" dxfId="33234" priority="6190" stopIfTrue="1">
      <formula>AND(AF680&gt;=70101,AF680&lt;=70301)</formula>
    </cfRule>
    <cfRule type="expression" dxfId="33233" priority="6191" stopIfTrue="1">
      <formula>AND(AF680&gt;70000,AF680&lt;70004)</formula>
    </cfRule>
    <cfRule type="expression" dxfId="33232" priority="6192" stopIfTrue="1">
      <formula>AND(AF680&gt;=70010,AF680&lt;=76000)</formula>
    </cfRule>
    <cfRule type="expression" dxfId="33231" priority="6193">
      <formula>AND(AF680&gt;70000,AF680&lt;70004)</formula>
    </cfRule>
    <cfRule type="expression" dxfId="33230" priority="6194" stopIfTrue="1">
      <formula>OR(AND(AF680&gt;=10000,AF680&lt;=56999),AND(AF680&gt;=57000,AF680&lt;=57999))</formula>
    </cfRule>
    <cfRule type="expression" dxfId="33229" priority="6195" stopIfTrue="1">
      <formula>AND(AF680&gt;=8000,AF680&lt;=9999)</formula>
    </cfRule>
    <cfRule type="expression" dxfId="33228" priority="6196" stopIfTrue="1">
      <formula>AND(AF680&gt;=78100,AF680&lt;=78199)</formula>
    </cfRule>
    <cfRule type="expression" dxfId="33227" priority="6197" stopIfTrue="1">
      <formula>AND(AF680&gt;=92000,AF680&lt;=98999)</formula>
    </cfRule>
    <cfRule type="expression" dxfId="33226" priority="6198" stopIfTrue="1">
      <formula>AND(AF680&gt;=78100,AF680&lt;=78199)</formula>
    </cfRule>
    <cfRule type="expression" dxfId="33225" priority="6199" stopIfTrue="1">
      <formula>AND(AF680&gt;=91000,AF680&lt;=91999)</formula>
    </cfRule>
  </conditionalFormatting>
  <conditionalFormatting sqref="AE695:AE704 AI695:AI704">
    <cfRule type="expression" dxfId="33224" priority="6178">
      <formula>AND(AF695&gt;=79001,AF695&lt;79900)</formula>
    </cfRule>
    <cfRule type="expression" dxfId="33223" priority="6179" stopIfTrue="1">
      <formula>AND(AF695&gt;=70101,AF695&lt;=70301)</formula>
    </cfRule>
    <cfRule type="expression" dxfId="33222" priority="6180" stopIfTrue="1">
      <formula>AND(AF695&gt;70000,AF695&lt;70004)</formula>
    </cfRule>
    <cfRule type="expression" dxfId="33221" priority="6181" stopIfTrue="1">
      <formula>AND(AF695&gt;=70010,AF695&lt;=76000)</formula>
    </cfRule>
    <cfRule type="expression" dxfId="33220" priority="6182">
      <formula>AND(AF695&gt;70000,AF695&lt;70004)</formula>
    </cfRule>
    <cfRule type="expression" dxfId="33219" priority="6183" stopIfTrue="1">
      <formula>OR(AND(AF695&gt;=10000,AF695&lt;=56999),AND(AF695&gt;=57000,AF695&lt;=57999))</formula>
    </cfRule>
    <cfRule type="expression" dxfId="33218" priority="6184" stopIfTrue="1">
      <formula>AND(AF695&gt;=8000,AF695&lt;=9999)</formula>
    </cfRule>
    <cfRule type="expression" dxfId="33217" priority="6185" stopIfTrue="1">
      <formula>AND(AF695&gt;=78100,AF695&lt;=78199)</formula>
    </cfRule>
    <cfRule type="expression" dxfId="33216" priority="6186" stopIfTrue="1">
      <formula>AND(AF695&gt;=92000,AF695&lt;=98999)</formula>
    </cfRule>
    <cfRule type="expression" dxfId="33215" priority="6187" stopIfTrue="1">
      <formula>AND(AF695&gt;=78100,AF695&lt;=78199)</formula>
    </cfRule>
    <cfRule type="expression" dxfId="33214" priority="6188" stopIfTrue="1">
      <formula>AND(AF695&gt;=91000,AF695&lt;=91999)</formula>
    </cfRule>
  </conditionalFormatting>
  <conditionalFormatting sqref="AE710:AE719 AI710:AI719">
    <cfRule type="expression" dxfId="33213" priority="6167">
      <formula>AND(AF710&gt;=79001,AF710&lt;79900)</formula>
    </cfRule>
    <cfRule type="expression" dxfId="33212" priority="6168" stopIfTrue="1">
      <formula>AND(AF710&gt;=70101,AF710&lt;=70301)</formula>
    </cfRule>
    <cfRule type="expression" dxfId="33211" priority="6169" stopIfTrue="1">
      <formula>AND(AF710&gt;70000,AF710&lt;70004)</formula>
    </cfRule>
    <cfRule type="expression" dxfId="33210" priority="6170" stopIfTrue="1">
      <formula>AND(AF710&gt;=70010,AF710&lt;=76000)</formula>
    </cfRule>
    <cfRule type="expression" dxfId="33209" priority="6171">
      <formula>AND(AF710&gt;70000,AF710&lt;70004)</formula>
    </cfRule>
    <cfRule type="expression" dxfId="33208" priority="6172" stopIfTrue="1">
      <formula>OR(AND(AF710&gt;=10000,AF710&lt;=56999),AND(AF710&gt;=57000,AF710&lt;=57999))</formula>
    </cfRule>
    <cfRule type="expression" dxfId="33207" priority="6173" stopIfTrue="1">
      <formula>AND(AF710&gt;=8000,AF710&lt;=9999)</formula>
    </cfRule>
    <cfRule type="expression" dxfId="33206" priority="6174" stopIfTrue="1">
      <formula>AND(AF710&gt;=78100,AF710&lt;=78199)</formula>
    </cfRule>
    <cfRule type="expression" dxfId="33205" priority="6175" stopIfTrue="1">
      <formula>AND(AF710&gt;=92000,AF710&lt;=98999)</formula>
    </cfRule>
    <cfRule type="expression" dxfId="33204" priority="6176" stopIfTrue="1">
      <formula>AND(AF710&gt;=78100,AF710&lt;=78199)</formula>
    </cfRule>
    <cfRule type="expression" dxfId="33203" priority="6177" stopIfTrue="1">
      <formula>AND(AF710&gt;=91000,AF710&lt;=91999)</formula>
    </cfRule>
  </conditionalFormatting>
  <conditionalFormatting sqref="AE725:AE734 AI725:AI734">
    <cfRule type="expression" dxfId="33202" priority="6156">
      <formula>AND(AF725&gt;=79001,AF725&lt;79900)</formula>
    </cfRule>
    <cfRule type="expression" dxfId="33201" priority="6157" stopIfTrue="1">
      <formula>AND(AF725&gt;=70101,AF725&lt;=70301)</formula>
    </cfRule>
    <cfRule type="expression" dxfId="33200" priority="6158" stopIfTrue="1">
      <formula>AND(AF725&gt;70000,AF725&lt;70004)</formula>
    </cfRule>
    <cfRule type="expression" dxfId="33199" priority="6159" stopIfTrue="1">
      <formula>AND(AF725&gt;=70010,AF725&lt;=76000)</formula>
    </cfRule>
    <cfRule type="expression" dxfId="33198" priority="6160">
      <formula>AND(AF725&gt;70000,AF725&lt;70004)</formula>
    </cfRule>
    <cfRule type="expression" dxfId="33197" priority="6161" stopIfTrue="1">
      <formula>OR(AND(AF725&gt;=10000,AF725&lt;=56999),AND(AF725&gt;=57000,AF725&lt;=57999))</formula>
    </cfRule>
    <cfRule type="expression" dxfId="33196" priority="6162" stopIfTrue="1">
      <formula>AND(AF725&gt;=8000,AF725&lt;=9999)</formula>
    </cfRule>
    <cfRule type="expression" dxfId="33195" priority="6163" stopIfTrue="1">
      <formula>AND(AF725&gt;=78100,AF725&lt;=78199)</formula>
    </cfRule>
    <cfRule type="expression" dxfId="33194" priority="6164" stopIfTrue="1">
      <formula>AND(AF725&gt;=92000,AF725&lt;=98999)</formula>
    </cfRule>
    <cfRule type="expression" dxfId="33193" priority="6165" stopIfTrue="1">
      <formula>AND(AF725&gt;=78100,AF725&lt;=78199)</formula>
    </cfRule>
    <cfRule type="expression" dxfId="33192" priority="6166" stopIfTrue="1">
      <formula>AND(AF725&gt;=91000,AF725&lt;=91999)</formula>
    </cfRule>
  </conditionalFormatting>
  <conditionalFormatting sqref="AE740:AE749 AI740:AI749">
    <cfRule type="expression" dxfId="33191" priority="6145">
      <formula>AND(AF740&gt;=79001,AF740&lt;79900)</formula>
    </cfRule>
    <cfRule type="expression" dxfId="33190" priority="6146" stopIfTrue="1">
      <formula>AND(AF740&gt;=70101,AF740&lt;=70301)</formula>
    </cfRule>
    <cfRule type="expression" dxfId="33189" priority="6147" stopIfTrue="1">
      <formula>AND(AF740&gt;70000,AF740&lt;70004)</formula>
    </cfRule>
    <cfRule type="expression" dxfId="33188" priority="6148" stopIfTrue="1">
      <formula>AND(AF740&gt;=70010,AF740&lt;=76000)</formula>
    </cfRule>
    <cfRule type="expression" dxfId="33187" priority="6149">
      <formula>AND(AF740&gt;70000,AF740&lt;70004)</formula>
    </cfRule>
    <cfRule type="expression" dxfId="33186" priority="6150" stopIfTrue="1">
      <formula>OR(AND(AF740&gt;=10000,AF740&lt;=56999),AND(AF740&gt;=57000,AF740&lt;=57999))</formula>
    </cfRule>
    <cfRule type="expression" dxfId="33185" priority="6151" stopIfTrue="1">
      <formula>AND(AF740&gt;=8000,AF740&lt;=9999)</formula>
    </cfRule>
    <cfRule type="expression" dxfId="33184" priority="6152" stopIfTrue="1">
      <formula>AND(AF740&gt;=78100,AF740&lt;=78199)</formula>
    </cfRule>
    <cfRule type="expression" dxfId="33183" priority="6153" stopIfTrue="1">
      <formula>AND(AF740&gt;=92000,AF740&lt;=98999)</formula>
    </cfRule>
    <cfRule type="expression" dxfId="33182" priority="6154" stopIfTrue="1">
      <formula>AND(AF740&gt;=78100,AF740&lt;=78199)</formula>
    </cfRule>
    <cfRule type="expression" dxfId="33181" priority="6155" stopIfTrue="1">
      <formula>AND(AF740&gt;=91000,AF740&lt;=91999)</formula>
    </cfRule>
  </conditionalFormatting>
  <conditionalFormatting sqref="AE755:AE764 AI755:AI764">
    <cfRule type="expression" dxfId="33180" priority="6134">
      <formula>AND(AF755&gt;=79001,AF755&lt;79900)</formula>
    </cfRule>
    <cfRule type="expression" dxfId="33179" priority="6135" stopIfTrue="1">
      <formula>AND(AF755&gt;=70101,AF755&lt;=70301)</formula>
    </cfRule>
    <cfRule type="expression" dxfId="33178" priority="6136" stopIfTrue="1">
      <formula>AND(AF755&gt;70000,AF755&lt;70004)</formula>
    </cfRule>
    <cfRule type="expression" dxfId="33177" priority="6137" stopIfTrue="1">
      <formula>AND(AF755&gt;=70010,AF755&lt;=76000)</formula>
    </cfRule>
    <cfRule type="expression" dxfId="33176" priority="6138">
      <formula>AND(AF755&gt;70000,AF755&lt;70004)</formula>
    </cfRule>
    <cfRule type="expression" dxfId="33175" priority="6139" stopIfTrue="1">
      <formula>OR(AND(AF755&gt;=10000,AF755&lt;=56999),AND(AF755&gt;=57000,AF755&lt;=57999))</formula>
    </cfRule>
    <cfRule type="expression" dxfId="33174" priority="6140" stopIfTrue="1">
      <formula>AND(AF755&gt;=8000,AF755&lt;=9999)</formula>
    </cfRule>
    <cfRule type="expression" dxfId="33173" priority="6141" stopIfTrue="1">
      <formula>AND(AF755&gt;=78100,AF755&lt;=78199)</formula>
    </cfRule>
    <cfRule type="expression" dxfId="33172" priority="6142" stopIfTrue="1">
      <formula>AND(AF755&gt;=92000,AF755&lt;=98999)</formula>
    </cfRule>
    <cfRule type="expression" dxfId="33171" priority="6143" stopIfTrue="1">
      <formula>AND(AF755&gt;=78100,AF755&lt;=78199)</formula>
    </cfRule>
    <cfRule type="expression" dxfId="33170" priority="6144" stopIfTrue="1">
      <formula>AND(AF755&gt;=91000,AF755&lt;=91999)</formula>
    </cfRule>
  </conditionalFormatting>
  <conditionalFormatting sqref="AE770:AE779 AI770:AI779">
    <cfRule type="expression" dxfId="33169" priority="6123">
      <formula>AND(AF770&gt;=79001,AF770&lt;79900)</formula>
    </cfRule>
    <cfRule type="expression" dxfId="33168" priority="6124" stopIfTrue="1">
      <formula>AND(AF770&gt;=70101,AF770&lt;=70301)</formula>
    </cfRule>
    <cfRule type="expression" dxfId="33167" priority="6125" stopIfTrue="1">
      <formula>AND(AF770&gt;70000,AF770&lt;70004)</formula>
    </cfRule>
    <cfRule type="expression" dxfId="33166" priority="6126" stopIfTrue="1">
      <formula>AND(AF770&gt;=70010,AF770&lt;=76000)</formula>
    </cfRule>
    <cfRule type="expression" dxfId="33165" priority="6127">
      <formula>AND(AF770&gt;70000,AF770&lt;70004)</formula>
    </cfRule>
    <cfRule type="expression" dxfId="33164" priority="6128" stopIfTrue="1">
      <formula>OR(AND(AF770&gt;=10000,AF770&lt;=56999),AND(AF770&gt;=57000,AF770&lt;=57999))</formula>
    </cfRule>
    <cfRule type="expression" dxfId="33163" priority="6129" stopIfTrue="1">
      <formula>AND(AF770&gt;=8000,AF770&lt;=9999)</formula>
    </cfRule>
    <cfRule type="expression" dxfId="33162" priority="6130" stopIfTrue="1">
      <formula>AND(AF770&gt;=78100,AF770&lt;=78199)</formula>
    </cfRule>
    <cfRule type="expression" dxfId="33161" priority="6131" stopIfTrue="1">
      <formula>AND(AF770&gt;=92000,AF770&lt;=98999)</formula>
    </cfRule>
    <cfRule type="expression" dxfId="33160" priority="6132" stopIfTrue="1">
      <formula>AND(AF770&gt;=78100,AF770&lt;=78199)</formula>
    </cfRule>
    <cfRule type="expression" dxfId="33159" priority="6133" stopIfTrue="1">
      <formula>AND(AF770&gt;=91000,AF770&lt;=91999)</formula>
    </cfRule>
  </conditionalFormatting>
  <conditionalFormatting sqref="AE785:AE794 AI785:AI794">
    <cfRule type="expression" dxfId="33158" priority="6112">
      <formula>AND(AF785&gt;=79001,AF785&lt;79900)</formula>
    </cfRule>
    <cfRule type="expression" dxfId="33157" priority="6113" stopIfTrue="1">
      <formula>AND(AF785&gt;=70101,AF785&lt;=70301)</formula>
    </cfRule>
    <cfRule type="expression" dxfId="33156" priority="6114" stopIfTrue="1">
      <formula>AND(AF785&gt;70000,AF785&lt;70004)</formula>
    </cfRule>
    <cfRule type="expression" dxfId="33155" priority="6115" stopIfTrue="1">
      <formula>AND(AF785&gt;=70010,AF785&lt;=76000)</formula>
    </cfRule>
    <cfRule type="expression" dxfId="33154" priority="6116">
      <formula>AND(AF785&gt;70000,AF785&lt;70004)</formula>
    </cfRule>
    <cfRule type="expression" dxfId="33153" priority="6117" stopIfTrue="1">
      <formula>OR(AND(AF785&gt;=10000,AF785&lt;=56999),AND(AF785&gt;=57000,AF785&lt;=57999))</formula>
    </cfRule>
    <cfRule type="expression" dxfId="33152" priority="6118" stopIfTrue="1">
      <formula>AND(AF785&gt;=8000,AF785&lt;=9999)</formula>
    </cfRule>
    <cfRule type="expression" dxfId="33151" priority="6119" stopIfTrue="1">
      <formula>AND(AF785&gt;=78100,AF785&lt;=78199)</formula>
    </cfRule>
    <cfRule type="expression" dxfId="33150" priority="6120" stopIfTrue="1">
      <formula>AND(AF785&gt;=92000,AF785&lt;=98999)</formula>
    </cfRule>
    <cfRule type="expression" dxfId="33149" priority="6121" stopIfTrue="1">
      <formula>AND(AF785&gt;=78100,AF785&lt;=78199)</formula>
    </cfRule>
    <cfRule type="expression" dxfId="33148" priority="6122" stopIfTrue="1">
      <formula>AND(AF785&gt;=91000,AF785&lt;=91999)</formula>
    </cfRule>
  </conditionalFormatting>
  <conditionalFormatting sqref="G76:G81 G85:G90 G94:G99">
    <cfRule type="expression" dxfId="33147" priority="6101">
      <formula>AND(H76&gt;=79001,H76&lt;79900)</formula>
    </cfRule>
    <cfRule type="expression" dxfId="33146" priority="6102" stopIfTrue="1">
      <formula>AND(H76&gt;=70101,H76&lt;=70301)</formula>
    </cfRule>
    <cfRule type="expression" dxfId="33145" priority="6103" stopIfTrue="1">
      <formula>AND(H76&gt;70000,H76&lt;70004)</formula>
    </cfRule>
    <cfRule type="expression" dxfId="33144" priority="6104" stopIfTrue="1">
      <formula>AND(H76&gt;=70010,H76&lt;=76000)</formula>
    </cfRule>
    <cfRule type="expression" dxfId="33143" priority="6105">
      <formula>AND(H76&gt;70000,H76&lt;70004)</formula>
    </cfRule>
    <cfRule type="expression" dxfId="33142" priority="6106" stopIfTrue="1">
      <formula>OR(AND(H76&gt;=10000,H76&lt;=56999),AND(H76&gt;=57000,H76&lt;=57999))</formula>
    </cfRule>
    <cfRule type="expression" dxfId="33141" priority="6107" stopIfTrue="1">
      <formula>AND(H76&gt;=8000,H76&lt;=9999)</formula>
    </cfRule>
    <cfRule type="expression" dxfId="33140" priority="6108" stopIfTrue="1">
      <formula>AND(H76&gt;=78100,H76&lt;=78199)</formula>
    </cfRule>
    <cfRule type="expression" dxfId="33139" priority="6109" stopIfTrue="1">
      <formula>AND(H76&gt;=92000,H76&lt;=98999)</formula>
    </cfRule>
    <cfRule type="expression" dxfId="33138" priority="6110" stopIfTrue="1">
      <formula>AND(H76&gt;=78100,H76&lt;=78199)</formula>
    </cfRule>
    <cfRule type="expression" dxfId="33137" priority="6111" stopIfTrue="1">
      <formula>AND(H76&gt;=91000,H76&lt;=91999)</formula>
    </cfRule>
  </conditionalFormatting>
  <conditionalFormatting sqref="K76:K81 K85:K90 K94:K99">
    <cfRule type="expression" dxfId="33136" priority="6090">
      <formula>AND(L76&gt;=79001,L76&lt;79900)</formula>
    </cfRule>
    <cfRule type="expression" dxfId="33135" priority="6091" stopIfTrue="1">
      <formula>AND(L76&gt;=70101,L76&lt;=70301)</formula>
    </cfRule>
    <cfRule type="expression" dxfId="33134" priority="6092" stopIfTrue="1">
      <formula>AND(L76&gt;70000,L76&lt;70004)</formula>
    </cfRule>
    <cfRule type="expression" dxfId="33133" priority="6093" stopIfTrue="1">
      <formula>AND(L76&gt;=70010,L76&lt;=76000)</formula>
    </cfRule>
    <cfRule type="expression" dxfId="33132" priority="6094">
      <formula>AND(L76&gt;70000,L76&lt;70004)</formula>
    </cfRule>
    <cfRule type="expression" dxfId="33131" priority="6095" stopIfTrue="1">
      <formula>OR(AND(L76&gt;=10000,L76&lt;=56999),AND(L76&gt;=57000,L76&lt;=57999))</formula>
    </cfRule>
    <cfRule type="expression" dxfId="33130" priority="6096" stopIfTrue="1">
      <formula>AND(L76&gt;=8000,L76&lt;=9999)</formula>
    </cfRule>
    <cfRule type="expression" dxfId="33129" priority="6097" stopIfTrue="1">
      <formula>AND(L76&gt;=78100,L76&lt;=78199)</formula>
    </cfRule>
    <cfRule type="expression" dxfId="33128" priority="6098" stopIfTrue="1">
      <formula>AND(L76&gt;=92000,L76&lt;=98999)</formula>
    </cfRule>
    <cfRule type="expression" dxfId="33127" priority="6099" stopIfTrue="1">
      <formula>AND(L76&gt;=78100,L76&lt;=78199)</formula>
    </cfRule>
    <cfRule type="expression" dxfId="33126" priority="6100" stopIfTrue="1">
      <formula>AND(L76&gt;=91000,L76&lt;=91999)</formula>
    </cfRule>
  </conditionalFormatting>
  <conditionalFormatting sqref="O76:O81 O85:O90 O94:O99">
    <cfRule type="expression" dxfId="33125" priority="6079">
      <formula>AND(P76&gt;=79001,P76&lt;79900)</formula>
    </cfRule>
    <cfRule type="expression" dxfId="33124" priority="6080" stopIfTrue="1">
      <formula>AND(P76&gt;=70101,P76&lt;=70301)</formula>
    </cfRule>
    <cfRule type="expression" dxfId="33123" priority="6081" stopIfTrue="1">
      <formula>AND(P76&gt;70000,P76&lt;70004)</formula>
    </cfRule>
    <cfRule type="expression" dxfId="33122" priority="6082" stopIfTrue="1">
      <formula>AND(P76&gt;=70010,P76&lt;=76000)</formula>
    </cfRule>
    <cfRule type="expression" dxfId="33121" priority="6083">
      <formula>AND(P76&gt;70000,P76&lt;70004)</formula>
    </cfRule>
    <cfRule type="expression" dxfId="33120" priority="6084" stopIfTrue="1">
      <formula>OR(AND(P76&gt;=10000,P76&lt;=56999),AND(P76&gt;=57000,P76&lt;=57999))</formula>
    </cfRule>
    <cfRule type="expression" dxfId="33119" priority="6085" stopIfTrue="1">
      <formula>AND(P76&gt;=8000,P76&lt;=9999)</formula>
    </cfRule>
    <cfRule type="expression" dxfId="33118" priority="6086" stopIfTrue="1">
      <formula>AND(P76&gt;=78100,P76&lt;=78199)</formula>
    </cfRule>
    <cfRule type="expression" dxfId="33117" priority="6087" stopIfTrue="1">
      <formula>AND(P76&gt;=92000,P76&lt;=98999)</formula>
    </cfRule>
    <cfRule type="expression" dxfId="33116" priority="6088" stopIfTrue="1">
      <formula>AND(P76&gt;=78100,P76&lt;=78199)</formula>
    </cfRule>
    <cfRule type="expression" dxfId="33115" priority="6089" stopIfTrue="1">
      <formula>AND(P76&gt;=91000,P76&lt;=91999)</formula>
    </cfRule>
  </conditionalFormatting>
  <conditionalFormatting sqref="S76:S81">
    <cfRule type="expression" dxfId="33114" priority="6068">
      <formula>AND(T76&gt;=79001,T76&lt;79900)</formula>
    </cfRule>
    <cfRule type="expression" dxfId="33113" priority="6069" stopIfTrue="1">
      <formula>AND(T76&gt;=70101,T76&lt;=70301)</formula>
    </cfRule>
    <cfRule type="expression" dxfId="33112" priority="6070" stopIfTrue="1">
      <formula>AND(T76&gt;70000,T76&lt;70004)</formula>
    </cfRule>
    <cfRule type="expression" dxfId="33111" priority="6071" stopIfTrue="1">
      <formula>AND(T76&gt;=70010,T76&lt;=76000)</formula>
    </cfRule>
    <cfRule type="expression" dxfId="33110" priority="6072">
      <formula>AND(T76&gt;70000,T76&lt;70004)</formula>
    </cfRule>
    <cfRule type="expression" dxfId="33109" priority="6073" stopIfTrue="1">
      <formula>OR(AND(T76&gt;=10000,T76&lt;=56999),AND(T76&gt;=57000,T76&lt;=57999))</formula>
    </cfRule>
    <cfRule type="expression" dxfId="33108" priority="6074" stopIfTrue="1">
      <formula>AND(T76&gt;=8000,T76&lt;=9999)</formula>
    </cfRule>
    <cfRule type="expression" dxfId="33107" priority="6075" stopIfTrue="1">
      <formula>AND(T76&gt;=78100,T76&lt;=78199)</formula>
    </cfRule>
    <cfRule type="expression" dxfId="33106" priority="6076" stopIfTrue="1">
      <formula>AND(T76&gt;=92000,T76&lt;=98999)</formula>
    </cfRule>
    <cfRule type="expression" dxfId="33105" priority="6077" stopIfTrue="1">
      <formula>AND(T76&gt;=78100,T76&lt;=78199)</formula>
    </cfRule>
    <cfRule type="expression" dxfId="33104" priority="6078" stopIfTrue="1">
      <formula>AND(T76&gt;=91000,T76&lt;=91999)</formula>
    </cfRule>
  </conditionalFormatting>
  <conditionalFormatting sqref="G81">
    <cfRule type="expression" dxfId="33103" priority="6046">
      <formula>AND(H81&gt;=79001,H81&lt;79900)</formula>
    </cfRule>
    <cfRule type="expression" dxfId="33102" priority="6047" stopIfTrue="1">
      <formula>AND(H81&gt;=70101,H81&lt;=70301)</formula>
    </cfRule>
    <cfRule type="expression" dxfId="33101" priority="6048" stopIfTrue="1">
      <formula>AND(H81&gt;70000,H81&lt;70004)</formula>
    </cfRule>
    <cfRule type="expression" dxfId="33100" priority="6049" stopIfTrue="1">
      <formula>AND(H81&gt;=70010,H81&lt;=76000)</formula>
    </cfRule>
    <cfRule type="expression" dxfId="33099" priority="6050">
      <formula>AND(H81&gt;70000,H81&lt;70004)</formula>
    </cfRule>
    <cfRule type="expression" dxfId="33098" priority="6051" stopIfTrue="1">
      <formula>OR(AND(H81&gt;=10000,H81&lt;=56999),AND(H81&gt;=57000,H81&lt;=57999))</formula>
    </cfRule>
    <cfRule type="expression" dxfId="33097" priority="6052" stopIfTrue="1">
      <formula>AND(H81&gt;=8000,H81&lt;=9999)</formula>
    </cfRule>
    <cfRule type="expression" dxfId="33096" priority="6053" stopIfTrue="1">
      <formula>AND(H81&gt;=78100,H81&lt;=78199)</formula>
    </cfRule>
    <cfRule type="expression" dxfId="33095" priority="6054" stopIfTrue="1">
      <formula>AND(H81&gt;=92000,H81&lt;=98999)</formula>
    </cfRule>
    <cfRule type="expression" dxfId="33094" priority="6055" stopIfTrue="1">
      <formula>AND(H81&gt;=78100,H81&lt;=78199)</formula>
    </cfRule>
    <cfRule type="expression" dxfId="33093" priority="6056" stopIfTrue="1">
      <formula>AND(H81&gt;=91000,H81&lt;=91999)</formula>
    </cfRule>
  </conditionalFormatting>
  <conditionalFormatting sqref="K81">
    <cfRule type="expression" dxfId="33092" priority="6035">
      <formula>AND(L81&gt;=79001,L81&lt;79900)</formula>
    </cfRule>
    <cfRule type="expression" dxfId="33091" priority="6036" stopIfTrue="1">
      <formula>AND(L81&gt;=70101,L81&lt;=70301)</formula>
    </cfRule>
    <cfRule type="expression" dxfId="33090" priority="6037" stopIfTrue="1">
      <formula>AND(L81&gt;70000,L81&lt;70004)</formula>
    </cfRule>
    <cfRule type="expression" dxfId="33089" priority="6038" stopIfTrue="1">
      <formula>AND(L81&gt;=70010,L81&lt;=76000)</formula>
    </cfRule>
    <cfRule type="expression" dxfId="33088" priority="6039">
      <formula>AND(L81&gt;70000,L81&lt;70004)</formula>
    </cfRule>
    <cfRule type="expression" dxfId="33087" priority="6040" stopIfTrue="1">
      <formula>OR(AND(L81&gt;=10000,L81&lt;=56999),AND(L81&gt;=57000,L81&lt;=57999))</formula>
    </cfRule>
    <cfRule type="expression" dxfId="33086" priority="6041" stopIfTrue="1">
      <formula>AND(L81&gt;=8000,L81&lt;=9999)</formula>
    </cfRule>
    <cfRule type="expression" dxfId="33085" priority="6042" stopIfTrue="1">
      <formula>AND(L81&gt;=78100,L81&lt;=78199)</formula>
    </cfRule>
    <cfRule type="expression" dxfId="33084" priority="6043" stopIfTrue="1">
      <formula>AND(L81&gt;=92000,L81&lt;=98999)</formula>
    </cfRule>
    <cfRule type="expression" dxfId="33083" priority="6044" stopIfTrue="1">
      <formula>AND(L81&gt;=78100,L81&lt;=78199)</formula>
    </cfRule>
    <cfRule type="expression" dxfId="33082" priority="6045" stopIfTrue="1">
      <formula>AND(L81&gt;=91000,L81&lt;=91999)</formula>
    </cfRule>
  </conditionalFormatting>
  <conditionalFormatting sqref="O81">
    <cfRule type="expression" dxfId="33081" priority="6024">
      <formula>AND(P81&gt;=79001,P81&lt;79900)</formula>
    </cfRule>
    <cfRule type="expression" dxfId="33080" priority="6025" stopIfTrue="1">
      <formula>AND(P81&gt;=70101,P81&lt;=70301)</formula>
    </cfRule>
    <cfRule type="expression" dxfId="33079" priority="6026" stopIfTrue="1">
      <formula>AND(P81&gt;70000,P81&lt;70004)</formula>
    </cfRule>
    <cfRule type="expression" dxfId="33078" priority="6027" stopIfTrue="1">
      <formula>AND(P81&gt;=70010,P81&lt;=76000)</formula>
    </cfRule>
    <cfRule type="expression" dxfId="33077" priority="6028">
      <formula>AND(P81&gt;70000,P81&lt;70004)</formula>
    </cfRule>
    <cfRule type="expression" dxfId="33076" priority="6029" stopIfTrue="1">
      <formula>OR(AND(P81&gt;=10000,P81&lt;=56999),AND(P81&gt;=57000,P81&lt;=57999))</formula>
    </cfRule>
    <cfRule type="expression" dxfId="33075" priority="6030" stopIfTrue="1">
      <formula>AND(P81&gt;=8000,P81&lt;=9999)</formula>
    </cfRule>
    <cfRule type="expression" dxfId="33074" priority="6031" stopIfTrue="1">
      <formula>AND(P81&gt;=78100,P81&lt;=78199)</formula>
    </cfRule>
    <cfRule type="expression" dxfId="33073" priority="6032" stopIfTrue="1">
      <formula>AND(P81&gt;=92000,P81&lt;=98999)</formula>
    </cfRule>
    <cfRule type="expression" dxfId="33072" priority="6033" stopIfTrue="1">
      <formula>AND(P81&gt;=78100,P81&lt;=78199)</formula>
    </cfRule>
    <cfRule type="expression" dxfId="33071" priority="6034" stopIfTrue="1">
      <formula>AND(P81&gt;=91000,P81&lt;=91999)</formula>
    </cfRule>
  </conditionalFormatting>
  <conditionalFormatting sqref="S81">
    <cfRule type="expression" dxfId="33070" priority="6013">
      <formula>AND(T81&gt;=79001,T81&lt;79900)</formula>
    </cfRule>
    <cfRule type="expression" dxfId="33069" priority="6014" stopIfTrue="1">
      <formula>AND(T81&gt;=70101,T81&lt;=70301)</formula>
    </cfRule>
    <cfRule type="expression" dxfId="33068" priority="6015" stopIfTrue="1">
      <formula>AND(T81&gt;70000,T81&lt;70004)</formula>
    </cfRule>
    <cfRule type="expression" dxfId="33067" priority="6016" stopIfTrue="1">
      <formula>AND(T81&gt;=70010,T81&lt;=76000)</formula>
    </cfRule>
    <cfRule type="expression" dxfId="33066" priority="6017">
      <formula>AND(T81&gt;70000,T81&lt;70004)</formula>
    </cfRule>
    <cfRule type="expression" dxfId="33065" priority="6018" stopIfTrue="1">
      <formula>OR(AND(T81&gt;=10000,T81&lt;=56999),AND(T81&gt;=57000,T81&lt;=57999))</formula>
    </cfRule>
    <cfRule type="expression" dxfId="33064" priority="6019" stopIfTrue="1">
      <formula>AND(T81&gt;=8000,T81&lt;=9999)</formula>
    </cfRule>
    <cfRule type="expression" dxfId="33063" priority="6020" stopIfTrue="1">
      <formula>AND(T81&gt;=78100,T81&lt;=78199)</formula>
    </cfRule>
    <cfRule type="expression" dxfId="33062" priority="6021" stopIfTrue="1">
      <formula>AND(T81&gt;=92000,T81&lt;=98999)</formula>
    </cfRule>
    <cfRule type="expression" dxfId="33061" priority="6022" stopIfTrue="1">
      <formula>AND(T81&gt;=78100,T81&lt;=78199)</formula>
    </cfRule>
    <cfRule type="expression" dxfId="33060" priority="6023" stopIfTrue="1">
      <formula>AND(T81&gt;=91000,T81&lt;=91999)</formula>
    </cfRule>
  </conditionalFormatting>
  <conditionalFormatting sqref="AA81">
    <cfRule type="expression" dxfId="33059" priority="5991">
      <formula>AND(AB81&gt;=79001,AB81&lt;79900)</formula>
    </cfRule>
    <cfRule type="expression" dxfId="33058" priority="5992" stopIfTrue="1">
      <formula>AND(AB81&gt;=70101,AB81&lt;=70301)</formula>
    </cfRule>
    <cfRule type="expression" dxfId="33057" priority="5993" stopIfTrue="1">
      <formula>AND(AB81&gt;70000,AB81&lt;70004)</formula>
    </cfRule>
    <cfRule type="expression" dxfId="33056" priority="5994" stopIfTrue="1">
      <formula>AND(AB81&gt;=70010,AB81&lt;=76000)</formula>
    </cfRule>
    <cfRule type="expression" dxfId="33055" priority="5995">
      <formula>AND(AB81&gt;70000,AB81&lt;70004)</formula>
    </cfRule>
    <cfRule type="expression" dxfId="33054" priority="5996" stopIfTrue="1">
      <formula>OR(AND(AB81&gt;=10000,AB81&lt;=56999),AND(AB81&gt;=57000,AB81&lt;=57999))</formula>
    </cfRule>
    <cfRule type="expression" dxfId="33053" priority="5997" stopIfTrue="1">
      <formula>AND(AB81&gt;=8000,AB81&lt;=9999)</formula>
    </cfRule>
    <cfRule type="expression" dxfId="33052" priority="5998" stopIfTrue="1">
      <formula>AND(AB81&gt;=78100,AB81&lt;=78199)</formula>
    </cfRule>
    <cfRule type="expression" dxfId="33051" priority="5999" stopIfTrue="1">
      <formula>AND(AB81&gt;=92000,AB81&lt;=98999)</formula>
    </cfRule>
    <cfRule type="expression" dxfId="33050" priority="6000" stopIfTrue="1">
      <formula>AND(AB81&gt;=78100,AB81&lt;=78199)</formula>
    </cfRule>
    <cfRule type="expression" dxfId="33049" priority="6001" stopIfTrue="1">
      <formula>AND(AB81&gt;=91000,AB81&lt;=91999)</formula>
    </cfRule>
  </conditionalFormatting>
  <conditionalFormatting sqref="AE81">
    <cfRule type="expression" dxfId="33048" priority="5980">
      <formula>AND(AF81&gt;=79001,AF81&lt;79900)</formula>
    </cfRule>
    <cfRule type="expression" dxfId="33047" priority="5981" stopIfTrue="1">
      <formula>AND(AF81&gt;=70101,AF81&lt;=70301)</formula>
    </cfRule>
    <cfRule type="expression" dxfId="33046" priority="5982" stopIfTrue="1">
      <formula>AND(AF81&gt;70000,AF81&lt;70004)</formula>
    </cfRule>
    <cfRule type="expression" dxfId="33045" priority="5983" stopIfTrue="1">
      <formula>AND(AF81&gt;=70010,AF81&lt;=76000)</formula>
    </cfRule>
    <cfRule type="expression" dxfId="33044" priority="5984">
      <formula>AND(AF81&gt;70000,AF81&lt;70004)</formula>
    </cfRule>
    <cfRule type="expression" dxfId="33043" priority="5985" stopIfTrue="1">
      <formula>OR(AND(AF81&gt;=10000,AF81&lt;=56999),AND(AF81&gt;=57000,AF81&lt;=57999))</formula>
    </cfRule>
    <cfRule type="expression" dxfId="33042" priority="5986" stopIfTrue="1">
      <formula>AND(AF81&gt;=8000,AF81&lt;=9999)</formula>
    </cfRule>
    <cfRule type="expression" dxfId="33041" priority="5987" stopIfTrue="1">
      <formula>AND(AF81&gt;=78100,AF81&lt;=78199)</formula>
    </cfRule>
    <cfRule type="expression" dxfId="33040" priority="5988" stopIfTrue="1">
      <formula>AND(AF81&gt;=92000,AF81&lt;=98999)</formula>
    </cfRule>
    <cfRule type="expression" dxfId="33039" priority="5989" stopIfTrue="1">
      <formula>AND(AF81&gt;=78100,AF81&lt;=78199)</formula>
    </cfRule>
    <cfRule type="expression" dxfId="33038" priority="5990" stopIfTrue="1">
      <formula>AND(AF81&gt;=91000,AF81&lt;=91999)</formula>
    </cfRule>
  </conditionalFormatting>
  <conditionalFormatting sqref="G81">
    <cfRule type="expression" dxfId="33037" priority="5969">
      <formula>AND(H81&gt;=79001,H81&lt;79900)</formula>
    </cfRule>
    <cfRule type="expression" dxfId="33036" priority="5970" stopIfTrue="1">
      <formula>AND(H81&gt;=70101,H81&lt;=70301)</formula>
    </cfRule>
    <cfRule type="expression" dxfId="33035" priority="5971" stopIfTrue="1">
      <formula>AND(H81&gt;70000,H81&lt;70004)</formula>
    </cfRule>
    <cfRule type="expression" dxfId="33034" priority="5972" stopIfTrue="1">
      <formula>AND(H81&gt;=70010,H81&lt;=76000)</formula>
    </cfRule>
    <cfRule type="expression" dxfId="33033" priority="5973">
      <formula>AND(H81&gt;70000,H81&lt;70004)</formula>
    </cfRule>
    <cfRule type="expression" dxfId="33032" priority="5974" stopIfTrue="1">
      <formula>OR(AND(H81&gt;=10000,H81&lt;=56999),AND(H81&gt;=57000,H81&lt;=57999))</formula>
    </cfRule>
    <cfRule type="expression" dxfId="33031" priority="5975" stopIfTrue="1">
      <formula>AND(H81&gt;=8000,H81&lt;=9999)</formula>
    </cfRule>
    <cfRule type="expression" dxfId="33030" priority="5976" stopIfTrue="1">
      <formula>AND(H81&gt;=78100,H81&lt;=78199)</formula>
    </cfRule>
    <cfRule type="expression" dxfId="33029" priority="5977" stopIfTrue="1">
      <formula>AND(H81&gt;=92000,H81&lt;=98999)</formula>
    </cfRule>
    <cfRule type="expression" dxfId="33028" priority="5978" stopIfTrue="1">
      <formula>AND(H81&gt;=78100,H81&lt;=78199)</formula>
    </cfRule>
    <cfRule type="expression" dxfId="33027" priority="5979" stopIfTrue="1">
      <formula>AND(H81&gt;=91000,H81&lt;=91999)</formula>
    </cfRule>
  </conditionalFormatting>
  <conditionalFormatting sqref="K81">
    <cfRule type="expression" dxfId="33026" priority="5958">
      <formula>AND(L81&gt;=79001,L81&lt;79900)</formula>
    </cfRule>
    <cfRule type="expression" dxfId="33025" priority="5959" stopIfTrue="1">
      <formula>AND(L81&gt;=70101,L81&lt;=70301)</formula>
    </cfRule>
    <cfRule type="expression" dxfId="33024" priority="5960" stopIfTrue="1">
      <formula>AND(L81&gt;70000,L81&lt;70004)</formula>
    </cfRule>
    <cfRule type="expression" dxfId="33023" priority="5961" stopIfTrue="1">
      <formula>AND(L81&gt;=70010,L81&lt;=76000)</formula>
    </cfRule>
    <cfRule type="expression" dxfId="33022" priority="5962">
      <formula>AND(L81&gt;70000,L81&lt;70004)</formula>
    </cfRule>
    <cfRule type="expression" dxfId="33021" priority="5963" stopIfTrue="1">
      <formula>OR(AND(L81&gt;=10000,L81&lt;=56999),AND(L81&gt;=57000,L81&lt;=57999))</formula>
    </cfRule>
    <cfRule type="expression" dxfId="33020" priority="5964" stopIfTrue="1">
      <formula>AND(L81&gt;=8000,L81&lt;=9999)</formula>
    </cfRule>
    <cfRule type="expression" dxfId="33019" priority="5965" stopIfTrue="1">
      <formula>AND(L81&gt;=78100,L81&lt;=78199)</formula>
    </cfRule>
    <cfRule type="expression" dxfId="33018" priority="5966" stopIfTrue="1">
      <formula>AND(L81&gt;=92000,L81&lt;=98999)</formula>
    </cfRule>
    <cfRule type="expression" dxfId="33017" priority="5967" stopIfTrue="1">
      <formula>AND(L81&gt;=78100,L81&lt;=78199)</formula>
    </cfRule>
    <cfRule type="expression" dxfId="33016" priority="5968" stopIfTrue="1">
      <formula>AND(L81&gt;=91000,L81&lt;=91999)</formula>
    </cfRule>
  </conditionalFormatting>
  <conditionalFormatting sqref="O81">
    <cfRule type="expression" dxfId="33015" priority="5947">
      <formula>AND(P81&gt;=79001,P81&lt;79900)</formula>
    </cfRule>
    <cfRule type="expression" dxfId="33014" priority="5948" stopIfTrue="1">
      <formula>AND(P81&gt;=70101,P81&lt;=70301)</formula>
    </cfRule>
    <cfRule type="expression" dxfId="33013" priority="5949" stopIfTrue="1">
      <formula>AND(P81&gt;70000,P81&lt;70004)</formula>
    </cfRule>
    <cfRule type="expression" dxfId="33012" priority="5950" stopIfTrue="1">
      <formula>AND(P81&gt;=70010,P81&lt;=76000)</formula>
    </cfRule>
    <cfRule type="expression" dxfId="33011" priority="5951">
      <formula>AND(P81&gt;70000,P81&lt;70004)</formula>
    </cfRule>
    <cfRule type="expression" dxfId="33010" priority="5952" stopIfTrue="1">
      <formula>OR(AND(P81&gt;=10000,P81&lt;=56999),AND(P81&gt;=57000,P81&lt;=57999))</formula>
    </cfRule>
    <cfRule type="expression" dxfId="33009" priority="5953" stopIfTrue="1">
      <formula>AND(P81&gt;=8000,P81&lt;=9999)</formula>
    </cfRule>
    <cfRule type="expression" dxfId="33008" priority="5954" stopIfTrue="1">
      <formula>AND(P81&gt;=78100,P81&lt;=78199)</formula>
    </cfRule>
    <cfRule type="expression" dxfId="33007" priority="5955" stopIfTrue="1">
      <formula>AND(P81&gt;=92000,P81&lt;=98999)</formula>
    </cfRule>
    <cfRule type="expression" dxfId="33006" priority="5956" stopIfTrue="1">
      <formula>AND(P81&gt;=78100,P81&lt;=78199)</formula>
    </cfRule>
    <cfRule type="expression" dxfId="33005" priority="5957" stopIfTrue="1">
      <formula>AND(P81&gt;=91000,P81&lt;=91999)</formula>
    </cfRule>
  </conditionalFormatting>
  <conditionalFormatting sqref="G90">
    <cfRule type="expression" dxfId="33004" priority="5936">
      <formula>AND(H90&gt;=79001,H90&lt;79900)</formula>
    </cfRule>
    <cfRule type="expression" dxfId="33003" priority="5937" stopIfTrue="1">
      <formula>AND(H90&gt;=70101,H90&lt;=70301)</formula>
    </cfRule>
    <cfRule type="expression" dxfId="33002" priority="5938" stopIfTrue="1">
      <formula>AND(H90&gt;70000,H90&lt;70004)</formula>
    </cfRule>
    <cfRule type="expression" dxfId="33001" priority="5939" stopIfTrue="1">
      <formula>AND(H90&gt;=70010,H90&lt;=76000)</formula>
    </cfRule>
    <cfRule type="expression" dxfId="33000" priority="5940">
      <formula>AND(H90&gt;70000,H90&lt;70004)</formula>
    </cfRule>
    <cfRule type="expression" dxfId="32999" priority="5941" stopIfTrue="1">
      <formula>OR(AND(H90&gt;=10000,H90&lt;=56999),AND(H90&gt;=57000,H90&lt;=57999))</formula>
    </cfRule>
    <cfRule type="expression" dxfId="32998" priority="5942" stopIfTrue="1">
      <formula>AND(H90&gt;=8000,H90&lt;=9999)</formula>
    </cfRule>
    <cfRule type="expression" dxfId="32997" priority="5943" stopIfTrue="1">
      <formula>AND(H90&gt;=78100,H90&lt;=78199)</formula>
    </cfRule>
    <cfRule type="expression" dxfId="32996" priority="5944" stopIfTrue="1">
      <formula>AND(H90&gt;=92000,H90&lt;=98999)</formula>
    </cfRule>
    <cfRule type="expression" dxfId="32995" priority="5945" stopIfTrue="1">
      <formula>AND(H90&gt;=78100,H90&lt;=78199)</formula>
    </cfRule>
    <cfRule type="expression" dxfId="32994" priority="5946" stopIfTrue="1">
      <formula>AND(H90&gt;=91000,H90&lt;=91999)</formula>
    </cfRule>
  </conditionalFormatting>
  <conditionalFormatting sqref="K90">
    <cfRule type="expression" dxfId="32993" priority="5925">
      <formula>AND(L90&gt;=79001,L90&lt;79900)</formula>
    </cfRule>
    <cfRule type="expression" dxfId="32992" priority="5926" stopIfTrue="1">
      <formula>AND(L90&gt;=70101,L90&lt;=70301)</formula>
    </cfRule>
    <cfRule type="expression" dxfId="32991" priority="5927" stopIfTrue="1">
      <formula>AND(L90&gt;70000,L90&lt;70004)</formula>
    </cfRule>
    <cfRule type="expression" dxfId="32990" priority="5928" stopIfTrue="1">
      <formula>AND(L90&gt;=70010,L90&lt;=76000)</formula>
    </cfRule>
    <cfRule type="expression" dxfId="32989" priority="5929">
      <formula>AND(L90&gt;70000,L90&lt;70004)</formula>
    </cfRule>
    <cfRule type="expression" dxfId="32988" priority="5930" stopIfTrue="1">
      <formula>OR(AND(L90&gt;=10000,L90&lt;=56999),AND(L90&gt;=57000,L90&lt;=57999))</formula>
    </cfRule>
    <cfRule type="expression" dxfId="32987" priority="5931" stopIfTrue="1">
      <formula>AND(L90&gt;=8000,L90&lt;=9999)</formula>
    </cfRule>
    <cfRule type="expression" dxfId="32986" priority="5932" stopIfTrue="1">
      <formula>AND(L90&gt;=78100,L90&lt;=78199)</formula>
    </cfRule>
    <cfRule type="expression" dxfId="32985" priority="5933" stopIfTrue="1">
      <formula>AND(L90&gt;=92000,L90&lt;=98999)</formula>
    </cfRule>
    <cfRule type="expression" dxfId="32984" priority="5934" stopIfTrue="1">
      <formula>AND(L90&gt;=78100,L90&lt;=78199)</formula>
    </cfRule>
    <cfRule type="expression" dxfId="32983" priority="5935" stopIfTrue="1">
      <formula>AND(L90&gt;=91000,L90&lt;=91999)</formula>
    </cfRule>
  </conditionalFormatting>
  <conditionalFormatting sqref="O90">
    <cfRule type="expression" dxfId="32982" priority="5914">
      <formula>AND(P90&gt;=79001,P90&lt;79900)</formula>
    </cfRule>
    <cfRule type="expression" dxfId="32981" priority="5915" stopIfTrue="1">
      <formula>AND(P90&gt;=70101,P90&lt;=70301)</formula>
    </cfRule>
    <cfRule type="expression" dxfId="32980" priority="5916" stopIfTrue="1">
      <formula>AND(P90&gt;70000,P90&lt;70004)</formula>
    </cfRule>
    <cfRule type="expression" dxfId="32979" priority="5917" stopIfTrue="1">
      <formula>AND(P90&gt;=70010,P90&lt;=76000)</formula>
    </cfRule>
    <cfRule type="expression" dxfId="32978" priority="5918">
      <formula>AND(P90&gt;70000,P90&lt;70004)</formula>
    </cfRule>
    <cfRule type="expression" dxfId="32977" priority="5919" stopIfTrue="1">
      <formula>OR(AND(P90&gt;=10000,P90&lt;=56999),AND(P90&gt;=57000,P90&lt;=57999))</formula>
    </cfRule>
    <cfRule type="expression" dxfId="32976" priority="5920" stopIfTrue="1">
      <formula>AND(P90&gt;=8000,P90&lt;=9999)</formula>
    </cfRule>
    <cfRule type="expression" dxfId="32975" priority="5921" stopIfTrue="1">
      <formula>AND(P90&gt;=78100,P90&lt;=78199)</formula>
    </cfRule>
    <cfRule type="expression" dxfId="32974" priority="5922" stopIfTrue="1">
      <formula>AND(P90&gt;=92000,P90&lt;=98999)</formula>
    </cfRule>
    <cfRule type="expression" dxfId="32973" priority="5923" stopIfTrue="1">
      <formula>AND(P90&gt;=78100,P90&lt;=78199)</formula>
    </cfRule>
    <cfRule type="expression" dxfId="32972" priority="5924" stopIfTrue="1">
      <formula>AND(P90&gt;=91000,P90&lt;=91999)</formula>
    </cfRule>
  </conditionalFormatting>
  <conditionalFormatting sqref="AA90">
    <cfRule type="expression" dxfId="32971" priority="5881">
      <formula>AND(AB90&gt;=79001,AB90&lt;79900)</formula>
    </cfRule>
    <cfRule type="expression" dxfId="32970" priority="5882" stopIfTrue="1">
      <formula>AND(AB90&gt;=70101,AB90&lt;=70301)</formula>
    </cfRule>
    <cfRule type="expression" dxfId="32969" priority="5883" stopIfTrue="1">
      <formula>AND(AB90&gt;70000,AB90&lt;70004)</formula>
    </cfRule>
    <cfRule type="expression" dxfId="32968" priority="5884" stopIfTrue="1">
      <formula>AND(AB90&gt;=70010,AB90&lt;=76000)</formula>
    </cfRule>
    <cfRule type="expression" dxfId="32967" priority="5885">
      <formula>AND(AB90&gt;70000,AB90&lt;70004)</formula>
    </cfRule>
    <cfRule type="expression" dxfId="32966" priority="5886" stopIfTrue="1">
      <formula>OR(AND(AB90&gt;=10000,AB90&lt;=56999),AND(AB90&gt;=57000,AB90&lt;=57999))</formula>
    </cfRule>
    <cfRule type="expression" dxfId="32965" priority="5887" stopIfTrue="1">
      <formula>AND(AB90&gt;=8000,AB90&lt;=9999)</formula>
    </cfRule>
    <cfRule type="expression" dxfId="32964" priority="5888" stopIfTrue="1">
      <formula>AND(AB90&gt;=78100,AB90&lt;=78199)</formula>
    </cfRule>
    <cfRule type="expression" dxfId="32963" priority="5889" stopIfTrue="1">
      <formula>AND(AB90&gt;=92000,AB90&lt;=98999)</formula>
    </cfRule>
    <cfRule type="expression" dxfId="32962" priority="5890" stopIfTrue="1">
      <formula>AND(AB90&gt;=78100,AB90&lt;=78199)</formula>
    </cfRule>
    <cfRule type="expression" dxfId="32961" priority="5891" stopIfTrue="1">
      <formula>AND(AB90&gt;=91000,AB90&lt;=91999)</formula>
    </cfRule>
  </conditionalFormatting>
  <conditionalFormatting sqref="G90">
    <cfRule type="expression" dxfId="32960" priority="5870">
      <formula>AND(H90&gt;=79001,H90&lt;79900)</formula>
    </cfRule>
    <cfRule type="expression" dxfId="32959" priority="5871" stopIfTrue="1">
      <formula>AND(H90&gt;=70101,H90&lt;=70301)</formula>
    </cfRule>
    <cfRule type="expression" dxfId="32958" priority="5872" stopIfTrue="1">
      <formula>AND(H90&gt;70000,H90&lt;70004)</formula>
    </cfRule>
    <cfRule type="expression" dxfId="32957" priority="5873" stopIfTrue="1">
      <formula>AND(H90&gt;=70010,H90&lt;=76000)</formula>
    </cfRule>
    <cfRule type="expression" dxfId="32956" priority="5874">
      <formula>AND(H90&gt;70000,H90&lt;70004)</formula>
    </cfRule>
    <cfRule type="expression" dxfId="32955" priority="5875" stopIfTrue="1">
      <formula>OR(AND(H90&gt;=10000,H90&lt;=56999),AND(H90&gt;=57000,H90&lt;=57999))</formula>
    </cfRule>
    <cfRule type="expression" dxfId="32954" priority="5876" stopIfTrue="1">
      <formula>AND(H90&gt;=8000,H90&lt;=9999)</formula>
    </cfRule>
    <cfRule type="expression" dxfId="32953" priority="5877" stopIfTrue="1">
      <formula>AND(H90&gt;=78100,H90&lt;=78199)</formula>
    </cfRule>
    <cfRule type="expression" dxfId="32952" priority="5878" stopIfTrue="1">
      <formula>AND(H90&gt;=92000,H90&lt;=98999)</formula>
    </cfRule>
    <cfRule type="expression" dxfId="32951" priority="5879" stopIfTrue="1">
      <formula>AND(H90&gt;=78100,H90&lt;=78199)</formula>
    </cfRule>
    <cfRule type="expression" dxfId="32950" priority="5880" stopIfTrue="1">
      <formula>AND(H90&gt;=91000,H90&lt;=91999)</formula>
    </cfRule>
  </conditionalFormatting>
  <conditionalFormatting sqref="K90">
    <cfRule type="expression" dxfId="32949" priority="5859">
      <formula>AND(L90&gt;=79001,L90&lt;79900)</formula>
    </cfRule>
    <cfRule type="expression" dxfId="32948" priority="5860" stopIfTrue="1">
      <formula>AND(L90&gt;=70101,L90&lt;=70301)</formula>
    </cfRule>
    <cfRule type="expression" dxfId="32947" priority="5861" stopIfTrue="1">
      <formula>AND(L90&gt;70000,L90&lt;70004)</formula>
    </cfRule>
    <cfRule type="expression" dxfId="32946" priority="5862" stopIfTrue="1">
      <formula>AND(L90&gt;=70010,L90&lt;=76000)</formula>
    </cfRule>
    <cfRule type="expression" dxfId="32945" priority="5863">
      <formula>AND(L90&gt;70000,L90&lt;70004)</formula>
    </cfRule>
    <cfRule type="expression" dxfId="32944" priority="5864" stopIfTrue="1">
      <formula>OR(AND(L90&gt;=10000,L90&lt;=56999),AND(L90&gt;=57000,L90&lt;=57999))</formula>
    </cfRule>
    <cfRule type="expression" dxfId="32943" priority="5865" stopIfTrue="1">
      <formula>AND(L90&gt;=8000,L90&lt;=9999)</formula>
    </cfRule>
    <cfRule type="expression" dxfId="32942" priority="5866" stopIfTrue="1">
      <formula>AND(L90&gt;=78100,L90&lt;=78199)</formula>
    </cfRule>
    <cfRule type="expression" dxfId="32941" priority="5867" stopIfTrue="1">
      <formula>AND(L90&gt;=92000,L90&lt;=98999)</formula>
    </cfRule>
    <cfRule type="expression" dxfId="32940" priority="5868" stopIfTrue="1">
      <formula>AND(L90&gt;=78100,L90&lt;=78199)</formula>
    </cfRule>
    <cfRule type="expression" dxfId="32939" priority="5869" stopIfTrue="1">
      <formula>AND(L90&gt;=91000,L90&lt;=91999)</formula>
    </cfRule>
  </conditionalFormatting>
  <conditionalFormatting sqref="O90">
    <cfRule type="expression" dxfId="32938" priority="5848">
      <formula>AND(P90&gt;=79001,P90&lt;79900)</formula>
    </cfRule>
    <cfRule type="expression" dxfId="32937" priority="5849" stopIfTrue="1">
      <formula>AND(P90&gt;=70101,P90&lt;=70301)</formula>
    </cfRule>
    <cfRule type="expression" dxfId="32936" priority="5850" stopIfTrue="1">
      <formula>AND(P90&gt;70000,P90&lt;70004)</formula>
    </cfRule>
    <cfRule type="expression" dxfId="32935" priority="5851" stopIfTrue="1">
      <formula>AND(P90&gt;=70010,P90&lt;=76000)</formula>
    </cfRule>
    <cfRule type="expression" dxfId="32934" priority="5852">
      <formula>AND(P90&gt;70000,P90&lt;70004)</formula>
    </cfRule>
    <cfRule type="expression" dxfId="32933" priority="5853" stopIfTrue="1">
      <formula>OR(AND(P90&gt;=10000,P90&lt;=56999),AND(P90&gt;=57000,P90&lt;=57999))</formula>
    </cfRule>
    <cfRule type="expression" dxfId="32932" priority="5854" stopIfTrue="1">
      <formula>AND(P90&gt;=8000,P90&lt;=9999)</formula>
    </cfRule>
    <cfRule type="expression" dxfId="32931" priority="5855" stopIfTrue="1">
      <formula>AND(P90&gt;=78100,P90&lt;=78199)</formula>
    </cfRule>
    <cfRule type="expression" dxfId="32930" priority="5856" stopIfTrue="1">
      <formula>AND(P90&gt;=92000,P90&lt;=98999)</formula>
    </cfRule>
    <cfRule type="expression" dxfId="32929" priority="5857" stopIfTrue="1">
      <formula>AND(P90&gt;=78100,P90&lt;=78199)</formula>
    </cfRule>
    <cfRule type="expression" dxfId="32928" priority="5858" stopIfTrue="1">
      <formula>AND(P90&gt;=91000,P90&lt;=91999)</formula>
    </cfRule>
  </conditionalFormatting>
  <conditionalFormatting sqref="G99">
    <cfRule type="expression" dxfId="32927" priority="5837">
      <formula>AND(H99&gt;=79001,H99&lt;79900)</formula>
    </cfRule>
    <cfRule type="expression" dxfId="32926" priority="5838" stopIfTrue="1">
      <formula>AND(H99&gt;=70101,H99&lt;=70301)</formula>
    </cfRule>
    <cfRule type="expression" dxfId="32925" priority="5839" stopIfTrue="1">
      <formula>AND(H99&gt;70000,H99&lt;70004)</formula>
    </cfRule>
    <cfRule type="expression" dxfId="32924" priority="5840" stopIfTrue="1">
      <formula>AND(H99&gt;=70010,H99&lt;=76000)</formula>
    </cfRule>
    <cfRule type="expression" dxfId="32923" priority="5841">
      <formula>AND(H99&gt;70000,H99&lt;70004)</formula>
    </cfRule>
    <cfRule type="expression" dxfId="32922" priority="5842" stopIfTrue="1">
      <formula>OR(AND(H99&gt;=10000,H99&lt;=56999),AND(H99&gt;=57000,H99&lt;=57999))</formula>
    </cfRule>
    <cfRule type="expression" dxfId="32921" priority="5843" stopIfTrue="1">
      <formula>AND(H99&gt;=8000,H99&lt;=9999)</formula>
    </cfRule>
    <cfRule type="expression" dxfId="32920" priority="5844" stopIfTrue="1">
      <formula>AND(H99&gt;=78100,H99&lt;=78199)</formula>
    </cfRule>
    <cfRule type="expression" dxfId="32919" priority="5845" stopIfTrue="1">
      <formula>AND(H99&gt;=92000,H99&lt;=98999)</formula>
    </cfRule>
    <cfRule type="expression" dxfId="32918" priority="5846" stopIfTrue="1">
      <formula>AND(H99&gt;=78100,H99&lt;=78199)</formula>
    </cfRule>
    <cfRule type="expression" dxfId="32917" priority="5847" stopIfTrue="1">
      <formula>AND(H99&gt;=91000,H99&lt;=91999)</formula>
    </cfRule>
  </conditionalFormatting>
  <conditionalFormatting sqref="K99">
    <cfRule type="expression" dxfId="32916" priority="5826">
      <formula>AND(L99&gt;=79001,L99&lt;79900)</formula>
    </cfRule>
    <cfRule type="expression" dxfId="32915" priority="5827" stopIfTrue="1">
      <formula>AND(L99&gt;=70101,L99&lt;=70301)</formula>
    </cfRule>
    <cfRule type="expression" dxfId="32914" priority="5828" stopIfTrue="1">
      <formula>AND(L99&gt;70000,L99&lt;70004)</formula>
    </cfRule>
    <cfRule type="expression" dxfId="32913" priority="5829" stopIfTrue="1">
      <formula>AND(L99&gt;=70010,L99&lt;=76000)</formula>
    </cfRule>
    <cfRule type="expression" dxfId="32912" priority="5830">
      <formula>AND(L99&gt;70000,L99&lt;70004)</formula>
    </cfRule>
    <cfRule type="expression" dxfId="32911" priority="5831" stopIfTrue="1">
      <formula>OR(AND(L99&gt;=10000,L99&lt;=56999),AND(L99&gt;=57000,L99&lt;=57999))</formula>
    </cfRule>
    <cfRule type="expression" dxfId="32910" priority="5832" stopIfTrue="1">
      <formula>AND(L99&gt;=8000,L99&lt;=9999)</formula>
    </cfRule>
    <cfRule type="expression" dxfId="32909" priority="5833" stopIfTrue="1">
      <formula>AND(L99&gt;=78100,L99&lt;=78199)</formula>
    </cfRule>
    <cfRule type="expression" dxfId="32908" priority="5834" stopIfTrue="1">
      <formula>AND(L99&gt;=92000,L99&lt;=98999)</formula>
    </cfRule>
    <cfRule type="expression" dxfId="32907" priority="5835" stopIfTrue="1">
      <formula>AND(L99&gt;=78100,L99&lt;=78199)</formula>
    </cfRule>
    <cfRule type="expression" dxfId="32906" priority="5836" stopIfTrue="1">
      <formula>AND(L99&gt;=91000,L99&lt;=91999)</formula>
    </cfRule>
  </conditionalFormatting>
  <conditionalFormatting sqref="O99">
    <cfRule type="expression" dxfId="32905" priority="5815">
      <formula>AND(P99&gt;=79001,P99&lt;79900)</formula>
    </cfRule>
    <cfRule type="expression" dxfId="32904" priority="5816" stopIfTrue="1">
      <formula>AND(P99&gt;=70101,P99&lt;=70301)</formula>
    </cfRule>
    <cfRule type="expression" dxfId="32903" priority="5817" stopIfTrue="1">
      <formula>AND(P99&gt;70000,P99&lt;70004)</formula>
    </cfRule>
    <cfRule type="expression" dxfId="32902" priority="5818" stopIfTrue="1">
      <formula>AND(P99&gt;=70010,P99&lt;=76000)</formula>
    </cfRule>
    <cfRule type="expression" dxfId="32901" priority="5819">
      <formula>AND(P99&gt;70000,P99&lt;70004)</formula>
    </cfRule>
    <cfRule type="expression" dxfId="32900" priority="5820" stopIfTrue="1">
      <formula>OR(AND(P99&gt;=10000,P99&lt;=56999),AND(P99&gt;=57000,P99&lt;=57999))</formula>
    </cfRule>
    <cfRule type="expression" dxfId="32899" priority="5821" stopIfTrue="1">
      <formula>AND(P99&gt;=8000,P99&lt;=9999)</formula>
    </cfRule>
    <cfRule type="expression" dxfId="32898" priority="5822" stopIfTrue="1">
      <formula>AND(P99&gt;=78100,P99&lt;=78199)</formula>
    </cfRule>
    <cfRule type="expression" dxfId="32897" priority="5823" stopIfTrue="1">
      <formula>AND(P99&gt;=92000,P99&lt;=98999)</formula>
    </cfRule>
    <cfRule type="expression" dxfId="32896" priority="5824" stopIfTrue="1">
      <formula>AND(P99&gt;=78100,P99&lt;=78199)</formula>
    </cfRule>
    <cfRule type="expression" dxfId="32895" priority="5825" stopIfTrue="1">
      <formula>AND(P99&gt;=91000,P99&lt;=91999)</formula>
    </cfRule>
  </conditionalFormatting>
  <conditionalFormatting sqref="G99">
    <cfRule type="expression" dxfId="32894" priority="5771">
      <formula>AND(H99&gt;=79001,H99&lt;79900)</formula>
    </cfRule>
    <cfRule type="expression" dxfId="32893" priority="5772" stopIfTrue="1">
      <formula>AND(H99&gt;=70101,H99&lt;=70301)</formula>
    </cfRule>
    <cfRule type="expression" dxfId="32892" priority="5773" stopIfTrue="1">
      <formula>AND(H99&gt;70000,H99&lt;70004)</formula>
    </cfRule>
    <cfRule type="expression" dxfId="32891" priority="5774" stopIfTrue="1">
      <formula>AND(H99&gt;=70010,H99&lt;=76000)</formula>
    </cfRule>
    <cfRule type="expression" dxfId="32890" priority="5775">
      <formula>AND(H99&gt;70000,H99&lt;70004)</formula>
    </cfRule>
    <cfRule type="expression" dxfId="32889" priority="5776" stopIfTrue="1">
      <formula>OR(AND(H99&gt;=10000,H99&lt;=56999),AND(H99&gt;=57000,H99&lt;=57999))</formula>
    </cfRule>
    <cfRule type="expression" dxfId="32888" priority="5777" stopIfTrue="1">
      <formula>AND(H99&gt;=8000,H99&lt;=9999)</formula>
    </cfRule>
    <cfRule type="expression" dxfId="32887" priority="5778" stopIfTrue="1">
      <formula>AND(H99&gt;=78100,H99&lt;=78199)</formula>
    </cfRule>
    <cfRule type="expression" dxfId="32886" priority="5779" stopIfTrue="1">
      <formula>AND(H99&gt;=92000,H99&lt;=98999)</formula>
    </cfRule>
    <cfRule type="expression" dxfId="32885" priority="5780" stopIfTrue="1">
      <formula>AND(H99&gt;=78100,H99&lt;=78199)</formula>
    </cfRule>
    <cfRule type="expression" dxfId="32884" priority="5781" stopIfTrue="1">
      <formula>AND(H99&gt;=91000,H99&lt;=91999)</formula>
    </cfRule>
  </conditionalFormatting>
  <conditionalFormatting sqref="AA99">
    <cfRule type="expression" dxfId="32883" priority="5782">
      <formula>AND(AB99&gt;=79001,AB99&lt;79900)</formula>
    </cfRule>
    <cfRule type="expression" dxfId="32882" priority="5783" stopIfTrue="1">
      <formula>AND(AB99&gt;=70101,AB99&lt;=70301)</formula>
    </cfRule>
    <cfRule type="expression" dxfId="32881" priority="5784" stopIfTrue="1">
      <formula>AND(AB99&gt;70000,AB99&lt;70004)</formula>
    </cfRule>
    <cfRule type="expression" dxfId="32880" priority="5785" stopIfTrue="1">
      <formula>AND(AB99&gt;=70010,AB99&lt;=76000)</formula>
    </cfRule>
    <cfRule type="expression" dxfId="32879" priority="5786">
      <formula>AND(AB99&gt;70000,AB99&lt;70004)</formula>
    </cfRule>
    <cfRule type="expression" dxfId="32878" priority="5787" stopIfTrue="1">
      <formula>OR(AND(AB99&gt;=10000,AB99&lt;=56999),AND(AB99&gt;=57000,AB99&lt;=57999))</formula>
    </cfRule>
    <cfRule type="expression" dxfId="32877" priority="5788" stopIfTrue="1">
      <formula>AND(AB99&gt;=8000,AB99&lt;=9999)</formula>
    </cfRule>
    <cfRule type="expression" dxfId="32876" priority="5789" stopIfTrue="1">
      <formula>AND(AB99&gt;=78100,AB99&lt;=78199)</formula>
    </cfRule>
    <cfRule type="expression" dxfId="32875" priority="5790" stopIfTrue="1">
      <formula>AND(AB99&gt;=92000,AB99&lt;=98999)</formula>
    </cfRule>
    <cfRule type="expression" dxfId="32874" priority="5791" stopIfTrue="1">
      <formula>AND(AB99&gt;=78100,AB99&lt;=78199)</formula>
    </cfRule>
    <cfRule type="expression" dxfId="32873" priority="5792" stopIfTrue="1">
      <formula>AND(AB99&gt;=91000,AB99&lt;=91999)</formula>
    </cfRule>
  </conditionalFormatting>
  <conditionalFormatting sqref="K99">
    <cfRule type="expression" dxfId="32872" priority="5760">
      <formula>AND(L99&gt;=79001,L99&lt;79900)</formula>
    </cfRule>
    <cfRule type="expression" dxfId="32871" priority="5761" stopIfTrue="1">
      <formula>AND(L99&gt;=70101,L99&lt;=70301)</formula>
    </cfRule>
    <cfRule type="expression" dxfId="32870" priority="5762" stopIfTrue="1">
      <formula>AND(L99&gt;70000,L99&lt;70004)</formula>
    </cfRule>
    <cfRule type="expression" dxfId="32869" priority="5763" stopIfTrue="1">
      <formula>AND(L99&gt;=70010,L99&lt;=76000)</formula>
    </cfRule>
    <cfRule type="expression" dxfId="32868" priority="5764">
      <formula>AND(L99&gt;70000,L99&lt;70004)</formula>
    </cfRule>
    <cfRule type="expression" dxfId="32867" priority="5765" stopIfTrue="1">
      <formula>OR(AND(L99&gt;=10000,L99&lt;=56999),AND(L99&gt;=57000,L99&lt;=57999))</formula>
    </cfRule>
    <cfRule type="expression" dxfId="32866" priority="5766" stopIfTrue="1">
      <formula>AND(L99&gt;=8000,L99&lt;=9999)</formula>
    </cfRule>
    <cfRule type="expression" dxfId="32865" priority="5767" stopIfTrue="1">
      <formula>AND(L99&gt;=78100,L99&lt;=78199)</formula>
    </cfRule>
    <cfRule type="expression" dxfId="32864" priority="5768" stopIfTrue="1">
      <formula>AND(L99&gt;=92000,L99&lt;=98999)</formula>
    </cfRule>
    <cfRule type="expression" dxfId="32863" priority="5769" stopIfTrue="1">
      <formula>AND(L99&gt;=78100,L99&lt;=78199)</formula>
    </cfRule>
    <cfRule type="expression" dxfId="32862" priority="5770" stopIfTrue="1">
      <formula>AND(L99&gt;=91000,L99&lt;=91999)</formula>
    </cfRule>
  </conditionalFormatting>
  <conditionalFormatting sqref="O99">
    <cfRule type="expression" dxfId="32861" priority="5749">
      <formula>AND(P99&gt;=79001,P99&lt;79900)</formula>
    </cfRule>
    <cfRule type="expression" dxfId="32860" priority="5750" stopIfTrue="1">
      <formula>AND(P99&gt;=70101,P99&lt;=70301)</formula>
    </cfRule>
    <cfRule type="expression" dxfId="32859" priority="5751" stopIfTrue="1">
      <formula>AND(P99&gt;70000,P99&lt;70004)</formula>
    </cfRule>
    <cfRule type="expression" dxfId="32858" priority="5752" stopIfTrue="1">
      <formula>AND(P99&gt;=70010,P99&lt;=76000)</formula>
    </cfRule>
    <cfRule type="expression" dxfId="32857" priority="5753">
      <formula>AND(P99&gt;70000,P99&lt;70004)</formula>
    </cfRule>
    <cfRule type="expression" dxfId="32856" priority="5754" stopIfTrue="1">
      <formula>OR(AND(P99&gt;=10000,P99&lt;=56999),AND(P99&gt;=57000,P99&lt;=57999))</formula>
    </cfRule>
    <cfRule type="expression" dxfId="32855" priority="5755" stopIfTrue="1">
      <formula>AND(P99&gt;=8000,P99&lt;=9999)</formula>
    </cfRule>
    <cfRule type="expression" dxfId="32854" priority="5756" stopIfTrue="1">
      <formula>AND(P99&gt;=78100,P99&lt;=78199)</formula>
    </cfRule>
    <cfRule type="expression" dxfId="32853" priority="5757" stopIfTrue="1">
      <formula>AND(P99&gt;=92000,P99&lt;=98999)</formula>
    </cfRule>
    <cfRule type="expression" dxfId="32852" priority="5758" stopIfTrue="1">
      <formula>AND(P99&gt;=78100,P99&lt;=78199)</formula>
    </cfRule>
    <cfRule type="expression" dxfId="32851" priority="5759" stopIfTrue="1">
      <formula>AND(P99&gt;=91000,P99&lt;=91999)</formula>
    </cfRule>
  </conditionalFormatting>
  <conditionalFormatting sqref="S85:S90 S130:S135 S139:S141 S145:S147 S94:S99 S103:S108 S112:S117 S121:S126">
    <cfRule type="expression" dxfId="32850" priority="5738">
      <formula>AND(T85&gt;=79001,T85&lt;79900)</formula>
    </cfRule>
    <cfRule type="expression" dxfId="32849" priority="5739" stopIfTrue="1">
      <formula>AND(T85&gt;=70101,T85&lt;=70301)</formula>
    </cfRule>
    <cfRule type="expression" dxfId="32848" priority="5740" stopIfTrue="1">
      <formula>AND(T85&gt;70000,T85&lt;70004)</formula>
    </cfRule>
    <cfRule type="expression" dxfId="32847" priority="5741" stopIfTrue="1">
      <formula>AND(T85&gt;=70010,T85&lt;=76000)</formula>
    </cfRule>
    <cfRule type="expression" dxfId="32846" priority="5742">
      <formula>AND(T85&gt;70000,T85&lt;70004)</formula>
    </cfRule>
    <cfRule type="expression" dxfId="32845" priority="5743" stopIfTrue="1">
      <formula>OR(AND(T85&gt;=10000,T85&lt;=56999),AND(T85&gt;=57000,T85&lt;=57999))</formula>
    </cfRule>
    <cfRule type="expression" dxfId="32844" priority="5744" stopIfTrue="1">
      <formula>AND(T85&gt;=8000,T85&lt;=9999)</formula>
    </cfRule>
    <cfRule type="expression" dxfId="32843" priority="5745" stopIfTrue="1">
      <formula>AND(T85&gt;=78100,T85&lt;=78199)</formula>
    </cfRule>
    <cfRule type="expression" dxfId="32842" priority="5746" stopIfTrue="1">
      <formula>AND(T85&gt;=92000,T85&lt;=98999)</formula>
    </cfRule>
    <cfRule type="expression" dxfId="32841" priority="5747" stopIfTrue="1">
      <formula>AND(T85&gt;=78100,T85&lt;=78199)</formula>
    </cfRule>
    <cfRule type="expression" dxfId="32840" priority="5748" stopIfTrue="1">
      <formula>AND(T85&gt;=91000,T85&lt;=91999)</formula>
    </cfRule>
  </conditionalFormatting>
  <conditionalFormatting sqref="S85:S90 S130:S135 S139:S141 S145:S147 S94:S99 S103:S108 S112:S117 S121:S126">
    <cfRule type="expression" dxfId="32839" priority="5727">
      <formula>AND(T85&gt;=79001,T85&lt;79900)</formula>
    </cfRule>
    <cfRule type="expression" dxfId="32838" priority="5728" stopIfTrue="1">
      <formula>AND(T85&gt;=70101,T85&lt;=70301)</formula>
    </cfRule>
    <cfRule type="expression" dxfId="32837" priority="5729" stopIfTrue="1">
      <formula>AND(T85&gt;70000,T85&lt;70004)</formula>
    </cfRule>
    <cfRule type="expression" dxfId="32836" priority="5730" stopIfTrue="1">
      <formula>AND(T85&gt;=70010,T85&lt;=76000)</formula>
    </cfRule>
    <cfRule type="expression" dxfId="32835" priority="5731">
      <formula>AND(T85&gt;70000,T85&lt;70004)</formula>
    </cfRule>
    <cfRule type="expression" dxfId="32834" priority="5732" stopIfTrue="1">
      <formula>OR(AND(T85&gt;=10000,T85&lt;=56999),AND(T85&gt;=57000,T85&lt;=57999))</formula>
    </cfRule>
    <cfRule type="expression" dxfId="32833" priority="5733" stopIfTrue="1">
      <formula>AND(T85&gt;=8000,T85&lt;=9999)</formula>
    </cfRule>
    <cfRule type="expression" dxfId="32832" priority="5734" stopIfTrue="1">
      <formula>AND(T85&gt;=78100,T85&lt;=78199)</formula>
    </cfRule>
    <cfRule type="expression" dxfId="32831" priority="5735" stopIfTrue="1">
      <formula>AND(T85&gt;=92000,T85&lt;=98999)</formula>
    </cfRule>
    <cfRule type="expression" dxfId="32830" priority="5736" stopIfTrue="1">
      <formula>AND(T85&gt;=78100,T85&lt;=78199)</formula>
    </cfRule>
    <cfRule type="expression" dxfId="32829" priority="5737" stopIfTrue="1">
      <formula>AND(T85&gt;=91000,T85&lt;=91999)</formula>
    </cfRule>
  </conditionalFormatting>
  <conditionalFormatting sqref="W104:W108 W130:W135 W139:W141 W145:W147 W112:W117 W121:W126">
    <cfRule type="expression" dxfId="32828" priority="5716">
      <formula>AND(X104&gt;=79001,X104&lt;79900)</formula>
    </cfRule>
    <cfRule type="expression" dxfId="32827" priority="5717" stopIfTrue="1">
      <formula>AND(X104&gt;=70101,X104&lt;=70301)</formula>
    </cfRule>
    <cfRule type="expression" dxfId="32826" priority="5718" stopIfTrue="1">
      <formula>AND(X104&gt;70000,X104&lt;70004)</formula>
    </cfRule>
    <cfRule type="expression" dxfId="32825" priority="5719" stopIfTrue="1">
      <formula>AND(X104&gt;=70010,X104&lt;=76000)</formula>
    </cfRule>
    <cfRule type="expression" dxfId="32824" priority="5720">
      <formula>AND(X104&gt;70000,X104&lt;70004)</formula>
    </cfRule>
    <cfRule type="expression" dxfId="32823" priority="5721" stopIfTrue="1">
      <formula>OR(AND(X104&gt;=10000,X104&lt;=56999),AND(X104&gt;=57000,X104&lt;=57999))</formula>
    </cfRule>
    <cfRule type="expression" dxfId="32822" priority="5722" stopIfTrue="1">
      <formula>AND(X104&gt;=8000,X104&lt;=9999)</formula>
    </cfRule>
    <cfRule type="expression" dxfId="32821" priority="5723" stopIfTrue="1">
      <formula>AND(X104&gt;=78100,X104&lt;=78199)</formula>
    </cfRule>
    <cfRule type="expression" dxfId="32820" priority="5724" stopIfTrue="1">
      <formula>AND(X104&gt;=92000,X104&lt;=98999)</formula>
    </cfRule>
    <cfRule type="expression" dxfId="32819" priority="5725" stopIfTrue="1">
      <formula>AND(X104&gt;=78100,X104&lt;=78199)</formula>
    </cfRule>
    <cfRule type="expression" dxfId="32818" priority="5726" stopIfTrue="1">
      <formula>AND(X104&gt;=91000,X104&lt;=91999)</formula>
    </cfRule>
  </conditionalFormatting>
  <conditionalFormatting sqref="W104:W108 W130:W135 W139:W141 W145:W147 W112:W117 W121:W126">
    <cfRule type="expression" dxfId="32817" priority="5705">
      <formula>AND(X104&gt;=79001,X104&lt;79900)</formula>
    </cfRule>
    <cfRule type="expression" dxfId="32816" priority="5706" stopIfTrue="1">
      <formula>AND(X104&gt;=70101,X104&lt;=70301)</formula>
    </cfRule>
    <cfRule type="expression" dxfId="32815" priority="5707" stopIfTrue="1">
      <formula>AND(X104&gt;70000,X104&lt;70004)</formula>
    </cfRule>
    <cfRule type="expression" dxfId="32814" priority="5708" stopIfTrue="1">
      <formula>AND(X104&gt;=70010,X104&lt;=76000)</formula>
    </cfRule>
    <cfRule type="expression" dxfId="32813" priority="5709">
      <formula>AND(X104&gt;70000,X104&lt;70004)</formula>
    </cfRule>
    <cfRule type="expression" dxfId="32812" priority="5710" stopIfTrue="1">
      <formula>OR(AND(X104&gt;=10000,X104&lt;=56999),AND(X104&gt;=57000,X104&lt;=57999))</formula>
    </cfRule>
    <cfRule type="expression" dxfId="32811" priority="5711" stopIfTrue="1">
      <formula>AND(X104&gt;=8000,X104&lt;=9999)</formula>
    </cfRule>
    <cfRule type="expression" dxfId="32810" priority="5712" stopIfTrue="1">
      <formula>AND(X104&gt;=78100,X104&lt;=78199)</formula>
    </cfRule>
    <cfRule type="expression" dxfId="32809" priority="5713" stopIfTrue="1">
      <formula>AND(X104&gt;=92000,X104&lt;=98999)</formula>
    </cfRule>
    <cfRule type="expression" dxfId="32808" priority="5714" stopIfTrue="1">
      <formula>AND(X104&gt;=78100,X104&lt;=78199)</formula>
    </cfRule>
    <cfRule type="expression" dxfId="32807" priority="5715" stopIfTrue="1">
      <formula>AND(X104&gt;=91000,X104&lt;=91999)</formula>
    </cfRule>
  </conditionalFormatting>
  <conditionalFormatting sqref="AE602:AE605 AM602:AM605 AU602:AU605 AA602:AA605 AI602:AI605 AQ602:AQ605 W602:W605 BK602:BK605 BG602:BG605 BC602:BC605 AY602:AY605 S602:S605 O602:O605 K602:K605">
    <cfRule type="expression" dxfId="32806" priority="5682">
      <formula>AND(L602&gt;=79001,L602&lt;79900)</formula>
    </cfRule>
    <cfRule type="expression" dxfId="32805" priority="5683" stopIfTrue="1">
      <formula>AND(L602&gt;=70101,L602&lt;=70301)</formula>
    </cfRule>
    <cfRule type="expression" dxfId="32804" priority="5684" stopIfTrue="1">
      <formula>AND(L602&gt;70000,L602&lt;70004)</formula>
    </cfRule>
    <cfRule type="expression" dxfId="32803" priority="5685" stopIfTrue="1">
      <formula>AND(L602&gt;=70010,L602&lt;=76000)</formula>
    </cfRule>
    <cfRule type="expression" dxfId="32802" priority="5686">
      <formula>AND(L602&gt;70000,L602&lt;70004)</formula>
    </cfRule>
    <cfRule type="expression" dxfId="32801" priority="5687" stopIfTrue="1">
      <formula>OR(AND(L602&gt;=10000,L602&lt;=56999),AND(L602&gt;=57000,L602&lt;=57999))</formula>
    </cfRule>
    <cfRule type="expression" dxfId="32800" priority="5688" stopIfTrue="1">
      <formula>AND(L602&gt;=8000,L602&lt;=9999)</formula>
    </cfRule>
    <cfRule type="expression" dxfId="32799" priority="5689" stopIfTrue="1">
      <formula>AND(L602&gt;=78100,L602&lt;=78199)</formula>
    </cfRule>
    <cfRule type="expression" dxfId="32798" priority="5690" stopIfTrue="1">
      <formula>AND(L602&gt;=92000,L602&lt;=98999)</formula>
    </cfRule>
    <cfRule type="expression" dxfId="32797" priority="5691" stopIfTrue="1">
      <formula>AND(L602&gt;=78100,L602&lt;=78199)</formula>
    </cfRule>
    <cfRule type="expression" dxfId="32796" priority="5692" stopIfTrue="1">
      <formula>AND(L602&gt;=91000,L602&lt;=91999)</formula>
    </cfRule>
  </conditionalFormatting>
  <conditionalFormatting sqref="AE606:AE609 AM606:AM609 AU606:AU609 AA606:AA609 AI606:AI609 AQ606:AQ609 W606:W609 BK606:BK609 BG606:BG609 BC606:BC609 AY606:AY609 S606:S609 O606:O609 K606:K609">
    <cfRule type="expression" dxfId="32795" priority="5670">
      <formula>AND(L606&gt;=79001,L606&lt;79900)</formula>
    </cfRule>
    <cfRule type="expression" dxfId="32794" priority="5671" stopIfTrue="1">
      <formula>AND(L606&gt;=70101,L606&lt;=70301)</formula>
    </cfRule>
    <cfRule type="expression" dxfId="32793" priority="5672" stopIfTrue="1">
      <formula>AND(L606&gt;70000,L606&lt;70004)</formula>
    </cfRule>
    <cfRule type="expression" dxfId="32792" priority="5673" stopIfTrue="1">
      <formula>AND(L606&gt;=70010,L606&lt;=76000)</formula>
    </cfRule>
    <cfRule type="expression" dxfId="32791" priority="5674">
      <formula>AND(L606&gt;70000,L606&lt;70004)</formula>
    </cfRule>
    <cfRule type="expression" dxfId="32790" priority="5675" stopIfTrue="1">
      <formula>OR(AND(L606&gt;=10000,L606&lt;=56999),AND(L606&gt;=57000,L606&lt;=57999))</formula>
    </cfRule>
    <cfRule type="expression" dxfId="32789" priority="5676" stopIfTrue="1">
      <formula>AND(L606&gt;=8000,L606&lt;=9999)</formula>
    </cfRule>
    <cfRule type="expression" dxfId="32788" priority="5677" stopIfTrue="1">
      <formula>AND(L606&gt;=78100,L606&lt;=78199)</formula>
    </cfRule>
    <cfRule type="expression" dxfId="32787" priority="5678" stopIfTrue="1">
      <formula>AND(L606&gt;=92000,L606&lt;=98999)</formula>
    </cfRule>
    <cfRule type="expression" dxfId="32786" priority="5679" stopIfTrue="1">
      <formula>AND(L606&gt;=78100,L606&lt;=78199)</formula>
    </cfRule>
    <cfRule type="expression" dxfId="32785" priority="5680" stopIfTrue="1">
      <formula>AND(L606&gt;=91000,L606&lt;=91999)</formula>
    </cfRule>
  </conditionalFormatting>
  <conditionalFormatting sqref="AE610:AE613 AM610:AM613 AU610:AU613 AA610:AA613 AI610:AI613 AQ610:AQ613 W610:W613 BK610:BK613 BG610:BG613 BC610:BC613 AY610:AY613 S610:S613 O610:O613 K610:K613">
    <cfRule type="expression" dxfId="32784" priority="5659">
      <formula>AND(L610&gt;=79001,L610&lt;79900)</formula>
    </cfRule>
    <cfRule type="expression" dxfId="32783" priority="5660" stopIfTrue="1">
      <formula>AND(L610&gt;=70101,L610&lt;=70301)</formula>
    </cfRule>
    <cfRule type="expression" dxfId="32782" priority="5661" stopIfTrue="1">
      <formula>AND(L610&gt;70000,L610&lt;70004)</formula>
    </cfRule>
    <cfRule type="expression" dxfId="32781" priority="5662" stopIfTrue="1">
      <formula>AND(L610&gt;=70010,L610&lt;=76000)</formula>
    </cfRule>
    <cfRule type="expression" dxfId="32780" priority="5663">
      <formula>AND(L610&gt;70000,L610&lt;70004)</formula>
    </cfRule>
    <cfRule type="expression" dxfId="32779" priority="5664" stopIfTrue="1">
      <formula>OR(AND(L610&gt;=10000,L610&lt;=56999),AND(L610&gt;=57000,L610&lt;=57999))</formula>
    </cfRule>
    <cfRule type="expression" dxfId="32778" priority="5665" stopIfTrue="1">
      <formula>AND(L610&gt;=8000,L610&lt;=9999)</formula>
    </cfRule>
    <cfRule type="expression" dxfId="32777" priority="5666" stopIfTrue="1">
      <formula>AND(L610&gt;=78100,L610&lt;=78199)</formula>
    </cfRule>
    <cfRule type="expression" dxfId="32776" priority="5667" stopIfTrue="1">
      <formula>AND(L610&gt;=92000,L610&lt;=98999)</formula>
    </cfRule>
    <cfRule type="expression" dxfId="32775" priority="5668" stopIfTrue="1">
      <formula>AND(L610&gt;=78100,L610&lt;=78199)</formula>
    </cfRule>
    <cfRule type="expression" dxfId="32774" priority="5669" stopIfTrue="1">
      <formula>AND(L610&gt;=91000,L610&lt;=91999)</formula>
    </cfRule>
  </conditionalFormatting>
  <conditionalFormatting sqref="AE614:AE617 AM614:AM617 AU614:AU617 AA614:AA617 AI614:AI617 AQ614:AQ617 W614:W617 BK614:BK617 BG614:BG617 BC614:BC617 AY614:AY617 S614:S617 O614:O617 K614:K617">
    <cfRule type="expression" dxfId="32773" priority="5648">
      <formula>AND(L614&gt;=79001,L614&lt;79900)</formula>
    </cfRule>
    <cfRule type="expression" dxfId="32772" priority="5649" stopIfTrue="1">
      <formula>AND(L614&gt;=70101,L614&lt;=70301)</formula>
    </cfRule>
    <cfRule type="expression" dxfId="32771" priority="5650" stopIfTrue="1">
      <formula>AND(L614&gt;70000,L614&lt;70004)</formula>
    </cfRule>
    <cfRule type="expression" dxfId="32770" priority="5651" stopIfTrue="1">
      <formula>AND(L614&gt;=70010,L614&lt;=76000)</formula>
    </cfRule>
    <cfRule type="expression" dxfId="32769" priority="5652">
      <formula>AND(L614&gt;70000,L614&lt;70004)</formula>
    </cfRule>
    <cfRule type="expression" dxfId="32768" priority="5653" stopIfTrue="1">
      <formula>OR(AND(L614&gt;=10000,L614&lt;=56999),AND(L614&gt;=57000,L614&lt;=57999))</formula>
    </cfRule>
    <cfRule type="expression" dxfId="32767" priority="5654" stopIfTrue="1">
      <formula>AND(L614&gt;=8000,L614&lt;=9999)</formula>
    </cfRule>
    <cfRule type="expression" dxfId="32766" priority="5655" stopIfTrue="1">
      <formula>AND(L614&gt;=78100,L614&lt;=78199)</formula>
    </cfRule>
    <cfRule type="expression" dxfId="32765" priority="5656" stopIfTrue="1">
      <formula>AND(L614&gt;=92000,L614&lt;=98999)</formula>
    </cfRule>
    <cfRule type="expression" dxfId="32764" priority="5657" stopIfTrue="1">
      <formula>AND(L614&gt;=78100,L614&lt;=78199)</formula>
    </cfRule>
    <cfRule type="expression" dxfId="32763" priority="5658" stopIfTrue="1">
      <formula>AND(L614&gt;=91000,L614&lt;=91999)</formula>
    </cfRule>
  </conditionalFormatting>
  <conditionalFormatting sqref="AE618:AE619 AM618:AM619 AU618:AU619 AA618:AA619 AI618:AI619 AQ618:AQ619 W618:W619 BK618:BK619 BG618:BG619 BC618:BC619 AY618:AY619 S618:S619 O618:O619 K618:K619">
    <cfRule type="expression" dxfId="32762" priority="5636">
      <formula>AND(L618&gt;=79001,L618&lt;79900)</formula>
    </cfRule>
    <cfRule type="expression" dxfId="32761" priority="5637" stopIfTrue="1">
      <formula>AND(L618&gt;=70101,L618&lt;=70301)</formula>
    </cfRule>
    <cfRule type="expression" dxfId="32760" priority="5638" stopIfTrue="1">
      <formula>AND(L618&gt;70000,L618&lt;70004)</formula>
    </cfRule>
    <cfRule type="expression" dxfId="32759" priority="5639" stopIfTrue="1">
      <formula>AND(L618&gt;=70010,L618&lt;=76000)</formula>
    </cfRule>
    <cfRule type="expression" dxfId="32758" priority="5640">
      <formula>AND(L618&gt;70000,L618&lt;70004)</formula>
    </cfRule>
    <cfRule type="expression" dxfId="32757" priority="5641" stopIfTrue="1">
      <formula>OR(AND(L618&gt;=10000,L618&lt;=56999),AND(L618&gt;=57000,L618&lt;=57999))</formula>
    </cfRule>
    <cfRule type="expression" dxfId="32756" priority="5642" stopIfTrue="1">
      <formula>AND(L618&gt;=8000,L618&lt;=9999)</formula>
    </cfRule>
    <cfRule type="expression" dxfId="32755" priority="5643" stopIfTrue="1">
      <formula>AND(L618&gt;=78100,L618&lt;=78199)</formula>
    </cfRule>
    <cfRule type="expression" dxfId="32754" priority="5644" stopIfTrue="1">
      <formula>AND(L618&gt;=92000,L618&lt;=98999)</formula>
    </cfRule>
    <cfRule type="expression" dxfId="32753" priority="5645" stopIfTrue="1">
      <formula>AND(L618&gt;=78100,L618&lt;=78199)</formula>
    </cfRule>
    <cfRule type="expression" dxfId="32752" priority="5646" stopIfTrue="1">
      <formula>AND(L618&gt;=91000,L618&lt;=91999)</formula>
    </cfRule>
  </conditionalFormatting>
  <conditionalFormatting sqref="AE620:AE623 AM620:AM623 AU620:AU623 AA620:AA623 AI620:AI623 AQ620:AQ623 W620:W623 BK620:BK623 BG620:BG623 BC620:BC623 AY620:AY623 S620:S623 O620:O623 K620:K623">
    <cfRule type="expression" dxfId="32751" priority="5625">
      <formula>AND(L620&gt;=79001,L620&lt;79900)</formula>
    </cfRule>
    <cfRule type="expression" dxfId="32750" priority="5626" stopIfTrue="1">
      <formula>AND(L620&gt;=70101,L620&lt;=70301)</formula>
    </cfRule>
    <cfRule type="expression" dxfId="32749" priority="5627" stopIfTrue="1">
      <formula>AND(L620&gt;70000,L620&lt;70004)</formula>
    </cfRule>
    <cfRule type="expression" dxfId="32748" priority="5628" stopIfTrue="1">
      <formula>AND(L620&gt;=70010,L620&lt;=76000)</formula>
    </cfRule>
    <cfRule type="expression" dxfId="32747" priority="5629">
      <formula>AND(L620&gt;70000,L620&lt;70004)</formula>
    </cfRule>
    <cfRule type="expression" dxfId="32746" priority="5630" stopIfTrue="1">
      <formula>OR(AND(L620&gt;=10000,L620&lt;=56999),AND(L620&gt;=57000,L620&lt;=57999))</formula>
    </cfRule>
    <cfRule type="expression" dxfId="32745" priority="5631" stopIfTrue="1">
      <formula>AND(L620&gt;=8000,L620&lt;=9999)</formula>
    </cfRule>
    <cfRule type="expression" dxfId="32744" priority="5632" stopIfTrue="1">
      <formula>AND(L620&gt;=78100,L620&lt;=78199)</formula>
    </cfRule>
    <cfRule type="expression" dxfId="32743" priority="5633" stopIfTrue="1">
      <formula>AND(L620&gt;=92000,L620&lt;=98999)</formula>
    </cfRule>
    <cfRule type="expression" dxfId="32742" priority="5634" stopIfTrue="1">
      <formula>AND(L620&gt;=78100,L620&lt;=78199)</formula>
    </cfRule>
    <cfRule type="expression" dxfId="32741" priority="5635" stopIfTrue="1">
      <formula>AND(L620&gt;=91000,L620&lt;=91999)</formula>
    </cfRule>
  </conditionalFormatting>
  <conditionalFormatting sqref="AE624:AE627 AM624:AM627 AU624:AU627 AA624:AA627 AI624:AI627 AQ624:AQ627 W624:W627 BK624:BK627 BG624:BG627 BC624:BC627 AY624:AY627 S624:S627 O624:O627 K624:K627">
    <cfRule type="expression" dxfId="32740" priority="5613">
      <formula>AND(L624&gt;=79001,L624&lt;79900)</formula>
    </cfRule>
    <cfRule type="expression" dxfId="32739" priority="5614" stopIfTrue="1">
      <formula>AND(L624&gt;=70101,L624&lt;=70301)</formula>
    </cfRule>
    <cfRule type="expression" dxfId="32738" priority="5615" stopIfTrue="1">
      <formula>AND(L624&gt;70000,L624&lt;70004)</formula>
    </cfRule>
    <cfRule type="expression" dxfId="32737" priority="5616" stopIfTrue="1">
      <formula>AND(L624&gt;=70010,L624&lt;=76000)</formula>
    </cfRule>
    <cfRule type="expression" dxfId="32736" priority="5617">
      <formula>AND(L624&gt;70000,L624&lt;70004)</formula>
    </cfRule>
    <cfRule type="expression" dxfId="32735" priority="5618" stopIfTrue="1">
      <formula>OR(AND(L624&gt;=10000,L624&lt;=56999),AND(L624&gt;=57000,L624&lt;=57999))</formula>
    </cfRule>
    <cfRule type="expression" dxfId="32734" priority="5619" stopIfTrue="1">
      <formula>AND(L624&gt;=8000,L624&lt;=9999)</formula>
    </cfRule>
    <cfRule type="expression" dxfId="32733" priority="5620" stopIfTrue="1">
      <formula>AND(L624&gt;=78100,L624&lt;=78199)</formula>
    </cfRule>
    <cfRule type="expression" dxfId="32732" priority="5621" stopIfTrue="1">
      <formula>AND(L624&gt;=92000,L624&lt;=98999)</formula>
    </cfRule>
    <cfRule type="expression" dxfId="32731" priority="5622" stopIfTrue="1">
      <formula>AND(L624&gt;=78100,L624&lt;=78199)</formula>
    </cfRule>
    <cfRule type="expression" dxfId="32730" priority="5623" stopIfTrue="1">
      <formula>AND(L624&gt;=91000,L624&lt;=91999)</formula>
    </cfRule>
  </conditionalFormatting>
  <conditionalFormatting sqref="AE628:AE629 AM628:AM629 AU628:AU629 AA628:AA629 AI628:AI629 AQ628:AQ629 W628:W629 BK628:BK629 BG628:BG629 BC628:BC629 AY628:AY629 S628:S629 O628:O629 K628:K629">
    <cfRule type="expression" dxfId="32729" priority="5602">
      <formula>AND(L628&gt;=79001,L628&lt;79900)</formula>
    </cfRule>
    <cfRule type="expression" dxfId="32728" priority="5603" stopIfTrue="1">
      <formula>AND(L628&gt;=70101,L628&lt;=70301)</formula>
    </cfRule>
    <cfRule type="expression" dxfId="32727" priority="5604" stopIfTrue="1">
      <formula>AND(L628&gt;70000,L628&lt;70004)</formula>
    </cfRule>
    <cfRule type="expression" dxfId="32726" priority="5605" stopIfTrue="1">
      <formula>AND(L628&gt;=70010,L628&lt;=76000)</formula>
    </cfRule>
    <cfRule type="expression" dxfId="32725" priority="5606">
      <formula>AND(L628&gt;70000,L628&lt;70004)</formula>
    </cfRule>
    <cfRule type="expression" dxfId="32724" priority="5607" stopIfTrue="1">
      <formula>OR(AND(L628&gt;=10000,L628&lt;=56999),AND(L628&gt;=57000,L628&lt;=57999))</formula>
    </cfRule>
    <cfRule type="expression" dxfId="32723" priority="5608" stopIfTrue="1">
      <formula>AND(L628&gt;=8000,L628&lt;=9999)</formula>
    </cfRule>
    <cfRule type="expression" dxfId="32722" priority="5609" stopIfTrue="1">
      <formula>AND(L628&gt;=78100,L628&lt;=78199)</formula>
    </cfRule>
    <cfRule type="expression" dxfId="32721" priority="5610" stopIfTrue="1">
      <formula>AND(L628&gt;=92000,L628&lt;=98999)</formula>
    </cfRule>
    <cfRule type="expression" dxfId="32720" priority="5611" stopIfTrue="1">
      <formula>AND(L628&gt;=78100,L628&lt;=78199)</formula>
    </cfRule>
    <cfRule type="expression" dxfId="32719" priority="5612" stopIfTrue="1">
      <formula>AND(L628&gt;=91000,L628&lt;=91999)</formula>
    </cfRule>
  </conditionalFormatting>
  <conditionalFormatting sqref="AE495:AE506 AM495:AM506 AU495:AU506 AI495:AI506 AQ495:AQ506 BK495:BK506 BG495:BG506 BC495:BC506 AY495:AY506 K495:K506 O495:O506 S495:S506 W495:W506 AA495:AA506">
    <cfRule type="expression" dxfId="32718" priority="5591">
      <formula>AND(L495&gt;=79001,L495&lt;79900)</formula>
    </cfRule>
    <cfRule type="expression" dxfId="32717" priority="5592" stopIfTrue="1">
      <formula>AND(L495&gt;=70101,L495&lt;=70301)</formula>
    </cfRule>
    <cfRule type="expression" dxfId="32716" priority="5593" stopIfTrue="1">
      <formula>AND(L495&gt;70000,L495&lt;70004)</formula>
    </cfRule>
    <cfRule type="expression" dxfId="32715" priority="5594" stopIfTrue="1">
      <formula>AND(L495&gt;=70010,L495&lt;=76000)</formula>
    </cfRule>
    <cfRule type="expression" dxfId="32714" priority="5595">
      <formula>AND(L495&gt;70000,L495&lt;70004)</formula>
    </cfRule>
    <cfRule type="expression" dxfId="32713" priority="5596" stopIfTrue="1">
      <formula>OR(AND(L495&gt;=10000,L495&lt;=56999),AND(L495&gt;=57000,L495&lt;=57999))</formula>
    </cfRule>
    <cfRule type="expression" dxfId="32712" priority="5597" stopIfTrue="1">
      <formula>AND(L495&gt;=8000,L495&lt;=9999)</formula>
    </cfRule>
    <cfRule type="expression" dxfId="32711" priority="5598" stopIfTrue="1">
      <formula>AND(L495&gt;=78100,L495&lt;=78199)</formula>
    </cfRule>
    <cfRule type="expression" dxfId="32710" priority="5599" stopIfTrue="1">
      <formula>AND(L495&gt;=92000,L495&lt;=98999)</formula>
    </cfRule>
    <cfRule type="expression" dxfId="32709" priority="5600" stopIfTrue="1">
      <formula>AND(L495&gt;=78100,L495&lt;=78199)</formula>
    </cfRule>
    <cfRule type="expression" dxfId="32708" priority="5601" stopIfTrue="1">
      <formula>AND(L495&gt;=91000,L495&lt;=91999)</formula>
    </cfRule>
  </conditionalFormatting>
  <conditionalFormatting sqref="H280">
    <cfRule type="expression" dxfId="32707" priority="34619">
      <formula>AND(#REF!&gt;=79001,#REF!&lt;79900)</formula>
    </cfRule>
    <cfRule type="expression" dxfId="32706" priority="34620" stopIfTrue="1">
      <formula>AND(#REF!&gt;=70101,#REF!&lt;=70301)</formula>
    </cfRule>
    <cfRule type="expression" dxfId="32705" priority="34621" stopIfTrue="1">
      <formula>AND(#REF!&gt;70000,#REF!&lt;70004)</formula>
    </cfRule>
    <cfRule type="expression" dxfId="32704" priority="34622" stopIfTrue="1">
      <formula>AND(#REF!&gt;=70010,#REF!&lt;=76000)</formula>
    </cfRule>
    <cfRule type="expression" dxfId="32703" priority="34623">
      <formula>AND(#REF!&gt;70000,#REF!&lt;70004)</formula>
    </cfRule>
    <cfRule type="expression" dxfId="32702" priority="34624" stopIfTrue="1">
      <formula>OR(AND(#REF!&gt;=10000,#REF!&lt;=56999),AND(#REF!&gt;=57000,#REF!&lt;=57999))</formula>
    </cfRule>
    <cfRule type="expression" dxfId="32701" priority="34625" stopIfTrue="1">
      <formula>AND(#REF!&gt;=8000,#REF!&lt;=9999)</formula>
    </cfRule>
    <cfRule type="expression" dxfId="32700" priority="34626" stopIfTrue="1">
      <formula>AND(#REF!&gt;=78100,#REF!&lt;=78199)</formula>
    </cfRule>
    <cfRule type="expression" dxfId="32699" priority="34627" stopIfTrue="1">
      <formula>AND(#REF!&gt;=92000,#REF!&lt;=98999)</formula>
    </cfRule>
    <cfRule type="expression" dxfId="32698" priority="34628" stopIfTrue="1">
      <formula>AND(#REF!&gt;=78100,#REF!&lt;=78199)</formula>
    </cfRule>
    <cfRule type="expression" dxfId="32697" priority="34629" stopIfTrue="1">
      <formula>AND(#REF!&gt;=91000,#REF!&lt;=91999)</formula>
    </cfRule>
  </conditionalFormatting>
  <conditionalFormatting sqref="G127:G129">
    <cfRule type="expression" dxfId="32696" priority="4795">
      <formula>AND(H127&gt;=79001,H127&lt;79900)</formula>
    </cfRule>
    <cfRule type="expression" dxfId="32695" priority="4796" stopIfTrue="1">
      <formula>AND(H127&gt;=70101,H127&lt;=70301)</formula>
    </cfRule>
    <cfRule type="expression" dxfId="32694" priority="4797" stopIfTrue="1">
      <formula>AND(H127&gt;70000,H127&lt;70004)</formula>
    </cfRule>
    <cfRule type="expression" dxfId="32693" priority="4798" stopIfTrue="1">
      <formula>AND(H127&gt;=70010,H127&lt;=76000)</formula>
    </cfRule>
    <cfRule type="expression" dxfId="32692" priority="4799">
      <formula>AND(H127&gt;70000,H127&lt;70004)</formula>
    </cfRule>
    <cfRule type="expression" dxfId="32691" priority="4800" stopIfTrue="1">
      <formula>OR(AND(H127&gt;=10000,H127&lt;=56999),AND(H127&gt;=57000,H127&lt;=57999))</formula>
    </cfRule>
    <cfRule type="expression" dxfId="32690" priority="4801" stopIfTrue="1">
      <formula>AND(H127&gt;=8000,H127&lt;=9999)</formula>
    </cfRule>
    <cfRule type="expression" dxfId="32689" priority="4802" stopIfTrue="1">
      <formula>AND(H127&gt;=78100,H127&lt;=78199)</formula>
    </cfRule>
    <cfRule type="expression" dxfId="32688" priority="4803" stopIfTrue="1">
      <formula>AND(H127&gt;=92000,H127&lt;=98999)</formula>
    </cfRule>
    <cfRule type="expression" dxfId="32687" priority="4804" stopIfTrue="1">
      <formula>AND(H127&gt;=78100,H127&lt;=78199)</formula>
    </cfRule>
    <cfRule type="expression" dxfId="32686" priority="4805" stopIfTrue="1">
      <formula>AND(H127&gt;=91000,H127&lt;=91999)</formula>
    </cfRule>
  </conditionalFormatting>
  <conditionalFormatting sqref="K127:K129">
    <cfRule type="expression" dxfId="32685" priority="4784">
      <formula>AND(L127&gt;=79001,L127&lt;79900)</formula>
    </cfRule>
    <cfRule type="expression" dxfId="32684" priority="4785" stopIfTrue="1">
      <formula>AND(L127&gt;=70101,L127&lt;=70301)</formula>
    </cfRule>
    <cfRule type="expression" dxfId="32683" priority="4786" stopIfTrue="1">
      <formula>AND(L127&gt;70000,L127&lt;70004)</formula>
    </cfRule>
    <cfRule type="expression" dxfId="32682" priority="4787" stopIfTrue="1">
      <formula>AND(L127&gt;=70010,L127&lt;=76000)</formula>
    </cfRule>
    <cfRule type="expression" dxfId="32681" priority="4788">
      <formula>AND(L127&gt;70000,L127&lt;70004)</formula>
    </cfRule>
    <cfRule type="expression" dxfId="32680" priority="4789" stopIfTrue="1">
      <formula>OR(AND(L127&gt;=10000,L127&lt;=56999),AND(L127&gt;=57000,L127&lt;=57999))</formula>
    </cfRule>
    <cfRule type="expression" dxfId="32679" priority="4790" stopIfTrue="1">
      <formula>AND(L127&gt;=8000,L127&lt;=9999)</formula>
    </cfRule>
    <cfRule type="expression" dxfId="32678" priority="4791" stopIfTrue="1">
      <formula>AND(L127&gt;=78100,L127&lt;=78199)</formula>
    </cfRule>
    <cfRule type="expression" dxfId="32677" priority="4792" stopIfTrue="1">
      <formula>AND(L127&gt;=92000,L127&lt;=98999)</formula>
    </cfRule>
    <cfRule type="expression" dxfId="32676" priority="4793" stopIfTrue="1">
      <formula>AND(L127&gt;=78100,L127&lt;=78199)</formula>
    </cfRule>
    <cfRule type="expression" dxfId="32675" priority="4794" stopIfTrue="1">
      <formula>AND(L127&gt;=91000,L127&lt;=91999)</formula>
    </cfRule>
  </conditionalFormatting>
  <conditionalFormatting sqref="O127:O129">
    <cfRule type="expression" dxfId="32674" priority="4773">
      <formula>AND(P127&gt;=79001,P127&lt;79900)</formula>
    </cfRule>
    <cfRule type="expression" dxfId="32673" priority="4774" stopIfTrue="1">
      <formula>AND(P127&gt;=70101,P127&lt;=70301)</formula>
    </cfRule>
    <cfRule type="expression" dxfId="32672" priority="4775" stopIfTrue="1">
      <formula>AND(P127&gt;70000,P127&lt;70004)</formula>
    </cfRule>
    <cfRule type="expression" dxfId="32671" priority="4776" stopIfTrue="1">
      <formula>AND(P127&gt;=70010,P127&lt;=76000)</formula>
    </cfRule>
    <cfRule type="expression" dxfId="32670" priority="4777">
      <formula>AND(P127&gt;70000,P127&lt;70004)</formula>
    </cfRule>
    <cfRule type="expression" dxfId="32669" priority="4778" stopIfTrue="1">
      <formula>OR(AND(P127&gt;=10000,P127&lt;=56999),AND(P127&gt;=57000,P127&lt;=57999))</formula>
    </cfRule>
    <cfRule type="expression" dxfId="32668" priority="4779" stopIfTrue="1">
      <formula>AND(P127&gt;=8000,P127&lt;=9999)</formula>
    </cfRule>
    <cfRule type="expression" dxfId="32667" priority="4780" stopIfTrue="1">
      <formula>AND(P127&gt;=78100,P127&lt;=78199)</formula>
    </cfRule>
    <cfRule type="expression" dxfId="32666" priority="4781" stopIfTrue="1">
      <formula>AND(P127&gt;=92000,P127&lt;=98999)</formula>
    </cfRule>
    <cfRule type="expression" dxfId="32665" priority="4782" stopIfTrue="1">
      <formula>AND(P127&gt;=78100,P127&lt;=78199)</formula>
    </cfRule>
    <cfRule type="expression" dxfId="32664" priority="4783" stopIfTrue="1">
      <formula>AND(P127&gt;=91000,P127&lt;=91999)</formula>
    </cfRule>
  </conditionalFormatting>
  <conditionalFormatting sqref="AA127:AA129">
    <cfRule type="expression" dxfId="32663" priority="4762">
      <formula>AND(AB127&gt;=79001,AB127&lt;79900)</formula>
    </cfRule>
    <cfRule type="expression" dxfId="32662" priority="4763" stopIfTrue="1">
      <formula>AND(AB127&gt;=70101,AB127&lt;=70301)</formula>
    </cfRule>
    <cfRule type="expression" dxfId="32661" priority="4764" stopIfTrue="1">
      <formula>AND(AB127&gt;70000,AB127&lt;70004)</formula>
    </cfRule>
    <cfRule type="expression" dxfId="32660" priority="4765" stopIfTrue="1">
      <formula>AND(AB127&gt;=70010,AB127&lt;=76000)</formula>
    </cfRule>
    <cfRule type="expression" dxfId="32659" priority="4766">
      <formula>AND(AB127&gt;70000,AB127&lt;70004)</formula>
    </cfRule>
    <cfRule type="expression" dxfId="32658" priority="4767" stopIfTrue="1">
      <formula>OR(AND(AB127&gt;=10000,AB127&lt;=56999),AND(AB127&gt;=57000,AB127&lt;=57999))</formula>
    </cfRule>
    <cfRule type="expression" dxfId="32657" priority="4768" stopIfTrue="1">
      <formula>AND(AB127&gt;=8000,AB127&lt;=9999)</formula>
    </cfRule>
    <cfRule type="expression" dxfId="32656" priority="4769" stopIfTrue="1">
      <formula>AND(AB127&gt;=78100,AB127&lt;=78199)</formula>
    </cfRule>
    <cfRule type="expression" dxfId="32655" priority="4770" stopIfTrue="1">
      <formula>AND(AB127&gt;=92000,AB127&lt;=98999)</formula>
    </cfRule>
    <cfRule type="expression" dxfId="32654" priority="4771" stopIfTrue="1">
      <formula>AND(AB127&gt;=78100,AB127&lt;=78199)</formula>
    </cfRule>
    <cfRule type="expression" dxfId="32653" priority="4772" stopIfTrue="1">
      <formula>AND(AB127&gt;=91000,AB127&lt;=91999)</formula>
    </cfRule>
  </conditionalFormatting>
  <conditionalFormatting sqref="AE127:AE129">
    <cfRule type="expression" dxfId="32652" priority="4751">
      <formula>AND(AF127&gt;=79001,AF127&lt;79900)</formula>
    </cfRule>
    <cfRule type="expression" dxfId="32651" priority="4752" stopIfTrue="1">
      <formula>AND(AF127&gt;=70101,AF127&lt;=70301)</formula>
    </cfRule>
    <cfRule type="expression" dxfId="32650" priority="4753" stopIfTrue="1">
      <formula>AND(AF127&gt;70000,AF127&lt;70004)</formula>
    </cfRule>
    <cfRule type="expression" dxfId="32649" priority="4754" stopIfTrue="1">
      <formula>AND(AF127&gt;=70010,AF127&lt;=76000)</formula>
    </cfRule>
    <cfRule type="expression" dxfId="32648" priority="4755">
      <formula>AND(AF127&gt;70000,AF127&lt;70004)</formula>
    </cfRule>
    <cfRule type="expression" dxfId="32647" priority="4756" stopIfTrue="1">
      <formula>OR(AND(AF127&gt;=10000,AF127&lt;=56999),AND(AF127&gt;=57000,AF127&lt;=57999))</formula>
    </cfRule>
    <cfRule type="expression" dxfId="32646" priority="4757" stopIfTrue="1">
      <formula>AND(AF127&gt;=8000,AF127&lt;=9999)</formula>
    </cfRule>
    <cfRule type="expression" dxfId="32645" priority="4758" stopIfTrue="1">
      <formula>AND(AF127&gt;=78100,AF127&lt;=78199)</formula>
    </cfRule>
    <cfRule type="expression" dxfId="32644" priority="4759" stopIfTrue="1">
      <formula>AND(AF127&gt;=92000,AF127&lt;=98999)</formula>
    </cfRule>
    <cfRule type="expression" dxfId="32643" priority="4760" stopIfTrue="1">
      <formula>AND(AF127&gt;=78100,AF127&lt;=78199)</formula>
    </cfRule>
    <cfRule type="expression" dxfId="32642" priority="4761" stopIfTrue="1">
      <formula>AND(AF127&gt;=91000,AF127&lt;=91999)</formula>
    </cfRule>
  </conditionalFormatting>
  <conditionalFormatting sqref="AI127:AI129">
    <cfRule type="expression" dxfId="32641" priority="4740">
      <formula>AND(AJ127&gt;=79001,AJ127&lt;79900)</formula>
    </cfRule>
    <cfRule type="expression" dxfId="32640" priority="4741" stopIfTrue="1">
      <formula>AND(AJ127&gt;=70101,AJ127&lt;=70301)</formula>
    </cfRule>
    <cfRule type="expression" dxfId="32639" priority="4742" stopIfTrue="1">
      <formula>AND(AJ127&gt;70000,AJ127&lt;70004)</formula>
    </cfRule>
    <cfRule type="expression" dxfId="32638" priority="4743" stopIfTrue="1">
      <formula>AND(AJ127&gt;=70010,AJ127&lt;=76000)</formula>
    </cfRule>
    <cfRule type="expression" dxfId="32637" priority="4744">
      <formula>AND(AJ127&gt;70000,AJ127&lt;70004)</formula>
    </cfRule>
    <cfRule type="expression" dxfId="32636" priority="4745" stopIfTrue="1">
      <formula>OR(AND(AJ127&gt;=10000,AJ127&lt;=56999),AND(AJ127&gt;=57000,AJ127&lt;=57999))</formula>
    </cfRule>
    <cfRule type="expression" dxfId="32635" priority="4746" stopIfTrue="1">
      <formula>AND(AJ127&gt;=8000,AJ127&lt;=9999)</formula>
    </cfRule>
    <cfRule type="expression" dxfId="32634" priority="4747" stopIfTrue="1">
      <formula>AND(AJ127&gt;=78100,AJ127&lt;=78199)</formula>
    </cfRule>
    <cfRule type="expression" dxfId="32633" priority="4748" stopIfTrue="1">
      <formula>AND(AJ127&gt;=92000,AJ127&lt;=98999)</formula>
    </cfRule>
    <cfRule type="expression" dxfId="32632" priority="4749" stopIfTrue="1">
      <formula>AND(AJ127&gt;=78100,AJ127&lt;=78199)</formula>
    </cfRule>
    <cfRule type="expression" dxfId="32631" priority="4750" stopIfTrue="1">
      <formula>AND(AJ127&gt;=91000,AJ127&lt;=91999)</formula>
    </cfRule>
  </conditionalFormatting>
  <conditionalFormatting sqref="AM127:AM129">
    <cfRule type="expression" dxfId="32630" priority="4729">
      <formula>AND(AN127&gt;=79001,AN127&lt;79900)</formula>
    </cfRule>
    <cfRule type="expression" dxfId="32629" priority="4730" stopIfTrue="1">
      <formula>AND(AN127&gt;=70101,AN127&lt;=70301)</formula>
    </cfRule>
    <cfRule type="expression" dxfId="32628" priority="4731" stopIfTrue="1">
      <formula>AND(AN127&gt;70000,AN127&lt;70004)</formula>
    </cfRule>
    <cfRule type="expression" dxfId="32627" priority="4732" stopIfTrue="1">
      <formula>AND(AN127&gt;=70010,AN127&lt;=76000)</formula>
    </cfRule>
    <cfRule type="expression" dxfId="32626" priority="4733">
      <formula>AND(AN127&gt;70000,AN127&lt;70004)</formula>
    </cfRule>
    <cfRule type="expression" dxfId="32625" priority="4734" stopIfTrue="1">
      <formula>OR(AND(AN127&gt;=10000,AN127&lt;=56999),AND(AN127&gt;=57000,AN127&lt;=57999))</formula>
    </cfRule>
    <cfRule type="expression" dxfId="32624" priority="4735" stopIfTrue="1">
      <formula>AND(AN127&gt;=8000,AN127&lt;=9999)</formula>
    </cfRule>
    <cfRule type="expression" dxfId="32623" priority="4736" stopIfTrue="1">
      <formula>AND(AN127&gt;=78100,AN127&lt;=78199)</formula>
    </cfRule>
    <cfRule type="expression" dxfId="32622" priority="4737" stopIfTrue="1">
      <formula>AND(AN127&gt;=92000,AN127&lt;=98999)</formula>
    </cfRule>
    <cfRule type="expression" dxfId="32621" priority="4738" stopIfTrue="1">
      <formula>AND(AN127&gt;=78100,AN127&lt;=78199)</formula>
    </cfRule>
    <cfRule type="expression" dxfId="32620" priority="4739" stopIfTrue="1">
      <formula>AND(AN127&gt;=91000,AN127&lt;=91999)</formula>
    </cfRule>
  </conditionalFormatting>
  <conditionalFormatting sqref="AQ127:AQ129">
    <cfRule type="expression" dxfId="32619" priority="4718">
      <formula>AND(AR127&gt;=79001,AR127&lt;79900)</formula>
    </cfRule>
    <cfRule type="expression" dxfId="32618" priority="4719" stopIfTrue="1">
      <formula>AND(AR127&gt;=70101,AR127&lt;=70301)</formula>
    </cfRule>
    <cfRule type="expression" dxfId="32617" priority="4720" stopIfTrue="1">
      <formula>AND(AR127&gt;70000,AR127&lt;70004)</formula>
    </cfRule>
    <cfRule type="expression" dxfId="32616" priority="4721" stopIfTrue="1">
      <formula>AND(AR127&gt;=70010,AR127&lt;=76000)</formula>
    </cfRule>
    <cfRule type="expression" dxfId="32615" priority="4722">
      <formula>AND(AR127&gt;70000,AR127&lt;70004)</formula>
    </cfRule>
    <cfRule type="expression" dxfId="32614" priority="4723" stopIfTrue="1">
      <formula>OR(AND(AR127&gt;=10000,AR127&lt;=56999),AND(AR127&gt;=57000,AR127&lt;=57999))</formula>
    </cfRule>
    <cfRule type="expression" dxfId="32613" priority="4724" stopIfTrue="1">
      <formula>AND(AR127&gt;=8000,AR127&lt;=9999)</formula>
    </cfRule>
    <cfRule type="expression" dxfId="32612" priority="4725" stopIfTrue="1">
      <formula>AND(AR127&gt;=78100,AR127&lt;=78199)</formula>
    </cfRule>
    <cfRule type="expression" dxfId="32611" priority="4726" stopIfTrue="1">
      <formula>AND(AR127&gt;=92000,AR127&lt;=98999)</formula>
    </cfRule>
    <cfRule type="expression" dxfId="32610" priority="4727" stopIfTrue="1">
      <formula>AND(AR127&gt;=78100,AR127&lt;=78199)</formula>
    </cfRule>
    <cfRule type="expression" dxfId="32609" priority="4728" stopIfTrue="1">
      <formula>AND(AR127&gt;=91000,AR127&lt;=91999)</formula>
    </cfRule>
  </conditionalFormatting>
  <conditionalFormatting sqref="AU127:AU129">
    <cfRule type="expression" dxfId="32608" priority="4707">
      <formula>AND(AV127&gt;=79001,AV127&lt;79900)</formula>
    </cfRule>
    <cfRule type="expression" dxfId="32607" priority="4708" stopIfTrue="1">
      <formula>AND(AV127&gt;=70101,AV127&lt;=70301)</formula>
    </cfRule>
    <cfRule type="expression" dxfId="32606" priority="4709" stopIfTrue="1">
      <formula>AND(AV127&gt;70000,AV127&lt;70004)</formula>
    </cfRule>
    <cfRule type="expression" dxfId="32605" priority="4710" stopIfTrue="1">
      <formula>AND(AV127&gt;=70010,AV127&lt;=76000)</formula>
    </cfRule>
    <cfRule type="expression" dxfId="32604" priority="4711">
      <formula>AND(AV127&gt;70000,AV127&lt;70004)</formula>
    </cfRule>
    <cfRule type="expression" dxfId="32603" priority="4712" stopIfTrue="1">
      <formula>OR(AND(AV127&gt;=10000,AV127&lt;=56999),AND(AV127&gt;=57000,AV127&lt;=57999))</formula>
    </cfRule>
    <cfRule type="expression" dxfId="32602" priority="4713" stopIfTrue="1">
      <formula>AND(AV127&gt;=8000,AV127&lt;=9999)</formula>
    </cfRule>
    <cfRule type="expression" dxfId="32601" priority="4714" stopIfTrue="1">
      <formula>AND(AV127&gt;=78100,AV127&lt;=78199)</formula>
    </cfRule>
    <cfRule type="expression" dxfId="32600" priority="4715" stopIfTrue="1">
      <formula>AND(AV127&gt;=92000,AV127&lt;=98999)</formula>
    </cfRule>
    <cfRule type="expression" dxfId="32599" priority="4716" stopIfTrue="1">
      <formula>AND(AV127&gt;=78100,AV127&lt;=78199)</formula>
    </cfRule>
    <cfRule type="expression" dxfId="32598" priority="4717" stopIfTrue="1">
      <formula>AND(AV127&gt;=91000,AV127&lt;=91999)</formula>
    </cfRule>
  </conditionalFormatting>
  <conditionalFormatting sqref="AY127:AY129">
    <cfRule type="expression" dxfId="32597" priority="4696">
      <formula>AND(AZ127&gt;=79001,AZ127&lt;79900)</formula>
    </cfRule>
    <cfRule type="expression" dxfId="32596" priority="4697" stopIfTrue="1">
      <formula>AND(AZ127&gt;=70101,AZ127&lt;=70301)</formula>
    </cfRule>
    <cfRule type="expression" dxfId="32595" priority="4698" stopIfTrue="1">
      <formula>AND(AZ127&gt;70000,AZ127&lt;70004)</formula>
    </cfRule>
    <cfRule type="expression" dxfId="32594" priority="4699" stopIfTrue="1">
      <formula>AND(AZ127&gt;=70010,AZ127&lt;=76000)</formula>
    </cfRule>
    <cfRule type="expression" dxfId="32593" priority="4700">
      <formula>AND(AZ127&gt;70000,AZ127&lt;70004)</formula>
    </cfRule>
    <cfRule type="expression" dxfId="32592" priority="4701" stopIfTrue="1">
      <formula>OR(AND(AZ127&gt;=10000,AZ127&lt;=56999),AND(AZ127&gt;=57000,AZ127&lt;=57999))</formula>
    </cfRule>
    <cfRule type="expression" dxfId="32591" priority="4702" stopIfTrue="1">
      <formula>AND(AZ127&gt;=8000,AZ127&lt;=9999)</formula>
    </cfRule>
    <cfRule type="expression" dxfId="32590" priority="4703" stopIfTrue="1">
      <formula>AND(AZ127&gt;=78100,AZ127&lt;=78199)</formula>
    </cfRule>
    <cfRule type="expression" dxfId="32589" priority="4704" stopIfTrue="1">
      <formula>AND(AZ127&gt;=92000,AZ127&lt;=98999)</formula>
    </cfRule>
    <cfRule type="expression" dxfId="32588" priority="4705" stopIfTrue="1">
      <formula>AND(AZ127&gt;=78100,AZ127&lt;=78199)</formula>
    </cfRule>
    <cfRule type="expression" dxfId="32587" priority="4706" stopIfTrue="1">
      <formula>AND(AZ127&gt;=91000,AZ127&lt;=91999)</formula>
    </cfRule>
  </conditionalFormatting>
  <conditionalFormatting sqref="BC127:BC129">
    <cfRule type="expression" dxfId="32586" priority="4685">
      <formula>AND(BD127&gt;=79001,BD127&lt;79900)</formula>
    </cfRule>
    <cfRule type="expression" dxfId="32585" priority="4686" stopIfTrue="1">
      <formula>AND(BD127&gt;=70101,BD127&lt;=70301)</formula>
    </cfRule>
    <cfRule type="expression" dxfId="32584" priority="4687" stopIfTrue="1">
      <formula>AND(BD127&gt;70000,BD127&lt;70004)</formula>
    </cfRule>
    <cfRule type="expression" dxfId="32583" priority="4688" stopIfTrue="1">
      <formula>AND(BD127&gt;=70010,BD127&lt;=76000)</formula>
    </cfRule>
    <cfRule type="expression" dxfId="32582" priority="4689">
      <formula>AND(BD127&gt;70000,BD127&lt;70004)</formula>
    </cfRule>
    <cfRule type="expression" dxfId="32581" priority="4690" stopIfTrue="1">
      <formula>OR(AND(BD127&gt;=10000,BD127&lt;=56999),AND(BD127&gt;=57000,BD127&lt;=57999))</formula>
    </cfRule>
    <cfRule type="expression" dxfId="32580" priority="4691" stopIfTrue="1">
      <formula>AND(BD127&gt;=8000,BD127&lt;=9999)</formula>
    </cfRule>
    <cfRule type="expression" dxfId="32579" priority="4692" stopIfTrue="1">
      <formula>AND(BD127&gt;=78100,BD127&lt;=78199)</formula>
    </cfRule>
    <cfRule type="expression" dxfId="32578" priority="4693" stopIfTrue="1">
      <formula>AND(BD127&gt;=92000,BD127&lt;=98999)</formula>
    </cfRule>
    <cfRule type="expression" dxfId="32577" priority="4694" stopIfTrue="1">
      <formula>AND(BD127&gt;=78100,BD127&lt;=78199)</formula>
    </cfRule>
    <cfRule type="expression" dxfId="32576" priority="4695" stopIfTrue="1">
      <formula>AND(BD127&gt;=91000,BD127&lt;=91999)</formula>
    </cfRule>
  </conditionalFormatting>
  <conditionalFormatting sqref="BG127:BG129">
    <cfRule type="expression" dxfId="32575" priority="4674">
      <formula>AND(BH127&gt;=79001,BH127&lt;79900)</formula>
    </cfRule>
    <cfRule type="expression" dxfId="32574" priority="4675" stopIfTrue="1">
      <formula>AND(BH127&gt;=70101,BH127&lt;=70301)</formula>
    </cfRule>
    <cfRule type="expression" dxfId="32573" priority="4676" stopIfTrue="1">
      <formula>AND(BH127&gt;70000,BH127&lt;70004)</formula>
    </cfRule>
    <cfRule type="expression" dxfId="32572" priority="4677" stopIfTrue="1">
      <formula>AND(BH127&gt;=70010,BH127&lt;=76000)</formula>
    </cfRule>
    <cfRule type="expression" dxfId="32571" priority="4678">
      <formula>AND(BH127&gt;70000,BH127&lt;70004)</formula>
    </cfRule>
    <cfRule type="expression" dxfId="32570" priority="4679" stopIfTrue="1">
      <formula>OR(AND(BH127&gt;=10000,BH127&lt;=56999),AND(BH127&gt;=57000,BH127&lt;=57999))</formula>
    </cfRule>
    <cfRule type="expression" dxfId="32569" priority="4680" stopIfTrue="1">
      <formula>AND(BH127&gt;=8000,BH127&lt;=9999)</formula>
    </cfRule>
    <cfRule type="expression" dxfId="32568" priority="4681" stopIfTrue="1">
      <formula>AND(BH127&gt;=78100,BH127&lt;=78199)</formula>
    </cfRule>
    <cfRule type="expression" dxfId="32567" priority="4682" stopIfTrue="1">
      <formula>AND(BH127&gt;=92000,BH127&lt;=98999)</formula>
    </cfRule>
    <cfRule type="expression" dxfId="32566" priority="4683" stopIfTrue="1">
      <formula>AND(BH127&gt;=78100,BH127&lt;=78199)</formula>
    </cfRule>
    <cfRule type="expression" dxfId="32565" priority="4684" stopIfTrue="1">
      <formula>AND(BH127&gt;=91000,BH127&lt;=91999)</formula>
    </cfRule>
  </conditionalFormatting>
  <conditionalFormatting sqref="BK127:BK129">
    <cfRule type="expression" dxfId="32564" priority="4663">
      <formula>AND(BL127&gt;=79001,BL127&lt;79900)</formula>
    </cfRule>
    <cfRule type="expression" dxfId="32563" priority="4664" stopIfTrue="1">
      <formula>AND(BL127&gt;=70101,BL127&lt;=70301)</formula>
    </cfRule>
    <cfRule type="expression" dxfId="32562" priority="4665" stopIfTrue="1">
      <formula>AND(BL127&gt;70000,BL127&lt;70004)</formula>
    </cfRule>
    <cfRule type="expression" dxfId="32561" priority="4666" stopIfTrue="1">
      <formula>AND(BL127&gt;=70010,BL127&lt;=76000)</formula>
    </cfRule>
    <cfRule type="expression" dxfId="32560" priority="4667">
      <formula>AND(BL127&gt;70000,BL127&lt;70004)</formula>
    </cfRule>
    <cfRule type="expression" dxfId="32559" priority="4668" stopIfTrue="1">
      <formula>OR(AND(BL127&gt;=10000,BL127&lt;=56999),AND(BL127&gt;=57000,BL127&lt;=57999))</formula>
    </cfRule>
    <cfRule type="expression" dxfId="32558" priority="4669" stopIfTrue="1">
      <formula>AND(BL127&gt;=8000,BL127&lt;=9999)</formula>
    </cfRule>
    <cfRule type="expression" dxfId="32557" priority="4670" stopIfTrue="1">
      <formula>AND(BL127&gt;=78100,BL127&lt;=78199)</formula>
    </cfRule>
    <cfRule type="expression" dxfId="32556" priority="4671" stopIfTrue="1">
      <formula>AND(BL127&gt;=92000,BL127&lt;=98999)</formula>
    </cfRule>
    <cfRule type="expression" dxfId="32555" priority="4672" stopIfTrue="1">
      <formula>AND(BL127&gt;=78100,BL127&lt;=78199)</formula>
    </cfRule>
    <cfRule type="expression" dxfId="32554" priority="4673" stopIfTrue="1">
      <formula>AND(BL127&gt;=91000,BL127&lt;=91999)</formula>
    </cfRule>
  </conditionalFormatting>
  <conditionalFormatting sqref="G127:G129">
    <cfRule type="expression" dxfId="32553" priority="4652">
      <formula>AND(H127&gt;=79001,H127&lt;79900)</formula>
    </cfRule>
    <cfRule type="expression" dxfId="32552" priority="4653" stopIfTrue="1">
      <formula>AND(H127&gt;=70101,H127&lt;=70301)</formula>
    </cfRule>
    <cfRule type="expression" dxfId="32551" priority="4654" stopIfTrue="1">
      <formula>AND(H127&gt;70000,H127&lt;70004)</formula>
    </cfRule>
    <cfRule type="expression" dxfId="32550" priority="4655" stopIfTrue="1">
      <formula>AND(H127&gt;=70010,H127&lt;=76000)</formula>
    </cfRule>
    <cfRule type="expression" dxfId="32549" priority="4656">
      <formula>AND(H127&gt;70000,H127&lt;70004)</formula>
    </cfRule>
    <cfRule type="expression" dxfId="32548" priority="4657" stopIfTrue="1">
      <formula>OR(AND(H127&gt;=10000,H127&lt;=56999),AND(H127&gt;=57000,H127&lt;=57999))</formula>
    </cfRule>
    <cfRule type="expression" dxfId="32547" priority="4658" stopIfTrue="1">
      <formula>AND(H127&gt;=8000,H127&lt;=9999)</formula>
    </cfRule>
    <cfRule type="expression" dxfId="32546" priority="4659" stopIfTrue="1">
      <formula>AND(H127&gt;=78100,H127&lt;=78199)</formula>
    </cfRule>
    <cfRule type="expression" dxfId="32545" priority="4660" stopIfTrue="1">
      <formula>AND(H127&gt;=92000,H127&lt;=98999)</formula>
    </cfRule>
    <cfRule type="expression" dxfId="32544" priority="4661" stopIfTrue="1">
      <formula>AND(H127&gt;=78100,H127&lt;=78199)</formula>
    </cfRule>
    <cfRule type="expression" dxfId="32543" priority="4662" stopIfTrue="1">
      <formula>AND(H127&gt;=91000,H127&lt;=91999)</formula>
    </cfRule>
  </conditionalFormatting>
  <conditionalFormatting sqref="K127:K129">
    <cfRule type="expression" dxfId="32542" priority="4641">
      <formula>AND(L127&gt;=79001,L127&lt;79900)</formula>
    </cfRule>
    <cfRule type="expression" dxfId="32541" priority="4642" stopIfTrue="1">
      <formula>AND(L127&gt;=70101,L127&lt;=70301)</formula>
    </cfRule>
    <cfRule type="expression" dxfId="32540" priority="4643" stopIfTrue="1">
      <formula>AND(L127&gt;70000,L127&lt;70004)</formula>
    </cfRule>
    <cfRule type="expression" dxfId="32539" priority="4644" stopIfTrue="1">
      <formula>AND(L127&gt;=70010,L127&lt;=76000)</formula>
    </cfRule>
    <cfRule type="expression" dxfId="32538" priority="4645">
      <formula>AND(L127&gt;70000,L127&lt;70004)</formula>
    </cfRule>
    <cfRule type="expression" dxfId="32537" priority="4646" stopIfTrue="1">
      <formula>OR(AND(L127&gt;=10000,L127&lt;=56999),AND(L127&gt;=57000,L127&lt;=57999))</formula>
    </cfRule>
    <cfRule type="expression" dxfId="32536" priority="4647" stopIfTrue="1">
      <formula>AND(L127&gt;=8000,L127&lt;=9999)</formula>
    </cfRule>
    <cfRule type="expression" dxfId="32535" priority="4648" stopIfTrue="1">
      <formula>AND(L127&gt;=78100,L127&lt;=78199)</formula>
    </cfRule>
    <cfRule type="expression" dxfId="32534" priority="4649" stopIfTrue="1">
      <formula>AND(L127&gt;=92000,L127&lt;=98999)</formula>
    </cfRule>
    <cfRule type="expression" dxfId="32533" priority="4650" stopIfTrue="1">
      <formula>AND(L127&gt;=78100,L127&lt;=78199)</formula>
    </cfRule>
    <cfRule type="expression" dxfId="32532" priority="4651" stopIfTrue="1">
      <formula>AND(L127&gt;=91000,L127&lt;=91999)</formula>
    </cfRule>
  </conditionalFormatting>
  <conditionalFormatting sqref="O127:O129">
    <cfRule type="expression" dxfId="32531" priority="4630">
      <formula>AND(P127&gt;=79001,P127&lt;79900)</formula>
    </cfRule>
    <cfRule type="expression" dxfId="32530" priority="4631" stopIfTrue="1">
      <formula>AND(P127&gt;=70101,P127&lt;=70301)</formula>
    </cfRule>
    <cfRule type="expression" dxfId="32529" priority="4632" stopIfTrue="1">
      <formula>AND(P127&gt;70000,P127&lt;70004)</formula>
    </cfRule>
    <cfRule type="expression" dxfId="32528" priority="4633" stopIfTrue="1">
      <formula>AND(P127&gt;=70010,P127&lt;=76000)</formula>
    </cfRule>
    <cfRule type="expression" dxfId="32527" priority="4634">
      <formula>AND(P127&gt;70000,P127&lt;70004)</formula>
    </cfRule>
    <cfRule type="expression" dxfId="32526" priority="4635" stopIfTrue="1">
      <formula>OR(AND(P127&gt;=10000,P127&lt;=56999),AND(P127&gt;=57000,P127&lt;=57999))</formula>
    </cfRule>
    <cfRule type="expression" dxfId="32525" priority="4636" stopIfTrue="1">
      <formula>AND(P127&gt;=8000,P127&lt;=9999)</formula>
    </cfRule>
    <cfRule type="expression" dxfId="32524" priority="4637" stopIfTrue="1">
      <formula>AND(P127&gt;=78100,P127&lt;=78199)</formula>
    </cfRule>
    <cfRule type="expression" dxfId="32523" priority="4638" stopIfTrue="1">
      <formula>AND(P127&gt;=92000,P127&lt;=98999)</formula>
    </cfRule>
    <cfRule type="expression" dxfId="32522" priority="4639" stopIfTrue="1">
      <formula>AND(P127&gt;=78100,P127&lt;=78199)</formula>
    </cfRule>
    <cfRule type="expression" dxfId="32521" priority="4640" stopIfTrue="1">
      <formula>AND(P127&gt;=91000,P127&lt;=91999)</formula>
    </cfRule>
  </conditionalFormatting>
  <conditionalFormatting sqref="G129">
    <cfRule type="expression" dxfId="32520" priority="4619">
      <formula>AND(H129&gt;=79001,H129&lt;79900)</formula>
    </cfRule>
    <cfRule type="expression" dxfId="32519" priority="4620" stopIfTrue="1">
      <formula>AND(H129&gt;=70101,H129&lt;=70301)</formula>
    </cfRule>
    <cfRule type="expression" dxfId="32518" priority="4621" stopIfTrue="1">
      <formula>AND(H129&gt;70000,H129&lt;70004)</formula>
    </cfRule>
    <cfRule type="expression" dxfId="32517" priority="4622" stopIfTrue="1">
      <formula>AND(H129&gt;=70010,H129&lt;=76000)</formula>
    </cfRule>
    <cfRule type="expression" dxfId="32516" priority="4623">
      <formula>AND(H129&gt;70000,H129&lt;70004)</formula>
    </cfRule>
    <cfRule type="expression" dxfId="32515" priority="4624" stopIfTrue="1">
      <formula>OR(AND(H129&gt;=10000,H129&lt;=56999),AND(H129&gt;=57000,H129&lt;=57999))</formula>
    </cfRule>
    <cfRule type="expression" dxfId="32514" priority="4625" stopIfTrue="1">
      <formula>AND(H129&gt;=8000,H129&lt;=9999)</formula>
    </cfRule>
    <cfRule type="expression" dxfId="32513" priority="4626" stopIfTrue="1">
      <formula>AND(H129&gt;=78100,H129&lt;=78199)</formula>
    </cfRule>
    <cfRule type="expression" dxfId="32512" priority="4627" stopIfTrue="1">
      <formula>AND(H129&gt;=92000,H129&lt;=98999)</formula>
    </cfRule>
    <cfRule type="expression" dxfId="32511" priority="4628" stopIfTrue="1">
      <formula>AND(H129&gt;=78100,H129&lt;=78199)</formula>
    </cfRule>
    <cfRule type="expression" dxfId="32510" priority="4629" stopIfTrue="1">
      <formula>AND(H129&gt;=91000,H129&lt;=91999)</formula>
    </cfRule>
  </conditionalFormatting>
  <conditionalFormatting sqref="K129">
    <cfRule type="expression" dxfId="32509" priority="4608">
      <formula>AND(L129&gt;=79001,L129&lt;79900)</formula>
    </cfRule>
    <cfRule type="expression" dxfId="32508" priority="4609" stopIfTrue="1">
      <formula>AND(L129&gt;=70101,L129&lt;=70301)</formula>
    </cfRule>
    <cfRule type="expression" dxfId="32507" priority="4610" stopIfTrue="1">
      <formula>AND(L129&gt;70000,L129&lt;70004)</formula>
    </cfRule>
    <cfRule type="expression" dxfId="32506" priority="4611" stopIfTrue="1">
      <formula>AND(L129&gt;=70010,L129&lt;=76000)</formula>
    </cfRule>
    <cfRule type="expression" dxfId="32505" priority="4612">
      <formula>AND(L129&gt;70000,L129&lt;70004)</formula>
    </cfRule>
    <cfRule type="expression" dxfId="32504" priority="4613" stopIfTrue="1">
      <formula>OR(AND(L129&gt;=10000,L129&lt;=56999),AND(L129&gt;=57000,L129&lt;=57999))</formula>
    </cfRule>
    <cfRule type="expression" dxfId="32503" priority="4614" stopIfTrue="1">
      <formula>AND(L129&gt;=8000,L129&lt;=9999)</formula>
    </cfRule>
    <cfRule type="expression" dxfId="32502" priority="4615" stopIfTrue="1">
      <formula>AND(L129&gt;=78100,L129&lt;=78199)</formula>
    </cfRule>
    <cfRule type="expression" dxfId="32501" priority="4616" stopIfTrue="1">
      <formula>AND(L129&gt;=92000,L129&lt;=98999)</formula>
    </cfRule>
    <cfRule type="expression" dxfId="32500" priority="4617" stopIfTrue="1">
      <formula>AND(L129&gt;=78100,L129&lt;=78199)</formula>
    </cfRule>
    <cfRule type="expression" dxfId="32499" priority="4618" stopIfTrue="1">
      <formula>AND(L129&gt;=91000,L129&lt;=91999)</formula>
    </cfRule>
  </conditionalFormatting>
  <conditionalFormatting sqref="O129">
    <cfRule type="expression" dxfId="32498" priority="4597">
      <formula>AND(P129&gt;=79001,P129&lt;79900)</formula>
    </cfRule>
    <cfRule type="expression" dxfId="32497" priority="4598" stopIfTrue="1">
      <formula>AND(P129&gt;=70101,P129&lt;=70301)</formula>
    </cfRule>
    <cfRule type="expression" dxfId="32496" priority="4599" stopIfTrue="1">
      <formula>AND(P129&gt;70000,P129&lt;70004)</formula>
    </cfRule>
    <cfRule type="expression" dxfId="32495" priority="4600" stopIfTrue="1">
      <formula>AND(P129&gt;=70010,P129&lt;=76000)</formula>
    </cfRule>
    <cfRule type="expression" dxfId="32494" priority="4601">
      <formula>AND(P129&gt;70000,P129&lt;70004)</formula>
    </cfRule>
    <cfRule type="expression" dxfId="32493" priority="4602" stopIfTrue="1">
      <formula>OR(AND(P129&gt;=10000,P129&lt;=56999),AND(P129&gt;=57000,P129&lt;=57999))</formula>
    </cfRule>
    <cfRule type="expression" dxfId="32492" priority="4603" stopIfTrue="1">
      <formula>AND(P129&gt;=8000,P129&lt;=9999)</formula>
    </cfRule>
    <cfRule type="expression" dxfId="32491" priority="4604" stopIfTrue="1">
      <formula>AND(P129&gt;=78100,P129&lt;=78199)</formula>
    </cfRule>
    <cfRule type="expression" dxfId="32490" priority="4605" stopIfTrue="1">
      <formula>AND(P129&gt;=92000,P129&lt;=98999)</formula>
    </cfRule>
    <cfRule type="expression" dxfId="32489" priority="4606" stopIfTrue="1">
      <formula>AND(P129&gt;=78100,P129&lt;=78199)</formula>
    </cfRule>
    <cfRule type="expression" dxfId="32488" priority="4607" stopIfTrue="1">
      <formula>AND(P129&gt;=91000,P129&lt;=91999)</formula>
    </cfRule>
  </conditionalFormatting>
  <conditionalFormatting sqref="AE129">
    <cfRule type="expression" dxfId="32487" priority="4575">
      <formula>AND(AF129&gt;=79001,AF129&lt;79900)</formula>
    </cfRule>
    <cfRule type="expression" dxfId="32486" priority="4576" stopIfTrue="1">
      <formula>AND(AF129&gt;=70101,AF129&lt;=70301)</formula>
    </cfRule>
    <cfRule type="expression" dxfId="32485" priority="4577" stopIfTrue="1">
      <formula>AND(AF129&gt;70000,AF129&lt;70004)</formula>
    </cfRule>
    <cfRule type="expression" dxfId="32484" priority="4578" stopIfTrue="1">
      <formula>AND(AF129&gt;=70010,AF129&lt;=76000)</formula>
    </cfRule>
    <cfRule type="expression" dxfId="32483" priority="4579">
      <formula>AND(AF129&gt;70000,AF129&lt;70004)</formula>
    </cfRule>
    <cfRule type="expression" dxfId="32482" priority="4580" stopIfTrue="1">
      <formula>OR(AND(AF129&gt;=10000,AF129&lt;=56999),AND(AF129&gt;=57000,AF129&lt;=57999))</formula>
    </cfRule>
    <cfRule type="expression" dxfId="32481" priority="4581" stopIfTrue="1">
      <formula>AND(AF129&gt;=8000,AF129&lt;=9999)</formula>
    </cfRule>
    <cfRule type="expression" dxfId="32480" priority="4582" stopIfTrue="1">
      <formula>AND(AF129&gt;=78100,AF129&lt;=78199)</formula>
    </cfRule>
    <cfRule type="expression" dxfId="32479" priority="4583" stopIfTrue="1">
      <formula>AND(AF129&gt;=92000,AF129&lt;=98999)</formula>
    </cfRule>
    <cfRule type="expression" dxfId="32478" priority="4584" stopIfTrue="1">
      <formula>AND(AF129&gt;=78100,AF129&lt;=78199)</formula>
    </cfRule>
    <cfRule type="expression" dxfId="32477" priority="4585" stopIfTrue="1">
      <formula>AND(AF129&gt;=91000,AF129&lt;=91999)</formula>
    </cfRule>
  </conditionalFormatting>
  <conditionalFormatting sqref="AA129">
    <cfRule type="expression" dxfId="32476" priority="4586">
      <formula>AND(AB129&gt;=79001,AB129&lt;79900)</formula>
    </cfRule>
    <cfRule type="expression" dxfId="32475" priority="4587" stopIfTrue="1">
      <formula>AND(AB129&gt;=70101,AB129&lt;=70301)</formula>
    </cfRule>
    <cfRule type="expression" dxfId="32474" priority="4588" stopIfTrue="1">
      <formula>AND(AB129&gt;70000,AB129&lt;70004)</formula>
    </cfRule>
    <cfRule type="expression" dxfId="32473" priority="4589" stopIfTrue="1">
      <formula>AND(AB129&gt;=70010,AB129&lt;=76000)</formula>
    </cfRule>
    <cfRule type="expression" dxfId="32472" priority="4590">
      <formula>AND(AB129&gt;70000,AB129&lt;70004)</formula>
    </cfRule>
    <cfRule type="expression" dxfId="32471" priority="4591" stopIfTrue="1">
      <formula>OR(AND(AB129&gt;=10000,AB129&lt;=56999),AND(AB129&gt;=57000,AB129&lt;=57999))</formula>
    </cfRule>
    <cfRule type="expression" dxfId="32470" priority="4592" stopIfTrue="1">
      <formula>AND(AB129&gt;=8000,AB129&lt;=9999)</formula>
    </cfRule>
    <cfRule type="expression" dxfId="32469" priority="4593" stopIfTrue="1">
      <formula>AND(AB129&gt;=78100,AB129&lt;=78199)</formula>
    </cfRule>
    <cfRule type="expression" dxfId="32468" priority="4594" stopIfTrue="1">
      <formula>AND(AB129&gt;=92000,AB129&lt;=98999)</formula>
    </cfRule>
    <cfRule type="expression" dxfId="32467" priority="4595" stopIfTrue="1">
      <formula>AND(AB129&gt;=78100,AB129&lt;=78199)</formula>
    </cfRule>
    <cfRule type="expression" dxfId="32466" priority="4596" stopIfTrue="1">
      <formula>AND(AB129&gt;=91000,AB129&lt;=91999)</formula>
    </cfRule>
  </conditionalFormatting>
  <conditionalFormatting sqref="G129">
    <cfRule type="expression" dxfId="32465" priority="4564">
      <formula>AND(H129&gt;=79001,H129&lt;79900)</formula>
    </cfRule>
    <cfRule type="expression" dxfId="32464" priority="4565" stopIfTrue="1">
      <formula>AND(H129&gt;=70101,H129&lt;=70301)</formula>
    </cfRule>
    <cfRule type="expression" dxfId="32463" priority="4566" stopIfTrue="1">
      <formula>AND(H129&gt;70000,H129&lt;70004)</formula>
    </cfRule>
    <cfRule type="expression" dxfId="32462" priority="4567" stopIfTrue="1">
      <formula>AND(H129&gt;=70010,H129&lt;=76000)</formula>
    </cfRule>
    <cfRule type="expression" dxfId="32461" priority="4568">
      <formula>AND(H129&gt;70000,H129&lt;70004)</formula>
    </cfRule>
    <cfRule type="expression" dxfId="32460" priority="4569" stopIfTrue="1">
      <formula>OR(AND(H129&gt;=10000,H129&lt;=56999),AND(H129&gt;=57000,H129&lt;=57999))</formula>
    </cfRule>
    <cfRule type="expression" dxfId="32459" priority="4570" stopIfTrue="1">
      <formula>AND(H129&gt;=8000,H129&lt;=9999)</formula>
    </cfRule>
    <cfRule type="expression" dxfId="32458" priority="4571" stopIfTrue="1">
      <formula>AND(H129&gt;=78100,H129&lt;=78199)</formula>
    </cfRule>
    <cfRule type="expression" dxfId="32457" priority="4572" stopIfTrue="1">
      <formula>AND(H129&gt;=92000,H129&lt;=98999)</formula>
    </cfRule>
    <cfRule type="expression" dxfId="32456" priority="4573" stopIfTrue="1">
      <formula>AND(H129&gt;=78100,H129&lt;=78199)</formula>
    </cfRule>
    <cfRule type="expression" dxfId="32455" priority="4574" stopIfTrue="1">
      <formula>AND(H129&gt;=91000,H129&lt;=91999)</formula>
    </cfRule>
  </conditionalFormatting>
  <conditionalFormatting sqref="K129">
    <cfRule type="expression" dxfId="32454" priority="4553">
      <formula>AND(L129&gt;=79001,L129&lt;79900)</formula>
    </cfRule>
    <cfRule type="expression" dxfId="32453" priority="4554" stopIfTrue="1">
      <formula>AND(L129&gt;=70101,L129&lt;=70301)</formula>
    </cfRule>
    <cfRule type="expression" dxfId="32452" priority="4555" stopIfTrue="1">
      <formula>AND(L129&gt;70000,L129&lt;70004)</formula>
    </cfRule>
    <cfRule type="expression" dxfId="32451" priority="4556" stopIfTrue="1">
      <formula>AND(L129&gt;=70010,L129&lt;=76000)</formula>
    </cfRule>
    <cfRule type="expression" dxfId="32450" priority="4557">
      <formula>AND(L129&gt;70000,L129&lt;70004)</formula>
    </cfRule>
    <cfRule type="expression" dxfId="32449" priority="4558" stopIfTrue="1">
      <formula>OR(AND(L129&gt;=10000,L129&lt;=56999),AND(L129&gt;=57000,L129&lt;=57999))</formula>
    </cfRule>
    <cfRule type="expression" dxfId="32448" priority="4559" stopIfTrue="1">
      <formula>AND(L129&gt;=8000,L129&lt;=9999)</formula>
    </cfRule>
    <cfRule type="expression" dxfId="32447" priority="4560" stopIfTrue="1">
      <formula>AND(L129&gt;=78100,L129&lt;=78199)</formula>
    </cfRule>
    <cfRule type="expression" dxfId="32446" priority="4561" stopIfTrue="1">
      <formula>AND(L129&gt;=92000,L129&lt;=98999)</formula>
    </cfRule>
    <cfRule type="expression" dxfId="32445" priority="4562" stopIfTrue="1">
      <formula>AND(L129&gt;=78100,L129&lt;=78199)</formula>
    </cfRule>
    <cfRule type="expression" dxfId="32444" priority="4563" stopIfTrue="1">
      <formula>AND(L129&gt;=91000,L129&lt;=91999)</formula>
    </cfRule>
  </conditionalFormatting>
  <conditionalFormatting sqref="O129">
    <cfRule type="expression" dxfId="32443" priority="4542">
      <formula>AND(P129&gt;=79001,P129&lt;79900)</formula>
    </cfRule>
    <cfRule type="expression" dxfId="32442" priority="4543" stopIfTrue="1">
      <formula>AND(P129&gt;=70101,P129&lt;=70301)</formula>
    </cfRule>
    <cfRule type="expression" dxfId="32441" priority="4544" stopIfTrue="1">
      <formula>AND(P129&gt;70000,P129&lt;70004)</formula>
    </cfRule>
    <cfRule type="expression" dxfId="32440" priority="4545" stopIfTrue="1">
      <formula>AND(P129&gt;=70010,P129&lt;=76000)</formula>
    </cfRule>
    <cfRule type="expression" dxfId="32439" priority="4546">
      <formula>AND(P129&gt;70000,P129&lt;70004)</formula>
    </cfRule>
    <cfRule type="expression" dxfId="32438" priority="4547" stopIfTrue="1">
      <formula>OR(AND(P129&gt;=10000,P129&lt;=56999),AND(P129&gt;=57000,P129&lt;=57999))</formula>
    </cfRule>
    <cfRule type="expression" dxfId="32437" priority="4548" stopIfTrue="1">
      <formula>AND(P129&gt;=8000,P129&lt;=9999)</formula>
    </cfRule>
    <cfRule type="expression" dxfId="32436" priority="4549" stopIfTrue="1">
      <formula>AND(P129&gt;=78100,P129&lt;=78199)</formula>
    </cfRule>
    <cfRule type="expression" dxfId="32435" priority="4550" stopIfTrue="1">
      <formula>AND(P129&gt;=92000,P129&lt;=98999)</formula>
    </cfRule>
    <cfRule type="expression" dxfId="32434" priority="4551" stopIfTrue="1">
      <formula>AND(P129&gt;=78100,P129&lt;=78199)</formula>
    </cfRule>
    <cfRule type="expression" dxfId="32433" priority="4552" stopIfTrue="1">
      <formula>AND(P129&gt;=91000,P129&lt;=91999)</formula>
    </cfRule>
  </conditionalFormatting>
  <conditionalFormatting sqref="S127:S129">
    <cfRule type="expression" dxfId="32432" priority="4531">
      <formula>AND(T127&gt;=79001,T127&lt;79900)</formula>
    </cfRule>
    <cfRule type="expression" dxfId="32431" priority="4532" stopIfTrue="1">
      <formula>AND(T127&gt;=70101,T127&lt;=70301)</formula>
    </cfRule>
    <cfRule type="expression" dxfId="32430" priority="4533" stopIfTrue="1">
      <formula>AND(T127&gt;70000,T127&lt;70004)</formula>
    </cfRule>
    <cfRule type="expression" dxfId="32429" priority="4534" stopIfTrue="1">
      <formula>AND(T127&gt;=70010,T127&lt;=76000)</formula>
    </cfRule>
    <cfRule type="expression" dxfId="32428" priority="4535">
      <formula>AND(T127&gt;70000,T127&lt;70004)</formula>
    </cfRule>
    <cfRule type="expression" dxfId="32427" priority="4536" stopIfTrue="1">
      <formula>OR(AND(T127&gt;=10000,T127&lt;=56999),AND(T127&gt;=57000,T127&lt;=57999))</formula>
    </cfRule>
    <cfRule type="expression" dxfId="32426" priority="4537" stopIfTrue="1">
      <formula>AND(T127&gt;=8000,T127&lt;=9999)</formula>
    </cfRule>
    <cfRule type="expression" dxfId="32425" priority="4538" stopIfTrue="1">
      <formula>AND(T127&gt;=78100,T127&lt;=78199)</formula>
    </cfRule>
    <cfRule type="expression" dxfId="32424" priority="4539" stopIfTrue="1">
      <formula>AND(T127&gt;=92000,T127&lt;=98999)</formula>
    </cfRule>
    <cfRule type="expression" dxfId="32423" priority="4540" stopIfTrue="1">
      <formula>AND(T127&gt;=78100,T127&lt;=78199)</formula>
    </cfRule>
    <cfRule type="expression" dxfId="32422" priority="4541" stopIfTrue="1">
      <formula>AND(T127&gt;=91000,T127&lt;=91999)</formula>
    </cfRule>
  </conditionalFormatting>
  <conditionalFormatting sqref="S127:S129">
    <cfRule type="expression" dxfId="32421" priority="4520">
      <formula>AND(T127&gt;=79001,T127&lt;79900)</formula>
    </cfRule>
    <cfRule type="expression" dxfId="32420" priority="4521" stopIfTrue="1">
      <formula>AND(T127&gt;=70101,T127&lt;=70301)</formula>
    </cfRule>
    <cfRule type="expression" dxfId="32419" priority="4522" stopIfTrue="1">
      <formula>AND(T127&gt;70000,T127&lt;70004)</formula>
    </cfRule>
    <cfRule type="expression" dxfId="32418" priority="4523" stopIfTrue="1">
      <formula>AND(T127&gt;=70010,T127&lt;=76000)</formula>
    </cfRule>
    <cfRule type="expression" dxfId="32417" priority="4524">
      <formula>AND(T127&gt;70000,T127&lt;70004)</formula>
    </cfRule>
    <cfRule type="expression" dxfId="32416" priority="4525" stopIfTrue="1">
      <formula>OR(AND(T127&gt;=10000,T127&lt;=56999),AND(T127&gt;=57000,T127&lt;=57999))</formula>
    </cfRule>
    <cfRule type="expression" dxfId="32415" priority="4526" stopIfTrue="1">
      <formula>AND(T127&gt;=8000,T127&lt;=9999)</formula>
    </cfRule>
    <cfRule type="expression" dxfId="32414" priority="4527" stopIfTrue="1">
      <formula>AND(T127&gt;=78100,T127&lt;=78199)</formula>
    </cfRule>
    <cfRule type="expression" dxfId="32413" priority="4528" stopIfTrue="1">
      <formula>AND(T127&gt;=92000,T127&lt;=98999)</formula>
    </cfRule>
    <cfRule type="expression" dxfId="32412" priority="4529" stopIfTrue="1">
      <formula>AND(T127&gt;=78100,T127&lt;=78199)</formula>
    </cfRule>
    <cfRule type="expression" dxfId="32411" priority="4530" stopIfTrue="1">
      <formula>AND(T127&gt;=91000,T127&lt;=91999)</formula>
    </cfRule>
  </conditionalFormatting>
  <conditionalFormatting sqref="W127:W129">
    <cfRule type="expression" dxfId="32410" priority="4509">
      <formula>AND(X127&gt;=79001,X127&lt;79900)</formula>
    </cfRule>
    <cfRule type="expression" dxfId="32409" priority="4510" stopIfTrue="1">
      <formula>AND(X127&gt;=70101,X127&lt;=70301)</formula>
    </cfRule>
    <cfRule type="expression" dxfId="32408" priority="4511" stopIfTrue="1">
      <formula>AND(X127&gt;70000,X127&lt;70004)</formula>
    </cfRule>
    <cfRule type="expression" dxfId="32407" priority="4512" stopIfTrue="1">
      <formula>AND(X127&gt;=70010,X127&lt;=76000)</formula>
    </cfRule>
    <cfRule type="expression" dxfId="32406" priority="4513">
      <formula>AND(X127&gt;70000,X127&lt;70004)</formula>
    </cfRule>
    <cfRule type="expression" dxfId="32405" priority="4514" stopIfTrue="1">
      <formula>OR(AND(X127&gt;=10000,X127&lt;=56999),AND(X127&gt;=57000,X127&lt;=57999))</formula>
    </cfRule>
    <cfRule type="expression" dxfId="32404" priority="4515" stopIfTrue="1">
      <formula>AND(X127&gt;=8000,X127&lt;=9999)</formula>
    </cfRule>
    <cfRule type="expression" dxfId="32403" priority="4516" stopIfTrue="1">
      <formula>AND(X127&gt;=78100,X127&lt;=78199)</formula>
    </cfRule>
    <cfRule type="expression" dxfId="32402" priority="4517" stopIfTrue="1">
      <formula>AND(X127&gt;=92000,X127&lt;=98999)</formula>
    </cfRule>
    <cfRule type="expression" dxfId="32401" priority="4518" stopIfTrue="1">
      <formula>AND(X127&gt;=78100,X127&lt;=78199)</formula>
    </cfRule>
    <cfRule type="expression" dxfId="32400" priority="4519" stopIfTrue="1">
      <formula>AND(X127&gt;=91000,X127&lt;=91999)</formula>
    </cfRule>
  </conditionalFormatting>
  <conditionalFormatting sqref="W127:W129">
    <cfRule type="expression" dxfId="32399" priority="4498">
      <formula>AND(X127&gt;=79001,X127&lt;79900)</formula>
    </cfRule>
    <cfRule type="expression" dxfId="32398" priority="4499" stopIfTrue="1">
      <formula>AND(X127&gt;=70101,X127&lt;=70301)</formula>
    </cfRule>
    <cfRule type="expression" dxfId="32397" priority="4500" stopIfTrue="1">
      <formula>AND(X127&gt;70000,X127&lt;70004)</formula>
    </cfRule>
    <cfRule type="expression" dxfId="32396" priority="4501" stopIfTrue="1">
      <formula>AND(X127&gt;=70010,X127&lt;=76000)</formula>
    </cfRule>
    <cfRule type="expression" dxfId="32395" priority="4502">
      <formula>AND(X127&gt;70000,X127&lt;70004)</formula>
    </cfRule>
    <cfRule type="expression" dxfId="32394" priority="4503" stopIfTrue="1">
      <formula>OR(AND(X127&gt;=10000,X127&lt;=56999),AND(X127&gt;=57000,X127&lt;=57999))</formula>
    </cfRule>
    <cfRule type="expression" dxfId="32393" priority="4504" stopIfTrue="1">
      <formula>AND(X127&gt;=8000,X127&lt;=9999)</formula>
    </cfRule>
    <cfRule type="expression" dxfId="32392" priority="4505" stopIfTrue="1">
      <formula>AND(X127&gt;=78100,X127&lt;=78199)</formula>
    </cfRule>
    <cfRule type="expression" dxfId="32391" priority="4506" stopIfTrue="1">
      <formula>AND(X127&gt;=92000,X127&lt;=98999)</formula>
    </cfRule>
    <cfRule type="expression" dxfId="32390" priority="4507" stopIfTrue="1">
      <formula>AND(X127&gt;=78100,X127&lt;=78199)</formula>
    </cfRule>
    <cfRule type="expression" dxfId="32389" priority="4508" stopIfTrue="1">
      <formula>AND(X127&gt;=91000,X127&lt;=91999)</formula>
    </cfRule>
  </conditionalFormatting>
  <conditionalFormatting sqref="G136:G138">
    <cfRule type="expression" dxfId="32388" priority="4486">
      <formula>AND(H136&gt;=79001,H136&lt;79900)</formula>
    </cfRule>
    <cfRule type="expression" dxfId="32387" priority="4487" stopIfTrue="1">
      <formula>AND(H136&gt;=70101,H136&lt;=70301)</formula>
    </cfRule>
    <cfRule type="expression" dxfId="32386" priority="4488" stopIfTrue="1">
      <formula>AND(H136&gt;70000,H136&lt;70004)</formula>
    </cfRule>
    <cfRule type="expression" dxfId="32385" priority="4489" stopIfTrue="1">
      <formula>AND(H136&gt;=70010,H136&lt;=76000)</formula>
    </cfRule>
    <cfRule type="expression" dxfId="32384" priority="4490">
      <formula>AND(H136&gt;70000,H136&lt;70004)</formula>
    </cfRule>
    <cfRule type="expression" dxfId="32383" priority="4491" stopIfTrue="1">
      <formula>OR(AND(H136&gt;=10000,H136&lt;=56999),AND(H136&gt;=57000,H136&lt;=57999))</formula>
    </cfRule>
    <cfRule type="expression" dxfId="32382" priority="4492" stopIfTrue="1">
      <formula>AND(H136&gt;=8000,H136&lt;=9999)</formula>
    </cfRule>
    <cfRule type="expression" dxfId="32381" priority="4493" stopIfTrue="1">
      <formula>AND(H136&gt;=78100,H136&lt;=78199)</formula>
    </cfRule>
    <cfRule type="expression" dxfId="32380" priority="4494" stopIfTrue="1">
      <formula>AND(H136&gt;=92000,H136&lt;=98999)</formula>
    </cfRule>
    <cfRule type="expression" dxfId="32379" priority="4495" stopIfTrue="1">
      <formula>AND(H136&gt;=78100,H136&lt;=78199)</formula>
    </cfRule>
    <cfRule type="expression" dxfId="32378" priority="4496" stopIfTrue="1">
      <formula>AND(H136&gt;=91000,H136&lt;=91999)</formula>
    </cfRule>
  </conditionalFormatting>
  <conditionalFormatting sqref="K136:K138">
    <cfRule type="expression" dxfId="32377" priority="4475">
      <formula>AND(L136&gt;=79001,L136&lt;79900)</formula>
    </cfRule>
    <cfRule type="expression" dxfId="32376" priority="4476" stopIfTrue="1">
      <formula>AND(L136&gt;=70101,L136&lt;=70301)</formula>
    </cfRule>
    <cfRule type="expression" dxfId="32375" priority="4477" stopIfTrue="1">
      <formula>AND(L136&gt;70000,L136&lt;70004)</formula>
    </cfRule>
    <cfRule type="expression" dxfId="32374" priority="4478" stopIfTrue="1">
      <formula>AND(L136&gt;=70010,L136&lt;=76000)</formula>
    </cfRule>
    <cfRule type="expression" dxfId="32373" priority="4479">
      <formula>AND(L136&gt;70000,L136&lt;70004)</formula>
    </cfRule>
    <cfRule type="expression" dxfId="32372" priority="4480" stopIfTrue="1">
      <formula>OR(AND(L136&gt;=10000,L136&lt;=56999),AND(L136&gt;=57000,L136&lt;=57999))</formula>
    </cfRule>
    <cfRule type="expression" dxfId="32371" priority="4481" stopIfTrue="1">
      <formula>AND(L136&gt;=8000,L136&lt;=9999)</formula>
    </cfRule>
    <cfRule type="expression" dxfId="32370" priority="4482" stopIfTrue="1">
      <formula>AND(L136&gt;=78100,L136&lt;=78199)</formula>
    </cfRule>
    <cfRule type="expression" dxfId="32369" priority="4483" stopIfTrue="1">
      <formula>AND(L136&gt;=92000,L136&lt;=98999)</formula>
    </cfRule>
    <cfRule type="expression" dxfId="32368" priority="4484" stopIfTrue="1">
      <formula>AND(L136&gt;=78100,L136&lt;=78199)</formula>
    </cfRule>
    <cfRule type="expression" dxfId="32367" priority="4485" stopIfTrue="1">
      <formula>AND(L136&gt;=91000,L136&lt;=91999)</formula>
    </cfRule>
  </conditionalFormatting>
  <conditionalFormatting sqref="O136:O138">
    <cfRule type="expression" dxfId="32366" priority="4464">
      <formula>AND(P136&gt;=79001,P136&lt;79900)</formula>
    </cfRule>
    <cfRule type="expression" dxfId="32365" priority="4465" stopIfTrue="1">
      <formula>AND(P136&gt;=70101,P136&lt;=70301)</formula>
    </cfRule>
    <cfRule type="expression" dxfId="32364" priority="4466" stopIfTrue="1">
      <formula>AND(P136&gt;70000,P136&lt;70004)</formula>
    </cfRule>
    <cfRule type="expression" dxfId="32363" priority="4467" stopIfTrue="1">
      <formula>AND(P136&gt;=70010,P136&lt;=76000)</formula>
    </cfRule>
    <cfRule type="expression" dxfId="32362" priority="4468">
      <formula>AND(P136&gt;70000,P136&lt;70004)</formula>
    </cfRule>
    <cfRule type="expression" dxfId="32361" priority="4469" stopIfTrue="1">
      <formula>OR(AND(P136&gt;=10000,P136&lt;=56999),AND(P136&gt;=57000,P136&lt;=57999))</formula>
    </cfRule>
    <cfRule type="expression" dxfId="32360" priority="4470" stopIfTrue="1">
      <formula>AND(P136&gt;=8000,P136&lt;=9999)</formula>
    </cfRule>
    <cfRule type="expression" dxfId="32359" priority="4471" stopIfTrue="1">
      <formula>AND(P136&gt;=78100,P136&lt;=78199)</formula>
    </cfRule>
    <cfRule type="expression" dxfId="32358" priority="4472" stopIfTrue="1">
      <formula>AND(P136&gt;=92000,P136&lt;=98999)</formula>
    </cfRule>
    <cfRule type="expression" dxfId="32357" priority="4473" stopIfTrue="1">
      <formula>AND(P136&gt;=78100,P136&lt;=78199)</formula>
    </cfRule>
    <cfRule type="expression" dxfId="32356" priority="4474" stopIfTrue="1">
      <formula>AND(P136&gt;=91000,P136&lt;=91999)</formula>
    </cfRule>
  </conditionalFormatting>
  <conditionalFormatting sqref="AA136:AA138">
    <cfRule type="expression" dxfId="32355" priority="4453">
      <formula>AND(AB136&gt;=79001,AB136&lt;79900)</formula>
    </cfRule>
    <cfRule type="expression" dxfId="32354" priority="4454" stopIfTrue="1">
      <formula>AND(AB136&gt;=70101,AB136&lt;=70301)</formula>
    </cfRule>
    <cfRule type="expression" dxfId="32353" priority="4455" stopIfTrue="1">
      <formula>AND(AB136&gt;70000,AB136&lt;70004)</formula>
    </cfRule>
    <cfRule type="expression" dxfId="32352" priority="4456" stopIfTrue="1">
      <formula>AND(AB136&gt;=70010,AB136&lt;=76000)</formula>
    </cfRule>
    <cfRule type="expression" dxfId="32351" priority="4457">
      <formula>AND(AB136&gt;70000,AB136&lt;70004)</formula>
    </cfRule>
    <cfRule type="expression" dxfId="32350" priority="4458" stopIfTrue="1">
      <formula>OR(AND(AB136&gt;=10000,AB136&lt;=56999),AND(AB136&gt;=57000,AB136&lt;=57999))</formula>
    </cfRule>
    <cfRule type="expression" dxfId="32349" priority="4459" stopIfTrue="1">
      <formula>AND(AB136&gt;=8000,AB136&lt;=9999)</formula>
    </cfRule>
    <cfRule type="expression" dxfId="32348" priority="4460" stopIfTrue="1">
      <formula>AND(AB136&gt;=78100,AB136&lt;=78199)</formula>
    </cfRule>
    <cfRule type="expression" dxfId="32347" priority="4461" stopIfTrue="1">
      <formula>AND(AB136&gt;=92000,AB136&lt;=98999)</formula>
    </cfRule>
    <cfRule type="expression" dxfId="32346" priority="4462" stopIfTrue="1">
      <formula>AND(AB136&gt;=78100,AB136&lt;=78199)</formula>
    </cfRule>
    <cfRule type="expression" dxfId="32345" priority="4463" stopIfTrue="1">
      <formula>AND(AB136&gt;=91000,AB136&lt;=91999)</formula>
    </cfRule>
  </conditionalFormatting>
  <conditionalFormatting sqref="AE136:AE138">
    <cfRule type="expression" dxfId="32344" priority="4442">
      <formula>AND(AF136&gt;=79001,AF136&lt;79900)</formula>
    </cfRule>
    <cfRule type="expression" dxfId="32343" priority="4443" stopIfTrue="1">
      <formula>AND(AF136&gt;=70101,AF136&lt;=70301)</formula>
    </cfRule>
    <cfRule type="expression" dxfId="32342" priority="4444" stopIfTrue="1">
      <formula>AND(AF136&gt;70000,AF136&lt;70004)</formula>
    </cfRule>
    <cfRule type="expression" dxfId="32341" priority="4445" stopIfTrue="1">
      <formula>AND(AF136&gt;=70010,AF136&lt;=76000)</formula>
    </cfRule>
    <cfRule type="expression" dxfId="32340" priority="4446">
      <formula>AND(AF136&gt;70000,AF136&lt;70004)</formula>
    </cfRule>
    <cfRule type="expression" dxfId="32339" priority="4447" stopIfTrue="1">
      <formula>OR(AND(AF136&gt;=10000,AF136&lt;=56999),AND(AF136&gt;=57000,AF136&lt;=57999))</formula>
    </cfRule>
    <cfRule type="expression" dxfId="32338" priority="4448" stopIfTrue="1">
      <formula>AND(AF136&gt;=8000,AF136&lt;=9999)</formula>
    </cfRule>
    <cfRule type="expression" dxfId="32337" priority="4449" stopIfTrue="1">
      <formula>AND(AF136&gt;=78100,AF136&lt;=78199)</formula>
    </cfRule>
    <cfRule type="expression" dxfId="32336" priority="4450" stopIfTrue="1">
      <formula>AND(AF136&gt;=92000,AF136&lt;=98999)</formula>
    </cfRule>
    <cfRule type="expression" dxfId="32335" priority="4451" stopIfTrue="1">
      <formula>AND(AF136&gt;=78100,AF136&lt;=78199)</formula>
    </cfRule>
    <cfRule type="expression" dxfId="32334" priority="4452" stopIfTrue="1">
      <formula>AND(AF136&gt;=91000,AF136&lt;=91999)</formula>
    </cfRule>
  </conditionalFormatting>
  <conditionalFormatting sqref="AI136:AI138">
    <cfRule type="expression" dxfId="32333" priority="4431">
      <formula>AND(AJ136&gt;=79001,AJ136&lt;79900)</formula>
    </cfRule>
    <cfRule type="expression" dxfId="32332" priority="4432" stopIfTrue="1">
      <formula>AND(AJ136&gt;=70101,AJ136&lt;=70301)</formula>
    </cfRule>
    <cfRule type="expression" dxfId="32331" priority="4433" stopIfTrue="1">
      <formula>AND(AJ136&gt;70000,AJ136&lt;70004)</formula>
    </cfRule>
    <cfRule type="expression" dxfId="32330" priority="4434" stopIfTrue="1">
      <formula>AND(AJ136&gt;=70010,AJ136&lt;=76000)</formula>
    </cfRule>
    <cfRule type="expression" dxfId="32329" priority="4435">
      <formula>AND(AJ136&gt;70000,AJ136&lt;70004)</formula>
    </cfRule>
    <cfRule type="expression" dxfId="32328" priority="4436" stopIfTrue="1">
      <formula>OR(AND(AJ136&gt;=10000,AJ136&lt;=56999),AND(AJ136&gt;=57000,AJ136&lt;=57999))</formula>
    </cfRule>
    <cfRule type="expression" dxfId="32327" priority="4437" stopIfTrue="1">
      <formula>AND(AJ136&gt;=8000,AJ136&lt;=9999)</formula>
    </cfRule>
    <cfRule type="expression" dxfId="32326" priority="4438" stopIfTrue="1">
      <formula>AND(AJ136&gt;=78100,AJ136&lt;=78199)</formula>
    </cfRule>
    <cfRule type="expression" dxfId="32325" priority="4439" stopIfTrue="1">
      <formula>AND(AJ136&gt;=92000,AJ136&lt;=98999)</formula>
    </cfRule>
    <cfRule type="expression" dxfId="32324" priority="4440" stopIfTrue="1">
      <formula>AND(AJ136&gt;=78100,AJ136&lt;=78199)</formula>
    </cfRule>
    <cfRule type="expression" dxfId="32323" priority="4441" stopIfTrue="1">
      <formula>AND(AJ136&gt;=91000,AJ136&lt;=91999)</formula>
    </cfRule>
  </conditionalFormatting>
  <conditionalFormatting sqref="AM136:AM138">
    <cfRule type="expression" dxfId="32322" priority="4420">
      <formula>AND(AN136&gt;=79001,AN136&lt;79900)</formula>
    </cfRule>
    <cfRule type="expression" dxfId="32321" priority="4421" stopIfTrue="1">
      <formula>AND(AN136&gt;=70101,AN136&lt;=70301)</formula>
    </cfRule>
    <cfRule type="expression" dxfId="32320" priority="4422" stopIfTrue="1">
      <formula>AND(AN136&gt;70000,AN136&lt;70004)</formula>
    </cfRule>
    <cfRule type="expression" dxfId="32319" priority="4423" stopIfTrue="1">
      <formula>AND(AN136&gt;=70010,AN136&lt;=76000)</formula>
    </cfRule>
    <cfRule type="expression" dxfId="32318" priority="4424">
      <formula>AND(AN136&gt;70000,AN136&lt;70004)</formula>
    </cfRule>
    <cfRule type="expression" dxfId="32317" priority="4425" stopIfTrue="1">
      <formula>OR(AND(AN136&gt;=10000,AN136&lt;=56999),AND(AN136&gt;=57000,AN136&lt;=57999))</formula>
    </cfRule>
    <cfRule type="expression" dxfId="32316" priority="4426" stopIfTrue="1">
      <formula>AND(AN136&gt;=8000,AN136&lt;=9999)</formula>
    </cfRule>
    <cfRule type="expression" dxfId="32315" priority="4427" stopIfTrue="1">
      <formula>AND(AN136&gt;=78100,AN136&lt;=78199)</formula>
    </cfRule>
    <cfRule type="expression" dxfId="32314" priority="4428" stopIfTrue="1">
      <formula>AND(AN136&gt;=92000,AN136&lt;=98999)</formula>
    </cfRule>
    <cfRule type="expression" dxfId="32313" priority="4429" stopIfTrue="1">
      <formula>AND(AN136&gt;=78100,AN136&lt;=78199)</formula>
    </cfRule>
    <cfRule type="expression" dxfId="32312" priority="4430" stopIfTrue="1">
      <formula>AND(AN136&gt;=91000,AN136&lt;=91999)</formula>
    </cfRule>
  </conditionalFormatting>
  <conditionalFormatting sqref="AQ136:AQ138">
    <cfRule type="expression" dxfId="32311" priority="4409">
      <formula>AND(AR136&gt;=79001,AR136&lt;79900)</formula>
    </cfRule>
    <cfRule type="expression" dxfId="32310" priority="4410" stopIfTrue="1">
      <formula>AND(AR136&gt;=70101,AR136&lt;=70301)</formula>
    </cfRule>
    <cfRule type="expression" dxfId="32309" priority="4411" stopIfTrue="1">
      <formula>AND(AR136&gt;70000,AR136&lt;70004)</formula>
    </cfRule>
    <cfRule type="expression" dxfId="32308" priority="4412" stopIfTrue="1">
      <formula>AND(AR136&gt;=70010,AR136&lt;=76000)</formula>
    </cfRule>
    <cfRule type="expression" dxfId="32307" priority="4413">
      <formula>AND(AR136&gt;70000,AR136&lt;70004)</formula>
    </cfRule>
    <cfRule type="expression" dxfId="32306" priority="4414" stopIfTrue="1">
      <formula>OR(AND(AR136&gt;=10000,AR136&lt;=56999),AND(AR136&gt;=57000,AR136&lt;=57999))</formula>
    </cfRule>
    <cfRule type="expression" dxfId="32305" priority="4415" stopIfTrue="1">
      <formula>AND(AR136&gt;=8000,AR136&lt;=9999)</formula>
    </cfRule>
    <cfRule type="expression" dxfId="32304" priority="4416" stopIfTrue="1">
      <formula>AND(AR136&gt;=78100,AR136&lt;=78199)</formula>
    </cfRule>
    <cfRule type="expression" dxfId="32303" priority="4417" stopIfTrue="1">
      <formula>AND(AR136&gt;=92000,AR136&lt;=98999)</formula>
    </cfRule>
    <cfRule type="expression" dxfId="32302" priority="4418" stopIfTrue="1">
      <formula>AND(AR136&gt;=78100,AR136&lt;=78199)</formula>
    </cfRule>
    <cfRule type="expression" dxfId="32301" priority="4419" stopIfTrue="1">
      <formula>AND(AR136&gt;=91000,AR136&lt;=91999)</formula>
    </cfRule>
  </conditionalFormatting>
  <conditionalFormatting sqref="AU136:AU138">
    <cfRule type="expression" dxfId="32300" priority="4398">
      <formula>AND(AV136&gt;=79001,AV136&lt;79900)</formula>
    </cfRule>
    <cfRule type="expression" dxfId="32299" priority="4399" stopIfTrue="1">
      <formula>AND(AV136&gt;=70101,AV136&lt;=70301)</formula>
    </cfRule>
    <cfRule type="expression" dxfId="32298" priority="4400" stopIfTrue="1">
      <formula>AND(AV136&gt;70000,AV136&lt;70004)</formula>
    </cfRule>
    <cfRule type="expression" dxfId="32297" priority="4401" stopIfTrue="1">
      <formula>AND(AV136&gt;=70010,AV136&lt;=76000)</formula>
    </cfRule>
    <cfRule type="expression" dxfId="32296" priority="4402">
      <formula>AND(AV136&gt;70000,AV136&lt;70004)</formula>
    </cfRule>
    <cfRule type="expression" dxfId="32295" priority="4403" stopIfTrue="1">
      <formula>OR(AND(AV136&gt;=10000,AV136&lt;=56999),AND(AV136&gt;=57000,AV136&lt;=57999))</formula>
    </cfRule>
    <cfRule type="expression" dxfId="32294" priority="4404" stopIfTrue="1">
      <formula>AND(AV136&gt;=8000,AV136&lt;=9999)</formula>
    </cfRule>
    <cfRule type="expression" dxfId="32293" priority="4405" stopIfTrue="1">
      <formula>AND(AV136&gt;=78100,AV136&lt;=78199)</formula>
    </cfRule>
    <cfRule type="expression" dxfId="32292" priority="4406" stopIfTrue="1">
      <formula>AND(AV136&gt;=92000,AV136&lt;=98999)</formula>
    </cfRule>
    <cfRule type="expression" dxfId="32291" priority="4407" stopIfTrue="1">
      <formula>AND(AV136&gt;=78100,AV136&lt;=78199)</formula>
    </cfRule>
    <cfRule type="expression" dxfId="32290" priority="4408" stopIfTrue="1">
      <formula>AND(AV136&gt;=91000,AV136&lt;=91999)</formula>
    </cfRule>
  </conditionalFormatting>
  <conditionalFormatting sqref="AY136:AY138">
    <cfRule type="expression" dxfId="32289" priority="4387">
      <formula>AND(AZ136&gt;=79001,AZ136&lt;79900)</formula>
    </cfRule>
    <cfRule type="expression" dxfId="32288" priority="4388" stopIfTrue="1">
      <formula>AND(AZ136&gt;=70101,AZ136&lt;=70301)</formula>
    </cfRule>
    <cfRule type="expression" dxfId="32287" priority="4389" stopIfTrue="1">
      <formula>AND(AZ136&gt;70000,AZ136&lt;70004)</formula>
    </cfRule>
    <cfRule type="expression" dxfId="32286" priority="4390" stopIfTrue="1">
      <formula>AND(AZ136&gt;=70010,AZ136&lt;=76000)</formula>
    </cfRule>
    <cfRule type="expression" dxfId="32285" priority="4391">
      <formula>AND(AZ136&gt;70000,AZ136&lt;70004)</formula>
    </cfRule>
    <cfRule type="expression" dxfId="32284" priority="4392" stopIfTrue="1">
      <formula>OR(AND(AZ136&gt;=10000,AZ136&lt;=56999),AND(AZ136&gt;=57000,AZ136&lt;=57999))</formula>
    </cfRule>
    <cfRule type="expression" dxfId="32283" priority="4393" stopIfTrue="1">
      <formula>AND(AZ136&gt;=8000,AZ136&lt;=9999)</formula>
    </cfRule>
    <cfRule type="expression" dxfId="32282" priority="4394" stopIfTrue="1">
      <formula>AND(AZ136&gt;=78100,AZ136&lt;=78199)</formula>
    </cfRule>
    <cfRule type="expression" dxfId="32281" priority="4395" stopIfTrue="1">
      <formula>AND(AZ136&gt;=92000,AZ136&lt;=98999)</formula>
    </cfRule>
    <cfRule type="expression" dxfId="32280" priority="4396" stopIfTrue="1">
      <formula>AND(AZ136&gt;=78100,AZ136&lt;=78199)</formula>
    </cfRule>
    <cfRule type="expression" dxfId="32279" priority="4397" stopIfTrue="1">
      <formula>AND(AZ136&gt;=91000,AZ136&lt;=91999)</formula>
    </cfRule>
  </conditionalFormatting>
  <conditionalFormatting sqref="BC136:BC138">
    <cfRule type="expression" dxfId="32278" priority="4376">
      <formula>AND(BD136&gt;=79001,BD136&lt;79900)</formula>
    </cfRule>
    <cfRule type="expression" dxfId="32277" priority="4377" stopIfTrue="1">
      <formula>AND(BD136&gt;=70101,BD136&lt;=70301)</formula>
    </cfRule>
    <cfRule type="expression" dxfId="32276" priority="4378" stopIfTrue="1">
      <formula>AND(BD136&gt;70000,BD136&lt;70004)</formula>
    </cfRule>
    <cfRule type="expression" dxfId="32275" priority="4379" stopIfTrue="1">
      <formula>AND(BD136&gt;=70010,BD136&lt;=76000)</formula>
    </cfRule>
    <cfRule type="expression" dxfId="32274" priority="4380">
      <formula>AND(BD136&gt;70000,BD136&lt;70004)</formula>
    </cfRule>
    <cfRule type="expression" dxfId="32273" priority="4381" stopIfTrue="1">
      <formula>OR(AND(BD136&gt;=10000,BD136&lt;=56999),AND(BD136&gt;=57000,BD136&lt;=57999))</formula>
    </cfRule>
    <cfRule type="expression" dxfId="32272" priority="4382" stopIfTrue="1">
      <formula>AND(BD136&gt;=8000,BD136&lt;=9999)</formula>
    </cfRule>
    <cfRule type="expression" dxfId="32271" priority="4383" stopIfTrue="1">
      <formula>AND(BD136&gt;=78100,BD136&lt;=78199)</formula>
    </cfRule>
    <cfRule type="expression" dxfId="32270" priority="4384" stopIfTrue="1">
      <formula>AND(BD136&gt;=92000,BD136&lt;=98999)</formula>
    </cfRule>
    <cfRule type="expression" dxfId="32269" priority="4385" stopIfTrue="1">
      <formula>AND(BD136&gt;=78100,BD136&lt;=78199)</formula>
    </cfRule>
    <cfRule type="expression" dxfId="32268" priority="4386" stopIfTrue="1">
      <formula>AND(BD136&gt;=91000,BD136&lt;=91999)</formula>
    </cfRule>
  </conditionalFormatting>
  <conditionalFormatting sqref="BG136:BG138">
    <cfRule type="expression" dxfId="32267" priority="4365">
      <formula>AND(BH136&gt;=79001,BH136&lt;79900)</formula>
    </cfRule>
    <cfRule type="expression" dxfId="32266" priority="4366" stopIfTrue="1">
      <formula>AND(BH136&gt;=70101,BH136&lt;=70301)</formula>
    </cfRule>
    <cfRule type="expression" dxfId="32265" priority="4367" stopIfTrue="1">
      <formula>AND(BH136&gt;70000,BH136&lt;70004)</formula>
    </cfRule>
    <cfRule type="expression" dxfId="32264" priority="4368" stopIfTrue="1">
      <formula>AND(BH136&gt;=70010,BH136&lt;=76000)</formula>
    </cfRule>
    <cfRule type="expression" dxfId="32263" priority="4369">
      <formula>AND(BH136&gt;70000,BH136&lt;70004)</formula>
    </cfRule>
    <cfRule type="expression" dxfId="32262" priority="4370" stopIfTrue="1">
      <formula>OR(AND(BH136&gt;=10000,BH136&lt;=56999),AND(BH136&gt;=57000,BH136&lt;=57999))</formula>
    </cfRule>
    <cfRule type="expression" dxfId="32261" priority="4371" stopIfTrue="1">
      <formula>AND(BH136&gt;=8000,BH136&lt;=9999)</formula>
    </cfRule>
    <cfRule type="expression" dxfId="32260" priority="4372" stopIfTrue="1">
      <formula>AND(BH136&gt;=78100,BH136&lt;=78199)</formula>
    </cfRule>
    <cfRule type="expression" dxfId="32259" priority="4373" stopIfTrue="1">
      <formula>AND(BH136&gt;=92000,BH136&lt;=98999)</formula>
    </cfRule>
    <cfRule type="expression" dxfId="32258" priority="4374" stopIfTrue="1">
      <formula>AND(BH136&gt;=78100,BH136&lt;=78199)</formula>
    </cfRule>
    <cfRule type="expression" dxfId="32257" priority="4375" stopIfTrue="1">
      <formula>AND(BH136&gt;=91000,BH136&lt;=91999)</formula>
    </cfRule>
  </conditionalFormatting>
  <conditionalFormatting sqref="BK136:BK138">
    <cfRule type="expression" dxfId="32256" priority="4354">
      <formula>AND(BL136&gt;=79001,BL136&lt;79900)</formula>
    </cfRule>
    <cfRule type="expression" dxfId="32255" priority="4355" stopIfTrue="1">
      <formula>AND(BL136&gt;=70101,BL136&lt;=70301)</formula>
    </cfRule>
    <cfRule type="expression" dxfId="32254" priority="4356" stopIfTrue="1">
      <formula>AND(BL136&gt;70000,BL136&lt;70004)</formula>
    </cfRule>
    <cfRule type="expression" dxfId="32253" priority="4357" stopIfTrue="1">
      <formula>AND(BL136&gt;=70010,BL136&lt;=76000)</formula>
    </cfRule>
    <cfRule type="expression" dxfId="32252" priority="4358">
      <formula>AND(BL136&gt;70000,BL136&lt;70004)</formula>
    </cfRule>
    <cfRule type="expression" dxfId="32251" priority="4359" stopIfTrue="1">
      <formula>OR(AND(BL136&gt;=10000,BL136&lt;=56999),AND(BL136&gt;=57000,BL136&lt;=57999))</formula>
    </cfRule>
    <cfRule type="expression" dxfId="32250" priority="4360" stopIfTrue="1">
      <formula>AND(BL136&gt;=8000,BL136&lt;=9999)</formula>
    </cfRule>
    <cfRule type="expression" dxfId="32249" priority="4361" stopIfTrue="1">
      <formula>AND(BL136&gt;=78100,BL136&lt;=78199)</formula>
    </cfRule>
    <cfRule type="expression" dxfId="32248" priority="4362" stopIfTrue="1">
      <formula>AND(BL136&gt;=92000,BL136&lt;=98999)</formula>
    </cfRule>
    <cfRule type="expression" dxfId="32247" priority="4363" stopIfTrue="1">
      <formula>AND(BL136&gt;=78100,BL136&lt;=78199)</formula>
    </cfRule>
    <cfRule type="expression" dxfId="32246" priority="4364" stopIfTrue="1">
      <formula>AND(BL136&gt;=91000,BL136&lt;=91999)</formula>
    </cfRule>
  </conditionalFormatting>
  <conditionalFormatting sqref="G136:G138">
    <cfRule type="expression" dxfId="32245" priority="4343">
      <formula>AND(H136&gt;=79001,H136&lt;79900)</formula>
    </cfRule>
    <cfRule type="expression" dxfId="32244" priority="4344" stopIfTrue="1">
      <formula>AND(H136&gt;=70101,H136&lt;=70301)</formula>
    </cfRule>
    <cfRule type="expression" dxfId="32243" priority="4345" stopIfTrue="1">
      <formula>AND(H136&gt;70000,H136&lt;70004)</formula>
    </cfRule>
    <cfRule type="expression" dxfId="32242" priority="4346" stopIfTrue="1">
      <formula>AND(H136&gt;=70010,H136&lt;=76000)</formula>
    </cfRule>
    <cfRule type="expression" dxfId="32241" priority="4347">
      <formula>AND(H136&gt;70000,H136&lt;70004)</formula>
    </cfRule>
    <cfRule type="expression" dxfId="32240" priority="4348" stopIfTrue="1">
      <formula>OR(AND(H136&gt;=10000,H136&lt;=56999),AND(H136&gt;=57000,H136&lt;=57999))</formula>
    </cfRule>
    <cfRule type="expression" dxfId="32239" priority="4349" stopIfTrue="1">
      <formula>AND(H136&gt;=8000,H136&lt;=9999)</formula>
    </cfRule>
    <cfRule type="expression" dxfId="32238" priority="4350" stopIfTrue="1">
      <formula>AND(H136&gt;=78100,H136&lt;=78199)</formula>
    </cfRule>
    <cfRule type="expression" dxfId="32237" priority="4351" stopIfTrue="1">
      <formula>AND(H136&gt;=92000,H136&lt;=98999)</formula>
    </cfRule>
    <cfRule type="expression" dxfId="32236" priority="4352" stopIfTrue="1">
      <formula>AND(H136&gt;=78100,H136&lt;=78199)</formula>
    </cfRule>
    <cfRule type="expression" dxfId="32235" priority="4353" stopIfTrue="1">
      <formula>AND(H136&gt;=91000,H136&lt;=91999)</formula>
    </cfRule>
  </conditionalFormatting>
  <conditionalFormatting sqref="K136:K138">
    <cfRule type="expression" dxfId="32234" priority="4332">
      <formula>AND(L136&gt;=79001,L136&lt;79900)</formula>
    </cfRule>
    <cfRule type="expression" dxfId="32233" priority="4333" stopIfTrue="1">
      <formula>AND(L136&gt;=70101,L136&lt;=70301)</formula>
    </cfRule>
    <cfRule type="expression" dxfId="32232" priority="4334" stopIfTrue="1">
      <formula>AND(L136&gt;70000,L136&lt;70004)</formula>
    </cfRule>
    <cfRule type="expression" dxfId="32231" priority="4335" stopIfTrue="1">
      <formula>AND(L136&gt;=70010,L136&lt;=76000)</formula>
    </cfRule>
    <cfRule type="expression" dxfId="32230" priority="4336">
      <formula>AND(L136&gt;70000,L136&lt;70004)</formula>
    </cfRule>
    <cfRule type="expression" dxfId="32229" priority="4337" stopIfTrue="1">
      <formula>OR(AND(L136&gt;=10000,L136&lt;=56999),AND(L136&gt;=57000,L136&lt;=57999))</formula>
    </cfRule>
    <cfRule type="expression" dxfId="32228" priority="4338" stopIfTrue="1">
      <formula>AND(L136&gt;=8000,L136&lt;=9999)</formula>
    </cfRule>
    <cfRule type="expression" dxfId="32227" priority="4339" stopIfTrue="1">
      <formula>AND(L136&gt;=78100,L136&lt;=78199)</formula>
    </cfRule>
    <cfRule type="expression" dxfId="32226" priority="4340" stopIfTrue="1">
      <formula>AND(L136&gt;=92000,L136&lt;=98999)</formula>
    </cfRule>
    <cfRule type="expression" dxfId="32225" priority="4341" stopIfTrue="1">
      <formula>AND(L136&gt;=78100,L136&lt;=78199)</formula>
    </cfRule>
    <cfRule type="expression" dxfId="32224" priority="4342" stopIfTrue="1">
      <formula>AND(L136&gt;=91000,L136&lt;=91999)</formula>
    </cfRule>
  </conditionalFormatting>
  <conditionalFormatting sqref="O136:O138">
    <cfRule type="expression" dxfId="32223" priority="4321">
      <formula>AND(P136&gt;=79001,P136&lt;79900)</formula>
    </cfRule>
    <cfRule type="expression" dxfId="32222" priority="4322" stopIfTrue="1">
      <formula>AND(P136&gt;=70101,P136&lt;=70301)</formula>
    </cfRule>
    <cfRule type="expression" dxfId="32221" priority="4323" stopIfTrue="1">
      <formula>AND(P136&gt;70000,P136&lt;70004)</formula>
    </cfRule>
    <cfRule type="expression" dxfId="32220" priority="4324" stopIfTrue="1">
      <formula>AND(P136&gt;=70010,P136&lt;=76000)</formula>
    </cfRule>
    <cfRule type="expression" dxfId="32219" priority="4325">
      <formula>AND(P136&gt;70000,P136&lt;70004)</formula>
    </cfRule>
    <cfRule type="expression" dxfId="32218" priority="4326" stopIfTrue="1">
      <formula>OR(AND(P136&gt;=10000,P136&lt;=56999),AND(P136&gt;=57000,P136&lt;=57999))</formula>
    </cfRule>
    <cfRule type="expression" dxfId="32217" priority="4327" stopIfTrue="1">
      <formula>AND(P136&gt;=8000,P136&lt;=9999)</formula>
    </cfRule>
    <cfRule type="expression" dxfId="32216" priority="4328" stopIfTrue="1">
      <formula>AND(P136&gt;=78100,P136&lt;=78199)</formula>
    </cfRule>
    <cfRule type="expression" dxfId="32215" priority="4329" stopIfTrue="1">
      <formula>AND(P136&gt;=92000,P136&lt;=98999)</formula>
    </cfRule>
    <cfRule type="expression" dxfId="32214" priority="4330" stopIfTrue="1">
      <formula>AND(P136&gt;=78100,P136&lt;=78199)</formula>
    </cfRule>
    <cfRule type="expression" dxfId="32213" priority="4331" stopIfTrue="1">
      <formula>AND(P136&gt;=91000,P136&lt;=91999)</formula>
    </cfRule>
  </conditionalFormatting>
  <conditionalFormatting sqref="G138">
    <cfRule type="expression" dxfId="32212" priority="4310">
      <formula>AND(H138&gt;=79001,H138&lt;79900)</formula>
    </cfRule>
    <cfRule type="expression" dxfId="32211" priority="4311" stopIfTrue="1">
      <formula>AND(H138&gt;=70101,H138&lt;=70301)</formula>
    </cfRule>
    <cfRule type="expression" dxfId="32210" priority="4312" stopIfTrue="1">
      <formula>AND(H138&gt;70000,H138&lt;70004)</formula>
    </cfRule>
    <cfRule type="expression" dxfId="32209" priority="4313" stopIfTrue="1">
      <formula>AND(H138&gt;=70010,H138&lt;=76000)</formula>
    </cfRule>
    <cfRule type="expression" dxfId="32208" priority="4314">
      <formula>AND(H138&gt;70000,H138&lt;70004)</formula>
    </cfRule>
    <cfRule type="expression" dxfId="32207" priority="4315" stopIfTrue="1">
      <formula>OR(AND(H138&gt;=10000,H138&lt;=56999),AND(H138&gt;=57000,H138&lt;=57999))</formula>
    </cfRule>
    <cfRule type="expression" dxfId="32206" priority="4316" stopIfTrue="1">
      <formula>AND(H138&gt;=8000,H138&lt;=9999)</formula>
    </cfRule>
    <cfRule type="expression" dxfId="32205" priority="4317" stopIfTrue="1">
      <formula>AND(H138&gt;=78100,H138&lt;=78199)</formula>
    </cfRule>
    <cfRule type="expression" dxfId="32204" priority="4318" stopIfTrue="1">
      <formula>AND(H138&gt;=92000,H138&lt;=98999)</formula>
    </cfRule>
    <cfRule type="expression" dxfId="32203" priority="4319" stopIfTrue="1">
      <formula>AND(H138&gt;=78100,H138&lt;=78199)</formula>
    </cfRule>
    <cfRule type="expression" dxfId="32202" priority="4320" stopIfTrue="1">
      <formula>AND(H138&gt;=91000,H138&lt;=91999)</formula>
    </cfRule>
  </conditionalFormatting>
  <conditionalFormatting sqref="K138">
    <cfRule type="expression" dxfId="32201" priority="4299">
      <formula>AND(L138&gt;=79001,L138&lt;79900)</formula>
    </cfRule>
    <cfRule type="expression" dxfId="32200" priority="4300" stopIfTrue="1">
      <formula>AND(L138&gt;=70101,L138&lt;=70301)</formula>
    </cfRule>
    <cfRule type="expression" dxfId="32199" priority="4301" stopIfTrue="1">
      <formula>AND(L138&gt;70000,L138&lt;70004)</formula>
    </cfRule>
    <cfRule type="expression" dxfId="32198" priority="4302" stopIfTrue="1">
      <formula>AND(L138&gt;=70010,L138&lt;=76000)</formula>
    </cfRule>
    <cfRule type="expression" dxfId="32197" priority="4303">
      <formula>AND(L138&gt;70000,L138&lt;70004)</formula>
    </cfRule>
    <cfRule type="expression" dxfId="32196" priority="4304" stopIfTrue="1">
      <formula>OR(AND(L138&gt;=10000,L138&lt;=56999),AND(L138&gt;=57000,L138&lt;=57999))</formula>
    </cfRule>
    <cfRule type="expression" dxfId="32195" priority="4305" stopIfTrue="1">
      <formula>AND(L138&gt;=8000,L138&lt;=9999)</formula>
    </cfRule>
    <cfRule type="expression" dxfId="32194" priority="4306" stopIfTrue="1">
      <formula>AND(L138&gt;=78100,L138&lt;=78199)</formula>
    </cfRule>
    <cfRule type="expression" dxfId="32193" priority="4307" stopIfTrue="1">
      <formula>AND(L138&gt;=92000,L138&lt;=98999)</formula>
    </cfRule>
    <cfRule type="expression" dxfId="32192" priority="4308" stopIfTrue="1">
      <formula>AND(L138&gt;=78100,L138&lt;=78199)</formula>
    </cfRule>
    <cfRule type="expression" dxfId="32191" priority="4309" stopIfTrue="1">
      <formula>AND(L138&gt;=91000,L138&lt;=91999)</formula>
    </cfRule>
  </conditionalFormatting>
  <conditionalFormatting sqref="O138">
    <cfRule type="expression" dxfId="32190" priority="4288">
      <formula>AND(P138&gt;=79001,P138&lt;79900)</formula>
    </cfRule>
    <cfRule type="expression" dxfId="32189" priority="4289" stopIfTrue="1">
      <formula>AND(P138&gt;=70101,P138&lt;=70301)</formula>
    </cfRule>
    <cfRule type="expression" dxfId="32188" priority="4290" stopIfTrue="1">
      <formula>AND(P138&gt;70000,P138&lt;70004)</formula>
    </cfRule>
    <cfRule type="expression" dxfId="32187" priority="4291" stopIfTrue="1">
      <formula>AND(P138&gt;=70010,P138&lt;=76000)</formula>
    </cfRule>
    <cfRule type="expression" dxfId="32186" priority="4292">
      <formula>AND(P138&gt;70000,P138&lt;70004)</formula>
    </cfRule>
    <cfRule type="expression" dxfId="32185" priority="4293" stopIfTrue="1">
      <formula>OR(AND(P138&gt;=10000,P138&lt;=56999),AND(P138&gt;=57000,P138&lt;=57999))</formula>
    </cfRule>
    <cfRule type="expression" dxfId="32184" priority="4294" stopIfTrue="1">
      <formula>AND(P138&gt;=8000,P138&lt;=9999)</formula>
    </cfRule>
    <cfRule type="expression" dxfId="32183" priority="4295" stopIfTrue="1">
      <formula>AND(P138&gt;=78100,P138&lt;=78199)</formula>
    </cfRule>
    <cfRule type="expression" dxfId="32182" priority="4296" stopIfTrue="1">
      <formula>AND(P138&gt;=92000,P138&lt;=98999)</formula>
    </cfRule>
    <cfRule type="expression" dxfId="32181" priority="4297" stopIfTrue="1">
      <formula>AND(P138&gt;=78100,P138&lt;=78199)</formula>
    </cfRule>
    <cfRule type="expression" dxfId="32180" priority="4298" stopIfTrue="1">
      <formula>AND(P138&gt;=91000,P138&lt;=91999)</formula>
    </cfRule>
  </conditionalFormatting>
  <conditionalFormatting sqref="AE138">
    <cfRule type="expression" dxfId="32179" priority="4266">
      <formula>AND(AF138&gt;=79001,AF138&lt;79900)</formula>
    </cfRule>
    <cfRule type="expression" dxfId="32178" priority="4267" stopIfTrue="1">
      <formula>AND(AF138&gt;=70101,AF138&lt;=70301)</formula>
    </cfRule>
    <cfRule type="expression" dxfId="32177" priority="4268" stopIfTrue="1">
      <formula>AND(AF138&gt;70000,AF138&lt;70004)</formula>
    </cfRule>
    <cfRule type="expression" dxfId="32176" priority="4269" stopIfTrue="1">
      <formula>AND(AF138&gt;=70010,AF138&lt;=76000)</formula>
    </cfRule>
    <cfRule type="expression" dxfId="32175" priority="4270">
      <formula>AND(AF138&gt;70000,AF138&lt;70004)</formula>
    </cfRule>
    <cfRule type="expression" dxfId="32174" priority="4271" stopIfTrue="1">
      <formula>OR(AND(AF138&gt;=10000,AF138&lt;=56999),AND(AF138&gt;=57000,AF138&lt;=57999))</formula>
    </cfRule>
    <cfRule type="expression" dxfId="32173" priority="4272" stopIfTrue="1">
      <formula>AND(AF138&gt;=8000,AF138&lt;=9999)</formula>
    </cfRule>
    <cfRule type="expression" dxfId="32172" priority="4273" stopIfTrue="1">
      <formula>AND(AF138&gt;=78100,AF138&lt;=78199)</formula>
    </cfRule>
    <cfRule type="expression" dxfId="32171" priority="4274" stopIfTrue="1">
      <formula>AND(AF138&gt;=92000,AF138&lt;=98999)</formula>
    </cfRule>
    <cfRule type="expression" dxfId="32170" priority="4275" stopIfTrue="1">
      <formula>AND(AF138&gt;=78100,AF138&lt;=78199)</formula>
    </cfRule>
    <cfRule type="expression" dxfId="32169" priority="4276" stopIfTrue="1">
      <formula>AND(AF138&gt;=91000,AF138&lt;=91999)</formula>
    </cfRule>
  </conditionalFormatting>
  <conditionalFormatting sqref="AA138">
    <cfRule type="expression" dxfId="32168" priority="4277">
      <formula>AND(AB138&gt;=79001,AB138&lt;79900)</formula>
    </cfRule>
    <cfRule type="expression" dxfId="32167" priority="4278" stopIfTrue="1">
      <formula>AND(AB138&gt;=70101,AB138&lt;=70301)</formula>
    </cfRule>
    <cfRule type="expression" dxfId="32166" priority="4279" stopIfTrue="1">
      <formula>AND(AB138&gt;70000,AB138&lt;70004)</formula>
    </cfRule>
    <cfRule type="expression" dxfId="32165" priority="4280" stopIfTrue="1">
      <formula>AND(AB138&gt;=70010,AB138&lt;=76000)</formula>
    </cfRule>
    <cfRule type="expression" dxfId="32164" priority="4281">
      <formula>AND(AB138&gt;70000,AB138&lt;70004)</formula>
    </cfRule>
    <cfRule type="expression" dxfId="32163" priority="4282" stopIfTrue="1">
      <formula>OR(AND(AB138&gt;=10000,AB138&lt;=56999),AND(AB138&gt;=57000,AB138&lt;=57999))</formula>
    </cfRule>
    <cfRule type="expression" dxfId="32162" priority="4283" stopIfTrue="1">
      <formula>AND(AB138&gt;=8000,AB138&lt;=9999)</formula>
    </cfRule>
    <cfRule type="expression" dxfId="32161" priority="4284" stopIfTrue="1">
      <formula>AND(AB138&gt;=78100,AB138&lt;=78199)</formula>
    </cfRule>
    <cfRule type="expression" dxfId="32160" priority="4285" stopIfTrue="1">
      <formula>AND(AB138&gt;=92000,AB138&lt;=98999)</formula>
    </cfRule>
    <cfRule type="expression" dxfId="32159" priority="4286" stopIfTrue="1">
      <formula>AND(AB138&gt;=78100,AB138&lt;=78199)</formula>
    </cfRule>
    <cfRule type="expression" dxfId="32158" priority="4287" stopIfTrue="1">
      <formula>AND(AB138&gt;=91000,AB138&lt;=91999)</formula>
    </cfRule>
  </conditionalFormatting>
  <conditionalFormatting sqref="AI138">
    <cfRule type="expression" dxfId="32157" priority="4255">
      <formula>AND(AJ138&gt;=79001,AJ138&lt;79900)</formula>
    </cfRule>
    <cfRule type="expression" dxfId="32156" priority="4256" stopIfTrue="1">
      <formula>AND(AJ138&gt;=70101,AJ138&lt;=70301)</formula>
    </cfRule>
    <cfRule type="expression" dxfId="32155" priority="4257" stopIfTrue="1">
      <formula>AND(AJ138&gt;70000,AJ138&lt;70004)</formula>
    </cfRule>
    <cfRule type="expression" dxfId="32154" priority="4258" stopIfTrue="1">
      <formula>AND(AJ138&gt;=70010,AJ138&lt;=76000)</formula>
    </cfRule>
    <cfRule type="expression" dxfId="32153" priority="4259">
      <formula>AND(AJ138&gt;70000,AJ138&lt;70004)</formula>
    </cfRule>
    <cfRule type="expression" dxfId="32152" priority="4260" stopIfTrue="1">
      <formula>OR(AND(AJ138&gt;=10000,AJ138&lt;=56999),AND(AJ138&gt;=57000,AJ138&lt;=57999))</formula>
    </cfRule>
    <cfRule type="expression" dxfId="32151" priority="4261" stopIfTrue="1">
      <formula>AND(AJ138&gt;=8000,AJ138&lt;=9999)</formula>
    </cfRule>
    <cfRule type="expression" dxfId="32150" priority="4262" stopIfTrue="1">
      <formula>AND(AJ138&gt;=78100,AJ138&lt;=78199)</formula>
    </cfRule>
    <cfRule type="expression" dxfId="32149" priority="4263" stopIfTrue="1">
      <formula>AND(AJ138&gt;=92000,AJ138&lt;=98999)</formula>
    </cfRule>
    <cfRule type="expression" dxfId="32148" priority="4264" stopIfTrue="1">
      <formula>AND(AJ138&gt;=78100,AJ138&lt;=78199)</formula>
    </cfRule>
    <cfRule type="expression" dxfId="32147" priority="4265" stopIfTrue="1">
      <formula>AND(AJ138&gt;=91000,AJ138&lt;=91999)</formula>
    </cfRule>
  </conditionalFormatting>
  <conditionalFormatting sqref="AM138">
    <cfRule type="expression" dxfId="32146" priority="4244">
      <formula>AND(AN138&gt;=79001,AN138&lt;79900)</formula>
    </cfRule>
    <cfRule type="expression" dxfId="32145" priority="4245" stopIfTrue="1">
      <formula>AND(AN138&gt;=70101,AN138&lt;=70301)</formula>
    </cfRule>
    <cfRule type="expression" dxfId="32144" priority="4246" stopIfTrue="1">
      <formula>AND(AN138&gt;70000,AN138&lt;70004)</formula>
    </cfRule>
    <cfRule type="expression" dxfId="32143" priority="4247" stopIfTrue="1">
      <formula>AND(AN138&gt;=70010,AN138&lt;=76000)</formula>
    </cfRule>
    <cfRule type="expression" dxfId="32142" priority="4248">
      <formula>AND(AN138&gt;70000,AN138&lt;70004)</formula>
    </cfRule>
    <cfRule type="expression" dxfId="32141" priority="4249" stopIfTrue="1">
      <formula>OR(AND(AN138&gt;=10000,AN138&lt;=56999),AND(AN138&gt;=57000,AN138&lt;=57999))</formula>
    </cfRule>
    <cfRule type="expression" dxfId="32140" priority="4250" stopIfTrue="1">
      <formula>AND(AN138&gt;=8000,AN138&lt;=9999)</formula>
    </cfRule>
    <cfRule type="expression" dxfId="32139" priority="4251" stopIfTrue="1">
      <formula>AND(AN138&gt;=78100,AN138&lt;=78199)</formula>
    </cfRule>
    <cfRule type="expression" dxfId="32138" priority="4252" stopIfTrue="1">
      <formula>AND(AN138&gt;=92000,AN138&lt;=98999)</formula>
    </cfRule>
    <cfRule type="expression" dxfId="32137" priority="4253" stopIfTrue="1">
      <formula>AND(AN138&gt;=78100,AN138&lt;=78199)</formula>
    </cfRule>
    <cfRule type="expression" dxfId="32136" priority="4254" stopIfTrue="1">
      <formula>AND(AN138&gt;=91000,AN138&lt;=91999)</formula>
    </cfRule>
  </conditionalFormatting>
  <conditionalFormatting sqref="AQ138">
    <cfRule type="expression" dxfId="32135" priority="4233">
      <formula>AND(AR138&gt;=79001,AR138&lt;79900)</formula>
    </cfRule>
    <cfRule type="expression" dxfId="32134" priority="4234" stopIfTrue="1">
      <formula>AND(AR138&gt;=70101,AR138&lt;=70301)</formula>
    </cfRule>
    <cfRule type="expression" dxfId="32133" priority="4235" stopIfTrue="1">
      <formula>AND(AR138&gt;70000,AR138&lt;70004)</formula>
    </cfRule>
    <cfRule type="expression" dxfId="32132" priority="4236" stopIfTrue="1">
      <formula>AND(AR138&gt;=70010,AR138&lt;=76000)</formula>
    </cfRule>
    <cfRule type="expression" dxfId="32131" priority="4237">
      <formula>AND(AR138&gt;70000,AR138&lt;70004)</formula>
    </cfRule>
    <cfRule type="expression" dxfId="32130" priority="4238" stopIfTrue="1">
      <formula>OR(AND(AR138&gt;=10000,AR138&lt;=56999),AND(AR138&gt;=57000,AR138&lt;=57999))</formula>
    </cfRule>
    <cfRule type="expression" dxfId="32129" priority="4239" stopIfTrue="1">
      <formula>AND(AR138&gt;=8000,AR138&lt;=9999)</formula>
    </cfRule>
    <cfRule type="expression" dxfId="32128" priority="4240" stopIfTrue="1">
      <formula>AND(AR138&gt;=78100,AR138&lt;=78199)</formula>
    </cfRule>
    <cfRule type="expression" dxfId="32127" priority="4241" stopIfTrue="1">
      <formula>AND(AR138&gt;=92000,AR138&lt;=98999)</formula>
    </cfRule>
    <cfRule type="expression" dxfId="32126" priority="4242" stopIfTrue="1">
      <formula>AND(AR138&gt;=78100,AR138&lt;=78199)</formula>
    </cfRule>
    <cfRule type="expression" dxfId="32125" priority="4243" stopIfTrue="1">
      <formula>AND(AR138&gt;=91000,AR138&lt;=91999)</formula>
    </cfRule>
  </conditionalFormatting>
  <conditionalFormatting sqref="AU138">
    <cfRule type="expression" dxfId="32124" priority="4222">
      <formula>AND(AV138&gt;=79001,AV138&lt;79900)</formula>
    </cfRule>
    <cfRule type="expression" dxfId="32123" priority="4223" stopIfTrue="1">
      <formula>AND(AV138&gt;=70101,AV138&lt;=70301)</formula>
    </cfRule>
    <cfRule type="expression" dxfId="32122" priority="4224" stopIfTrue="1">
      <formula>AND(AV138&gt;70000,AV138&lt;70004)</formula>
    </cfRule>
    <cfRule type="expression" dxfId="32121" priority="4225" stopIfTrue="1">
      <formula>AND(AV138&gt;=70010,AV138&lt;=76000)</formula>
    </cfRule>
    <cfRule type="expression" dxfId="32120" priority="4226">
      <formula>AND(AV138&gt;70000,AV138&lt;70004)</formula>
    </cfRule>
    <cfRule type="expression" dxfId="32119" priority="4227" stopIfTrue="1">
      <formula>OR(AND(AV138&gt;=10000,AV138&lt;=56999),AND(AV138&gt;=57000,AV138&lt;=57999))</formula>
    </cfRule>
    <cfRule type="expression" dxfId="32118" priority="4228" stopIfTrue="1">
      <formula>AND(AV138&gt;=8000,AV138&lt;=9999)</formula>
    </cfRule>
    <cfRule type="expression" dxfId="32117" priority="4229" stopIfTrue="1">
      <formula>AND(AV138&gt;=78100,AV138&lt;=78199)</formula>
    </cfRule>
    <cfRule type="expression" dxfId="32116" priority="4230" stopIfTrue="1">
      <formula>AND(AV138&gt;=92000,AV138&lt;=98999)</formula>
    </cfRule>
    <cfRule type="expression" dxfId="32115" priority="4231" stopIfTrue="1">
      <formula>AND(AV138&gt;=78100,AV138&lt;=78199)</formula>
    </cfRule>
    <cfRule type="expression" dxfId="32114" priority="4232" stopIfTrue="1">
      <formula>AND(AV138&gt;=91000,AV138&lt;=91999)</formula>
    </cfRule>
  </conditionalFormatting>
  <conditionalFormatting sqref="AY138">
    <cfRule type="expression" dxfId="32113" priority="4211">
      <formula>AND(AZ138&gt;=79001,AZ138&lt;79900)</formula>
    </cfRule>
    <cfRule type="expression" dxfId="32112" priority="4212" stopIfTrue="1">
      <formula>AND(AZ138&gt;=70101,AZ138&lt;=70301)</formula>
    </cfRule>
    <cfRule type="expression" dxfId="32111" priority="4213" stopIfTrue="1">
      <formula>AND(AZ138&gt;70000,AZ138&lt;70004)</formula>
    </cfRule>
    <cfRule type="expression" dxfId="32110" priority="4214" stopIfTrue="1">
      <formula>AND(AZ138&gt;=70010,AZ138&lt;=76000)</formula>
    </cfRule>
    <cfRule type="expression" dxfId="32109" priority="4215">
      <formula>AND(AZ138&gt;70000,AZ138&lt;70004)</formula>
    </cfRule>
    <cfRule type="expression" dxfId="32108" priority="4216" stopIfTrue="1">
      <formula>OR(AND(AZ138&gt;=10000,AZ138&lt;=56999),AND(AZ138&gt;=57000,AZ138&lt;=57999))</formula>
    </cfRule>
    <cfRule type="expression" dxfId="32107" priority="4217" stopIfTrue="1">
      <formula>AND(AZ138&gt;=8000,AZ138&lt;=9999)</formula>
    </cfRule>
    <cfRule type="expression" dxfId="32106" priority="4218" stopIfTrue="1">
      <formula>AND(AZ138&gt;=78100,AZ138&lt;=78199)</formula>
    </cfRule>
    <cfRule type="expression" dxfId="32105" priority="4219" stopIfTrue="1">
      <formula>AND(AZ138&gt;=92000,AZ138&lt;=98999)</formula>
    </cfRule>
    <cfRule type="expression" dxfId="32104" priority="4220" stopIfTrue="1">
      <formula>AND(AZ138&gt;=78100,AZ138&lt;=78199)</formula>
    </cfRule>
    <cfRule type="expression" dxfId="32103" priority="4221" stopIfTrue="1">
      <formula>AND(AZ138&gt;=91000,AZ138&lt;=91999)</formula>
    </cfRule>
  </conditionalFormatting>
  <conditionalFormatting sqref="G138">
    <cfRule type="expression" dxfId="32102" priority="4200">
      <formula>AND(H138&gt;=79001,H138&lt;79900)</formula>
    </cfRule>
    <cfRule type="expression" dxfId="32101" priority="4201" stopIfTrue="1">
      <formula>AND(H138&gt;=70101,H138&lt;=70301)</formula>
    </cfRule>
    <cfRule type="expression" dxfId="32100" priority="4202" stopIfTrue="1">
      <formula>AND(H138&gt;70000,H138&lt;70004)</formula>
    </cfRule>
    <cfRule type="expression" dxfId="32099" priority="4203" stopIfTrue="1">
      <formula>AND(H138&gt;=70010,H138&lt;=76000)</formula>
    </cfRule>
    <cfRule type="expression" dxfId="32098" priority="4204">
      <formula>AND(H138&gt;70000,H138&lt;70004)</formula>
    </cfRule>
    <cfRule type="expression" dxfId="32097" priority="4205" stopIfTrue="1">
      <formula>OR(AND(H138&gt;=10000,H138&lt;=56999),AND(H138&gt;=57000,H138&lt;=57999))</formula>
    </cfRule>
    <cfRule type="expression" dxfId="32096" priority="4206" stopIfTrue="1">
      <formula>AND(H138&gt;=8000,H138&lt;=9999)</formula>
    </cfRule>
    <cfRule type="expression" dxfId="32095" priority="4207" stopIfTrue="1">
      <formula>AND(H138&gt;=78100,H138&lt;=78199)</formula>
    </cfRule>
    <cfRule type="expression" dxfId="32094" priority="4208" stopIfTrue="1">
      <formula>AND(H138&gt;=92000,H138&lt;=98999)</formula>
    </cfRule>
    <cfRule type="expression" dxfId="32093" priority="4209" stopIfTrue="1">
      <formula>AND(H138&gt;=78100,H138&lt;=78199)</formula>
    </cfRule>
    <cfRule type="expression" dxfId="32092" priority="4210" stopIfTrue="1">
      <formula>AND(H138&gt;=91000,H138&lt;=91999)</formula>
    </cfRule>
  </conditionalFormatting>
  <conditionalFormatting sqref="K138">
    <cfRule type="expression" dxfId="32091" priority="4189">
      <formula>AND(L138&gt;=79001,L138&lt;79900)</formula>
    </cfRule>
    <cfRule type="expression" dxfId="32090" priority="4190" stopIfTrue="1">
      <formula>AND(L138&gt;=70101,L138&lt;=70301)</formula>
    </cfRule>
    <cfRule type="expression" dxfId="32089" priority="4191" stopIfTrue="1">
      <formula>AND(L138&gt;70000,L138&lt;70004)</formula>
    </cfRule>
    <cfRule type="expression" dxfId="32088" priority="4192" stopIfTrue="1">
      <formula>AND(L138&gt;=70010,L138&lt;=76000)</formula>
    </cfRule>
    <cfRule type="expression" dxfId="32087" priority="4193">
      <formula>AND(L138&gt;70000,L138&lt;70004)</formula>
    </cfRule>
    <cfRule type="expression" dxfId="32086" priority="4194" stopIfTrue="1">
      <formula>OR(AND(L138&gt;=10000,L138&lt;=56999),AND(L138&gt;=57000,L138&lt;=57999))</formula>
    </cfRule>
    <cfRule type="expression" dxfId="32085" priority="4195" stopIfTrue="1">
      <formula>AND(L138&gt;=8000,L138&lt;=9999)</formula>
    </cfRule>
    <cfRule type="expression" dxfId="32084" priority="4196" stopIfTrue="1">
      <formula>AND(L138&gt;=78100,L138&lt;=78199)</formula>
    </cfRule>
    <cfRule type="expression" dxfId="32083" priority="4197" stopIfTrue="1">
      <formula>AND(L138&gt;=92000,L138&lt;=98999)</formula>
    </cfRule>
    <cfRule type="expression" dxfId="32082" priority="4198" stopIfTrue="1">
      <formula>AND(L138&gt;=78100,L138&lt;=78199)</formula>
    </cfRule>
    <cfRule type="expression" dxfId="32081" priority="4199" stopIfTrue="1">
      <formula>AND(L138&gt;=91000,L138&lt;=91999)</formula>
    </cfRule>
  </conditionalFormatting>
  <conditionalFormatting sqref="O138">
    <cfRule type="expression" dxfId="32080" priority="4178">
      <formula>AND(P138&gt;=79001,P138&lt;79900)</formula>
    </cfRule>
    <cfRule type="expression" dxfId="32079" priority="4179" stopIfTrue="1">
      <formula>AND(P138&gt;=70101,P138&lt;=70301)</formula>
    </cfRule>
    <cfRule type="expression" dxfId="32078" priority="4180" stopIfTrue="1">
      <formula>AND(P138&gt;70000,P138&lt;70004)</formula>
    </cfRule>
    <cfRule type="expression" dxfId="32077" priority="4181" stopIfTrue="1">
      <formula>AND(P138&gt;=70010,P138&lt;=76000)</formula>
    </cfRule>
    <cfRule type="expression" dxfId="32076" priority="4182">
      <formula>AND(P138&gt;70000,P138&lt;70004)</formula>
    </cfRule>
    <cfRule type="expression" dxfId="32075" priority="4183" stopIfTrue="1">
      <formula>OR(AND(P138&gt;=10000,P138&lt;=56999),AND(P138&gt;=57000,P138&lt;=57999))</formula>
    </cfRule>
    <cfRule type="expression" dxfId="32074" priority="4184" stopIfTrue="1">
      <formula>AND(P138&gt;=8000,P138&lt;=9999)</formula>
    </cfRule>
    <cfRule type="expression" dxfId="32073" priority="4185" stopIfTrue="1">
      <formula>AND(P138&gt;=78100,P138&lt;=78199)</formula>
    </cfRule>
    <cfRule type="expression" dxfId="32072" priority="4186" stopIfTrue="1">
      <formula>AND(P138&gt;=92000,P138&lt;=98999)</formula>
    </cfRule>
    <cfRule type="expression" dxfId="32071" priority="4187" stopIfTrue="1">
      <formula>AND(P138&gt;=78100,P138&lt;=78199)</formula>
    </cfRule>
    <cfRule type="expression" dxfId="32070" priority="4188" stopIfTrue="1">
      <formula>AND(P138&gt;=91000,P138&lt;=91999)</formula>
    </cfRule>
  </conditionalFormatting>
  <conditionalFormatting sqref="S136:S138">
    <cfRule type="expression" dxfId="32069" priority="4167">
      <formula>AND(T136&gt;=79001,T136&lt;79900)</formula>
    </cfRule>
    <cfRule type="expression" dxfId="32068" priority="4168" stopIfTrue="1">
      <formula>AND(T136&gt;=70101,T136&lt;=70301)</formula>
    </cfRule>
    <cfRule type="expression" dxfId="32067" priority="4169" stopIfTrue="1">
      <formula>AND(T136&gt;70000,T136&lt;70004)</formula>
    </cfRule>
    <cfRule type="expression" dxfId="32066" priority="4170" stopIfTrue="1">
      <formula>AND(T136&gt;=70010,T136&lt;=76000)</formula>
    </cfRule>
    <cfRule type="expression" dxfId="32065" priority="4171">
      <formula>AND(T136&gt;70000,T136&lt;70004)</formula>
    </cfRule>
    <cfRule type="expression" dxfId="32064" priority="4172" stopIfTrue="1">
      <formula>OR(AND(T136&gt;=10000,T136&lt;=56999),AND(T136&gt;=57000,T136&lt;=57999))</formula>
    </cfRule>
    <cfRule type="expression" dxfId="32063" priority="4173" stopIfTrue="1">
      <formula>AND(T136&gt;=8000,T136&lt;=9999)</formula>
    </cfRule>
    <cfRule type="expression" dxfId="32062" priority="4174" stopIfTrue="1">
      <formula>AND(T136&gt;=78100,T136&lt;=78199)</formula>
    </cfRule>
    <cfRule type="expression" dxfId="32061" priority="4175" stopIfTrue="1">
      <formula>AND(T136&gt;=92000,T136&lt;=98999)</formula>
    </cfRule>
    <cfRule type="expression" dxfId="32060" priority="4176" stopIfTrue="1">
      <formula>AND(T136&gt;=78100,T136&lt;=78199)</formula>
    </cfRule>
    <cfRule type="expression" dxfId="32059" priority="4177" stopIfTrue="1">
      <formula>AND(T136&gt;=91000,T136&lt;=91999)</formula>
    </cfRule>
  </conditionalFormatting>
  <conditionalFormatting sqref="S136:S138">
    <cfRule type="expression" dxfId="32058" priority="4156">
      <formula>AND(T136&gt;=79001,T136&lt;79900)</formula>
    </cfRule>
    <cfRule type="expression" dxfId="32057" priority="4157" stopIfTrue="1">
      <formula>AND(T136&gt;=70101,T136&lt;=70301)</formula>
    </cfRule>
    <cfRule type="expression" dxfId="32056" priority="4158" stopIfTrue="1">
      <formula>AND(T136&gt;70000,T136&lt;70004)</formula>
    </cfRule>
    <cfRule type="expression" dxfId="32055" priority="4159" stopIfTrue="1">
      <formula>AND(T136&gt;=70010,T136&lt;=76000)</formula>
    </cfRule>
    <cfRule type="expression" dxfId="32054" priority="4160">
      <formula>AND(T136&gt;70000,T136&lt;70004)</formula>
    </cfRule>
    <cfRule type="expression" dxfId="32053" priority="4161" stopIfTrue="1">
      <formula>OR(AND(T136&gt;=10000,T136&lt;=56999),AND(T136&gt;=57000,T136&lt;=57999))</formula>
    </cfRule>
    <cfRule type="expression" dxfId="32052" priority="4162" stopIfTrue="1">
      <formula>AND(T136&gt;=8000,T136&lt;=9999)</formula>
    </cfRule>
    <cfRule type="expression" dxfId="32051" priority="4163" stopIfTrue="1">
      <formula>AND(T136&gt;=78100,T136&lt;=78199)</formula>
    </cfRule>
    <cfRule type="expression" dxfId="32050" priority="4164" stopIfTrue="1">
      <formula>AND(T136&gt;=92000,T136&lt;=98999)</formula>
    </cfRule>
    <cfRule type="expression" dxfId="32049" priority="4165" stopIfTrue="1">
      <formula>AND(T136&gt;=78100,T136&lt;=78199)</formula>
    </cfRule>
    <cfRule type="expression" dxfId="32048" priority="4166" stopIfTrue="1">
      <formula>AND(T136&gt;=91000,T136&lt;=91999)</formula>
    </cfRule>
  </conditionalFormatting>
  <conditionalFormatting sqref="W136:W138">
    <cfRule type="expression" dxfId="32047" priority="4145">
      <formula>AND(X136&gt;=79001,X136&lt;79900)</formula>
    </cfRule>
    <cfRule type="expression" dxfId="32046" priority="4146" stopIfTrue="1">
      <formula>AND(X136&gt;=70101,X136&lt;=70301)</formula>
    </cfRule>
    <cfRule type="expression" dxfId="32045" priority="4147" stopIfTrue="1">
      <formula>AND(X136&gt;70000,X136&lt;70004)</formula>
    </cfRule>
    <cfRule type="expression" dxfId="32044" priority="4148" stopIfTrue="1">
      <formula>AND(X136&gt;=70010,X136&lt;=76000)</formula>
    </cfRule>
    <cfRule type="expression" dxfId="32043" priority="4149">
      <formula>AND(X136&gt;70000,X136&lt;70004)</formula>
    </cfRule>
    <cfRule type="expression" dxfId="32042" priority="4150" stopIfTrue="1">
      <formula>OR(AND(X136&gt;=10000,X136&lt;=56999),AND(X136&gt;=57000,X136&lt;=57999))</formula>
    </cfRule>
    <cfRule type="expression" dxfId="32041" priority="4151" stopIfTrue="1">
      <formula>AND(X136&gt;=8000,X136&lt;=9999)</formula>
    </cfRule>
    <cfRule type="expression" dxfId="32040" priority="4152" stopIfTrue="1">
      <formula>AND(X136&gt;=78100,X136&lt;=78199)</formula>
    </cfRule>
    <cfRule type="expression" dxfId="32039" priority="4153" stopIfTrue="1">
      <formula>AND(X136&gt;=92000,X136&lt;=98999)</formula>
    </cfRule>
    <cfRule type="expression" dxfId="32038" priority="4154" stopIfTrue="1">
      <formula>AND(X136&gt;=78100,X136&lt;=78199)</formula>
    </cfRule>
    <cfRule type="expression" dxfId="32037" priority="4155" stopIfTrue="1">
      <formula>AND(X136&gt;=91000,X136&lt;=91999)</formula>
    </cfRule>
  </conditionalFormatting>
  <conditionalFormatting sqref="W136:W138">
    <cfRule type="expression" dxfId="32036" priority="4134">
      <formula>AND(X136&gt;=79001,X136&lt;79900)</formula>
    </cfRule>
    <cfRule type="expression" dxfId="32035" priority="4135" stopIfTrue="1">
      <formula>AND(X136&gt;=70101,X136&lt;=70301)</formula>
    </cfRule>
    <cfRule type="expression" dxfId="32034" priority="4136" stopIfTrue="1">
      <formula>AND(X136&gt;70000,X136&lt;70004)</formula>
    </cfRule>
    <cfRule type="expression" dxfId="32033" priority="4137" stopIfTrue="1">
      <formula>AND(X136&gt;=70010,X136&lt;=76000)</formula>
    </cfRule>
    <cfRule type="expression" dxfId="32032" priority="4138">
      <formula>AND(X136&gt;70000,X136&lt;70004)</formula>
    </cfRule>
    <cfRule type="expression" dxfId="32031" priority="4139" stopIfTrue="1">
      <formula>OR(AND(X136&gt;=10000,X136&lt;=56999),AND(X136&gt;=57000,X136&lt;=57999))</formula>
    </cfRule>
    <cfRule type="expression" dxfId="32030" priority="4140" stopIfTrue="1">
      <formula>AND(X136&gt;=8000,X136&lt;=9999)</formula>
    </cfRule>
    <cfRule type="expression" dxfId="32029" priority="4141" stopIfTrue="1">
      <formula>AND(X136&gt;=78100,X136&lt;=78199)</formula>
    </cfRule>
    <cfRule type="expression" dxfId="32028" priority="4142" stopIfTrue="1">
      <formula>AND(X136&gt;=92000,X136&lt;=98999)</formula>
    </cfRule>
    <cfRule type="expression" dxfId="32027" priority="4143" stopIfTrue="1">
      <formula>AND(X136&gt;=78100,X136&lt;=78199)</formula>
    </cfRule>
    <cfRule type="expression" dxfId="32026" priority="4144" stopIfTrue="1">
      <formula>AND(X136&gt;=91000,X136&lt;=91999)</formula>
    </cfRule>
  </conditionalFormatting>
  <conditionalFormatting sqref="G142:G143">
    <cfRule type="expression" dxfId="32025" priority="4122">
      <formula>AND(H142&gt;=79001,H142&lt;79900)</formula>
    </cfRule>
    <cfRule type="expression" dxfId="32024" priority="4123" stopIfTrue="1">
      <formula>AND(H142&gt;=70101,H142&lt;=70301)</formula>
    </cfRule>
    <cfRule type="expression" dxfId="32023" priority="4124" stopIfTrue="1">
      <formula>AND(H142&gt;70000,H142&lt;70004)</formula>
    </cfRule>
    <cfRule type="expression" dxfId="32022" priority="4125" stopIfTrue="1">
      <formula>AND(H142&gt;=70010,H142&lt;=76000)</formula>
    </cfRule>
    <cfRule type="expression" dxfId="32021" priority="4126">
      <formula>AND(H142&gt;70000,H142&lt;70004)</formula>
    </cfRule>
    <cfRule type="expression" dxfId="32020" priority="4127" stopIfTrue="1">
      <formula>OR(AND(H142&gt;=10000,H142&lt;=56999),AND(H142&gt;=57000,H142&lt;=57999))</formula>
    </cfRule>
    <cfRule type="expression" dxfId="32019" priority="4128" stopIfTrue="1">
      <formula>AND(H142&gt;=8000,H142&lt;=9999)</formula>
    </cfRule>
    <cfRule type="expression" dxfId="32018" priority="4129" stopIfTrue="1">
      <formula>AND(H142&gt;=78100,H142&lt;=78199)</formula>
    </cfRule>
    <cfRule type="expression" dxfId="32017" priority="4130" stopIfTrue="1">
      <formula>AND(H142&gt;=92000,H142&lt;=98999)</formula>
    </cfRule>
    <cfRule type="expression" dxfId="32016" priority="4131" stopIfTrue="1">
      <formula>AND(H142&gt;=78100,H142&lt;=78199)</formula>
    </cfRule>
    <cfRule type="expression" dxfId="32015" priority="4132" stopIfTrue="1">
      <formula>AND(H142&gt;=91000,H142&lt;=91999)</formula>
    </cfRule>
  </conditionalFormatting>
  <conditionalFormatting sqref="G144">
    <cfRule type="expression" dxfId="32014" priority="4111">
      <formula>AND(H144&gt;=79001,H144&lt;79900)</formula>
    </cfRule>
    <cfRule type="expression" dxfId="32013" priority="4112" stopIfTrue="1">
      <formula>AND(H144&gt;=70101,H144&lt;=70301)</formula>
    </cfRule>
    <cfRule type="expression" dxfId="32012" priority="4113" stopIfTrue="1">
      <formula>AND(H144&gt;70000,H144&lt;70004)</formula>
    </cfRule>
    <cfRule type="expression" dxfId="32011" priority="4114" stopIfTrue="1">
      <formula>AND(H144&gt;=70010,H144&lt;=76000)</formula>
    </cfRule>
    <cfRule type="expression" dxfId="32010" priority="4115">
      <formula>AND(H144&gt;70000,H144&lt;70004)</formula>
    </cfRule>
    <cfRule type="expression" dxfId="32009" priority="4116" stopIfTrue="1">
      <formula>OR(AND(H144&gt;=10000,H144&lt;=56999),AND(H144&gt;=57000,H144&lt;=57999))</formula>
    </cfRule>
    <cfRule type="expression" dxfId="32008" priority="4117" stopIfTrue="1">
      <formula>AND(H144&gt;=8000,H144&lt;=9999)</formula>
    </cfRule>
    <cfRule type="expression" dxfId="32007" priority="4118" stopIfTrue="1">
      <formula>AND(H144&gt;=78100,H144&lt;=78199)</formula>
    </cfRule>
    <cfRule type="expression" dxfId="32006" priority="4119" stopIfTrue="1">
      <formula>AND(H144&gt;=92000,H144&lt;=98999)</formula>
    </cfRule>
    <cfRule type="expression" dxfId="32005" priority="4120" stopIfTrue="1">
      <formula>AND(H144&gt;=78100,H144&lt;=78199)</formula>
    </cfRule>
    <cfRule type="expression" dxfId="32004" priority="4121" stopIfTrue="1">
      <formula>AND(H144&gt;=91000,H144&lt;=91999)</formula>
    </cfRule>
  </conditionalFormatting>
  <conditionalFormatting sqref="K142:K143">
    <cfRule type="expression" dxfId="32003" priority="4100">
      <formula>AND(L142&gt;=79001,L142&lt;79900)</formula>
    </cfRule>
    <cfRule type="expression" dxfId="32002" priority="4101" stopIfTrue="1">
      <formula>AND(L142&gt;=70101,L142&lt;=70301)</formula>
    </cfRule>
    <cfRule type="expression" dxfId="32001" priority="4102" stopIfTrue="1">
      <formula>AND(L142&gt;70000,L142&lt;70004)</formula>
    </cfRule>
    <cfRule type="expression" dxfId="32000" priority="4103" stopIfTrue="1">
      <formula>AND(L142&gt;=70010,L142&lt;=76000)</formula>
    </cfRule>
    <cfRule type="expression" dxfId="31999" priority="4104">
      <formula>AND(L142&gt;70000,L142&lt;70004)</formula>
    </cfRule>
    <cfRule type="expression" dxfId="31998" priority="4105" stopIfTrue="1">
      <formula>OR(AND(L142&gt;=10000,L142&lt;=56999),AND(L142&gt;=57000,L142&lt;=57999))</formula>
    </cfRule>
    <cfRule type="expression" dxfId="31997" priority="4106" stopIfTrue="1">
      <formula>AND(L142&gt;=8000,L142&lt;=9999)</formula>
    </cfRule>
    <cfRule type="expression" dxfId="31996" priority="4107" stopIfTrue="1">
      <formula>AND(L142&gt;=78100,L142&lt;=78199)</formula>
    </cfRule>
    <cfRule type="expression" dxfId="31995" priority="4108" stopIfTrue="1">
      <formula>AND(L142&gt;=92000,L142&lt;=98999)</formula>
    </cfRule>
    <cfRule type="expression" dxfId="31994" priority="4109" stopIfTrue="1">
      <formula>AND(L142&gt;=78100,L142&lt;=78199)</formula>
    </cfRule>
    <cfRule type="expression" dxfId="31993" priority="4110" stopIfTrue="1">
      <formula>AND(L142&gt;=91000,L142&lt;=91999)</formula>
    </cfRule>
  </conditionalFormatting>
  <conditionalFormatting sqref="K144">
    <cfRule type="expression" dxfId="31992" priority="4089">
      <formula>AND(L144&gt;=79001,L144&lt;79900)</formula>
    </cfRule>
    <cfRule type="expression" dxfId="31991" priority="4090" stopIfTrue="1">
      <formula>AND(L144&gt;=70101,L144&lt;=70301)</formula>
    </cfRule>
    <cfRule type="expression" dxfId="31990" priority="4091" stopIfTrue="1">
      <formula>AND(L144&gt;70000,L144&lt;70004)</formula>
    </cfRule>
    <cfRule type="expression" dxfId="31989" priority="4092" stopIfTrue="1">
      <formula>AND(L144&gt;=70010,L144&lt;=76000)</formula>
    </cfRule>
    <cfRule type="expression" dxfId="31988" priority="4093">
      <formula>AND(L144&gt;70000,L144&lt;70004)</formula>
    </cfRule>
    <cfRule type="expression" dxfId="31987" priority="4094" stopIfTrue="1">
      <formula>OR(AND(L144&gt;=10000,L144&lt;=56999),AND(L144&gt;=57000,L144&lt;=57999))</formula>
    </cfRule>
    <cfRule type="expression" dxfId="31986" priority="4095" stopIfTrue="1">
      <formula>AND(L144&gt;=8000,L144&lt;=9999)</formula>
    </cfRule>
    <cfRule type="expression" dxfId="31985" priority="4096" stopIfTrue="1">
      <formula>AND(L144&gt;=78100,L144&lt;=78199)</formula>
    </cfRule>
    <cfRule type="expression" dxfId="31984" priority="4097" stopIfTrue="1">
      <formula>AND(L144&gt;=92000,L144&lt;=98999)</formula>
    </cfRule>
    <cfRule type="expression" dxfId="31983" priority="4098" stopIfTrue="1">
      <formula>AND(L144&gt;=78100,L144&lt;=78199)</formula>
    </cfRule>
    <cfRule type="expression" dxfId="31982" priority="4099" stopIfTrue="1">
      <formula>AND(L144&gt;=91000,L144&lt;=91999)</formula>
    </cfRule>
  </conditionalFormatting>
  <conditionalFormatting sqref="O142:O143">
    <cfRule type="expression" dxfId="31981" priority="4078">
      <formula>AND(P142&gt;=79001,P142&lt;79900)</formula>
    </cfRule>
    <cfRule type="expression" dxfId="31980" priority="4079" stopIfTrue="1">
      <formula>AND(P142&gt;=70101,P142&lt;=70301)</formula>
    </cfRule>
    <cfRule type="expression" dxfId="31979" priority="4080" stopIfTrue="1">
      <formula>AND(P142&gt;70000,P142&lt;70004)</formula>
    </cfRule>
    <cfRule type="expression" dxfId="31978" priority="4081" stopIfTrue="1">
      <formula>AND(P142&gt;=70010,P142&lt;=76000)</formula>
    </cfRule>
    <cfRule type="expression" dxfId="31977" priority="4082">
      <formula>AND(P142&gt;70000,P142&lt;70004)</formula>
    </cfRule>
    <cfRule type="expression" dxfId="31976" priority="4083" stopIfTrue="1">
      <formula>OR(AND(P142&gt;=10000,P142&lt;=56999),AND(P142&gt;=57000,P142&lt;=57999))</formula>
    </cfRule>
    <cfRule type="expression" dxfId="31975" priority="4084" stopIfTrue="1">
      <formula>AND(P142&gt;=8000,P142&lt;=9999)</formula>
    </cfRule>
    <cfRule type="expression" dxfId="31974" priority="4085" stopIfTrue="1">
      <formula>AND(P142&gt;=78100,P142&lt;=78199)</formula>
    </cfRule>
    <cfRule type="expression" dxfId="31973" priority="4086" stopIfTrue="1">
      <formula>AND(P142&gt;=92000,P142&lt;=98999)</formula>
    </cfRule>
    <cfRule type="expression" dxfId="31972" priority="4087" stopIfTrue="1">
      <formula>AND(P142&gt;=78100,P142&lt;=78199)</formula>
    </cfRule>
    <cfRule type="expression" dxfId="31971" priority="4088" stopIfTrue="1">
      <formula>AND(P142&gt;=91000,P142&lt;=91999)</formula>
    </cfRule>
  </conditionalFormatting>
  <conditionalFormatting sqref="O144">
    <cfRule type="expression" dxfId="31970" priority="4067">
      <formula>AND(P144&gt;=79001,P144&lt;79900)</formula>
    </cfRule>
    <cfRule type="expression" dxfId="31969" priority="4068" stopIfTrue="1">
      <formula>AND(P144&gt;=70101,P144&lt;=70301)</formula>
    </cfRule>
    <cfRule type="expression" dxfId="31968" priority="4069" stopIfTrue="1">
      <formula>AND(P144&gt;70000,P144&lt;70004)</formula>
    </cfRule>
    <cfRule type="expression" dxfId="31967" priority="4070" stopIfTrue="1">
      <formula>AND(P144&gt;=70010,P144&lt;=76000)</formula>
    </cfRule>
    <cfRule type="expression" dxfId="31966" priority="4071">
      <formula>AND(P144&gt;70000,P144&lt;70004)</formula>
    </cfRule>
    <cfRule type="expression" dxfId="31965" priority="4072" stopIfTrue="1">
      <formula>OR(AND(P144&gt;=10000,P144&lt;=56999),AND(P144&gt;=57000,P144&lt;=57999))</formula>
    </cfRule>
    <cfRule type="expression" dxfId="31964" priority="4073" stopIfTrue="1">
      <formula>AND(P144&gt;=8000,P144&lt;=9999)</formula>
    </cfRule>
    <cfRule type="expression" dxfId="31963" priority="4074" stopIfTrue="1">
      <formula>AND(P144&gt;=78100,P144&lt;=78199)</formula>
    </cfRule>
    <cfRule type="expression" dxfId="31962" priority="4075" stopIfTrue="1">
      <formula>AND(P144&gt;=92000,P144&lt;=98999)</formula>
    </cfRule>
    <cfRule type="expression" dxfId="31961" priority="4076" stopIfTrue="1">
      <formula>AND(P144&gt;=78100,P144&lt;=78199)</formula>
    </cfRule>
    <cfRule type="expression" dxfId="31960" priority="4077" stopIfTrue="1">
      <formula>AND(P144&gt;=91000,P144&lt;=91999)</formula>
    </cfRule>
  </conditionalFormatting>
  <conditionalFormatting sqref="AA142:AA143">
    <cfRule type="expression" dxfId="31959" priority="4056">
      <formula>AND(AB142&gt;=79001,AB142&lt;79900)</formula>
    </cfRule>
    <cfRule type="expression" dxfId="31958" priority="4057" stopIfTrue="1">
      <formula>AND(AB142&gt;=70101,AB142&lt;=70301)</formula>
    </cfRule>
    <cfRule type="expression" dxfId="31957" priority="4058" stopIfTrue="1">
      <formula>AND(AB142&gt;70000,AB142&lt;70004)</formula>
    </cfRule>
    <cfRule type="expression" dxfId="31956" priority="4059" stopIfTrue="1">
      <formula>AND(AB142&gt;=70010,AB142&lt;=76000)</formula>
    </cfRule>
    <cfRule type="expression" dxfId="31955" priority="4060">
      <formula>AND(AB142&gt;70000,AB142&lt;70004)</formula>
    </cfRule>
    <cfRule type="expression" dxfId="31954" priority="4061" stopIfTrue="1">
      <formula>OR(AND(AB142&gt;=10000,AB142&lt;=56999),AND(AB142&gt;=57000,AB142&lt;=57999))</formula>
    </cfRule>
    <cfRule type="expression" dxfId="31953" priority="4062" stopIfTrue="1">
      <formula>AND(AB142&gt;=8000,AB142&lt;=9999)</formula>
    </cfRule>
    <cfRule type="expression" dxfId="31952" priority="4063" stopIfTrue="1">
      <formula>AND(AB142&gt;=78100,AB142&lt;=78199)</formula>
    </cfRule>
    <cfRule type="expression" dxfId="31951" priority="4064" stopIfTrue="1">
      <formula>AND(AB142&gt;=92000,AB142&lt;=98999)</formula>
    </cfRule>
    <cfRule type="expression" dxfId="31950" priority="4065" stopIfTrue="1">
      <formula>AND(AB142&gt;=78100,AB142&lt;=78199)</formula>
    </cfRule>
    <cfRule type="expression" dxfId="31949" priority="4066" stopIfTrue="1">
      <formula>AND(AB142&gt;=91000,AB142&lt;=91999)</formula>
    </cfRule>
  </conditionalFormatting>
  <conditionalFormatting sqref="AA144">
    <cfRule type="expression" dxfId="31948" priority="4045">
      <formula>AND(AB144&gt;=79001,AB144&lt;79900)</formula>
    </cfRule>
    <cfRule type="expression" dxfId="31947" priority="4046" stopIfTrue="1">
      <formula>AND(AB144&gt;=70101,AB144&lt;=70301)</formula>
    </cfRule>
    <cfRule type="expression" dxfId="31946" priority="4047" stopIfTrue="1">
      <formula>AND(AB144&gt;70000,AB144&lt;70004)</formula>
    </cfRule>
    <cfRule type="expression" dxfId="31945" priority="4048" stopIfTrue="1">
      <formula>AND(AB144&gt;=70010,AB144&lt;=76000)</formula>
    </cfRule>
    <cfRule type="expression" dxfId="31944" priority="4049">
      <formula>AND(AB144&gt;70000,AB144&lt;70004)</formula>
    </cfRule>
    <cfRule type="expression" dxfId="31943" priority="4050" stopIfTrue="1">
      <formula>OR(AND(AB144&gt;=10000,AB144&lt;=56999),AND(AB144&gt;=57000,AB144&lt;=57999))</formula>
    </cfRule>
    <cfRule type="expression" dxfId="31942" priority="4051" stopIfTrue="1">
      <formula>AND(AB144&gt;=8000,AB144&lt;=9999)</formula>
    </cfRule>
    <cfRule type="expression" dxfId="31941" priority="4052" stopIfTrue="1">
      <formula>AND(AB144&gt;=78100,AB144&lt;=78199)</formula>
    </cfRule>
    <cfRule type="expression" dxfId="31940" priority="4053" stopIfTrue="1">
      <formula>AND(AB144&gt;=92000,AB144&lt;=98999)</formula>
    </cfRule>
    <cfRule type="expression" dxfId="31939" priority="4054" stopIfTrue="1">
      <formula>AND(AB144&gt;=78100,AB144&lt;=78199)</formula>
    </cfRule>
    <cfRule type="expression" dxfId="31938" priority="4055" stopIfTrue="1">
      <formula>AND(AB144&gt;=91000,AB144&lt;=91999)</formula>
    </cfRule>
  </conditionalFormatting>
  <conditionalFormatting sqref="AE142:AE143">
    <cfRule type="expression" dxfId="31937" priority="4034">
      <formula>AND(AF142&gt;=79001,AF142&lt;79900)</formula>
    </cfRule>
    <cfRule type="expression" dxfId="31936" priority="4035" stopIfTrue="1">
      <formula>AND(AF142&gt;=70101,AF142&lt;=70301)</formula>
    </cfRule>
    <cfRule type="expression" dxfId="31935" priority="4036" stopIfTrue="1">
      <formula>AND(AF142&gt;70000,AF142&lt;70004)</formula>
    </cfRule>
    <cfRule type="expression" dxfId="31934" priority="4037" stopIfTrue="1">
      <formula>AND(AF142&gt;=70010,AF142&lt;=76000)</formula>
    </cfRule>
    <cfRule type="expression" dxfId="31933" priority="4038">
      <formula>AND(AF142&gt;70000,AF142&lt;70004)</formula>
    </cfRule>
    <cfRule type="expression" dxfId="31932" priority="4039" stopIfTrue="1">
      <formula>OR(AND(AF142&gt;=10000,AF142&lt;=56999),AND(AF142&gt;=57000,AF142&lt;=57999))</formula>
    </cfRule>
    <cfRule type="expression" dxfId="31931" priority="4040" stopIfTrue="1">
      <formula>AND(AF142&gt;=8000,AF142&lt;=9999)</formula>
    </cfRule>
    <cfRule type="expression" dxfId="31930" priority="4041" stopIfTrue="1">
      <formula>AND(AF142&gt;=78100,AF142&lt;=78199)</formula>
    </cfRule>
    <cfRule type="expression" dxfId="31929" priority="4042" stopIfTrue="1">
      <formula>AND(AF142&gt;=92000,AF142&lt;=98999)</formula>
    </cfRule>
    <cfRule type="expression" dxfId="31928" priority="4043" stopIfTrue="1">
      <formula>AND(AF142&gt;=78100,AF142&lt;=78199)</formula>
    </cfRule>
    <cfRule type="expression" dxfId="31927" priority="4044" stopIfTrue="1">
      <formula>AND(AF142&gt;=91000,AF142&lt;=91999)</formula>
    </cfRule>
  </conditionalFormatting>
  <conditionalFormatting sqref="AE144">
    <cfRule type="expression" dxfId="31926" priority="4023">
      <formula>AND(AF144&gt;=79001,AF144&lt;79900)</formula>
    </cfRule>
    <cfRule type="expression" dxfId="31925" priority="4024" stopIfTrue="1">
      <formula>AND(AF144&gt;=70101,AF144&lt;=70301)</formula>
    </cfRule>
    <cfRule type="expression" dxfId="31924" priority="4025" stopIfTrue="1">
      <formula>AND(AF144&gt;70000,AF144&lt;70004)</formula>
    </cfRule>
    <cfRule type="expression" dxfId="31923" priority="4026" stopIfTrue="1">
      <formula>AND(AF144&gt;=70010,AF144&lt;=76000)</formula>
    </cfRule>
    <cfRule type="expression" dxfId="31922" priority="4027">
      <formula>AND(AF144&gt;70000,AF144&lt;70004)</formula>
    </cfRule>
    <cfRule type="expression" dxfId="31921" priority="4028" stopIfTrue="1">
      <formula>OR(AND(AF144&gt;=10000,AF144&lt;=56999),AND(AF144&gt;=57000,AF144&lt;=57999))</formula>
    </cfRule>
    <cfRule type="expression" dxfId="31920" priority="4029" stopIfTrue="1">
      <formula>AND(AF144&gt;=8000,AF144&lt;=9999)</formula>
    </cfRule>
    <cfRule type="expression" dxfId="31919" priority="4030" stopIfTrue="1">
      <formula>AND(AF144&gt;=78100,AF144&lt;=78199)</formula>
    </cfRule>
    <cfRule type="expression" dxfId="31918" priority="4031" stopIfTrue="1">
      <formula>AND(AF144&gt;=92000,AF144&lt;=98999)</formula>
    </cfRule>
    <cfRule type="expression" dxfId="31917" priority="4032" stopIfTrue="1">
      <formula>AND(AF144&gt;=78100,AF144&lt;=78199)</formula>
    </cfRule>
    <cfRule type="expression" dxfId="31916" priority="4033" stopIfTrue="1">
      <formula>AND(AF144&gt;=91000,AF144&lt;=91999)</formula>
    </cfRule>
  </conditionalFormatting>
  <conditionalFormatting sqref="AI142:AI143">
    <cfRule type="expression" dxfId="31915" priority="4012">
      <formula>AND(AJ142&gt;=79001,AJ142&lt;79900)</formula>
    </cfRule>
    <cfRule type="expression" dxfId="31914" priority="4013" stopIfTrue="1">
      <formula>AND(AJ142&gt;=70101,AJ142&lt;=70301)</formula>
    </cfRule>
    <cfRule type="expression" dxfId="31913" priority="4014" stopIfTrue="1">
      <formula>AND(AJ142&gt;70000,AJ142&lt;70004)</formula>
    </cfRule>
    <cfRule type="expression" dxfId="31912" priority="4015" stopIfTrue="1">
      <formula>AND(AJ142&gt;=70010,AJ142&lt;=76000)</formula>
    </cfRule>
    <cfRule type="expression" dxfId="31911" priority="4016">
      <formula>AND(AJ142&gt;70000,AJ142&lt;70004)</formula>
    </cfRule>
    <cfRule type="expression" dxfId="31910" priority="4017" stopIfTrue="1">
      <formula>OR(AND(AJ142&gt;=10000,AJ142&lt;=56999),AND(AJ142&gt;=57000,AJ142&lt;=57999))</formula>
    </cfRule>
    <cfRule type="expression" dxfId="31909" priority="4018" stopIfTrue="1">
      <formula>AND(AJ142&gt;=8000,AJ142&lt;=9999)</formula>
    </cfRule>
    <cfRule type="expression" dxfId="31908" priority="4019" stopIfTrue="1">
      <formula>AND(AJ142&gt;=78100,AJ142&lt;=78199)</formula>
    </cfRule>
    <cfRule type="expression" dxfId="31907" priority="4020" stopIfTrue="1">
      <formula>AND(AJ142&gt;=92000,AJ142&lt;=98999)</formula>
    </cfRule>
    <cfRule type="expression" dxfId="31906" priority="4021" stopIfTrue="1">
      <formula>AND(AJ142&gt;=78100,AJ142&lt;=78199)</formula>
    </cfRule>
    <cfRule type="expression" dxfId="31905" priority="4022" stopIfTrue="1">
      <formula>AND(AJ142&gt;=91000,AJ142&lt;=91999)</formula>
    </cfRule>
  </conditionalFormatting>
  <conditionalFormatting sqref="AI144">
    <cfRule type="expression" dxfId="31904" priority="4001">
      <formula>AND(AJ144&gt;=79001,AJ144&lt;79900)</formula>
    </cfRule>
    <cfRule type="expression" dxfId="31903" priority="4002" stopIfTrue="1">
      <formula>AND(AJ144&gt;=70101,AJ144&lt;=70301)</formula>
    </cfRule>
    <cfRule type="expression" dxfId="31902" priority="4003" stopIfTrue="1">
      <formula>AND(AJ144&gt;70000,AJ144&lt;70004)</formula>
    </cfRule>
    <cfRule type="expression" dxfId="31901" priority="4004" stopIfTrue="1">
      <formula>AND(AJ144&gt;=70010,AJ144&lt;=76000)</formula>
    </cfRule>
    <cfRule type="expression" dxfId="31900" priority="4005">
      <formula>AND(AJ144&gt;70000,AJ144&lt;70004)</formula>
    </cfRule>
    <cfRule type="expression" dxfId="31899" priority="4006" stopIfTrue="1">
      <formula>OR(AND(AJ144&gt;=10000,AJ144&lt;=56999),AND(AJ144&gt;=57000,AJ144&lt;=57999))</formula>
    </cfRule>
    <cfRule type="expression" dxfId="31898" priority="4007" stopIfTrue="1">
      <formula>AND(AJ144&gt;=8000,AJ144&lt;=9999)</formula>
    </cfRule>
    <cfRule type="expression" dxfId="31897" priority="4008" stopIfTrue="1">
      <formula>AND(AJ144&gt;=78100,AJ144&lt;=78199)</formula>
    </cfRule>
    <cfRule type="expression" dxfId="31896" priority="4009" stopIfTrue="1">
      <formula>AND(AJ144&gt;=92000,AJ144&lt;=98999)</formula>
    </cfRule>
    <cfRule type="expression" dxfId="31895" priority="4010" stopIfTrue="1">
      <formula>AND(AJ144&gt;=78100,AJ144&lt;=78199)</formula>
    </cfRule>
    <cfRule type="expression" dxfId="31894" priority="4011" stopIfTrue="1">
      <formula>AND(AJ144&gt;=91000,AJ144&lt;=91999)</formula>
    </cfRule>
  </conditionalFormatting>
  <conditionalFormatting sqref="AM142:AM143">
    <cfRule type="expression" dxfId="31893" priority="3990">
      <formula>AND(AN142&gt;=79001,AN142&lt;79900)</formula>
    </cfRule>
    <cfRule type="expression" dxfId="31892" priority="3991" stopIfTrue="1">
      <formula>AND(AN142&gt;=70101,AN142&lt;=70301)</formula>
    </cfRule>
    <cfRule type="expression" dxfId="31891" priority="3992" stopIfTrue="1">
      <formula>AND(AN142&gt;70000,AN142&lt;70004)</formula>
    </cfRule>
    <cfRule type="expression" dxfId="31890" priority="3993" stopIfTrue="1">
      <formula>AND(AN142&gt;=70010,AN142&lt;=76000)</formula>
    </cfRule>
    <cfRule type="expression" dxfId="31889" priority="3994">
      <formula>AND(AN142&gt;70000,AN142&lt;70004)</formula>
    </cfRule>
    <cfRule type="expression" dxfId="31888" priority="3995" stopIfTrue="1">
      <formula>OR(AND(AN142&gt;=10000,AN142&lt;=56999),AND(AN142&gt;=57000,AN142&lt;=57999))</formula>
    </cfRule>
    <cfRule type="expression" dxfId="31887" priority="3996" stopIfTrue="1">
      <formula>AND(AN142&gt;=8000,AN142&lt;=9999)</formula>
    </cfRule>
    <cfRule type="expression" dxfId="31886" priority="3997" stopIfTrue="1">
      <formula>AND(AN142&gt;=78100,AN142&lt;=78199)</formula>
    </cfRule>
    <cfRule type="expression" dxfId="31885" priority="3998" stopIfTrue="1">
      <formula>AND(AN142&gt;=92000,AN142&lt;=98999)</formula>
    </cfRule>
    <cfRule type="expression" dxfId="31884" priority="3999" stopIfTrue="1">
      <formula>AND(AN142&gt;=78100,AN142&lt;=78199)</formula>
    </cfRule>
    <cfRule type="expression" dxfId="31883" priority="4000" stopIfTrue="1">
      <formula>AND(AN142&gt;=91000,AN142&lt;=91999)</formula>
    </cfRule>
  </conditionalFormatting>
  <conditionalFormatting sqref="AM144">
    <cfRule type="expression" dxfId="31882" priority="3979">
      <formula>AND(AN144&gt;=79001,AN144&lt;79900)</formula>
    </cfRule>
    <cfRule type="expression" dxfId="31881" priority="3980" stopIfTrue="1">
      <formula>AND(AN144&gt;=70101,AN144&lt;=70301)</formula>
    </cfRule>
    <cfRule type="expression" dxfId="31880" priority="3981" stopIfTrue="1">
      <formula>AND(AN144&gt;70000,AN144&lt;70004)</formula>
    </cfRule>
    <cfRule type="expression" dxfId="31879" priority="3982" stopIfTrue="1">
      <formula>AND(AN144&gt;=70010,AN144&lt;=76000)</formula>
    </cfRule>
    <cfRule type="expression" dxfId="31878" priority="3983">
      <formula>AND(AN144&gt;70000,AN144&lt;70004)</formula>
    </cfRule>
    <cfRule type="expression" dxfId="31877" priority="3984" stopIfTrue="1">
      <formula>OR(AND(AN144&gt;=10000,AN144&lt;=56999),AND(AN144&gt;=57000,AN144&lt;=57999))</formula>
    </cfRule>
    <cfRule type="expression" dxfId="31876" priority="3985" stopIfTrue="1">
      <formula>AND(AN144&gt;=8000,AN144&lt;=9999)</formula>
    </cfRule>
    <cfRule type="expression" dxfId="31875" priority="3986" stopIfTrue="1">
      <formula>AND(AN144&gt;=78100,AN144&lt;=78199)</formula>
    </cfRule>
    <cfRule type="expression" dxfId="31874" priority="3987" stopIfTrue="1">
      <formula>AND(AN144&gt;=92000,AN144&lt;=98999)</formula>
    </cfRule>
    <cfRule type="expression" dxfId="31873" priority="3988" stopIfTrue="1">
      <formula>AND(AN144&gt;=78100,AN144&lt;=78199)</formula>
    </cfRule>
    <cfRule type="expression" dxfId="31872" priority="3989" stopIfTrue="1">
      <formula>AND(AN144&gt;=91000,AN144&lt;=91999)</formula>
    </cfRule>
  </conditionalFormatting>
  <conditionalFormatting sqref="AQ142:AQ143">
    <cfRule type="expression" dxfId="31871" priority="3968">
      <formula>AND(AR142&gt;=79001,AR142&lt;79900)</formula>
    </cfRule>
    <cfRule type="expression" dxfId="31870" priority="3969" stopIfTrue="1">
      <formula>AND(AR142&gt;=70101,AR142&lt;=70301)</formula>
    </cfRule>
    <cfRule type="expression" dxfId="31869" priority="3970" stopIfTrue="1">
      <formula>AND(AR142&gt;70000,AR142&lt;70004)</formula>
    </cfRule>
    <cfRule type="expression" dxfId="31868" priority="3971" stopIfTrue="1">
      <formula>AND(AR142&gt;=70010,AR142&lt;=76000)</formula>
    </cfRule>
    <cfRule type="expression" dxfId="31867" priority="3972">
      <formula>AND(AR142&gt;70000,AR142&lt;70004)</formula>
    </cfRule>
    <cfRule type="expression" dxfId="31866" priority="3973" stopIfTrue="1">
      <formula>OR(AND(AR142&gt;=10000,AR142&lt;=56999),AND(AR142&gt;=57000,AR142&lt;=57999))</formula>
    </cfRule>
    <cfRule type="expression" dxfId="31865" priority="3974" stopIfTrue="1">
      <formula>AND(AR142&gt;=8000,AR142&lt;=9999)</formula>
    </cfRule>
    <cfRule type="expression" dxfId="31864" priority="3975" stopIfTrue="1">
      <formula>AND(AR142&gt;=78100,AR142&lt;=78199)</formula>
    </cfRule>
    <cfRule type="expression" dxfId="31863" priority="3976" stopIfTrue="1">
      <formula>AND(AR142&gt;=92000,AR142&lt;=98999)</formula>
    </cfRule>
    <cfRule type="expression" dxfId="31862" priority="3977" stopIfTrue="1">
      <formula>AND(AR142&gt;=78100,AR142&lt;=78199)</formula>
    </cfRule>
    <cfRule type="expression" dxfId="31861" priority="3978" stopIfTrue="1">
      <formula>AND(AR142&gt;=91000,AR142&lt;=91999)</formula>
    </cfRule>
  </conditionalFormatting>
  <conditionalFormatting sqref="AQ144">
    <cfRule type="expression" dxfId="31860" priority="3957">
      <formula>AND(AR144&gt;=79001,AR144&lt;79900)</formula>
    </cfRule>
    <cfRule type="expression" dxfId="31859" priority="3958" stopIfTrue="1">
      <formula>AND(AR144&gt;=70101,AR144&lt;=70301)</formula>
    </cfRule>
    <cfRule type="expression" dxfId="31858" priority="3959" stopIfTrue="1">
      <formula>AND(AR144&gt;70000,AR144&lt;70004)</formula>
    </cfRule>
    <cfRule type="expression" dxfId="31857" priority="3960" stopIfTrue="1">
      <formula>AND(AR144&gt;=70010,AR144&lt;=76000)</formula>
    </cfRule>
    <cfRule type="expression" dxfId="31856" priority="3961">
      <formula>AND(AR144&gt;70000,AR144&lt;70004)</formula>
    </cfRule>
    <cfRule type="expression" dxfId="31855" priority="3962" stopIfTrue="1">
      <formula>OR(AND(AR144&gt;=10000,AR144&lt;=56999),AND(AR144&gt;=57000,AR144&lt;=57999))</formula>
    </cfRule>
    <cfRule type="expression" dxfId="31854" priority="3963" stopIfTrue="1">
      <formula>AND(AR144&gt;=8000,AR144&lt;=9999)</formula>
    </cfRule>
    <cfRule type="expression" dxfId="31853" priority="3964" stopIfTrue="1">
      <formula>AND(AR144&gt;=78100,AR144&lt;=78199)</formula>
    </cfRule>
    <cfRule type="expression" dxfId="31852" priority="3965" stopIfTrue="1">
      <formula>AND(AR144&gt;=92000,AR144&lt;=98999)</formula>
    </cfRule>
    <cfRule type="expression" dxfId="31851" priority="3966" stopIfTrue="1">
      <formula>AND(AR144&gt;=78100,AR144&lt;=78199)</formula>
    </cfRule>
    <cfRule type="expression" dxfId="31850" priority="3967" stopIfTrue="1">
      <formula>AND(AR144&gt;=91000,AR144&lt;=91999)</formula>
    </cfRule>
  </conditionalFormatting>
  <conditionalFormatting sqref="AU142:AU143">
    <cfRule type="expression" dxfId="31849" priority="3946">
      <formula>AND(AV142&gt;=79001,AV142&lt;79900)</formula>
    </cfRule>
    <cfRule type="expression" dxfId="31848" priority="3947" stopIfTrue="1">
      <formula>AND(AV142&gt;=70101,AV142&lt;=70301)</formula>
    </cfRule>
    <cfRule type="expression" dxfId="31847" priority="3948" stopIfTrue="1">
      <formula>AND(AV142&gt;70000,AV142&lt;70004)</formula>
    </cfRule>
    <cfRule type="expression" dxfId="31846" priority="3949" stopIfTrue="1">
      <formula>AND(AV142&gt;=70010,AV142&lt;=76000)</formula>
    </cfRule>
    <cfRule type="expression" dxfId="31845" priority="3950">
      <formula>AND(AV142&gt;70000,AV142&lt;70004)</formula>
    </cfRule>
    <cfRule type="expression" dxfId="31844" priority="3951" stopIfTrue="1">
      <formula>OR(AND(AV142&gt;=10000,AV142&lt;=56999),AND(AV142&gt;=57000,AV142&lt;=57999))</formula>
    </cfRule>
    <cfRule type="expression" dxfId="31843" priority="3952" stopIfTrue="1">
      <formula>AND(AV142&gt;=8000,AV142&lt;=9999)</formula>
    </cfRule>
    <cfRule type="expression" dxfId="31842" priority="3953" stopIfTrue="1">
      <formula>AND(AV142&gt;=78100,AV142&lt;=78199)</formula>
    </cfRule>
    <cfRule type="expression" dxfId="31841" priority="3954" stopIfTrue="1">
      <formula>AND(AV142&gt;=92000,AV142&lt;=98999)</formula>
    </cfRule>
    <cfRule type="expression" dxfId="31840" priority="3955" stopIfTrue="1">
      <formula>AND(AV142&gt;=78100,AV142&lt;=78199)</formula>
    </cfRule>
    <cfRule type="expression" dxfId="31839" priority="3956" stopIfTrue="1">
      <formula>AND(AV142&gt;=91000,AV142&lt;=91999)</formula>
    </cfRule>
  </conditionalFormatting>
  <conditionalFormatting sqref="AU144">
    <cfRule type="expression" dxfId="31838" priority="3935">
      <formula>AND(AV144&gt;=79001,AV144&lt;79900)</formula>
    </cfRule>
    <cfRule type="expression" dxfId="31837" priority="3936" stopIfTrue="1">
      <formula>AND(AV144&gt;=70101,AV144&lt;=70301)</formula>
    </cfRule>
    <cfRule type="expression" dxfId="31836" priority="3937" stopIfTrue="1">
      <formula>AND(AV144&gt;70000,AV144&lt;70004)</formula>
    </cfRule>
    <cfRule type="expression" dxfId="31835" priority="3938" stopIfTrue="1">
      <formula>AND(AV144&gt;=70010,AV144&lt;=76000)</formula>
    </cfRule>
    <cfRule type="expression" dxfId="31834" priority="3939">
      <formula>AND(AV144&gt;70000,AV144&lt;70004)</formula>
    </cfRule>
    <cfRule type="expression" dxfId="31833" priority="3940" stopIfTrue="1">
      <formula>OR(AND(AV144&gt;=10000,AV144&lt;=56999),AND(AV144&gt;=57000,AV144&lt;=57999))</formula>
    </cfRule>
    <cfRule type="expression" dxfId="31832" priority="3941" stopIfTrue="1">
      <formula>AND(AV144&gt;=8000,AV144&lt;=9999)</formula>
    </cfRule>
    <cfRule type="expression" dxfId="31831" priority="3942" stopIfTrue="1">
      <formula>AND(AV144&gt;=78100,AV144&lt;=78199)</formula>
    </cfRule>
    <cfRule type="expression" dxfId="31830" priority="3943" stopIfTrue="1">
      <formula>AND(AV144&gt;=92000,AV144&lt;=98999)</formula>
    </cfRule>
    <cfRule type="expression" dxfId="31829" priority="3944" stopIfTrue="1">
      <formula>AND(AV144&gt;=78100,AV144&lt;=78199)</formula>
    </cfRule>
    <cfRule type="expression" dxfId="31828" priority="3945" stopIfTrue="1">
      <formula>AND(AV144&gt;=91000,AV144&lt;=91999)</formula>
    </cfRule>
  </conditionalFormatting>
  <conditionalFormatting sqref="AY142:AY143">
    <cfRule type="expression" dxfId="31827" priority="3924">
      <formula>AND(AZ142&gt;=79001,AZ142&lt;79900)</formula>
    </cfRule>
    <cfRule type="expression" dxfId="31826" priority="3925" stopIfTrue="1">
      <formula>AND(AZ142&gt;=70101,AZ142&lt;=70301)</formula>
    </cfRule>
    <cfRule type="expression" dxfId="31825" priority="3926" stopIfTrue="1">
      <formula>AND(AZ142&gt;70000,AZ142&lt;70004)</formula>
    </cfRule>
    <cfRule type="expression" dxfId="31824" priority="3927" stopIfTrue="1">
      <formula>AND(AZ142&gt;=70010,AZ142&lt;=76000)</formula>
    </cfRule>
    <cfRule type="expression" dxfId="31823" priority="3928">
      <formula>AND(AZ142&gt;70000,AZ142&lt;70004)</formula>
    </cfRule>
    <cfRule type="expression" dxfId="31822" priority="3929" stopIfTrue="1">
      <formula>OR(AND(AZ142&gt;=10000,AZ142&lt;=56999),AND(AZ142&gt;=57000,AZ142&lt;=57999))</formula>
    </cfRule>
    <cfRule type="expression" dxfId="31821" priority="3930" stopIfTrue="1">
      <formula>AND(AZ142&gt;=8000,AZ142&lt;=9999)</formula>
    </cfRule>
    <cfRule type="expression" dxfId="31820" priority="3931" stopIfTrue="1">
      <formula>AND(AZ142&gt;=78100,AZ142&lt;=78199)</formula>
    </cfRule>
    <cfRule type="expression" dxfId="31819" priority="3932" stopIfTrue="1">
      <formula>AND(AZ142&gt;=92000,AZ142&lt;=98999)</formula>
    </cfRule>
    <cfRule type="expression" dxfId="31818" priority="3933" stopIfTrue="1">
      <formula>AND(AZ142&gt;=78100,AZ142&lt;=78199)</formula>
    </cfRule>
    <cfRule type="expression" dxfId="31817" priority="3934" stopIfTrue="1">
      <formula>AND(AZ142&gt;=91000,AZ142&lt;=91999)</formula>
    </cfRule>
  </conditionalFormatting>
  <conditionalFormatting sqref="AY144">
    <cfRule type="expression" dxfId="31816" priority="3913">
      <formula>AND(AZ144&gt;=79001,AZ144&lt;79900)</formula>
    </cfRule>
    <cfRule type="expression" dxfId="31815" priority="3914" stopIfTrue="1">
      <formula>AND(AZ144&gt;=70101,AZ144&lt;=70301)</formula>
    </cfRule>
    <cfRule type="expression" dxfId="31814" priority="3915" stopIfTrue="1">
      <formula>AND(AZ144&gt;70000,AZ144&lt;70004)</formula>
    </cfRule>
    <cfRule type="expression" dxfId="31813" priority="3916" stopIfTrue="1">
      <formula>AND(AZ144&gt;=70010,AZ144&lt;=76000)</formula>
    </cfRule>
    <cfRule type="expression" dxfId="31812" priority="3917">
      <formula>AND(AZ144&gt;70000,AZ144&lt;70004)</formula>
    </cfRule>
    <cfRule type="expression" dxfId="31811" priority="3918" stopIfTrue="1">
      <formula>OR(AND(AZ144&gt;=10000,AZ144&lt;=56999),AND(AZ144&gt;=57000,AZ144&lt;=57999))</formula>
    </cfRule>
    <cfRule type="expression" dxfId="31810" priority="3919" stopIfTrue="1">
      <formula>AND(AZ144&gt;=8000,AZ144&lt;=9999)</formula>
    </cfRule>
    <cfRule type="expression" dxfId="31809" priority="3920" stopIfTrue="1">
      <formula>AND(AZ144&gt;=78100,AZ144&lt;=78199)</formula>
    </cfRule>
    <cfRule type="expression" dxfId="31808" priority="3921" stopIfTrue="1">
      <formula>AND(AZ144&gt;=92000,AZ144&lt;=98999)</formula>
    </cfRule>
    <cfRule type="expression" dxfId="31807" priority="3922" stopIfTrue="1">
      <formula>AND(AZ144&gt;=78100,AZ144&lt;=78199)</formula>
    </cfRule>
    <cfRule type="expression" dxfId="31806" priority="3923" stopIfTrue="1">
      <formula>AND(AZ144&gt;=91000,AZ144&lt;=91999)</formula>
    </cfRule>
  </conditionalFormatting>
  <conditionalFormatting sqref="BC142:BC143">
    <cfRule type="expression" dxfId="31805" priority="3902">
      <formula>AND(BD142&gt;=79001,BD142&lt;79900)</formula>
    </cfRule>
    <cfRule type="expression" dxfId="31804" priority="3903" stopIfTrue="1">
      <formula>AND(BD142&gt;=70101,BD142&lt;=70301)</formula>
    </cfRule>
    <cfRule type="expression" dxfId="31803" priority="3904" stopIfTrue="1">
      <formula>AND(BD142&gt;70000,BD142&lt;70004)</formula>
    </cfRule>
    <cfRule type="expression" dxfId="31802" priority="3905" stopIfTrue="1">
      <formula>AND(BD142&gt;=70010,BD142&lt;=76000)</formula>
    </cfRule>
    <cfRule type="expression" dxfId="31801" priority="3906">
      <formula>AND(BD142&gt;70000,BD142&lt;70004)</formula>
    </cfRule>
    <cfRule type="expression" dxfId="31800" priority="3907" stopIfTrue="1">
      <formula>OR(AND(BD142&gt;=10000,BD142&lt;=56999),AND(BD142&gt;=57000,BD142&lt;=57999))</formula>
    </cfRule>
    <cfRule type="expression" dxfId="31799" priority="3908" stopIfTrue="1">
      <formula>AND(BD142&gt;=8000,BD142&lt;=9999)</formula>
    </cfRule>
    <cfRule type="expression" dxfId="31798" priority="3909" stopIfTrue="1">
      <formula>AND(BD142&gt;=78100,BD142&lt;=78199)</formula>
    </cfRule>
    <cfRule type="expression" dxfId="31797" priority="3910" stopIfTrue="1">
      <formula>AND(BD142&gt;=92000,BD142&lt;=98999)</formula>
    </cfRule>
    <cfRule type="expression" dxfId="31796" priority="3911" stopIfTrue="1">
      <formula>AND(BD142&gt;=78100,BD142&lt;=78199)</formula>
    </cfRule>
    <cfRule type="expression" dxfId="31795" priority="3912" stopIfTrue="1">
      <formula>AND(BD142&gt;=91000,BD142&lt;=91999)</formula>
    </cfRule>
  </conditionalFormatting>
  <conditionalFormatting sqref="BC144">
    <cfRule type="expression" dxfId="31794" priority="3891">
      <formula>AND(BD144&gt;=79001,BD144&lt;79900)</formula>
    </cfRule>
    <cfRule type="expression" dxfId="31793" priority="3892" stopIfTrue="1">
      <formula>AND(BD144&gt;=70101,BD144&lt;=70301)</formula>
    </cfRule>
    <cfRule type="expression" dxfId="31792" priority="3893" stopIfTrue="1">
      <formula>AND(BD144&gt;70000,BD144&lt;70004)</formula>
    </cfRule>
    <cfRule type="expression" dxfId="31791" priority="3894" stopIfTrue="1">
      <formula>AND(BD144&gt;=70010,BD144&lt;=76000)</formula>
    </cfRule>
    <cfRule type="expression" dxfId="31790" priority="3895">
      <formula>AND(BD144&gt;70000,BD144&lt;70004)</formula>
    </cfRule>
    <cfRule type="expression" dxfId="31789" priority="3896" stopIfTrue="1">
      <formula>OR(AND(BD144&gt;=10000,BD144&lt;=56999),AND(BD144&gt;=57000,BD144&lt;=57999))</formula>
    </cfRule>
    <cfRule type="expression" dxfId="31788" priority="3897" stopIfTrue="1">
      <formula>AND(BD144&gt;=8000,BD144&lt;=9999)</formula>
    </cfRule>
    <cfRule type="expression" dxfId="31787" priority="3898" stopIfTrue="1">
      <formula>AND(BD144&gt;=78100,BD144&lt;=78199)</formula>
    </cfRule>
    <cfRule type="expression" dxfId="31786" priority="3899" stopIfTrue="1">
      <formula>AND(BD144&gt;=92000,BD144&lt;=98999)</formula>
    </cfRule>
    <cfRule type="expression" dxfId="31785" priority="3900" stopIfTrue="1">
      <formula>AND(BD144&gt;=78100,BD144&lt;=78199)</formula>
    </cfRule>
    <cfRule type="expression" dxfId="31784" priority="3901" stopIfTrue="1">
      <formula>AND(BD144&gt;=91000,BD144&lt;=91999)</formula>
    </cfRule>
  </conditionalFormatting>
  <conditionalFormatting sqref="BG142:BG143">
    <cfRule type="expression" dxfId="31783" priority="3880">
      <formula>AND(BH142&gt;=79001,BH142&lt;79900)</formula>
    </cfRule>
    <cfRule type="expression" dxfId="31782" priority="3881" stopIfTrue="1">
      <formula>AND(BH142&gt;=70101,BH142&lt;=70301)</formula>
    </cfRule>
    <cfRule type="expression" dxfId="31781" priority="3882" stopIfTrue="1">
      <formula>AND(BH142&gt;70000,BH142&lt;70004)</formula>
    </cfRule>
    <cfRule type="expression" dxfId="31780" priority="3883" stopIfTrue="1">
      <formula>AND(BH142&gt;=70010,BH142&lt;=76000)</formula>
    </cfRule>
    <cfRule type="expression" dxfId="31779" priority="3884">
      <formula>AND(BH142&gt;70000,BH142&lt;70004)</formula>
    </cfRule>
    <cfRule type="expression" dxfId="31778" priority="3885" stopIfTrue="1">
      <formula>OR(AND(BH142&gt;=10000,BH142&lt;=56999),AND(BH142&gt;=57000,BH142&lt;=57999))</formula>
    </cfRule>
    <cfRule type="expression" dxfId="31777" priority="3886" stopIfTrue="1">
      <formula>AND(BH142&gt;=8000,BH142&lt;=9999)</formula>
    </cfRule>
    <cfRule type="expression" dxfId="31776" priority="3887" stopIfTrue="1">
      <formula>AND(BH142&gt;=78100,BH142&lt;=78199)</formula>
    </cfRule>
    <cfRule type="expression" dxfId="31775" priority="3888" stopIfTrue="1">
      <formula>AND(BH142&gt;=92000,BH142&lt;=98999)</formula>
    </cfRule>
    <cfRule type="expression" dxfId="31774" priority="3889" stopIfTrue="1">
      <formula>AND(BH142&gt;=78100,BH142&lt;=78199)</formula>
    </cfRule>
    <cfRule type="expression" dxfId="31773" priority="3890" stopIfTrue="1">
      <formula>AND(BH142&gt;=91000,BH142&lt;=91999)</formula>
    </cfRule>
  </conditionalFormatting>
  <conditionalFormatting sqref="BG144">
    <cfRule type="expression" dxfId="31772" priority="3869">
      <formula>AND(BH144&gt;=79001,BH144&lt;79900)</formula>
    </cfRule>
    <cfRule type="expression" dxfId="31771" priority="3870" stopIfTrue="1">
      <formula>AND(BH144&gt;=70101,BH144&lt;=70301)</formula>
    </cfRule>
    <cfRule type="expression" dxfId="31770" priority="3871" stopIfTrue="1">
      <formula>AND(BH144&gt;70000,BH144&lt;70004)</formula>
    </cfRule>
    <cfRule type="expression" dxfId="31769" priority="3872" stopIfTrue="1">
      <formula>AND(BH144&gt;=70010,BH144&lt;=76000)</formula>
    </cfRule>
    <cfRule type="expression" dxfId="31768" priority="3873">
      <formula>AND(BH144&gt;70000,BH144&lt;70004)</formula>
    </cfRule>
    <cfRule type="expression" dxfId="31767" priority="3874" stopIfTrue="1">
      <formula>OR(AND(BH144&gt;=10000,BH144&lt;=56999),AND(BH144&gt;=57000,BH144&lt;=57999))</formula>
    </cfRule>
    <cfRule type="expression" dxfId="31766" priority="3875" stopIfTrue="1">
      <formula>AND(BH144&gt;=8000,BH144&lt;=9999)</formula>
    </cfRule>
    <cfRule type="expression" dxfId="31765" priority="3876" stopIfTrue="1">
      <formula>AND(BH144&gt;=78100,BH144&lt;=78199)</formula>
    </cfRule>
    <cfRule type="expression" dxfId="31764" priority="3877" stopIfTrue="1">
      <formula>AND(BH144&gt;=92000,BH144&lt;=98999)</formula>
    </cfRule>
    <cfRule type="expression" dxfId="31763" priority="3878" stopIfTrue="1">
      <formula>AND(BH144&gt;=78100,BH144&lt;=78199)</formula>
    </cfRule>
    <cfRule type="expression" dxfId="31762" priority="3879" stopIfTrue="1">
      <formula>AND(BH144&gt;=91000,BH144&lt;=91999)</formula>
    </cfRule>
  </conditionalFormatting>
  <conditionalFormatting sqref="BK142:BK143">
    <cfRule type="expression" dxfId="31761" priority="3858">
      <formula>AND(BL142&gt;=79001,BL142&lt;79900)</formula>
    </cfRule>
    <cfRule type="expression" dxfId="31760" priority="3859" stopIfTrue="1">
      <formula>AND(BL142&gt;=70101,BL142&lt;=70301)</formula>
    </cfRule>
    <cfRule type="expression" dxfId="31759" priority="3860" stopIfTrue="1">
      <formula>AND(BL142&gt;70000,BL142&lt;70004)</formula>
    </cfRule>
    <cfRule type="expression" dxfId="31758" priority="3861" stopIfTrue="1">
      <formula>AND(BL142&gt;=70010,BL142&lt;=76000)</formula>
    </cfRule>
    <cfRule type="expression" dxfId="31757" priority="3862">
      <formula>AND(BL142&gt;70000,BL142&lt;70004)</formula>
    </cfRule>
    <cfRule type="expression" dxfId="31756" priority="3863" stopIfTrue="1">
      <formula>OR(AND(BL142&gt;=10000,BL142&lt;=56999),AND(BL142&gt;=57000,BL142&lt;=57999))</formula>
    </cfRule>
    <cfRule type="expression" dxfId="31755" priority="3864" stopIfTrue="1">
      <formula>AND(BL142&gt;=8000,BL142&lt;=9999)</formula>
    </cfRule>
    <cfRule type="expression" dxfId="31754" priority="3865" stopIfTrue="1">
      <formula>AND(BL142&gt;=78100,BL142&lt;=78199)</formula>
    </cfRule>
    <cfRule type="expression" dxfId="31753" priority="3866" stopIfTrue="1">
      <formula>AND(BL142&gt;=92000,BL142&lt;=98999)</formula>
    </cfRule>
    <cfRule type="expression" dxfId="31752" priority="3867" stopIfTrue="1">
      <formula>AND(BL142&gt;=78100,BL142&lt;=78199)</formula>
    </cfRule>
    <cfRule type="expression" dxfId="31751" priority="3868" stopIfTrue="1">
      <formula>AND(BL142&gt;=91000,BL142&lt;=91999)</formula>
    </cfRule>
  </conditionalFormatting>
  <conditionalFormatting sqref="BK144">
    <cfRule type="expression" dxfId="31750" priority="3847">
      <formula>AND(BL144&gt;=79001,BL144&lt;79900)</formula>
    </cfRule>
    <cfRule type="expression" dxfId="31749" priority="3848" stopIfTrue="1">
      <formula>AND(BL144&gt;=70101,BL144&lt;=70301)</formula>
    </cfRule>
    <cfRule type="expression" dxfId="31748" priority="3849" stopIfTrue="1">
      <formula>AND(BL144&gt;70000,BL144&lt;70004)</formula>
    </cfRule>
    <cfRule type="expression" dxfId="31747" priority="3850" stopIfTrue="1">
      <formula>AND(BL144&gt;=70010,BL144&lt;=76000)</formula>
    </cfRule>
    <cfRule type="expression" dxfId="31746" priority="3851">
      <formula>AND(BL144&gt;70000,BL144&lt;70004)</formula>
    </cfRule>
    <cfRule type="expression" dxfId="31745" priority="3852" stopIfTrue="1">
      <formula>OR(AND(BL144&gt;=10000,BL144&lt;=56999),AND(BL144&gt;=57000,BL144&lt;=57999))</formula>
    </cfRule>
    <cfRule type="expression" dxfId="31744" priority="3853" stopIfTrue="1">
      <formula>AND(BL144&gt;=8000,BL144&lt;=9999)</formula>
    </cfRule>
    <cfRule type="expression" dxfId="31743" priority="3854" stopIfTrue="1">
      <formula>AND(BL144&gt;=78100,BL144&lt;=78199)</formula>
    </cfRule>
    <cfRule type="expression" dxfId="31742" priority="3855" stopIfTrue="1">
      <formula>AND(BL144&gt;=92000,BL144&lt;=98999)</formula>
    </cfRule>
    <cfRule type="expression" dxfId="31741" priority="3856" stopIfTrue="1">
      <formula>AND(BL144&gt;=78100,BL144&lt;=78199)</formula>
    </cfRule>
    <cfRule type="expression" dxfId="31740" priority="3857" stopIfTrue="1">
      <formula>AND(BL144&gt;=91000,BL144&lt;=91999)</formula>
    </cfRule>
  </conditionalFormatting>
  <conditionalFormatting sqref="G142:G143">
    <cfRule type="expression" dxfId="31739" priority="3836">
      <formula>AND(H142&gt;=79001,H142&lt;79900)</formula>
    </cfRule>
    <cfRule type="expression" dxfId="31738" priority="3837" stopIfTrue="1">
      <formula>AND(H142&gt;=70101,H142&lt;=70301)</formula>
    </cfRule>
    <cfRule type="expression" dxfId="31737" priority="3838" stopIfTrue="1">
      <formula>AND(H142&gt;70000,H142&lt;70004)</formula>
    </cfRule>
    <cfRule type="expression" dxfId="31736" priority="3839" stopIfTrue="1">
      <formula>AND(H142&gt;=70010,H142&lt;=76000)</formula>
    </cfRule>
    <cfRule type="expression" dxfId="31735" priority="3840">
      <formula>AND(H142&gt;70000,H142&lt;70004)</formula>
    </cfRule>
    <cfRule type="expression" dxfId="31734" priority="3841" stopIfTrue="1">
      <formula>OR(AND(H142&gt;=10000,H142&lt;=56999),AND(H142&gt;=57000,H142&lt;=57999))</formula>
    </cfRule>
    <cfRule type="expression" dxfId="31733" priority="3842" stopIfTrue="1">
      <formula>AND(H142&gt;=8000,H142&lt;=9999)</formula>
    </cfRule>
    <cfRule type="expression" dxfId="31732" priority="3843" stopIfTrue="1">
      <formula>AND(H142&gt;=78100,H142&lt;=78199)</formula>
    </cfRule>
    <cfRule type="expression" dxfId="31731" priority="3844" stopIfTrue="1">
      <formula>AND(H142&gt;=92000,H142&lt;=98999)</formula>
    </cfRule>
    <cfRule type="expression" dxfId="31730" priority="3845" stopIfTrue="1">
      <formula>AND(H142&gt;=78100,H142&lt;=78199)</formula>
    </cfRule>
    <cfRule type="expression" dxfId="31729" priority="3846" stopIfTrue="1">
      <formula>AND(H142&gt;=91000,H142&lt;=91999)</formula>
    </cfRule>
  </conditionalFormatting>
  <conditionalFormatting sqref="G144">
    <cfRule type="expression" dxfId="31728" priority="3825">
      <formula>AND(H144&gt;=79001,H144&lt;79900)</formula>
    </cfRule>
    <cfRule type="expression" dxfId="31727" priority="3826" stopIfTrue="1">
      <formula>AND(H144&gt;=70101,H144&lt;=70301)</formula>
    </cfRule>
    <cfRule type="expression" dxfId="31726" priority="3827" stopIfTrue="1">
      <formula>AND(H144&gt;70000,H144&lt;70004)</formula>
    </cfRule>
    <cfRule type="expression" dxfId="31725" priority="3828" stopIfTrue="1">
      <formula>AND(H144&gt;=70010,H144&lt;=76000)</formula>
    </cfRule>
    <cfRule type="expression" dxfId="31724" priority="3829">
      <formula>AND(H144&gt;70000,H144&lt;70004)</formula>
    </cfRule>
    <cfRule type="expression" dxfId="31723" priority="3830" stopIfTrue="1">
      <formula>OR(AND(H144&gt;=10000,H144&lt;=56999),AND(H144&gt;=57000,H144&lt;=57999))</formula>
    </cfRule>
    <cfRule type="expression" dxfId="31722" priority="3831" stopIfTrue="1">
      <formula>AND(H144&gt;=8000,H144&lt;=9999)</formula>
    </cfRule>
    <cfRule type="expression" dxfId="31721" priority="3832" stopIfTrue="1">
      <formula>AND(H144&gt;=78100,H144&lt;=78199)</formula>
    </cfRule>
    <cfRule type="expression" dxfId="31720" priority="3833" stopIfTrue="1">
      <formula>AND(H144&gt;=92000,H144&lt;=98999)</formula>
    </cfRule>
    <cfRule type="expression" dxfId="31719" priority="3834" stopIfTrue="1">
      <formula>AND(H144&gt;=78100,H144&lt;=78199)</formula>
    </cfRule>
    <cfRule type="expression" dxfId="31718" priority="3835" stopIfTrue="1">
      <formula>AND(H144&gt;=91000,H144&lt;=91999)</formula>
    </cfRule>
  </conditionalFormatting>
  <conditionalFormatting sqref="K142:K143">
    <cfRule type="expression" dxfId="31717" priority="3814">
      <formula>AND(L142&gt;=79001,L142&lt;79900)</formula>
    </cfRule>
    <cfRule type="expression" dxfId="31716" priority="3815" stopIfTrue="1">
      <formula>AND(L142&gt;=70101,L142&lt;=70301)</formula>
    </cfRule>
    <cfRule type="expression" dxfId="31715" priority="3816" stopIfTrue="1">
      <formula>AND(L142&gt;70000,L142&lt;70004)</formula>
    </cfRule>
    <cfRule type="expression" dxfId="31714" priority="3817" stopIfTrue="1">
      <formula>AND(L142&gt;=70010,L142&lt;=76000)</formula>
    </cfRule>
    <cfRule type="expression" dxfId="31713" priority="3818">
      <formula>AND(L142&gt;70000,L142&lt;70004)</formula>
    </cfRule>
    <cfRule type="expression" dxfId="31712" priority="3819" stopIfTrue="1">
      <formula>OR(AND(L142&gt;=10000,L142&lt;=56999),AND(L142&gt;=57000,L142&lt;=57999))</formula>
    </cfRule>
    <cfRule type="expression" dxfId="31711" priority="3820" stopIfTrue="1">
      <formula>AND(L142&gt;=8000,L142&lt;=9999)</formula>
    </cfRule>
    <cfRule type="expression" dxfId="31710" priority="3821" stopIfTrue="1">
      <formula>AND(L142&gt;=78100,L142&lt;=78199)</formula>
    </cfRule>
    <cfRule type="expression" dxfId="31709" priority="3822" stopIfTrue="1">
      <formula>AND(L142&gt;=92000,L142&lt;=98999)</formula>
    </cfRule>
    <cfRule type="expression" dxfId="31708" priority="3823" stopIfTrue="1">
      <formula>AND(L142&gt;=78100,L142&lt;=78199)</formula>
    </cfRule>
    <cfRule type="expression" dxfId="31707" priority="3824" stopIfTrue="1">
      <formula>AND(L142&gt;=91000,L142&lt;=91999)</formula>
    </cfRule>
  </conditionalFormatting>
  <conditionalFormatting sqref="K144">
    <cfRule type="expression" dxfId="31706" priority="3803">
      <formula>AND(L144&gt;=79001,L144&lt;79900)</formula>
    </cfRule>
    <cfRule type="expression" dxfId="31705" priority="3804" stopIfTrue="1">
      <formula>AND(L144&gt;=70101,L144&lt;=70301)</formula>
    </cfRule>
    <cfRule type="expression" dxfId="31704" priority="3805" stopIfTrue="1">
      <formula>AND(L144&gt;70000,L144&lt;70004)</formula>
    </cfRule>
    <cfRule type="expression" dxfId="31703" priority="3806" stopIfTrue="1">
      <formula>AND(L144&gt;=70010,L144&lt;=76000)</formula>
    </cfRule>
    <cfRule type="expression" dxfId="31702" priority="3807">
      <formula>AND(L144&gt;70000,L144&lt;70004)</formula>
    </cfRule>
    <cfRule type="expression" dxfId="31701" priority="3808" stopIfTrue="1">
      <formula>OR(AND(L144&gt;=10000,L144&lt;=56999),AND(L144&gt;=57000,L144&lt;=57999))</formula>
    </cfRule>
    <cfRule type="expression" dxfId="31700" priority="3809" stopIfTrue="1">
      <formula>AND(L144&gt;=8000,L144&lt;=9999)</formula>
    </cfRule>
    <cfRule type="expression" dxfId="31699" priority="3810" stopIfTrue="1">
      <formula>AND(L144&gt;=78100,L144&lt;=78199)</formula>
    </cfRule>
    <cfRule type="expression" dxfId="31698" priority="3811" stopIfTrue="1">
      <formula>AND(L144&gt;=92000,L144&lt;=98999)</formula>
    </cfRule>
    <cfRule type="expression" dxfId="31697" priority="3812" stopIfTrue="1">
      <formula>AND(L144&gt;=78100,L144&lt;=78199)</formula>
    </cfRule>
    <cfRule type="expression" dxfId="31696" priority="3813" stopIfTrue="1">
      <formula>AND(L144&gt;=91000,L144&lt;=91999)</formula>
    </cfRule>
  </conditionalFormatting>
  <conditionalFormatting sqref="O142:O143">
    <cfRule type="expression" dxfId="31695" priority="3792">
      <formula>AND(P142&gt;=79001,P142&lt;79900)</formula>
    </cfRule>
    <cfRule type="expression" dxfId="31694" priority="3793" stopIfTrue="1">
      <formula>AND(P142&gt;=70101,P142&lt;=70301)</formula>
    </cfRule>
    <cfRule type="expression" dxfId="31693" priority="3794" stopIfTrue="1">
      <formula>AND(P142&gt;70000,P142&lt;70004)</formula>
    </cfRule>
    <cfRule type="expression" dxfId="31692" priority="3795" stopIfTrue="1">
      <formula>AND(P142&gt;=70010,P142&lt;=76000)</formula>
    </cfRule>
    <cfRule type="expression" dxfId="31691" priority="3796">
      <formula>AND(P142&gt;70000,P142&lt;70004)</formula>
    </cfRule>
    <cfRule type="expression" dxfId="31690" priority="3797" stopIfTrue="1">
      <formula>OR(AND(P142&gt;=10000,P142&lt;=56999),AND(P142&gt;=57000,P142&lt;=57999))</formula>
    </cfRule>
    <cfRule type="expression" dxfId="31689" priority="3798" stopIfTrue="1">
      <formula>AND(P142&gt;=8000,P142&lt;=9999)</formula>
    </cfRule>
    <cfRule type="expression" dxfId="31688" priority="3799" stopIfTrue="1">
      <formula>AND(P142&gt;=78100,P142&lt;=78199)</formula>
    </cfRule>
    <cfRule type="expression" dxfId="31687" priority="3800" stopIfTrue="1">
      <formula>AND(P142&gt;=92000,P142&lt;=98999)</formula>
    </cfRule>
    <cfRule type="expression" dxfId="31686" priority="3801" stopIfTrue="1">
      <formula>AND(P142&gt;=78100,P142&lt;=78199)</formula>
    </cfRule>
    <cfRule type="expression" dxfId="31685" priority="3802" stopIfTrue="1">
      <formula>AND(P142&gt;=91000,P142&lt;=91999)</formula>
    </cfRule>
  </conditionalFormatting>
  <conditionalFormatting sqref="O144">
    <cfRule type="expression" dxfId="31684" priority="3781">
      <formula>AND(P144&gt;=79001,P144&lt;79900)</formula>
    </cfRule>
    <cfRule type="expression" dxfId="31683" priority="3782" stopIfTrue="1">
      <formula>AND(P144&gt;=70101,P144&lt;=70301)</formula>
    </cfRule>
    <cfRule type="expression" dxfId="31682" priority="3783" stopIfTrue="1">
      <formula>AND(P144&gt;70000,P144&lt;70004)</formula>
    </cfRule>
    <cfRule type="expression" dxfId="31681" priority="3784" stopIfTrue="1">
      <formula>AND(P144&gt;=70010,P144&lt;=76000)</formula>
    </cfRule>
    <cfRule type="expression" dxfId="31680" priority="3785">
      <formula>AND(P144&gt;70000,P144&lt;70004)</formula>
    </cfRule>
    <cfRule type="expression" dxfId="31679" priority="3786" stopIfTrue="1">
      <formula>OR(AND(P144&gt;=10000,P144&lt;=56999),AND(P144&gt;=57000,P144&lt;=57999))</formula>
    </cfRule>
    <cfRule type="expression" dxfId="31678" priority="3787" stopIfTrue="1">
      <formula>AND(P144&gt;=8000,P144&lt;=9999)</formula>
    </cfRule>
    <cfRule type="expression" dxfId="31677" priority="3788" stopIfTrue="1">
      <formula>AND(P144&gt;=78100,P144&lt;=78199)</formula>
    </cfRule>
    <cfRule type="expression" dxfId="31676" priority="3789" stopIfTrue="1">
      <formula>AND(P144&gt;=92000,P144&lt;=98999)</formula>
    </cfRule>
    <cfRule type="expression" dxfId="31675" priority="3790" stopIfTrue="1">
      <formula>AND(P144&gt;=78100,P144&lt;=78199)</formula>
    </cfRule>
    <cfRule type="expression" dxfId="31674" priority="3791" stopIfTrue="1">
      <formula>AND(P144&gt;=91000,P144&lt;=91999)</formula>
    </cfRule>
  </conditionalFormatting>
  <conditionalFormatting sqref="G144">
    <cfRule type="expression" dxfId="31673" priority="3770">
      <formula>AND(H144&gt;=79001,H144&lt;79900)</formula>
    </cfRule>
    <cfRule type="expression" dxfId="31672" priority="3771" stopIfTrue="1">
      <formula>AND(H144&gt;=70101,H144&lt;=70301)</formula>
    </cfRule>
    <cfRule type="expression" dxfId="31671" priority="3772" stopIfTrue="1">
      <formula>AND(H144&gt;70000,H144&lt;70004)</formula>
    </cfRule>
    <cfRule type="expression" dxfId="31670" priority="3773" stopIfTrue="1">
      <formula>AND(H144&gt;=70010,H144&lt;=76000)</formula>
    </cfRule>
    <cfRule type="expression" dxfId="31669" priority="3774">
      <formula>AND(H144&gt;70000,H144&lt;70004)</formula>
    </cfRule>
    <cfRule type="expression" dxfId="31668" priority="3775" stopIfTrue="1">
      <formula>OR(AND(H144&gt;=10000,H144&lt;=56999),AND(H144&gt;=57000,H144&lt;=57999))</formula>
    </cfRule>
    <cfRule type="expression" dxfId="31667" priority="3776" stopIfTrue="1">
      <formula>AND(H144&gt;=8000,H144&lt;=9999)</formula>
    </cfRule>
    <cfRule type="expression" dxfId="31666" priority="3777" stopIfTrue="1">
      <formula>AND(H144&gt;=78100,H144&lt;=78199)</formula>
    </cfRule>
    <cfRule type="expression" dxfId="31665" priority="3778" stopIfTrue="1">
      <formula>AND(H144&gt;=92000,H144&lt;=98999)</formula>
    </cfRule>
    <cfRule type="expression" dxfId="31664" priority="3779" stopIfTrue="1">
      <formula>AND(H144&gt;=78100,H144&lt;=78199)</formula>
    </cfRule>
    <cfRule type="expression" dxfId="31663" priority="3780" stopIfTrue="1">
      <formula>AND(H144&gt;=91000,H144&lt;=91999)</formula>
    </cfRule>
  </conditionalFormatting>
  <conditionalFormatting sqref="K144">
    <cfRule type="expression" dxfId="31662" priority="3759">
      <formula>AND(L144&gt;=79001,L144&lt;79900)</formula>
    </cfRule>
    <cfRule type="expression" dxfId="31661" priority="3760" stopIfTrue="1">
      <formula>AND(L144&gt;=70101,L144&lt;=70301)</formula>
    </cfRule>
    <cfRule type="expression" dxfId="31660" priority="3761" stopIfTrue="1">
      <formula>AND(L144&gt;70000,L144&lt;70004)</formula>
    </cfRule>
    <cfRule type="expression" dxfId="31659" priority="3762" stopIfTrue="1">
      <formula>AND(L144&gt;=70010,L144&lt;=76000)</formula>
    </cfRule>
    <cfRule type="expression" dxfId="31658" priority="3763">
      <formula>AND(L144&gt;70000,L144&lt;70004)</formula>
    </cfRule>
    <cfRule type="expression" dxfId="31657" priority="3764" stopIfTrue="1">
      <formula>OR(AND(L144&gt;=10000,L144&lt;=56999),AND(L144&gt;=57000,L144&lt;=57999))</formula>
    </cfRule>
    <cfRule type="expression" dxfId="31656" priority="3765" stopIfTrue="1">
      <formula>AND(L144&gt;=8000,L144&lt;=9999)</formula>
    </cfRule>
    <cfRule type="expression" dxfId="31655" priority="3766" stopIfTrue="1">
      <formula>AND(L144&gt;=78100,L144&lt;=78199)</formula>
    </cfRule>
    <cfRule type="expression" dxfId="31654" priority="3767" stopIfTrue="1">
      <formula>AND(L144&gt;=92000,L144&lt;=98999)</formula>
    </cfRule>
    <cfRule type="expression" dxfId="31653" priority="3768" stopIfTrue="1">
      <formula>AND(L144&gt;=78100,L144&lt;=78199)</formula>
    </cfRule>
    <cfRule type="expression" dxfId="31652" priority="3769" stopIfTrue="1">
      <formula>AND(L144&gt;=91000,L144&lt;=91999)</formula>
    </cfRule>
  </conditionalFormatting>
  <conditionalFormatting sqref="O144">
    <cfRule type="expression" dxfId="31651" priority="3748">
      <formula>AND(P144&gt;=79001,P144&lt;79900)</formula>
    </cfRule>
    <cfRule type="expression" dxfId="31650" priority="3749" stopIfTrue="1">
      <formula>AND(P144&gt;=70101,P144&lt;=70301)</formula>
    </cfRule>
    <cfRule type="expression" dxfId="31649" priority="3750" stopIfTrue="1">
      <formula>AND(P144&gt;70000,P144&lt;70004)</formula>
    </cfRule>
    <cfRule type="expression" dxfId="31648" priority="3751" stopIfTrue="1">
      <formula>AND(P144&gt;=70010,P144&lt;=76000)</formula>
    </cfRule>
    <cfRule type="expression" dxfId="31647" priority="3752">
      <formula>AND(P144&gt;70000,P144&lt;70004)</formula>
    </cfRule>
    <cfRule type="expression" dxfId="31646" priority="3753" stopIfTrue="1">
      <formula>OR(AND(P144&gt;=10000,P144&lt;=56999),AND(P144&gt;=57000,P144&lt;=57999))</formula>
    </cfRule>
    <cfRule type="expression" dxfId="31645" priority="3754" stopIfTrue="1">
      <formula>AND(P144&gt;=8000,P144&lt;=9999)</formula>
    </cfRule>
    <cfRule type="expression" dxfId="31644" priority="3755" stopIfTrue="1">
      <formula>AND(P144&gt;=78100,P144&lt;=78199)</formula>
    </cfRule>
    <cfRule type="expression" dxfId="31643" priority="3756" stopIfTrue="1">
      <formula>AND(P144&gt;=92000,P144&lt;=98999)</formula>
    </cfRule>
    <cfRule type="expression" dxfId="31642" priority="3757" stopIfTrue="1">
      <formula>AND(P144&gt;=78100,P144&lt;=78199)</formula>
    </cfRule>
    <cfRule type="expression" dxfId="31641" priority="3758" stopIfTrue="1">
      <formula>AND(P144&gt;=91000,P144&lt;=91999)</formula>
    </cfRule>
  </conditionalFormatting>
  <conditionalFormatting sqref="G144">
    <cfRule type="expression" dxfId="31640" priority="3726">
      <formula>AND(H144&gt;=79001,H144&lt;79900)</formula>
    </cfRule>
    <cfRule type="expression" dxfId="31639" priority="3727" stopIfTrue="1">
      <formula>AND(H144&gt;=70101,H144&lt;=70301)</formula>
    </cfRule>
    <cfRule type="expression" dxfId="31638" priority="3728" stopIfTrue="1">
      <formula>AND(H144&gt;70000,H144&lt;70004)</formula>
    </cfRule>
    <cfRule type="expression" dxfId="31637" priority="3729" stopIfTrue="1">
      <formula>AND(H144&gt;=70010,H144&lt;=76000)</formula>
    </cfRule>
    <cfRule type="expression" dxfId="31636" priority="3730">
      <formula>AND(H144&gt;70000,H144&lt;70004)</formula>
    </cfRule>
    <cfRule type="expression" dxfId="31635" priority="3731" stopIfTrue="1">
      <formula>OR(AND(H144&gt;=10000,H144&lt;=56999),AND(H144&gt;=57000,H144&lt;=57999))</formula>
    </cfRule>
    <cfRule type="expression" dxfId="31634" priority="3732" stopIfTrue="1">
      <formula>AND(H144&gt;=8000,H144&lt;=9999)</formula>
    </cfRule>
    <cfRule type="expression" dxfId="31633" priority="3733" stopIfTrue="1">
      <formula>AND(H144&gt;=78100,H144&lt;=78199)</formula>
    </cfRule>
    <cfRule type="expression" dxfId="31632" priority="3734" stopIfTrue="1">
      <formula>AND(H144&gt;=92000,H144&lt;=98999)</formula>
    </cfRule>
    <cfRule type="expression" dxfId="31631" priority="3735" stopIfTrue="1">
      <formula>AND(H144&gt;=78100,H144&lt;=78199)</formula>
    </cfRule>
    <cfRule type="expression" dxfId="31630" priority="3736" stopIfTrue="1">
      <formula>AND(H144&gt;=91000,H144&lt;=91999)</formula>
    </cfRule>
  </conditionalFormatting>
  <conditionalFormatting sqref="AA144">
    <cfRule type="expression" dxfId="31629" priority="3737">
      <formula>AND(AB144&gt;=79001,AB144&lt;79900)</formula>
    </cfRule>
    <cfRule type="expression" dxfId="31628" priority="3738" stopIfTrue="1">
      <formula>AND(AB144&gt;=70101,AB144&lt;=70301)</formula>
    </cfRule>
    <cfRule type="expression" dxfId="31627" priority="3739" stopIfTrue="1">
      <formula>AND(AB144&gt;70000,AB144&lt;70004)</formula>
    </cfRule>
    <cfRule type="expression" dxfId="31626" priority="3740" stopIfTrue="1">
      <formula>AND(AB144&gt;=70010,AB144&lt;=76000)</formula>
    </cfRule>
    <cfRule type="expression" dxfId="31625" priority="3741">
      <formula>AND(AB144&gt;70000,AB144&lt;70004)</formula>
    </cfRule>
    <cfRule type="expression" dxfId="31624" priority="3742" stopIfTrue="1">
      <formula>OR(AND(AB144&gt;=10000,AB144&lt;=56999),AND(AB144&gt;=57000,AB144&lt;=57999))</formula>
    </cfRule>
    <cfRule type="expression" dxfId="31623" priority="3743" stopIfTrue="1">
      <formula>AND(AB144&gt;=8000,AB144&lt;=9999)</formula>
    </cfRule>
    <cfRule type="expression" dxfId="31622" priority="3744" stopIfTrue="1">
      <formula>AND(AB144&gt;=78100,AB144&lt;=78199)</formula>
    </cfRule>
    <cfRule type="expression" dxfId="31621" priority="3745" stopIfTrue="1">
      <formula>AND(AB144&gt;=92000,AB144&lt;=98999)</formula>
    </cfRule>
    <cfRule type="expression" dxfId="31620" priority="3746" stopIfTrue="1">
      <formula>AND(AB144&gt;=78100,AB144&lt;=78199)</formula>
    </cfRule>
    <cfRule type="expression" dxfId="31619" priority="3747" stopIfTrue="1">
      <formula>AND(AB144&gt;=91000,AB144&lt;=91999)</formula>
    </cfRule>
  </conditionalFormatting>
  <conditionalFormatting sqref="K144">
    <cfRule type="expression" dxfId="31618" priority="3715">
      <formula>AND(L144&gt;=79001,L144&lt;79900)</formula>
    </cfRule>
    <cfRule type="expression" dxfId="31617" priority="3716" stopIfTrue="1">
      <formula>AND(L144&gt;=70101,L144&lt;=70301)</formula>
    </cfRule>
    <cfRule type="expression" dxfId="31616" priority="3717" stopIfTrue="1">
      <formula>AND(L144&gt;70000,L144&lt;70004)</formula>
    </cfRule>
    <cfRule type="expression" dxfId="31615" priority="3718" stopIfTrue="1">
      <formula>AND(L144&gt;=70010,L144&lt;=76000)</formula>
    </cfRule>
    <cfRule type="expression" dxfId="31614" priority="3719">
      <formula>AND(L144&gt;70000,L144&lt;70004)</formula>
    </cfRule>
    <cfRule type="expression" dxfId="31613" priority="3720" stopIfTrue="1">
      <formula>OR(AND(L144&gt;=10000,L144&lt;=56999),AND(L144&gt;=57000,L144&lt;=57999))</formula>
    </cfRule>
    <cfRule type="expression" dxfId="31612" priority="3721" stopIfTrue="1">
      <formula>AND(L144&gt;=8000,L144&lt;=9999)</formula>
    </cfRule>
    <cfRule type="expression" dxfId="31611" priority="3722" stopIfTrue="1">
      <formula>AND(L144&gt;=78100,L144&lt;=78199)</formula>
    </cfRule>
    <cfRule type="expression" dxfId="31610" priority="3723" stopIfTrue="1">
      <formula>AND(L144&gt;=92000,L144&lt;=98999)</formula>
    </cfRule>
    <cfRule type="expression" dxfId="31609" priority="3724" stopIfTrue="1">
      <formula>AND(L144&gt;=78100,L144&lt;=78199)</formula>
    </cfRule>
    <cfRule type="expression" dxfId="31608" priority="3725" stopIfTrue="1">
      <formula>AND(L144&gt;=91000,L144&lt;=91999)</formula>
    </cfRule>
  </conditionalFormatting>
  <conditionalFormatting sqref="O144">
    <cfRule type="expression" dxfId="31607" priority="3704">
      <formula>AND(P144&gt;=79001,P144&lt;79900)</formula>
    </cfRule>
    <cfRule type="expression" dxfId="31606" priority="3705" stopIfTrue="1">
      <formula>AND(P144&gt;=70101,P144&lt;=70301)</formula>
    </cfRule>
    <cfRule type="expression" dxfId="31605" priority="3706" stopIfTrue="1">
      <formula>AND(P144&gt;70000,P144&lt;70004)</formula>
    </cfRule>
    <cfRule type="expression" dxfId="31604" priority="3707" stopIfTrue="1">
      <formula>AND(P144&gt;=70010,P144&lt;=76000)</formula>
    </cfRule>
    <cfRule type="expression" dxfId="31603" priority="3708">
      <formula>AND(P144&gt;70000,P144&lt;70004)</formula>
    </cfRule>
    <cfRule type="expression" dxfId="31602" priority="3709" stopIfTrue="1">
      <formula>OR(AND(P144&gt;=10000,P144&lt;=56999),AND(P144&gt;=57000,P144&lt;=57999))</formula>
    </cfRule>
    <cfRule type="expression" dxfId="31601" priority="3710" stopIfTrue="1">
      <formula>AND(P144&gt;=8000,P144&lt;=9999)</formula>
    </cfRule>
    <cfRule type="expression" dxfId="31600" priority="3711" stopIfTrue="1">
      <formula>AND(P144&gt;=78100,P144&lt;=78199)</formula>
    </cfRule>
    <cfRule type="expression" dxfId="31599" priority="3712" stopIfTrue="1">
      <formula>AND(P144&gt;=92000,P144&lt;=98999)</formula>
    </cfRule>
    <cfRule type="expression" dxfId="31598" priority="3713" stopIfTrue="1">
      <formula>AND(P144&gt;=78100,P144&lt;=78199)</formula>
    </cfRule>
    <cfRule type="expression" dxfId="31597" priority="3714" stopIfTrue="1">
      <formula>AND(P144&gt;=91000,P144&lt;=91999)</formula>
    </cfRule>
  </conditionalFormatting>
  <conditionalFormatting sqref="S142:S144">
    <cfRule type="expression" dxfId="31596" priority="3693">
      <formula>AND(T142&gt;=79001,T142&lt;79900)</formula>
    </cfRule>
    <cfRule type="expression" dxfId="31595" priority="3694" stopIfTrue="1">
      <formula>AND(T142&gt;=70101,T142&lt;=70301)</formula>
    </cfRule>
    <cfRule type="expression" dxfId="31594" priority="3695" stopIfTrue="1">
      <formula>AND(T142&gt;70000,T142&lt;70004)</formula>
    </cfRule>
    <cfRule type="expression" dxfId="31593" priority="3696" stopIfTrue="1">
      <formula>AND(T142&gt;=70010,T142&lt;=76000)</formula>
    </cfRule>
    <cfRule type="expression" dxfId="31592" priority="3697">
      <formula>AND(T142&gt;70000,T142&lt;70004)</formula>
    </cfRule>
    <cfRule type="expression" dxfId="31591" priority="3698" stopIfTrue="1">
      <formula>OR(AND(T142&gt;=10000,T142&lt;=56999),AND(T142&gt;=57000,T142&lt;=57999))</formula>
    </cfRule>
    <cfRule type="expression" dxfId="31590" priority="3699" stopIfTrue="1">
      <formula>AND(T142&gt;=8000,T142&lt;=9999)</formula>
    </cfRule>
    <cfRule type="expression" dxfId="31589" priority="3700" stopIfTrue="1">
      <formula>AND(T142&gt;=78100,T142&lt;=78199)</formula>
    </cfRule>
    <cfRule type="expression" dxfId="31588" priority="3701" stopIfTrue="1">
      <formula>AND(T142&gt;=92000,T142&lt;=98999)</formula>
    </cfRule>
    <cfRule type="expression" dxfId="31587" priority="3702" stopIfTrue="1">
      <formula>AND(T142&gt;=78100,T142&lt;=78199)</formula>
    </cfRule>
    <cfRule type="expression" dxfId="31586" priority="3703" stopIfTrue="1">
      <formula>AND(T142&gt;=91000,T142&lt;=91999)</formula>
    </cfRule>
  </conditionalFormatting>
  <conditionalFormatting sqref="S142:S144">
    <cfRule type="expression" dxfId="31585" priority="3682">
      <formula>AND(T142&gt;=79001,T142&lt;79900)</formula>
    </cfRule>
    <cfRule type="expression" dxfId="31584" priority="3683" stopIfTrue="1">
      <formula>AND(T142&gt;=70101,T142&lt;=70301)</formula>
    </cfRule>
    <cfRule type="expression" dxfId="31583" priority="3684" stopIfTrue="1">
      <formula>AND(T142&gt;70000,T142&lt;70004)</formula>
    </cfRule>
    <cfRule type="expression" dxfId="31582" priority="3685" stopIfTrue="1">
      <formula>AND(T142&gt;=70010,T142&lt;=76000)</formula>
    </cfRule>
    <cfRule type="expression" dxfId="31581" priority="3686">
      <formula>AND(T142&gt;70000,T142&lt;70004)</formula>
    </cfRule>
    <cfRule type="expression" dxfId="31580" priority="3687" stopIfTrue="1">
      <formula>OR(AND(T142&gt;=10000,T142&lt;=56999),AND(T142&gt;=57000,T142&lt;=57999))</formula>
    </cfRule>
    <cfRule type="expression" dxfId="31579" priority="3688" stopIfTrue="1">
      <formula>AND(T142&gt;=8000,T142&lt;=9999)</formula>
    </cfRule>
    <cfRule type="expression" dxfId="31578" priority="3689" stopIfTrue="1">
      <formula>AND(T142&gt;=78100,T142&lt;=78199)</formula>
    </cfRule>
    <cfRule type="expression" dxfId="31577" priority="3690" stopIfTrue="1">
      <formula>AND(T142&gt;=92000,T142&lt;=98999)</formula>
    </cfRule>
    <cfRule type="expression" dxfId="31576" priority="3691" stopIfTrue="1">
      <formula>AND(T142&gt;=78100,T142&lt;=78199)</formula>
    </cfRule>
    <cfRule type="expression" dxfId="31575" priority="3692" stopIfTrue="1">
      <formula>AND(T142&gt;=91000,T142&lt;=91999)</formula>
    </cfRule>
  </conditionalFormatting>
  <conditionalFormatting sqref="W142:W144">
    <cfRule type="expression" dxfId="31574" priority="3671">
      <formula>AND(X142&gt;=79001,X142&lt;79900)</formula>
    </cfRule>
    <cfRule type="expression" dxfId="31573" priority="3672" stopIfTrue="1">
      <formula>AND(X142&gt;=70101,X142&lt;=70301)</formula>
    </cfRule>
    <cfRule type="expression" dxfId="31572" priority="3673" stopIfTrue="1">
      <formula>AND(X142&gt;70000,X142&lt;70004)</formula>
    </cfRule>
    <cfRule type="expression" dxfId="31571" priority="3674" stopIfTrue="1">
      <formula>AND(X142&gt;=70010,X142&lt;=76000)</formula>
    </cfRule>
    <cfRule type="expression" dxfId="31570" priority="3675">
      <formula>AND(X142&gt;70000,X142&lt;70004)</formula>
    </cfRule>
    <cfRule type="expression" dxfId="31569" priority="3676" stopIfTrue="1">
      <formula>OR(AND(X142&gt;=10000,X142&lt;=56999),AND(X142&gt;=57000,X142&lt;=57999))</formula>
    </cfRule>
    <cfRule type="expression" dxfId="31568" priority="3677" stopIfTrue="1">
      <formula>AND(X142&gt;=8000,X142&lt;=9999)</formula>
    </cfRule>
    <cfRule type="expression" dxfId="31567" priority="3678" stopIfTrue="1">
      <formula>AND(X142&gt;=78100,X142&lt;=78199)</formula>
    </cfRule>
    <cfRule type="expression" dxfId="31566" priority="3679" stopIfTrue="1">
      <formula>AND(X142&gt;=92000,X142&lt;=98999)</formula>
    </cfRule>
    <cfRule type="expression" dxfId="31565" priority="3680" stopIfTrue="1">
      <formula>AND(X142&gt;=78100,X142&lt;=78199)</formula>
    </cfRule>
    <cfRule type="expression" dxfId="31564" priority="3681" stopIfTrue="1">
      <formula>AND(X142&gt;=91000,X142&lt;=91999)</formula>
    </cfRule>
  </conditionalFormatting>
  <conditionalFormatting sqref="W142:W144">
    <cfRule type="expression" dxfId="31563" priority="3660">
      <formula>AND(X142&gt;=79001,X142&lt;79900)</formula>
    </cfRule>
    <cfRule type="expression" dxfId="31562" priority="3661" stopIfTrue="1">
      <formula>AND(X142&gt;=70101,X142&lt;=70301)</formula>
    </cfRule>
    <cfRule type="expression" dxfId="31561" priority="3662" stopIfTrue="1">
      <formula>AND(X142&gt;70000,X142&lt;70004)</formula>
    </cfRule>
    <cfRule type="expression" dxfId="31560" priority="3663" stopIfTrue="1">
      <formula>AND(X142&gt;=70010,X142&lt;=76000)</formula>
    </cfRule>
    <cfRule type="expression" dxfId="31559" priority="3664">
      <formula>AND(X142&gt;70000,X142&lt;70004)</formula>
    </cfRule>
    <cfRule type="expression" dxfId="31558" priority="3665" stopIfTrue="1">
      <formula>OR(AND(X142&gt;=10000,X142&lt;=56999),AND(X142&gt;=57000,X142&lt;=57999))</formula>
    </cfRule>
    <cfRule type="expression" dxfId="31557" priority="3666" stopIfTrue="1">
      <formula>AND(X142&gt;=8000,X142&lt;=9999)</formula>
    </cfRule>
    <cfRule type="expression" dxfId="31556" priority="3667" stopIfTrue="1">
      <formula>AND(X142&gt;=78100,X142&lt;=78199)</formula>
    </cfRule>
    <cfRule type="expression" dxfId="31555" priority="3668" stopIfTrue="1">
      <formula>AND(X142&gt;=92000,X142&lt;=98999)</formula>
    </cfRule>
    <cfRule type="expression" dxfId="31554" priority="3669" stopIfTrue="1">
      <formula>AND(X142&gt;=78100,X142&lt;=78199)</formula>
    </cfRule>
    <cfRule type="expression" dxfId="31553" priority="3670" stopIfTrue="1">
      <formula>AND(X142&gt;=91000,X142&lt;=91999)</formula>
    </cfRule>
  </conditionalFormatting>
  <conditionalFormatting sqref="G55:G57">
    <cfRule type="expression" dxfId="31552" priority="3648">
      <formula>AND(H55&gt;=79001,H55&lt;79900)</formula>
    </cfRule>
    <cfRule type="expression" dxfId="31551" priority="3649" stopIfTrue="1">
      <formula>AND(H55&gt;=70101,H55&lt;=70301)</formula>
    </cfRule>
    <cfRule type="expression" dxfId="31550" priority="3650" stopIfTrue="1">
      <formula>AND(H55&gt;70000,H55&lt;70004)</formula>
    </cfRule>
    <cfRule type="expression" dxfId="31549" priority="3651" stopIfTrue="1">
      <formula>AND(H55&gt;=70010,H55&lt;=76000)</formula>
    </cfRule>
    <cfRule type="expression" dxfId="31548" priority="3652">
      <formula>AND(H55&gt;70000,H55&lt;70004)</formula>
    </cfRule>
    <cfRule type="expression" dxfId="31547" priority="3653" stopIfTrue="1">
      <formula>OR(AND(H55&gt;=10000,H55&lt;=56999),AND(H55&gt;=57000,H55&lt;=57999))</formula>
    </cfRule>
    <cfRule type="expression" dxfId="31546" priority="3654" stopIfTrue="1">
      <formula>AND(H55&gt;=8000,H55&lt;=9999)</formula>
    </cfRule>
    <cfRule type="expression" dxfId="31545" priority="3655" stopIfTrue="1">
      <formula>AND(H55&gt;=78100,H55&lt;=78199)</formula>
    </cfRule>
    <cfRule type="expression" dxfId="31544" priority="3656" stopIfTrue="1">
      <formula>AND(H55&gt;=92000,H55&lt;=98999)</formula>
    </cfRule>
    <cfRule type="expression" dxfId="31543" priority="3657" stopIfTrue="1">
      <formula>AND(H55&gt;=78100,H55&lt;=78199)</formula>
    </cfRule>
    <cfRule type="expression" dxfId="31542" priority="3658" stopIfTrue="1">
      <formula>AND(H55&gt;=91000,H55&lt;=91999)</formula>
    </cfRule>
  </conditionalFormatting>
  <conditionalFormatting sqref="K55:K57">
    <cfRule type="expression" dxfId="31541" priority="3637">
      <formula>AND(L55&gt;=79001,L55&lt;79900)</formula>
    </cfRule>
    <cfRule type="expression" dxfId="31540" priority="3638" stopIfTrue="1">
      <formula>AND(L55&gt;=70101,L55&lt;=70301)</formula>
    </cfRule>
    <cfRule type="expression" dxfId="31539" priority="3639" stopIfTrue="1">
      <formula>AND(L55&gt;70000,L55&lt;70004)</formula>
    </cfRule>
    <cfRule type="expression" dxfId="31538" priority="3640" stopIfTrue="1">
      <formula>AND(L55&gt;=70010,L55&lt;=76000)</formula>
    </cfRule>
    <cfRule type="expression" dxfId="31537" priority="3641">
      <formula>AND(L55&gt;70000,L55&lt;70004)</formula>
    </cfRule>
    <cfRule type="expression" dxfId="31536" priority="3642" stopIfTrue="1">
      <formula>OR(AND(L55&gt;=10000,L55&lt;=56999),AND(L55&gt;=57000,L55&lt;=57999))</formula>
    </cfRule>
    <cfRule type="expression" dxfId="31535" priority="3643" stopIfTrue="1">
      <formula>AND(L55&gt;=8000,L55&lt;=9999)</formula>
    </cfRule>
    <cfRule type="expression" dxfId="31534" priority="3644" stopIfTrue="1">
      <formula>AND(L55&gt;=78100,L55&lt;=78199)</formula>
    </cfRule>
    <cfRule type="expression" dxfId="31533" priority="3645" stopIfTrue="1">
      <formula>AND(L55&gt;=92000,L55&lt;=98999)</formula>
    </cfRule>
    <cfRule type="expression" dxfId="31532" priority="3646" stopIfTrue="1">
      <formula>AND(L55&gt;=78100,L55&lt;=78199)</formula>
    </cfRule>
    <cfRule type="expression" dxfId="31531" priority="3647" stopIfTrue="1">
      <formula>AND(L55&gt;=91000,L55&lt;=91999)</formula>
    </cfRule>
  </conditionalFormatting>
  <conditionalFormatting sqref="O55:O75">
    <cfRule type="expression" dxfId="31530" priority="3626">
      <formula>AND(P55&gt;=79001,P55&lt;79900)</formula>
    </cfRule>
    <cfRule type="expression" dxfId="31529" priority="3627" stopIfTrue="1">
      <formula>AND(P55&gt;=70101,P55&lt;=70301)</formula>
    </cfRule>
    <cfRule type="expression" dxfId="31528" priority="3628" stopIfTrue="1">
      <formula>AND(P55&gt;70000,P55&lt;70004)</formula>
    </cfRule>
    <cfRule type="expression" dxfId="31527" priority="3629" stopIfTrue="1">
      <formula>AND(P55&gt;=70010,P55&lt;=76000)</formula>
    </cfRule>
    <cfRule type="expression" dxfId="31526" priority="3630">
      <formula>AND(P55&gt;70000,P55&lt;70004)</formula>
    </cfRule>
    <cfRule type="expression" dxfId="31525" priority="3631" stopIfTrue="1">
      <formula>OR(AND(P55&gt;=10000,P55&lt;=56999),AND(P55&gt;=57000,P55&lt;=57999))</formula>
    </cfRule>
    <cfRule type="expression" dxfId="31524" priority="3632" stopIfTrue="1">
      <formula>AND(P55&gt;=8000,P55&lt;=9999)</formula>
    </cfRule>
    <cfRule type="expression" dxfId="31523" priority="3633" stopIfTrue="1">
      <formula>AND(P55&gt;=78100,P55&lt;=78199)</formula>
    </cfRule>
    <cfRule type="expression" dxfId="31522" priority="3634" stopIfTrue="1">
      <formula>AND(P55&gt;=92000,P55&lt;=98999)</formula>
    </cfRule>
    <cfRule type="expression" dxfId="31521" priority="3635" stopIfTrue="1">
      <formula>AND(P55&gt;=78100,P55&lt;=78199)</formula>
    </cfRule>
    <cfRule type="expression" dxfId="31520" priority="3636" stopIfTrue="1">
      <formula>AND(P55&gt;=91000,P55&lt;=91999)</formula>
    </cfRule>
  </conditionalFormatting>
  <conditionalFormatting sqref="S55:S57">
    <cfRule type="expression" dxfId="31519" priority="3615">
      <formula>AND(T55&gt;=79001,T55&lt;79900)</formula>
    </cfRule>
    <cfRule type="expression" dxfId="31518" priority="3616" stopIfTrue="1">
      <formula>AND(T55&gt;=70101,T55&lt;=70301)</formula>
    </cfRule>
    <cfRule type="expression" dxfId="31517" priority="3617" stopIfTrue="1">
      <formula>AND(T55&gt;70000,T55&lt;70004)</formula>
    </cfRule>
    <cfRule type="expression" dxfId="31516" priority="3618" stopIfTrue="1">
      <formula>AND(T55&gt;=70010,T55&lt;=76000)</formula>
    </cfRule>
    <cfRule type="expression" dxfId="31515" priority="3619">
      <formula>AND(T55&gt;70000,T55&lt;70004)</formula>
    </cfRule>
    <cfRule type="expression" dxfId="31514" priority="3620" stopIfTrue="1">
      <formula>OR(AND(T55&gt;=10000,T55&lt;=56999),AND(T55&gt;=57000,T55&lt;=57999))</formula>
    </cfRule>
    <cfRule type="expression" dxfId="31513" priority="3621" stopIfTrue="1">
      <formula>AND(T55&gt;=8000,T55&lt;=9999)</formula>
    </cfRule>
    <cfRule type="expression" dxfId="31512" priority="3622" stopIfTrue="1">
      <formula>AND(T55&gt;=78100,T55&lt;=78199)</formula>
    </cfRule>
    <cfRule type="expression" dxfId="31511" priority="3623" stopIfTrue="1">
      <formula>AND(T55&gt;=92000,T55&lt;=98999)</formula>
    </cfRule>
    <cfRule type="expression" dxfId="31510" priority="3624" stopIfTrue="1">
      <formula>AND(T55&gt;=78100,T55&lt;=78199)</formula>
    </cfRule>
    <cfRule type="expression" dxfId="31509" priority="3625" stopIfTrue="1">
      <formula>AND(T55&gt;=91000,T55&lt;=91999)</formula>
    </cfRule>
  </conditionalFormatting>
  <conditionalFormatting sqref="W55:W57">
    <cfRule type="expression" dxfId="31508" priority="3604">
      <formula>AND(X55&gt;=79001,X55&lt;79900)</formula>
    </cfRule>
    <cfRule type="expression" dxfId="31507" priority="3605" stopIfTrue="1">
      <formula>AND(X55&gt;=70101,X55&lt;=70301)</formula>
    </cfRule>
    <cfRule type="expression" dxfId="31506" priority="3606" stopIfTrue="1">
      <formula>AND(X55&gt;70000,X55&lt;70004)</formula>
    </cfRule>
    <cfRule type="expression" dxfId="31505" priority="3607" stopIfTrue="1">
      <formula>AND(X55&gt;=70010,X55&lt;=76000)</formula>
    </cfRule>
    <cfRule type="expression" dxfId="31504" priority="3608">
      <formula>AND(X55&gt;70000,X55&lt;70004)</formula>
    </cfRule>
    <cfRule type="expression" dxfId="31503" priority="3609" stopIfTrue="1">
      <formula>OR(AND(X55&gt;=10000,X55&lt;=56999),AND(X55&gt;=57000,X55&lt;=57999))</formula>
    </cfRule>
    <cfRule type="expression" dxfId="31502" priority="3610" stopIfTrue="1">
      <formula>AND(X55&gt;=8000,X55&lt;=9999)</formula>
    </cfRule>
    <cfRule type="expression" dxfId="31501" priority="3611" stopIfTrue="1">
      <formula>AND(X55&gt;=78100,X55&lt;=78199)</formula>
    </cfRule>
    <cfRule type="expression" dxfId="31500" priority="3612" stopIfTrue="1">
      <formula>AND(X55&gt;=92000,X55&lt;=98999)</formula>
    </cfRule>
    <cfRule type="expression" dxfId="31499" priority="3613" stopIfTrue="1">
      <formula>AND(X55&gt;=78100,X55&lt;=78199)</formula>
    </cfRule>
    <cfRule type="expression" dxfId="31498" priority="3614" stopIfTrue="1">
      <formula>AND(X55&gt;=91000,X55&lt;=91999)</formula>
    </cfRule>
  </conditionalFormatting>
  <conditionalFormatting sqref="AA55:AA57">
    <cfRule type="expression" dxfId="31497" priority="3593">
      <formula>AND(AB55&gt;=79001,AB55&lt;79900)</formula>
    </cfRule>
    <cfRule type="expression" dxfId="31496" priority="3594" stopIfTrue="1">
      <formula>AND(AB55&gt;=70101,AB55&lt;=70301)</formula>
    </cfRule>
    <cfRule type="expression" dxfId="31495" priority="3595" stopIfTrue="1">
      <formula>AND(AB55&gt;70000,AB55&lt;70004)</formula>
    </cfRule>
    <cfRule type="expression" dxfId="31494" priority="3596" stopIfTrue="1">
      <formula>AND(AB55&gt;=70010,AB55&lt;=76000)</formula>
    </cfRule>
    <cfRule type="expression" dxfId="31493" priority="3597">
      <formula>AND(AB55&gt;70000,AB55&lt;70004)</formula>
    </cfRule>
    <cfRule type="expression" dxfId="31492" priority="3598" stopIfTrue="1">
      <formula>OR(AND(AB55&gt;=10000,AB55&lt;=56999),AND(AB55&gt;=57000,AB55&lt;=57999))</formula>
    </cfRule>
    <cfRule type="expression" dxfId="31491" priority="3599" stopIfTrue="1">
      <formula>AND(AB55&gt;=8000,AB55&lt;=9999)</formula>
    </cfRule>
    <cfRule type="expression" dxfId="31490" priority="3600" stopIfTrue="1">
      <formula>AND(AB55&gt;=78100,AB55&lt;=78199)</formula>
    </cfRule>
    <cfRule type="expression" dxfId="31489" priority="3601" stopIfTrue="1">
      <formula>AND(AB55&gt;=92000,AB55&lt;=98999)</formula>
    </cfRule>
    <cfRule type="expression" dxfId="31488" priority="3602" stopIfTrue="1">
      <formula>AND(AB55&gt;=78100,AB55&lt;=78199)</formula>
    </cfRule>
    <cfRule type="expression" dxfId="31487" priority="3603" stopIfTrue="1">
      <formula>AND(AB55&gt;=91000,AB55&lt;=91999)</formula>
    </cfRule>
  </conditionalFormatting>
  <conditionalFormatting sqref="AE55:AE57">
    <cfRule type="expression" dxfId="31486" priority="3582">
      <formula>AND(AF55&gt;=79001,AF55&lt;79900)</formula>
    </cfRule>
    <cfRule type="expression" dxfId="31485" priority="3583" stopIfTrue="1">
      <formula>AND(AF55&gt;=70101,AF55&lt;=70301)</formula>
    </cfRule>
    <cfRule type="expression" dxfId="31484" priority="3584" stopIfTrue="1">
      <formula>AND(AF55&gt;70000,AF55&lt;70004)</formula>
    </cfRule>
    <cfRule type="expression" dxfId="31483" priority="3585" stopIfTrue="1">
      <formula>AND(AF55&gt;=70010,AF55&lt;=76000)</formula>
    </cfRule>
    <cfRule type="expression" dxfId="31482" priority="3586">
      <formula>AND(AF55&gt;70000,AF55&lt;70004)</formula>
    </cfRule>
    <cfRule type="expression" dxfId="31481" priority="3587" stopIfTrue="1">
      <formula>OR(AND(AF55&gt;=10000,AF55&lt;=56999),AND(AF55&gt;=57000,AF55&lt;=57999))</formula>
    </cfRule>
    <cfRule type="expression" dxfId="31480" priority="3588" stopIfTrue="1">
      <formula>AND(AF55&gt;=8000,AF55&lt;=9999)</formula>
    </cfRule>
    <cfRule type="expression" dxfId="31479" priority="3589" stopIfTrue="1">
      <formula>AND(AF55&gt;=78100,AF55&lt;=78199)</formula>
    </cfRule>
    <cfRule type="expression" dxfId="31478" priority="3590" stopIfTrue="1">
      <formula>AND(AF55&gt;=92000,AF55&lt;=98999)</formula>
    </cfRule>
    <cfRule type="expression" dxfId="31477" priority="3591" stopIfTrue="1">
      <formula>AND(AF55&gt;=78100,AF55&lt;=78199)</formula>
    </cfRule>
    <cfRule type="expression" dxfId="31476" priority="3592" stopIfTrue="1">
      <formula>AND(AF55&gt;=91000,AF55&lt;=91999)</formula>
    </cfRule>
  </conditionalFormatting>
  <conditionalFormatting sqref="AI55:AI57">
    <cfRule type="expression" dxfId="31475" priority="3571">
      <formula>AND(AJ55&gt;=79001,AJ55&lt;79900)</formula>
    </cfRule>
    <cfRule type="expression" dxfId="31474" priority="3572" stopIfTrue="1">
      <formula>AND(AJ55&gt;=70101,AJ55&lt;=70301)</formula>
    </cfRule>
    <cfRule type="expression" dxfId="31473" priority="3573" stopIfTrue="1">
      <formula>AND(AJ55&gt;70000,AJ55&lt;70004)</formula>
    </cfRule>
    <cfRule type="expression" dxfId="31472" priority="3574" stopIfTrue="1">
      <formula>AND(AJ55&gt;=70010,AJ55&lt;=76000)</formula>
    </cfRule>
    <cfRule type="expression" dxfId="31471" priority="3575">
      <formula>AND(AJ55&gt;70000,AJ55&lt;70004)</formula>
    </cfRule>
    <cfRule type="expression" dxfId="31470" priority="3576" stopIfTrue="1">
      <formula>OR(AND(AJ55&gt;=10000,AJ55&lt;=56999),AND(AJ55&gt;=57000,AJ55&lt;=57999))</formula>
    </cfRule>
    <cfRule type="expression" dxfId="31469" priority="3577" stopIfTrue="1">
      <formula>AND(AJ55&gt;=8000,AJ55&lt;=9999)</formula>
    </cfRule>
    <cfRule type="expression" dxfId="31468" priority="3578" stopIfTrue="1">
      <formula>AND(AJ55&gt;=78100,AJ55&lt;=78199)</formula>
    </cfRule>
    <cfRule type="expression" dxfId="31467" priority="3579" stopIfTrue="1">
      <formula>AND(AJ55&gt;=92000,AJ55&lt;=98999)</formula>
    </cfRule>
    <cfRule type="expression" dxfId="31466" priority="3580" stopIfTrue="1">
      <formula>AND(AJ55&gt;=78100,AJ55&lt;=78199)</formula>
    </cfRule>
    <cfRule type="expression" dxfId="31465" priority="3581" stopIfTrue="1">
      <formula>AND(AJ55&gt;=91000,AJ55&lt;=91999)</formula>
    </cfRule>
  </conditionalFormatting>
  <conditionalFormatting sqref="AM55:AM57">
    <cfRule type="expression" dxfId="31464" priority="3560">
      <formula>AND(AN55&gt;=79001,AN55&lt;79900)</formula>
    </cfRule>
    <cfRule type="expression" dxfId="31463" priority="3561" stopIfTrue="1">
      <formula>AND(AN55&gt;=70101,AN55&lt;=70301)</formula>
    </cfRule>
    <cfRule type="expression" dxfId="31462" priority="3562" stopIfTrue="1">
      <formula>AND(AN55&gt;70000,AN55&lt;70004)</formula>
    </cfRule>
    <cfRule type="expression" dxfId="31461" priority="3563" stopIfTrue="1">
      <formula>AND(AN55&gt;=70010,AN55&lt;=76000)</formula>
    </cfRule>
    <cfRule type="expression" dxfId="31460" priority="3564">
      <formula>AND(AN55&gt;70000,AN55&lt;70004)</formula>
    </cfRule>
    <cfRule type="expression" dxfId="31459" priority="3565" stopIfTrue="1">
      <formula>OR(AND(AN55&gt;=10000,AN55&lt;=56999),AND(AN55&gt;=57000,AN55&lt;=57999))</formula>
    </cfRule>
    <cfRule type="expression" dxfId="31458" priority="3566" stopIfTrue="1">
      <formula>AND(AN55&gt;=8000,AN55&lt;=9999)</formula>
    </cfRule>
    <cfRule type="expression" dxfId="31457" priority="3567" stopIfTrue="1">
      <formula>AND(AN55&gt;=78100,AN55&lt;=78199)</formula>
    </cfRule>
    <cfRule type="expression" dxfId="31456" priority="3568" stopIfTrue="1">
      <formula>AND(AN55&gt;=92000,AN55&lt;=98999)</formula>
    </cfRule>
    <cfRule type="expression" dxfId="31455" priority="3569" stopIfTrue="1">
      <formula>AND(AN55&gt;=78100,AN55&lt;=78199)</formula>
    </cfRule>
    <cfRule type="expression" dxfId="31454" priority="3570" stopIfTrue="1">
      <formula>AND(AN55&gt;=91000,AN55&lt;=91999)</formula>
    </cfRule>
  </conditionalFormatting>
  <conditionalFormatting sqref="AQ55:AQ57">
    <cfRule type="expression" dxfId="31453" priority="3549">
      <formula>AND(AR55&gt;=79001,AR55&lt;79900)</formula>
    </cfRule>
    <cfRule type="expression" dxfId="31452" priority="3550" stopIfTrue="1">
      <formula>AND(AR55&gt;=70101,AR55&lt;=70301)</formula>
    </cfRule>
    <cfRule type="expression" dxfId="31451" priority="3551" stopIfTrue="1">
      <formula>AND(AR55&gt;70000,AR55&lt;70004)</formula>
    </cfRule>
    <cfRule type="expression" dxfId="31450" priority="3552" stopIfTrue="1">
      <formula>AND(AR55&gt;=70010,AR55&lt;=76000)</formula>
    </cfRule>
    <cfRule type="expression" dxfId="31449" priority="3553">
      <formula>AND(AR55&gt;70000,AR55&lt;70004)</formula>
    </cfRule>
    <cfRule type="expression" dxfId="31448" priority="3554" stopIfTrue="1">
      <formula>OR(AND(AR55&gt;=10000,AR55&lt;=56999),AND(AR55&gt;=57000,AR55&lt;=57999))</formula>
    </cfRule>
    <cfRule type="expression" dxfId="31447" priority="3555" stopIfTrue="1">
      <formula>AND(AR55&gt;=8000,AR55&lt;=9999)</formula>
    </cfRule>
    <cfRule type="expression" dxfId="31446" priority="3556" stopIfTrue="1">
      <formula>AND(AR55&gt;=78100,AR55&lt;=78199)</formula>
    </cfRule>
    <cfRule type="expression" dxfId="31445" priority="3557" stopIfTrue="1">
      <formula>AND(AR55&gt;=92000,AR55&lt;=98999)</formula>
    </cfRule>
    <cfRule type="expression" dxfId="31444" priority="3558" stopIfTrue="1">
      <formula>AND(AR55&gt;=78100,AR55&lt;=78199)</formula>
    </cfRule>
    <cfRule type="expression" dxfId="31443" priority="3559" stopIfTrue="1">
      <formula>AND(AR55&gt;=91000,AR55&lt;=91999)</formula>
    </cfRule>
  </conditionalFormatting>
  <conditionalFormatting sqref="AU55:AU57">
    <cfRule type="expression" dxfId="31442" priority="3538">
      <formula>AND(AV55&gt;=79001,AV55&lt;79900)</formula>
    </cfRule>
    <cfRule type="expression" dxfId="31441" priority="3539" stopIfTrue="1">
      <formula>AND(AV55&gt;=70101,AV55&lt;=70301)</formula>
    </cfRule>
    <cfRule type="expression" dxfId="31440" priority="3540" stopIfTrue="1">
      <formula>AND(AV55&gt;70000,AV55&lt;70004)</formula>
    </cfRule>
    <cfRule type="expression" dxfId="31439" priority="3541" stopIfTrue="1">
      <formula>AND(AV55&gt;=70010,AV55&lt;=76000)</formula>
    </cfRule>
    <cfRule type="expression" dxfId="31438" priority="3542">
      <formula>AND(AV55&gt;70000,AV55&lt;70004)</formula>
    </cfRule>
    <cfRule type="expression" dxfId="31437" priority="3543" stopIfTrue="1">
      <formula>OR(AND(AV55&gt;=10000,AV55&lt;=56999),AND(AV55&gt;=57000,AV55&lt;=57999))</formula>
    </cfRule>
    <cfRule type="expression" dxfId="31436" priority="3544" stopIfTrue="1">
      <formula>AND(AV55&gt;=8000,AV55&lt;=9999)</formula>
    </cfRule>
    <cfRule type="expression" dxfId="31435" priority="3545" stopIfTrue="1">
      <formula>AND(AV55&gt;=78100,AV55&lt;=78199)</formula>
    </cfRule>
    <cfRule type="expression" dxfId="31434" priority="3546" stopIfTrue="1">
      <formula>AND(AV55&gt;=92000,AV55&lt;=98999)</formula>
    </cfRule>
    <cfRule type="expression" dxfId="31433" priority="3547" stopIfTrue="1">
      <formula>AND(AV55&gt;=78100,AV55&lt;=78199)</formula>
    </cfRule>
    <cfRule type="expression" dxfId="31432" priority="3548" stopIfTrue="1">
      <formula>AND(AV55&gt;=91000,AV55&lt;=91999)</formula>
    </cfRule>
  </conditionalFormatting>
  <conditionalFormatting sqref="AY55:AY57">
    <cfRule type="expression" dxfId="31431" priority="3527">
      <formula>AND(AZ55&gt;=79001,AZ55&lt;79900)</formula>
    </cfRule>
    <cfRule type="expression" dxfId="31430" priority="3528" stopIfTrue="1">
      <formula>AND(AZ55&gt;=70101,AZ55&lt;=70301)</formula>
    </cfRule>
    <cfRule type="expression" dxfId="31429" priority="3529" stopIfTrue="1">
      <formula>AND(AZ55&gt;70000,AZ55&lt;70004)</formula>
    </cfRule>
    <cfRule type="expression" dxfId="31428" priority="3530" stopIfTrue="1">
      <formula>AND(AZ55&gt;=70010,AZ55&lt;=76000)</formula>
    </cfRule>
    <cfRule type="expression" dxfId="31427" priority="3531">
      <formula>AND(AZ55&gt;70000,AZ55&lt;70004)</formula>
    </cfRule>
    <cfRule type="expression" dxfId="31426" priority="3532" stopIfTrue="1">
      <formula>OR(AND(AZ55&gt;=10000,AZ55&lt;=56999),AND(AZ55&gt;=57000,AZ55&lt;=57999))</formula>
    </cfRule>
    <cfRule type="expression" dxfId="31425" priority="3533" stopIfTrue="1">
      <formula>AND(AZ55&gt;=8000,AZ55&lt;=9999)</formula>
    </cfRule>
    <cfRule type="expression" dxfId="31424" priority="3534" stopIfTrue="1">
      <formula>AND(AZ55&gt;=78100,AZ55&lt;=78199)</formula>
    </cfRule>
    <cfRule type="expression" dxfId="31423" priority="3535" stopIfTrue="1">
      <formula>AND(AZ55&gt;=92000,AZ55&lt;=98999)</formula>
    </cfRule>
    <cfRule type="expression" dxfId="31422" priority="3536" stopIfTrue="1">
      <formula>AND(AZ55&gt;=78100,AZ55&lt;=78199)</formula>
    </cfRule>
    <cfRule type="expression" dxfId="31421" priority="3537" stopIfTrue="1">
      <formula>AND(AZ55&gt;=91000,AZ55&lt;=91999)</formula>
    </cfRule>
  </conditionalFormatting>
  <conditionalFormatting sqref="BC55:BC57">
    <cfRule type="expression" dxfId="31420" priority="3516">
      <formula>AND(BD55&gt;=79001,BD55&lt;79900)</formula>
    </cfRule>
    <cfRule type="expression" dxfId="31419" priority="3517" stopIfTrue="1">
      <formula>AND(BD55&gt;=70101,BD55&lt;=70301)</formula>
    </cfRule>
    <cfRule type="expression" dxfId="31418" priority="3518" stopIfTrue="1">
      <formula>AND(BD55&gt;70000,BD55&lt;70004)</formula>
    </cfRule>
    <cfRule type="expression" dxfId="31417" priority="3519" stopIfTrue="1">
      <formula>AND(BD55&gt;=70010,BD55&lt;=76000)</formula>
    </cfRule>
    <cfRule type="expression" dxfId="31416" priority="3520">
      <formula>AND(BD55&gt;70000,BD55&lt;70004)</formula>
    </cfRule>
    <cfRule type="expression" dxfId="31415" priority="3521" stopIfTrue="1">
      <formula>OR(AND(BD55&gt;=10000,BD55&lt;=56999),AND(BD55&gt;=57000,BD55&lt;=57999))</formula>
    </cfRule>
    <cfRule type="expression" dxfId="31414" priority="3522" stopIfTrue="1">
      <formula>AND(BD55&gt;=8000,BD55&lt;=9999)</formula>
    </cfRule>
    <cfRule type="expression" dxfId="31413" priority="3523" stopIfTrue="1">
      <formula>AND(BD55&gt;=78100,BD55&lt;=78199)</formula>
    </cfRule>
    <cfRule type="expression" dxfId="31412" priority="3524" stopIfTrue="1">
      <formula>AND(BD55&gt;=92000,BD55&lt;=98999)</formula>
    </cfRule>
    <cfRule type="expression" dxfId="31411" priority="3525" stopIfTrue="1">
      <formula>AND(BD55&gt;=78100,BD55&lt;=78199)</formula>
    </cfRule>
    <cfRule type="expression" dxfId="31410" priority="3526" stopIfTrue="1">
      <formula>AND(BD55&gt;=91000,BD55&lt;=91999)</formula>
    </cfRule>
  </conditionalFormatting>
  <conditionalFormatting sqref="BG55:BG57">
    <cfRule type="expression" dxfId="31409" priority="3505">
      <formula>AND(BH55&gt;=79001,BH55&lt;79900)</formula>
    </cfRule>
    <cfRule type="expression" dxfId="31408" priority="3506" stopIfTrue="1">
      <formula>AND(BH55&gt;=70101,BH55&lt;=70301)</formula>
    </cfRule>
    <cfRule type="expression" dxfId="31407" priority="3507" stopIfTrue="1">
      <formula>AND(BH55&gt;70000,BH55&lt;70004)</formula>
    </cfRule>
    <cfRule type="expression" dxfId="31406" priority="3508" stopIfTrue="1">
      <formula>AND(BH55&gt;=70010,BH55&lt;=76000)</formula>
    </cfRule>
    <cfRule type="expression" dxfId="31405" priority="3509">
      <formula>AND(BH55&gt;70000,BH55&lt;70004)</formula>
    </cfRule>
    <cfRule type="expression" dxfId="31404" priority="3510" stopIfTrue="1">
      <formula>OR(AND(BH55&gt;=10000,BH55&lt;=56999),AND(BH55&gt;=57000,BH55&lt;=57999))</formula>
    </cfRule>
    <cfRule type="expression" dxfId="31403" priority="3511" stopIfTrue="1">
      <formula>AND(BH55&gt;=8000,BH55&lt;=9999)</formula>
    </cfRule>
    <cfRule type="expression" dxfId="31402" priority="3512" stopIfTrue="1">
      <formula>AND(BH55&gt;=78100,BH55&lt;=78199)</formula>
    </cfRule>
    <cfRule type="expression" dxfId="31401" priority="3513" stopIfTrue="1">
      <formula>AND(BH55&gt;=92000,BH55&lt;=98999)</formula>
    </cfRule>
    <cfRule type="expression" dxfId="31400" priority="3514" stopIfTrue="1">
      <formula>AND(BH55&gt;=78100,BH55&lt;=78199)</formula>
    </cfRule>
    <cfRule type="expression" dxfId="31399" priority="3515" stopIfTrue="1">
      <formula>AND(BH55&gt;=91000,BH55&lt;=91999)</formula>
    </cfRule>
  </conditionalFormatting>
  <conditionalFormatting sqref="BK55:BK57">
    <cfRule type="expression" dxfId="31398" priority="3494">
      <formula>AND(BL55&gt;=79001,BL55&lt;79900)</formula>
    </cfRule>
    <cfRule type="expression" dxfId="31397" priority="3495" stopIfTrue="1">
      <formula>AND(BL55&gt;=70101,BL55&lt;=70301)</formula>
    </cfRule>
    <cfRule type="expression" dxfId="31396" priority="3496" stopIfTrue="1">
      <formula>AND(BL55&gt;70000,BL55&lt;70004)</formula>
    </cfRule>
    <cfRule type="expression" dxfId="31395" priority="3497" stopIfTrue="1">
      <formula>AND(BL55&gt;=70010,BL55&lt;=76000)</formula>
    </cfRule>
    <cfRule type="expression" dxfId="31394" priority="3498">
      <formula>AND(BL55&gt;70000,BL55&lt;70004)</formula>
    </cfRule>
    <cfRule type="expression" dxfId="31393" priority="3499" stopIfTrue="1">
      <formula>OR(AND(BL55&gt;=10000,BL55&lt;=56999),AND(BL55&gt;=57000,BL55&lt;=57999))</formula>
    </cfRule>
    <cfRule type="expression" dxfId="31392" priority="3500" stopIfTrue="1">
      <formula>AND(BL55&gt;=8000,BL55&lt;=9999)</formula>
    </cfRule>
    <cfRule type="expression" dxfId="31391" priority="3501" stopIfTrue="1">
      <formula>AND(BL55&gt;=78100,BL55&lt;=78199)</formula>
    </cfRule>
    <cfRule type="expression" dxfId="31390" priority="3502" stopIfTrue="1">
      <formula>AND(BL55&gt;=92000,BL55&lt;=98999)</formula>
    </cfRule>
    <cfRule type="expression" dxfId="31389" priority="3503" stopIfTrue="1">
      <formula>AND(BL55&gt;=78100,BL55&lt;=78199)</formula>
    </cfRule>
    <cfRule type="expression" dxfId="31388" priority="3504" stopIfTrue="1">
      <formula>AND(BL55&gt;=91000,BL55&lt;=91999)</formula>
    </cfRule>
  </conditionalFormatting>
  <conditionalFormatting sqref="G64:G66">
    <cfRule type="expression" dxfId="31387" priority="3482">
      <formula>AND(H64&gt;=79001,H64&lt;79900)</formula>
    </cfRule>
    <cfRule type="expression" dxfId="31386" priority="3483" stopIfTrue="1">
      <formula>AND(H64&gt;=70101,H64&lt;=70301)</formula>
    </cfRule>
    <cfRule type="expression" dxfId="31385" priority="3484" stopIfTrue="1">
      <formula>AND(H64&gt;70000,H64&lt;70004)</formula>
    </cfRule>
    <cfRule type="expression" dxfId="31384" priority="3485" stopIfTrue="1">
      <formula>AND(H64&gt;=70010,H64&lt;=76000)</formula>
    </cfRule>
    <cfRule type="expression" dxfId="31383" priority="3486">
      <formula>AND(H64&gt;70000,H64&lt;70004)</formula>
    </cfRule>
    <cfRule type="expression" dxfId="31382" priority="3487" stopIfTrue="1">
      <formula>OR(AND(H64&gt;=10000,H64&lt;=56999),AND(H64&gt;=57000,H64&lt;=57999))</formula>
    </cfRule>
    <cfRule type="expression" dxfId="31381" priority="3488" stopIfTrue="1">
      <formula>AND(H64&gt;=8000,H64&lt;=9999)</formula>
    </cfRule>
    <cfRule type="expression" dxfId="31380" priority="3489" stopIfTrue="1">
      <formula>AND(H64&gt;=78100,H64&lt;=78199)</formula>
    </cfRule>
    <cfRule type="expression" dxfId="31379" priority="3490" stopIfTrue="1">
      <formula>AND(H64&gt;=92000,H64&lt;=98999)</formula>
    </cfRule>
    <cfRule type="expression" dxfId="31378" priority="3491" stopIfTrue="1">
      <formula>AND(H64&gt;=78100,H64&lt;=78199)</formula>
    </cfRule>
    <cfRule type="expression" dxfId="31377" priority="3492" stopIfTrue="1">
      <formula>AND(H64&gt;=91000,H64&lt;=91999)</formula>
    </cfRule>
  </conditionalFormatting>
  <conditionalFormatting sqref="K64:K66">
    <cfRule type="expression" dxfId="31376" priority="3471">
      <formula>AND(L64&gt;=79001,L64&lt;79900)</formula>
    </cfRule>
    <cfRule type="expression" dxfId="31375" priority="3472" stopIfTrue="1">
      <formula>AND(L64&gt;=70101,L64&lt;=70301)</formula>
    </cfRule>
    <cfRule type="expression" dxfId="31374" priority="3473" stopIfTrue="1">
      <formula>AND(L64&gt;70000,L64&lt;70004)</formula>
    </cfRule>
    <cfRule type="expression" dxfId="31373" priority="3474" stopIfTrue="1">
      <formula>AND(L64&gt;=70010,L64&lt;=76000)</formula>
    </cfRule>
    <cfRule type="expression" dxfId="31372" priority="3475">
      <formula>AND(L64&gt;70000,L64&lt;70004)</formula>
    </cfRule>
    <cfRule type="expression" dxfId="31371" priority="3476" stopIfTrue="1">
      <formula>OR(AND(L64&gt;=10000,L64&lt;=56999),AND(L64&gt;=57000,L64&lt;=57999))</formula>
    </cfRule>
    <cfRule type="expression" dxfId="31370" priority="3477" stopIfTrue="1">
      <formula>AND(L64&gt;=8000,L64&lt;=9999)</formula>
    </cfRule>
    <cfRule type="expression" dxfId="31369" priority="3478" stopIfTrue="1">
      <formula>AND(L64&gt;=78100,L64&lt;=78199)</formula>
    </cfRule>
    <cfRule type="expression" dxfId="31368" priority="3479" stopIfTrue="1">
      <formula>AND(L64&gt;=92000,L64&lt;=98999)</formula>
    </cfRule>
    <cfRule type="expression" dxfId="31367" priority="3480" stopIfTrue="1">
      <formula>AND(L64&gt;=78100,L64&lt;=78199)</formula>
    </cfRule>
    <cfRule type="expression" dxfId="31366" priority="3481" stopIfTrue="1">
      <formula>AND(L64&gt;=91000,L64&lt;=91999)</formula>
    </cfRule>
  </conditionalFormatting>
  <conditionalFormatting sqref="S64:S66">
    <cfRule type="expression" dxfId="31365" priority="3449">
      <formula>AND(T64&gt;=79001,T64&lt;79900)</formula>
    </cfRule>
    <cfRule type="expression" dxfId="31364" priority="3450" stopIfTrue="1">
      <formula>AND(T64&gt;=70101,T64&lt;=70301)</formula>
    </cfRule>
    <cfRule type="expression" dxfId="31363" priority="3451" stopIfTrue="1">
      <formula>AND(T64&gt;70000,T64&lt;70004)</formula>
    </cfRule>
    <cfRule type="expression" dxfId="31362" priority="3452" stopIfTrue="1">
      <formula>AND(T64&gt;=70010,T64&lt;=76000)</formula>
    </cfRule>
    <cfRule type="expression" dxfId="31361" priority="3453">
      <formula>AND(T64&gt;70000,T64&lt;70004)</formula>
    </cfRule>
    <cfRule type="expression" dxfId="31360" priority="3454" stopIfTrue="1">
      <formula>OR(AND(T64&gt;=10000,T64&lt;=56999),AND(T64&gt;=57000,T64&lt;=57999))</formula>
    </cfRule>
    <cfRule type="expression" dxfId="31359" priority="3455" stopIfTrue="1">
      <formula>AND(T64&gt;=8000,T64&lt;=9999)</formula>
    </cfRule>
    <cfRule type="expression" dxfId="31358" priority="3456" stopIfTrue="1">
      <formula>AND(T64&gt;=78100,T64&lt;=78199)</formula>
    </cfRule>
    <cfRule type="expression" dxfId="31357" priority="3457" stopIfTrue="1">
      <formula>AND(T64&gt;=92000,T64&lt;=98999)</formula>
    </cfRule>
    <cfRule type="expression" dxfId="31356" priority="3458" stopIfTrue="1">
      <formula>AND(T64&gt;=78100,T64&lt;=78199)</formula>
    </cfRule>
    <cfRule type="expression" dxfId="31355" priority="3459" stopIfTrue="1">
      <formula>AND(T64&gt;=91000,T64&lt;=91999)</formula>
    </cfRule>
  </conditionalFormatting>
  <conditionalFormatting sqref="W64:W66">
    <cfRule type="expression" dxfId="31354" priority="3438">
      <formula>AND(X64&gt;=79001,X64&lt;79900)</formula>
    </cfRule>
    <cfRule type="expression" dxfId="31353" priority="3439" stopIfTrue="1">
      <formula>AND(X64&gt;=70101,X64&lt;=70301)</formula>
    </cfRule>
    <cfRule type="expression" dxfId="31352" priority="3440" stopIfTrue="1">
      <formula>AND(X64&gt;70000,X64&lt;70004)</formula>
    </cfRule>
    <cfRule type="expression" dxfId="31351" priority="3441" stopIfTrue="1">
      <formula>AND(X64&gt;=70010,X64&lt;=76000)</formula>
    </cfRule>
    <cfRule type="expression" dxfId="31350" priority="3442">
      <formula>AND(X64&gt;70000,X64&lt;70004)</formula>
    </cfRule>
    <cfRule type="expression" dxfId="31349" priority="3443" stopIfTrue="1">
      <formula>OR(AND(X64&gt;=10000,X64&lt;=56999),AND(X64&gt;=57000,X64&lt;=57999))</formula>
    </cfRule>
    <cfRule type="expression" dxfId="31348" priority="3444" stopIfTrue="1">
      <formula>AND(X64&gt;=8000,X64&lt;=9999)</formula>
    </cfRule>
    <cfRule type="expression" dxfId="31347" priority="3445" stopIfTrue="1">
      <formula>AND(X64&gt;=78100,X64&lt;=78199)</formula>
    </cfRule>
    <cfRule type="expression" dxfId="31346" priority="3446" stopIfTrue="1">
      <formula>AND(X64&gt;=92000,X64&lt;=98999)</formula>
    </cfRule>
    <cfRule type="expression" dxfId="31345" priority="3447" stopIfTrue="1">
      <formula>AND(X64&gt;=78100,X64&lt;=78199)</formula>
    </cfRule>
    <cfRule type="expression" dxfId="31344" priority="3448" stopIfTrue="1">
      <formula>AND(X64&gt;=91000,X64&lt;=91999)</formula>
    </cfRule>
  </conditionalFormatting>
  <conditionalFormatting sqref="AA64:AA66">
    <cfRule type="expression" dxfId="31343" priority="3427">
      <formula>AND(AB64&gt;=79001,AB64&lt;79900)</formula>
    </cfRule>
    <cfRule type="expression" dxfId="31342" priority="3428" stopIfTrue="1">
      <formula>AND(AB64&gt;=70101,AB64&lt;=70301)</formula>
    </cfRule>
    <cfRule type="expression" dxfId="31341" priority="3429" stopIfTrue="1">
      <formula>AND(AB64&gt;70000,AB64&lt;70004)</formula>
    </cfRule>
    <cfRule type="expression" dxfId="31340" priority="3430" stopIfTrue="1">
      <formula>AND(AB64&gt;=70010,AB64&lt;=76000)</formula>
    </cfRule>
    <cfRule type="expression" dxfId="31339" priority="3431">
      <formula>AND(AB64&gt;70000,AB64&lt;70004)</formula>
    </cfRule>
    <cfRule type="expression" dxfId="31338" priority="3432" stopIfTrue="1">
      <formula>OR(AND(AB64&gt;=10000,AB64&lt;=56999),AND(AB64&gt;=57000,AB64&lt;=57999))</formula>
    </cfRule>
    <cfRule type="expression" dxfId="31337" priority="3433" stopIfTrue="1">
      <formula>AND(AB64&gt;=8000,AB64&lt;=9999)</formula>
    </cfRule>
    <cfRule type="expression" dxfId="31336" priority="3434" stopIfTrue="1">
      <formula>AND(AB64&gt;=78100,AB64&lt;=78199)</formula>
    </cfRule>
    <cfRule type="expression" dxfId="31335" priority="3435" stopIfTrue="1">
      <formula>AND(AB64&gt;=92000,AB64&lt;=98999)</formula>
    </cfRule>
    <cfRule type="expression" dxfId="31334" priority="3436" stopIfTrue="1">
      <formula>AND(AB64&gt;=78100,AB64&lt;=78199)</formula>
    </cfRule>
    <cfRule type="expression" dxfId="31333" priority="3437" stopIfTrue="1">
      <formula>AND(AB64&gt;=91000,AB64&lt;=91999)</formula>
    </cfRule>
  </conditionalFormatting>
  <conditionalFormatting sqref="AE64:AE66">
    <cfRule type="expression" dxfId="31332" priority="3416">
      <formula>AND(AF64&gt;=79001,AF64&lt;79900)</formula>
    </cfRule>
    <cfRule type="expression" dxfId="31331" priority="3417" stopIfTrue="1">
      <formula>AND(AF64&gt;=70101,AF64&lt;=70301)</formula>
    </cfRule>
    <cfRule type="expression" dxfId="31330" priority="3418" stopIfTrue="1">
      <formula>AND(AF64&gt;70000,AF64&lt;70004)</formula>
    </cfRule>
    <cfRule type="expression" dxfId="31329" priority="3419" stopIfTrue="1">
      <formula>AND(AF64&gt;=70010,AF64&lt;=76000)</formula>
    </cfRule>
    <cfRule type="expression" dxfId="31328" priority="3420">
      <formula>AND(AF64&gt;70000,AF64&lt;70004)</formula>
    </cfRule>
    <cfRule type="expression" dxfId="31327" priority="3421" stopIfTrue="1">
      <formula>OR(AND(AF64&gt;=10000,AF64&lt;=56999),AND(AF64&gt;=57000,AF64&lt;=57999))</formula>
    </cfRule>
    <cfRule type="expression" dxfId="31326" priority="3422" stopIfTrue="1">
      <formula>AND(AF64&gt;=8000,AF64&lt;=9999)</formula>
    </cfRule>
    <cfRule type="expression" dxfId="31325" priority="3423" stopIfTrue="1">
      <formula>AND(AF64&gt;=78100,AF64&lt;=78199)</formula>
    </cfRule>
    <cfRule type="expression" dxfId="31324" priority="3424" stopIfTrue="1">
      <formula>AND(AF64&gt;=92000,AF64&lt;=98999)</formula>
    </cfRule>
    <cfRule type="expression" dxfId="31323" priority="3425" stopIfTrue="1">
      <formula>AND(AF64&gt;=78100,AF64&lt;=78199)</formula>
    </cfRule>
    <cfRule type="expression" dxfId="31322" priority="3426" stopIfTrue="1">
      <formula>AND(AF64&gt;=91000,AF64&lt;=91999)</formula>
    </cfRule>
  </conditionalFormatting>
  <conditionalFormatting sqref="AI64:AI66">
    <cfRule type="expression" dxfId="31321" priority="3405">
      <formula>AND(AJ64&gt;=79001,AJ64&lt;79900)</formula>
    </cfRule>
    <cfRule type="expression" dxfId="31320" priority="3406" stopIfTrue="1">
      <formula>AND(AJ64&gt;=70101,AJ64&lt;=70301)</formula>
    </cfRule>
    <cfRule type="expression" dxfId="31319" priority="3407" stopIfTrue="1">
      <formula>AND(AJ64&gt;70000,AJ64&lt;70004)</formula>
    </cfRule>
    <cfRule type="expression" dxfId="31318" priority="3408" stopIfTrue="1">
      <formula>AND(AJ64&gt;=70010,AJ64&lt;=76000)</formula>
    </cfRule>
    <cfRule type="expression" dxfId="31317" priority="3409">
      <formula>AND(AJ64&gt;70000,AJ64&lt;70004)</formula>
    </cfRule>
    <cfRule type="expression" dxfId="31316" priority="3410" stopIfTrue="1">
      <formula>OR(AND(AJ64&gt;=10000,AJ64&lt;=56999),AND(AJ64&gt;=57000,AJ64&lt;=57999))</formula>
    </cfRule>
    <cfRule type="expression" dxfId="31315" priority="3411" stopIfTrue="1">
      <formula>AND(AJ64&gt;=8000,AJ64&lt;=9999)</formula>
    </cfRule>
    <cfRule type="expression" dxfId="31314" priority="3412" stopIfTrue="1">
      <formula>AND(AJ64&gt;=78100,AJ64&lt;=78199)</formula>
    </cfRule>
    <cfRule type="expression" dxfId="31313" priority="3413" stopIfTrue="1">
      <formula>AND(AJ64&gt;=92000,AJ64&lt;=98999)</formula>
    </cfRule>
    <cfRule type="expression" dxfId="31312" priority="3414" stopIfTrue="1">
      <formula>AND(AJ64&gt;=78100,AJ64&lt;=78199)</formula>
    </cfRule>
    <cfRule type="expression" dxfId="31311" priority="3415" stopIfTrue="1">
      <formula>AND(AJ64&gt;=91000,AJ64&lt;=91999)</formula>
    </cfRule>
  </conditionalFormatting>
  <conditionalFormatting sqref="AM64:AM66">
    <cfRule type="expression" dxfId="31310" priority="3394">
      <formula>AND(AN64&gt;=79001,AN64&lt;79900)</formula>
    </cfRule>
    <cfRule type="expression" dxfId="31309" priority="3395" stopIfTrue="1">
      <formula>AND(AN64&gt;=70101,AN64&lt;=70301)</formula>
    </cfRule>
    <cfRule type="expression" dxfId="31308" priority="3396" stopIfTrue="1">
      <formula>AND(AN64&gt;70000,AN64&lt;70004)</formula>
    </cfRule>
    <cfRule type="expression" dxfId="31307" priority="3397" stopIfTrue="1">
      <formula>AND(AN64&gt;=70010,AN64&lt;=76000)</formula>
    </cfRule>
    <cfRule type="expression" dxfId="31306" priority="3398">
      <formula>AND(AN64&gt;70000,AN64&lt;70004)</formula>
    </cfRule>
    <cfRule type="expression" dxfId="31305" priority="3399" stopIfTrue="1">
      <formula>OR(AND(AN64&gt;=10000,AN64&lt;=56999),AND(AN64&gt;=57000,AN64&lt;=57999))</formula>
    </cfRule>
    <cfRule type="expression" dxfId="31304" priority="3400" stopIfTrue="1">
      <formula>AND(AN64&gt;=8000,AN64&lt;=9999)</formula>
    </cfRule>
    <cfRule type="expression" dxfId="31303" priority="3401" stopIfTrue="1">
      <formula>AND(AN64&gt;=78100,AN64&lt;=78199)</formula>
    </cfRule>
    <cfRule type="expression" dxfId="31302" priority="3402" stopIfTrue="1">
      <formula>AND(AN64&gt;=92000,AN64&lt;=98999)</formula>
    </cfRule>
    <cfRule type="expression" dxfId="31301" priority="3403" stopIfTrue="1">
      <formula>AND(AN64&gt;=78100,AN64&lt;=78199)</formula>
    </cfRule>
    <cfRule type="expression" dxfId="31300" priority="3404" stopIfTrue="1">
      <formula>AND(AN64&gt;=91000,AN64&lt;=91999)</formula>
    </cfRule>
  </conditionalFormatting>
  <conditionalFormatting sqref="AQ64:AQ66">
    <cfRule type="expression" dxfId="31299" priority="3383">
      <formula>AND(AR64&gt;=79001,AR64&lt;79900)</formula>
    </cfRule>
    <cfRule type="expression" dxfId="31298" priority="3384" stopIfTrue="1">
      <formula>AND(AR64&gt;=70101,AR64&lt;=70301)</formula>
    </cfRule>
    <cfRule type="expression" dxfId="31297" priority="3385" stopIfTrue="1">
      <formula>AND(AR64&gt;70000,AR64&lt;70004)</formula>
    </cfRule>
    <cfRule type="expression" dxfId="31296" priority="3386" stopIfTrue="1">
      <formula>AND(AR64&gt;=70010,AR64&lt;=76000)</formula>
    </cfRule>
    <cfRule type="expression" dxfId="31295" priority="3387">
      <formula>AND(AR64&gt;70000,AR64&lt;70004)</formula>
    </cfRule>
    <cfRule type="expression" dxfId="31294" priority="3388" stopIfTrue="1">
      <formula>OR(AND(AR64&gt;=10000,AR64&lt;=56999),AND(AR64&gt;=57000,AR64&lt;=57999))</formula>
    </cfRule>
    <cfRule type="expression" dxfId="31293" priority="3389" stopIfTrue="1">
      <formula>AND(AR64&gt;=8000,AR64&lt;=9999)</formula>
    </cfRule>
    <cfRule type="expression" dxfId="31292" priority="3390" stopIfTrue="1">
      <formula>AND(AR64&gt;=78100,AR64&lt;=78199)</formula>
    </cfRule>
    <cfRule type="expression" dxfId="31291" priority="3391" stopIfTrue="1">
      <formula>AND(AR64&gt;=92000,AR64&lt;=98999)</formula>
    </cfRule>
    <cfRule type="expression" dxfId="31290" priority="3392" stopIfTrue="1">
      <formula>AND(AR64&gt;=78100,AR64&lt;=78199)</formula>
    </cfRule>
    <cfRule type="expression" dxfId="31289" priority="3393" stopIfTrue="1">
      <formula>AND(AR64&gt;=91000,AR64&lt;=91999)</formula>
    </cfRule>
  </conditionalFormatting>
  <conditionalFormatting sqref="AU64:AU66">
    <cfRule type="expression" dxfId="31288" priority="3372">
      <formula>AND(AV64&gt;=79001,AV64&lt;79900)</formula>
    </cfRule>
    <cfRule type="expression" dxfId="31287" priority="3373" stopIfTrue="1">
      <formula>AND(AV64&gt;=70101,AV64&lt;=70301)</formula>
    </cfRule>
    <cfRule type="expression" dxfId="31286" priority="3374" stopIfTrue="1">
      <formula>AND(AV64&gt;70000,AV64&lt;70004)</formula>
    </cfRule>
    <cfRule type="expression" dxfId="31285" priority="3375" stopIfTrue="1">
      <formula>AND(AV64&gt;=70010,AV64&lt;=76000)</formula>
    </cfRule>
    <cfRule type="expression" dxfId="31284" priority="3376">
      <formula>AND(AV64&gt;70000,AV64&lt;70004)</formula>
    </cfRule>
    <cfRule type="expression" dxfId="31283" priority="3377" stopIfTrue="1">
      <formula>OR(AND(AV64&gt;=10000,AV64&lt;=56999),AND(AV64&gt;=57000,AV64&lt;=57999))</formula>
    </cfRule>
    <cfRule type="expression" dxfId="31282" priority="3378" stopIfTrue="1">
      <formula>AND(AV64&gt;=8000,AV64&lt;=9999)</formula>
    </cfRule>
    <cfRule type="expression" dxfId="31281" priority="3379" stopIfTrue="1">
      <formula>AND(AV64&gt;=78100,AV64&lt;=78199)</formula>
    </cfRule>
    <cfRule type="expression" dxfId="31280" priority="3380" stopIfTrue="1">
      <formula>AND(AV64&gt;=92000,AV64&lt;=98999)</formula>
    </cfRule>
    <cfRule type="expression" dxfId="31279" priority="3381" stopIfTrue="1">
      <formula>AND(AV64&gt;=78100,AV64&lt;=78199)</formula>
    </cfRule>
    <cfRule type="expression" dxfId="31278" priority="3382" stopIfTrue="1">
      <formula>AND(AV64&gt;=91000,AV64&lt;=91999)</formula>
    </cfRule>
  </conditionalFormatting>
  <conditionalFormatting sqref="AY64:AY66">
    <cfRule type="expression" dxfId="31277" priority="3361">
      <formula>AND(AZ64&gt;=79001,AZ64&lt;79900)</formula>
    </cfRule>
    <cfRule type="expression" dxfId="31276" priority="3362" stopIfTrue="1">
      <formula>AND(AZ64&gt;=70101,AZ64&lt;=70301)</formula>
    </cfRule>
    <cfRule type="expression" dxfId="31275" priority="3363" stopIfTrue="1">
      <formula>AND(AZ64&gt;70000,AZ64&lt;70004)</formula>
    </cfRule>
    <cfRule type="expression" dxfId="31274" priority="3364" stopIfTrue="1">
      <formula>AND(AZ64&gt;=70010,AZ64&lt;=76000)</formula>
    </cfRule>
    <cfRule type="expression" dxfId="31273" priority="3365">
      <formula>AND(AZ64&gt;70000,AZ64&lt;70004)</formula>
    </cfRule>
    <cfRule type="expression" dxfId="31272" priority="3366" stopIfTrue="1">
      <formula>OR(AND(AZ64&gt;=10000,AZ64&lt;=56999),AND(AZ64&gt;=57000,AZ64&lt;=57999))</formula>
    </cfRule>
    <cfRule type="expression" dxfId="31271" priority="3367" stopIfTrue="1">
      <formula>AND(AZ64&gt;=8000,AZ64&lt;=9999)</formula>
    </cfRule>
    <cfRule type="expression" dxfId="31270" priority="3368" stopIfTrue="1">
      <formula>AND(AZ64&gt;=78100,AZ64&lt;=78199)</formula>
    </cfRule>
    <cfRule type="expression" dxfId="31269" priority="3369" stopIfTrue="1">
      <formula>AND(AZ64&gt;=92000,AZ64&lt;=98999)</formula>
    </cfRule>
    <cfRule type="expression" dxfId="31268" priority="3370" stopIfTrue="1">
      <formula>AND(AZ64&gt;=78100,AZ64&lt;=78199)</formula>
    </cfRule>
    <cfRule type="expression" dxfId="31267" priority="3371" stopIfTrue="1">
      <formula>AND(AZ64&gt;=91000,AZ64&lt;=91999)</formula>
    </cfRule>
  </conditionalFormatting>
  <conditionalFormatting sqref="BC64:BC66">
    <cfRule type="expression" dxfId="31266" priority="3350">
      <formula>AND(BD64&gt;=79001,BD64&lt;79900)</formula>
    </cfRule>
    <cfRule type="expression" dxfId="31265" priority="3351" stopIfTrue="1">
      <formula>AND(BD64&gt;=70101,BD64&lt;=70301)</formula>
    </cfRule>
    <cfRule type="expression" dxfId="31264" priority="3352" stopIfTrue="1">
      <formula>AND(BD64&gt;70000,BD64&lt;70004)</formula>
    </cfRule>
    <cfRule type="expression" dxfId="31263" priority="3353" stopIfTrue="1">
      <formula>AND(BD64&gt;=70010,BD64&lt;=76000)</formula>
    </cfRule>
    <cfRule type="expression" dxfId="31262" priority="3354">
      <formula>AND(BD64&gt;70000,BD64&lt;70004)</formula>
    </cfRule>
    <cfRule type="expression" dxfId="31261" priority="3355" stopIfTrue="1">
      <formula>OR(AND(BD64&gt;=10000,BD64&lt;=56999),AND(BD64&gt;=57000,BD64&lt;=57999))</formula>
    </cfRule>
    <cfRule type="expression" dxfId="31260" priority="3356" stopIfTrue="1">
      <formula>AND(BD64&gt;=8000,BD64&lt;=9999)</formula>
    </cfRule>
    <cfRule type="expression" dxfId="31259" priority="3357" stopIfTrue="1">
      <formula>AND(BD64&gt;=78100,BD64&lt;=78199)</formula>
    </cfRule>
    <cfRule type="expression" dxfId="31258" priority="3358" stopIfTrue="1">
      <formula>AND(BD64&gt;=92000,BD64&lt;=98999)</formula>
    </cfRule>
    <cfRule type="expression" dxfId="31257" priority="3359" stopIfTrue="1">
      <formula>AND(BD64&gt;=78100,BD64&lt;=78199)</formula>
    </cfRule>
    <cfRule type="expression" dxfId="31256" priority="3360" stopIfTrue="1">
      <formula>AND(BD64&gt;=91000,BD64&lt;=91999)</formula>
    </cfRule>
  </conditionalFormatting>
  <conditionalFormatting sqref="BG64:BG66">
    <cfRule type="expression" dxfId="31255" priority="3339">
      <formula>AND(BH64&gt;=79001,BH64&lt;79900)</formula>
    </cfRule>
    <cfRule type="expression" dxfId="31254" priority="3340" stopIfTrue="1">
      <formula>AND(BH64&gt;=70101,BH64&lt;=70301)</formula>
    </cfRule>
    <cfRule type="expression" dxfId="31253" priority="3341" stopIfTrue="1">
      <formula>AND(BH64&gt;70000,BH64&lt;70004)</formula>
    </cfRule>
    <cfRule type="expression" dxfId="31252" priority="3342" stopIfTrue="1">
      <formula>AND(BH64&gt;=70010,BH64&lt;=76000)</formula>
    </cfRule>
    <cfRule type="expression" dxfId="31251" priority="3343">
      <formula>AND(BH64&gt;70000,BH64&lt;70004)</formula>
    </cfRule>
    <cfRule type="expression" dxfId="31250" priority="3344" stopIfTrue="1">
      <formula>OR(AND(BH64&gt;=10000,BH64&lt;=56999),AND(BH64&gt;=57000,BH64&lt;=57999))</formula>
    </cfRule>
    <cfRule type="expression" dxfId="31249" priority="3345" stopIfTrue="1">
      <formula>AND(BH64&gt;=8000,BH64&lt;=9999)</formula>
    </cfRule>
    <cfRule type="expression" dxfId="31248" priority="3346" stopIfTrue="1">
      <formula>AND(BH64&gt;=78100,BH64&lt;=78199)</formula>
    </cfRule>
    <cfRule type="expression" dxfId="31247" priority="3347" stopIfTrue="1">
      <formula>AND(BH64&gt;=92000,BH64&lt;=98999)</formula>
    </cfRule>
    <cfRule type="expression" dxfId="31246" priority="3348" stopIfTrue="1">
      <formula>AND(BH64&gt;=78100,BH64&lt;=78199)</formula>
    </cfRule>
    <cfRule type="expression" dxfId="31245" priority="3349" stopIfTrue="1">
      <formula>AND(BH64&gt;=91000,BH64&lt;=91999)</formula>
    </cfRule>
  </conditionalFormatting>
  <conditionalFormatting sqref="BK64:BK66">
    <cfRule type="expression" dxfId="31244" priority="3328">
      <formula>AND(BL64&gt;=79001,BL64&lt;79900)</formula>
    </cfRule>
    <cfRule type="expression" dxfId="31243" priority="3329" stopIfTrue="1">
      <formula>AND(BL64&gt;=70101,BL64&lt;=70301)</formula>
    </cfRule>
    <cfRule type="expression" dxfId="31242" priority="3330" stopIfTrue="1">
      <formula>AND(BL64&gt;70000,BL64&lt;70004)</formula>
    </cfRule>
    <cfRule type="expression" dxfId="31241" priority="3331" stopIfTrue="1">
      <formula>AND(BL64&gt;=70010,BL64&lt;=76000)</formula>
    </cfRule>
    <cfRule type="expression" dxfId="31240" priority="3332">
      <formula>AND(BL64&gt;70000,BL64&lt;70004)</formula>
    </cfRule>
    <cfRule type="expression" dxfId="31239" priority="3333" stopIfTrue="1">
      <formula>OR(AND(BL64&gt;=10000,BL64&lt;=56999),AND(BL64&gt;=57000,BL64&lt;=57999))</formula>
    </cfRule>
    <cfRule type="expression" dxfId="31238" priority="3334" stopIfTrue="1">
      <formula>AND(BL64&gt;=8000,BL64&lt;=9999)</formula>
    </cfRule>
    <cfRule type="expression" dxfId="31237" priority="3335" stopIfTrue="1">
      <formula>AND(BL64&gt;=78100,BL64&lt;=78199)</formula>
    </cfRule>
    <cfRule type="expression" dxfId="31236" priority="3336" stopIfTrue="1">
      <formula>AND(BL64&gt;=92000,BL64&lt;=98999)</formula>
    </cfRule>
    <cfRule type="expression" dxfId="31235" priority="3337" stopIfTrue="1">
      <formula>AND(BL64&gt;=78100,BL64&lt;=78199)</formula>
    </cfRule>
    <cfRule type="expression" dxfId="31234" priority="3338" stopIfTrue="1">
      <formula>AND(BL64&gt;=91000,BL64&lt;=91999)</formula>
    </cfRule>
  </conditionalFormatting>
  <conditionalFormatting sqref="G70:G72">
    <cfRule type="expression" dxfId="31233" priority="3316">
      <formula>AND(H70&gt;=79001,H70&lt;79900)</formula>
    </cfRule>
    <cfRule type="expression" dxfId="31232" priority="3317" stopIfTrue="1">
      <formula>AND(H70&gt;=70101,H70&lt;=70301)</formula>
    </cfRule>
    <cfRule type="expression" dxfId="31231" priority="3318" stopIfTrue="1">
      <formula>AND(H70&gt;70000,H70&lt;70004)</formula>
    </cfRule>
    <cfRule type="expression" dxfId="31230" priority="3319" stopIfTrue="1">
      <formula>AND(H70&gt;=70010,H70&lt;=76000)</formula>
    </cfRule>
    <cfRule type="expression" dxfId="31229" priority="3320">
      <formula>AND(H70&gt;70000,H70&lt;70004)</formula>
    </cfRule>
    <cfRule type="expression" dxfId="31228" priority="3321" stopIfTrue="1">
      <formula>OR(AND(H70&gt;=10000,H70&lt;=56999),AND(H70&gt;=57000,H70&lt;=57999))</formula>
    </cfRule>
    <cfRule type="expression" dxfId="31227" priority="3322" stopIfTrue="1">
      <formula>AND(H70&gt;=8000,H70&lt;=9999)</formula>
    </cfRule>
    <cfRule type="expression" dxfId="31226" priority="3323" stopIfTrue="1">
      <formula>AND(H70&gt;=78100,H70&lt;=78199)</formula>
    </cfRule>
    <cfRule type="expression" dxfId="31225" priority="3324" stopIfTrue="1">
      <formula>AND(H70&gt;=92000,H70&lt;=98999)</formula>
    </cfRule>
    <cfRule type="expression" dxfId="31224" priority="3325" stopIfTrue="1">
      <formula>AND(H70&gt;=78100,H70&lt;=78199)</formula>
    </cfRule>
    <cfRule type="expression" dxfId="31223" priority="3326" stopIfTrue="1">
      <formula>AND(H70&gt;=91000,H70&lt;=91999)</formula>
    </cfRule>
  </conditionalFormatting>
  <conditionalFormatting sqref="K70:K72">
    <cfRule type="expression" dxfId="31222" priority="3305">
      <formula>AND(L70&gt;=79001,L70&lt;79900)</formula>
    </cfRule>
    <cfRule type="expression" dxfId="31221" priority="3306" stopIfTrue="1">
      <formula>AND(L70&gt;=70101,L70&lt;=70301)</formula>
    </cfRule>
    <cfRule type="expression" dxfId="31220" priority="3307" stopIfTrue="1">
      <formula>AND(L70&gt;70000,L70&lt;70004)</formula>
    </cfRule>
    <cfRule type="expression" dxfId="31219" priority="3308" stopIfTrue="1">
      <formula>AND(L70&gt;=70010,L70&lt;=76000)</formula>
    </cfRule>
    <cfRule type="expression" dxfId="31218" priority="3309">
      <formula>AND(L70&gt;70000,L70&lt;70004)</formula>
    </cfRule>
    <cfRule type="expression" dxfId="31217" priority="3310" stopIfTrue="1">
      <formula>OR(AND(L70&gt;=10000,L70&lt;=56999),AND(L70&gt;=57000,L70&lt;=57999))</formula>
    </cfRule>
    <cfRule type="expression" dxfId="31216" priority="3311" stopIfTrue="1">
      <formula>AND(L70&gt;=8000,L70&lt;=9999)</formula>
    </cfRule>
    <cfRule type="expression" dxfId="31215" priority="3312" stopIfTrue="1">
      <formula>AND(L70&gt;=78100,L70&lt;=78199)</formula>
    </cfRule>
    <cfRule type="expression" dxfId="31214" priority="3313" stopIfTrue="1">
      <formula>AND(L70&gt;=92000,L70&lt;=98999)</formula>
    </cfRule>
    <cfRule type="expression" dxfId="31213" priority="3314" stopIfTrue="1">
      <formula>AND(L70&gt;=78100,L70&lt;=78199)</formula>
    </cfRule>
    <cfRule type="expression" dxfId="31212" priority="3315" stopIfTrue="1">
      <formula>AND(L70&gt;=91000,L70&lt;=91999)</formula>
    </cfRule>
  </conditionalFormatting>
  <conditionalFormatting sqref="S70:S72">
    <cfRule type="expression" dxfId="31211" priority="3283">
      <formula>AND(T70&gt;=79001,T70&lt;79900)</formula>
    </cfRule>
    <cfRule type="expression" dxfId="31210" priority="3284" stopIfTrue="1">
      <formula>AND(T70&gt;=70101,T70&lt;=70301)</formula>
    </cfRule>
    <cfRule type="expression" dxfId="31209" priority="3285" stopIfTrue="1">
      <formula>AND(T70&gt;70000,T70&lt;70004)</formula>
    </cfRule>
    <cfRule type="expression" dxfId="31208" priority="3286" stopIfTrue="1">
      <formula>AND(T70&gt;=70010,T70&lt;=76000)</formula>
    </cfRule>
    <cfRule type="expression" dxfId="31207" priority="3287">
      <formula>AND(T70&gt;70000,T70&lt;70004)</formula>
    </cfRule>
    <cfRule type="expression" dxfId="31206" priority="3288" stopIfTrue="1">
      <formula>OR(AND(T70&gt;=10000,T70&lt;=56999),AND(T70&gt;=57000,T70&lt;=57999))</formula>
    </cfRule>
    <cfRule type="expression" dxfId="31205" priority="3289" stopIfTrue="1">
      <formula>AND(T70&gt;=8000,T70&lt;=9999)</formula>
    </cfRule>
    <cfRule type="expression" dxfId="31204" priority="3290" stopIfTrue="1">
      <formula>AND(T70&gt;=78100,T70&lt;=78199)</formula>
    </cfRule>
    <cfRule type="expression" dxfId="31203" priority="3291" stopIfTrue="1">
      <formula>AND(T70&gt;=92000,T70&lt;=98999)</formula>
    </cfRule>
    <cfRule type="expression" dxfId="31202" priority="3292" stopIfTrue="1">
      <formula>AND(T70&gt;=78100,T70&lt;=78199)</formula>
    </cfRule>
    <cfRule type="expression" dxfId="31201" priority="3293" stopIfTrue="1">
      <formula>AND(T70&gt;=91000,T70&lt;=91999)</formula>
    </cfRule>
  </conditionalFormatting>
  <conditionalFormatting sqref="W70:W72">
    <cfRule type="expression" dxfId="31200" priority="3272">
      <formula>AND(X70&gt;=79001,X70&lt;79900)</formula>
    </cfRule>
    <cfRule type="expression" dxfId="31199" priority="3273" stopIfTrue="1">
      <formula>AND(X70&gt;=70101,X70&lt;=70301)</formula>
    </cfRule>
    <cfRule type="expression" dxfId="31198" priority="3274" stopIfTrue="1">
      <formula>AND(X70&gt;70000,X70&lt;70004)</formula>
    </cfRule>
    <cfRule type="expression" dxfId="31197" priority="3275" stopIfTrue="1">
      <formula>AND(X70&gt;=70010,X70&lt;=76000)</formula>
    </cfRule>
    <cfRule type="expression" dxfId="31196" priority="3276">
      <formula>AND(X70&gt;70000,X70&lt;70004)</formula>
    </cfRule>
    <cfRule type="expression" dxfId="31195" priority="3277" stopIfTrue="1">
      <formula>OR(AND(X70&gt;=10000,X70&lt;=56999),AND(X70&gt;=57000,X70&lt;=57999))</formula>
    </cfRule>
    <cfRule type="expression" dxfId="31194" priority="3278" stopIfTrue="1">
      <formula>AND(X70&gt;=8000,X70&lt;=9999)</formula>
    </cfRule>
    <cfRule type="expression" dxfId="31193" priority="3279" stopIfTrue="1">
      <formula>AND(X70&gt;=78100,X70&lt;=78199)</formula>
    </cfRule>
    <cfRule type="expression" dxfId="31192" priority="3280" stopIfTrue="1">
      <formula>AND(X70&gt;=92000,X70&lt;=98999)</formula>
    </cfRule>
    <cfRule type="expression" dxfId="31191" priority="3281" stopIfTrue="1">
      <formula>AND(X70&gt;=78100,X70&lt;=78199)</formula>
    </cfRule>
    <cfRule type="expression" dxfId="31190" priority="3282" stopIfTrue="1">
      <formula>AND(X70&gt;=91000,X70&lt;=91999)</formula>
    </cfRule>
  </conditionalFormatting>
  <conditionalFormatting sqref="AA70:AA72">
    <cfRule type="expression" dxfId="31189" priority="3261">
      <formula>AND(AB70&gt;=79001,AB70&lt;79900)</formula>
    </cfRule>
    <cfRule type="expression" dxfId="31188" priority="3262" stopIfTrue="1">
      <formula>AND(AB70&gt;=70101,AB70&lt;=70301)</formula>
    </cfRule>
    <cfRule type="expression" dxfId="31187" priority="3263" stopIfTrue="1">
      <formula>AND(AB70&gt;70000,AB70&lt;70004)</formula>
    </cfRule>
    <cfRule type="expression" dxfId="31186" priority="3264" stopIfTrue="1">
      <formula>AND(AB70&gt;=70010,AB70&lt;=76000)</formula>
    </cfRule>
    <cfRule type="expression" dxfId="31185" priority="3265">
      <formula>AND(AB70&gt;70000,AB70&lt;70004)</formula>
    </cfRule>
    <cfRule type="expression" dxfId="31184" priority="3266" stopIfTrue="1">
      <formula>OR(AND(AB70&gt;=10000,AB70&lt;=56999),AND(AB70&gt;=57000,AB70&lt;=57999))</formula>
    </cfRule>
    <cfRule type="expression" dxfId="31183" priority="3267" stopIfTrue="1">
      <formula>AND(AB70&gt;=8000,AB70&lt;=9999)</formula>
    </cfRule>
    <cfRule type="expression" dxfId="31182" priority="3268" stopIfTrue="1">
      <formula>AND(AB70&gt;=78100,AB70&lt;=78199)</formula>
    </cfRule>
    <cfRule type="expression" dxfId="31181" priority="3269" stopIfTrue="1">
      <formula>AND(AB70&gt;=92000,AB70&lt;=98999)</formula>
    </cfRule>
    <cfRule type="expression" dxfId="31180" priority="3270" stopIfTrue="1">
      <formula>AND(AB70&gt;=78100,AB70&lt;=78199)</formula>
    </cfRule>
    <cfRule type="expression" dxfId="31179" priority="3271" stopIfTrue="1">
      <formula>AND(AB70&gt;=91000,AB70&lt;=91999)</formula>
    </cfRule>
  </conditionalFormatting>
  <conditionalFormatting sqref="AE70:AE72">
    <cfRule type="expression" dxfId="31178" priority="3250">
      <formula>AND(AF70&gt;=79001,AF70&lt;79900)</formula>
    </cfRule>
    <cfRule type="expression" dxfId="31177" priority="3251" stopIfTrue="1">
      <formula>AND(AF70&gt;=70101,AF70&lt;=70301)</formula>
    </cfRule>
    <cfRule type="expression" dxfId="31176" priority="3252" stopIfTrue="1">
      <formula>AND(AF70&gt;70000,AF70&lt;70004)</formula>
    </cfRule>
    <cfRule type="expression" dxfId="31175" priority="3253" stopIfTrue="1">
      <formula>AND(AF70&gt;=70010,AF70&lt;=76000)</formula>
    </cfRule>
    <cfRule type="expression" dxfId="31174" priority="3254">
      <formula>AND(AF70&gt;70000,AF70&lt;70004)</formula>
    </cfRule>
    <cfRule type="expression" dxfId="31173" priority="3255" stopIfTrue="1">
      <formula>OR(AND(AF70&gt;=10000,AF70&lt;=56999),AND(AF70&gt;=57000,AF70&lt;=57999))</formula>
    </cfRule>
    <cfRule type="expression" dxfId="31172" priority="3256" stopIfTrue="1">
      <formula>AND(AF70&gt;=8000,AF70&lt;=9999)</formula>
    </cfRule>
    <cfRule type="expression" dxfId="31171" priority="3257" stopIfTrue="1">
      <formula>AND(AF70&gt;=78100,AF70&lt;=78199)</formula>
    </cfRule>
    <cfRule type="expression" dxfId="31170" priority="3258" stopIfTrue="1">
      <formula>AND(AF70&gt;=92000,AF70&lt;=98999)</formula>
    </cfRule>
    <cfRule type="expression" dxfId="31169" priority="3259" stopIfTrue="1">
      <formula>AND(AF70&gt;=78100,AF70&lt;=78199)</formula>
    </cfRule>
    <cfRule type="expression" dxfId="31168" priority="3260" stopIfTrue="1">
      <formula>AND(AF70&gt;=91000,AF70&lt;=91999)</formula>
    </cfRule>
  </conditionalFormatting>
  <conditionalFormatting sqref="AI70:AI72">
    <cfRule type="expression" dxfId="31167" priority="3239">
      <formula>AND(AJ70&gt;=79001,AJ70&lt;79900)</formula>
    </cfRule>
    <cfRule type="expression" dxfId="31166" priority="3240" stopIfTrue="1">
      <formula>AND(AJ70&gt;=70101,AJ70&lt;=70301)</formula>
    </cfRule>
    <cfRule type="expression" dxfId="31165" priority="3241" stopIfTrue="1">
      <formula>AND(AJ70&gt;70000,AJ70&lt;70004)</formula>
    </cfRule>
    <cfRule type="expression" dxfId="31164" priority="3242" stopIfTrue="1">
      <formula>AND(AJ70&gt;=70010,AJ70&lt;=76000)</formula>
    </cfRule>
    <cfRule type="expression" dxfId="31163" priority="3243">
      <formula>AND(AJ70&gt;70000,AJ70&lt;70004)</formula>
    </cfRule>
    <cfRule type="expression" dxfId="31162" priority="3244" stopIfTrue="1">
      <formula>OR(AND(AJ70&gt;=10000,AJ70&lt;=56999),AND(AJ70&gt;=57000,AJ70&lt;=57999))</formula>
    </cfRule>
    <cfRule type="expression" dxfId="31161" priority="3245" stopIfTrue="1">
      <formula>AND(AJ70&gt;=8000,AJ70&lt;=9999)</formula>
    </cfRule>
    <cfRule type="expression" dxfId="31160" priority="3246" stopIfTrue="1">
      <formula>AND(AJ70&gt;=78100,AJ70&lt;=78199)</formula>
    </cfRule>
    <cfRule type="expression" dxfId="31159" priority="3247" stopIfTrue="1">
      <formula>AND(AJ70&gt;=92000,AJ70&lt;=98999)</formula>
    </cfRule>
    <cfRule type="expression" dxfId="31158" priority="3248" stopIfTrue="1">
      <formula>AND(AJ70&gt;=78100,AJ70&lt;=78199)</formula>
    </cfRule>
    <cfRule type="expression" dxfId="31157" priority="3249" stopIfTrue="1">
      <formula>AND(AJ70&gt;=91000,AJ70&lt;=91999)</formula>
    </cfRule>
  </conditionalFormatting>
  <conditionalFormatting sqref="AM70:AM72">
    <cfRule type="expression" dxfId="31156" priority="3228">
      <formula>AND(AN70&gt;=79001,AN70&lt;79900)</formula>
    </cfRule>
    <cfRule type="expression" dxfId="31155" priority="3229" stopIfTrue="1">
      <formula>AND(AN70&gt;=70101,AN70&lt;=70301)</formula>
    </cfRule>
    <cfRule type="expression" dxfId="31154" priority="3230" stopIfTrue="1">
      <formula>AND(AN70&gt;70000,AN70&lt;70004)</formula>
    </cfRule>
    <cfRule type="expression" dxfId="31153" priority="3231" stopIfTrue="1">
      <formula>AND(AN70&gt;=70010,AN70&lt;=76000)</formula>
    </cfRule>
    <cfRule type="expression" dxfId="31152" priority="3232">
      <formula>AND(AN70&gt;70000,AN70&lt;70004)</formula>
    </cfRule>
    <cfRule type="expression" dxfId="31151" priority="3233" stopIfTrue="1">
      <formula>OR(AND(AN70&gt;=10000,AN70&lt;=56999),AND(AN70&gt;=57000,AN70&lt;=57999))</formula>
    </cfRule>
    <cfRule type="expression" dxfId="31150" priority="3234" stopIfTrue="1">
      <formula>AND(AN70&gt;=8000,AN70&lt;=9999)</formula>
    </cfRule>
    <cfRule type="expression" dxfId="31149" priority="3235" stopIfTrue="1">
      <formula>AND(AN70&gt;=78100,AN70&lt;=78199)</formula>
    </cfRule>
    <cfRule type="expression" dxfId="31148" priority="3236" stopIfTrue="1">
      <formula>AND(AN70&gt;=92000,AN70&lt;=98999)</formula>
    </cfRule>
    <cfRule type="expression" dxfId="31147" priority="3237" stopIfTrue="1">
      <formula>AND(AN70&gt;=78100,AN70&lt;=78199)</formula>
    </cfRule>
    <cfRule type="expression" dxfId="31146" priority="3238" stopIfTrue="1">
      <formula>AND(AN70&gt;=91000,AN70&lt;=91999)</formula>
    </cfRule>
  </conditionalFormatting>
  <conditionalFormatting sqref="AQ70:AQ72">
    <cfRule type="expression" dxfId="31145" priority="3217">
      <formula>AND(AR70&gt;=79001,AR70&lt;79900)</formula>
    </cfRule>
    <cfRule type="expression" dxfId="31144" priority="3218" stopIfTrue="1">
      <formula>AND(AR70&gt;=70101,AR70&lt;=70301)</formula>
    </cfRule>
    <cfRule type="expression" dxfId="31143" priority="3219" stopIfTrue="1">
      <formula>AND(AR70&gt;70000,AR70&lt;70004)</formula>
    </cfRule>
    <cfRule type="expression" dxfId="31142" priority="3220" stopIfTrue="1">
      <formula>AND(AR70&gt;=70010,AR70&lt;=76000)</formula>
    </cfRule>
    <cfRule type="expression" dxfId="31141" priority="3221">
      <formula>AND(AR70&gt;70000,AR70&lt;70004)</formula>
    </cfRule>
    <cfRule type="expression" dxfId="31140" priority="3222" stopIfTrue="1">
      <formula>OR(AND(AR70&gt;=10000,AR70&lt;=56999),AND(AR70&gt;=57000,AR70&lt;=57999))</formula>
    </cfRule>
    <cfRule type="expression" dxfId="31139" priority="3223" stopIfTrue="1">
      <formula>AND(AR70&gt;=8000,AR70&lt;=9999)</formula>
    </cfRule>
    <cfRule type="expression" dxfId="31138" priority="3224" stopIfTrue="1">
      <formula>AND(AR70&gt;=78100,AR70&lt;=78199)</formula>
    </cfRule>
    <cfRule type="expression" dxfId="31137" priority="3225" stopIfTrue="1">
      <formula>AND(AR70&gt;=92000,AR70&lt;=98999)</formula>
    </cfRule>
    <cfRule type="expression" dxfId="31136" priority="3226" stopIfTrue="1">
      <formula>AND(AR70&gt;=78100,AR70&lt;=78199)</formula>
    </cfRule>
    <cfRule type="expression" dxfId="31135" priority="3227" stopIfTrue="1">
      <formula>AND(AR70&gt;=91000,AR70&lt;=91999)</formula>
    </cfRule>
  </conditionalFormatting>
  <conditionalFormatting sqref="AU70:AU72">
    <cfRule type="expression" dxfId="31134" priority="3206">
      <formula>AND(AV70&gt;=79001,AV70&lt;79900)</formula>
    </cfRule>
    <cfRule type="expression" dxfId="31133" priority="3207" stopIfTrue="1">
      <formula>AND(AV70&gt;=70101,AV70&lt;=70301)</formula>
    </cfRule>
    <cfRule type="expression" dxfId="31132" priority="3208" stopIfTrue="1">
      <formula>AND(AV70&gt;70000,AV70&lt;70004)</formula>
    </cfRule>
    <cfRule type="expression" dxfId="31131" priority="3209" stopIfTrue="1">
      <formula>AND(AV70&gt;=70010,AV70&lt;=76000)</formula>
    </cfRule>
    <cfRule type="expression" dxfId="31130" priority="3210">
      <formula>AND(AV70&gt;70000,AV70&lt;70004)</formula>
    </cfRule>
    <cfRule type="expression" dxfId="31129" priority="3211" stopIfTrue="1">
      <formula>OR(AND(AV70&gt;=10000,AV70&lt;=56999),AND(AV70&gt;=57000,AV70&lt;=57999))</formula>
    </cfRule>
    <cfRule type="expression" dxfId="31128" priority="3212" stopIfTrue="1">
      <formula>AND(AV70&gt;=8000,AV70&lt;=9999)</formula>
    </cfRule>
    <cfRule type="expression" dxfId="31127" priority="3213" stopIfTrue="1">
      <formula>AND(AV70&gt;=78100,AV70&lt;=78199)</formula>
    </cfRule>
    <cfRule type="expression" dxfId="31126" priority="3214" stopIfTrue="1">
      <formula>AND(AV70&gt;=92000,AV70&lt;=98999)</formula>
    </cfRule>
    <cfRule type="expression" dxfId="31125" priority="3215" stopIfTrue="1">
      <formula>AND(AV70&gt;=78100,AV70&lt;=78199)</formula>
    </cfRule>
    <cfRule type="expression" dxfId="31124" priority="3216" stopIfTrue="1">
      <formula>AND(AV70&gt;=91000,AV70&lt;=91999)</formula>
    </cfRule>
  </conditionalFormatting>
  <conditionalFormatting sqref="AY70:AY72">
    <cfRule type="expression" dxfId="31123" priority="3195">
      <formula>AND(AZ70&gt;=79001,AZ70&lt;79900)</formula>
    </cfRule>
    <cfRule type="expression" dxfId="31122" priority="3196" stopIfTrue="1">
      <formula>AND(AZ70&gt;=70101,AZ70&lt;=70301)</formula>
    </cfRule>
    <cfRule type="expression" dxfId="31121" priority="3197" stopIfTrue="1">
      <formula>AND(AZ70&gt;70000,AZ70&lt;70004)</formula>
    </cfRule>
    <cfRule type="expression" dxfId="31120" priority="3198" stopIfTrue="1">
      <formula>AND(AZ70&gt;=70010,AZ70&lt;=76000)</formula>
    </cfRule>
    <cfRule type="expression" dxfId="31119" priority="3199">
      <formula>AND(AZ70&gt;70000,AZ70&lt;70004)</formula>
    </cfRule>
    <cfRule type="expression" dxfId="31118" priority="3200" stopIfTrue="1">
      <formula>OR(AND(AZ70&gt;=10000,AZ70&lt;=56999),AND(AZ70&gt;=57000,AZ70&lt;=57999))</formula>
    </cfRule>
    <cfRule type="expression" dxfId="31117" priority="3201" stopIfTrue="1">
      <formula>AND(AZ70&gt;=8000,AZ70&lt;=9999)</formula>
    </cfRule>
    <cfRule type="expression" dxfId="31116" priority="3202" stopIfTrue="1">
      <formula>AND(AZ70&gt;=78100,AZ70&lt;=78199)</formula>
    </cfRule>
    <cfRule type="expression" dxfId="31115" priority="3203" stopIfTrue="1">
      <formula>AND(AZ70&gt;=92000,AZ70&lt;=98999)</formula>
    </cfRule>
    <cfRule type="expression" dxfId="31114" priority="3204" stopIfTrue="1">
      <formula>AND(AZ70&gt;=78100,AZ70&lt;=78199)</formula>
    </cfRule>
    <cfRule type="expression" dxfId="31113" priority="3205" stopIfTrue="1">
      <formula>AND(AZ70&gt;=91000,AZ70&lt;=91999)</formula>
    </cfRule>
  </conditionalFormatting>
  <conditionalFormatting sqref="BC70:BC72">
    <cfRule type="expression" dxfId="31112" priority="3184">
      <formula>AND(BD70&gt;=79001,BD70&lt;79900)</formula>
    </cfRule>
    <cfRule type="expression" dxfId="31111" priority="3185" stopIfTrue="1">
      <formula>AND(BD70&gt;=70101,BD70&lt;=70301)</formula>
    </cfRule>
    <cfRule type="expression" dxfId="31110" priority="3186" stopIfTrue="1">
      <formula>AND(BD70&gt;70000,BD70&lt;70004)</formula>
    </cfRule>
    <cfRule type="expression" dxfId="31109" priority="3187" stopIfTrue="1">
      <formula>AND(BD70&gt;=70010,BD70&lt;=76000)</formula>
    </cfRule>
    <cfRule type="expression" dxfId="31108" priority="3188">
      <formula>AND(BD70&gt;70000,BD70&lt;70004)</formula>
    </cfRule>
    <cfRule type="expression" dxfId="31107" priority="3189" stopIfTrue="1">
      <formula>OR(AND(BD70&gt;=10000,BD70&lt;=56999),AND(BD70&gt;=57000,BD70&lt;=57999))</formula>
    </cfRule>
    <cfRule type="expression" dxfId="31106" priority="3190" stopIfTrue="1">
      <formula>AND(BD70&gt;=8000,BD70&lt;=9999)</formula>
    </cfRule>
    <cfRule type="expression" dxfId="31105" priority="3191" stopIfTrue="1">
      <formula>AND(BD70&gt;=78100,BD70&lt;=78199)</formula>
    </cfRule>
    <cfRule type="expression" dxfId="31104" priority="3192" stopIfTrue="1">
      <formula>AND(BD70&gt;=92000,BD70&lt;=98999)</formula>
    </cfRule>
    <cfRule type="expression" dxfId="31103" priority="3193" stopIfTrue="1">
      <formula>AND(BD70&gt;=78100,BD70&lt;=78199)</formula>
    </cfRule>
    <cfRule type="expression" dxfId="31102" priority="3194" stopIfTrue="1">
      <formula>AND(BD70&gt;=91000,BD70&lt;=91999)</formula>
    </cfRule>
  </conditionalFormatting>
  <conditionalFormatting sqref="BG70:BG72">
    <cfRule type="expression" dxfId="31101" priority="3173">
      <formula>AND(BH70&gt;=79001,BH70&lt;79900)</formula>
    </cfRule>
    <cfRule type="expression" dxfId="31100" priority="3174" stopIfTrue="1">
      <formula>AND(BH70&gt;=70101,BH70&lt;=70301)</formula>
    </cfRule>
    <cfRule type="expression" dxfId="31099" priority="3175" stopIfTrue="1">
      <formula>AND(BH70&gt;70000,BH70&lt;70004)</formula>
    </cfRule>
    <cfRule type="expression" dxfId="31098" priority="3176" stopIfTrue="1">
      <formula>AND(BH70&gt;=70010,BH70&lt;=76000)</formula>
    </cfRule>
    <cfRule type="expression" dxfId="31097" priority="3177">
      <formula>AND(BH70&gt;70000,BH70&lt;70004)</formula>
    </cfRule>
    <cfRule type="expression" dxfId="31096" priority="3178" stopIfTrue="1">
      <formula>OR(AND(BH70&gt;=10000,BH70&lt;=56999),AND(BH70&gt;=57000,BH70&lt;=57999))</formula>
    </cfRule>
    <cfRule type="expression" dxfId="31095" priority="3179" stopIfTrue="1">
      <formula>AND(BH70&gt;=8000,BH70&lt;=9999)</formula>
    </cfRule>
    <cfRule type="expression" dxfId="31094" priority="3180" stopIfTrue="1">
      <formula>AND(BH70&gt;=78100,BH70&lt;=78199)</formula>
    </cfRule>
    <cfRule type="expression" dxfId="31093" priority="3181" stopIfTrue="1">
      <formula>AND(BH70&gt;=92000,BH70&lt;=98999)</formula>
    </cfRule>
    <cfRule type="expression" dxfId="31092" priority="3182" stopIfTrue="1">
      <formula>AND(BH70&gt;=78100,BH70&lt;=78199)</formula>
    </cfRule>
    <cfRule type="expression" dxfId="31091" priority="3183" stopIfTrue="1">
      <formula>AND(BH70&gt;=91000,BH70&lt;=91999)</formula>
    </cfRule>
  </conditionalFormatting>
  <conditionalFormatting sqref="BK70:BK72">
    <cfRule type="expression" dxfId="31090" priority="3162">
      <formula>AND(BL70&gt;=79001,BL70&lt;79900)</formula>
    </cfRule>
    <cfRule type="expression" dxfId="31089" priority="3163" stopIfTrue="1">
      <formula>AND(BL70&gt;=70101,BL70&lt;=70301)</formula>
    </cfRule>
    <cfRule type="expression" dxfId="31088" priority="3164" stopIfTrue="1">
      <formula>AND(BL70&gt;70000,BL70&lt;70004)</formula>
    </cfRule>
    <cfRule type="expression" dxfId="31087" priority="3165" stopIfTrue="1">
      <formula>AND(BL70&gt;=70010,BL70&lt;=76000)</formula>
    </cfRule>
    <cfRule type="expression" dxfId="31086" priority="3166">
      <formula>AND(BL70&gt;70000,BL70&lt;70004)</formula>
    </cfRule>
    <cfRule type="expression" dxfId="31085" priority="3167" stopIfTrue="1">
      <formula>OR(AND(BL70&gt;=10000,BL70&lt;=56999),AND(BL70&gt;=57000,BL70&lt;=57999))</formula>
    </cfRule>
    <cfRule type="expression" dxfId="31084" priority="3168" stopIfTrue="1">
      <formula>AND(BL70&gt;=8000,BL70&lt;=9999)</formula>
    </cfRule>
    <cfRule type="expression" dxfId="31083" priority="3169" stopIfTrue="1">
      <formula>AND(BL70&gt;=78100,BL70&lt;=78199)</formula>
    </cfRule>
    <cfRule type="expression" dxfId="31082" priority="3170" stopIfTrue="1">
      <formula>AND(BL70&gt;=92000,BL70&lt;=98999)</formula>
    </cfRule>
    <cfRule type="expression" dxfId="31081" priority="3171" stopIfTrue="1">
      <formula>AND(BL70&gt;=78100,BL70&lt;=78199)</formula>
    </cfRule>
    <cfRule type="expression" dxfId="31080" priority="3172" stopIfTrue="1">
      <formula>AND(BL70&gt;=91000,BL70&lt;=91999)</formula>
    </cfRule>
  </conditionalFormatting>
  <conditionalFormatting sqref="G382 K382">
    <cfRule type="expression" dxfId="31079" priority="3138">
      <formula>AND(H382&gt;=79001,H382&lt;79900)</formula>
    </cfRule>
    <cfRule type="expression" dxfId="31078" priority="3139" stopIfTrue="1">
      <formula>AND(H382&gt;=70101,H382&lt;=70301)</formula>
    </cfRule>
    <cfRule type="expression" dxfId="31077" priority="3140" stopIfTrue="1">
      <formula>AND(H382&gt;70000,H382&lt;70004)</formula>
    </cfRule>
    <cfRule type="expression" dxfId="31076" priority="3141" stopIfTrue="1">
      <formula>AND(H382&gt;=70010,H382&lt;=76000)</formula>
    </cfRule>
    <cfRule type="expression" dxfId="31075" priority="3142">
      <formula>AND(H382&gt;70000,H382&lt;70004)</formula>
    </cfRule>
    <cfRule type="expression" dxfId="31074" priority="3143" stopIfTrue="1">
      <formula>OR(AND(H382&gt;=10000,H382&lt;=56999),AND(H382&gt;=57000,H382&lt;=57999))</formula>
    </cfRule>
    <cfRule type="expression" dxfId="31073" priority="3144" stopIfTrue="1">
      <formula>AND(H382&gt;=8000,H382&lt;=9999)</formula>
    </cfRule>
    <cfRule type="expression" dxfId="31072" priority="3145" stopIfTrue="1">
      <formula>AND(H382&gt;=78100,H382&lt;=78199)</formula>
    </cfRule>
    <cfRule type="expression" dxfId="31071" priority="3146" stopIfTrue="1">
      <formula>AND(H382&gt;=92000,H382&lt;=98999)</formula>
    </cfRule>
    <cfRule type="expression" dxfId="31070" priority="3147" stopIfTrue="1">
      <formula>AND(H382&gt;=78100,H382&lt;=78199)</formula>
    </cfRule>
    <cfRule type="expression" dxfId="31069" priority="3148" stopIfTrue="1">
      <formula>AND(H382&gt;=91000,H382&lt;=91999)</formula>
    </cfRule>
  </conditionalFormatting>
  <conditionalFormatting sqref="O237 K237">
    <cfRule type="expression" dxfId="31068" priority="3149">
      <formula>AND(L237&gt;=79001,L237&lt;79900)</formula>
    </cfRule>
    <cfRule type="expression" dxfId="31067" priority="3150" stopIfTrue="1">
      <formula>AND(L237&gt;=70101,L237&lt;=70301)</formula>
    </cfRule>
    <cfRule type="expression" dxfId="31066" priority="3151" stopIfTrue="1">
      <formula>AND(L237&gt;70000,L237&lt;70004)</formula>
    </cfRule>
    <cfRule type="expression" dxfId="31065" priority="3152" stopIfTrue="1">
      <formula>AND(L237&gt;=70010,L237&lt;=76000)</formula>
    </cfRule>
    <cfRule type="expression" dxfId="31064" priority="3153">
      <formula>AND(L237&gt;70000,L237&lt;70004)</formula>
    </cfRule>
    <cfRule type="expression" dxfId="31063" priority="3154" stopIfTrue="1">
      <formula>OR(AND(L237&gt;=10000,L237&lt;=56999),AND(L237&gt;=57000,L237&lt;=57999))</formula>
    </cfRule>
    <cfRule type="expression" dxfId="31062" priority="3155" stopIfTrue="1">
      <formula>AND(L237&gt;=8000,L237&lt;=9999)</formula>
    </cfRule>
    <cfRule type="expression" dxfId="31061" priority="3156" stopIfTrue="1">
      <formula>AND(L237&gt;=78100,L237&lt;=78199)</formula>
    </cfRule>
    <cfRule type="expression" dxfId="31060" priority="3157" stopIfTrue="1">
      <formula>AND(L237&gt;=92000,L237&lt;=98999)</formula>
    </cfRule>
    <cfRule type="expression" dxfId="31059" priority="3158" stopIfTrue="1">
      <formula>AND(L237&gt;=78100,L237&lt;=78199)</formula>
    </cfRule>
    <cfRule type="expression" dxfId="31058" priority="3159" stopIfTrue="1">
      <formula>AND(L237&gt;=91000,L237&lt;=91999)</formula>
    </cfRule>
  </conditionalFormatting>
  <conditionalFormatting sqref="K630:K644 O630:O644 S630:S644 W630:W644 AQ630:AQ644 AA630:AA644 AU630:AU644 AM630:AM644 AE630:AE644 G630:G659 AI630:AI644">
    <cfRule type="expression" dxfId="31057" priority="3127">
      <formula>AND(H630&gt;=79001,H630&lt;79900)</formula>
    </cfRule>
    <cfRule type="expression" dxfId="31056" priority="3128" stopIfTrue="1">
      <formula>AND(H630&gt;=70101,H630&lt;=70301)</formula>
    </cfRule>
    <cfRule type="expression" dxfId="31055" priority="3129" stopIfTrue="1">
      <formula>AND(H630&gt;70000,H630&lt;70004)</formula>
    </cfRule>
    <cfRule type="expression" dxfId="31054" priority="3130" stopIfTrue="1">
      <formula>AND(H630&gt;=70010,H630&lt;=76000)</formula>
    </cfRule>
    <cfRule type="expression" dxfId="31053" priority="3131">
      <formula>AND(H630&gt;70000,H630&lt;70004)</formula>
    </cfRule>
    <cfRule type="expression" dxfId="31052" priority="3132" stopIfTrue="1">
      <formula>OR(AND(H630&gt;=10000,H630&lt;=56999),AND(H630&gt;=57000,H630&lt;=57999))</formula>
    </cfRule>
    <cfRule type="expression" dxfId="31051" priority="3133" stopIfTrue="1">
      <formula>AND(H630&gt;=8000,H630&lt;=9999)</formula>
    </cfRule>
    <cfRule type="expression" dxfId="31050" priority="3134" stopIfTrue="1">
      <formula>AND(H630&gt;=78100,H630&lt;=78199)</formula>
    </cfRule>
    <cfRule type="expression" dxfId="31049" priority="3135" stopIfTrue="1">
      <formula>AND(H630&gt;=92000,H630&lt;=98999)</formula>
    </cfRule>
    <cfRule type="expression" dxfId="31048" priority="3136" stopIfTrue="1">
      <formula>AND(H630&gt;=78100,H630&lt;=78199)</formula>
    </cfRule>
    <cfRule type="expression" dxfId="31047" priority="3137" stopIfTrue="1">
      <formula>AND(H630&gt;=91000,H630&lt;=91999)</formula>
    </cfRule>
  </conditionalFormatting>
  <conditionalFormatting sqref="K645:K659 O645:O659 S645:S659 W645:W659 AA645:AA659 AM645:AM659 AE645:AE659 AI645:AI659">
    <cfRule type="expression" dxfId="31046" priority="3104">
      <formula>AND(L645&gt;=79001,L645&lt;79900)</formula>
    </cfRule>
    <cfRule type="expression" dxfId="31045" priority="3105" stopIfTrue="1">
      <formula>AND(L645&gt;=70101,L645&lt;=70301)</formula>
    </cfRule>
    <cfRule type="expression" dxfId="31044" priority="3106" stopIfTrue="1">
      <formula>AND(L645&gt;70000,L645&lt;70004)</formula>
    </cfRule>
    <cfRule type="expression" dxfId="31043" priority="3107" stopIfTrue="1">
      <formula>AND(L645&gt;=70010,L645&lt;=76000)</formula>
    </cfRule>
    <cfRule type="expression" dxfId="31042" priority="3108">
      <formula>AND(L645&gt;70000,L645&lt;70004)</formula>
    </cfRule>
    <cfRule type="expression" dxfId="31041" priority="3109" stopIfTrue="1">
      <formula>OR(AND(L645&gt;=10000,L645&lt;=56999),AND(L645&gt;=57000,L645&lt;=57999))</formula>
    </cfRule>
    <cfRule type="expression" dxfId="31040" priority="3110" stopIfTrue="1">
      <formula>AND(L645&gt;=8000,L645&lt;=9999)</formula>
    </cfRule>
    <cfRule type="expression" dxfId="31039" priority="3111" stopIfTrue="1">
      <formula>AND(L645&gt;=78100,L645&lt;=78199)</formula>
    </cfRule>
    <cfRule type="expression" dxfId="31038" priority="3112" stopIfTrue="1">
      <formula>AND(L645&gt;=92000,L645&lt;=98999)</formula>
    </cfRule>
    <cfRule type="expression" dxfId="31037" priority="3113" stopIfTrue="1">
      <formula>AND(L645&gt;=78100,L645&lt;=78199)</formula>
    </cfRule>
    <cfRule type="expression" dxfId="31036" priority="3114" stopIfTrue="1">
      <formula>AND(L645&gt;=91000,L645&lt;=91999)</formula>
    </cfRule>
  </conditionalFormatting>
  <conditionalFormatting sqref="A324:A1048576 A1:A280">
    <cfRule type="duplicateValues" dxfId="31035" priority="3103"/>
  </conditionalFormatting>
  <conditionalFormatting sqref="BO295:XFD299 B295:B299 B301:B304 BO301:XFD304">
    <cfRule type="colorScale" priority="3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5:K299 O295:O299 G295:G299 W295:W299 S295:S299 AA295:AA299 AY295:AY299 BC295:BC299 BG295:BG299 BK295:BK299 AQ295:AQ299 AI295:AI299 AU295:AU299 AM295:AM299 AE295:AE299 AE301:AE304 AM301:AM304 AU301:AU304 AI301:AI304 AQ301:AQ304 BK301:BK304 BG301:BG304 BC301:BC304 AY301:AY304 AA301:AA304 S301:S304 W301:W304 G301:G304 O301:O304 K301:K304">
    <cfRule type="expression" dxfId="31034" priority="3091">
      <formula>AND(H295&gt;=79001,H295&lt;79900)</formula>
    </cfRule>
    <cfRule type="expression" dxfId="31033" priority="3092" stopIfTrue="1">
      <formula>AND(H295&gt;=70101,H295&lt;=70301)</formula>
    </cfRule>
    <cfRule type="expression" dxfId="31032" priority="3093" stopIfTrue="1">
      <formula>AND(H295&gt;70000,H295&lt;70004)</formula>
    </cfRule>
    <cfRule type="expression" dxfId="31031" priority="3094" stopIfTrue="1">
      <formula>AND(H295&gt;=70010,H295&lt;=76000)</formula>
    </cfRule>
    <cfRule type="expression" dxfId="31030" priority="3095">
      <formula>AND(H295&gt;70000,H295&lt;70004)</formula>
    </cfRule>
    <cfRule type="expression" dxfId="31029" priority="3096" stopIfTrue="1">
      <formula>OR(AND(H295&gt;=10000,H295&lt;=56999),AND(H295&gt;=57000,H295&lt;=57999))</formula>
    </cfRule>
    <cfRule type="expression" dxfId="31028" priority="3097" stopIfTrue="1">
      <formula>AND(H295&gt;=8000,H295&lt;=9999)</formula>
    </cfRule>
    <cfRule type="expression" dxfId="31027" priority="3098" stopIfTrue="1">
      <formula>AND(H295&gt;=78100,H295&lt;=78199)</formula>
    </cfRule>
    <cfRule type="expression" dxfId="31026" priority="3099" stopIfTrue="1">
      <formula>AND(H295&gt;=92000,H295&lt;=98999)</formula>
    </cfRule>
    <cfRule type="expression" dxfId="31025" priority="3100" stopIfTrue="1">
      <formula>AND(H295&gt;=78100,H295&lt;=78199)</formula>
    </cfRule>
    <cfRule type="expression" dxfId="31024" priority="3101" stopIfTrue="1">
      <formula>AND(H295&gt;=91000,H295&lt;=91999)</formula>
    </cfRule>
  </conditionalFormatting>
  <conditionalFormatting sqref="A295:A299 A301:A305">
    <cfRule type="duplicateValues" dxfId="31023" priority="3090"/>
  </conditionalFormatting>
  <conditionalFormatting sqref="BO305:XFD305 B305">
    <cfRule type="colorScale" priority="3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5 O305 G305 W305 S305 AA305 AY305 BC305 BG305 BK305 AQ305 AI305 AU305 AM305 AE305">
    <cfRule type="expression" dxfId="31022" priority="3078">
      <formula>AND(H305&gt;=79001,H305&lt;79900)</formula>
    </cfRule>
    <cfRule type="expression" dxfId="31021" priority="3079" stopIfTrue="1">
      <formula>AND(H305&gt;=70101,H305&lt;=70301)</formula>
    </cfRule>
    <cfRule type="expression" dxfId="31020" priority="3080" stopIfTrue="1">
      <formula>AND(H305&gt;70000,H305&lt;70004)</formula>
    </cfRule>
    <cfRule type="expression" dxfId="31019" priority="3081" stopIfTrue="1">
      <formula>AND(H305&gt;=70010,H305&lt;=76000)</formula>
    </cfRule>
    <cfRule type="expression" dxfId="31018" priority="3082">
      <formula>AND(H305&gt;70000,H305&lt;70004)</formula>
    </cfRule>
    <cfRule type="expression" dxfId="31017" priority="3083" stopIfTrue="1">
      <formula>OR(AND(H305&gt;=10000,H305&lt;=56999),AND(H305&gt;=57000,H305&lt;=57999))</formula>
    </cfRule>
    <cfRule type="expression" dxfId="31016" priority="3084" stopIfTrue="1">
      <formula>AND(H305&gt;=8000,H305&lt;=9999)</formula>
    </cfRule>
    <cfRule type="expression" dxfId="31015" priority="3085" stopIfTrue="1">
      <formula>AND(H305&gt;=78100,H305&lt;=78199)</formula>
    </cfRule>
    <cfRule type="expression" dxfId="31014" priority="3086" stopIfTrue="1">
      <formula>AND(H305&gt;=92000,H305&lt;=98999)</formula>
    </cfRule>
    <cfRule type="expression" dxfId="31013" priority="3087" stopIfTrue="1">
      <formula>AND(H305&gt;=78100,H305&lt;=78199)</formula>
    </cfRule>
    <cfRule type="expression" dxfId="31012" priority="3088" stopIfTrue="1">
      <formula>AND(H305&gt;=91000,H305&lt;=91999)</formula>
    </cfRule>
  </conditionalFormatting>
  <conditionalFormatting sqref="K449:K456 G449:G456 O449:O456 W449:W456 S449:S456 AA449:AA456 AY449:AY456 BC449:BC456 BG449:BG456 BK449:BK456 AQ449:AQ456 AI449:AI456 AU449:AU456 AM449:AM456 AE449:AE456">
    <cfRule type="expression" dxfId="31011" priority="3066">
      <formula>AND(H449&gt;=79001,H449&lt;79900)</formula>
    </cfRule>
    <cfRule type="expression" dxfId="31010" priority="3067" stopIfTrue="1">
      <formula>AND(H449&gt;=70101,H449&lt;=70301)</formula>
    </cfRule>
    <cfRule type="expression" dxfId="31009" priority="3068" stopIfTrue="1">
      <formula>AND(H449&gt;70000,H449&lt;70004)</formula>
    </cfRule>
    <cfRule type="expression" dxfId="31008" priority="3069" stopIfTrue="1">
      <formula>AND(H449&gt;=70010,H449&lt;=76000)</formula>
    </cfRule>
    <cfRule type="expression" dxfId="31007" priority="3070">
      <formula>AND(H449&gt;70000,H449&lt;70004)</formula>
    </cfRule>
    <cfRule type="expression" dxfId="31006" priority="3071" stopIfTrue="1">
      <formula>OR(AND(H449&gt;=10000,H449&lt;=56999),AND(H449&gt;=57000,H449&lt;=57999))</formula>
    </cfRule>
    <cfRule type="expression" dxfId="31005" priority="3072" stopIfTrue="1">
      <formula>AND(H449&gt;=8000,H449&lt;=9999)</formula>
    </cfRule>
    <cfRule type="expression" dxfId="31004" priority="3073" stopIfTrue="1">
      <formula>AND(H449&gt;=78100,H449&lt;=78199)</formula>
    </cfRule>
    <cfRule type="expression" dxfId="31003" priority="3074" stopIfTrue="1">
      <formula>AND(H449&gt;=92000,H449&lt;=98999)</formula>
    </cfRule>
    <cfRule type="expression" dxfId="31002" priority="3075" stopIfTrue="1">
      <formula>AND(H449&gt;=78100,H449&lt;=78199)</formula>
    </cfRule>
    <cfRule type="expression" dxfId="31001" priority="3076" stopIfTrue="1">
      <formula>AND(H449&gt;=91000,H449&lt;=91999)</formula>
    </cfRule>
  </conditionalFormatting>
  <conditionalFormatting sqref="K457 G457 O457 W457 S457 AA457 AY457 BC457 BG457 BK457 AQ457 AI457 AU457 AM457 AE457">
    <cfRule type="expression" dxfId="31000" priority="3053">
      <formula>AND(H457&gt;=79001,H457&lt;79900)</formula>
    </cfRule>
    <cfRule type="expression" dxfId="30999" priority="3054" stopIfTrue="1">
      <formula>AND(H457&gt;=70101,H457&lt;=70301)</formula>
    </cfRule>
    <cfRule type="expression" dxfId="30998" priority="3055" stopIfTrue="1">
      <formula>AND(H457&gt;70000,H457&lt;70004)</formula>
    </cfRule>
    <cfRule type="expression" dxfId="30997" priority="3056" stopIfTrue="1">
      <formula>AND(H457&gt;=70010,H457&lt;=76000)</formula>
    </cfRule>
    <cfRule type="expression" dxfId="30996" priority="3057">
      <formula>AND(H457&gt;70000,H457&lt;70004)</formula>
    </cfRule>
    <cfRule type="expression" dxfId="30995" priority="3058" stopIfTrue="1">
      <formula>OR(AND(H457&gt;=10000,H457&lt;=56999),AND(H457&gt;=57000,H457&lt;=57999))</formula>
    </cfRule>
    <cfRule type="expression" dxfId="30994" priority="3059" stopIfTrue="1">
      <formula>AND(H457&gt;=8000,H457&lt;=9999)</formula>
    </cfRule>
    <cfRule type="expression" dxfId="30993" priority="3060" stopIfTrue="1">
      <formula>AND(H457&gt;=78100,H457&lt;=78199)</formula>
    </cfRule>
    <cfRule type="expression" dxfId="30992" priority="3061" stopIfTrue="1">
      <formula>AND(H457&gt;=92000,H457&lt;=98999)</formula>
    </cfRule>
    <cfRule type="expression" dxfId="30991" priority="3062" stopIfTrue="1">
      <formula>AND(H457&gt;=78100,H457&lt;=78199)</formula>
    </cfRule>
    <cfRule type="expression" dxfId="30990" priority="3063" stopIfTrue="1">
      <formula>AND(H457&gt;=91000,H457&lt;=91999)</formula>
    </cfRule>
  </conditionalFormatting>
  <conditionalFormatting sqref="G507:G515">
    <cfRule type="expression" dxfId="30989" priority="3042">
      <formula>AND(H507&gt;=79001,H507&lt;79900)</formula>
    </cfRule>
    <cfRule type="expression" dxfId="30988" priority="3043" stopIfTrue="1">
      <formula>AND(H507&gt;=70101,H507&lt;=70301)</formula>
    </cfRule>
    <cfRule type="expression" dxfId="30987" priority="3044" stopIfTrue="1">
      <formula>AND(H507&gt;70000,H507&lt;70004)</formula>
    </cfRule>
    <cfRule type="expression" dxfId="30986" priority="3045" stopIfTrue="1">
      <formula>AND(H507&gt;=70010,H507&lt;=76000)</formula>
    </cfRule>
    <cfRule type="expression" dxfId="30985" priority="3046">
      <formula>AND(H507&gt;70000,H507&lt;70004)</formula>
    </cfRule>
    <cfRule type="expression" dxfId="30984" priority="3047" stopIfTrue="1">
      <formula>OR(AND(H507&gt;=10000,H507&lt;=56999),AND(H507&gt;=57000,H507&lt;=57999))</formula>
    </cfRule>
    <cfRule type="expression" dxfId="30983" priority="3048" stopIfTrue="1">
      <formula>AND(H507&gt;=8000,H507&lt;=9999)</formula>
    </cfRule>
    <cfRule type="expression" dxfId="30982" priority="3049" stopIfTrue="1">
      <formula>AND(H507&gt;=78100,H507&lt;=78199)</formula>
    </cfRule>
    <cfRule type="expression" dxfId="30981" priority="3050" stopIfTrue="1">
      <formula>AND(H507&gt;=92000,H507&lt;=98999)</formula>
    </cfRule>
    <cfRule type="expression" dxfId="30980" priority="3051" stopIfTrue="1">
      <formula>AND(H507&gt;=78100,H507&lt;=78199)</formula>
    </cfRule>
    <cfRule type="expression" dxfId="30979" priority="3052" stopIfTrue="1">
      <formula>AND(H507&gt;=91000,H507&lt;=91999)</formula>
    </cfRule>
  </conditionalFormatting>
  <conditionalFormatting sqref="AE507:AE515 AM507:AM515 AU507:AU515 AI507:AI515 AQ507:AQ515 BK507:BK515 BG507:BG515 BC507:BC515 AY507:AY515 K507:K515 O507:O515 S507:S515 W507:W515 AA507:AA515">
    <cfRule type="expression" dxfId="30978" priority="3031">
      <formula>AND(L507&gt;=79001,L507&lt;79900)</formula>
    </cfRule>
    <cfRule type="expression" dxfId="30977" priority="3032" stopIfTrue="1">
      <formula>AND(L507&gt;=70101,L507&lt;=70301)</formula>
    </cfRule>
    <cfRule type="expression" dxfId="30976" priority="3033" stopIfTrue="1">
      <formula>AND(L507&gt;70000,L507&lt;70004)</formula>
    </cfRule>
    <cfRule type="expression" dxfId="30975" priority="3034" stopIfTrue="1">
      <formula>AND(L507&gt;=70010,L507&lt;=76000)</formula>
    </cfRule>
    <cfRule type="expression" dxfId="30974" priority="3035">
      <formula>AND(L507&gt;70000,L507&lt;70004)</formula>
    </cfRule>
    <cfRule type="expression" dxfId="30973" priority="3036" stopIfTrue="1">
      <formula>OR(AND(L507&gt;=10000,L507&lt;=56999),AND(L507&gt;=57000,L507&lt;=57999))</formula>
    </cfRule>
    <cfRule type="expression" dxfId="30972" priority="3037" stopIfTrue="1">
      <formula>AND(L507&gt;=8000,L507&lt;=9999)</formula>
    </cfRule>
    <cfRule type="expression" dxfId="30971" priority="3038" stopIfTrue="1">
      <formula>AND(L507&gt;=78100,L507&lt;=78199)</formula>
    </cfRule>
    <cfRule type="expression" dxfId="30970" priority="3039" stopIfTrue="1">
      <formula>AND(L507&gt;=92000,L507&lt;=98999)</formula>
    </cfRule>
    <cfRule type="expression" dxfId="30969" priority="3040" stopIfTrue="1">
      <formula>AND(L507&gt;=78100,L507&lt;=78199)</formula>
    </cfRule>
    <cfRule type="expression" dxfId="30968" priority="3041" stopIfTrue="1">
      <formula>AND(L507&gt;=91000,L507&lt;=91999)</formula>
    </cfRule>
  </conditionalFormatting>
  <conditionalFormatting sqref="BO239:XFD239">
    <cfRule type="colorScale" priority="29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9 O239 G239 W239 S239 AA239 AY239 BC239 BG239 BK239 AQ239 AI239 AU239 AM239 AE239">
    <cfRule type="expression" dxfId="30967" priority="2988">
      <formula>AND(H239&gt;=79001,H239&lt;79900)</formula>
    </cfRule>
    <cfRule type="expression" dxfId="30966" priority="2989" stopIfTrue="1">
      <formula>AND(H239&gt;=70101,H239&lt;=70301)</formula>
    </cfRule>
    <cfRule type="expression" dxfId="30965" priority="2990" stopIfTrue="1">
      <formula>AND(H239&gt;70000,H239&lt;70004)</formula>
    </cfRule>
    <cfRule type="expression" dxfId="30964" priority="2991" stopIfTrue="1">
      <formula>AND(H239&gt;=70010,H239&lt;=76000)</formula>
    </cfRule>
    <cfRule type="expression" dxfId="30963" priority="2992">
      <formula>AND(H239&gt;70000,H239&lt;70004)</formula>
    </cfRule>
    <cfRule type="expression" dxfId="30962" priority="2993" stopIfTrue="1">
      <formula>OR(AND(H239&gt;=10000,H239&lt;=56999),AND(H239&gt;=57000,H239&lt;=57999))</formula>
    </cfRule>
    <cfRule type="expression" dxfId="30961" priority="2994" stopIfTrue="1">
      <formula>AND(H239&gt;=8000,H239&lt;=9999)</formula>
    </cfRule>
    <cfRule type="expression" dxfId="30960" priority="2995" stopIfTrue="1">
      <formula>AND(H239&gt;=78100,H239&lt;=78199)</formula>
    </cfRule>
    <cfRule type="expression" dxfId="30959" priority="2996" stopIfTrue="1">
      <formula>AND(H239&gt;=92000,H239&lt;=98999)</formula>
    </cfRule>
    <cfRule type="expression" dxfId="30958" priority="2997" stopIfTrue="1">
      <formula>AND(H239&gt;=78100,H239&lt;=78199)</formula>
    </cfRule>
    <cfRule type="expression" dxfId="30957" priority="2998" stopIfTrue="1">
      <formula>AND(H239&gt;=91000,H239&lt;=91999)</formula>
    </cfRule>
  </conditionalFormatting>
  <conditionalFormatting sqref="BO236:XFD236">
    <cfRule type="colorScale" priority="34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:G11">
    <cfRule type="expression" dxfId="30956" priority="2976">
      <formula>AND(H9&gt;=79001,H9&lt;79900)</formula>
    </cfRule>
    <cfRule type="expression" dxfId="30955" priority="2977" stopIfTrue="1">
      <formula>AND(H9&gt;=70101,H9&lt;=70301)</formula>
    </cfRule>
    <cfRule type="expression" dxfId="30954" priority="2978" stopIfTrue="1">
      <formula>AND(H9&gt;70000,H9&lt;70004)</formula>
    </cfRule>
    <cfRule type="expression" dxfId="30953" priority="2979" stopIfTrue="1">
      <formula>AND(H9&gt;=70010,H9&lt;=76000)</formula>
    </cfRule>
    <cfRule type="expression" dxfId="30952" priority="2980">
      <formula>AND(H9&gt;70000,H9&lt;70004)</formula>
    </cfRule>
    <cfRule type="expression" dxfId="30951" priority="2981" stopIfTrue="1">
      <formula>OR(AND(H9&gt;=10000,H9&lt;=56999),AND(H9&gt;=57000,H9&lt;=57999))</formula>
    </cfRule>
    <cfRule type="expression" dxfId="30950" priority="2982" stopIfTrue="1">
      <formula>AND(H9&gt;=8000,H9&lt;=9999)</formula>
    </cfRule>
    <cfRule type="expression" dxfId="30949" priority="2983" stopIfTrue="1">
      <formula>AND(H9&gt;=78100,H9&lt;=78199)</formula>
    </cfRule>
    <cfRule type="expression" dxfId="30948" priority="2984" stopIfTrue="1">
      <formula>AND(H9&gt;=92000,H9&lt;=98999)</formula>
    </cfRule>
    <cfRule type="expression" dxfId="30947" priority="2985" stopIfTrue="1">
      <formula>AND(H9&gt;=78100,H9&lt;=78199)</formula>
    </cfRule>
    <cfRule type="expression" dxfId="30946" priority="2986" stopIfTrue="1">
      <formula>AND(H9&gt;=91000,H9&lt;=91999)</formula>
    </cfRule>
  </conditionalFormatting>
  <conditionalFormatting sqref="K9:K11">
    <cfRule type="expression" dxfId="30945" priority="2965">
      <formula>AND(L9&gt;=79001,L9&lt;79900)</formula>
    </cfRule>
    <cfRule type="expression" dxfId="30944" priority="2966" stopIfTrue="1">
      <formula>AND(L9&gt;=70101,L9&lt;=70301)</formula>
    </cfRule>
    <cfRule type="expression" dxfId="30943" priority="2967" stopIfTrue="1">
      <formula>AND(L9&gt;70000,L9&lt;70004)</formula>
    </cfRule>
    <cfRule type="expression" dxfId="30942" priority="2968" stopIfTrue="1">
      <formula>AND(L9&gt;=70010,L9&lt;=76000)</formula>
    </cfRule>
    <cfRule type="expression" dxfId="30941" priority="2969">
      <formula>AND(L9&gt;70000,L9&lt;70004)</formula>
    </cfRule>
    <cfRule type="expression" dxfId="30940" priority="2970" stopIfTrue="1">
      <formula>OR(AND(L9&gt;=10000,L9&lt;=56999),AND(L9&gt;=57000,L9&lt;=57999))</formula>
    </cfRule>
    <cfRule type="expression" dxfId="30939" priority="2971" stopIfTrue="1">
      <formula>AND(L9&gt;=8000,L9&lt;=9999)</formula>
    </cfRule>
    <cfRule type="expression" dxfId="30938" priority="2972" stopIfTrue="1">
      <formula>AND(L9&gt;=78100,L9&lt;=78199)</formula>
    </cfRule>
    <cfRule type="expression" dxfId="30937" priority="2973" stopIfTrue="1">
      <formula>AND(L9&gt;=92000,L9&lt;=98999)</formula>
    </cfRule>
    <cfRule type="expression" dxfId="30936" priority="2974" stopIfTrue="1">
      <formula>AND(L9&gt;=78100,L9&lt;=78199)</formula>
    </cfRule>
    <cfRule type="expression" dxfId="30935" priority="2975" stopIfTrue="1">
      <formula>AND(L9&gt;=91000,L9&lt;=91999)</formula>
    </cfRule>
  </conditionalFormatting>
  <conditionalFormatting sqref="O9:O11">
    <cfRule type="expression" dxfId="30934" priority="2954">
      <formula>AND(P9&gt;=79001,P9&lt;79900)</formula>
    </cfRule>
    <cfRule type="expression" dxfId="30933" priority="2955" stopIfTrue="1">
      <formula>AND(P9&gt;=70101,P9&lt;=70301)</formula>
    </cfRule>
    <cfRule type="expression" dxfId="30932" priority="2956" stopIfTrue="1">
      <formula>AND(P9&gt;70000,P9&lt;70004)</formula>
    </cfRule>
    <cfRule type="expression" dxfId="30931" priority="2957" stopIfTrue="1">
      <formula>AND(P9&gt;=70010,P9&lt;=76000)</formula>
    </cfRule>
    <cfRule type="expression" dxfId="30930" priority="2958">
      <formula>AND(P9&gt;70000,P9&lt;70004)</formula>
    </cfRule>
    <cfRule type="expression" dxfId="30929" priority="2959" stopIfTrue="1">
      <formula>OR(AND(P9&gt;=10000,P9&lt;=56999),AND(P9&gt;=57000,P9&lt;=57999))</formula>
    </cfRule>
    <cfRule type="expression" dxfId="30928" priority="2960" stopIfTrue="1">
      <formula>AND(P9&gt;=8000,P9&lt;=9999)</formula>
    </cfRule>
    <cfRule type="expression" dxfId="30927" priority="2961" stopIfTrue="1">
      <formula>AND(P9&gt;=78100,P9&lt;=78199)</formula>
    </cfRule>
    <cfRule type="expression" dxfId="30926" priority="2962" stopIfTrue="1">
      <formula>AND(P9&gt;=92000,P9&lt;=98999)</formula>
    </cfRule>
    <cfRule type="expression" dxfId="30925" priority="2963" stopIfTrue="1">
      <formula>AND(P9&gt;=78100,P9&lt;=78199)</formula>
    </cfRule>
    <cfRule type="expression" dxfId="30924" priority="2964" stopIfTrue="1">
      <formula>AND(P9&gt;=91000,P9&lt;=91999)</formula>
    </cfRule>
  </conditionalFormatting>
  <conditionalFormatting sqref="S9:S11">
    <cfRule type="expression" dxfId="30923" priority="2943">
      <formula>AND(T9&gt;=79001,T9&lt;79900)</formula>
    </cfRule>
    <cfRule type="expression" dxfId="30922" priority="2944" stopIfTrue="1">
      <formula>AND(T9&gt;=70101,T9&lt;=70301)</formula>
    </cfRule>
    <cfRule type="expression" dxfId="30921" priority="2945" stopIfTrue="1">
      <formula>AND(T9&gt;70000,T9&lt;70004)</formula>
    </cfRule>
    <cfRule type="expression" dxfId="30920" priority="2946" stopIfTrue="1">
      <formula>AND(T9&gt;=70010,T9&lt;=76000)</formula>
    </cfRule>
    <cfRule type="expression" dxfId="30919" priority="2947">
      <formula>AND(T9&gt;70000,T9&lt;70004)</formula>
    </cfRule>
    <cfRule type="expression" dxfId="30918" priority="2948" stopIfTrue="1">
      <formula>OR(AND(T9&gt;=10000,T9&lt;=56999),AND(T9&gt;=57000,T9&lt;=57999))</formula>
    </cfRule>
    <cfRule type="expression" dxfId="30917" priority="2949" stopIfTrue="1">
      <formula>AND(T9&gt;=8000,T9&lt;=9999)</formula>
    </cfRule>
    <cfRule type="expression" dxfId="30916" priority="2950" stopIfTrue="1">
      <formula>AND(T9&gt;=78100,T9&lt;=78199)</formula>
    </cfRule>
    <cfRule type="expression" dxfId="30915" priority="2951" stopIfTrue="1">
      <formula>AND(T9&gt;=92000,T9&lt;=98999)</formula>
    </cfRule>
    <cfRule type="expression" dxfId="30914" priority="2952" stopIfTrue="1">
      <formula>AND(T9&gt;=78100,T9&lt;=78199)</formula>
    </cfRule>
    <cfRule type="expression" dxfId="30913" priority="2953" stopIfTrue="1">
      <formula>AND(T9&gt;=91000,T9&lt;=91999)</formula>
    </cfRule>
  </conditionalFormatting>
  <conditionalFormatting sqref="W9:W11">
    <cfRule type="expression" dxfId="30912" priority="2932">
      <formula>AND(X9&gt;=79001,X9&lt;79900)</formula>
    </cfRule>
    <cfRule type="expression" dxfId="30911" priority="2933" stopIfTrue="1">
      <formula>AND(X9&gt;=70101,X9&lt;=70301)</formula>
    </cfRule>
    <cfRule type="expression" dxfId="30910" priority="2934" stopIfTrue="1">
      <formula>AND(X9&gt;70000,X9&lt;70004)</formula>
    </cfRule>
    <cfRule type="expression" dxfId="30909" priority="2935" stopIfTrue="1">
      <formula>AND(X9&gt;=70010,X9&lt;=76000)</formula>
    </cfRule>
    <cfRule type="expression" dxfId="30908" priority="2936">
      <formula>AND(X9&gt;70000,X9&lt;70004)</formula>
    </cfRule>
    <cfRule type="expression" dxfId="30907" priority="2937" stopIfTrue="1">
      <formula>OR(AND(X9&gt;=10000,X9&lt;=56999),AND(X9&gt;=57000,X9&lt;=57999))</formula>
    </cfRule>
    <cfRule type="expression" dxfId="30906" priority="2938" stopIfTrue="1">
      <formula>AND(X9&gt;=8000,X9&lt;=9999)</formula>
    </cfRule>
    <cfRule type="expression" dxfId="30905" priority="2939" stopIfTrue="1">
      <formula>AND(X9&gt;=78100,X9&lt;=78199)</formula>
    </cfRule>
    <cfRule type="expression" dxfId="30904" priority="2940" stopIfTrue="1">
      <formula>AND(X9&gt;=92000,X9&lt;=98999)</formula>
    </cfRule>
    <cfRule type="expression" dxfId="30903" priority="2941" stopIfTrue="1">
      <formula>AND(X9&gt;=78100,X9&lt;=78199)</formula>
    </cfRule>
    <cfRule type="expression" dxfId="30902" priority="2942" stopIfTrue="1">
      <formula>AND(X9&gt;=91000,X9&lt;=91999)</formula>
    </cfRule>
  </conditionalFormatting>
  <conditionalFormatting sqref="AA9:AA11">
    <cfRule type="expression" dxfId="30901" priority="2921">
      <formula>AND(AB9&gt;=79001,AB9&lt;79900)</formula>
    </cfRule>
    <cfRule type="expression" dxfId="30900" priority="2922" stopIfTrue="1">
      <formula>AND(AB9&gt;=70101,AB9&lt;=70301)</formula>
    </cfRule>
    <cfRule type="expression" dxfId="30899" priority="2923" stopIfTrue="1">
      <formula>AND(AB9&gt;70000,AB9&lt;70004)</formula>
    </cfRule>
    <cfRule type="expression" dxfId="30898" priority="2924" stopIfTrue="1">
      <formula>AND(AB9&gt;=70010,AB9&lt;=76000)</formula>
    </cfRule>
    <cfRule type="expression" dxfId="30897" priority="2925">
      <formula>AND(AB9&gt;70000,AB9&lt;70004)</formula>
    </cfRule>
    <cfRule type="expression" dxfId="30896" priority="2926" stopIfTrue="1">
      <formula>OR(AND(AB9&gt;=10000,AB9&lt;=56999),AND(AB9&gt;=57000,AB9&lt;=57999))</formula>
    </cfRule>
    <cfRule type="expression" dxfId="30895" priority="2927" stopIfTrue="1">
      <formula>AND(AB9&gt;=8000,AB9&lt;=9999)</formula>
    </cfRule>
    <cfRule type="expression" dxfId="30894" priority="2928" stopIfTrue="1">
      <formula>AND(AB9&gt;=78100,AB9&lt;=78199)</formula>
    </cfRule>
    <cfRule type="expression" dxfId="30893" priority="2929" stopIfTrue="1">
      <formula>AND(AB9&gt;=92000,AB9&lt;=98999)</formula>
    </cfRule>
    <cfRule type="expression" dxfId="30892" priority="2930" stopIfTrue="1">
      <formula>AND(AB9&gt;=78100,AB9&lt;=78199)</formula>
    </cfRule>
    <cfRule type="expression" dxfId="30891" priority="2931" stopIfTrue="1">
      <formula>AND(AB9&gt;=91000,AB9&lt;=91999)</formula>
    </cfRule>
  </conditionalFormatting>
  <conditionalFormatting sqref="AE9:AE11">
    <cfRule type="expression" dxfId="30890" priority="2910">
      <formula>AND(AF9&gt;=79001,AF9&lt;79900)</formula>
    </cfRule>
    <cfRule type="expression" dxfId="30889" priority="2911" stopIfTrue="1">
      <formula>AND(AF9&gt;=70101,AF9&lt;=70301)</formula>
    </cfRule>
    <cfRule type="expression" dxfId="30888" priority="2912" stopIfTrue="1">
      <formula>AND(AF9&gt;70000,AF9&lt;70004)</formula>
    </cfRule>
    <cfRule type="expression" dxfId="30887" priority="2913" stopIfTrue="1">
      <formula>AND(AF9&gt;=70010,AF9&lt;=76000)</formula>
    </cfRule>
    <cfRule type="expression" dxfId="30886" priority="2914">
      <formula>AND(AF9&gt;70000,AF9&lt;70004)</formula>
    </cfRule>
    <cfRule type="expression" dxfId="30885" priority="2915" stopIfTrue="1">
      <formula>OR(AND(AF9&gt;=10000,AF9&lt;=56999),AND(AF9&gt;=57000,AF9&lt;=57999))</formula>
    </cfRule>
    <cfRule type="expression" dxfId="30884" priority="2916" stopIfTrue="1">
      <formula>AND(AF9&gt;=8000,AF9&lt;=9999)</formula>
    </cfRule>
    <cfRule type="expression" dxfId="30883" priority="2917" stopIfTrue="1">
      <formula>AND(AF9&gt;=78100,AF9&lt;=78199)</formula>
    </cfRule>
    <cfRule type="expression" dxfId="30882" priority="2918" stopIfTrue="1">
      <formula>AND(AF9&gt;=92000,AF9&lt;=98999)</formula>
    </cfRule>
    <cfRule type="expression" dxfId="30881" priority="2919" stopIfTrue="1">
      <formula>AND(AF9&gt;=78100,AF9&lt;=78199)</formula>
    </cfRule>
    <cfRule type="expression" dxfId="30880" priority="2920" stopIfTrue="1">
      <formula>AND(AF9&gt;=91000,AF9&lt;=91999)</formula>
    </cfRule>
  </conditionalFormatting>
  <conditionalFormatting sqref="AI9:AI11">
    <cfRule type="expression" dxfId="30879" priority="2899">
      <formula>AND(AJ9&gt;=79001,AJ9&lt;79900)</formula>
    </cfRule>
    <cfRule type="expression" dxfId="30878" priority="2900" stopIfTrue="1">
      <formula>AND(AJ9&gt;=70101,AJ9&lt;=70301)</formula>
    </cfRule>
    <cfRule type="expression" dxfId="30877" priority="2901" stopIfTrue="1">
      <formula>AND(AJ9&gt;70000,AJ9&lt;70004)</formula>
    </cfRule>
    <cfRule type="expression" dxfId="30876" priority="2902" stopIfTrue="1">
      <formula>AND(AJ9&gt;=70010,AJ9&lt;=76000)</formula>
    </cfRule>
    <cfRule type="expression" dxfId="30875" priority="2903">
      <formula>AND(AJ9&gt;70000,AJ9&lt;70004)</formula>
    </cfRule>
    <cfRule type="expression" dxfId="30874" priority="2904" stopIfTrue="1">
      <formula>OR(AND(AJ9&gt;=10000,AJ9&lt;=56999),AND(AJ9&gt;=57000,AJ9&lt;=57999))</formula>
    </cfRule>
    <cfRule type="expression" dxfId="30873" priority="2905" stopIfTrue="1">
      <formula>AND(AJ9&gt;=8000,AJ9&lt;=9999)</formula>
    </cfRule>
    <cfRule type="expression" dxfId="30872" priority="2906" stopIfTrue="1">
      <formula>AND(AJ9&gt;=78100,AJ9&lt;=78199)</formula>
    </cfRule>
    <cfRule type="expression" dxfId="30871" priority="2907" stopIfTrue="1">
      <formula>AND(AJ9&gt;=92000,AJ9&lt;=98999)</formula>
    </cfRule>
    <cfRule type="expression" dxfId="30870" priority="2908" stopIfTrue="1">
      <formula>AND(AJ9&gt;=78100,AJ9&lt;=78199)</formula>
    </cfRule>
    <cfRule type="expression" dxfId="30869" priority="2909" stopIfTrue="1">
      <formula>AND(AJ9&gt;=91000,AJ9&lt;=91999)</formula>
    </cfRule>
  </conditionalFormatting>
  <conditionalFormatting sqref="AM9:AM11">
    <cfRule type="expression" dxfId="30868" priority="2888">
      <formula>AND(AN9&gt;=79001,AN9&lt;79900)</formula>
    </cfRule>
    <cfRule type="expression" dxfId="30867" priority="2889" stopIfTrue="1">
      <formula>AND(AN9&gt;=70101,AN9&lt;=70301)</formula>
    </cfRule>
    <cfRule type="expression" dxfId="30866" priority="2890" stopIfTrue="1">
      <formula>AND(AN9&gt;70000,AN9&lt;70004)</formula>
    </cfRule>
    <cfRule type="expression" dxfId="30865" priority="2891" stopIfTrue="1">
      <formula>AND(AN9&gt;=70010,AN9&lt;=76000)</formula>
    </cfRule>
    <cfRule type="expression" dxfId="30864" priority="2892">
      <formula>AND(AN9&gt;70000,AN9&lt;70004)</formula>
    </cfRule>
    <cfRule type="expression" dxfId="30863" priority="2893" stopIfTrue="1">
      <formula>OR(AND(AN9&gt;=10000,AN9&lt;=56999),AND(AN9&gt;=57000,AN9&lt;=57999))</formula>
    </cfRule>
    <cfRule type="expression" dxfId="30862" priority="2894" stopIfTrue="1">
      <formula>AND(AN9&gt;=8000,AN9&lt;=9999)</formula>
    </cfRule>
    <cfRule type="expression" dxfId="30861" priority="2895" stopIfTrue="1">
      <formula>AND(AN9&gt;=78100,AN9&lt;=78199)</formula>
    </cfRule>
    <cfRule type="expression" dxfId="30860" priority="2896" stopIfTrue="1">
      <formula>AND(AN9&gt;=92000,AN9&lt;=98999)</formula>
    </cfRule>
    <cfRule type="expression" dxfId="30859" priority="2897" stopIfTrue="1">
      <formula>AND(AN9&gt;=78100,AN9&lt;=78199)</formula>
    </cfRule>
    <cfRule type="expression" dxfId="30858" priority="2898" stopIfTrue="1">
      <formula>AND(AN9&gt;=91000,AN9&lt;=91999)</formula>
    </cfRule>
  </conditionalFormatting>
  <conditionalFormatting sqref="AQ9:AQ11">
    <cfRule type="expression" dxfId="30857" priority="2877">
      <formula>AND(AR9&gt;=79001,AR9&lt;79900)</formula>
    </cfRule>
    <cfRule type="expression" dxfId="30856" priority="2878" stopIfTrue="1">
      <formula>AND(AR9&gt;=70101,AR9&lt;=70301)</formula>
    </cfRule>
    <cfRule type="expression" dxfId="30855" priority="2879" stopIfTrue="1">
      <formula>AND(AR9&gt;70000,AR9&lt;70004)</formula>
    </cfRule>
    <cfRule type="expression" dxfId="30854" priority="2880" stopIfTrue="1">
      <formula>AND(AR9&gt;=70010,AR9&lt;=76000)</formula>
    </cfRule>
    <cfRule type="expression" dxfId="30853" priority="2881">
      <formula>AND(AR9&gt;70000,AR9&lt;70004)</formula>
    </cfRule>
    <cfRule type="expression" dxfId="30852" priority="2882" stopIfTrue="1">
      <formula>OR(AND(AR9&gt;=10000,AR9&lt;=56999),AND(AR9&gt;=57000,AR9&lt;=57999))</formula>
    </cfRule>
    <cfRule type="expression" dxfId="30851" priority="2883" stopIfTrue="1">
      <formula>AND(AR9&gt;=8000,AR9&lt;=9999)</formula>
    </cfRule>
    <cfRule type="expression" dxfId="30850" priority="2884" stopIfTrue="1">
      <formula>AND(AR9&gt;=78100,AR9&lt;=78199)</formula>
    </cfRule>
    <cfRule type="expression" dxfId="30849" priority="2885" stopIfTrue="1">
      <formula>AND(AR9&gt;=92000,AR9&lt;=98999)</formula>
    </cfRule>
    <cfRule type="expression" dxfId="30848" priority="2886" stopIfTrue="1">
      <formula>AND(AR9&gt;=78100,AR9&lt;=78199)</formula>
    </cfRule>
    <cfRule type="expression" dxfId="30847" priority="2887" stopIfTrue="1">
      <formula>AND(AR9&gt;=91000,AR9&lt;=91999)</formula>
    </cfRule>
  </conditionalFormatting>
  <conditionalFormatting sqref="AU9:AU11">
    <cfRule type="expression" dxfId="30846" priority="2866">
      <formula>AND(AV9&gt;=79001,AV9&lt;79900)</formula>
    </cfRule>
    <cfRule type="expression" dxfId="30845" priority="2867" stopIfTrue="1">
      <formula>AND(AV9&gt;=70101,AV9&lt;=70301)</formula>
    </cfRule>
    <cfRule type="expression" dxfId="30844" priority="2868" stopIfTrue="1">
      <formula>AND(AV9&gt;70000,AV9&lt;70004)</formula>
    </cfRule>
    <cfRule type="expression" dxfId="30843" priority="2869" stopIfTrue="1">
      <formula>AND(AV9&gt;=70010,AV9&lt;=76000)</formula>
    </cfRule>
    <cfRule type="expression" dxfId="30842" priority="2870">
      <formula>AND(AV9&gt;70000,AV9&lt;70004)</formula>
    </cfRule>
    <cfRule type="expression" dxfId="30841" priority="2871" stopIfTrue="1">
      <formula>OR(AND(AV9&gt;=10000,AV9&lt;=56999),AND(AV9&gt;=57000,AV9&lt;=57999))</formula>
    </cfRule>
    <cfRule type="expression" dxfId="30840" priority="2872" stopIfTrue="1">
      <formula>AND(AV9&gt;=8000,AV9&lt;=9999)</formula>
    </cfRule>
    <cfRule type="expression" dxfId="30839" priority="2873" stopIfTrue="1">
      <formula>AND(AV9&gt;=78100,AV9&lt;=78199)</formula>
    </cfRule>
    <cfRule type="expression" dxfId="30838" priority="2874" stopIfTrue="1">
      <formula>AND(AV9&gt;=92000,AV9&lt;=98999)</formula>
    </cfRule>
    <cfRule type="expression" dxfId="30837" priority="2875" stopIfTrue="1">
      <formula>AND(AV9&gt;=78100,AV9&lt;=78199)</formula>
    </cfRule>
    <cfRule type="expression" dxfId="30836" priority="2876" stopIfTrue="1">
      <formula>AND(AV9&gt;=91000,AV9&lt;=91999)</formula>
    </cfRule>
  </conditionalFormatting>
  <conditionalFormatting sqref="AY9:AY11">
    <cfRule type="expression" dxfId="30835" priority="2855">
      <formula>AND(AZ9&gt;=79001,AZ9&lt;79900)</formula>
    </cfRule>
    <cfRule type="expression" dxfId="30834" priority="2856" stopIfTrue="1">
      <formula>AND(AZ9&gt;=70101,AZ9&lt;=70301)</formula>
    </cfRule>
    <cfRule type="expression" dxfId="30833" priority="2857" stopIfTrue="1">
      <formula>AND(AZ9&gt;70000,AZ9&lt;70004)</formula>
    </cfRule>
    <cfRule type="expression" dxfId="30832" priority="2858" stopIfTrue="1">
      <formula>AND(AZ9&gt;=70010,AZ9&lt;=76000)</formula>
    </cfRule>
    <cfRule type="expression" dxfId="30831" priority="2859">
      <formula>AND(AZ9&gt;70000,AZ9&lt;70004)</formula>
    </cfRule>
    <cfRule type="expression" dxfId="30830" priority="2860" stopIfTrue="1">
      <formula>OR(AND(AZ9&gt;=10000,AZ9&lt;=56999),AND(AZ9&gt;=57000,AZ9&lt;=57999))</formula>
    </cfRule>
    <cfRule type="expression" dxfId="30829" priority="2861" stopIfTrue="1">
      <formula>AND(AZ9&gt;=8000,AZ9&lt;=9999)</formula>
    </cfRule>
    <cfRule type="expression" dxfId="30828" priority="2862" stopIfTrue="1">
      <formula>AND(AZ9&gt;=78100,AZ9&lt;=78199)</formula>
    </cfRule>
    <cfRule type="expression" dxfId="30827" priority="2863" stopIfTrue="1">
      <formula>AND(AZ9&gt;=92000,AZ9&lt;=98999)</formula>
    </cfRule>
    <cfRule type="expression" dxfId="30826" priority="2864" stopIfTrue="1">
      <formula>AND(AZ9&gt;=78100,AZ9&lt;=78199)</formula>
    </cfRule>
    <cfRule type="expression" dxfId="30825" priority="2865" stopIfTrue="1">
      <formula>AND(AZ9&gt;=91000,AZ9&lt;=91999)</formula>
    </cfRule>
  </conditionalFormatting>
  <conditionalFormatting sqref="BC9:BC11">
    <cfRule type="expression" dxfId="30824" priority="2844">
      <formula>AND(BD9&gt;=79001,BD9&lt;79900)</formula>
    </cfRule>
    <cfRule type="expression" dxfId="30823" priority="2845" stopIfTrue="1">
      <formula>AND(BD9&gt;=70101,BD9&lt;=70301)</formula>
    </cfRule>
    <cfRule type="expression" dxfId="30822" priority="2846" stopIfTrue="1">
      <formula>AND(BD9&gt;70000,BD9&lt;70004)</formula>
    </cfRule>
    <cfRule type="expression" dxfId="30821" priority="2847" stopIfTrue="1">
      <formula>AND(BD9&gt;=70010,BD9&lt;=76000)</formula>
    </cfRule>
    <cfRule type="expression" dxfId="30820" priority="2848">
      <formula>AND(BD9&gt;70000,BD9&lt;70004)</formula>
    </cfRule>
    <cfRule type="expression" dxfId="30819" priority="2849" stopIfTrue="1">
      <formula>OR(AND(BD9&gt;=10000,BD9&lt;=56999),AND(BD9&gt;=57000,BD9&lt;=57999))</formula>
    </cfRule>
    <cfRule type="expression" dxfId="30818" priority="2850" stopIfTrue="1">
      <formula>AND(BD9&gt;=8000,BD9&lt;=9999)</formula>
    </cfRule>
    <cfRule type="expression" dxfId="30817" priority="2851" stopIfTrue="1">
      <formula>AND(BD9&gt;=78100,BD9&lt;=78199)</formula>
    </cfRule>
    <cfRule type="expression" dxfId="30816" priority="2852" stopIfTrue="1">
      <formula>AND(BD9&gt;=92000,BD9&lt;=98999)</formula>
    </cfRule>
    <cfRule type="expression" dxfId="30815" priority="2853" stopIfTrue="1">
      <formula>AND(BD9&gt;=78100,BD9&lt;=78199)</formula>
    </cfRule>
    <cfRule type="expression" dxfId="30814" priority="2854" stopIfTrue="1">
      <formula>AND(BD9&gt;=91000,BD9&lt;=91999)</formula>
    </cfRule>
  </conditionalFormatting>
  <conditionalFormatting sqref="BG9:BG11">
    <cfRule type="expression" dxfId="30813" priority="2833">
      <formula>AND(BH9&gt;=79001,BH9&lt;79900)</formula>
    </cfRule>
    <cfRule type="expression" dxfId="30812" priority="2834" stopIfTrue="1">
      <formula>AND(BH9&gt;=70101,BH9&lt;=70301)</formula>
    </cfRule>
    <cfRule type="expression" dxfId="30811" priority="2835" stopIfTrue="1">
      <formula>AND(BH9&gt;70000,BH9&lt;70004)</formula>
    </cfRule>
    <cfRule type="expression" dxfId="30810" priority="2836" stopIfTrue="1">
      <formula>AND(BH9&gt;=70010,BH9&lt;=76000)</formula>
    </cfRule>
    <cfRule type="expression" dxfId="30809" priority="2837">
      <formula>AND(BH9&gt;70000,BH9&lt;70004)</formula>
    </cfRule>
    <cfRule type="expression" dxfId="30808" priority="2838" stopIfTrue="1">
      <formula>OR(AND(BH9&gt;=10000,BH9&lt;=56999),AND(BH9&gt;=57000,BH9&lt;=57999))</formula>
    </cfRule>
    <cfRule type="expression" dxfId="30807" priority="2839" stopIfTrue="1">
      <formula>AND(BH9&gt;=8000,BH9&lt;=9999)</formula>
    </cfRule>
    <cfRule type="expression" dxfId="30806" priority="2840" stopIfTrue="1">
      <formula>AND(BH9&gt;=78100,BH9&lt;=78199)</formula>
    </cfRule>
    <cfRule type="expression" dxfId="30805" priority="2841" stopIfTrue="1">
      <formula>AND(BH9&gt;=92000,BH9&lt;=98999)</formula>
    </cfRule>
    <cfRule type="expression" dxfId="30804" priority="2842" stopIfTrue="1">
      <formula>AND(BH9&gt;=78100,BH9&lt;=78199)</formula>
    </cfRule>
    <cfRule type="expression" dxfId="30803" priority="2843" stopIfTrue="1">
      <formula>AND(BH9&gt;=91000,BH9&lt;=91999)</formula>
    </cfRule>
  </conditionalFormatting>
  <conditionalFormatting sqref="BK9:BK11">
    <cfRule type="expression" dxfId="30802" priority="2822">
      <formula>AND(BL9&gt;=79001,BL9&lt;79900)</formula>
    </cfRule>
    <cfRule type="expression" dxfId="30801" priority="2823" stopIfTrue="1">
      <formula>AND(BL9&gt;=70101,BL9&lt;=70301)</formula>
    </cfRule>
    <cfRule type="expression" dxfId="30800" priority="2824" stopIfTrue="1">
      <formula>AND(BL9&gt;70000,BL9&lt;70004)</formula>
    </cfRule>
    <cfRule type="expression" dxfId="30799" priority="2825" stopIfTrue="1">
      <formula>AND(BL9&gt;=70010,BL9&lt;=76000)</formula>
    </cfRule>
    <cfRule type="expression" dxfId="30798" priority="2826">
      <formula>AND(BL9&gt;70000,BL9&lt;70004)</formula>
    </cfRule>
    <cfRule type="expression" dxfId="30797" priority="2827" stopIfTrue="1">
      <formula>OR(AND(BL9&gt;=10000,BL9&lt;=56999),AND(BL9&gt;=57000,BL9&lt;=57999))</formula>
    </cfRule>
    <cfRule type="expression" dxfId="30796" priority="2828" stopIfTrue="1">
      <formula>AND(BL9&gt;=8000,BL9&lt;=9999)</formula>
    </cfRule>
    <cfRule type="expression" dxfId="30795" priority="2829" stopIfTrue="1">
      <formula>AND(BL9&gt;=78100,BL9&lt;=78199)</formula>
    </cfRule>
    <cfRule type="expression" dxfId="30794" priority="2830" stopIfTrue="1">
      <formula>AND(BL9&gt;=92000,BL9&lt;=98999)</formula>
    </cfRule>
    <cfRule type="expression" dxfId="30793" priority="2831" stopIfTrue="1">
      <formula>AND(BL9&gt;=78100,BL9&lt;=78199)</formula>
    </cfRule>
    <cfRule type="expression" dxfId="30792" priority="2832" stopIfTrue="1">
      <formula>AND(BL9&gt;=91000,BL9&lt;=91999)</formula>
    </cfRule>
  </conditionalFormatting>
  <conditionalFormatting sqref="G19:G21">
    <cfRule type="expression" dxfId="30791" priority="2810">
      <formula>AND(H19&gt;=79001,H19&lt;79900)</formula>
    </cfRule>
    <cfRule type="expression" dxfId="30790" priority="2811" stopIfTrue="1">
      <formula>AND(H19&gt;=70101,H19&lt;=70301)</formula>
    </cfRule>
    <cfRule type="expression" dxfId="30789" priority="2812" stopIfTrue="1">
      <formula>AND(H19&gt;70000,H19&lt;70004)</formula>
    </cfRule>
    <cfRule type="expression" dxfId="30788" priority="2813" stopIfTrue="1">
      <formula>AND(H19&gt;=70010,H19&lt;=76000)</formula>
    </cfRule>
    <cfRule type="expression" dxfId="30787" priority="2814">
      <formula>AND(H19&gt;70000,H19&lt;70004)</formula>
    </cfRule>
    <cfRule type="expression" dxfId="30786" priority="2815" stopIfTrue="1">
      <formula>OR(AND(H19&gt;=10000,H19&lt;=56999),AND(H19&gt;=57000,H19&lt;=57999))</formula>
    </cfRule>
    <cfRule type="expression" dxfId="30785" priority="2816" stopIfTrue="1">
      <formula>AND(H19&gt;=8000,H19&lt;=9999)</formula>
    </cfRule>
    <cfRule type="expression" dxfId="30784" priority="2817" stopIfTrue="1">
      <formula>AND(H19&gt;=78100,H19&lt;=78199)</formula>
    </cfRule>
    <cfRule type="expression" dxfId="30783" priority="2818" stopIfTrue="1">
      <formula>AND(H19&gt;=92000,H19&lt;=98999)</formula>
    </cfRule>
    <cfRule type="expression" dxfId="30782" priority="2819" stopIfTrue="1">
      <formula>AND(H19&gt;=78100,H19&lt;=78199)</formula>
    </cfRule>
    <cfRule type="expression" dxfId="30781" priority="2820" stopIfTrue="1">
      <formula>AND(H19&gt;=91000,H19&lt;=91999)</formula>
    </cfRule>
  </conditionalFormatting>
  <conditionalFormatting sqref="K19:K21">
    <cfRule type="expression" dxfId="30780" priority="2799">
      <formula>AND(L19&gt;=79001,L19&lt;79900)</formula>
    </cfRule>
    <cfRule type="expression" dxfId="30779" priority="2800" stopIfTrue="1">
      <formula>AND(L19&gt;=70101,L19&lt;=70301)</formula>
    </cfRule>
    <cfRule type="expression" dxfId="30778" priority="2801" stopIfTrue="1">
      <formula>AND(L19&gt;70000,L19&lt;70004)</formula>
    </cfRule>
    <cfRule type="expression" dxfId="30777" priority="2802" stopIfTrue="1">
      <formula>AND(L19&gt;=70010,L19&lt;=76000)</formula>
    </cfRule>
    <cfRule type="expression" dxfId="30776" priority="2803">
      <formula>AND(L19&gt;70000,L19&lt;70004)</formula>
    </cfRule>
    <cfRule type="expression" dxfId="30775" priority="2804" stopIfTrue="1">
      <formula>OR(AND(L19&gt;=10000,L19&lt;=56999),AND(L19&gt;=57000,L19&lt;=57999))</formula>
    </cfRule>
    <cfRule type="expression" dxfId="30774" priority="2805" stopIfTrue="1">
      <formula>AND(L19&gt;=8000,L19&lt;=9999)</formula>
    </cfRule>
    <cfRule type="expression" dxfId="30773" priority="2806" stopIfTrue="1">
      <formula>AND(L19&gt;=78100,L19&lt;=78199)</formula>
    </cfRule>
    <cfRule type="expression" dxfId="30772" priority="2807" stopIfTrue="1">
      <formula>AND(L19&gt;=92000,L19&lt;=98999)</formula>
    </cfRule>
    <cfRule type="expression" dxfId="30771" priority="2808" stopIfTrue="1">
      <formula>AND(L19&gt;=78100,L19&lt;=78199)</formula>
    </cfRule>
    <cfRule type="expression" dxfId="30770" priority="2809" stopIfTrue="1">
      <formula>AND(L19&gt;=91000,L19&lt;=91999)</formula>
    </cfRule>
  </conditionalFormatting>
  <conditionalFormatting sqref="O19:O21">
    <cfRule type="expression" dxfId="30769" priority="2788">
      <formula>AND(P19&gt;=79001,P19&lt;79900)</formula>
    </cfRule>
    <cfRule type="expression" dxfId="30768" priority="2789" stopIfTrue="1">
      <formula>AND(P19&gt;=70101,P19&lt;=70301)</formula>
    </cfRule>
    <cfRule type="expression" dxfId="30767" priority="2790" stopIfTrue="1">
      <formula>AND(P19&gt;70000,P19&lt;70004)</formula>
    </cfRule>
    <cfRule type="expression" dxfId="30766" priority="2791" stopIfTrue="1">
      <formula>AND(P19&gt;=70010,P19&lt;=76000)</formula>
    </cfRule>
    <cfRule type="expression" dxfId="30765" priority="2792">
      <formula>AND(P19&gt;70000,P19&lt;70004)</formula>
    </cfRule>
    <cfRule type="expression" dxfId="30764" priority="2793" stopIfTrue="1">
      <formula>OR(AND(P19&gt;=10000,P19&lt;=56999),AND(P19&gt;=57000,P19&lt;=57999))</formula>
    </cfRule>
    <cfRule type="expression" dxfId="30763" priority="2794" stopIfTrue="1">
      <formula>AND(P19&gt;=8000,P19&lt;=9999)</formula>
    </cfRule>
    <cfRule type="expression" dxfId="30762" priority="2795" stopIfTrue="1">
      <formula>AND(P19&gt;=78100,P19&lt;=78199)</formula>
    </cfRule>
    <cfRule type="expression" dxfId="30761" priority="2796" stopIfTrue="1">
      <formula>AND(P19&gt;=92000,P19&lt;=98999)</formula>
    </cfRule>
    <cfRule type="expression" dxfId="30760" priority="2797" stopIfTrue="1">
      <formula>AND(P19&gt;=78100,P19&lt;=78199)</formula>
    </cfRule>
    <cfRule type="expression" dxfId="30759" priority="2798" stopIfTrue="1">
      <formula>AND(P19&gt;=91000,P19&lt;=91999)</formula>
    </cfRule>
  </conditionalFormatting>
  <conditionalFormatting sqref="S19:S21">
    <cfRule type="expression" dxfId="30758" priority="2777">
      <formula>AND(T19&gt;=79001,T19&lt;79900)</formula>
    </cfRule>
    <cfRule type="expression" dxfId="30757" priority="2778" stopIfTrue="1">
      <formula>AND(T19&gt;=70101,T19&lt;=70301)</formula>
    </cfRule>
    <cfRule type="expression" dxfId="30756" priority="2779" stopIfTrue="1">
      <formula>AND(T19&gt;70000,T19&lt;70004)</formula>
    </cfRule>
    <cfRule type="expression" dxfId="30755" priority="2780" stopIfTrue="1">
      <formula>AND(T19&gt;=70010,T19&lt;=76000)</formula>
    </cfRule>
    <cfRule type="expression" dxfId="30754" priority="2781">
      <formula>AND(T19&gt;70000,T19&lt;70004)</formula>
    </cfRule>
    <cfRule type="expression" dxfId="30753" priority="2782" stopIfTrue="1">
      <formula>OR(AND(T19&gt;=10000,T19&lt;=56999),AND(T19&gt;=57000,T19&lt;=57999))</formula>
    </cfRule>
    <cfRule type="expression" dxfId="30752" priority="2783" stopIfTrue="1">
      <formula>AND(T19&gt;=8000,T19&lt;=9999)</formula>
    </cfRule>
    <cfRule type="expression" dxfId="30751" priority="2784" stopIfTrue="1">
      <formula>AND(T19&gt;=78100,T19&lt;=78199)</formula>
    </cfRule>
    <cfRule type="expression" dxfId="30750" priority="2785" stopIfTrue="1">
      <formula>AND(T19&gt;=92000,T19&lt;=98999)</formula>
    </cfRule>
    <cfRule type="expression" dxfId="30749" priority="2786" stopIfTrue="1">
      <formula>AND(T19&gt;=78100,T19&lt;=78199)</formula>
    </cfRule>
    <cfRule type="expression" dxfId="30748" priority="2787" stopIfTrue="1">
      <formula>AND(T19&gt;=91000,T19&lt;=91999)</formula>
    </cfRule>
  </conditionalFormatting>
  <conditionalFormatting sqref="W19:W21">
    <cfRule type="expression" dxfId="30747" priority="2766">
      <formula>AND(X19&gt;=79001,X19&lt;79900)</formula>
    </cfRule>
    <cfRule type="expression" dxfId="30746" priority="2767" stopIfTrue="1">
      <formula>AND(X19&gt;=70101,X19&lt;=70301)</formula>
    </cfRule>
    <cfRule type="expression" dxfId="30745" priority="2768" stopIfTrue="1">
      <formula>AND(X19&gt;70000,X19&lt;70004)</formula>
    </cfRule>
    <cfRule type="expression" dxfId="30744" priority="2769" stopIfTrue="1">
      <formula>AND(X19&gt;=70010,X19&lt;=76000)</formula>
    </cfRule>
    <cfRule type="expression" dxfId="30743" priority="2770">
      <formula>AND(X19&gt;70000,X19&lt;70004)</formula>
    </cfRule>
    <cfRule type="expression" dxfId="30742" priority="2771" stopIfTrue="1">
      <formula>OR(AND(X19&gt;=10000,X19&lt;=56999),AND(X19&gt;=57000,X19&lt;=57999))</formula>
    </cfRule>
    <cfRule type="expression" dxfId="30741" priority="2772" stopIfTrue="1">
      <formula>AND(X19&gt;=8000,X19&lt;=9999)</formula>
    </cfRule>
    <cfRule type="expression" dxfId="30740" priority="2773" stopIfTrue="1">
      <formula>AND(X19&gt;=78100,X19&lt;=78199)</formula>
    </cfRule>
    <cfRule type="expression" dxfId="30739" priority="2774" stopIfTrue="1">
      <formula>AND(X19&gt;=92000,X19&lt;=98999)</formula>
    </cfRule>
    <cfRule type="expression" dxfId="30738" priority="2775" stopIfTrue="1">
      <formula>AND(X19&gt;=78100,X19&lt;=78199)</formula>
    </cfRule>
    <cfRule type="expression" dxfId="30737" priority="2776" stopIfTrue="1">
      <formula>AND(X19&gt;=91000,X19&lt;=91999)</formula>
    </cfRule>
  </conditionalFormatting>
  <conditionalFormatting sqref="AA19:AA21">
    <cfRule type="expression" dxfId="30736" priority="2755">
      <formula>AND(AB19&gt;=79001,AB19&lt;79900)</formula>
    </cfRule>
    <cfRule type="expression" dxfId="30735" priority="2756" stopIfTrue="1">
      <formula>AND(AB19&gt;=70101,AB19&lt;=70301)</formula>
    </cfRule>
    <cfRule type="expression" dxfId="30734" priority="2757" stopIfTrue="1">
      <formula>AND(AB19&gt;70000,AB19&lt;70004)</formula>
    </cfRule>
    <cfRule type="expression" dxfId="30733" priority="2758" stopIfTrue="1">
      <formula>AND(AB19&gt;=70010,AB19&lt;=76000)</formula>
    </cfRule>
    <cfRule type="expression" dxfId="30732" priority="2759">
      <formula>AND(AB19&gt;70000,AB19&lt;70004)</formula>
    </cfRule>
    <cfRule type="expression" dxfId="30731" priority="2760" stopIfTrue="1">
      <formula>OR(AND(AB19&gt;=10000,AB19&lt;=56999),AND(AB19&gt;=57000,AB19&lt;=57999))</formula>
    </cfRule>
    <cfRule type="expression" dxfId="30730" priority="2761" stopIfTrue="1">
      <formula>AND(AB19&gt;=8000,AB19&lt;=9999)</formula>
    </cfRule>
    <cfRule type="expression" dxfId="30729" priority="2762" stopIfTrue="1">
      <formula>AND(AB19&gt;=78100,AB19&lt;=78199)</formula>
    </cfRule>
    <cfRule type="expression" dxfId="30728" priority="2763" stopIfTrue="1">
      <formula>AND(AB19&gt;=92000,AB19&lt;=98999)</formula>
    </cfRule>
    <cfRule type="expression" dxfId="30727" priority="2764" stopIfTrue="1">
      <formula>AND(AB19&gt;=78100,AB19&lt;=78199)</formula>
    </cfRule>
    <cfRule type="expression" dxfId="30726" priority="2765" stopIfTrue="1">
      <formula>AND(AB19&gt;=91000,AB19&lt;=91999)</formula>
    </cfRule>
  </conditionalFormatting>
  <conditionalFormatting sqref="AE19:AE21">
    <cfRule type="expression" dxfId="30725" priority="2744">
      <formula>AND(AF19&gt;=79001,AF19&lt;79900)</formula>
    </cfRule>
    <cfRule type="expression" dxfId="30724" priority="2745" stopIfTrue="1">
      <formula>AND(AF19&gt;=70101,AF19&lt;=70301)</formula>
    </cfRule>
    <cfRule type="expression" dxfId="30723" priority="2746" stopIfTrue="1">
      <formula>AND(AF19&gt;70000,AF19&lt;70004)</formula>
    </cfRule>
    <cfRule type="expression" dxfId="30722" priority="2747" stopIfTrue="1">
      <formula>AND(AF19&gt;=70010,AF19&lt;=76000)</formula>
    </cfRule>
    <cfRule type="expression" dxfId="30721" priority="2748">
      <formula>AND(AF19&gt;70000,AF19&lt;70004)</formula>
    </cfRule>
    <cfRule type="expression" dxfId="30720" priority="2749" stopIfTrue="1">
      <formula>OR(AND(AF19&gt;=10000,AF19&lt;=56999),AND(AF19&gt;=57000,AF19&lt;=57999))</formula>
    </cfRule>
    <cfRule type="expression" dxfId="30719" priority="2750" stopIfTrue="1">
      <formula>AND(AF19&gt;=8000,AF19&lt;=9999)</formula>
    </cfRule>
    <cfRule type="expression" dxfId="30718" priority="2751" stopIfTrue="1">
      <formula>AND(AF19&gt;=78100,AF19&lt;=78199)</formula>
    </cfRule>
    <cfRule type="expression" dxfId="30717" priority="2752" stopIfTrue="1">
      <formula>AND(AF19&gt;=92000,AF19&lt;=98999)</formula>
    </cfRule>
    <cfRule type="expression" dxfId="30716" priority="2753" stopIfTrue="1">
      <formula>AND(AF19&gt;=78100,AF19&lt;=78199)</formula>
    </cfRule>
    <cfRule type="expression" dxfId="30715" priority="2754" stopIfTrue="1">
      <formula>AND(AF19&gt;=91000,AF19&lt;=91999)</formula>
    </cfRule>
  </conditionalFormatting>
  <conditionalFormatting sqref="AI19:AI21">
    <cfRule type="expression" dxfId="30714" priority="2733">
      <formula>AND(AJ19&gt;=79001,AJ19&lt;79900)</formula>
    </cfRule>
    <cfRule type="expression" dxfId="30713" priority="2734" stopIfTrue="1">
      <formula>AND(AJ19&gt;=70101,AJ19&lt;=70301)</formula>
    </cfRule>
    <cfRule type="expression" dxfId="30712" priority="2735" stopIfTrue="1">
      <formula>AND(AJ19&gt;70000,AJ19&lt;70004)</formula>
    </cfRule>
    <cfRule type="expression" dxfId="30711" priority="2736" stopIfTrue="1">
      <formula>AND(AJ19&gt;=70010,AJ19&lt;=76000)</formula>
    </cfRule>
    <cfRule type="expression" dxfId="30710" priority="2737">
      <formula>AND(AJ19&gt;70000,AJ19&lt;70004)</formula>
    </cfRule>
    <cfRule type="expression" dxfId="30709" priority="2738" stopIfTrue="1">
      <formula>OR(AND(AJ19&gt;=10000,AJ19&lt;=56999),AND(AJ19&gt;=57000,AJ19&lt;=57999))</formula>
    </cfRule>
    <cfRule type="expression" dxfId="30708" priority="2739" stopIfTrue="1">
      <formula>AND(AJ19&gt;=8000,AJ19&lt;=9999)</formula>
    </cfRule>
    <cfRule type="expression" dxfId="30707" priority="2740" stopIfTrue="1">
      <formula>AND(AJ19&gt;=78100,AJ19&lt;=78199)</formula>
    </cfRule>
    <cfRule type="expression" dxfId="30706" priority="2741" stopIfTrue="1">
      <formula>AND(AJ19&gt;=92000,AJ19&lt;=98999)</formula>
    </cfRule>
    <cfRule type="expression" dxfId="30705" priority="2742" stopIfTrue="1">
      <formula>AND(AJ19&gt;=78100,AJ19&lt;=78199)</formula>
    </cfRule>
    <cfRule type="expression" dxfId="30704" priority="2743" stopIfTrue="1">
      <formula>AND(AJ19&gt;=91000,AJ19&lt;=91999)</formula>
    </cfRule>
  </conditionalFormatting>
  <conditionalFormatting sqref="AM19:AM21">
    <cfRule type="expression" dxfId="30703" priority="2722">
      <formula>AND(AN19&gt;=79001,AN19&lt;79900)</formula>
    </cfRule>
    <cfRule type="expression" dxfId="30702" priority="2723" stopIfTrue="1">
      <formula>AND(AN19&gt;=70101,AN19&lt;=70301)</formula>
    </cfRule>
    <cfRule type="expression" dxfId="30701" priority="2724" stopIfTrue="1">
      <formula>AND(AN19&gt;70000,AN19&lt;70004)</formula>
    </cfRule>
    <cfRule type="expression" dxfId="30700" priority="2725" stopIfTrue="1">
      <formula>AND(AN19&gt;=70010,AN19&lt;=76000)</formula>
    </cfRule>
    <cfRule type="expression" dxfId="30699" priority="2726">
      <formula>AND(AN19&gt;70000,AN19&lt;70004)</formula>
    </cfRule>
    <cfRule type="expression" dxfId="30698" priority="2727" stopIfTrue="1">
      <formula>OR(AND(AN19&gt;=10000,AN19&lt;=56999),AND(AN19&gt;=57000,AN19&lt;=57999))</formula>
    </cfRule>
    <cfRule type="expression" dxfId="30697" priority="2728" stopIfTrue="1">
      <formula>AND(AN19&gt;=8000,AN19&lt;=9999)</formula>
    </cfRule>
    <cfRule type="expression" dxfId="30696" priority="2729" stopIfTrue="1">
      <formula>AND(AN19&gt;=78100,AN19&lt;=78199)</formula>
    </cfRule>
    <cfRule type="expression" dxfId="30695" priority="2730" stopIfTrue="1">
      <formula>AND(AN19&gt;=92000,AN19&lt;=98999)</formula>
    </cfRule>
    <cfRule type="expression" dxfId="30694" priority="2731" stopIfTrue="1">
      <formula>AND(AN19&gt;=78100,AN19&lt;=78199)</formula>
    </cfRule>
    <cfRule type="expression" dxfId="30693" priority="2732" stopIfTrue="1">
      <formula>AND(AN19&gt;=91000,AN19&lt;=91999)</formula>
    </cfRule>
  </conditionalFormatting>
  <conditionalFormatting sqref="AQ19:AQ21">
    <cfRule type="expression" dxfId="30692" priority="2711">
      <formula>AND(AR19&gt;=79001,AR19&lt;79900)</formula>
    </cfRule>
    <cfRule type="expression" dxfId="30691" priority="2712" stopIfTrue="1">
      <formula>AND(AR19&gt;=70101,AR19&lt;=70301)</formula>
    </cfRule>
    <cfRule type="expression" dxfId="30690" priority="2713" stopIfTrue="1">
      <formula>AND(AR19&gt;70000,AR19&lt;70004)</formula>
    </cfRule>
    <cfRule type="expression" dxfId="30689" priority="2714" stopIfTrue="1">
      <formula>AND(AR19&gt;=70010,AR19&lt;=76000)</formula>
    </cfRule>
    <cfRule type="expression" dxfId="30688" priority="2715">
      <formula>AND(AR19&gt;70000,AR19&lt;70004)</formula>
    </cfRule>
    <cfRule type="expression" dxfId="30687" priority="2716" stopIfTrue="1">
      <formula>OR(AND(AR19&gt;=10000,AR19&lt;=56999),AND(AR19&gt;=57000,AR19&lt;=57999))</formula>
    </cfRule>
    <cfRule type="expression" dxfId="30686" priority="2717" stopIfTrue="1">
      <formula>AND(AR19&gt;=8000,AR19&lt;=9999)</formula>
    </cfRule>
    <cfRule type="expression" dxfId="30685" priority="2718" stopIfTrue="1">
      <formula>AND(AR19&gt;=78100,AR19&lt;=78199)</formula>
    </cfRule>
    <cfRule type="expression" dxfId="30684" priority="2719" stopIfTrue="1">
      <formula>AND(AR19&gt;=92000,AR19&lt;=98999)</formula>
    </cfRule>
    <cfRule type="expression" dxfId="30683" priority="2720" stopIfTrue="1">
      <formula>AND(AR19&gt;=78100,AR19&lt;=78199)</formula>
    </cfRule>
    <cfRule type="expression" dxfId="30682" priority="2721" stopIfTrue="1">
      <formula>AND(AR19&gt;=91000,AR19&lt;=91999)</formula>
    </cfRule>
  </conditionalFormatting>
  <conditionalFormatting sqref="AU19:AU21">
    <cfRule type="expression" dxfId="30681" priority="2700">
      <formula>AND(AV19&gt;=79001,AV19&lt;79900)</formula>
    </cfRule>
    <cfRule type="expression" dxfId="30680" priority="2701" stopIfTrue="1">
      <formula>AND(AV19&gt;=70101,AV19&lt;=70301)</formula>
    </cfRule>
    <cfRule type="expression" dxfId="30679" priority="2702" stopIfTrue="1">
      <formula>AND(AV19&gt;70000,AV19&lt;70004)</formula>
    </cfRule>
    <cfRule type="expression" dxfId="30678" priority="2703" stopIfTrue="1">
      <formula>AND(AV19&gt;=70010,AV19&lt;=76000)</formula>
    </cfRule>
    <cfRule type="expression" dxfId="30677" priority="2704">
      <formula>AND(AV19&gt;70000,AV19&lt;70004)</formula>
    </cfRule>
    <cfRule type="expression" dxfId="30676" priority="2705" stopIfTrue="1">
      <formula>OR(AND(AV19&gt;=10000,AV19&lt;=56999),AND(AV19&gt;=57000,AV19&lt;=57999))</formula>
    </cfRule>
    <cfRule type="expression" dxfId="30675" priority="2706" stopIfTrue="1">
      <formula>AND(AV19&gt;=8000,AV19&lt;=9999)</formula>
    </cfRule>
    <cfRule type="expression" dxfId="30674" priority="2707" stopIfTrue="1">
      <formula>AND(AV19&gt;=78100,AV19&lt;=78199)</formula>
    </cfRule>
    <cfRule type="expression" dxfId="30673" priority="2708" stopIfTrue="1">
      <formula>AND(AV19&gt;=92000,AV19&lt;=98999)</formula>
    </cfRule>
    <cfRule type="expression" dxfId="30672" priority="2709" stopIfTrue="1">
      <formula>AND(AV19&gt;=78100,AV19&lt;=78199)</formula>
    </cfRule>
    <cfRule type="expression" dxfId="30671" priority="2710" stopIfTrue="1">
      <formula>AND(AV19&gt;=91000,AV19&lt;=91999)</formula>
    </cfRule>
  </conditionalFormatting>
  <conditionalFormatting sqref="AY19:AY21">
    <cfRule type="expression" dxfId="30670" priority="2689">
      <formula>AND(AZ19&gt;=79001,AZ19&lt;79900)</formula>
    </cfRule>
    <cfRule type="expression" dxfId="30669" priority="2690" stopIfTrue="1">
      <formula>AND(AZ19&gt;=70101,AZ19&lt;=70301)</formula>
    </cfRule>
    <cfRule type="expression" dxfId="30668" priority="2691" stopIfTrue="1">
      <formula>AND(AZ19&gt;70000,AZ19&lt;70004)</formula>
    </cfRule>
    <cfRule type="expression" dxfId="30667" priority="2692" stopIfTrue="1">
      <formula>AND(AZ19&gt;=70010,AZ19&lt;=76000)</formula>
    </cfRule>
    <cfRule type="expression" dxfId="30666" priority="2693">
      <formula>AND(AZ19&gt;70000,AZ19&lt;70004)</formula>
    </cfRule>
    <cfRule type="expression" dxfId="30665" priority="2694" stopIfTrue="1">
      <formula>OR(AND(AZ19&gt;=10000,AZ19&lt;=56999),AND(AZ19&gt;=57000,AZ19&lt;=57999))</formula>
    </cfRule>
    <cfRule type="expression" dxfId="30664" priority="2695" stopIfTrue="1">
      <formula>AND(AZ19&gt;=8000,AZ19&lt;=9999)</formula>
    </cfRule>
    <cfRule type="expression" dxfId="30663" priority="2696" stopIfTrue="1">
      <formula>AND(AZ19&gt;=78100,AZ19&lt;=78199)</formula>
    </cfRule>
    <cfRule type="expression" dxfId="30662" priority="2697" stopIfTrue="1">
      <formula>AND(AZ19&gt;=92000,AZ19&lt;=98999)</formula>
    </cfRule>
    <cfRule type="expression" dxfId="30661" priority="2698" stopIfTrue="1">
      <formula>AND(AZ19&gt;=78100,AZ19&lt;=78199)</formula>
    </cfRule>
    <cfRule type="expression" dxfId="30660" priority="2699" stopIfTrue="1">
      <formula>AND(AZ19&gt;=91000,AZ19&lt;=91999)</formula>
    </cfRule>
  </conditionalFormatting>
  <conditionalFormatting sqref="BC19:BC21">
    <cfRule type="expression" dxfId="30659" priority="2678">
      <formula>AND(BD19&gt;=79001,BD19&lt;79900)</formula>
    </cfRule>
    <cfRule type="expression" dxfId="30658" priority="2679" stopIfTrue="1">
      <formula>AND(BD19&gt;=70101,BD19&lt;=70301)</formula>
    </cfRule>
    <cfRule type="expression" dxfId="30657" priority="2680" stopIfTrue="1">
      <formula>AND(BD19&gt;70000,BD19&lt;70004)</formula>
    </cfRule>
    <cfRule type="expression" dxfId="30656" priority="2681" stopIfTrue="1">
      <formula>AND(BD19&gt;=70010,BD19&lt;=76000)</formula>
    </cfRule>
    <cfRule type="expression" dxfId="30655" priority="2682">
      <formula>AND(BD19&gt;70000,BD19&lt;70004)</formula>
    </cfRule>
    <cfRule type="expression" dxfId="30654" priority="2683" stopIfTrue="1">
      <formula>OR(AND(BD19&gt;=10000,BD19&lt;=56999),AND(BD19&gt;=57000,BD19&lt;=57999))</formula>
    </cfRule>
    <cfRule type="expression" dxfId="30653" priority="2684" stopIfTrue="1">
      <formula>AND(BD19&gt;=8000,BD19&lt;=9999)</formula>
    </cfRule>
    <cfRule type="expression" dxfId="30652" priority="2685" stopIfTrue="1">
      <formula>AND(BD19&gt;=78100,BD19&lt;=78199)</formula>
    </cfRule>
    <cfRule type="expression" dxfId="30651" priority="2686" stopIfTrue="1">
      <formula>AND(BD19&gt;=92000,BD19&lt;=98999)</formula>
    </cfRule>
    <cfRule type="expression" dxfId="30650" priority="2687" stopIfTrue="1">
      <formula>AND(BD19&gt;=78100,BD19&lt;=78199)</formula>
    </cfRule>
    <cfRule type="expression" dxfId="30649" priority="2688" stopIfTrue="1">
      <formula>AND(BD19&gt;=91000,BD19&lt;=91999)</formula>
    </cfRule>
  </conditionalFormatting>
  <conditionalFormatting sqref="BG19:BG21">
    <cfRule type="expression" dxfId="30648" priority="2667">
      <formula>AND(BH19&gt;=79001,BH19&lt;79900)</formula>
    </cfRule>
    <cfRule type="expression" dxfId="30647" priority="2668" stopIfTrue="1">
      <formula>AND(BH19&gt;=70101,BH19&lt;=70301)</formula>
    </cfRule>
    <cfRule type="expression" dxfId="30646" priority="2669" stopIfTrue="1">
      <formula>AND(BH19&gt;70000,BH19&lt;70004)</formula>
    </cfRule>
    <cfRule type="expression" dxfId="30645" priority="2670" stopIfTrue="1">
      <formula>AND(BH19&gt;=70010,BH19&lt;=76000)</formula>
    </cfRule>
    <cfRule type="expression" dxfId="30644" priority="2671">
      <formula>AND(BH19&gt;70000,BH19&lt;70004)</formula>
    </cfRule>
    <cfRule type="expression" dxfId="30643" priority="2672" stopIfTrue="1">
      <formula>OR(AND(BH19&gt;=10000,BH19&lt;=56999),AND(BH19&gt;=57000,BH19&lt;=57999))</formula>
    </cfRule>
    <cfRule type="expression" dxfId="30642" priority="2673" stopIfTrue="1">
      <formula>AND(BH19&gt;=8000,BH19&lt;=9999)</formula>
    </cfRule>
    <cfRule type="expression" dxfId="30641" priority="2674" stopIfTrue="1">
      <formula>AND(BH19&gt;=78100,BH19&lt;=78199)</formula>
    </cfRule>
    <cfRule type="expression" dxfId="30640" priority="2675" stopIfTrue="1">
      <formula>AND(BH19&gt;=92000,BH19&lt;=98999)</formula>
    </cfRule>
    <cfRule type="expression" dxfId="30639" priority="2676" stopIfTrue="1">
      <formula>AND(BH19&gt;=78100,BH19&lt;=78199)</formula>
    </cfRule>
    <cfRule type="expression" dxfId="30638" priority="2677" stopIfTrue="1">
      <formula>AND(BH19&gt;=91000,BH19&lt;=91999)</formula>
    </cfRule>
  </conditionalFormatting>
  <conditionalFormatting sqref="BK19:BK21">
    <cfRule type="expression" dxfId="30637" priority="2656">
      <formula>AND(BL19&gt;=79001,BL19&lt;79900)</formula>
    </cfRule>
    <cfRule type="expression" dxfId="30636" priority="2657" stopIfTrue="1">
      <formula>AND(BL19&gt;=70101,BL19&lt;=70301)</formula>
    </cfRule>
    <cfRule type="expression" dxfId="30635" priority="2658" stopIfTrue="1">
      <formula>AND(BL19&gt;70000,BL19&lt;70004)</formula>
    </cfRule>
    <cfRule type="expression" dxfId="30634" priority="2659" stopIfTrue="1">
      <formula>AND(BL19&gt;=70010,BL19&lt;=76000)</formula>
    </cfRule>
    <cfRule type="expression" dxfId="30633" priority="2660">
      <formula>AND(BL19&gt;70000,BL19&lt;70004)</formula>
    </cfRule>
    <cfRule type="expression" dxfId="30632" priority="2661" stopIfTrue="1">
      <formula>OR(AND(BL19&gt;=10000,BL19&lt;=56999),AND(BL19&gt;=57000,BL19&lt;=57999))</formula>
    </cfRule>
    <cfRule type="expression" dxfId="30631" priority="2662" stopIfTrue="1">
      <formula>AND(BL19&gt;=8000,BL19&lt;=9999)</formula>
    </cfRule>
    <cfRule type="expression" dxfId="30630" priority="2663" stopIfTrue="1">
      <formula>AND(BL19&gt;=78100,BL19&lt;=78199)</formula>
    </cfRule>
    <cfRule type="expression" dxfId="30629" priority="2664" stopIfTrue="1">
      <formula>AND(BL19&gt;=92000,BL19&lt;=98999)</formula>
    </cfRule>
    <cfRule type="expression" dxfId="30628" priority="2665" stopIfTrue="1">
      <formula>AND(BL19&gt;=78100,BL19&lt;=78199)</formula>
    </cfRule>
    <cfRule type="expression" dxfId="30627" priority="2666" stopIfTrue="1">
      <formula>AND(BL19&gt;=91000,BL19&lt;=91999)</formula>
    </cfRule>
  </conditionalFormatting>
  <conditionalFormatting sqref="G28:G30">
    <cfRule type="expression" dxfId="30626" priority="2644">
      <formula>AND(H28&gt;=79001,H28&lt;79900)</formula>
    </cfRule>
    <cfRule type="expression" dxfId="30625" priority="2645" stopIfTrue="1">
      <formula>AND(H28&gt;=70101,H28&lt;=70301)</formula>
    </cfRule>
    <cfRule type="expression" dxfId="30624" priority="2646" stopIfTrue="1">
      <formula>AND(H28&gt;70000,H28&lt;70004)</formula>
    </cfRule>
    <cfRule type="expression" dxfId="30623" priority="2647" stopIfTrue="1">
      <formula>AND(H28&gt;=70010,H28&lt;=76000)</formula>
    </cfRule>
    <cfRule type="expression" dxfId="30622" priority="2648">
      <formula>AND(H28&gt;70000,H28&lt;70004)</formula>
    </cfRule>
    <cfRule type="expression" dxfId="30621" priority="2649" stopIfTrue="1">
      <formula>OR(AND(H28&gt;=10000,H28&lt;=56999),AND(H28&gt;=57000,H28&lt;=57999))</formula>
    </cfRule>
    <cfRule type="expression" dxfId="30620" priority="2650" stopIfTrue="1">
      <formula>AND(H28&gt;=8000,H28&lt;=9999)</formula>
    </cfRule>
    <cfRule type="expression" dxfId="30619" priority="2651" stopIfTrue="1">
      <formula>AND(H28&gt;=78100,H28&lt;=78199)</formula>
    </cfRule>
    <cfRule type="expression" dxfId="30618" priority="2652" stopIfTrue="1">
      <formula>AND(H28&gt;=92000,H28&lt;=98999)</formula>
    </cfRule>
    <cfRule type="expression" dxfId="30617" priority="2653" stopIfTrue="1">
      <formula>AND(H28&gt;=78100,H28&lt;=78199)</formula>
    </cfRule>
    <cfRule type="expression" dxfId="30616" priority="2654" stopIfTrue="1">
      <formula>AND(H28&gt;=91000,H28&lt;=91999)</formula>
    </cfRule>
  </conditionalFormatting>
  <conditionalFormatting sqref="K28:K30">
    <cfRule type="expression" dxfId="30615" priority="2633">
      <formula>AND(L28&gt;=79001,L28&lt;79900)</formula>
    </cfRule>
    <cfRule type="expression" dxfId="30614" priority="2634" stopIfTrue="1">
      <formula>AND(L28&gt;=70101,L28&lt;=70301)</formula>
    </cfRule>
    <cfRule type="expression" dxfId="30613" priority="2635" stopIfTrue="1">
      <formula>AND(L28&gt;70000,L28&lt;70004)</formula>
    </cfRule>
    <cfRule type="expression" dxfId="30612" priority="2636" stopIfTrue="1">
      <formula>AND(L28&gt;=70010,L28&lt;=76000)</formula>
    </cfRule>
    <cfRule type="expression" dxfId="30611" priority="2637">
      <formula>AND(L28&gt;70000,L28&lt;70004)</formula>
    </cfRule>
    <cfRule type="expression" dxfId="30610" priority="2638" stopIfTrue="1">
      <formula>OR(AND(L28&gt;=10000,L28&lt;=56999),AND(L28&gt;=57000,L28&lt;=57999))</formula>
    </cfRule>
    <cfRule type="expression" dxfId="30609" priority="2639" stopIfTrue="1">
      <formula>AND(L28&gt;=8000,L28&lt;=9999)</formula>
    </cfRule>
    <cfRule type="expression" dxfId="30608" priority="2640" stopIfTrue="1">
      <formula>AND(L28&gt;=78100,L28&lt;=78199)</formula>
    </cfRule>
    <cfRule type="expression" dxfId="30607" priority="2641" stopIfTrue="1">
      <formula>AND(L28&gt;=92000,L28&lt;=98999)</formula>
    </cfRule>
    <cfRule type="expression" dxfId="30606" priority="2642" stopIfTrue="1">
      <formula>AND(L28&gt;=78100,L28&lt;=78199)</formula>
    </cfRule>
    <cfRule type="expression" dxfId="30605" priority="2643" stopIfTrue="1">
      <formula>AND(L28&gt;=91000,L28&lt;=91999)</formula>
    </cfRule>
  </conditionalFormatting>
  <conditionalFormatting sqref="O28:O30">
    <cfRule type="expression" dxfId="30604" priority="2622">
      <formula>AND(P28&gt;=79001,P28&lt;79900)</formula>
    </cfRule>
    <cfRule type="expression" dxfId="30603" priority="2623" stopIfTrue="1">
      <formula>AND(P28&gt;=70101,P28&lt;=70301)</formula>
    </cfRule>
    <cfRule type="expression" dxfId="30602" priority="2624" stopIfTrue="1">
      <formula>AND(P28&gt;70000,P28&lt;70004)</formula>
    </cfRule>
    <cfRule type="expression" dxfId="30601" priority="2625" stopIfTrue="1">
      <formula>AND(P28&gt;=70010,P28&lt;=76000)</formula>
    </cfRule>
    <cfRule type="expression" dxfId="30600" priority="2626">
      <formula>AND(P28&gt;70000,P28&lt;70004)</formula>
    </cfRule>
    <cfRule type="expression" dxfId="30599" priority="2627" stopIfTrue="1">
      <formula>OR(AND(P28&gt;=10000,P28&lt;=56999),AND(P28&gt;=57000,P28&lt;=57999))</formula>
    </cfRule>
    <cfRule type="expression" dxfId="30598" priority="2628" stopIfTrue="1">
      <formula>AND(P28&gt;=8000,P28&lt;=9999)</formula>
    </cfRule>
    <cfRule type="expression" dxfId="30597" priority="2629" stopIfTrue="1">
      <formula>AND(P28&gt;=78100,P28&lt;=78199)</formula>
    </cfRule>
    <cfRule type="expression" dxfId="30596" priority="2630" stopIfTrue="1">
      <formula>AND(P28&gt;=92000,P28&lt;=98999)</formula>
    </cfRule>
    <cfRule type="expression" dxfId="30595" priority="2631" stopIfTrue="1">
      <formula>AND(P28&gt;=78100,P28&lt;=78199)</formula>
    </cfRule>
    <cfRule type="expression" dxfId="30594" priority="2632" stopIfTrue="1">
      <formula>AND(P28&gt;=91000,P28&lt;=91999)</formula>
    </cfRule>
  </conditionalFormatting>
  <conditionalFormatting sqref="S28:S30">
    <cfRule type="expression" dxfId="30593" priority="2611">
      <formula>AND(T28&gt;=79001,T28&lt;79900)</formula>
    </cfRule>
    <cfRule type="expression" dxfId="30592" priority="2612" stopIfTrue="1">
      <formula>AND(T28&gt;=70101,T28&lt;=70301)</formula>
    </cfRule>
    <cfRule type="expression" dxfId="30591" priority="2613" stopIfTrue="1">
      <formula>AND(T28&gt;70000,T28&lt;70004)</formula>
    </cfRule>
    <cfRule type="expression" dxfId="30590" priority="2614" stopIfTrue="1">
      <formula>AND(T28&gt;=70010,T28&lt;=76000)</formula>
    </cfRule>
    <cfRule type="expression" dxfId="30589" priority="2615">
      <formula>AND(T28&gt;70000,T28&lt;70004)</formula>
    </cfRule>
    <cfRule type="expression" dxfId="30588" priority="2616" stopIfTrue="1">
      <formula>OR(AND(T28&gt;=10000,T28&lt;=56999),AND(T28&gt;=57000,T28&lt;=57999))</formula>
    </cfRule>
    <cfRule type="expression" dxfId="30587" priority="2617" stopIfTrue="1">
      <formula>AND(T28&gt;=8000,T28&lt;=9999)</formula>
    </cfRule>
    <cfRule type="expression" dxfId="30586" priority="2618" stopIfTrue="1">
      <formula>AND(T28&gt;=78100,T28&lt;=78199)</formula>
    </cfRule>
    <cfRule type="expression" dxfId="30585" priority="2619" stopIfTrue="1">
      <formula>AND(T28&gt;=92000,T28&lt;=98999)</formula>
    </cfRule>
    <cfRule type="expression" dxfId="30584" priority="2620" stopIfTrue="1">
      <formula>AND(T28&gt;=78100,T28&lt;=78199)</formula>
    </cfRule>
    <cfRule type="expression" dxfId="30583" priority="2621" stopIfTrue="1">
      <formula>AND(T28&gt;=91000,T28&lt;=91999)</formula>
    </cfRule>
  </conditionalFormatting>
  <conditionalFormatting sqref="W28:W30">
    <cfRule type="expression" dxfId="30582" priority="2600">
      <formula>AND(X28&gt;=79001,X28&lt;79900)</formula>
    </cfRule>
    <cfRule type="expression" dxfId="30581" priority="2601" stopIfTrue="1">
      <formula>AND(X28&gt;=70101,X28&lt;=70301)</formula>
    </cfRule>
    <cfRule type="expression" dxfId="30580" priority="2602" stopIfTrue="1">
      <formula>AND(X28&gt;70000,X28&lt;70004)</formula>
    </cfRule>
    <cfRule type="expression" dxfId="30579" priority="2603" stopIfTrue="1">
      <formula>AND(X28&gt;=70010,X28&lt;=76000)</formula>
    </cfRule>
    <cfRule type="expression" dxfId="30578" priority="2604">
      <formula>AND(X28&gt;70000,X28&lt;70004)</formula>
    </cfRule>
    <cfRule type="expression" dxfId="30577" priority="2605" stopIfTrue="1">
      <formula>OR(AND(X28&gt;=10000,X28&lt;=56999),AND(X28&gt;=57000,X28&lt;=57999))</formula>
    </cfRule>
    <cfRule type="expression" dxfId="30576" priority="2606" stopIfTrue="1">
      <formula>AND(X28&gt;=8000,X28&lt;=9999)</formula>
    </cfRule>
    <cfRule type="expression" dxfId="30575" priority="2607" stopIfTrue="1">
      <formula>AND(X28&gt;=78100,X28&lt;=78199)</formula>
    </cfRule>
    <cfRule type="expression" dxfId="30574" priority="2608" stopIfTrue="1">
      <formula>AND(X28&gt;=92000,X28&lt;=98999)</formula>
    </cfRule>
    <cfRule type="expression" dxfId="30573" priority="2609" stopIfTrue="1">
      <formula>AND(X28&gt;=78100,X28&lt;=78199)</formula>
    </cfRule>
    <cfRule type="expression" dxfId="30572" priority="2610" stopIfTrue="1">
      <formula>AND(X28&gt;=91000,X28&lt;=91999)</formula>
    </cfRule>
  </conditionalFormatting>
  <conditionalFormatting sqref="AA28:AA30">
    <cfRule type="expression" dxfId="30571" priority="2589">
      <formula>AND(AB28&gt;=79001,AB28&lt;79900)</formula>
    </cfRule>
    <cfRule type="expression" dxfId="30570" priority="2590" stopIfTrue="1">
      <formula>AND(AB28&gt;=70101,AB28&lt;=70301)</formula>
    </cfRule>
    <cfRule type="expression" dxfId="30569" priority="2591" stopIfTrue="1">
      <formula>AND(AB28&gt;70000,AB28&lt;70004)</formula>
    </cfRule>
    <cfRule type="expression" dxfId="30568" priority="2592" stopIfTrue="1">
      <formula>AND(AB28&gt;=70010,AB28&lt;=76000)</formula>
    </cfRule>
    <cfRule type="expression" dxfId="30567" priority="2593">
      <formula>AND(AB28&gt;70000,AB28&lt;70004)</formula>
    </cfRule>
    <cfRule type="expression" dxfId="30566" priority="2594" stopIfTrue="1">
      <formula>OR(AND(AB28&gt;=10000,AB28&lt;=56999),AND(AB28&gt;=57000,AB28&lt;=57999))</formula>
    </cfRule>
    <cfRule type="expression" dxfId="30565" priority="2595" stopIfTrue="1">
      <formula>AND(AB28&gt;=8000,AB28&lt;=9999)</formula>
    </cfRule>
    <cfRule type="expression" dxfId="30564" priority="2596" stopIfTrue="1">
      <formula>AND(AB28&gt;=78100,AB28&lt;=78199)</formula>
    </cfRule>
    <cfRule type="expression" dxfId="30563" priority="2597" stopIfTrue="1">
      <formula>AND(AB28&gt;=92000,AB28&lt;=98999)</formula>
    </cfRule>
    <cfRule type="expression" dxfId="30562" priority="2598" stopIfTrue="1">
      <formula>AND(AB28&gt;=78100,AB28&lt;=78199)</formula>
    </cfRule>
    <cfRule type="expression" dxfId="30561" priority="2599" stopIfTrue="1">
      <formula>AND(AB28&gt;=91000,AB28&lt;=91999)</formula>
    </cfRule>
  </conditionalFormatting>
  <conditionalFormatting sqref="AE28:AE30">
    <cfRule type="expression" dxfId="30560" priority="2578">
      <formula>AND(AF28&gt;=79001,AF28&lt;79900)</formula>
    </cfRule>
    <cfRule type="expression" dxfId="30559" priority="2579" stopIfTrue="1">
      <formula>AND(AF28&gt;=70101,AF28&lt;=70301)</formula>
    </cfRule>
    <cfRule type="expression" dxfId="30558" priority="2580" stopIfTrue="1">
      <formula>AND(AF28&gt;70000,AF28&lt;70004)</formula>
    </cfRule>
    <cfRule type="expression" dxfId="30557" priority="2581" stopIfTrue="1">
      <formula>AND(AF28&gt;=70010,AF28&lt;=76000)</formula>
    </cfRule>
    <cfRule type="expression" dxfId="30556" priority="2582">
      <formula>AND(AF28&gt;70000,AF28&lt;70004)</formula>
    </cfRule>
    <cfRule type="expression" dxfId="30555" priority="2583" stopIfTrue="1">
      <formula>OR(AND(AF28&gt;=10000,AF28&lt;=56999),AND(AF28&gt;=57000,AF28&lt;=57999))</formula>
    </cfRule>
    <cfRule type="expression" dxfId="30554" priority="2584" stopIfTrue="1">
      <formula>AND(AF28&gt;=8000,AF28&lt;=9999)</formula>
    </cfRule>
    <cfRule type="expression" dxfId="30553" priority="2585" stopIfTrue="1">
      <formula>AND(AF28&gt;=78100,AF28&lt;=78199)</formula>
    </cfRule>
    <cfRule type="expression" dxfId="30552" priority="2586" stopIfTrue="1">
      <formula>AND(AF28&gt;=92000,AF28&lt;=98999)</formula>
    </cfRule>
    <cfRule type="expression" dxfId="30551" priority="2587" stopIfTrue="1">
      <formula>AND(AF28&gt;=78100,AF28&lt;=78199)</formula>
    </cfRule>
    <cfRule type="expression" dxfId="30550" priority="2588" stopIfTrue="1">
      <formula>AND(AF28&gt;=91000,AF28&lt;=91999)</formula>
    </cfRule>
  </conditionalFormatting>
  <conditionalFormatting sqref="AI28:AI30">
    <cfRule type="expression" dxfId="30549" priority="2567">
      <formula>AND(AJ28&gt;=79001,AJ28&lt;79900)</formula>
    </cfRule>
    <cfRule type="expression" dxfId="30548" priority="2568" stopIfTrue="1">
      <formula>AND(AJ28&gt;=70101,AJ28&lt;=70301)</formula>
    </cfRule>
    <cfRule type="expression" dxfId="30547" priority="2569" stopIfTrue="1">
      <formula>AND(AJ28&gt;70000,AJ28&lt;70004)</formula>
    </cfRule>
    <cfRule type="expression" dxfId="30546" priority="2570" stopIfTrue="1">
      <formula>AND(AJ28&gt;=70010,AJ28&lt;=76000)</formula>
    </cfRule>
    <cfRule type="expression" dxfId="30545" priority="2571">
      <formula>AND(AJ28&gt;70000,AJ28&lt;70004)</formula>
    </cfRule>
    <cfRule type="expression" dxfId="30544" priority="2572" stopIfTrue="1">
      <formula>OR(AND(AJ28&gt;=10000,AJ28&lt;=56999),AND(AJ28&gt;=57000,AJ28&lt;=57999))</formula>
    </cfRule>
    <cfRule type="expression" dxfId="30543" priority="2573" stopIfTrue="1">
      <formula>AND(AJ28&gt;=8000,AJ28&lt;=9999)</formula>
    </cfRule>
    <cfRule type="expression" dxfId="30542" priority="2574" stopIfTrue="1">
      <formula>AND(AJ28&gt;=78100,AJ28&lt;=78199)</formula>
    </cfRule>
    <cfRule type="expression" dxfId="30541" priority="2575" stopIfTrue="1">
      <formula>AND(AJ28&gt;=92000,AJ28&lt;=98999)</formula>
    </cfRule>
    <cfRule type="expression" dxfId="30540" priority="2576" stopIfTrue="1">
      <formula>AND(AJ28&gt;=78100,AJ28&lt;=78199)</formula>
    </cfRule>
    <cfRule type="expression" dxfId="30539" priority="2577" stopIfTrue="1">
      <formula>AND(AJ28&gt;=91000,AJ28&lt;=91999)</formula>
    </cfRule>
  </conditionalFormatting>
  <conditionalFormatting sqref="AM28:AM30">
    <cfRule type="expression" dxfId="30538" priority="2556">
      <formula>AND(AN28&gt;=79001,AN28&lt;79900)</formula>
    </cfRule>
    <cfRule type="expression" dxfId="30537" priority="2557" stopIfTrue="1">
      <formula>AND(AN28&gt;=70101,AN28&lt;=70301)</formula>
    </cfRule>
    <cfRule type="expression" dxfId="30536" priority="2558" stopIfTrue="1">
      <formula>AND(AN28&gt;70000,AN28&lt;70004)</formula>
    </cfRule>
    <cfRule type="expression" dxfId="30535" priority="2559" stopIfTrue="1">
      <formula>AND(AN28&gt;=70010,AN28&lt;=76000)</formula>
    </cfRule>
    <cfRule type="expression" dxfId="30534" priority="2560">
      <formula>AND(AN28&gt;70000,AN28&lt;70004)</formula>
    </cfRule>
    <cfRule type="expression" dxfId="30533" priority="2561" stopIfTrue="1">
      <formula>OR(AND(AN28&gt;=10000,AN28&lt;=56999),AND(AN28&gt;=57000,AN28&lt;=57999))</formula>
    </cfRule>
    <cfRule type="expression" dxfId="30532" priority="2562" stopIfTrue="1">
      <formula>AND(AN28&gt;=8000,AN28&lt;=9999)</formula>
    </cfRule>
    <cfRule type="expression" dxfId="30531" priority="2563" stopIfTrue="1">
      <formula>AND(AN28&gt;=78100,AN28&lt;=78199)</formula>
    </cfRule>
    <cfRule type="expression" dxfId="30530" priority="2564" stopIfTrue="1">
      <formula>AND(AN28&gt;=92000,AN28&lt;=98999)</formula>
    </cfRule>
    <cfRule type="expression" dxfId="30529" priority="2565" stopIfTrue="1">
      <formula>AND(AN28&gt;=78100,AN28&lt;=78199)</formula>
    </cfRule>
    <cfRule type="expression" dxfId="30528" priority="2566" stopIfTrue="1">
      <formula>AND(AN28&gt;=91000,AN28&lt;=91999)</formula>
    </cfRule>
  </conditionalFormatting>
  <conditionalFormatting sqref="AQ28:AQ30">
    <cfRule type="expression" dxfId="30527" priority="2545">
      <formula>AND(AR28&gt;=79001,AR28&lt;79900)</formula>
    </cfRule>
    <cfRule type="expression" dxfId="30526" priority="2546" stopIfTrue="1">
      <formula>AND(AR28&gt;=70101,AR28&lt;=70301)</formula>
    </cfRule>
    <cfRule type="expression" dxfId="30525" priority="2547" stopIfTrue="1">
      <formula>AND(AR28&gt;70000,AR28&lt;70004)</formula>
    </cfRule>
    <cfRule type="expression" dxfId="30524" priority="2548" stopIfTrue="1">
      <formula>AND(AR28&gt;=70010,AR28&lt;=76000)</formula>
    </cfRule>
    <cfRule type="expression" dxfId="30523" priority="2549">
      <formula>AND(AR28&gt;70000,AR28&lt;70004)</formula>
    </cfRule>
    <cfRule type="expression" dxfId="30522" priority="2550" stopIfTrue="1">
      <formula>OR(AND(AR28&gt;=10000,AR28&lt;=56999),AND(AR28&gt;=57000,AR28&lt;=57999))</formula>
    </cfRule>
    <cfRule type="expression" dxfId="30521" priority="2551" stopIfTrue="1">
      <formula>AND(AR28&gt;=8000,AR28&lt;=9999)</formula>
    </cfRule>
    <cfRule type="expression" dxfId="30520" priority="2552" stopIfTrue="1">
      <formula>AND(AR28&gt;=78100,AR28&lt;=78199)</formula>
    </cfRule>
    <cfRule type="expression" dxfId="30519" priority="2553" stopIfTrue="1">
      <formula>AND(AR28&gt;=92000,AR28&lt;=98999)</formula>
    </cfRule>
    <cfRule type="expression" dxfId="30518" priority="2554" stopIfTrue="1">
      <formula>AND(AR28&gt;=78100,AR28&lt;=78199)</formula>
    </cfRule>
    <cfRule type="expression" dxfId="30517" priority="2555" stopIfTrue="1">
      <formula>AND(AR28&gt;=91000,AR28&lt;=91999)</formula>
    </cfRule>
  </conditionalFormatting>
  <conditionalFormatting sqref="AU28:AU30">
    <cfRule type="expression" dxfId="30516" priority="2534">
      <formula>AND(AV28&gt;=79001,AV28&lt;79900)</formula>
    </cfRule>
    <cfRule type="expression" dxfId="30515" priority="2535" stopIfTrue="1">
      <formula>AND(AV28&gt;=70101,AV28&lt;=70301)</formula>
    </cfRule>
    <cfRule type="expression" dxfId="30514" priority="2536" stopIfTrue="1">
      <formula>AND(AV28&gt;70000,AV28&lt;70004)</formula>
    </cfRule>
    <cfRule type="expression" dxfId="30513" priority="2537" stopIfTrue="1">
      <formula>AND(AV28&gt;=70010,AV28&lt;=76000)</formula>
    </cfRule>
    <cfRule type="expression" dxfId="30512" priority="2538">
      <formula>AND(AV28&gt;70000,AV28&lt;70004)</formula>
    </cfRule>
    <cfRule type="expression" dxfId="30511" priority="2539" stopIfTrue="1">
      <formula>OR(AND(AV28&gt;=10000,AV28&lt;=56999),AND(AV28&gt;=57000,AV28&lt;=57999))</formula>
    </cfRule>
    <cfRule type="expression" dxfId="30510" priority="2540" stopIfTrue="1">
      <formula>AND(AV28&gt;=8000,AV28&lt;=9999)</formula>
    </cfRule>
    <cfRule type="expression" dxfId="30509" priority="2541" stopIfTrue="1">
      <formula>AND(AV28&gt;=78100,AV28&lt;=78199)</formula>
    </cfRule>
    <cfRule type="expression" dxfId="30508" priority="2542" stopIfTrue="1">
      <formula>AND(AV28&gt;=92000,AV28&lt;=98999)</formula>
    </cfRule>
    <cfRule type="expression" dxfId="30507" priority="2543" stopIfTrue="1">
      <formula>AND(AV28&gt;=78100,AV28&lt;=78199)</formula>
    </cfRule>
    <cfRule type="expression" dxfId="30506" priority="2544" stopIfTrue="1">
      <formula>AND(AV28&gt;=91000,AV28&lt;=91999)</formula>
    </cfRule>
  </conditionalFormatting>
  <conditionalFormatting sqref="AY28:AY30">
    <cfRule type="expression" dxfId="30505" priority="2523">
      <formula>AND(AZ28&gt;=79001,AZ28&lt;79900)</formula>
    </cfRule>
    <cfRule type="expression" dxfId="30504" priority="2524" stopIfTrue="1">
      <formula>AND(AZ28&gt;=70101,AZ28&lt;=70301)</formula>
    </cfRule>
    <cfRule type="expression" dxfId="30503" priority="2525" stopIfTrue="1">
      <formula>AND(AZ28&gt;70000,AZ28&lt;70004)</formula>
    </cfRule>
    <cfRule type="expression" dxfId="30502" priority="2526" stopIfTrue="1">
      <formula>AND(AZ28&gt;=70010,AZ28&lt;=76000)</formula>
    </cfRule>
    <cfRule type="expression" dxfId="30501" priority="2527">
      <formula>AND(AZ28&gt;70000,AZ28&lt;70004)</formula>
    </cfRule>
    <cfRule type="expression" dxfId="30500" priority="2528" stopIfTrue="1">
      <formula>OR(AND(AZ28&gt;=10000,AZ28&lt;=56999),AND(AZ28&gt;=57000,AZ28&lt;=57999))</formula>
    </cfRule>
    <cfRule type="expression" dxfId="30499" priority="2529" stopIfTrue="1">
      <formula>AND(AZ28&gt;=8000,AZ28&lt;=9999)</formula>
    </cfRule>
    <cfRule type="expression" dxfId="30498" priority="2530" stopIfTrue="1">
      <formula>AND(AZ28&gt;=78100,AZ28&lt;=78199)</formula>
    </cfRule>
    <cfRule type="expression" dxfId="30497" priority="2531" stopIfTrue="1">
      <formula>AND(AZ28&gt;=92000,AZ28&lt;=98999)</formula>
    </cfRule>
    <cfRule type="expression" dxfId="30496" priority="2532" stopIfTrue="1">
      <formula>AND(AZ28&gt;=78100,AZ28&lt;=78199)</formula>
    </cfRule>
    <cfRule type="expression" dxfId="30495" priority="2533" stopIfTrue="1">
      <formula>AND(AZ28&gt;=91000,AZ28&lt;=91999)</formula>
    </cfRule>
  </conditionalFormatting>
  <conditionalFormatting sqref="BC28:BC30">
    <cfRule type="expression" dxfId="30494" priority="2512">
      <formula>AND(BD28&gt;=79001,BD28&lt;79900)</formula>
    </cfRule>
    <cfRule type="expression" dxfId="30493" priority="2513" stopIfTrue="1">
      <formula>AND(BD28&gt;=70101,BD28&lt;=70301)</formula>
    </cfRule>
    <cfRule type="expression" dxfId="30492" priority="2514" stopIfTrue="1">
      <formula>AND(BD28&gt;70000,BD28&lt;70004)</formula>
    </cfRule>
    <cfRule type="expression" dxfId="30491" priority="2515" stopIfTrue="1">
      <formula>AND(BD28&gt;=70010,BD28&lt;=76000)</formula>
    </cfRule>
    <cfRule type="expression" dxfId="30490" priority="2516">
      <formula>AND(BD28&gt;70000,BD28&lt;70004)</formula>
    </cfRule>
    <cfRule type="expression" dxfId="30489" priority="2517" stopIfTrue="1">
      <formula>OR(AND(BD28&gt;=10000,BD28&lt;=56999),AND(BD28&gt;=57000,BD28&lt;=57999))</formula>
    </cfRule>
    <cfRule type="expression" dxfId="30488" priority="2518" stopIfTrue="1">
      <formula>AND(BD28&gt;=8000,BD28&lt;=9999)</formula>
    </cfRule>
    <cfRule type="expression" dxfId="30487" priority="2519" stopIfTrue="1">
      <formula>AND(BD28&gt;=78100,BD28&lt;=78199)</formula>
    </cfRule>
    <cfRule type="expression" dxfId="30486" priority="2520" stopIfTrue="1">
      <formula>AND(BD28&gt;=92000,BD28&lt;=98999)</formula>
    </cfRule>
    <cfRule type="expression" dxfId="30485" priority="2521" stopIfTrue="1">
      <formula>AND(BD28&gt;=78100,BD28&lt;=78199)</formula>
    </cfRule>
    <cfRule type="expression" dxfId="30484" priority="2522" stopIfTrue="1">
      <formula>AND(BD28&gt;=91000,BD28&lt;=91999)</formula>
    </cfRule>
  </conditionalFormatting>
  <conditionalFormatting sqref="BG28:BG30">
    <cfRule type="expression" dxfId="30483" priority="2501">
      <formula>AND(BH28&gt;=79001,BH28&lt;79900)</formula>
    </cfRule>
    <cfRule type="expression" dxfId="30482" priority="2502" stopIfTrue="1">
      <formula>AND(BH28&gt;=70101,BH28&lt;=70301)</formula>
    </cfRule>
    <cfRule type="expression" dxfId="30481" priority="2503" stopIfTrue="1">
      <formula>AND(BH28&gt;70000,BH28&lt;70004)</formula>
    </cfRule>
    <cfRule type="expression" dxfId="30480" priority="2504" stopIfTrue="1">
      <formula>AND(BH28&gt;=70010,BH28&lt;=76000)</formula>
    </cfRule>
    <cfRule type="expression" dxfId="30479" priority="2505">
      <formula>AND(BH28&gt;70000,BH28&lt;70004)</formula>
    </cfRule>
    <cfRule type="expression" dxfId="30478" priority="2506" stopIfTrue="1">
      <formula>OR(AND(BH28&gt;=10000,BH28&lt;=56999),AND(BH28&gt;=57000,BH28&lt;=57999))</formula>
    </cfRule>
    <cfRule type="expression" dxfId="30477" priority="2507" stopIfTrue="1">
      <formula>AND(BH28&gt;=8000,BH28&lt;=9999)</formula>
    </cfRule>
    <cfRule type="expression" dxfId="30476" priority="2508" stopIfTrue="1">
      <formula>AND(BH28&gt;=78100,BH28&lt;=78199)</formula>
    </cfRule>
    <cfRule type="expression" dxfId="30475" priority="2509" stopIfTrue="1">
      <formula>AND(BH28&gt;=92000,BH28&lt;=98999)</formula>
    </cfRule>
    <cfRule type="expression" dxfId="30474" priority="2510" stopIfTrue="1">
      <formula>AND(BH28&gt;=78100,BH28&lt;=78199)</formula>
    </cfRule>
    <cfRule type="expression" dxfId="30473" priority="2511" stopIfTrue="1">
      <formula>AND(BH28&gt;=91000,BH28&lt;=91999)</formula>
    </cfRule>
  </conditionalFormatting>
  <conditionalFormatting sqref="BK28:BK30">
    <cfRule type="expression" dxfId="30472" priority="2490">
      <formula>AND(BL28&gt;=79001,BL28&lt;79900)</formula>
    </cfRule>
    <cfRule type="expression" dxfId="30471" priority="2491" stopIfTrue="1">
      <formula>AND(BL28&gt;=70101,BL28&lt;=70301)</formula>
    </cfRule>
    <cfRule type="expression" dxfId="30470" priority="2492" stopIfTrue="1">
      <formula>AND(BL28&gt;70000,BL28&lt;70004)</formula>
    </cfRule>
    <cfRule type="expression" dxfId="30469" priority="2493" stopIfTrue="1">
      <formula>AND(BL28&gt;=70010,BL28&lt;=76000)</formula>
    </cfRule>
    <cfRule type="expression" dxfId="30468" priority="2494">
      <formula>AND(BL28&gt;70000,BL28&lt;70004)</formula>
    </cfRule>
    <cfRule type="expression" dxfId="30467" priority="2495" stopIfTrue="1">
      <formula>OR(AND(BL28&gt;=10000,BL28&lt;=56999),AND(BL28&gt;=57000,BL28&lt;=57999))</formula>
    </cfRule>
    <cfRule type="expression" dxfId="30466" priority="2496" stopIfTrue="1">
      <formula>AND(BL28&gt;=8000,BL28&lt;=9999)</formula>
    </cfRule>
    <cfRule type="expression" dxfId="30465" priority="2497" stopIfTrue="1">
      <formula>AND(BL28&gt;=78100,BL28&lt;=78199)</formula>
    </cfRule>
    <cfRule type="expression" dxfId="30464" priority="2498" stopIfTrue="1">
      <formula>AND(BL28&gt;=92000,BL28&lt;=98999)</formula>
    </cfRule>
    <cfRule type="expression" dxfId="30463" priority="2499" stopIfTrue="1">
      <formula>AND(BL28&gt;=78100,BL28&lt;=78199)</formula>
    </cfRule>
    <cfRule type="expression" dxfId="30462" priority="2500" stopIfTrue="1">
      <formula>AND(BL28&gt;=91000,BL28&lt;=91999)</formula>
    </cfRule>
  </conditionalFormatting>
  <conditionalFormatting sqref="G37:G39">
    <cfRule type="expression" dxfId="30461" priority="2478">
      <formula>AND(H37&gt;=79001,H37&lt;79900)</formula>
    </cfRule>
    <cfRule type="expression" dxfId="30460" priority="2479" stopIfTrue="1">
      <formula>AND(H37&gt;=70101,H37&lt;=70301)</formula>
    </cfRule>
    <cfRule type="expression" dxfId="30459" priority="2480" stopIfTrue="1">
      <formula>AND(H37&gt;70000,H37&lt;70004)</formula>
    </cfRule>
    <cfRule type="expression" dxfId="30458" priority="2481" stopIfTrue="1">
      <formula>AND(H37&gt;=70010,H37&lt;=76000)</formula>
    </cfRule>
    <cfRule type="expression" dxfId="30457" priority="2482">
      <formula>AND(H37&gt;70000,H37&lt;70004)</formula>
    </cfRule>
    <cfRule type="expression" dxfId="30456" priority="2483" stopIfTrue="1">
      <formula>OR(AND(H37&gt;=10000,H37&lt;=56999),AND(H37&gt;=57000,H37&lt;=57999))</formula>
    </cfRule>
    <cfRule type="expression" dxfId="30455" priority="2484" stopIfTrue="1">
      <formula>AND(H37&gt;=8000,H37&lt;=9999)</formula>
    </cfRule>
    <cfRule type="expression" dxfId="30454" priority="2485" stopIfTrue="1">
      <formula>AND(H37&gt;=78100,H37&lt;=78199)</formula>
    </cfRule>
    <cfRule type="expression" dxfId="30453" priority="2486" stopIfTrue="1">
      <formula>AND(H37&gt;=92000,H37&lt;=98999)</formula>
    </cfRule>
    <cfRule type="expression" dxfId="30452" priority="2487" stopIfTrue="1">
      <formula>AND(H37&gt;=78100,H37&lt;=78199)</formula>
    </cfRule>
    <cfRule type="expression" dxfId="30451" priority="2488" stopIfTrue="1">
      <formula>AND(H37&gt;=91000,H37&lt;=91999)</formula>
    </cfRule>
  </conditionalFormatting>
  <conditionalFormatting sqref="K37:K39">
    <cfRule type="expression" dxfId="30450" priority="2467">
      <formula>AND(L37&gt;=79001,L37&lt;79900)</formula>
    </cfRule>
    <cfRule type="expression" dxfId="30449" priority="2468" stopIfTrue="1">
      <formula>AND(L37&gt;=70101,L37&lt;=70301)</formula>
    </cfRule>
    <cfRule type="expression" dxfId="30448" priority="2469" stopIfTrue="1">
      <formula>AND(L37&gt;70000,L37&lt;70004)</formula>
    </cfRule>
    <cfRule type="expression" dxfId="30447" priority="2470" stopIfTrue="1">
      <formula>AND(L37&gt;=70010,L37&lt;=76000)</formula>
    </cfRule>
    <cfRule type="expression" dxfId="30446" priority="2471">
      <formula>AND(L37&gt;70000,L37&lt;70004)</formula>
    </cfRule>
    <cfRule type="expression" dxfId="30445" priority="2472" stopIfTrue="1">
      <formula>OR(AND(L37&gt;=10000,L37&lt;=56999),AND(L37&gt;=57000,L37&lt;=57999))</formula>
    </cfRule>
    <cfRule type="expression" dxfId="30444" priority="2473" stopIfTrue="1">
      <formula>AND(L37&gt;=8000,L37&lt;=9999)</formula>
    </cfRule>
    <cfRule type="expression" dxfId="30443" priority="2474" stopIfTrue="1">
      <formula>AND(L37&gt;=78100,L37&lt;=78199)</formula>
    </cfRule>
    <cfRule type="expression" dxfId="30442" priority="2475" stopIfTrue="1">
      <formula>AND(L37&gt;=92000,L37&lt;=98999)</formula>
    </cfRule>
    <cfRule type="expression" dxfId="30441" priority="2476" stopIfTrue="1">
      <formula>AND(L37&gt;=78100,L37&lt;=78199)</formula>
    </cfRule>
    <cfRule type="expression" dxfId="30440" priority="2477" stopIfTrue="1">
      <formula>AND(L37&gt;=91000,L37&lt;=91999)</formula>
    </cfRule>
  </conditionalFormatting>
  <conditionalFormatting sqref="O37:O39">
    <cfRule type="expression" dxfId="30439" priority="2456">
      <formula>AND(P37&gt;=79001,P37&lt;79900)</formula>
    </cfRule>
    <cfRule type="expression" dxfId="30438" priority="2457" stopIfTrue="1">
      <formula>AND(P37&gt;=70101,P37&lt;=70301)</formula>
    </cfRule>
    <cfRule type="expression" dxfId="30437" priority="2458" stopIfTrue="1">
      <formula>AND(P37&gt;70000,P37&lt;70004)</formula>
    </cfRule>
    <cfRule type="expression" dxfId="30436" priority="2459" stopIfTrue="1">
      <formula>AND(P37&gt;=70010,P37&lt;=76000)</formula>
    </cfRule>
    <cfRule type="expression" dxfId="30435" priority="2460">
      <formula>AND(P37&gt;70000,P37&lt;70004)</formula>
    </cfRule>
    <cfRule type="expression" dxfId="30434" priority="2461" stopIfTrue="1">
      <formula>OR(AND(P37&gt;=10000,P37&lt;=56999),AND(P37&gt;=57000,P37&lt;=57999))</formula>
    </cfRule>
    <cfRule type="expression" dxfId="30433" priority="2462" stopIfTrue="1">
      <formula>AND(P37&gt;=8000,P37&lt;=9999)</formula>
    </cfRule>
    <cfRule type="expression" dxfId="30432" priority="2463" stopIfTrue="1">
      <formula>AND(P37&gt;=78100,P37&lt;=78199)</formula>
    </cfRule>
    <cfRule type="expression" dxfId="30431" priority="2464" stopIfTrue="1">
      <formula>AND(P37&gt;=92000,P37&lt;=98999)</formula>
    </cfRule>
    <cfRule type="expression" dxfId="30430" priority="2465" stopIfTrue="1">
      <formula>AND(P37&gt;=78100,P37&lt;=78199)</formula>
    </cfRule>
    <cfRule type="expression" dxfId="30429" priority="2466" stopIfTrue="1">
      <formula>AND(P37&gt;=91000,P37&lt;=91999)</formula>
    </cfRule>
  </conditionalFormatting>
  <conditionalFormatting sqref="S37:S39">
    <cfRule type="expression" dxfId="30428" priority="2445">
      <formula>AND(T37&gt;=79001,T37&lt;79900)</formula>
    </cfRule>
    <cfRule type="expression" dxfId="30427" priority="2446" stopIfTrue="1">
      <formula>AND(T37&gt;=70101,T37&lt;=70301)</formula>
    </cfRule>
    <cfRule type="expression" dxfId="30426" priority="2447" stopIfTrue="1">
      <formula>AND(T37&gt;70000,T37&lt;70004)</formula>
    </cfRule>
    <cfRule type="expression" dxfId="30425" priority="2448" stopIfTrue="1">
      <formula>AND(T37&gt;=70010,T37&lt;=76000)</formula>
    </cfRule>
    <cfRule type="expression" dxfId="30424" priority="2449">
      <formula>AND(T37&gt;70000,T37&lt;70004)</formula>
    </cfRule>
    <cfRule type="expression" dxfId="30423" priority="2450" stopIfTrue="1">
      <formula>OR(AND(T37&gt;=10000,T37&lt;=56999),AND(T37&gt;=57000,T37&lt;=57999))</formula>
    </cfRule>
    <cfRule type="expression" dxfId="30422" priority="2451" stopIfTrue="1">
      <formula>AND(T37&gt;=8000,T37&lt;=9999)</formula>
    </cfRule>
    <cfRule type="expression" dxfId="30421" priority="2452" stopIfTrue="1">
      <formula>AND(T37&gt;=78100,T37&lt;=78199)</formula>
    </cfRule>
    <cfRule type="expression" dxfId="30420" priority="2453" stopIfTrue="1">
      <formula>AND(T37&gt;=92000,T37&lt;=98999)</formula>
    </cfRule>
    <cfRule type="expression" dxfId="30419" priority="2454" stopIfTrue="1">
      <formula>AND(T37&gt;=78100,T37&lt;=78199)</formula>
    </cfRule>
    <cfRule type="expression" dxfId="30418" priority="2455" stopIfTrue="1">
      <formula>AND(T37&gt;=91000,T37&lt;=91999)</formula>
    </cfRule>
  </conditionalFormatting>
  <conditionalFormatting sqref="W37:W39">
    <cfRule type="expression" dxfId="30417" priority="2434">
      <formula>AND(X37&gt;=79001,X37&lt;79900)</formula>
    </cfRule>
    <cfRule type="expression" dxfId="30416" priority="2435" stopIfTrue="1">
      <formula>AND(X37&gt;=70101,X37&lt;=70301)</formula>
    </cfRule>
    <cfRule type="expression" dxfId="30415" priority="2436" stopIfTrue="1">
      <formula>AND(X37&gt;70000,X37&lt;70004)</formula>
    </cfRule>
    <cfRule type="expression" dxfId="30414" priority="2437" stopIfTrue="1">
      <formula>AND(X37&gt;=70010,X37&lt;=76000)</formula>
    </cfRule>
    <cfRule type="expression" dxfId="30413" priority="2438">
      <formula>AND(X37&gt;70000,X37&lt;70004)</formula>
    </cfRule>
    <cfRule type="expression" dxfId="30412" priority="2439" stopIfTrue="1">
      <formula>OR(AND(X37&gt;=10000,X37&lt;=56999),AND(X37&gt;=57000,X37&lt;=57999))</formula>
    </cfRule>
    <cfRule type="expression" dxfId="30411" priority="2440" stopIfTrue="1">
      <formula>AND(X37&gt;=8000,X37&lt;=9999)</formula>
    </cfRule>
    <cfRule type="expression" dxfId="30410" priority="2441" stopIfTrue="1">
      <formula>AND(X37&gt;=78100,X37&lt;=78199)</formula>
    </cfRule>
    <cfRule type="expression" dxfId="30409" priority="2442" stopIfTrue="1">
      <formula>AND(X37&gt;=92000,X37&lt;=98999)</formula>
    </cfRule>
    <cfRule type="expression" dxfId="30408" priority="2443" stopIfTrue="1">
      <formula>AND(X37&gt;=78100,X37&lt;=78199)</formula>
    </cfRule>
    <cfRule type="expression" dxfId="30407" priority="2444" stopIfTrue="1">
      <formula>AND(X37&gt;=91000,X37&lt;=91999)</formula>
    </cfRule>
  </conditionalFormatting>
  <conditionalFormatting sqref="AA37:AA39">
    <cfRule type="expression" dxfId="30406" priority="2423">
      <formula>AND(AB37&gt;=79001,AB37&lt;79900)</formula>
    </cfRule>
    <cfRule type="expression" dxfId="30405" priority="2424" stopIfTrue="1">
      <formula>AND(AB37&gt;=70101,AB37&lt;=70301)</formula>
    </cfRule>
    <cfRule type="expression" dxfId="30404" priority="2425" stopIfTrue="1">
      <formula>AND(AB37&gt;70000,AB37&lt;70004)</formula>
    </cfRule>
    <cfRule type="expression" dxfId="30403" priority="2426" stopIfTrue="1">
      <formula>AND(AB37&gt;=70010,AB37&lt;=76000)</formula>
    </cfRule>
    <cfRule type="expression" dxfId="30402" priority="2427">
      <formula>AND(AB37&gt;70000,AB37&lt;70004)</formula>
    </cfRule>
    <cfRule type="expression" dxfId="30401" priority="2428" stopIfTrue="1">
      <formula>OR(AND(AB37&gt;=10000,AB37&lt;=56999),AND(AB37&gt;=57000,AB37&lt;=57999))</formula>
    </cfRule>
    <cfRule type="expression" dxfId="30400" priority="2429" stopIfTrue="1">
      <formula>AND(AB37&gt;=8000,AB37&lt;=9999)</formula>
    </cfRule>
    <cfRule type="expression" dxfId="30399" priority="2430" stopIfTrue="1">
      <formula>AND(AB37&gt;=78100,AB37&lt;=78199)</formula>
    </cfRule>
    <cfRule type="expression" dxfId="30398" priority="2431" stopIfTrue="1">
      <formula>AND(AB37&gt;=92000,AB37&lt;=98999)</formula>
    </cfRule>
    <cfRule type="expression" dxfId="30397" priority="2432" stopIfTrue="1">
      <formula>AND(AB37&gt;=78100,AB37&lt;=78199)</formula>
    </cfRule>
    <cfRule type="expression" dxfId="30396" priority="2433" stopIfTrue="1">
      <formula>AND(AB37&gt;=91000,AB37&lt;=91999)</formula>
    </cfRule>
  </conditionalFormatting>
  <conditionalFormatting sqref="AE37:AE39">
    <cfRule type="expression" dxfId="30395" priority="2412">
      <formula>AND(AF37&gt;=79001,AF37&lt;79900)</formula>
    </cfRule>
    <cfRule type="expression" dxfId="30394" priority="2413" stopIfTrue="1">
      <formula>AND(AF37&gt;=70101,AF37&lt;=70301)</formula>
    </cfRule>
    <cfRule type="expression" dxfId="30393" priority="2414" stopIfTrue="1">
      <formula>AND(AF37&gt;70000,AF37&lt;70004)</formula>
    </cfRule>
    <cfRule type="expression" dxfId="30392" priority="2415" stopIfTrue="1">
      <formula>AND(AF37&gt;=70010,AF37&lt;=76000)</formula>
    </cfRule>
    <cfRule type="expression" dxfId="30391" priority="2416">
      <formula>AND(AF37&gt;70000,AF37&lt;70004)</formula>
    </cfRule>
    <cfRule type="expression" dxfId="30390" priority="2417" stopIfTrue="1">
      <formula>OR(AND(AF37&gt;=10000,AF37&lt;=56999),AND(AF37&gt;=57000,AF37&lt;=57999))</formula>
    </cfRule>
    <cfRule type="expression" dxfId="30389" priority="2418" stopIfTrue="1">
      <formula>AND(AF37&gt;=8000,AF37&lt;=9999)</formula>
    </cfRule>
    <cfRule type="expression" dxfId="30388" priority="2419" stopIfTrue="1">
      <formula>AND(AF37&gt;=78100,AF37&lt;=78199)</formula>
    </cfRule>
    <cfRule type="expression" dxfId="30387" priority="2420" stopIfTrue="1">
      <formula>AND(AF37&gt;=92000,AF37&lt;=98999)</formula>
    </cfRule>
    <cfRule type="expression" dxfId="30386" priority="2421" stopIfTrue="1">
      <formula>AND(AF37&gt;=78100,AF37&lt;=78199)</formula>
    </cfRule>
    <cfRule type="expression" dxfId="30385" priority="2422" stopIfTrue="1">
      <formula>AND(AF37&gt;=91000,AF37&lt;=91999)</formula>
    </cfRule>
  </conditionalFormatting>
  <conditionalFormatting sqref="AI37:AI39">
    <cfRule type="expression" dxfId="30384" priority="2401">
      <formula>AND(AJ37&gt;=79001,AJ37&lt;79900)</formula>
    </cfRule>
    <cfRule type="expression" dxfId="30383" priority="2402" stopIfTrue="1">
      <formula>AND(AJ37&gt;=70101,AJ37&lt;=70301)</formula>
    </cfRule>
    <cfRule type="expression" dxfId="30382" priority="2403" stopIfTrue="1">
      <formula>AND(AJ37&gt;70000,AJ37&lt;70004)</formula>
    </cfRule>
    <cfRule type="expression" dxfId="30381" priority="2404" stopIfTrue="1">
      <formula>AND(AJ37&gt;=70010,AJ37&lt;=76000)</formula>
    </cfRule>
    <cfRule type="expression" dxfId="30380" priority="2405">
      <formula>AND(AJ37&gt;70000,AJ37&lt;70004)</formula>
    </cfRule>
    <cfRule type="expression" dxfId="30379" priority="2406" stopIfTrue="1">
      <formula>OR(AND(AJ37&gt;=10000,AJ37&lt;=56999),AND(AJ37&gt;=57000,AJ37&lt;=57999))</formula>
    </cfRule>
    <cfRule type="expression" dxfId="30378" priority="2407" stopIfTrue="1">
      <formula>AND(AJ37&gt;=8000,AJ37&lt;=9999)</formula>
    </cfRule>
    <cfRule type="expression" dxfId="30377" priority="2408" stopIfTrue="1">
      <formula>AND(AJ37&gt;=78100,AJ37&lt;=78199)</formula>
    </cfRule>
    <cfRule type="expression" dxfId="30376" priority="2409" stopIfTrue="1">
      <formula>AND(AJ37&gt;=92000,AJ37&lt;=98999)</formula>
    </cfRule>
    <cfRule type="expression" dxfId="30375" priority="2410" stopIfTrue="1">
      <formula>AND(AJ37&gt;=78100,AJ37&lt;=78199)</formula>
    </cfRule>
    <cfRule type="expression" dxfId="30374" priority="2411" stopIfTrue="1">
      <formula>AND(AJ37&gt;=91000,AJ37&lt;=91999)</formula>
    </cfRule>
  </conditionalFormatting>
  <conditionalFormatting sqref="AM37:AM39">
    <cfRule type="expression" dxfId="30373" priority="2390">
      <formula>AND(AN37&gt;=79001,AN37&lt;79900)</formula>
    </cfRule>
    <cfRule type="expression" dxfId="30372" priority="2391" stopIfTrue="1">
      <formula>AND(AN37&gt;=70101,AN37&lt;=70301)</formula>
    </cfRule>
    <cfRule type="expression" dxfId="30371" priority="2392" stopIfTrue="1">
      <formula>AND(AN37&gt;70000,AN37&lt;70004)</formula>
    </cfRule>
    <cfRule type="expression" dxfId="30370" priority="2393" stopIfTrue="1">
      <formula>AND(AN37&gt;=70010,AN37&lt;=76000)</formula>
    </cfRule>
    <cfRule type="expression" dxfId="30369" priority="2394">
      <formula>AND(AN37&gt;70000,AN37&lt;70004)</formula>
    </cfRule>
    <cfRule type="expression" dxfId="30368" priority="2395" stopIfTrue="1">
      <formula>OR(AND(AN37&gt;=10000,AN37&lt;=56999),AND(AN37&gt;=57000,AN37&lt;=57999))</formula>
    </cfRule>
    <cfRule type="expression" dxfId="30367" priority="2396" stopIfTrue="1">
      <formula>AND(AN37&gt;=8000,AN37&lt;=9999)</formula>
    </cfRule>
    <cfRule type="expression" dxfId="30366" priority="2397" stopIfTrue="1">
      <formula>AND(AN37&gt;=78100,AN37&lt;=78199)</formula>
    </cfRule>
    <cfRule type="expression" dxfId="30365" priority="2398" stopIfTrue="1">
      <formula>AND(AN37&gt;=92000,AN37&lt;=98999)</formula>
    </cfRule>
    <cfRule type="expression" dxfId="30364" priority="2399" stopIfTrue="1">
      <formula>AND(AN37&gt;=78100,AN37&lt;=78199)</formula>
    </cfRule>
    <cfRule type="expression" dxfId="30363" priority="2400" stopIfTrue="1">
      <formula>AND(AN37&gt;=91000,AN37&lt;=91999)</formula>
    </cfRule>
  </conditionalFormatting>
  <conditionalFormatting sqref="AQ37:AQ39">
    <cfRule type="expression" dxfId="30362" priority="2379">
      <formula>AND(AR37&gt;=79001,AR37&lt;79900)</formula>
    </cfRule>
    <cfRule type="expression" dxfId="30361" priority="2380" stopIfTrue="1">
      <formula>AND(AR37&gt;=70101,AR37&lt;=70301)</formula>
    </cfRule>
    <cfRule type="expression" dxfId="30360" priority="2381" stopIfTrue="1">
      <formula>AND(AR37&gt;70000,AR37&lt;70004)</formula>
    </cfRule>
    <cfRule type="expression" dxfId="30359" priority="2382" stopIfTrue="1">
      <formula>AND(AR37&gt;=70010,AR37&lt;=76000)</formula>
    </cfRule>
    <cfRule type="expression" dxfId="30358" priority="2383">
      <formula>AND(AR37&gt;70000,AR37&lt;70004)</formula>
    </cfRule>
    <cfRule type="expression" dxfId="30357" priority="2384" stopIfTrue="1">
      <formula>OR(AND(AR37&gt;=10000,AR37&lt;=56999),AND(AR37&gt;=57000,AR37&lt;=57999))</formula>
    </cfRule>
    <cfRule type="expression" dxfId="30356" priority="2385" stopIfTrue="1">
      <formula>AND(AR37&gt;=8000,AR37&lt;=9999)</formula>
    </cfRule>
    <cfRule type="expression" dxfId="30355" priority="2386" stopIfTrue="1">
      <formula>AND(AR37&gt;=78100,AR37&lt;=78199)</formula>
    </cfRule>
    <cfRule type="expression" dxfId="30354" priority="2387" stopIfTrue="1">
      <formula>AND(AR37&gt;=92000,AR37&lt;=98999)</formula>
    </cfRule>
    <cfRule type="expression" dxfId="30353" priority="2388" stopIfTrue="1">
      <formula>AND(AR37&gt;=78100,AR37&lt;=78199)</formula>
    </cfRule>
    <cfRule type="expression" dxfId="30352" priority="2389" stopIfTrue="1">
      <formula>AND(AR37&gt;=91000,AR37&lt;=91999)</formula>
    </cfRule>
  </conditionalFormatting>
  <conditionalFormatting sqref="AU37:AU39">
    <cfRule type="expression" dxfId="30351" priority="2368">
      <formula>AND(AV37&gt;=79001,AV37&lt;79900)</formula>
    </cfRule>
    <cfRule type="expression" dxfId="30350" priority="2369" stopIfTrue="1">
      <formula>AND(AV37&gt;=70101,AV37&lt;=70301)</formula>
    </cfRule>
    <cfRule type="expression" dxfId="30349" priority="2370" stopIfTrue="1">
      <formula>AND(AV37&gt;70000,AV37&lt;70004)</formula>
    </cfRule>
    <cfRule type="expression" dxfId="30348" priority="2371" stopIfTrue="1">
      <formula>AND(AV37&gt;=70010,AV37&lt;=76000)</formula>
    </cfRule>
    <cfRule type="expression" dxfId="30347" priority="2372">
      <formula>AND(AV37&gt;70000,AV37&lt;70004)</formula>
    </cfRule>
    <cfRule type="expression" dxfId="30346" priority="2373" stopIfTrue="1">
      <formula>OR(AND(AV37&gt;=10000,AV37&lt;=56999),AND(AV37&gt;=57000,AV37&lt;=57999))</formula>
    </cfRule>
    <cfRule type="expression" dxfId="30345" priority="2374" stopIfTrue="1">
      <formula>AND(AV37&gt;=8000,AV37&lt;=9999)</formula>
    </cfRule>
    <cfRule type="expression" dxfId="30344" priority="2375" stopIfTrue="1">
      <formula>AND(AV37&gt;=78100,AV37&lt;=78199)</formula>
    </cfRule>
    <cfRule type="expression" dxfId="30343" priority="2376" stopIfTrue="1">
      <formula>AND(AV37&gt;=92000,AV37&lt;=98999)</formula>
    </cfRule>
    <cfRule type="expression" dxfId="30342" priority="2377" stopIfTrue="1">
      <formula>AND(AV37&gt;=78100,AV37&lt;=78199)</formula>
    </cfRule>
    <cfRule type="expression" dxfId="30341" priority="2378" stopIfTrue="1">
      <formula>AND(AV37&gt;=91000,AV37&lt;=91999)</formula>
    </cfRule>
  </conditionalFormatting>
  <conditionalFormatting sqref="AY37:AY39">
    <cfRule type="expression" dxfId="30340" priority="2357">
      <formula>AND(AZ37&gt;=79001,AZ37&lt;79900)</formula>
    </cfRule>
    <cfRule type="expression" dxfId="30339" priority="2358" stopIfTrue="1">
      <formula>AND(AZ37&gt;=70101,AZ37&lt;=70301)</formula>
    </cfRule>
    <cfRule type="expression" dxfId="30338" priority="2359" stopIfTrue="1">
      <formula>AND(AZ37&gt;70000,AZ37&lt;70004)</formula>
    </cfRule>
    <cfRule type="expression" dxfId="30337" priority="2360" stopIfTrue="1">
      <formula>AND(AZ37&gt;=70010,AZ37&lt;=76000)</formula>
    </cfRule>
    <cfRule type="expression" dxfId="30336" priority="2361">
      <formula>AND(AZ37&gt;70000,AZ37&lt;70004)</formula>
    </cfRule>
    <cfRule type="expression" dxfId="30335" priority="2362" stopIfTrue="1">
      <formula>OR(AND(AZ37&gt;=10000,AZ37&lt;=56999),AND(AZ37&gt;=57000,AZ37&lt;=57999))</formula>
    </cfRule>
    <cfRule type="expression" dxfId="30334" priority="2363" stopIfTrue="1">
      <formula>AND(AZ37&gt;=8000,AZ37&lt;=9999)</formula>
    </cfRule>
    <cfRule type="expression" dxfId="30333" priority="2364" stopIfTrue="1">
      <formula>AND(AZ37&gt;=78100,AZ37&lt;=78199)</formula>
    </cfRule>
    <cfRule type="expression" dxfId="30332" priority="2365" stopIfTrue="1">
      <formula>AND(AZ37&gt;=92000,AZ37&lt;=98999)</formula>
    </cfRule>
    <cfRule type="expression" dxfId="30331" priority="2366" stopIfTrue="1">
      <formula>AND(AZ37&gt;=78100,AZ37&lt;=78199)</formula>
    </cfRule>
    <cfRule type="expression" dxfId="30330" priority="2367" stopIfTrue="1">
      <formula>AND(AZ37&gt;=91000,AZ37&lt;=91999)</formula>
    </cfRule>
  </conditionalFormatting>
  <conditionalFormatting sqref="BC37:BC39">
    <cfRule type="expression" dxfId="30329" priority="2346">
      <formula>AND(BD37&gt;=79001,BD37&lt;79900)</formula>
    </cfRule>
    <cfRule type="expression" dxfId="30328" priority="2347" stopIfTrue="1">
      <formula>AND(BD37&gt;=70101,BD37&lt;=70301)</formula>
    </cfRule>
    <cfRule type="expression" dxfId="30327" priority="2348" stopIfTrue="1">
      <formula>AND(BD37&gt;70000,BD37&lt;70004)</formula>
    </cfRule>
    <cfRule type="expression" dxfId="30326" priority="2349" stopIfTrue="1">
      <formula>AND(BD37&gt;=70010,BD37&lt;=76000)</formula>
    </cfRule>
    <cfRule type="expression" dxfId="30325" priority="2350">
      <formula>AND(BD37&gt;70000,BD37&lt;70004)</formula>
    </cfRule>
    <cfRule type="expression" dxfId="30324" priority="2351" stopIfTrue="1">
      <formula>OR(AND(BD37&gt;=10000,BD37&lt;=56999),AND(BD37&gt;=57000,BD37&lt;=57999))</formula>
    </cfRule>
    <cfRule type="expression" dxfId="30323" priority="2352" stopIfTrue="1">
      <formula>AND(BD37&gt;=8000,BD37&lt;=9999)</formula>
    </cfRule>
    <cfRule type="expression" dxfId="30322" priority="2353" stopIfTrue="1">
      <formula>AND(BD37&gt;=78100,BD37&lt;=78199)</formula>
    </cfRule>
    <cfRule type="expression" dxfId="30321" priority="2354" stopIfTrue="1">
      <formula>AND(BD37&gt;=92000,BD37&lt;=98999)</formula>
    </cfRule>
    <cfRule type="expression" dxfId="30320" priority="2355" stopIfTrue="1">
      <formula>AND(BD37&gt;=78100,BD37&lt;=78199)</formula>
    </cfRule>
    <cfRule type="expression" dxfId="30319" priority="2356" stopIfTrue="1">
      <formula>AND(BD37&gt;=91000,BD37&lt;=91999)</formula>
    </cfRule>
  </conditionalFormatting>
  <conditionalFormatting sqref="BG37:BG39">
    <cfRule type="expression" dxfId="30318" priority="2335">
      <formula>AND(BH37&gt;=79001,BH37&lt;79900)</formula>
    </cfRule>
    <cfRule type="expression" dxfId="30317" priority="2336" stopIfTrue="1">
      <formula>AND(BH37&gt;=70101,BH37&lt;=70301)</formula>
    </cfRule>
    <cfRule type="expression" dxfId="30316" priority="2337" stopIfTrue="1">
      <formula>AND(BH37&gt;70000,BH37&lt;70004)</formula>
    </cfRule>
    <cfRule type="expression" dxfId="30315" priority="2338" stopIfTrue="1">
      <formula>AND(BH37&gt;=70010,BH37&lt;=76000)</formula>
    </cfRule>
    <cfRule type="expression" dxfId="30314" priority="2339">
      <formula>AND(BH37&gt;70000,BH37&lt;70004)</formula>
    </cfRule>
    <cfRule type="expression" dxfId="30313" priority="2340" stopIfTrue="1">
      <formula>OR(AND(BH37&gt;=10000,BH37&lt;=56999),AND(BH37&gt;=57000,BH37&lt;=57999))</formula>
    </cfRule>
    <cfRule type="expression" dxfId="30312" priority="2341" stopIfTrue="1">
      <formula>AND(BH37&gt;=8000,BH37&lt;=9999)</formula>
    </cfRule>
    <cfRule type="expression" dxfId="30311" priority="2342" stopIfTrue="1">
      <formula>AND(BH37&gt;=78100,BH37&lt;=78199)</formula>
    </cfRule>
    <cfRule type="expression" dxfId="30310" priority="2343" stopIfTrue="1">
      <formula>AND(BH37&gt;=92000,BH37&lt;=98999)</formula>
    </cfRule>
    <cfRule type="expression" dxfId="30309" priority="2344" stopIfTrue="1">
      <formula>AND(BH37&gt;=78100,BH37&lt;=78199)</formula>
    </cfRule>
    <cfRule type="expression" dxfId="30308" priority="2345" stopIfTrue="1">
      <formula>AND(BH37&gt;=91000,BH37&lt;=91999)</formula>
    </cfRule>
  </conditionalFormatting>
  <conditionalFormatting sqref="BK37:BK39">
    <cfRule type="expression" dxfId="30307" priority="2324">
      <formula>AND(BL37&gt;=79001,BL37&lt;79900)</formula>
    </cfRule>
    <cfRule type="expression" dxfId="30306" priority="2325" stopIfTrue="1">
      <formula>AND(BL37&gt;=70101,BL37&lt;=70301)</formula>
    </cfRule>
    <cfRule type="expression" dxfId="30305" priority="2326" stopIfTrue="1">
      <formula>AND(BL37&gt;70000,BL37&lt;70004)</formula>
    </cfRule>
    <cfRule type="expression" dxfId="30304" priority="2327" stopIfTrue="1">
      <formula>AND(BL37&gt;=70010,BL37&lt;=76000)</formula>
    </cfRule>
    <cfRule type="expression" dxfId="30303" priority="2328">
      <formula>AND(BL37&gt;70000,BL37&lt;70004)</formula>
    </cfRule>
    <cfRule type="expression" dxfId="30302" priority="2329" stopIfTrue="1">
      <formula>OR(AND(BL37&gt;=10000,BL37&lt;=56999),AND(BL37&gt;=57000,BL37&lt;=57999))</formula>
    </cfRule>
    <cfRule type="expression" dxfId="30301" priority="2330" stopIfTrue="1">
      <formula>AND(BL37&gt;=8000,BL37&lt;=9999)</formula>
    </cfRule>
    <cfRule type="expression" dxfId="30300" priority="2331" stopIfTrue="1">
      <formula>AND(BL37&gt;=78100,BL37&lt;=78199)</formula>
    </cfRule>
    <cfRule type="expression" dxfId="30299" priority="2332" stopIfTrue="1">
      <formula>AND(BL37&gt;=92000,BL37&lt;=98999)</formula>
    </cfRule>
    <cfRule type="expression" dxfId="30298" priority="2333" stopIfTrue="1">
      <formula>AND(BL37&gt;=78100,BL37&lt;=78199)</formula>
    </cfRule>
    <cfRule type="expression" dxfId="30297" priority="2334" stopIfTrue="1">
      <formula>AND(BL37&gt;=91000,BL37&lt;=91999)</formula>
    </cfRule>
  </conditionalFormatting>
  <conditionalFormatting sqref="G46:G48">
    <cfRule type="expression" dxfId="30296" priority="2312">
      <formula>AND(H46&gt;=79001,H46&lt;79900)</formula>
    </cfRule>
    <cfRule type="expression" dxfId="30295" priority="2313" stopIfTrue="1">
      <formula>AND(H46&gt;=70101,H46&lt;=70301)</formula>
    </cfRule>
    <cfRule type="expression" dxfId="30294" priority="2314" stopIfTrue="1">
      <formula>AND(H46&gt;70000,H46&lt;70004)</formula>
    </cfRule>
    <cfRule type="expression" dxfId="30293" priority="2315" stopIfTrue="1">
      <formula>AND(H46&gt;=70010,H46&lt;=76000)</formula>
    </cfRule>
    <cfRule type="expression" dxfId="30292" priority="2316">
      <formula>AND(H46&gt;70000,H46&lt;70004)</formula>
    </cfRule>
    <cfRule type="expression" dxfId="30291" priority="2317" stopIfTrue="1">
      <formula>OR(AND(H46&gt;=10000,H46&lt;=56999),AND(H46&gt;=57000,H46&lt;=57999))</formula>
    </cfRule>
    <cfRule type="expression" dxfId="30290" priority="2318" stopIfTrue="1">
      <formula>AND(H46&gt;=8000,H46&lt;=9999)</formula>
    </cfRule>
    <cfRule type="expression" dxfId="30289" priority="2319" stopIfTrue="1">
      <formula>AND(H46&gt;=78100,H46&lt;=78199)</formula>
    </cfRule>
    <cfRule type="expression" dxfId="30288" priority="2320" stopIfTrue="1">
      <formula>AND(H46&gt;=92000,H46&lt;=98999)</formula>
    </cfRule>
    <cfRule type="expression" dxfId="30287" priority="2321" stopIfTrue="1">
      <formula>AND(H46&gt;=78100,H46&lt;=78199)</formula>
    </cfRule>
    <cfRule type="expression" dxfId="30286" priority="2322" stopIfTrue="1">
      <formula>AND(H46&gt;=91000,H46&lt;=91999)</formula>
    </cfRule>
  </conditionalFormatting>
  <conditionalFormatting sqref="K46:K48">
    <cfRule type="expression" dxfId="30285" priority="2301">
      <formula>AND(L46&gt;=79001,L46&lt;79900)</formula>
    </cfRule>
    <cfRule type="expression" dxfId="30284" priority="2302" stopIfTrue="1">
      <formula>AND(L46&gt;=70101,L46&lt;=70301)</formula>
    </cfRule>
    <cfRule type="expression" dxfId="30283" priority="2303" stopIfTrue="1">
      <formula>AND(L46&gt;70000,L46&lt;70004)</formula>
    </cfRule>
    <cfRule type="expression" dxfId="30282" priority="2304" stopIfTrue="1">
      <formula>AND(L46&gt;=70010,L46&lt;=76000)</formula>
    </cfRule>
    <cfRule type="expression" dxfId="30281" priority="2305">
      <formula>AND(L46&gt;70000,L46&lt;70004)</formula>
    </cfRule>
    <cfRule type="expression" dxfId="30280" priority="2306" stopIfTrue="1">
      <formula>OR(AND(L46&gt;=10000,L46&lt;=56999),AND(L46&gt;=57000,L46&lt;=57999))</formula>
    </cfRule>
    <cfRule type="expression" dxfId="30279" priority="2307" stopIfTrue="1">
      <formula>AND(L46&gt;=8000,L46&lt;=9999)</formula>
    </cfRule>
    <cfRule type="expression" dxfId="30278" priority="2308" stopIfTrue="1">
      <formula>AND(L46&gt;=78100,L46&lt;=78199)</formula>
    </cfRule>
    <cfRule type="expression" dxfId="30277" priority="2309" stopIfTrue="1">
      <formula>AND(L46&gt;=92000,L46&lt;=98999)</formula>
    </cfRule>
    <cfRule type="expression" dxfId="30276" priority="2310" stopIfTrue="1">
      <formula>AND(L46&gt;=78100,L46&lt;=78199)</formula>
    </cfRule>
    <cfRule type="expression" dxfId="30275" priority="2311" stopIfTrue="1">
      <formula>AND(L46&gt;=91000,L46&lt;=91999)</formula>
    </cfRule>
  </conditionalFormatting>
  <conditionalFormatting sqref="O46:O48">
    <cfRule type="expression" dxfId="30274" priority="2290">
      <formula>AND(P46&gt;=79001,P46&lt;79900)</formula>
    </cfRule>
    <cfRule type="expression" dxfId="30273" priority="2291" stopIfTrue="1">
      <formula>AND(P46&gt;=70101,P46&lt;=70301)</formula>
    </cfRule>
    <cfRule type="expression" dxfId="30272" priority="2292" stopIfTrue="1">
      <formula>AND(P46&gt;70000,P46&lt;70004)</formula>
    </cfRule>
    <cfRule type="expression" dxfId="30271" priority="2293" stopIfTrue="1">
      <formula>AND(P46&gt;=70010,P46&lt;=76000)</formula>
    </cfRule>
    <cfRule type="expression" dxfId="30270" priority="2294">
      <formula>AND(P46&gt;70000,P46&lt;70004)</formula>
    </cfRule>
    <cfRule type="expression" dxfId="30269" priority="2295" stopIfTrue="1">
      <formula>OR(AND(P46&gt;=10000,P46&lt;=56999),AND(P46&gt;=57000,P46&lt;=57999))</formula>
    </cfRule>
    <cfRule type="expression" dxfId="30268" priority="2296" stopIfTrue="1">
      <formula>AND(P46&gt;=8000,P46&lt;=9999)</formula>
    </cfRule>
    <cfRule type="expression" dxfId="30267" priority="2297" stopIfTrue="1">
      <formula>AND(P46&gt;=78100,P46&lt;=78199)</formula>
    </cfRule>
    <cfRule type="expression" dxfId="30266" priority="2298" stopIfTrue="1">
      <formula>AND(P46&gt;=92000,P46&lt;=98999)</formula>
    </cfRule>
    <cfRule type="expression" dxfId="30265" priority="2299" stopIfTrue="1">
      <formula>AND(P46&gt;=78100,P46&lt;=78199)</formula>
    </cfRule>
    <cfRule type="expression" dxfId="30264" priority="2300" stopIfTrue="1">
      <formula>AND(P46&gt;=91000,P46&lt;=91999)</formula>
    </cfRule>
  </conditionalFormatting>
  <conditionalFormatting sqref="S46:S48">
    <cfRule type="expression" dxfId="30263" priority="2279">
      <formula>AND(T46&gt;=79001,T46&lt;79900)</formula>
    </cfRule>
    <cfRule type="expression" dxfId="30262" priority="2280" stopIfTrue="1">
      <formula>AND(T46&gt;=70101,T46&lt;=70301)</formula>
    </cfRule>
    <cfRule type="expression" dxfId="30261" priority="2281" stopIfTrue="1">
      <formula>AND(T46&gt;70000,T46&lt;70004)</formula>
    </cfRule>
    <cfRule type="expression" dxfId="30260" priority="2282" stopIfTrue="1">
      <formula>AND(T46&gt;=70010,T46&lt;=76000)</formula>
    </cfRule>
    <cfRule type="expression" dxfId="30259" priority="2283">
      <formula>AND(T46&gt;70000,T46&lt;70004)</formula>
    </cfRule>
    <cfRule type="expression" dxfId="30258" priority="2284" stopIfTrue="1">
      <formula>OR(AND(T46&gt;=10000,T46&lt;=56999),AND(T46&gt;=57000,T46&lt;=57999))</formula>
    </cfRule>
    <cfRule type="expression" dxfId="30257" priority="2285" stopIfTrue="1">
      <formula>AND(T46&gt;=8000,T46&lt;=9999)</formula>
    </cfRule>
    <cfRule type="expression" dxfId="30256" priority="2286" stopIfTrue="1">
      <formula>AND(T46&gt;=78100,T46&lt;=78199)</formula>
    </cfRule>
    <cfRule type="expression" dxfId="30255" priority="2287" stopIfTrue="1">
      <formula>AND(T46&gt;=92000,T46&lt;=98999)</formula>
    </cfRule>
    <cfRule type="expression" dxfId="30254" priority="2288" stopIfTrue="1">
      <formula>AND(T46&gt;=78100,T46&lt;=78199)</formula>
    </cfRule>
    <cfRule type="expression" dxfId="30253" priority="2289" stopIfTrue="1">
      <formula>AND(T46&gt;=91000,T46&lt;=91999)</formula>
    </cfRule>
  </conditionalFormatting>
  <conditionalFormatting sqref="W46:W48">
    <cfRule type="expression" dxfId="30252" priority="2268">
      <formula>AND(X46&gt;=79001,X46&lt;79900)</formula>
    </cfRule>
    <cfRule type="expression" dxfId="30251" priority="2269" stopIfTrue="1">
      <formula>AND(X46&gt;=70101,X46&lt;=70301)</formula>
    </cfRule>
    <cfRule type="expression" dxfId="30250" priority="2270" stopIfTrue="1">
      <formula>AND(X46&gt;70000,X46&lt;70004)</formula>
    </cfRule>
    <cfRule type="expression" dxfId="30249" priority="2271" stopIfTrue="1">
      <formula>AND(X46&gt;=70010,X46&lt;=76000)</formula>
    </cfRule>
    <cfRule type="expression" dxfId="30248" priority="2272">
      <formula>AND(X46&gt;70000,X46&lt;70004)</formula>
    </cfRule>
    <cfRule type="expression" dxfId="30247" priority="2273" stopIfTrue="1">
      <formula>OR(AND(X46&gt;=10000,X46&lt;=56999),AND(X46&gt;=57000,X46&lt;=57999))</formula>
    </cfRule>
    <cfRule type="expression" dxfId="30246" priority="2274" stopIfTrue="1">
      <formula>AND(X46&gt;=8000,X46&lt;=9999)</formula>
    </cfRule>
    <cfRule type="expression" dxfId="30245" priority="2275" stopIfTrue="1">
      <formula>AND(X46&gt;=78100,X46&lt;=78199)</formula>
    </cfRule>
    <cfRule type="expression" dxfId="30244" priority="2276" stopIfTrue="1">
      <formula>AND(X46&gt;=92000,X46&lt;=98999)</formula>
    </cfRule>
    <cfRule type="expression" dxfId="30243" priority="2277" stopIfTrue="1">
      <formula>AND(X46&gt;=78100,X46&lt;=78199)</formula>
    </cfRule>
    <cfRule type="expression" dxfId="30242" priority="2278" stopIfTrue="1">
      <formula>AND(X46&gt;=91000,X46&lt;=91999)</formula>
    </cfRule>
  </conditionalFormatting>
  <conditionalFormatting sqref="AA46:AA48">
    <cfRule type="expression" dxfId="30241" priority="2257">
      <formula>AND(AB46&gt;=79001,AB46&lt;79900)</formula>
    </cfRule>
    <cfRule type="expression" dxfId="30240" priority="2258" stopIfTrue="1">
      <formula>AND(AB46&gt;=70101,AB46&lt;=70301)</formula>
    </cfRule>
    <cfRule type="expression" dxfId="30239" priority="2259" stopIfTrue="1">
      <formula>AND(AB46&gt;70000,AB46&lt;70004)</formula>
    </cfRule>
    <cfRule type="expression" dxfId="30238" priority="2260" stopIfTrue="1">
      <formula>AND(AB46&gt;=70010,AB46&lt;=76000)</formula>
    </cfRule>
    <cfRule type="expression" dxfId="30237" priority="2261">
      <formula>AND(AB46&gt;70000,AB46&lt;70004)</formula>
    </cfRule>
    <cfRule type="expression" dxfId="30236" priority="2262" stopIfTrue="1">
      <formula>OR(AND(AB46&gt;=10000,AB46&lt;=56999),AND(AB46&gt;=57000,AB46&lt;=57999))</formula>
    </cfRule>
    <cfRule type="expression" dxfId="30235" priority="2263" stopIfTrue="1">
      <formula>AND(AB46&gt;=8000,AB46&lt;=9999)</formula>
    </cfRule>
    <cfRule type="expression" dxfId="30234" priority="2264" stopIfTrue="1">
      <formula>AND(AB46&gt;=78100,AB46&lt;=78199)</formula>
    </cfRule>
    <cfRule type="expression" dxfId="30233" priority="2265" stopIfTrue="1">
      <formula>AND(AB46&gt;=92000,AB46&lt;=98999)</formula>
    </cfRule>
    <cfRule type="expression" dxfId="30232" priority="2266" stopIfTrue="1">
      <formula>AND(AB46&gt;=78100,AB46&lt;=78199)</formula>
    </cfRule>
    <cfRule type="expression" dxfId="30231" priority="2267" stopIfTrue="1">
      <formula>AND(AB46&gt;=91000,AB46&lt;=91999)</formula>
    </cfRule>
  </conditionalFormatting>
  <conditionalFormatting sqref="AE46:AE48">
    <cfRule type="expression" dxfId="30230" priority="2246">
      <formula>AND(AF46&gt;=79001,AF46&lt;79900)</formula>
    </cfRule>
    <cfRule type="expression" dxfId="30229" priority="2247" stopIfTrue="1">
      <formula>AND(AF46&gt;=70101,AF46&lt;=70301)</formula>
    </cfRule>
    <cfRule type="expression" dxfId="30228" priority="2248" stopIfTrue="1">
      <formula>AND(AF46&gt;70000,AF46&lt;70004)</formula>
    </cfRule>
    <cfRule type="expression" dxfId="30227" priority="2249" stopIfTrue="1">
      <formula>AND(AF46&gt;=70010,AF46&lt;=76000)</formula>
    </cfRule>
    <cfRule type="expression" dxfId="30226" priority="2250">
      <formula>AND(AF46&gt;70000,AF46&lt;70004)</formula>
    </cfRule>
    <cfRule type="expression" dxfId="30225" priority="2251" stopIfTrue="1">
      <formula>OR(AND(AF46&gt;=10000,AF46&lt;=56999),AND(AF46&gt;=57000,AF46&lt;=57999))</formula>
    </cfRule>
    <cfRule type="expression" dxfId="30224" priority="2252" stopIfTrue="1">
      <formula>AND(AF46&gt;=8000,AF46&lt;=9999)</formula>
    </cfRule>
    <cfRule type="expression" dxfId="30223" priority="2253" stopIfTrue="1">
      <formula>AND(AF46&gt;=78100,AF46&lt;=78199)</formula>
    </cfRule>
    <cfRule type="expression" dxfId="30222" priority="2254" stopIfTrue="1">
      <formula>AND(AF46&gt;=92000,AF46&lt;=98999)</formula>
    </cfRule>
    <cfRule type="expression" dxfId="30221" priority="2255" stopIfTrue="1">
      <formula>AND(AF46&gt;=78100,AF46&lt;=78199)</formula>
    </cfRule>
    <cfRule type="expression" dxfId="30220" priority="2256" stopIfTrue="1">
      <formula>AND(AF46&gt;=91000,AF46&lt;=91999)</formula>
    </cfRule>
  </conditionalFormatting>
  <conditionalFormatting sqref="AI46:AI48">
    <cfRule type="expression" dxfId="30219" priority="2235">
      <formula>AND(AJ46&gt;=79001,AJ46&lt;79900)</formula>
    </cfRule>
    <cfRule type="expression" dxfId="30218" priority="2236" stopIfTrue="1">
      <formula>AND(AJ46&gt;=70101,AJ46&lt;=70301)</formula>
    </cfRule>
    <cfRule type="expression" dxfId="30217" priority="2237" stopIfTrue="1">
      <formula>AND(AJ46&gt;70000,AJ46&lt;70004)</formula>
    </cfRule>
    <cfRule type="expression" dxfId="30216" priority="2238" stopIfTrue="1">
      <formula>AND(AJ46&gt;=70010,AJ46&lt;=76000)</formula>
    </cfRule>
    <cfRule type="expression" dxfId="30215" priority="2239">
      <formula>AND(AJ46&gt;70000,AJ46&lt;70004)</formula>
    </cfRule>
    <cfRule type="expression" dxfId="30214" priority="2240" stopIfTrue="1">
      <formula>OR(AND(AJ46&gt;=10000,AJ46&lt;=56999),AND(AJ46&gt;=57000,AJ46&lt;=57999))</formula>
    </cfRule>
    <cfRule type="expression" dxfId="30213" priority="2241" stopIfTrue="1">
      <formula>AND(AJ46&gt;=8000,AJ46&lt;=9999)</formula>
    </cfRule>
    <cfRule type="expression" dxfId="30212" priority="2242" stopIfTrue="1">
      <formula>AND(AJ46&gt;=78100,AJ46&lt;=78199)</formula>
    </cfRule>
    <cfRule type="expression" dxfId="30211" priority="2243" stopIfTrue="1">
      <formula>AND(AJ46&gt;=92000,AJ46&lt;=98999)</formula>
    </cfRule>
    <cfRule type="expression" dxfId="30210" priority="2244" stopIfTrue="1">
      <formula>AND(AJ46&gt;=78100,AJ46&lt;=78199)</formula>
    </cfRule>
    <cfRule type="expression" dxfId="30209" priority="2245" stopIfTrue="1">
      <formula>AND(AJ46&gt;=91000,AJ46&lt;=91999)</formula>
    </cfRule>
  </conditionalFormatting>
  <conditionalFormatting sqref="AM46:AM48">
    <cfRule type="expression" dxfId="30208" priority="2224">
      <formula>AND(AN46&gt;=79001,AN46&lt;79900)</formula>
    </cfRule>
    <cfRule type="expression" dxfId="30207" priority="2225" stopIfTrue="1">
      <formula>AND(AN46&gt;=70101,AN46&lt;=70301)</formula>
    </cfRule>
    <cfRule type="expression" dxfId="30206" priority="2226" stopIfTrue="1">
      <formula>AND(AN46&gt;70000,AN46&lt;70004)</formula>
    </cfRule>
    <cfRule type="expression" dxfId="30205" priority="2227" stopIfTrue="1">
      <formula>AND(AN46&gt;=70010,AN46&lt;=76000)</formula>
    </cfRule>
    <cfRule type="expression" dxfId="30204" priority="2228">
      <formula>AND(AN46&gt;70000,AN46&lt;70004)</formula>
    </cfRule>
    <cfRule type="expression" dxfId="30203" priority="2229" stopIfTrue="1">
      <formula>OR(AND(AN46&gt;=10000,AN46&lt;=56999),AND(AN46&gt;=57000,AN46&lt;=57999))</formula>
    </cfRule>
    <cfRule type="expression" dxfId="30202" priority="2230" stopIfTrue="1">
      <formula>AND(AN46&gt;=8000,AN46&lt;=9999)</formula>
    </cfRule>
    <cfRule type="expression" dxfId="30201" priority="2231" stopIfTrue="1">
      <formula>AND(AN46&gt;=78100,AN46&lt;=78199)</formula>
    </cfRule>
    <cfRule type="expression" dxfId="30200" priority="2232" stopIfTrue="1">
      <formula>AND(AN46&gt;=92000,AN46&lt;=98999)</formula>
    </cfRule>
    <cfRule type="expression" dxfId="30199" priority="2233" stopIfTrue="1">
      <formula>AND(AN46&gt;=78100,AN46&lt;=78199)</formula>
    </cfRule>
    <cfRule type="expression" dxfId="30198" priority="2234" stopIfTrue="1">
      <formula>AND(AN46&gt;=91000,AN46&lt;=91999)</formula>
    </cfRule>
  </conditionalFormatting>
  <conditionalFormatting sqref="AQ46:AQ48">
    <cfRule type="expression" dxfId="30197" priority="2213">
      <formula>AND(AR46&gt;=79001,AR46&lt;79900)</formula>
    </cfRule>
    <cfRule type="expression" dxfId="30196" priority="2214" stopIfTrue="1">
      <formula>AND(AR46&gt;=70101,AR46&lt;=70301)</formula>
    </cfRule>
    <cfRule type="expression" dxfId="30195" priority="2215" stopIfTrue="1">
      <formula>AND(AR46&gt;70000,AR46&lt;70004)</formula>
    </cfRule>
    <cfRule type="expression" dxfId="30194" priority="2216" stopIfTrue="1">
      <formula>AND(AR46&gt;=70010,AR46&lt;=76000)</formula>
    </cfRule>
    <cfRule type="expression" dxfId="30193" priority="2217">
      <formula>AND(AR46&gt;70000,AR46&lt;70004)</formula>
    </cfRule>
    <cfRule type="expression" dxfId="30192" priority="2218" stopIfTrue="1">
      <formula>OR(AND(AR46&gt;=10000,AR46&lt;=56999),AND(AR46&gt;=57000,AR46&lt;=57999))</formula>
    </cfRule>
    <cfRule type="expression" dxfId="30191" priority="2219" stopIfTrue="1">
      <formula>AND(AR46&gt;=8000,AR46&lt;=9999)</formula>
    </cfRule>
    <cfRule type="expression" dxfId="30190" priority="2220" stopIfTrue="1">
      <formula>AND(AR46&gt;=78100,AR46&lt;=78199)</formula>
    </cfRule>
    <cfRule type="expression" dxfId="30189" priority="2221" stopIfTrue="1">
      <formula>AND(AR46&gt;=92000,AR46&lt;=98999)</formula>
    </cfRule>
    <cfRule type="expression" dxfId="30188" priority="2222" stopIfTrue="1">
      <formula>AND(AR46&gt;=78100,AR46&lt;=78199)</formula>
    </cfRule>
    <cfRule type="expression" dxfId="30187" priority="2223" stopIfTrue="1">
      <formula>AND(AR46&gt;=91000,AR46&lt;=91999)</formula>
    </cfRule>
  </conditionalFormatting>
  <conditionalFormatting sqref="AU46:AU48">
    <cfRule type="expression" dxfId="30186" priority="2202">
      <formula>AND(AV46&gt;=79001,AV46&lt;79900)</formula>
    </cfRule>
    <cfRule type="expression" dxfId="30185" priority="2203" stopIfTrue="1">
      <formula>AND(AV46&gt;=70101,AV46&lt;=70301)</formula>
    </cfRule>
    <cfRule type="expression" dxfId="30184" priority="2204" stopIfTrue="1">
      <formula>AND(AV46&gt;70000,AV46&lt;70004)</formula>
    </cfRule>
    <cfRule type="expression" dxfId="30183" priority="2205" stopIfTrue="1">
      <formula>AND(AV46&gt;=70010,AV46&lt;=76000)</formula>
    </cfRule>
    <cfRule type="expression" dxfId="30182" priority="2206">
      <formula>AND(AV46&gt;70000,AV46&lt;70004)</formula>
    </cfRule>
    <cfRule type="expression" dxfId="30181" priority="2207" stopIfTrue="1">
      <formula>OR(AND(AV46&gt;=10000,AV46&lt;=56999),AND(AV46&gt;=57000,AV46&lt;=57999))</formula>
    </cfRule>
    <cfRule type="expression" dxfId="30180" priority="2208" stopIfTrue="1">
      <formula>AND(AV46&gt;=8000,AV46&lt;=9999)</formula>
    </cfRule>
    <cfRule type="expression" dxfId="30179" priority="2209" stopIfTrue="1">
      <formula>AND(AV46&gt;=78100,AV46&lt;=78199)</formula>
    </cfRule>
    <cfRule type="expression" dxfId="30178" priority="2210" stopIfTrue="1">
      <formula>AND(AV46&gt;=92000,AV46&lt;=98999)</formula>
    </cfRule>
    <cfRule type="expression" dxfId="30177" priority="2211" stopIfTrue="1">
      <formula>AND(AV46&gt;=78100,AV46&lt;=78199)</formula>
    </cfRule>
    <cfRule type="expression" dxfId="30176" priority="2212" stopIfTrue="1">
      <formula>AND(AV46&gt;=91000,AV46&lt;=91999)</formula>
    </cfRule>
  </conditionalFormatting>
  <conditionalFormatting sqref="AY46:AY48">
    <cfRule type="expression" dxfId="30175" priority="2191">
      <formula>AND(AZ46&gt;=79001,AZ46&lt;79900)</formula>
    </cfRule>
    <cfRule type="expression" dxfId="30174" priority="2192" stopIfTrue="1">
      <formula>AND(AZ46&gt;=70101,AZ46&lt;=70301)</formula>
    </cfRule>
    <cfRule type="expression" dxfId="30173" priority="2193" stopIfTrue="1">
      <formula>AND(AZ46&gt;70000,AZ46&lt;70004)</formula>
    </cfRule>
    <cfRule type="expression" dxfId="30172" priority="2194" stopIfTrue="1">
      <formula>AND(AZ46&gt;=70010,AZ46&lt;=76000)</formula>
    </cfRule>
    <cfRule type="expression" dxfId="30171" priority="2195">
      <formula>AND(AZ46&gt;70000,AZ46&lt;70004)</formula>
    </cfRule>
    <cfRule type="expression" dxfId="30170" priority="2196" stopIfTrue="1">
      <formula>OR(AND(AZ46&gt;=10000,AZ46&lt;=56999),AND(AZ46&gt;=57000,AZ46&lt;=57999))</formula>
    </cfRule>
    <cfRule type="expression" dxfId="30169" priority="2197" stopIfTrue="1">
      <formula>AND(AZ46&gt;=8000,AZ46&lt;=9999)</formula>
    </cfRule>
    <cfRule type="expression" dxfId="30168" priority="2198" stopIfTrue="1">
      <formula>AND(AZ46&gt;=78100,AZ46&lt;=78199)</formula>
    </cfRule>
    <cfRule type="expression" dxfId="30167" priority="2199" stopIfTrue="1">
      <formula>AND(AZ46&gt;=92000,AZ46&lt;=98999)</formula>
    </cfRule>
    <cfRule type="expression" dxfId="30166" priority="2200" stopIfTrue="1">
      <formula>AND(AZ46&gt;=78100,AZ46&lt;=78199)</formula>
    </cfRule>
    <cfRule type="expression" dxfId="30165" priority="2201" stopIfTrue="1">
      <formula>AND(AZ46&gt;=91000,AZ46&lt;=91999)</formula>
    </cfRule>
  </conditionalFormatting>
  <conditionalFormatting sqref="BC46:BC48">
    <cfRule type="expression" dxfId="30164" priority="2180">
      <formula>AND(BD46&gt;=79001,BD46&lt;79900)</formula>
    </cfRule>
    <cfRule type="expression" dxfId="30163" priority="2181" stopIfTrue="1">
      <formula>AND(BD46&gt;=70101,BD46&lt;=70301)</formula>
    </cfRule>
    <cfRule type="expression" dxfId="30162" priority="2182" stopIfTrue="1">
      <formula>AND(BD46&gt;70000,BD46&lt;70004)</formula>
    </cfRule>
    <cfRule type="expression" dxfId="30161" priority="2183" stopIfTrue="1">
      <formula>AND(BD46&gt;=70010,BD46&lt;=76000)</formula>
    </cfRule>
    <cfRule type="expression" dxfId="30160" priority="2184">
      <formula>AND(BD46&gt;70000,BD46&lt;70004)</formula>
    </cfRule>
    <cfRule type="expression" dxfId="30159" priority="2185" stopIfTrue="1">
      <formula>OR(AND(BD46&gt;=10000,BD46&lt;=56999),AND(BD46&gt;=57000,BD46&lt;=57999))</formula>
    </cfRule>
    <cfRule type="expression" dxfId="30158" priority="2186" stopIfTrue="1">
      <formula>AND(BD46&gt;=8000,BD46&lt;=9999)</formula>
    </cfRule>
    <cfRule type="expression" dxfId="30157" priority="2187" stopIfTrue="1">
      <formula>AND(BD46&gt;=78100,BD46&lt;=78199)</formula>
    </cfRule>
    <cfRule type="expression" dxfId="30156" priority="2188" stopIfTrue="1">
      <formula>AND(BD46&gt;=92000,BD46&lt;=98999)</formula>
    </cfRule>
    <cfRule type="expression" dxfId="30155" priority="2189" stopIfTrue="1">
      <formula>AND(BD46&gt;=78100,BD46&lt;=78199)</formula>
    </cfRule>
    <cfRule type="expression" dxfId="30154" priority="2190" stopIfTrue="1">
      <formula>AND(BD46&gt;=91000,BD46&lt;=91999)</formula>
    </cfRule>
  </conditionalFormatting>
  <conditionalFormatting sqref="BG46:BG48">
    <cfRule type="expression" dxfId="30153" priority="2169">
      <formula>AND(BH46&gt;=79001,BH46&lt;79900)</formula>
    </cfRule>
    <cfRule type="expression" dxfId="30152" priority="2170" stopIfTrue="1">
      <formula>AND(BH46&gt;=70101,BH46&lt;=70301)</formula>
    </cfRule>
    <cfRule type="expression" dxfId="30151" priority="2171" stopIfTrue="1">
      <formula>AND(BH46&gt;70000,BH46&lt;70004)</formula>
    </cfRule>
    <cfRule type="expression" dxfId="30150" priority="2172" stopIfTrue="1">
      <formula>AND(BH46&gt;=70010,BH46&lt;=76000)</formula>
    </cfRule>
    <cfRule type="expression" dxfId="30149" priority="2173">
      <formula>AND(BH46&gt;70000,BH46&lt;70004)</formula>
    </cfRule>
    <cfRule type="expression" dxfId="30148" priority="2174" stopIfTrue="1">
      <formula>OR(AND(BH46&gt;=10000,BH46&lt;=56999),AND(BH46&gt;=57000,BH46&lt;=57999))</formula>
    </cfRule>
    <cfRule type="expression" dxfId="30147" priority="2175" stopIfTrue="1">
      <formula>AND(BH46&gt;=8000,BH46&lt;=9999)</formula>
    </cfRule>
    <cfRule type="expression" dxfId="30146" priority="2176" stopIfTrue="1">
      <formula>AND(BH46&gt;=78100,BH46&lt;=78199)</formula>
    </cfRule>
    <cfRule type="expression" dxfId="30145" priority="2177" stopIfTrue="1">
      <formula>AND(BH46&gt;=92000,BH46&lt;=98999)</formula>
    </cfRule>
    <cfRule type="expression" dxfId="30144" priority="2178" stopIfTrue="1">
      <formula>AND(BH46&gt;=78100,BH46&lt;=78199)</formula>
    </cfRule>
    <cfRule type="expression" dxfId="30143" priority="2179" stopIfTrue="1">
      <formula>AND(BH46&gt;=91000,BH46&lt;=91999)</formula>
    </cfRule>
  </conditionalFormatting>
  <conditionalFormatting sqref="BK46:BK48">
    <cfRule type="expression" dxfId="30142" priority="2158">
      <formula>AND(BL46&gt;=79001,BL46&lt;79900)</formula>
    </cfRule>
    <cfRule type="expression" dxfId="30141" priority="2159" stopIfTrue="1">
      <formula>AND(BL46&gt;=70101,BL46&lt;=70301)</formula>
    </cfRule>
    <cfRule type="expression" dxfId="30140" priority="2160" stopIfTrue="1">
      <formula>AND(BL46&gt;70000,BL46&lt;70004)</formula>
    </cfRule>
    <cfRule type="expression" dxfId="30139" priority="2161" stopIfTrue="1">
      <formula>AND(BL46&gt;=70010,BL46&lt;=76000)</formula>
    </cfRule>
    <cfRule type="expression" dxfId="30138" priority="2162">
      <formula>AND(BL46&gt;70000,BL46&lt;70004)</formula>
    </cfRule>
    <cfRule type="expression" dxfId="30137" priority="2163" stopIfTrue="1">
      <formula>OR(AND(BL46&gt;=10000,BL46&lt;=56999),AND(BL46&gt;=57000,BL46&lt;=57999))</formula>
    </cfRule>
    <cfRule type="expression" dxfId="30136" priority="2164" stopIfTrue="1">
      <formula>AND(BL46&gt;=8000,BL46&lt;=9999)</formula>
    </cfRule>
    <cfRule type="expression" dxfId="30135" priority="2165" stopIfTrue="1">
      <formula>AND(BL46&gt;=78100,BL46&lt;=78199)</formula>
    </cfRule>
    <cfRule type="expression" dxfId="30134" priority="2166" stopIfTrue="1">
      <formula>AND(BL46&gt;=92000,BL46&lt;=98999)</formula>
    </cfRule>
    <cfRule type="expression" dxfId="30133" priority="2167" stopIfTrue="1">
      <formula>AND(BL46&gt;=78100,BL46&lt;=78199)</formula>
    </cfRule>
    <cfRule type="expression" dxfId="30132" priority="2168" stopIfTrue="1">
      <formula>AND(BL46&gt;=91000,BL46&lt;=91999)</formula>
    </cfRule>
  </conditionalFormatting>
  <conditionalFormatting sqref="G82:G84">
    <cfRule type="expression" dxfId="30131" priority="2146">
      <formula>AND(H82&gt;=79001,H82&lt;79900)</formula>
    </cfRule>
    <cfRule type="expression" dxfId="30130" priority="2147" stopIfTrue="1">
      <formula>AND(H82&gt;=70101,H82&lt;=70301)</formula>
    </cfRule>
    <cfRule type="expression" dxfId="30129" priority="2148" stopIfTrue="1">
      <formula>AND(H82&gt;70000,H82&lt;70004)</formula>
    </cfRule>
    <cfRule type="expression" dxfId="30128" priority="2149" stopIfTrue="1">
      <formula>AND(H82&gt;=70010,H82&lt;=76000)</formula>
    </cfRule>
    <cfRule type="expression" dxfId="30127" priority="2150">
      <formula>AND(H82&gt;70000,H82&lt;70004)</formula>
    </cfRule>
    <cfRule type="expression" dxfId="30126" priority="2151" stopIfTrue="1">
      <formula>OR(AND(H82&gt;=10000,H82&lt;=56999),AND(H82&gt;=57000,H82&lt;=57999))</formula>
    </cfRule>
    <cfRule type="expression" dxfId="30125" priority="2152" stopIfTrue="1">
      <formula>AND(H82&gt;=8000,H82&lt;=9999)</formula>
    </cfRule>
    <cfRule type="expression" dxfId="30124" priority="2153" stopIfTrue="1">
      <formula>AND(H82&gt;=78100,H82&lt;=78199)</formula>
    </cfRule>
    <cfRule type="expression" dxfId="30123" priority="2154" stopIfTrue="1">
      <formula>AND(H82&gt;=92000,H82&lt;=98999)</formula>
    </cfRule>
    <cfRule type="expression" dxfId="30122" priority="2155" stopIfTrue="1">
      <formula>AND(H82&gt;=78100,H82&lt;=78199)</formula>
    </cfRule>
    <cfRule type="expression" dxfId="30121" priority="2156" stopIfTrue="1">
      <formula>AND(H82&gt;=91000,H82&lt;=91999)</formula>
    </cfRule>
  </conditionalFormatting>
  <conditionalFormatting sqref="K82:K84">
    <cfRule type="expression" dxfId="30120" priority="2135">
      <formula>AND(L82&gt;=79001,L82&lt;79900)</formula>
    </cfRule>
    <cfRule type="expression" dxfId="30119" priority="2136" stopIfTrue="1">
      <formula>AND(L82&gt;=70101,L82&lt;=70301)</formula>
    </cfRule>
    <cfRule type="expression" dxfId="30118" priority="2137" stopIfTrue="1">
      <formula>AND(L82&gt;70000,L82&lt;70004)</formula>
    </cfRule>
    <cfRule type="expression" dxfId="30117" priority="2138" stopIfTrue="1">
      <formula>AND(L82&gt;=70010,L82&lt;=76000)</formula>
    </cfRule>
    <cfRule type="expression" dxfId="30116" priority="2139">
      <formula>AND(L82&gt;70000,L82&lt;70004)</formula>
    </cfRule>
    <cfRule type="expression" dxfId="30115" priority="2140" stopIfTrue="1">
      <formula>OR(AND(L82&gt;=10000,L82&lt;=56999),AND(L82&gt;=57000,L82&lt;=57999))</formula>
    </cfRule>
    <cfRule type="expression" dxfId="30114" priority="2141" stopIfTrue="1">
      <formula>AND(L82&gt;=8000,L82&lt;=9999)</formula>
    </cfRule>
    <cfRule type="expression" dxfId="30113" priority="2142" stopIfTrue="1">
      <formula>AND(L82&gt;=78100,L82&lt;=78199)</formula>
    </cfRule>
    <cfRule type="expression" dxfId="30112" priority="2143" stopIfTrue="1">
      <formula>AND(L82&gt;=92000,L82&lt;=98999)</formula>
    </cfRule>
    <cfRule type="expression" dxfId="30111" priority="2144" stopIfTrue="1">
      <formula>AND(L82&gt;=78100,L82&lt;=78199)</formula>
    </cfRule>
    <cfRule type="expression" dxfId="30110" priority="2145" stopIfTrue="1">
      <formula>AND(L82&gt;=91000,L82&lt;=91999)</formula>
    </cfRule>
  </conditionalFormatting>
  <conditionalFormatting sqref="O82:O84">
    <cfRule type="expression" dxfId="30109" priority="2124">
      <formula>AND(P82&gt;=79001,P82&lt;79900)</formula>
    </cfRule>
    <cfRule type="expression" dxfId="30108" priority="2125" stopIfTrue="1">
      <formula>AND(P82&gt;=70101,P82&lt;=70301)</formula>
    </cfRule>
    <cfRule type="expression" dxfId="30107" priority="2126" stopIfTrue="1">
      <formula>AND(P82&gt;70000,P82&lt;70004)</formula>
    </cfRule>
    <cfRule type="expression" dxfId="30106" priority="2127" stopIfTrue="1">
      <formula>AND(P82&gt;=70010,P82&lt;=76000)</formula>
    </cfRule>
    <cfRule type="expression" dxfId="30105" priority="2128">
      <formula>AND(P82&gt;70000,P82&lt;70004)</formula>
    </cfRule>
    <cfRule type="expression" dxfId="30104" priority="2129" stopIfTrue="1">
      <formula>OR(AND(P82&gt;=10000,P82&lt;=56999),AND(P82&gt;=57000,P82&lt;=57999))</formula>
    </cfRule>
    <cfRule type="expression" dxfId="30103" priority="2130" stopIfTrue="1">
      <formula>AND(P82&gt;=8000,P82&lt;=9999)</formula>
    </cfRule>
    <cfRule type="expression" dxfId="30102" priority="2131" stopIfTrue="1">
      <formula>AND(P82&gt;=78100,P82&lt;=78199)</formula>
    </cfRule>
    <cfRule type="expression" dxfId="30101" priority="2132" stopIfTrue="1">
      <formula>AND(P82&gt;=92000,P82&lt;=98999)</formula>
    </cfRule>
    <cfRule type="expression" dxfId="30100" priority="2133" stopIfTrue="1">
      <formula>AND(P82&gt;=78100,P82&lt;=78199)</formula>
    </cfRule>
    <cfRule type="expression" dxfId="30099" priority="2134" stopIfTrue="1">
      <formula>AND(P82&gt;=91000,P82&lt;=91999)</formula>
    </cfRule>
  </conditionalFormatting>
  <conditionalFormatting sqref="S82:S84">
    <cfRule type="expression" dxfId="30098" priority="2113">
      <formula>AND(T82&gt;=79001,T82&lt;79900)</formula>
    </cfRule>
    <cfRule type="expression" dxfId="30097" priority="2114" stopIfTrue="1">
      <formula>AND(T82&gt;=70101,T82&lt;=70301)</formula>
    </cfRule>
    <cfRule type="expression" dxfId="30096" priority="2115" stopIfTrue="1">
      <formula>AND(T82&gt;70000,T82&lt;70004)</formula>
    </cfRule>
    <cfRule type="expression" dxfId="30095" priority="2116" stopIfTrue="1">
      <formula>AND(T82&gt;=70010,T82&lt;=76000)</formula>
    </cfRule>
    <cfRule type="expression" dxfId="30094" priority="2117">
      <formula>AND(T82&gt;70000,T82&lt;70004)</formula>
    </cfRule>
    <cfRule type="expression" dxfId="30093" priority="2118" stopIfTrue="1">
      <formula>OR(AND(T82&gt;=10000,T82&lt;=56999),AND(T82&gt;=57000,T82&lt;=57999))</formula>
    </cfRule>
    <cfRule type="expression" dxfId="30092" priority="2119" stopIfTrue="1">
      <formula>AND(T82&gt;=8000,T82&lt;=9999)</formula>
    </cfRule>
    <cfRule type="expression" dxfId="30091" priority="2120" stopIfTrue="1">
      <formula>AND(T82&gt;=78100,T82&lt;=78199)</formula>
    </cfRule>
    <cfRule type="expression" dxfId="30090" priority="2121" stopIfTrue="1">
      <formula>AND(T82&gt;=92000,T82&lt;=98999)</formula>
    </cfRule>
    <cfRule type="expression" dxfId="30089" priority="2122" stopIfTrue="1">
      <formula>AND(T82&gt;=78100,T82&lt;=78199)</formula>
    </cfRule>
    <cfRule type="expression" dxfId="30088" priority="2123" stopIfTrue="1">
      <formula>AND(T82&gt;=91000,T82&lt;=91999)</formula>
    </cfRule>
  </conditionalFormatting>
  <conditionalFormatting sqref="W82:W84">
    <cfRule type="expression" dxfId="30087" priority="2102">
      <formula>AND(X82&gt;=79001,X82&lt;79900)</formula>
    </cfRule>
    <cfRule type="expression" dxfId="30086" priority="2103" stopIfTrue="1">
      <formula>AND(X82&gt;=70101,X82&lt;=70301)</formula>
    </cfRule>
    <cfRule type="expression" dxfId="30085" priority="2104" stopIfTrue="1">
      <formula>AND(X82&gt;70000,X82&lt;70004)</formula>
    </cfRule>
    <cfRule type="expression" dxfId="30084" priority="2105" stopIfTrue="1">
      <formula>AND(X82&gt;=70010,X82&lt;=76000)</formula>
    </cfRule>
    <cfRule type="expression" dxfId="30083" priority="2106">
      <formula>AND(X82&gt;70000,X82&lt;70004)</formula>
    </cfRule>
    <cfRule type="expression" dxfId="30082" priority="2107" stopIfTrue="1">
      <formula>OR(AND(X82&gt;=10000,X82&lt;=56999),AND(X82&gt;=57000,X82&lt;=57999))</formula>
    </cfRule>
    <cfRule type="expression" dxfId="30081" priority="2108" stopIfTrue="1">
      <formula>AND(X82&gt;=8000,X82&lt;=9999)</formula>
    </cfRule>
    <cfRule type="expression" dxfId="30080" priority="2109" stopIfTrue="1">
      <formula>AND(X82&gt;=78100,X82&lt;=78199)</formula>
    </cfRule>
    <cfRule type="expression" dxfId="30079" priority="2110" stopIfTrue="1">
      <formula>AND(X82&gt;=92000,X82&lt;=98999)</formula>
    </cfRule>
    <cfRule type="expression" dxfId="30078" priority="2111" stopIfTrue="1">
      <formula>AND(X82&gt;=78100,X82&lt;=78199)</formula>
    </cfRule>
    <cfRule type="expression" dxfId="30077" priority="2112" stopIfTrue="1">
      <formula>AND(X82&gt;=91000,X82&lt;=91999)</formula>
    </cfRule>
  </conditionalFormatting>
  <conditionalFormatting sqref="AA82:AA84">
    <cfRule type="expression" dxfId="30076" priority="2091">
      <formula>AND(AB82&gt;=79001,AB82&lt;79900)</formula>
    </cfRule>
    <cfRule type="expression" dxfId="30075" priority="2092" stopIfTrue="1">
      <formula>AND(AB82&gt;=70101,AB82&lt;=70301)</formula>
    </cfRule>
    <cfRule type="expression" dxfId="30074" priority="2093" stopIfTrue="1">
      <formula>AND(AB82&gt;70000,AB82&lt;70004)</formula>
    </cfRule>
    <cfRule type="expression" dxfId="30073" priority="2094" stopIfTrue="1">
      <formula>AND(AB82&gt;=70010,AB82&lt;=76000)</formula>
    </cfRule>
    <cfRule type="expression" dxfId="30072" priority="2095">
      <formula>AND(AB82&gt;70000,AB82&lt;70004)</formula>
    </cfRule>
    <cfRule type="expression" dxfId="30071" priority="2096" stopIfTrue="1">
      <formula>OR(AND(AB82&gt;=10000,AB82&lt;=56999),AND(AB82&gt;=57000,AB82&lt;=57999))</formula>
    </cfRule>
    <cfRule type="expression" dxfId="30070" priority="2097" stopIfTrue="1">
      <formula>AND(AB82&gt;=8000,AB82&lt;=9999)</formula>
    </cfRule>
    <cfRule type="expression" dxfId="30069" priority="2098" stopIfTrue="1">
      <formula>AND(AB82&gt;=78100,AB82&lt;=78199)</formula>
    </cfRule>
    <cfRule type="expression" dxfId="30068" priority="2099" stopIfTrue="1">
      <formula>AND(AB82&gt;=92000,AB82&lt;=98999)</formula>
    </cfRule>
    <cfRule type="expression" dxfId="30067" priority="2100" stopIfTrue="1">
      <formula>AND(AB82&gt;=78100,AB82&lt;=78199)</formula>
    </cfRule>
    <cfRule type="expression" dxfId="30066" priority="2101" stopIfTrue="1">
      <formula>AND(AB82&gt;=91000,AB82&lt;=91999)</formula>
    </cfRule>
  </conditionalFormatting>
  <conditionalFormatting sqref="AE82:AE84">
    <cfRule type="expression" dxfId="30065" priority="2080">
      <formula>AND(AF82&gt;=79001,AF82&lt;79900)</formula>
    </cfRule>
    <cfRule type="expression" dxfId="30064" priority="2081" stopIfTrue="1">
      <formula>AND(AF82&gt;=70101,AF82&lt;=70301)</formula>
    </cfRule>
    <cfRule type="expression" dxfId="30063" priority="2082" stopIfTrue="1">
      <formula>AND(AF82&gt;70000,AF82&lt;70004)</formula>
    </cfRule>
    <cfRule type="expression" dxfId="30062" priority="2083" stopIfTrue="1">
      <formula>AND(AF82&gt;=70010,AF82&lt;=76000)</formula>
    </cfRule>
    <cfRule type="expression" dxfId="30061" priority="2084">
      <formula>AND(AF82&gt;70000,AF82&lt;70004)</formula>
    </cfRule>
    <cfRule type="expression" dxfId="30060" priority="2085" stopIfTrue="1">
      <formula>OR(AND(AF82&gt;=10000,AF82&lt;=56999),AND(AF82&gt;=57000,AF82&lt;=57999))</formula>
    </cfRule>
    <cfRule type="expression" dxfId="30059" priority="2086" stopIfTrue="1">
      <formula>AND(AF82&gt;=8000,AF82&lt;=9999)</formula>
    </cfRule>
    <cfRule type="expression" dxfId="30058" priority="2087" stopIfTrue="1">
      <formula>AND(AF82&gt;=78100,AF82&lt;=78199)</formula>
    </cfRule>
    <cfRule type="expression" dxfId="30057" priority="2088" stopIfTrue="1">
      <formula>AND(AF82&gt;=92000,AF82&lt;=98999)</formula>
    </cfRule>
    <cfRule type="expression" dxfId="30056" priority="2089" stopIfTrue="1">
      <formula>AND(AF82&gt;=78100,AF82&lt;=78199)</formula>
    </cfRule>
    <cfRule type="expression" dxfId="30055" priority="2090" stopIfTrue="1">
      <formula>AND(AF82&gt;=91000,AF82&lt;=91999)</formula>
    </cfRule>
  </conditionalFormatting>
  <conditionalFormatting sqref="AI82:AI84">
    <cfRule type="expression" dxfId="30054" priority="2069">
      <formula>AND(AJ82&gt;=79001,AJ82&lt;79900)</formula>
    </cfRule>
    <cfRule type="expression" dxfId="30053" priority="2070" stopIfTrue="1">
      <formula>AND(AJ82&gt;=70101,AJ82&lt;=70301)</formula>
    </cfRule>
    <cfRule type="expression" dxfId="30052" priority="2071" stopIfTrue="1">
      <formula>AND(AJ82&gt;70000,AJ82&lt;70004)</formula>
    </cfRule>
    <cfRule type="expression" dxfId="30051" priority="2072" stopIfTrue="1">
      <formula>AND(AJ82&gt;=70010,AJ82&lt;=76000)</formula>
    </cfRule>
    <cfRule type="expression" dxfId="30050" priority="2073">
      <formula>AND(AJ82&gt;70000,AJ82&lt;70004)</formula>
    </cfRule>
    <cfRule type="expression" dxfId="30049" priority="2074" stopIfTrue="1">
      <formula>OR(AND(AJ82&gt;=10000,AJ82&lt;=56999),AND(AJ82&gt;=57000,AJ82&lt;=57999))</formula>
    </cfRule>
    <cfRule type="expression" dxfId="30048" priority="2075" stopIfTrue="1">
      <formula>AND(AJ82&gt;=8000,AJ82&lt;=9999)</formula>
    </cfRule>
    <cfRule type="expression" dxfId="30047" priority="2076" stopIfTrue="1">
      <formula>AND(AJ82&gt;=78100,AJ82&lt;=78199)</formula>
    </cfRule>
    <cfRule type="expression" dxfId="30046" priority="2077" stopIfTrue="1">
      <formula>AND(AJ82&gt;=92000,AJ82&lt;=98999)</formula>
    </cfRule>
    <cfRule type="expression" dxfId="30045" priority="2078" stopIfTrue="1">
      <formula>AND(AJ82&gt;=78100,AJ82&lt;=78199)</formula>
    </cfRule>
    <cfRule type="expression" dxfId="30044" priority="2079" stopIfTrue="1">
      <formula>AND(AJ82&gt;=91000,AJ82&lt;=91999)</formula>
    </cfRule>
  </conditionalFormatting>
  <conditionalFormatting sqref="AM82:AM84">
    <cfRule type="expression" dxfId="30043" priority="2058">
      <formula>AND(AN82&gt;=79001,AN82&lt;79900)</formula>
    </cfRule>
    <cfRule type="expression" dxfId="30042" priority="2059" stopIfTrue="1">
      <formula>AND(AN82&gt;=70101,AN82&lt;=70301)</formula>
    </cfRule>
    <cfRule type="expression" dxfId="30041" priority="2060" stopIfTrue="1">
      <formula>AND(AN82&gt;70000,AN82&lt;70004)</formula>
    </cfRule>
    <cfRule type="expression" dxfId="30040" priority="2061" stopIfTrue="1">
      <formula>AND(AN82&gt;=70010,AN82&lt;=76000)</formula>
    </cfRule>
    <cfRule type="expression" dxfId="30039" priority="2062">
      <formula>AND(AN82&gt;70000,AN82&lt;70004)</formula>
    </cfRule>
    <cfRule type="expression" dxfId="30038" priority="2063" stopIfTrue="1">
      <formula>OR(AND(AN82&gt;=10000,AN82&lt;=56999),AND(AN82&gt;=57000,AN82&lt;=57999))</formula>
    </cfRule>
    <cfRule type="expression" dxfId="30037" priority="2064" stopIfTrue="1">
      <formula>AND(AN82&gt;=8000,AN82&lt;=9999)</formula>
    </cfRule>
    <cfRule type="expression" dxfId="30036" priority="2065" stopIfTrue="1">
      <formula>AND(AN82&gt;=78100,AN82&lt;=78199)</formula>
    </cfRule>
    <cfRule type="expression" dxfId="30035" priority="2066" stopIfTrue="1">
      <formula>AND(AN82&gt;=92000,AN82&lt;=98999)</formula>
    </cfRule>
    <cfRule type="expression" dxfId="30034" priority="2067" stopIfTrue="1">
      <formula>AND(AN82&gt;=78100,AN82&lt;=78199)</formula>
    </cfRule>
    <cfRule type="expression" dxfId="30033" priority="2068" stopIfTrue="1">
      <formula>AND(AN82&gt;=91000,AN82&lt;=91999)</formula>
    </cfRule>
  </conditionalFormatting>
  <conditionalFormatting sqref="AQ82:AQ84">
    <cfRule type="expression" dxfId="30032" priority="2047">
      <formula>AND(AR82&gt;=79001,AR82&lt;79900)</formula>
    </cfRule>
    <cfRule type="expression" dxfId="30031" priority="2048" stopIfTrue="1">
      <formula>AND(AR82&gt;=70101,AR82&lt;=70301)</formula>
    </cfRule>
    <cfRule type="expression" dxfId="30030" priority="2049" stopIfTrue="1">
      <formula>AND(AR82&gt;70000,AR82&lt;70004)</formula>
    </cfRule>
    <cfRule type="expression" dxfId="30029" priority="2050" stopIfTrue="1">
      <formula>AND(AR82&gt;=70010,AR82&lt;=76000)</formula>
    </cfRule>
    <cfRule type="expression" dxfId="30028" priority="2051">
      <formula>AND(AR82&gt;70000,AR82&lt;70004)</formula>
    </cfRule>
    <cfRule type="expression" dxfId="30027" priority="2052" stopIfTrue="1">
      <formula>OR(AND(AR82&gt;=10000,AR82&lt;=56999),AND(AR82&gt;=57000,AR82&lt;=57999))</formula>
    </cfRule>
    <cfRule type="expression" dxfId="30026" priority="2053" stopIfTrue="1">
      <formula>AND(AR82&gt;=8000,AR82&lt;=9999)</formula>
    </cfRule>
    <cfRule type="expression" dxfId="30025" priority="2054" stopIfTrue="1">
      <formula>AND(AR82&gt;=78100,AR82&lt;=78199)</formula>
    </cfRule>
    <cfRule type="expression" dxfId="30024" priority="2055" stopIfTrue="1">
      <formula>AND(AR82&gt;=92000,AR82&lt;=98999)</formula>
    </cfRule>
    <cfRule type="expression" dxfId="30023" priority="2056" stopIfTrue="1">
      <formula>AND(AR82&gt;=78100,AR82&lt;=78199)</formula>
    </cfRule>
    <cfRule type="expression" dxfId="30022" priority="2057" stopIfTrue="1">
      <formula>AND(AR82&gt;=91000,AR82&lt;=91999)</formula>
    </cfRule>
  </conditionalFormatting>
  <conditionalFormatting sqref="AU82:AU84">
    <cfRule type="expression" dxfId="30021" priority="2036">
      <formula>AND(AV82&gt;=79001,AV82&lt;79900)</formula>
    </cfRule>
    <cfRule type="expression" dxfId="30020" priority="2037" stopIfTrue="1">
      <formula>AND(AV82&gt;=70101,AV82&lt;=70301)</formula>
    </cfRule>
    <cfRule type="expression" dxfId="30019" priority="2038" stopIfTrue="1">
      <formula>AND(AV82&gt;70000,AV82&lt;70004)</formula>
    </cfRule>
    <cfRule type="expression" dxfId="30018" priority="2039" stopIfTrue="1">
      <formula>AND(AV82&gt;=70010,AV82&lt;=76000)</formula>
    </cfRule>
    <cfRule type="expression" dxfId="30017" priority="2040">
      <formula>AND(AV82&gt;70000,AV82&lt;70004)</formula>
    </cfRule>
    <cfRule type="expression" dxfId="30016" priority="2041" stopIfTrue="1">
      <formula>OR(AND(AV82&gt;=10000,AV82&lt;=56999),AND(AV82&gt;=57000,AV82&lt;=57999))</formula>
    </cfRule>
    <cfRule type="expression" dxfId="30015" priority="2042" stopIfTrue="1">
      <formula>AND(AV82&gt;=8000,AV82&lt;=9999)</formula>
    </cfRule>
    <cfRule type="expression" dxfId="30014" priority="2043" stopIfTrue="1">
      <formula>AND(AV82&gt;=78100,AV82&lt;=78199)</formula>
    </cfRule>
    <cfRule type="expression" dxfId="30013" priority="2044" stopIfTrue="1">
      <formula>AND(AV82&gt;=92000,AV82&lt;=98999)</formula>
    </cfRule>
    <cfRule type="expression" dxfId="30012" priority="2045" stopIfTrue="1">
      <formula>AND(AV82&gt;=78100,AV82&lt;=78199)</formula>
    </cfRule>
    <cfRule type="expression" dxfId="30011" priority="2046" stopIfTrue="1">
      <formula>AND(AV82&gt;=91000,AV82&lt;=91999)</formula>
    </cfRule>
  </conditionalFormatting>
  <conditionalFormatting sqref="AY82:AY84">
    <cfRule type="expression" dxfId="30010" priority="2025">
      <formula>AND(AZ82&gt;=79001,AZ82&lt;79900)</formula>
    </cfRule>
    <cfRule type="expression" dxfId="30009" priority="2026" stopIfTrue="1">
      <formula>AND(AZ82&gt;=70101,AZ82&lt;=70301)</formula>
    </cfRule>
    <cfRule type="expression" dxfId="30008" priority="2027" stopIfTrue="1">
      <formula>AND(AZ82&gt;70000,AZ82&lt;70004)</formula>
    </cfRule>
    <cfRule type="expression" dxfId="30007" priority="2028" stopIfTrue="1">
      <formula>AND(AZ82&gt;=70010,AZ82&lt;=76000)</formula>
    </cfRule>
    <cfRule type="expression" dxfId="30006" priority="2029">
      <formula>AND(AZ82&gt;70000,AZ82&lt;70004)</formula>
    </cfRule>
    <cfRule type="expression" dxfId="30005" priority="2030" stopIfTrue="1">
      <formula>OR(AND(AZ82&gt;=10000,AZ82&lt;=56999),AND(AZ82&gt;=57000,AZ82&lt;=57999))</formula>
    </cfRule>
    <cfRule type="expression" dxfId="30004" priority="2031" stopIfTrue="1">
      <formula>AND(AZ82&gt;=8000,AZ82&lt;=9999)</formula>
    </cfRule>
    <cfRule type="expression" dxfId="30003" priority="2032" stopIfTrue="1">
      <formula>AND(AZ82&gt;=78100,AZ82&lt;=78199)</formula>
    </cfRule>
    <cfRule type="expression" dxfId="30002" priority="2033" stopIfTrue="1">
      <formula>AND(AZ82&gt;=92000,AZ82&lt;=98999)</formula>
    </cfRule>
    <cfRule type="expression" dxfId="30001" priority="2034" stopIfTrue="1">
      <formula>AND(AZ82&gt;=78100,AZ82&lt;=78199)</formula>
    </cfRule>
    <cfRule type="expression" dxfId="30000" priority="2035" stopIfTrue="1">
      <formula>AND(AZ82&gt;=91000,AZ82&lt;=91999)</formula>
    </cfRule>
  </conditionalFormatting>
  <conditionalFormatting sqref="BC82:BC84">
    <cfRule type="expression" dxfId="29999" priority="2014">
      <formula>AND(BD82&gt;=79001,BD82&lt;79900)</formula>
    </cfRule>
    <cfRule type="expression" dxfId="29998" priority="2015" stopIfTrue="1">
      <formula>AND(BD82&gt;=70101,BD82&lt;=70301)</formula>
    </cfRule>
    <cfRule type="expression" dxfId="29997" priority="2016" stopIfTrue="1">
      <formula>AND(BD82&gt;70000,BD82&lt;70004)</formula>
    </cfRule>
    <cfRule type="expression" dxfId="29996" priority="2017" stopIfTrue="1">
      <formula>AND(BD82&gt;=70010,BD82&lt;=76000)</formula>
    </cfRule>
    <cfRule type="expression" dxfId="29995" priority="2018">
      <formula>AND(BD82&gt;70000,BD82&lt;70004)</formula>
    </cfRule>
    <cfRule type="expression" dxfId="29994" priority="2019" stopIfTrue="1">
      <formula>OR(AND(BD82&gt;=10000,BD82&lt;=56999),AND(BD82&gt;=57000,BD82&lt;=57999))</formula>
    </cfRule>
    <cfRule type="expression" dxfId="29993" priority="2020" stopIfTrue="1">
      <formula>AND(BD82&gt;=8000,BD82&lt;=9999)</formula>
    </cfRule>
    <cfRule type="expression" dxfId="29992" priority="2021" stopIfTrue="1">
      <formula>AND(BD82&gt;=78100,BD82&lt;=78199)</formula>
    </cfRule>
    <cfRule type="expression" dxfId="29991" priority="2022" stopIfTrue="1">
      <formula>AND(BD82&gt;=92000,BD82&lt;=98999)</formula>
    </cfRule>
    <cfRule type="expression" dxfId="29990" priority="2023" stopIfTrue="1">
      <formula>AND(BD82&gt;=78100,BD82&lt;=78199)</formula>
    </cfRule>
    <cfRule type="expression" dxfId="29989" priority="2024" stopIfTrue="1">
      <formula>AND(BD82&gt;=91000,BD82&lt;=91999)</formula>
    </cfRule>
  </conditionalFormatting>
  <conditionalFormatting sqref="BG82:BG84">
    <cfRule type="expression" dxfId="29988" priority="2003">
      <formula>AND(BH82&gt;=79001,BH82&lt;79900)</formula>
    </cfRule>
    <cfRule type="expression" dxfId="29987" priority="2004" stopIfTrue="1">
      <formula>AND(BH82&gt;=70101,BH82&lt;=70301)</formula>
    </cfRule>
    <cfRule type="expression" dxfId="29986" priority="2005" stopIfTrue="1">
      <formula>AND(BH82&gt;70000,BH82&lt;70004)</formula>
    </cfRule>
    <cfRule type="expression" dxfId="29985" priority="2006" stopIfTrue="1">
      <formula>AND(BH82&gt;=70010,BH82&lt;=76000)</formula>
    </cfRule>
    <cfRule type="expression" dxfId="29984" priority="2007">
      <formula>AND(BH82&gt;70000,BH82&lt;70004)</formula>
    </cfRule>
    <cfRule type="expression" dxfId="29983" priority="2008" stopIfTrue="1">
      <formula>OR(AND(BH82&gt;=10000,BH82&lt;=56999),AND(BH82&gt;=57000,BH82&lt;=57999))</formula>
    </cfRule>
    <cfRule type="expression" dxfId="29982" priority="2009" stopIfTrue="1">
      <formula>AND(BH82&gt;=8000,BH82&lt;=9999)</formula>
    </cfRule>
    <cfRule type="expression" dxfId="29981" priority="2010" stopIfTrue="1">
      <formula>AND(BH82&gt;=78100,BH82&lt;=78199)</formula>
    </cfRule>
    <cfRule type="expression" dxfId="29980" priority="2011" stopIfTrue="1">
      <formula>AND(BH82&gt;=92000,BH82&lt;=98999)</formula>
    </cfRule>
    <cfRule type="expression" dxfId="29979" priority="2012" stopIfTrue="1">
      <formula>AND(BH82&gt;=78100,BH82&lt;=78199)</formula>
    </cfRule>
    <cfRule type="expression" dxfId="29978" priority="2013" stopIfTrue="1">
      <formula>AND(BH82&gt;=91000,BH82&lt;=91999)</formula>
    </cfRule>
  </conditionalFormatting>
  <conditionalFormatting sqref="BK82:BK84">
    <cfRule type="expression" dxfId="29977" priority="1992">
      <formula>AND(BL82&gt;=79001,BL82&lt;79900)</formula>
    </cfRule>
    <cfRule type="expression" dxfId="29976" priority="1993" stopIfTrue="1">
      <formula>AND(BL82&gt;=70101,BL82&lt;=70301)</formula>
    </cfRule>
    <cfRule type="expression" dxfId="29975" priority="1994" stopIfTrue="1">
      <formula>AND(BL82&gt;70000,BL82&lt;70004)</formula>
    </cfRule>
    <cfRule type="expression" dxfId="29974" priority="1995" stopIfTrue="1">
      <formula>AND(BL82&gt;=70010,BL82&lt;=76000)</formula>
    </cfRule>
    <cfRule type="expression" dxfId="29973" priority="1996">
      <formula>AND(BL82&gt;70000,BL82&lt;70004)</formula>
    </cfRule>
    <cfRule type="expression" dxfId="29972" priority="1997" stopIfTrue="1">
      <formula>OR(AND(BL82&gt;=10000,BL82&lt;=56999),AND(BL82&gt;=57000,BL82&lt;=57999))</formula>
    </cfRule>
    <cfRule type="expression" dxfId="29971" priority="1998" stopIfTrue="1">
      <formula>AND(BL82&gt;=8000,BL82&lt;=9999)</formula>
    </cfRule>
    <cfRule type="expression" dxfId="29970" priority="1999" stopIfTrue="1">
      <formula>AND(BL82&gt;=78100,BL82&lt;=78199)</formula>
    </cfRule>
    <cfRule type="expression" dxfId="29969" priority="2000" stopIfTrue="1">
      <formula>AND(BL82&gt;=92000,BL82&lt;=98999)</formula>
    </cfRule>
    <cfRule type="expression" dxfId="29968" priority="2001" stopIfTrue="1">
      <formula>AND(BL82&gt;=78100,BL82&lt;=78199)</formula>
    </cfRule>
    <cfRule type="expression" dxfId="29967" priority="2002" stopIfTrue="1">
      <formula>AND(BL82&gt;=91000,BL82&lt;=91999)</formula>
    </cfRule>
  </conditionalFormatting>
  <conditionalFormatting sqref="G82:G84">
    <cfRule type="expression" dxfId="29966" priority="1981">
      <formula>AND(H82&gt;=79001,H82&lt;79900)</formula>
    </cfRule>
    <cfRule type="expression" dxfId="29965" priority="1982" stopIfTrue="1">
      <formula>AND(H82&gt;=70101,H82&lt;=70301)</formula>
    </cfRule>
    <cfRule type="expression" dxfId="29964" priority="1983" stopIfTrue="1">
      <formula>AND(H82&gt;70000,H82&lt;70004)</formula>
    </cfRule>
    <cfRule type="expression" dxfId="29963" priority="1984" stopIfTrue="1">
      <formula>AND(H82&gt;=70010,H82&lt;=76000)</formula>
    </cfRule>
    <cfRule type="expression" dxfId="29962" priority="1985">
      <formula>AND(H82&gt;70000,H82&lt;70004)</formula>
    </cfRule>
    <cfRule type="expression" dxfId="29961" priority="1986" stopIfTrue="1">
      <formula>OR(AND(H82&gt;=10000,H82&lt;=56999),AND(H82&gt;=57000,H82&lt;=57999))</formula>
    </cfRule>
    <cfRule type="expression" dxfId="29960" priority="1987" stopIfTrue="1">
      <formula>AND(H82&gt;=8000,H82&lt;=9999)</formula>
    </cfRule>
    <cfRule type="expression" dxfId="29959" priority="1988" stopIfTrue="1">
      <formula>AND(H82&gt;=78100,H82&lt;=78199)</formula>
    </cfRule>
    <cfRule type="expression" dxfId="29958" priority="1989" stopIfTrue="1">
      <formula>AND(H82&gt;=92000,H82&lt;=98999)</formula>
    </cfRule>
    <cfRule type="expression" dxfId="29957" priority="1990" stopIfTrue="1">
      <formula>AND(H82&gt;=78100,H82&lt;=78199)</formula>
    </cfRule>
    <cfRule type="expression" dxfId="29956" priority="1991" stopIfTrue="1">
      <formula>AND(H82&gt;=91000,H82&lt;=91999)</formula>
    </cfRule>
  </conditionalFormatting>
  <conditionalFormatting sqref="K82:K84">
    <cfRule type="expression" dxfId="29955" priority="1970">
      <formula>AND(L82&gt;=79001,L82&lt;79900)</formula>
    </cfRule>
    <cfRule type="expression" dxfId="29954" priority="1971" stopIfTrue="1">
      <formula>AND(L82&gt;=70101,L82&lt;=70301)</formula>
    </cfRule>
    <cfRule type="expression" dxfId="29953" priority="1972" stopIfTrue="1">
      <formula>AND(L82&gt;70000,L82&lt;70004)</formula>
    </cfRule>
    <cfRule type="expression" dxfId="29952" priority="1973" stopIfTrue="1">
      <formula>AND(L82&gt;=70010,L82&lt;=76000)</formula>
    </cfRule>
    <cfRule type="expression" dxfId="29951" priority="1974">
      <formula>AND(L82&gt;70000,L82&lt;70004)</formula>
    </cfRule>
    <cfRule type="expression" dxfId="29950" priority="1975" stopIfTrue="1">
      <formula>OR(AND(L82&gt;=10000,L82&lt;=56999),AND(L82&gt;=57000,L82&lt;=57999))</formula>
    </cfRule>
    <cfRule type="expression" dxfId="29949" priority="1976" stopIfTrue="1">
      <formula>AND(L82&gt;=8000,L82&lt;=9999)</formula>
    </cfRule>
    <cfRule type="expression" dxfId="29948" priority="1977" stopIfTrue="1">
      <formula>AND(L82&gt;=78100,L82&lt;=78199)</formula>
    </cfRule>
    <cfRule type="expression" dxfId="29947" priority="1978" stopIfTrue="1">
      <formula>AND(L82&gt;=92000,L82&lt;=98999)</formula>
    </cfRule>
    <cfRule type="expression" dxfId="29946" priority="1979" stopIfTrue="1">
      <formula>AND(L82&gt;=78100,L82&lt;=78199)</formula>
    </cfRule>
    <cfRule type="expression" dxfId="29945" priority="1980" stopIfTrue="1">
      <formula>AND(L82&gt;=91000,L82&lt;=91999)</formula>
    </cfRule>
  </conditionalFormatting>
  <conditionalFormatting sqref="O82:O84">
    <cfRule type="expression" dxfId="29944" priority="1959">
      <formula>AND(P82&gt;=79001,P82&lt;79900)</formula>
    </cfRule>
    <cfRule type="expression" dxfId="29943" priority="1960" stopIfTrue="1">
      <formula>AND(P82&gt;=70101,P82&lt;=70301)</formula>
    </cfRule>
    <cfRule type="expression" dxfId="29942" priority="1961" stopIfTrue="1">
      <formula>AND(P82&gt;70000,P82&lt;70004)</formula>
    </cfRule>
    <cfRule type="expression" dxfId="29941" priority="1962" stopIfTrue="1">
      <formula>AND(P82&gt;=70010,P82&lt;=76000)</formula>
    </cfRule>
    <cfRule type="expression" dxfId="29940" priority="1963">
      <formula>AND(P82&gt;70000,P82&lt;70004)</formula>
    </cfRule>
    <cfRule type="expression" dxfId="29939" priority="1964" stopIfTrue="1">
      <formula>OR(AND(P82&gt;=10000,P82&lt;=56999),AND(P82&gt;=57000,P82&lt;=57999))</formula>
    </cfRule>
    <cfRule type="expression" dxfId="29938" priority="1965" stopIfTrue="1">
      <formula>AND(P82&gt;=8000,P82&lt;=9999)</formula>
    </cfRule>
    <cfRule type="expression" dxfId="29937" priority="1966" stopIfTrue="1">
      <formula>AND(P82&gt;=78100,P82&lt;=78199)</formula>
    </cfRule>
    <cfRule type="expression" dxfId="29936" priority="1967" stopIfTrue="1">
      <formula>AND(P82&gt;=92000,P82&lt;=98999)</formula>
    </cfRule>
    <cfRule type="expression" dxfId="29935" priority="1968" stopIfTrue="1">
      <formula>AND(P82&gt;=78100,P82&lt;=78199)</formula>
    </cfRule>
    <cfRule type="expression" dxfId="29934" priority="1969" stopIfTrue="1">
      <formula>AND(P82&gt;=91000,P82&lt;=91999)</formula>
    </cfRule>
  </conditionalFormatting>
  <conditionalFormatting sqref="S82:S84">
    <cfRule type="expression" dxfId="29933" priority="1948">
      <formula>AND(T82&gt;=79001,T82&lt;79900)</formula>
    </cfRule>
    <cfRule type="expression" dxfId="29932" priority="1949" stopIfTrue="1">
      <formula>AND(T82&gt;=70101,T82&lt;=70301)</formula>
    </cfRule>
    <cfRule type="expression" dxfId="29931" priority="1950" stopIfTrue="1">
      <formula>AND(T82&gt;70000,T82&lt;70004)</formula>
    </cfRule>
    <cfRule type="expression" dxfId="29930" priority="1951" stopIfTrue="1">
      <formula>AND(T82&gt;=70010,T82&lt;=76000)</formula>
    </cfRule>
    <cfRule type="expression" dxfId="29929" priority="1952">
      <formula>AND(T82&gt;70000,T82&lt;70004)</formula>
    </cfRule>
    <cfRule type="expression" dxfId="29928" priority="1953" stopIfTrue="1">
      <formula>OR(AND(T82&gt;=10000,T82&lt;=56999),AND(T82&gt;=57000,T82&lt;=57999))</formula>
    </cfRule>
    <cfRule type="expression" dxfId="29927" priority="1954" stopIfTrue="1">
      <formula>AND(T82&gt;=8000,T82&lt;=9999)</formula>
    </cfRule>
    <cfRule type="expression" dxfId="29926" priority="1955" stopIfTrue="1">
      <formula>AND(T82&gt;=78100,T82&lt;=78199)</formula>
    </cfRule>
    <cfRule type="expression" dxfId="29925" priority="1956" stopIfTrue="1">
      <formula>AND(T82&gt;=92000,T82&lt;=98999)</formula>
    </cfRule>
    <cfRule type="expression" dxfId="29924" priority="1957" stopIfTrue="1">
      <formula>AND(T82&gt;=78100,T82&lt;=78199)</formula>
    </cfRule>
    <cfRule type="expression" dxfId="29923" priority="1958" stopIfTrue="1">
      <formula>AND(T82&gt;=91000,T82&lt;=91999)</formula>
    </cfRule>
  </conditionalFormatting>
  <conditionalFormatting sqref="G84">
    <cfRule type="expression" dxfId="29922" priority="1937">
      <formula>AND(H84&gt;=79001,H84&lt;79900)</formula>
    </cfRule>
    <cfRule type="expression" dxfId="29921" priority="1938" stopIfTrue="1">
      <formula>AND(H84&gt;=70101,H84&lt;=70301)</formula>
    </cfRule>
    <cfRule type="expression" dxfId="29920" priority="1939" stopIfTrue="1">
      <formula>AND(H84&gt;70000,H84&lt;70004)</formula>
    </cfRule>
    <cfRule type="expression" dxfId="29919" priority="1940" stopIfTrue="1">
      <formula>AND(H84&gt;=70010,H84&lt;=76000)</formula>
    </cfRule>
    <cfRule type="expression" dxfId="29918" priority="1941">
      <formula>AND(H84&gt;70000,H84&lt;70004)</formula>
    </cfRule>
    <cfRule type="expression" dxfId="29917" priority="1942" stopIfTrue="1">
      <formula>OR(AND(H84&gt;=10000,H84&lt;=56999),AND(H84&gt;=57000,H84&lt;=57999))</formula>
    </cfRule>
    <cfRule type="expression" dxfId="29916" priority="1943" stopIfTrue="1">
      <formula>AND(H84&gt;=8000,H84&lt;=9999)</formula>
    </cfRule>
    <cfRule type="expression" dxfId="29915" priority="1944" stopIfTrue="1">
      <formula>AND(H84&gt;=78100,H84&lt;=78199)</formula>
    </cfRule>
    <cfRule type="expression" dxfId="29914" priority="1945" stopIfTrue="1">
      <formula>AND(H84&gt;=92000,H84&lt;=98999)</formula>
    </cfRule>
    <cfRule type="expression" dxfId="29913" priority="1946" stopIfTrue="1">
      <formula>AND(H84&gt;=78100,H84&lt;=78199)</formula>
    </cfRule>
    <cfRule type="expression" dxfId="29912" priority="1947" stopIfTrue="1">
      <formula>AND(H84&gt;=91000,H84&lt;=91999)</formula>
    </cfRule>
  </conditionalFormatting>
  <conditionalFormatting sqref="K84">
    <cfRule type="expression" dxfId="29911" priority="1926">
      <formula>AND(L84&gt;=79001,L84&lt;79900)</formula>
    </cfRule>
    <cfRule type="expression" dxfId="29910" priority="1927" stopIfTrue="1">
      <formula>AND(L84&gt;=70101,L84&lt;=70301)</formula>
    </cfRule>
    <cfRule type="expression" dxfId="29909" priority="1928" stopIfTrue="1">
      <formula>AND(L84&gt;70000,L84&lt;70004)</formula>
    </cfRule>
    <cfRule type="expression" dxfId="29908" priority="1929" stopIfTrue="1">
      <formula>AND(L84&gt;=70010,L84&lt;=76000)</formula>
    </cfRule>
    <cfRule type="expression" dxfId="29907" priority="1930">
      <formula>AND(L84&gt;70000,L84&lt;70004)</formula>
    </cfRule>
    <cfRule type="expression" dxfId="29906" priority="1931" stopIfTrue="1">
      <formula>OR(AND(L84&gt;=10000,L84&lt;=56999),AND(L84&gt;=57000,L84&lt;=57999))</formula>
    </cfRule>
    <cfRule type="expression" dxfId="29905" priority="1932" stopIfTrue="1">
      <formula>AND(L84&gt;=8000,L84&lt;=9999)</formula>
    </cfRule>
    <cfRule type="expression" dxfId="29904" priority="1933" stopIfTrue="1">
      <formula>AND(L84&gt;=78100,L84&lt;=78199)</formula>
    </cfRule>
    <cfRule type="expression" dxfId="29903" priority="1934" stopIfTrue="1">
      <formula>AND(L84&gt;=92000,L84&lt;=98999)</formula>
    </cfRule>
    <cfRule type="expression" dxfId="29902" priority="1935" stopIfTrue="1">
      <formula>AND(L84&gt;=78100,L84&lt;=78199)</formula>
    </cfRule>
    <cfRule type="expression" dxfId="29901" priority="1936" stopIfTrue="1">
      <formula>AND(L84&gt;=91000,L84&lt;=91999)</formula>
    </cfRule>
  </conditionalFormatting>
  <conditionalFormatting sqref="O84">
    <cfRule type="expression" dxfId="29900" priority="1915">
      <formula>AND(P84&gt;=79001,P84&lt;79900)</formula>
    </cfRule>
    <cfRule type="expression" dxfId="29899" priority="1916" stopIfTrue="1">
      <formula>AND(P84&gt;=70101,P84&lt;=70301)</formula>
    </cfRule>
    <cfRule type="expression" dxfId="29898" priority="1917" stopIfTrue="1">
      <formula>AND(P84&gt;70000,P84&lt;70004)</formula>
    </cfRule>
    <cfRule type="expression" dxfId="29897" priority="1918" stopIfTrue="1">
      <formula>AND(P84&gt;=70010,P84&lt;=76000)</formula>
    </cfRule>
    <cfRule type="expression" dxfId="29896" priority="1919">
      <formula>AND(P84&gt;70000,P84&lt;70004)</formula>
    </cfRule>
    <cfRule type="expression" dxfId="29895" priority="1920" stopIfTrue="1">
      <formula>OR(AND(P84&gt;=10000,P84&lt;=56999),AND(P84&gt;=57000,P84&lt;=57999))</formula>
    </cfRule>
    <cfRule type="expression" dxfId="29894" priority="1921" stopIfTrue="1">
      <formula>AND(P84&gt;=8000,P84&lt;=9999)</formula>
    </cfRule>
    <cfRule type="expression" dxfId="29893" priority="1922" stopIfTrue="1">
      <formula>AND(P84&gt;=78100,P84&lt;=78199)</formula>
    </cfRule>
    <cfRule type="expression" dxfId="29892" priority="1923" stopIfTrue="1">
      <formula>AND(P84&gt;=92000,P84&lt;=98999)</formula>
    </cfRule>
    <cfRule type="expression" dxfId="29891" priority="1924" stopIfTrue="1">
      <formula>AND(P84&gt;=78100,P84&lt;=78199)</formula>
    </cfRule>
    <cfRule type="expression" dxfId="29890" priority="1925" stopIfTrue="1">
      <formula>AND(P84&gt;=91000,P84&lt;=91999)</formula>
    </cfRule>
  </conditionalFormatting>
  <conditionalFormatting sqref="S84">
    <cfRule type="expression" dxfId="29889" priority="1904">
      <formula>AND(T84&gt;=79001,T84&lt;79900)</formula>
    </cfRule>
    <cfRule type="expression" dxfId="29888" priority="1905" stopIfTrue="1">
      <formula>AND(T84&gt;=70101,T84&lt;=70301)</formula>
    </cfRule>
    <cfRule type="expression" dxfId="29887" priority="1906" stopIfTrue="1">
      <formula>AND(T84&gt;70000,T84&lt;70004)</formula>
    </cfRule>
    <cfRule type="expression" dxfId="29886" priority="1907" stopIfTrue="1">
      <formula>AND(T84&gt;=70010,T84&lt;=76000)</formula>
    </cfRule>
    <cfRule type="expression" dxfId="29885" priority="1908">
      <formula>AND(T84&gt;70000,T84&lt;70004)</formula>
    </cfRule>
    <cfRule type="expression" dxfId="29884" priority="1909" stopIfTrue="1">
      <formula>OR(AND(T84&gt;=10000,T84&lt;=56999),AND(T84&gt;=57000,T84&lt;=57999))</formula>
    </cfRule>
    <cfRule type="expression" dxfId="29883" priority="1910" stopIfTrue="1">
      <formula>AND(T84&gt;=8000,T84&lt;=9999)</formula>
    </cfRule>
    <cfRule type="expression" dxfId="29882" priority="1911" stopIfTrue="1">
      <formula>AND(T84&gt;=78100,T84&lt;=78199)</formula>
    </cfRule>
    <cfRule type="expression" dxfId="29881" priority="1912" stopIfTrue="1">
      <formula>AND(T84&gt;=92000,T84&lt;=98999)</formula>
    </cfRule>
    <cfRule type="expression" dxfId="29880" priority="1913" stopIfTrue="1">
      <formula>AND(T84&gt;=78100,T84&lt;=78199)</formula>
    </cfRule>
    <cfRule type="expression" dxfId="29879" priority="1914" stopIfTrue="1">
      <formula>AND(T84&gt;=91000,T84&lt;=91999)</formula>
    </cfRule>
  </conditionalFormatting>
  <conditionalFormatting sqref="AA84">
    <cfRule type="expression" dxfId="29878" priority="1893">
      <formula>AND(AB84&gt;=79001,AB84&lt;79900)</formula>
    </cfRule>
    <cfRule type="expression" dxfId="29877" priority="1894" stopIfTrue="1">
      <formula>AND(AB84&gt;=70101,AB84&lt;=70301)</formula>
    </cfRule>
    <cfRule type="expression" dxfId="29876" priority="1895" stopIfTrue="1">
      <formula>AND(AB84&gt;70000,AB84&lt;70004)</formula>
    </cfRule>
    <cfRule type="expression" dxfId="29875" priority="1896" stopIfTrue="1">
      <formula>AND(AB84&gt;=70010,AB84&lt;=76000)</formula>
    </cfRule>
    <cfRule type="expression" dxfId="29874" priority="1897">
      <formula>AND(AB84&gt;70000,AB84&lt;70004)</formula>
    </cfRule>
    <cfRule type="expression" dxfId="29873" priority="1898" stopIfTrue="1">
      <formula>OR(AND(AB84&gt;=10000,AB84&lt;=56999),AND(AB84&gt;=57000,AB84&lt;=57999))</formula>
    </cfRule>
    <cfRule type="expression" dxfId="29872" priority="1899" stopIfTrue="1">
      <formula>AND(AB84&gt;=8000,AB84&lt;=9999)</formula>
    </cfRule>
    <cfRule type="expression" dxfId="29871" priority="1900" stopIfTrue="1">
      <formula>AND(AB84&gt;=78100,AB84&lt;=78199)</formula>
    </cfRule>
    <cfRule type="expression" dxfId="29870" priority="1901" stopIfTrue="1">
      <formula>AND(AB84&gt;=92000,AB84&lt;=98999)</formula>
    </cfRule>
    <cfRule type="expression" dxfId="29869" priority="1902" stopIfTrue="1">
      <formula>AND(AB84&gt;=78100,AB84&lt;=78199)</formula>
    </cfRule>
    <cfRule type="expression" dxfId="29868" priority="1903" stopIfTrue="1">
      <formula>AND(AB84&gt;=91000,AB84&lt;=91999)</formula>
    </cfRule>
  </conditionalFormatting>
  <conditionalFormatting sqref="AE84">
    <cfRule type="expression" dxfId="29867" priority="1882">
      <formula>AND(AF84&gt;=79001,AF84&lt;79900)</formula>
    </cfRule>
    <cfRule type="expression" dxfId="29866" priority="1883" stopIfTrue="1">
      <formula>AND(AF84&gt;=70101,AF84&lt;=70301)</formula>
    </cfRule>
    <cfRule type="expression" dxfId="29865" priority="1884" stopIfTrue="1">
      <formula>AND(AF84&gt;70000,AF84&lt;70004)</formula>
    </cfRule>
    <cfRule type="expression" dxfId="29864" priority="1885" stopIfTrue="1">
      <formula>AND(AF84&gt;=70010,AF84&lt;=76000)</formula>
    </cfRule>
    <cfRule type="expression" dxfId="29863" priority="1886">
      <formula>AND(AF84&gt;70000,AF84&lt;70004)</formula>
    </cfRule>
    <cfRule type="expression" dxfId="29862" priority="1887" stopIfTrue="1">
      <formula>OR(AND(AF84&gt;=10000,AF84&lt;=56999),AND(AF84&gt;=57000,AF84&lt;=57999))</formula>
    </cfRule>
    <cfRule type="expression" dxfId="29861" priority="1888" stopIfTrue="1">
      <formula>AND(AF84&gt;=8000,AF84&lt;=9999)</formula>
    </cfRule>
    <cfRule type="expression" dxfId="29860" priority="1889" stopIfTrue="1">
      <formula>AND(AF84&gt;=78100,AF84&lt;=78199)</formula>
    </cfRule>
    <cfRule type="expression" dxfId="29859" priority="1890" stopIfTrue="1">
      <formula>AND(AF84&gt;=92000,AF84&lt;=98999)</formula>
    </cfRule>
    <cfRule type="expression" dxfId="29858" priority="1891" stopIfTrue="1">
      <formula>AND(AF84&gt;=78100,AF84&lt;=78199)</formula>
    </cfRule>
    <cfRule type="expression" dxfId="29857" priority="1892" stopIfTrue="1">
      <formula>AND(AF84&gt;=91000,AF84&lt;=91999)</formula>
    </cfRule>
  </conditionalFormatting>
  <conditionalFormatting sqref="G84">
    <cfRule type="expression" dxfId="29856" priority="1871">
      <formula>AND(H84&gt;=79001,H84&lt;79900)</formula>
    </cfRule>
    <cfRule type="expression" dxfId="29855" priority="1872" stopIfTrue="1">
      <formula>AND(H84&gt;=70101,H84&lt;=70301)</formula>
    </cfRule>
    <cfRule type="expression" dxfId="29854" priority="1873" stopIfTrue="1">
      <formula>AND(H84&gt;70000,H84&lt;70004)</formula>
    </cfRule>
    <cfRule type="expression" dxfId="29853" priority="1874" stopIfTrue="1">
      <formula>AND(H84&gt;=70010,H84&lt;=76000)</formula>
    </cfRule>
    <cfRule type="expression" dxfId="29852" priority="1875">
      <formula>AND(H84&gt;70000,H84&lt;70004)</formula>
    </cfRule>
    <cfRule type="expression" dxfId="29851" priority="1876" stopIfTrue="1">
      <formula>OR(AND(H84&gt;=10000,H84&lt;=56999),AND(H84&gt;=57000,H84&lt;=57999))</formula>
    </cfRule>
    <cfRule type="expression" dxfId="29850" priority="1877" stopIfTrue="1">
      <formula>AND(H84&gt;=8000,H84&lt;=9999)</formula>
    </cfRule>
    <cfRule type="expression" dxfId="29849" priority="1878" stopIfTrue="1">
      <formula>AND(H84&gt;=78100,H84&lt;=78199)</formula>
    </cfRule>
    <cfRule type="expression" dxfId="29848" priority="1879" stopIfTrue="1">
      <formula>AND(H84&gt;=92000,H84&lt;=98999)</formula>
    </cfRule>
    <cfRule type="expression" dxfId="29847" priority="1880" stopIfTrue="1">
      <formula>AND(H84&gt;=78100,H84&lt;=78199)</formula>
    </cfRule>
    <cfRule type="expression" dxfId="29846" priority="1881" stopIfTrue="1">
      <formula>AND(H84&gt;=91000,H84&lt;=91999)</formula>
    </cfRule>
  </conditionalFormatting>
  <conditionalFormatting sqref="K84">
    <cfRule type="expression" dxfId="29845" priority="1860">
      <formula>AND(L84&gt;=79001,L84&lt;79900)</formula>
    </cfRule>
    <cfRule type="expression" dxfId="29844" priority="1861" stopIfTrue="1">
      <formula>AND(L84&gt;=70101,L84&lt;=70301)</formula>
    </cfRule>
    <cfRule type="expression" dxfId="29843" priority="1862" stopIfTrue="1">
      <formula>AND(L84&gt;70000,L84&lt;70004)</formula>
    </cfRule>
    <cfRule type="expression" dxfId="29842" priority="1863" stopIfTrue="1">
      <formula>AND(L84&gt;=70010,L84&lt;=76000)</formula>
    </cfRule>
    <cfRule type="expression" dxfId="29841" priority="1864">
      <formula>AND(L84&gt;70000,L84&lt;70004)</formula>
    </cfRule>
    <cfRule type="expression" dxfId="29840" priority="1865" stopIfTrue="1">
      <formula>OR(AND(L84&gt;=10000,L84&lt;=56999),AND(L84&gt;=57000,L84&lt;=57999))</formula>
    </cfRule>
    <cfRule type="expression" dxfId="29839" priority="1866" stopIfTrue="1">
      <formula>AND(L84&gt;=8000,L84&lt;=9999)</formula>
    </cfRule>
    <cfRule type="expression" dxfId="29838" priority="1867" stopIfTrue="1">
      <formula>AND(L84&gt;=78100,L84&lt;=78199)</formula>
    </cfRule>
    <cfRule type="expression" dxfId="29837" priority="1868" stopIfTrue="1">
      <formula>AND(L84&gt;=92000,L84&lt;=98999)</formula>
    </cfRule>
    <cfRule type="expression" dxfId="29836" priority="1869" stopIfTrue="1">
      <formula>AND(L84&gt;=78100,L84&lt;=78199)</formula>
    </cfRule>
    <cfRule type="expression" dxfId="29835" priority="1870" stopIfTrue="1">
      <formula>AND(L84&gt;=91000,L84&lt;=91999)</formula>
    </cfRule>
  </conditionalFormatting>
  <conditionalFormatting sqref="O84">
    <cfRule type="expression" dxfId="29834" priority="1849">
      <formula>AND(P84&gt;=79001,P84&lt;79900)</formula>
    </cfRule>
    <cfRule type="expression" dxfId="29833" priority="1850" stopIfTrue="1">
      <formula>AND(P84&gt;=70101,P84&lt;=70301)</formula>
    </cfRule>
    <cfRule type="expression" dxfId="29832" priority="1851" stopIfTrue="1">
      <formula>AND(P84&gt;70000,P84&lt;70004)</formula>
    </cfRule>
    <cfRule type="expression" dxfId="29831" priority="1852" stopIfTrue="1">
      <formula>AND(P84&gt;=70010,P84&lt;=76000)</formula>
    </cfRule>
    <cfRule type="expression" dxfId="29830" priority="1853">
      <formula>AND(P84&gt;70000,P84&lt;70004)</formula>
    </cfRule>
    <cfRule type="expression" dxfId="29829" priority="1854" stopIfTrue="1">
      <formula>OR(AND(P84&gt;=10000,P84&lt;=56999),AND(P84&gt;=57000,P84&lt;=57999))</formula>
    </cfRule>
    <cfRule type="expression" dxfId="29828" priority="1855" stopIfTrue="1">
      <formula>AND(P84&gt;=8000,P84&lt;=9999)</formula>
    </cfRule>
    <cfRule type="expression" dxfId="29827" priority="1856" stopIfTrue="1">
      <formula>AND(P84&gt;=78100,P84&lt;=78199)</formula>
    </cfRule>
    <cfRule type="expression" dxfId="29826" priority="1857" stopIfTrue="1">
      <formula>AND(P84&gt;=92000,P84&lt;=98999)</formula>
    </cfRule>
    <cfRule type="expression" dxfId="29825" priority="1858" stopIfTrue="1">
      <formula>AND(P84&gt;=78100,P84&lt;=78199)</formula>
    </cfRule>
    <cfRule type="expression" dxfId="29824" priority="1859" stopIfTrue="1">
      <formula>AND(P84&gt;=91000,P84&lt;=91999)</formula>
    </cfRule>
  </conditionalFormatting>
  <conditionalFormatting sqref="G91:G93">
    <cfRule type="expression" dxfId="29823" priority="1837">
      <formula>AND(H91&gt;=79001,H91&lt;79900)</formula>
    </cfRule>
    <cfRule type="expression" dxfId="29822" priority="1838" stopIfTrue="1">
      <formula>AND(H91&gt;=70101,H91&lt;=70301)</formula>
    </cfRule>
    <cfRule type="expression" dxfId="29821" priority="1839" stopIfTrue="1">
      <formula>AND(H91&gt;70000,H91&lt;70004)</formula>
    </cfRule>
    <cfRule type="expression" dxfId="29820" priority="1840" stopIfTrue="1">
      <formula>AND(H91&gt;=70010,H91&lt;=76000)</formula>
    </cfRule>
    <cfRule type="expression" dxfId="29819" priority="1841">
      <formula>AND(H91&gt;70000,H91&lt;70004)</formula>
    </cfRule>
    <cfRule type="expression" dxfId="29818" priority="1842" stopIfTrue="1">
      <formula>OR(AND(H91&gt;=10000,H91&lt;=56999),AND(H91&gt;=57000,H91&lt;=57999))</formula>
    </cfRule>
    <cfRule type="expression" dxfId="29817" priority="1843" stopIfTrue="1">
      <formula>AND(H91&gt;=8000,H91&lt;=9999)</formula>
    </cfRule>
    <cfRule type="expression" dxfId="29816" priority="1844" stopIfTrue="1">
      <formula>AND(H91&gt;=78100,H91&lt;=78199)</formula>
    </cfRule>
    <cfRule type="expression" dxfId="29815" priority="1845" stopIfTrue="1">
      <formula>AND(H91&gt;=92000,H91&lt;=98999)</formula>
    </cfRule>
    <cfRule type="expression" dxfId="29814" priority="1846" stopIfTrue="1">
      <formula>AND(H91&gt;=78100,H91&lt;=78199)</formula>
    </cfRule>
    <cfRule type="expression" dxfId="29813" priority="1847" stopIfTrue="1">
      <formula>AND(H91&gt;=91000,H91&lt;=91999)</formula>
    </cfRule>
  </conditionalFormatting>
  <conditionalFormatting sqref="K91:K93">
    <cfRule type="expression" dxfId="29812" priority="1826">
      <formula>AND(L91&gt;=79001,L91&lt;79900)</formula>
    </cfRule>
    <cfRule type="expression" dxfId="29811" priority="1827" stopIfTrue="1">
      <formula>AND(L91&gt;=70101,L91&lt;=70301)</formula>
    </cfRule>
    <cfRule type="expression" dxfId="29810" priority="1828" stopIfTrue="1">
      <formula>AND(L91&gt;70000,L91&lt;70004)</formula>
    </cfRule>
    <cfRule type="expression" dxfId="29809" priority="1829" stopIfTrue="1">
      <formula>AND(L91&gt;=70010,L91&lt;=76000)</formula>
    </cfRule>
    <cfRule type="expression" dxfId="29808" priority="1830">
      <formula>AND(L91&gt;70000,L91&lt;70004)</formula>
    </cfRule>
    <cfRule type="expression" dxfId="29807" priority="1831" stopIfTrue="1">
      <formula>OR(AND(L91&gt;=10000,L91&lt;=56999),AND(L91&gt;=57000,L91&lt;=57999))</formula>
    </cfRule>
    <cfRule type="expression" dxfId="29806" priority="1832" stopIfTrue="1">
      <formula>AND(L91&gt;=8000,L91&lt;=9999)</formula>
    </cfRule>
    <cfRule type="expression" dxfId="29805" priority="1833" stopIfTrue="1">
      <formula>AND(L91&gt;=78100,L91&lt;=78199)</formula>
    </cfRule>
    <cfRule type="expression" dxfId="29804" priority="1834" stopIfTrue="1">
      <formula>AND(L91&gt;=92000,L91&lt;=98999)</formula>
    </cfRule>
    <cfRule type="expression" dxfId="29803" priority="1835" stopIfTrue="1">
      <formula>AND(L91&gt;=78100,L91&lt;=78199)</formula>
    </cfRule>
    <cfRule type="expression" dxfId="29802" priority="1836" stopIfTrue="1">
      <formula>AND(L91&gt;=91000,L91&lt;=91999)</formula>
    </cfRule>
  </conditionalFormatting>
  <conditionalFormatting sqref="O91:O93">
    <cfRule type="expression" dxfId="29801" priority="1815">
      <formula>AND(P91&gt;=79001,P91&lt;79900)</formula>
    </cfRule>
    <cfRule type="expression" dxfId="29800" priority="1816" stopIfTrue="1">
      <formula>AND(P91&gt;=70101,P91&lt;=70301)</formula>
    </cfRule>
    <cfRule type="expression" dxfId="29799" priority="1817" stopIfTrue="1">
      <formula>AND(P91&gt;70000,P91&lt;70004)</formula>
    </cfRule>
    <cfRule type="expression" dxfId="29798" priority="1818" stopIfTrue="1">
      <formula>AND(P91&gt;=70010,P91&lt;=76000)</formula>
    </cfRule>
    <cfRule type="expression" dxfId="29797" priority="1819">
      <formula>AND(P91&gt;70000,P91&lt;70004)</formula>
    </cfRule>
    <cfRule type="expression" dxfId="29796" priority="1820" stopIfTrue="1">
      <formula>OR(AND(P91&gt;=10000,P91&lt;=56999),AND(P91&gt;=57000,P91&lt;=57999))</formula>
    </cfRule>
    <cfRule type="expression" dxfId="29795" priority="1821" stopIfTrue="1">
      <formula>AND(P91&gt;=8000,P91&lt;=9999)</formula>
    </cfRule>
    <cfRule type="expression" dxfId="29794" priority="1822" stopIfTrue="1">
      <formula>AND(P91&gt;=78100,P91&lt;=78199)</formula>
    </cfRule>
    <cfRule type="expression" dxfId="29793" priority="1823" stopIfTrue="1">
      <formula>AND(P91&gt;=92000,P91&lt;=98999)</formula>
    </cfRule>
    <cfRule type="expression" dxfId="29792" priority="1824" stopIfTrue="1">
      <formula>AND(P91&gt;=78100,P91&lt;=78199)</formula>
    </cfRule>
    <cfRule type="expression" dxfId="29791" priority="1825" stopIfTrue="1">
      <formula>AND(P91&gt;=91000,P91&lt;=91999)</formula>
    </cfRule>
  </conditionalFormatting>
  <conditionalFormatting sqref="W91:W93">
    <cfRule type="expression" dxfId="29790" priority="1804">
      <formula>AND(X91&gt;=79001,X91&lt;79900)</formula>
    </cfRule>
    <cfRule type="expression" dxfId="29789" priority="1805" stopIfTrue="1">
      <formula>AND(X91&gt;=70101,X91&lt;=70301)</formula>
    </cfRule>
    <cfRule type="expression" dxfId="29788" priority="1806" stopIfTrue="1">
      <formula>AND(X91&gt;70000,X91&lt;70004)</formula>
    </cfRule>
    <cfRule type="expression" dxfId="29787" priority="1807" stopIfTrue="1">
      <formula>AND(X91&gt;=70010,X91&lt;=76000)</formula>
    </cfRule>
    <cfRule type="expression" dxfId="29786" priority="1808">
      <formula>AND(X91&gt;70000,X91&lt;70004)</formula>
    </cfRule>
    <cfRule type="expression" dxfId="29785" priority="1809" stopIfTrue="1">
      <formula>OR(AND(X91&gt;=10000,X91&lt;=56999),AND(X91&gt;=57000,X91&lt;=57999))</formula>
    </cfRule>
    <cfRule type="expression" dxfId="29784" priority="1810" stopIfTrue="1">
      <formula>AND(X91&gt;=8000,X91&lt;=9999)</formula>
    </cfRule>
    <cfRule type="expression" dxfId="29783" priority="1811" stopIfTrue="1">
      <formula>AND(X91&gt;=78100,X91&lt;=78199)</formula>
    </cfRule>
    <cfRule type="expression" dxfId="29782" priority="1812" stopIfTrue="1">
      <formula>AND(X91&gt;=92000,X91&lt;=98999)</formula>
    </cfRule>
    <cfRule type="expression" dxfId="29781" priority="1813" stopIfTrue="1">
      <formula>AND(X91&gt;=78100,X91&lt;=78199)</formula>
    </cfRule>
    <cfRule type="expression" dxfId="29780" priority="1814" stopIfTrue="1">
      <formula>AND(X91&gt;=91000,X91&lt;=91999)</formula>
    </cfRule>
  </conditionalFormatting>
  <conditionalFormatting sqref="AA91:AA93">
    <cfRule type="expression" dxfId="29779" priority="1793">
      <formula>AND(AB91&gt;=79001,AB91&lt;79900)</formula>
    </cfRule>
    <cfRule type="expression" dxfId="29778" priority="1794" stopIfTrue="1">
      <formula>AND(AB91&gt;=70101,AB91&lt;=70301)</formula>
    </cfRule>
    <cfRule type="expression" dxfId="29777" priority="1795" stopIfTrue="1">
      <formula>AND(AB91&gt;70000,AB91&lt;70004)</formula>
    </cfRule>
    <cfRule type="expression" dxfId="29776" priority="1796" stopIfTrue="1">
      <formula>AND(AB91&gt;=70010,AB91&lt;=76000)</formula>
    </cfRule>
    <cfRule type="expression" dxfId="29775" priority="1797">
      <formula>AND(AB91&gt;70000,AB91&lt;70004)</formula>
    </cfRule>
    <cfRule type="expression" dxfId="29774" priority="1798" stopIfTrue="1">
      <formula>OR(AND(AB91&gt;=10000,AB91&lt;=56999),AND(AB91&gt;=57000,AB91&lt;=57999))</formula>
    </cfRule>
    <cfRule type="expression" dxfId="29773" priority="1799" stopIfTrue="1">
      <formula>AND(AB91&gt;=8000,AB91&lt;=9999)</formula>
    </cfRule>
    <cfRule type="expression" dxfId="29772" priority="1800" stopIfTrue="1">
      <formula>AND(AB91&gt;=78100,AB91&lt;=78199)</formula>
    </cfRule>
    <cfRule type="expression" dxfId="29771" priority="1801" stopIfTrue="1">
      <formula>AND(AB91&gt;=92000,AB91&lt;=98999)</formula>
    </cfRule>
    <cfRule type="expression" dxfId="29770" priority="1802" stopIfTrue="1">
      <formula>AND(AB91&gt;=78100,AB91&lt;=78199)</formula>
    </cfRule>
    <cfRule type="expression" dxfId="29769" priority="1803" stopIfTrue="1">
      <formula>AND(AB91&gt;=91000,AB91&lt;=91999)</formula>
    </cfRule>
  </conditionalFormatting>
  <conditionalFormatting sqref="AE91:AE93">
    <cfRule type="expression" dxfId="29768" priority="1782">
      <formula>AND(AF91&gt;=79001,AF91&lt;79900)</formula>
    </cfRule>
    <cfRule type="expression" dxfId="29767" priority="1783" stopIfTrue="1">
      <formula>AND(AF91&gt;=70101,AF91&lt;=70301)</formula>
    </cfRule>
    <cfRule type="expression" dxfId="29766" priority="1784" stopIfTrue="1">
      <formula>AND(AF91&gt;70000,AF91&lt;70004)</formula>
    </cfRule>
    <cfRule type="expression" dxfId="29765" priority="1785" stopIfTrue="1">
      <formula>AND(AF91&gt;=70010,AF91&lt;=76000)</formula>
    </cfRule>
    <cfRule type="expression" dxfId="29764" priority="1786">
      <formula>AND(AF91&gt;70000,AF91&lt;70004)</formula>
    </cfRule>
    <cfRule type="expression" dxfId="29763" priority="1787" stopIfTrue="1">
      <formula>OR(AND(AF91&gt;=10000,AF91&lt;=56999),AND(AF91&gt;=57000,AF91&lt;=57999))</formula>
    </cfRule>
    <cfRule type="expression" dxfId="29762" priority="1788" stopIfTrue="1">
      <formula>AND(AF91&gt;=8000,AF91&lt;=9999)</formula>
    </cfRule>
    <cfRule type="expression" dxfId="29761" priority="1789" stopIfTrue="1">
      <formula>AND(AF91&gt;=78100,AF91&lt;=78199)</formula>
    </cfRule>
    <cfRule type="expression" dxfId="29760" priority="1790" stopIfTrue="1">
      <formula>AND(AF91&gt;=92000,AF91&lt;=98999)</formula>
    </cfRule>
    <cfRule type="expression" dxfId="29759" priority="1791" stopIfTrue="1">
      <formula>AND(AF91&gt;=78100,AF91&lt;=78199)</formula>
    </cfRule>
    <cfRule type="expression" dxfId="29758" priority="1792" stopIfTrue="1">
      <formula>AND(AF91&gt;=91000,AF91&lt;=91999)</formula>
    </cfRule>
  </conditionalFormatting>
  <conditionalFormatting sqref="AI91:AI93">
    <cfRule type="expression" dxfId="29757" priority="1771">
      <formula>AND(AJ91&gt;=79001,AJ91&lt;79900)</formula>
    </cfRule>
    <cfRule type="expression" dxfId="29756" priority="1772" stopIfTrue="1">
      <formula>AND(AJ91&gt;=70101,AJ91&lt;=70301)</formula>
    </cfRule>
    <cfRule type="expression" dxfId="29755" priority="1773" stopIfTrue="1">
      <formula>AND(AJ91&gt;70000,AJ91&lt;70004)</formula>
    </cfRule>
    <cfRule type="expression" dxfId="29754" priority="1774" stopIfTrue="1">
      <formula>AND(AJ91&gt;=70010,AJ91&lt;=76000)</formula>
    </cfRule>
    <cfRule type="expression" dxfId="29753" priority="1775">
      <formula>AND(AJ91&gt;70000,AJ91&lt;70004)</formula>
    </cfRule>
    <cfRule type="expression" dxfId="29752" priority="1776" stopIfTrue="1">
      <formula>OR(AND(AJ91&gt;=10000,AJ91&lt;=56999),AND(AJ91&gt;=57000,AJ91&lt;=57999))</formula>
    </cfRule>
    <cfRule type="expression" dxfId="29751" priority="1777" stopIfTrue="1">
      <formula>AND(AJ91&gt;=8000,AJ91&lt;=9999)</formula>
    </cfRule>
    <cfRule type="expression" dxfId="29750" priority="1778" stopIfTrue="1">
      <formula>AND(AJ91&gt;=78100,AJ91&lt;=78199)</formula>
    </cfRule>
    <cfRule type="expression" dxfId="29749" priority="1779" stopIfTrue="1">
      <formula>AND(AJ91&gt;=92000,AJ91&lt;=98999)</formula>
    </cfRule>
    <cfRule type="expression" dxfId="29748" priority="1780" stopIfTrue="1">
      <formula>AND(AJ91&gt;=78100,AJ91&lt;=78199)</formula>
    </cfRule>
    <cfRule type="expression" dxfId="29747" priority="1781" stopIfTrue="1">
      <formula>AND(AJ91&gt;=91000,AJ91&lt;=91999)</formula>
    </cfRule>
  </conditionalFormatting>
  <conditionalFormatting sqref="AM91:AM93">
    <cfRule type="expression" dxfId="29746" priority="1760">
      <formula>AND(AN91&gt;=79001,AN91&lt;79900)</formula>
    </cfRule>
    <cfRule type="expression" dxfId="29745" priority="1761" stopIfTrue="1">
      <formula>AND(AN91&gt;=70101,AN91&lt;=70301)</formula>
    </cfRule>
    <cfRule type="expression" dxfId="29744" priority="1762" stopIfTrue="1">
      <formula>AND(AN91&gt;70000,AN91&lt;70004)</formula>
    </cfRule>
    <cfRule type="expression" dxfId="29743" priority="1763" stopIfTrue="1">
      <formula>AND(AN91&gt;=70010,AN91&lt;=76000)</formula>
    </cfRule>
    <cfRule type="expression" dxfId="29742" priority="1764">
      <formula>AND(AN91&gt;70000,AN91&lt;70004)</formula>
    </cfRule>
    <cfRule type="expression" dxfId="29741" priority="1765" stopIfTrue="1">
      <formula>OR(AND(AN91&gt;=10000,AN91&lt;=56999),AND(AN91&gt;=57000,AN91&lt;=57999))</formula>
    </cfRule>
    <cfRule type="expression" dxfId="29740" priority="1766" stopIfTrue="1">
      <formula>AND(AN91&gt;=8000,AN91&lt;=9999)</formula>
    </cfRule>
    <cfRule type="expression" dxfId="29739" priority="1767" stopIfTrue="1">
      <formula>AND(AN91&gt;=78100,AN91&lt;=78199)</formula>
    </cfRule>
    <cfRule type="expression" dxfId="29738" priority="1768" stopIfTrue="1">
      <formula>AND(AN91&gt;=92000,AN91&lt;=98999)</formula>
    </cfRule>
    <cfRule type="expression" dxfId="29737" priority="1769" stopIfTrue="1">
      <formula>AND(AN91&gt;=78100,AN91&lt;=78199)</formula>
    </cfRule>
    <cfRule type="expression" dxfId="29736" priority="1770" stopIfTrue="1">
      <formula>AND(AN91&gt;=91000,AN91&lt;=91999)</formula>
    </cfRule>
  </conditionalFormatting>
  <conditionalFormatting sqref="AQ91:AQ93">
    <cfRule type="expression" dxfId="29735" priority="1749">
      <formula>AND(AR91&gt;=79001,AR91&lt;79900)</formula>
    </cfRule>
    <cfRule type="expression" dxfId="29734" priority="1750" stopIfTrue="1">
      <formula>AND(AR91&gt;=70101,AR91&lt;=70301)</formula>
    </cfRule>
    <cfRule type="expression" dxfId="29733" priority="1751" stopIfTrue="1">
      <formula>AND(AR91&gt;70000,AR91&lt;70004)</formula>
    </cfRule>
    <cfRule type="expression" dxfId="29732" priority="1752" stopIfTrue="1">
      <formula>AND(AR91&gt;=70010,AR91&lt;=76000)</formula>
    </cfRule>
    <cfRule type="expression" dxfId="29731" priority="1753">
      <formula>AND(AR91&gt;70000,AR91&lt;70004)</formula>
    </cfRule>
    <cfRule type="expression" dxfId="29730" priority="1754" stopIfTrue="1">
      <formula>OR(AND(AR91&gt;=10000,AR91&lt;=56999),AND(AR91&gt;=57000,AR91&lt;=57999))</formula>
    </cfRule>
    <cfRule type="expression" dxfId="29729" priority="1755" stopIfTrue="1">
      <formula>AND(AR91&gt;=8000,AR91&lt;=9999)</formula>
    </cfRule>
    <cfRule type="expression" dxfId="29728" priority="1756" stopIfTrue="1">
      <formula>AND(AR91&gt;=78100,AR91&lt;=78199)</formula>
    </cfRule>
    <cfRule type="expression" dxfId="29727" priority="1757" stopIfTrue="1">
      <formula>AND(AR91&gt;=92000,AR91&lt;=98999)</formula>
    </cfRule>
    <cfRule type="expression" dxfId="29726" priority="1758" stopIfTrue="1">
      <formula>AND(AR91&gt;=78100,AR91&lt;=78199)</formula>
    </cfRule>
    <cfRule type="expression" dxfId="29725" priority="1759" stopIfTrue="1">
      <formula>AND(AR91&gt;=91000,AR91&lt;=91999)</formula>
    </cfRule>
  </conditionalFormatting>
  <conditionalFormatting sqref="AU91:AU93">
    <cfRule type="expression" dxfId="29724" priority="1738">
      <formula>AND(AV91&gt;=79001,AV91&lt;79900)</formula>
    </cfRule>
    <cfRule type="expression" dxfId="29723" priority="1739" stopIfTrue="1">
      <formula>AND(AV91&gt;=70101,AV91&lt;=70301)</formula>
    </cfRule>
    <cfRule type="expression" dxfId="29722" priority="1740" stopIfTrue="1">
      <formula>AND(AV91&gt;70000,AV91&lt;70004)</formula>
    </cfRule>
    <cfRule type="expression" dxfId="29721" priority="1741" stopIfTrue="1">
      <formula>AND(AV91&gt;=70010,AV91&lt;=76000)</formula>
    </cfRule>
    <cfRule type="expression" dxfId="29720" priority="1742">
      <formula>AND(AV91&gt;70000,AV91&lt;70004)</formula>
    </cfRule>
    <cfRule type="expression" dxfId="29719" priority="1743" stopIfTrue="1">
      <formula>OR(AND(AV91&gt;=10000,AV91&lt;=56999),AND(AV91&gt;=57000,AV91&lt;=57999))</formula>
    </cfRule>
    <cfRule type="expression" dxfId="29718" priority="1744" stopIfTrue="1">
      <formula>AND(AV91&gt;=8000,AV91&lt;=9999)</formula>
    </cfRule>
    <cfRule type="expression" dxfId="29717" priority="1745" stopIfTrue="1">
      <formula>AND(AV91&gt;=78100,AV91&lt;=78199)</formula>
    </cfRule>
    <cfRule type="expression" dxfId="29716" priority="1746" stopIfTrue="1">
      <formula>AND(AV91&gt;=92000,AV91&lt;=98999)</formula>
    </cfRule>
    <cfRule type="expression" dxfId="29715" priority="1747" stopIfTrue="1">
      <formula>AND(AV91&gt;=78100,AV91&lt;=78199)</formula>
    </cfRule>
    <cfRule type="expression" dxfId="29714" priority="1748" stopIfTrue="1">
      <formula>AND(AV91&gt;=91000,AV91&lt;=91999)</formula>
    </cfRule>
  </conditionalFormatting>
  <conditionalFormatting sqref="AY91:AY93">
    <cfRule type="expression" dxfId="29713" priority="1727">
      <formula>AND(AZ91&gt;=79001,AZ91&lt;79900)</formula>
    </cfRule>
    <cfRule type="expression" dxfId="29712" priority="1728" stopIfTrue="1">
      <formula>AND(AZ91&gt;=70101,AZ91&lt;=70301)</formula>
    </cfRule>
    <cfRule type="expression" dxfId="29711" priority="1729" stopIfTrue="1">
      <formula>AND(AZ91&gt;70000,AZ91&lt;70004)</formula>
    </cfRule>
    <cfRule type="expression" dxfId="29710" priority="1730" stopIfTrue="1">
      <formula>AND(AZ91&gt;=70010,AZ91&lt;=76000)</formula>
    </cfRule>
    <cfRule type="expression" dxfId="29709" priority="1731">
      <formula>AND(AZ91&gt;70000,AZ91&lt;70004)</formula>
    </cfRule>
    <cfRule type="expression" dxfId="29708" priority="1732" stopIfTrue="1">
      <formula>OR(AND(AZ91&gt;=10000,AZ91&lt;=56999),AND(AZ91&gt;=57000,AZ91&lt;=57999))</formula>
    </cfRule>
    <cfRule type="expression" dxfId="29707" priority="1733" stopIfTrue="1">
      <formula>AND(AZ91&gt;=8000,AZ91&lt;=9999)</formula>
    </cfRule>
    <cfRule type="expression" dxfId="29706" priority="1734" stopIfTrue="1">
      <formula>AND(AZ91&gt;=78100,AZ91&lt;=78199)</formula>
    </cfRule>
    <cfRule type="expression" dxfId="29705" priority="1735" stopIfTrue="1">
      <formula>AND(AZ91&gt;=92000,AZ91&lt;=98999)</formula>
    </cfRule>
    <cfRule type="expression" dxfId="29704" priority="1736" stopIfTrue="1">
      <formula>AND(AZ91&gt;=78100,AZ91&lt;=78199)</formula>
    </cfRule>
    <cfRule type="expression" dxfId="29703" priority="1737" stopIfTrue="1">
      <formula>AND(AZ91&gt;=91000,AZ91&lt;=91999)</formula>
    </cfRule>
  </conditionalFormatting>
  <conditionalFormatting sqref="BC91:BC93">
    <cfRule type="expression" dxfId="29702" priority="1716">
      <formula>AND(BD91&gt;=79001,BD91&lt;79900)</formula>
    </cfRule>
    <cfRule type="expression" dxfId="29701" priority="1717" stopIfTrue="1">
      <formula>AND(BD91&gt;=70101,BD91&lt;=70301)</formula>
    </cfRule>
    <cfRule type="expression" dxfId="29700" priority="1718" stopIfTrue="1">
      <formula>AND(BD91&gt;70000,BD91&lt;70004)</formula>
    </cfRule>
    <cfRule type="expression" dxfId="29699" priority="1719" stopIfTrue="1">
      <formula>AND(BD91&gt;=70010,BD91&lt;=76000)</formula>
    </cfRule>
    <cfRule type="expression" dxfId="29698" priority="1720">
      <formula>AND(BD91&gt;70000,BD91&lt;70004)</formula>
    </cfRule>
    <cfRule type="expression" dxfId="29697" priority="1721" stopIfTrue="1">
      <formula>OR(AND(BD91&gt;=10000,BD91&lt;=56999),AND(BD91&gt;=57000,BD91&lt;=57999))</formula>
    </cfRule>
    <cfRule type="expression" dxfId="29696" priority="1722" stopIfTrue="1">
      <formula>AND(BD91&gt;=8000,BD91&lt;=9999)</formula>
    </cfRule>
    <cfRule type="expression" dxfId="29695" priority="1723" stopIfTrue="1">
      <formula>AND(BD91&gt;=78100,BD91&lt;=78199)</formula>
    </cfRule>
    <cfRule type="expression" dxfId="29694" priority="1724" stopIfTrue="1">
      <formula>AND(BD91&gt;=92000,BD91&lt;=98999)</formula>
    </cfRule>
    <cfRule type="expression" dxfId="29693" priority="1725" stopIfTrue="1">
      <formula>AND(BD91&gt;=78100,BD91&lt;=78199)</formula>
    </cfRule>
    <cfRule type="expression" dxfId="29692" priority="1726" stopIfTrue="1">
      <formula>AND(BD91&gt;=91000,BD91&lt;=91999)</formula>
    </cfRule>
  </conditionalFormatting>
  <conditionalFormatting sqref="BG91:BG93">
    <cfRule type="expression" dxfId="29691" priority="1705">
      <formula>AND(BH91&gt;=79001,BH91&lt;79900)</formula>
    </cfRule>
    <cfRule type="expression" dxfId="29690" priority="1706" stopIfTrue="1">
      <formula>AND(BH91&gt;=70101,BH91&lt;=70301)</formula>
    </cfRule>
    <cfRule type="expression" dxfId="29689" priority="1707" stopIfTrue="1">
      <formula>AND(BH91&gt;70000,BH91&lt;70004)</formula>
    </cfRule>
    <cfRule type="expression" dxfId="29688" priority="1708" stopIfTrue="1">
      <formula>AND(BH91&gt;=70010,BH91&lt;=76000)</formula>
    </cfRule>
    <cfRule type="expression" dxfId="29687" priority="1709">
      <formula>AND(BH91&gt;70000,BH91&lt;70004)</formula>
    </cfRule>
    <cfRule type="expression" dxfId="29686" priority="1710" stopIfTrue="1">
      <formula>OR(AND(BH91&gt;=10000,BH91&lt;=56999),AND(BH91&gt;=57000,BH91&lt;=57999))</formula>
    </cfRule>
    <cfRule type="expression" dxfId="29685" priority="1711" stopIfTrue="1">
      <formula>AND(BH91&gt;=8000,BH91&lt;=9999)</formula>
    </cfRule>
    <cfRule type="expression" dxfId="29684" priority="1712" stopIfTrue="1">
      <formula>AND(BH91&gt;=78100,BH91&lt;=78199)</formula>
    </cfRule>
    <cfRule type="expression" dxfId="29683" priority="1713" stopIfTrue="1">
      <formula>AND(BH91&gt;=92000,BH91&lt;=98999)</formula>
    </cfRule>
    <cfRule type="expression" dxfId="29682" priority="1714" stopIfTrue="1">
      <formula>AND(BH91&gt;=78100,BH91&lt;=78199)</formula>
    </cfRule>
    <cfRule type="expression" dxfId="29681" priority="1715" stopIfTrue="1">
      <formula>AND(BH91&gt;=91000,BH91&lt;=91999)</formula>
    </cfRule>
  </conditionalFormatting>
  <conditionalFormatting sqref="BK91:BK93">
    <cfRule type="expression" dxfId="29680" priority="1694">
      <formula>AND(BL91&gt;=79001,BL91&lt;79900)</formula>
    </cfRule>
    <cfRule type="expression" dxfId="29679" priority="1695" stopIfTrue="1">
      <formula>AND(BL91&gt;=70101,BL91&lt;=70301)</formula>
    </cfRule>
    <cfRule type="expression" dxfId="29678" priority="1696" stopIfTrue="1">
      <formula>AND(BL91&gt;70000,BL91&lt;70004)</formula>
    </cfRule>
    <cfRule type="expression" dxfId="29677" priority="1697" stopIfTrue="1">
      <formula>AND(BL91&gt;=70010,BL91&lt;=76000)</formula>
    </cfRule>
    <cfRule type="expression" dxfId="29676" priority="1698">
      <formula>AND(BL91&gt;70000,BL91&lt;70004)</formula>
    </cfRule>
    <cfRule type="expression" dxfId="29675" priority="1699" stopIfTrue="1">
      <formula>OR(AND(BL91&gt;=10000,BL91&lt;=56999),AND(BL91&gt;=57000,BL91&lt;=57999))</formula>
    </cfRule>
    <cfRule type="expression" dxfId="29674" priority="1700" stopIfTrue="1">
      <formula>AND(BL91&gt;=8000,BL91&lt;=9999)</formula>
    </cfRule>
    <cfRule type="expression" dxfId="29673" priority="1701" stopIfTrue="1">
      <formula>AND(BL91&gt;=78100,BL91&lt;=78199)</formula>
    </cfRule>
    <cfRule type="expression" dxfId="29672" priority="1702" stopIfTrue="1">
      <formula>AND(BL91&gt;=92000,BL91&lt;=98999)</formula>
    </cfRule>
    <cfRule type="expression" dxfId="29671" priority="1703" stopIfTrue="1">
      <formula>AND(BL91&gt;=78100,BL91&lt;=78199)</formula>
    </cfRule>
    <cfRule type="expression" dxfId="29670" priority="1704" stopIfTrue="1">
      <formula>AND(BL91&gt;=91000,BL91&lt;=91999)</formula>
    </cfRule>
  </conditionalFormatting>
  <conditionalFormatting sqref="G91:G93">
    <cfRule type="expression" dxfId="29669" priority="1683">
      <formula>AND(H91&gt;=79001,H91&lt;79900)</formula>
    </cfRule>
    <cfRule type="expression" dxfId="29668" priority="1684" stopIfTrue="1">
      <formula>AND(H91&gt;=70101,H91&lt;=70301)</formula>
    </cfRule>
    <cfRule type="expression" dxfId="29667" priority="1685" stopIfTrue="1">
      <formula>AND(H91&gt;70000,H91&lt;70004)</formula>
    </cfRule>
    <cfRule type="expression" dxfId="29666" priority="1686" stopIfTrue="1">
      <formula>AND(H91&gt;=70010,H91&lt;=76000)</formula>
    </cfRule>
    <cfRule type="expression" dxfId="29665" priority="1687">
      <formula>AND(H91&gt;70000,H91&lt;70004)</formula>
    </cfRule>
    <cfRule type="expression" dxfId="29664" priority="1688" stopIfTrue="1">
      <formula>OR(AND(H91&gt;=10000,H91&lt;=56999),AND(H91&gt;=57000,H91&lt;=57999))</formula>
    </cfRule>
    <cfRule type="expression" dxfId="29663" priority="1689" stopIfTrue="1">
      <formula>AND(H91&gt;=8000,H91&lt;=9999)</formula>
    </cfRule>
    <cfRule type="expression" dxfId="29662" priority="1690" stopIfTrue="1">
      <formula>AND(H91&gt;=78100,H91&lt;=78199)</formula>
    </cfRule>
    <cfRule type="expression" dxfId="29661" priority="1691" stopIfTrue="1">
      <formula>AND(H91&gt;=92000,H91&lt;=98999)</formula>
    </cfRule>
    <cfRule type="expression" dxfId="29660" priority="1692" stopIfTrue="1">
      <formula>AND(H91&gt;=78100,H91&lt;=78199)</formula>
    </cfRule>
    <cfRule type="expression" dxfId="29659" priority="1693" stopIfTrue="1">
      <formula>AND(H91&gt;=91000,H91&lt;=91999)</formula>
    </cfRule>
  </conditionalFormatting>
  <conditionalFormatting sqref="K91:K93">
    <cfRule type="expression" dxfId="29658" priority="1672">
      <formula>AND(L91&gt;=79001,L91&lt;79900)</formula>
    </cfRule>
    <cfRule type="expression" dxfId="29657" priority="1673" stopIfTrue="1">
      <formula>AND(L91&gt;=70101,L91&lt;=70301)</formula>
    </cfRule>
    <cfRule type="expression" dxfId="29656" priority="1674" stopIfTrue="1">
      <formula>AND(L91&gt;70000,L91&lt;70004)</formula>
    </cfRule>
    <cfRule type="expression" dxfId="29655" priority="1675" stopIfTrue="1">
      <formula>AND(L91&gt;=70010,L91&lt;=76000)</formula>
    </cfRule>
    <cfRule type="expression" dxfId="29654" priority="1676">
      <formula>AND(L91&gt;70000,L91&lt;70004)</formula>
    </cfRule>
    <cfRule type="expression" dxfId="29653" priority="1677" stopIfTrue="1">
      <formula>OR(AND(L91&gt;=10000,L91&lt;=56999),AND(L91&gt;=57000,L91&lt;=57999))</formula>
    </cfRule>
    <cfRule type="expression" dxfId="29652" priority="1678" stopIfTrue="1">
      <formula>AND(L91&gt;=8000,L91&lt;=9999)</formula>
    </cfRule>
    <cfRule type="expression" dxfId="29651" priority="1679" stopIfTrue="1">
      <formula>AND(L91&gt;=78100,L91&lt;=78199)</formula>
    </cfRule>
    <cfRule type="expression" dxfId="29650" priority="1680" stopIfTrue="1">
      <formula>AND(L91&gt;=92000,L91&lt;=98999)</formula>
    </cfRule>
    <cfRule type="expression" dxfId="29649" priority="1681" stopIfTrue="1">
      <formula>AND(L91&gt;=78100,L91&lt;=78199)</formula>
    </cfRule>
    <cfRule type="expression" dxfId="29648" priority="1682" stopIfTrue="1">
      <formula>AND(L91&gt;=91000,L91&lt;=91999)</formula>
    </cfRule>
  </conditionalFormatting>
  <conditionalFormatting sqref="O91:O93">
    <cfRule type="expression" dxfId="29647" priority="1661">
      <formula>AND(P91&gt;=79001,P91&lt;79900)</formula>
    </cfRule>
    <cfRule type="expression" dxfId="29646" priority="1662" stopIfTrue="1">
      <formula>AND(P91&gt;=70101,P91&lt;=70301)</formula>
    </cfRule>
    <cfRule type="expression" dxfId="29645" priority="1663" stopIfTrue="1">
      <formula>AND(P91&gt;70000,P91&lt;70004)</formula>
    </cfRule>
    <cfRule type="expression" dxfId="29644" priority="1664" stopIfTrue="1">
      <formula>AND(P91&gt;=70010,P91&lt;=76000)</formula>
    </cfRule>
    <cfRule type="expression" dxfId="29643" priority="1665">
      <formula>AND(P91&gt;70000,P91&lt;70004)</formula>
    </cfRule>
    <cfRule type="expression" dxfId="29642" priority="1666" stopIfTrue="1">
      <formula>OR(AND(P91&gt;=10000,P91&lt;=56999),AND(P91&gt;=57000,P91&lt;=57999))</formula>
    </cfRule>
    <cfRule type="expression" dxfId="29641" priority="1667" stopIfTrue="1">
      <formula>AND(P91&gt;=8000,P91&lt;=9999)</formula>
    </cfRule>
    <cfRule type="expression" dxfId="29640" priority="1668" stopIfTrue="1">
      <formula>AND(P91&gt;=78100,P91&lt;=78199)</formula>
    </cfRule>
    <cfRule type="expression" dxfId="29639" priority="1669" stopIfTrue="1">
      <formula>AND(P91&gt;=92000,P91&lt;=98999)</formula>
    </cfRule>
    <cfRule type="expression" dxfId="29638" priority="1670" stopIfTrue="1">
      <formula>AND(P91&gt;=78100,P91&lt;=78199)</formula>
    </cfRule>
    <cfRule type="expression" dxfId="29637" priority="1671" stopIfTrue="1">
      <formula>AND(P91&gt;=91000,P91&lt;=91999)</formula>
    </cfRule>
  </conditionalFormatting>
  <conditionalFormatting sqref="G93">
    <cfRule type="expression" dxfId="29636" priority="1650">
      <formula>AND(H93&gt;=79001,H93&lt;79900)</formula>
    </cfRule>
    <cfRule type="expression" dxfId="29635" priority="1651" stopIfTrue="1">
      <formula>AND(H93&gt;=70101,H93&lt;=70301)</formula>
    </cfRule>
    <cfRule type="expression" dxfId="29634" priority="1652" stopIfTrue="1">
      <formula>AND(H93&gt;70000,H93&lt;70004)</formula>
    </cfRule>
    <cfRule type="expression" dxfId="29633" priority="1653" stopIfTrue="1">
      <formula>AND(H93&gt;=70010,H93&lt;=76000)</formula>
    </cfRule>
    <cfRule type="expression" dxfId="29632" priority="1654">
      <formula>AND(H93&gt;70000,H93&lt;70004)</formula>
    </cfRule>
    <cfRule type="expression" dxfId="29631" priority="1655" stopIfTrue="1">
      <formula>OR(AND(H93&gt;=10000,H93&lt;=56999),AND(H93&gt;=57000,H93&lt;=57999))</formula>
    </cfRule>
    <cfRule type="expression" dxfId="29630" priority="1656" stopIfTrue="1">
      <formula>AND(H93&gt;=8000,H93&lt;=9999)</formula>
    </cfRule>
    <cfRule type="expression" dxfId="29629" priority="1657" stopIfTrue="1">
      <formula>AND(H93&gt;=78100,H93&lt;=78199)</formula>
    </cfRule>
    <cfRule type="expression" dxfId="29628" priority="1658" stopIfTrue="1">
      <formula>AND(H93&gt;=92000,H93&lt;=98999)</formula>
    </cfRule>
    <cfRule type="expression" dxfId="29627" priority="1659" stopIfTrue="1">
      <formula>AND(H93&gt;=78100,H93&lt;=78199)</formula>
    </cfRule>
    <cfRule type="expression" dxfId="29626" priority="1660" stopIfTrue="1">
      <formula>AND(H93&gt;=91000,H93&lt;=91999)</formula>
    </cfRule>
  </conditionalFormatting>
  <conditionalFormatting sqref="K93">
    <cfRule type="expression" dxfId="29625" priority="1639">
      <formula>AND(L93&gt;=79001,L93&lt;79900)</formula>
    </cfRule>
    <cfRule type="expression" dxfId="29624" priority="1640" stopIfTrue="1">
      <formula>AND(L93&gt;=70101,L93&lt;=70301)</formula>
    </cfRule>
    <cfRule type="expression" dxfId="29623" priority="1641" stopIfTrue="1">
      <formula>AND(L93&gt;70000,L93&lt;70004)</formula>
    </cfRule>
    <cfRule type="expression" dxfId="29622" priority="1642" stopIfTrue="1">
      <formula>AND(L93&gt;=70010,L93&lt;=76000)</formula>
    </cfRule>
    <cfRule type="expression" dxfId="29621" priority="1643">
      <formula>AND(L93&gt;70000,L93&lt;70004)</formula>
    </cfRule>
    <cfRule type="expression" dxfId="29620" priority="1644" stopIfTrue="1">
      <formula>OR(AND(L93&gt;=10000,L93&lt;=56999),AND(L93&gt;=57000,L93&lt;=57999))</formula>
    </cfRule>
    <cfRule type="expression" dxfId="29619" priority="1645" stopIfTrue="1">
      <formula>AND(L93&gt;=8000,L93&lt;=9999)</formula>
    </cfRule>
    <cfRule type="expression" dxfId="29618" priority="1646" stopIfTrue="1">
      <formula>AND(L93&gt;=78100,L93&lt;=78199)</formula>
    </cfRule>
    <cfRule type="expression" dxfId="29617" priority="1647" stopIfTrue="1">
      <formula>AND(L93&gt;=92000,L93&lt;=98999)</formula>
    </cfRule>
    <cfRule type="expression" dxfId="29616" priority="1648" stopIfTrue="1">
      <formula>AND(L93&gt;=78100,L93&lt;=78199)</formula>
    </cfRule>
    <cfRule type="expression" dxfId="29615" priority="1649" stopIfTrue="1">
      <formula>AND(L93&gt;=91000,L93&lt;=91999)</formula>
    </cfRule>
  </conditionalFormatting>
  <conditionalFormatting sqref="O93">
    <cfRule type="expression" dxfId="29614" priority="1628">
      <formula>AND(P93&gt;=79001,P93&lt;79900)</formula>
    </cfRule>
    <cfRule type="expression" dxfId="29613" priority="1629" stopIfTrue="1">
      <formula>AND(P93&gt;=70101,P93&lt;=70301)</formula>
    </cfRule>
    <cfRule type="expression" dxfId="29612" priority="1630" stopIfTrue="1">
      <formula>AND(P93&gt;70000,P93&lt;70004)</formula>
    </cfRule>
    <cfRule type="expression" dxfId="29611" priority="1631" stopIfTrue="1">
      <formula>AND(P93&gt;=70010,P93&lt;=76000)</formula>
    </cfRule>
    <cfRule type="expression" dxfId="29610" priority="1632">
      <formula>AND(P93&gt;70000,P93&lt;70004)</formula>
    </cfRule>
    <cfRule type="expression" dxfId="29609" priority="1633" stopIfTrue="1">
      <formula>OR(AND(P93&gt;=10000,P93&lt;=56999),AND(P93&gt;=57000,P93&lt;=57999))</formula>
    </cfRule>
    <cfRule type="expression" dxfId="29608" priority="1634" stopIfTrue="1">
      <formula>AND(P93&gt;=8000,P93&lt;=9999)</formula>
    </cfRule>
    <cfRule type="expression" dxfId="29607" priority="1635" stopIfTrue="1">
      <formula>AND(P93&gt;=78100,P93&lt;=78199)</formula>
    </cfRule>
    <cfRule type="expression" dxfId="29606" priority="1636" stopIfTrue="1">
      <formula>AND(P93&gt;=92000,P93&lt;=98999)</formula>
    </cfRule>
    <cfRule type="expression" dxfId="29605" priority="1637" stopIfTrue="1">
      <formula>AND(P93&gt;=78100,P93&lt;=78199)</formula>
    </cfRule>
    <cfRule type="expression" dxfId="29604" priority="1638" stopIfTrue="1">
      <formula>AND(P93&gt;=91000,P93&lt;=91999)</formula>
    </cfRule>
  </conditionalFormatting>
  <conditionalFormatting sqref="AA93">
    <cfRule type="expression" dxfId="29603" priority="1617">
      <formula>AND(AB93&gt;=79001,AB93&lt;79900)</formula>
    </cfRule>
    <cfRule type="expression" dxfId="29602" priority="1618" stopIfTrue="1">
      <formula>AND(AB93&gt;=70101,AB93&lt;=70301)</formula>
    </cfRule>
    <cfRule type="expression" dxfId="29601" priority="1619" stopIfTrue="1">
      <formula>AND(AB93&gt;70000,AB93&lt;70004)</formula>
    </cfRule>
    <cfRule type="expression" dxfId="29600" priority="1620" stopIfTrue="1">
      <formula>AND(AB93&gt;=70010,AB93&lt;=76000)</formula>
    </cfRule>
    <cfRule type="expression" dxfId="29599" priority="1621">
      <formula>AND(AB93&gt;70000,AB93&lt;70004)</formula>
    </cfRule>
    <cfRule type="expression" dxfId="29598" priority="1622" stopIfTrue="1">
      <formula>OR(AND(AB93&gt;=10000,AB93&lt;=56999),AND(AB93&gt;=57000,AB93&lt;=57999))</formula>
    </cfRule>
    <cfRule type="expression" dxfId="29597" priority="1623" stopIfTrue="1">
      <formula>AND(AB93&gt;=8000,AB93&lt;=9999)</formula>
    </cfRule>
    <cfRule type="expression" dxfId="29596" priority="1624" stopIfTrue="1">
      <formula>AND(AB93&gt;=78100,AB93&lt;=78199)</formula>
    </cfRule>
    <cfRule type="expression" dxfId="29595" priority="1625" stopIfTrue="1">
      <formula>AND(AB93&gt;=92000,AB93&lt;=98999)</formula>
    </cfRule>
    <cfRule type="expression" dxfId="29594" priority="1626" stopIfTrue="1">
      <formula>AND(AB93&gt;=78100,AB93&lt;=78199)</formula>
    </cfRule>
    <cfRule type="expression" dxfId="29593" priority="1627" stopIfTrue="1">
      <formula>AND(AB93&gt;=91000,AB93&lt;=91999)</formula>
    </cfRule>
  </conditionalFormatting>
  <conditionalFormatting sqref="G93">
    <cfRule type="expression" dxfId="29592" priority="1606">
      <formula>AND(H93&gt;=79001,H93&lt;79900)</formula>
    </cfRule>
    <cfRule type="expression" dxfId="29591" priority="1607" stopIfTrue="1">
      <formula>AND(H93&gt;=70101,H93&lt;=70301)</formula>
    </cfRule>
    <cfRule type="expression" dxfId="29590" priority="1608" stopIfTrue="1">
      <formula>AND(H93&gt;70000,H93&lt;70004)</formula>
    </cfRule>
    <cfRule type="expression" dxfId="29589" priority="1609" stopIfTrue="1">
      <formula>AND(H93&gt;=70010,H93&lt;=76000)</formula>
    </cfRule>
    <cfRule type="expression" dxfId="29588" priority="1610">
      <formula>AND(H93&gt;70000,H93&lt;70004)</formula>
    </cfRule>
    <cfRule type="expression" dxfId="29587" priority="1611" stopIfTrue="1">
      <formula>OR(AND(H93&gt;=10000,H93&lt;=56999),AND(H93&gt;=57000,H93&lt;=57999))</formula>
    </cfRule>
    <cfRule type="expression" dxfId="29586" priority="1612" stopIfTrue="1">
      <formula>AND(H93&gt;=8000,H93&lt;=9999)</formula>
    </cfRule>
    <cfRule type="expression" dxfId="29585" priority="1613" stopIfTrue="1">
      <formula>AND(H93&gt;=78100,H93&lt;=78199)</formula>
    </cfRule>
    <cfRule type="expression" dxfId="29584" priority="1614" stopIfTrue="1">
      <formula>AND(H93&gt;=92000,H93&lt;=98999)</formula>
    </cfRule>
    <cfRule type="expression" dxfId="29583" priority="1615" stopIfTrue="1">
      <formula>AND(H93&gt;=78100,H93&lt;=78199)</formula>
    </cfRule>
    <cfRule type="expression" dxfId="29582" priority="1616" stopIfTrue="1">
      <formula>AND(H93&gt;=91000,H93&lt;=91999)</formula>
    </cfRule>
  </conditionalFormatting>
  <conditionalFormatting sqref="K93">
    <cfRule type="expression" dxfId="29581" priority="1595">
      <formula>AND(L93&gt;=79001,L93&lt;79900)</formula>
    </cfRule>
    <cfRule type="expression" dxfId="29580" priority="1596" stopIfTrue="1">
      <formula>AND(L93&gt;=70101,L93&lt;=70301)</formula>
    </cfRule>
    <cfRule type="expression" dxfId="29579" priority="1597" stopIfTrue="1">
      <formula>AND(L93&gt;70000,L93&lt;70004)</formula>
    </cfRule>
    <cfRule type="expression" dxfId="29578" priority="1598" stopIfTrue="1">
      <formula>AND(L93&gt;=70010,L93&lt;=76000)</formula>
    </cfRule>
    <cfRule type="expression" dxfId="29577" priority="1599">
      <formula>AND(L93&gt;70000,L93&lt;70004)</formula>
    </cfRule>
    <cfRule type="expression" dxfId="29576" priority="1600" stopIfTrue="1">
      <formula>OR(AND(L93&gt;=10000,L93&lt;=56999),AND(L93&gt;=57000,L93&lt;=57999))</formula>
    </cfRule>
    <cfRule type="expression" dxfId="29575" priority="1601" stopIfTrue="1">
      <formula>AND(L93&gt;=8000,L93&lt;=9999)</formula>
    </cfRule>
    <cfRule type="expression" dxfId="29574" priority="1602" stopIfTrue="1">
      <formula>AND(L93&gt;=78100,L93&lt;=78199)</formula>
    </cfRule>
    <cfRule type="expression" dxfId="29573" priority="1603" stopIfTrue="1">
      <formula>AND(L93&gt;=92000,L93&lt;=98999)</formula>
    </cfRule>
    <cfRule type="expression" dxfId="29572" priority="1604" stopIfTrue="1">
      <formula>AND(L93&gt;=78100,L93&lt;=78199)</formula>
    </cfRule>
    <cfRule type="expression" dxfId="29571" priority="1605" stopIfTrue="1">
      <formula>AND(L93&gt;=91000,L93&lt;=91999)</formula>
    </cfRule>
  </conditionalFormatting>
  <conditionalFormatting sqref="O93">
    <cfRule type="expression" dxfId="29570" priority="1584">
      <formula>AND(P93&gt;=79001,P93&lt;79900)</formula>
    </cfRule>
    <cfRule type="expression" dxfId="29569" priority="1585" stopIfTrue="1">
      <formula>AND(P93&gt;=70101,P93&lt;=70301)</formula>
    </cfRule>
    <cfRule type="expression" dxfId="29568" priority="1586" stopIfTrue="1">
      <formula>AND(P93&gt;70000,P93&lt;70004)</formula>
    </cfRule>
    <cfRule type="expression" dxfId="29567" priority="1587" stopIfTrue="1">
      <formula>AND(P93&gt;=70010,P93&lt;=76000)</formula>
    </cfRule>
    <cfRule type="expression" dxfId="29566" priority="1588">
      <formula>AND(P93&gt;70000,P93&lt;70004)</formula>
    </cfRule>
    <cfRule type="expression" dxfId="29565" priority="1589" stopIfTrue="1">
      <formula>OR(AND(P93&gt;=10000,P93&lt;=56999),AND(P93&gt;=57000,P93&lt;=57999))</formula>
    </cfRule>
    <cfRule type="expression" dxfId="29564" priority="1590" stopIfTrue="1">
      <formula>AND(P93&gt;=8000,P93&lt;=9999)</formula>
    </cfRule>
    <cfRule type="expression" dxfId="29563" priority="1591" stopIfTrue="1">
      <formula>AND(P93&gt;=78100,P93&lt;=78199)</formula>
    </cfRule>
    <cfRule type="expression" dxfId="29562" priority="1592" stopIfTrue="1">
      <formula>AND(P93&gt;=92000,P93&lt;=98999)</formula>
    </cfRule>
    <cfRule type="expression" dxfId="29561" priority="1593" stopIfTrue="1">
      <formula>AND(P93&gt;=78100,P93&lt;=78199)</formula>
    </cfRule>
    <cfRule type="expression" dxfId="29560" priority="1594" stopIfTrue="1">
      <formula>AND(P93&gt;=91000,P93&lt;=91999)</formula>
    </cfRule>
  </conditionalFormatting>
  <conditionalFormatting sqref="S91:S93">
    <cfRule type="expression" dxfId="29559" priority="1573">
      <formula>AND(T91&gt;=79001,T91&lt;79900)</formula>
    </cfRule>
    <cfRule type="expression" dxfId="29558" priority="1574" stopIfTrue="1">
      <formula>AND(T91&gt;=70101,T91&lt;=70301)</formula>
    </cfRule>
    <cfRule type="expression" dxfId="29557" priority="1575" stopIfTrue="1">
      <formula>AND(T91&gt;70000,T91&lt;70004)</formula>
    </cfRule>
    <cfRule type="expression" dxfId="29556" priority="1576" stopIfTrue="1">
      <formula>AND(T91&gt;=70010,T91&lt;=76000)</formula>
    </cfRule>
    <cfRule type="expression" dxfId="29555" priority="1577">
      <formula>AND(T91&gt;70000,T91&lt;70004)</formula>
    </cfRule>
    <cfRule type="expression" dxfId="29554" priority="1578" stopIfTrue="1">
      <formula>OR(AND(T91&gt;=10000,T91&lt;=56999),AND(T91&gt;=57000,T91&lt;=57999))</formula>
    </cfRule>
    <cfRule type="expression" dxfId="29553" priority="1579" stopIfTrue="1">
      <formula>AND(T91&gt;=8000,T91&lt;=9999)</formula>
    </cfRule>
    <cfRule type="expression" dxfId="29552" priority="1580" stopIfTrue="1">
      <formula>AND(T91&gt;=78100,T91&lt;=78199)</formula>
    </cfRule>
    <cfRule type="expression" dxfId="29551" priority="1581" stopIfTrue="1">
      <formula>AND(T91&gt;=92000,T91&lt;=98999)</formula>
    </cfRule>
    <cfRule type="expression" dxfId="29550" priority="1582" stopIfTrue="1">
      <formula>AND(T91&gt;=78100,T91&lt;=78199)</formula>
    </cfRule>
    <cfRule type="expression" dxfId="29549" priority="1583" stopIfTrue="1">
      <formula>AND(T91&gt;=91000,T91&lt;=91999)</formula>
    </cfRule>
  </conditionalFormatting>
  <conditionalFormatting sqref="S91:S93">
    <cfRule type="expression" dxfId="29548" priority="1562">
      <formula>AND(T91&gt;=79001,T91&lt;79900)</formula>
    </cfRule>
    <cfRule type="expression" dxfId="29547" priority="1563" stopIfTrue="1">
      <formula>AND(T91&gt;=70101,T91&lt;=70301)</formula>
    </cfRule>
    <cfRule type="expression" dxfId="29546" priority="1564" stopIfTrue="1">
      <formula>AND(T91&gt;70000,T91&lt;70004)</formula>
    </cfRule>
    <cfRule type="expression" dxfId="29545" priority="1565" stopIfTrue="1">
      <formula>AND(T91&gt;=70010,T91&lt;=76000)</formula>
    </cfRule>
    <cfRule type="expression" dxfId="29544" priority="1566">
      <formula>AND(T91&gt;70000,T91&lt;70004)</formula>
    </cfRule>
    <cfRule type="expression" dxfId="29543" priority="1567" stopIfTrue="1">
      <formula>OR(AND(T91&gt;=10000,T91&lt;=56999),AND(T91&gt;=57000,T91&lt;=57999))</formula>
    </cfRule>
    <cfRule type="expression" dxfId="29542" priority="1568" stopIfTrue="1">
      <formula>AND(T91&gt;=8000,T91&lt;=9999)</formula>
    </cfRule>
    <cfRule type="expression" dxfId="29541" priority="1569" stopIfTrue="1">
      <formula>AND(T91&gt;=78100,T91&lt;=78199)</formula>
    </cfRule>
    <cfRule type="expression" dxfId="29540" priority="1570" stopIfTrue="1">
      <formula>AND(T91&gt;=92000,T91&lt;=98999)</formula>
    </cfRule>
    <cfRule type="expression" dxfId="29539" priority="1571" stopIfTrue="1">
      <formula>AND(T91&gt;=78100,T91&lt;=78199)</formula>
    </cfRule>
    <cfRule type="expression" dxfId="29538" priority="1572" stopIfTrue="1">
      <formula>AND(T91&gt;=91000,T91&lt;=91999)</formula>
    </cfRule>
  </conditionalFormatting>
  <conditionalFormatting sqref="G100:G102">
    <cfRule type="expression" dxfId="29537" priority="1550">
      <formula>AND(H100&gt;=79001,H100&lt;79900)</formula>
    </cfRule>
    <cfRule type="expression" dxfId="29536" priority="1551" stopIfTrue="1">
      <formula>AND(H100&gt;=70101,H100&lt;=70301)</formula>
    </cfRule>
    <cfRule type="expression" dxfId="29535" priority="1552" stopIfTrue="1">
      <formula>AND(H100&gt;70000,H100&lt;70004)</formula>
    </cfRule>
    <cfRule type="expression" dxfId="29534" priority="1553" stopIfTrue="1">
      <formula>AND(H100&gt;=70010,H100&lt;=76000)</formula>
    </cfRule>
    <cfRule type="expression" dxfId="29533" priority="1554">
      <formula>AND(H100&gt;70000,H100&lt;70004)</formula>
    </cfRule>
    <cfRule type="expression" dxfId="29532" priority="1555" stopIfTrue="1">
      <formula>OR(AND(H100&gt;=10000,H100&lt;=56999),AND(H100&gt;=57000,H100&lt;=57999))</formula>
    </cfRule>
    <cfRule type="expression" dxfId="29531" priority="1556" stopIfTrue="1">
      <formula>AND(H100&gt;=8000,H100&lt;=9999)</formula>
    </cfRule>
    <cfRule type="expression" dxfId="29530" priority="1557" stopIfTrue="1">
      <formula>AND(H100&gt;=78100,H100&lt;=78199)</formula>
    </cfRule>
    <cfRule type="expression" dxfId="29529" priority="1558" stopIfTrue="1">
      <formula>AND(H100&gt;=92000,H100&lt;=98999)</formula>
    </cfRule>
    <cfRule type="expression" dxfId="29528" priority="1559" stopIfTrue="1">
      <formula>AND(H100&gt;=78100,H100&lt;=78199)</formula>
    </cfRule>
    <cfRule type="expression" dxfId="29527" priority="1560" stopIfTrue="1">
      <formula>AND(H100&gt;=91000,H100&lt;=91999)</formula>
    </cfRule>
  </conditionalFormatting>
  <conditionalFormatting sqref="K100:K102">
    <cfRule type="expression" dxfId="29526" priority="1539">
      <formula>AND(L100&gt;=79001,L100&lt;79900)</formula>
    </cfRule>
    <cfRule type="expression" dxfId="29525" priority="1540" stopIfTrue="1">
      <formula>AND(L100&gt;=70101,L100&lt;=70301)</formula>
    </cfRule>
    <cfRule type="expression" dxfId="29524" priority="1541" stopIfTrue="1">
      <formula>AND(L100&gt;70000,L100&lt;70004)</formula>
    </cfRule>
    <cfRule type="expression" dxfId="29523" priority="1542" stopIfTrue="1">
      <formula>AND(L100&gt;=70010,L100&lt;=76000)</formula>
    </cfRule>
    <cfRule type="expression" dxfId="29522" priority="1543">
      <formula>AND(L100&gt;70000,L100&lt;70004)</formula>
    </cfRule>
    <cfRule type="expression" dxfId="29521" priority="1544" stopIfTrue="1">
      <formula>OR(AND(L100&gt;=10000,L100&lt;=56999),AND(L100&gt;=57000,L100&lt;=57999))</formula>
    </cfRule>
    <cfRule type="expression" dxfId="29520" priority="1545" stopIfTrue="1">
      <formula>AND(L100&gt;=8000,L100&lt;=9999)</formula>
    </cfRule>
    <cfRule type="expression" dxfId="29519" priority="1546" stopIfTrue="1">
      <formula>AND(L100&gt;=78100,L100&lt;=78199)</formula>
    </cfRule>
    <cfRule type="expression" dxfId="29518" priority="1547" stopIfTrue="1">
      <formula>AND(L100&gt;=92000,L100&lt;=98999)</formula>
    </cfRule>
    <cfRule type="expression" dxfId="29517" priority="1548" stopIfTrue="1">
      <formula>AND(L100&gt;=78100,L100&lt;=78199)</formula>
    </cfRule>
    <cfRule type="expression" dxfId="29516" priority="1549" stopIfTrue="1">
      <formula>AND(L100&gt;=91000,L100&lt;=91999)</formula>
    </cfRule>
  </conditionalFormatting>
  <conditionalFormatting sqref="O100:O102">
    <cfRule type="expression" dxfId="29515" priority="1528">
      <formula>AND(P100&gt;=79001,P100&lt;79900)</formula>
    </cfRule>
    <cfRule type="expression" dxfId="29514" priority="1529" stopIfTrue="1">
      <formula>AND(P100&gt;=70101,P100&lt;=70301)</formula>
    </cfRule>
    <cfRule type="expression" dxfId="29513" priority="1530" stopIfTrue="1">
      <formula>AND(P100&gt;70000,P100&lt;70004)</formula>
    </cfRule>
    <cfRule type="expression" dxfId="29512" priority="1531" stopIfTrue="1">
      <formula>AND(P100&gt;=70010,P100&lt;=76000)</formula>
    </cfRule>
    <cfRule type="expression" dxfId="29511" priority="1532">
      <formula>AND(P100&gt;70000,P100&lt;70004)</formula>
    </cfRule>
    <cfRule type="expression" dxfId="29510" priority="1533" stopIfTrue="1">
      <formula>OR(AND(P100&gt;=10000,P100&lt;=56999),AND(P100&gt;=57000,P100&lt;=57999))</formula>
    </cfRule>
    <cfRule type="expression" dxfId="29509" priority="1534" stopIfTrue="1">
      <formula>AND(P100&gt;=8000,P100&lt;=9999)</formula>
    </cfRule>
    <cfRule type="expression" dxfId="29508" priority="1535" stopIfTrue="1">
      <formula>AND(P100&gt;=78100,P100&lt;=78199)</formula>
    </cfRule>
    <cfRule type="expression" dxfId="29507" priority="1536" stopIfTrue="1">
      <formula>AND(P100&gt;=92000,P100&lt;=98999)</formula>
    </cfRule>
    <cfRule type="expression" dxfId="29506" priority="1537" stopIfTrue="1">
      <formula>AND(P100&gt;=78100,P100&lt;=78199)</formula>
    </cfRule>
    <cfRule type="expression" dxfId="29505" priority="1538" stopIfTrue="1">
      <formula>AND(P100&gt;=91000,P100&lt;=91999)</formula>
    </cfRule>
  </conditionalFormatting>
  <conditionalFormatting sqref="W100:W102">
    <cfRule type="expression" dxfId="29504" priority="1517">
      <formula>AND(X100&gt;=79001,X100&lt;79900)</formula>
    </cfRule>
    <cfRule type="expression" dxfId="29503" priority="1518" stopIfTrue="1">
      <formula>AND(X100&gt;=70101,X100&lt;=70301)</formula>
    </cfRule>
    <cfRule type="expression" dxfId="29502" priority="1519" stopIfTrue="1">
      <formula>AND(X100&gt;70000,X100&lt;70004)</formula>
    </cfRule>
    <cfRule type="expression" dxfId="29501" priority="1520" stopIfTrue="1">
      <formula>AND(X100&gt;=70010,X100&lt;=76000)</formula>
    </cfRule>
    <cfRule type="expression" dxfId="29500" priority="1521">
      <formula>AND(X100&gt;70000,X100&lt;70004)</formula>
    </cfRule>
    <cfRule type="expression" dxfId="29499" priority="1522" stopIfTrue="1">
      <formula>OR(AND(X100&gt;=10000,X100&lt;=56999),AND(X100&gt;=57000,X100&lt;=57999))</formula>
    </cfRule>
    <cfRule type="expression" dxfId="29498" priority="1523" stopIfTrue="1">
      <formula>AND(X100&gt;=8000,X100&lt;=9999)</formula>
    </cfRule>
    <cfRule type="expression" dxfId="29497" priority="1524" stopIfTrue="1">
      <formula>AND(X100&gt;=78100,X100&lt;=78199)</formula>
    </cfRule>
    <cfRule type="expression" dxfId="29496" priority="1525" stopIfTrue="1">
      <formula>AND(X100&gt;=92000,X100&lt;=98999)</formula>
    </cfRule>
    <cfRule type="expression" dxfId="29495" priority="1526" stopIfTrue="1">
      <formula>AND(X100&gt;=78100,X100&lt;=78199)</formula>
    </cfRule>
    <cfRule type="expression" dxfId="29494" priority="1527" stopIfTrue="1">
      <formula>AND(X100&gt;=91000,X100&lt;=91999)</formula>
    </cfRule>
  </conditionalFormatting>
  <conditionalFormatting sqref="AA100:AA102">
    <cfRule type="expression" dxfId="29493" priority="1506">
      <formula>AND(AB100&gt;=79001,AB100&lt;79900)</formula>
    </cfRule>
    <cfRule type="expression" dxfId="29492" priority="1507" stopIfTrue="1">
      <formula>AND(AB100&gt;=70101,AB100&lt;=70301)</formula>
    </cfRule>
    <cfRule type="expression" dxfId="29491" priority="1508" stopIfTrue="1">
      <formula>AND(AB100&gt;70000,AB100&lt;70004)</formula>
    </cfRule>
    <cfRule type="expression" dxfId="29490" priority="1509" stopIfTrue="1">
      <formula>AND(AB100&gt;=70010,AB100&lt;=76000)</formula>
    </cfRule>
    <cfRule type="expression" dxfId="29489" priority="1510">
      <formula>AND(AB100&gt;70000,AB100&lt;70004)</formula>
    </cfRule>
    <cfRule type="expression" dxfId="29488" priority="1511" stopIfTrue="1">
      <formula>OR(AND(AB100&gt;=10000,AB100&lt;=56999),AND(AB100&gt;=57000,AB100&lt;=57999))</formula>
    </cfRule>
    <cfRule type="expression" dxfId="29487" priority="1512" stopIfTrue="1">
      <formula>AND(AB100&gt;=8000,AB100&lt;=9999)</formula>
    </cfRule>
    <cfRule type="expression" dxfId="29486" priority="1513" stopIfTrue="1">
      <formula>AND(AB100&gt;=78100,AB100&lt;=78199)</formula>
    </cfRule>
    <cfRule type="expression" dxfId="29485" priority="1514" stopIfTrue="1">
      <formula>AND(AB100&gt;=92000,AB100&lt;=98999)</formula>
    </cfRule>
    <cfRule type="expression" dxfId="29484" priority="1515" stopIfTrue="1">
      <formula>AND(AB100&gt;=78100,AB100&lt;=78199)</formula>
    </cfRule>
    <cfRule type="expression" dxfId="29483" priority="1516" stopIfTrue="1">
      <formula>AND(AB100&gt;=91000,AB100&lt;=91999)</formula>
    </cfRule>
  </conditionalFormatting>
  <conditionalFormatting sqref="AE100:AE102">
    <cfRule type="expression" dxfId="29482" priority="1495">
      <formula>AND(AF100&gt;=79001,AF100&lt;79900)</formula>
    </cfRule>
    <cfRule type="expression" dxfId="29481" priority="1496" stopIfTrue="1">
      <formula>AND(AF100&gt;=70101,AF100&lt;=70301)</formula>
    </cfRule>
    <cfRule type="expression" dxfId="29480" priority="1497" stopIfTrue="1">
      <formula>AND(AF100&gt;70000,AF100&lt;70004)</formula>
    </cfRule>
    <cfRule type="expression" dxfId="29479" priority="1498" stopIfTrue="1">
      <formula>AND(AF100&gt;=70010,AF100&lt;=76000)</formula>
    </cfRule>
    <cfRule type="expression" dxfId="29478" priority="1499">
      <formula>AND(AF100&gt;70000,AF100&lt;70004)</formula>
    </cfRule>
    <cfRule type="expression" dxfId="29477" priority="1500" stopIfTrue="1">
      <formula>OR(AND(AF100&gt;=10000,AF100&lt;=56999),AND(AF100&gt;=57000,AF100&lt;=57999))</formula>
    </cfRule>
    <cfRule type="expression" dxfId="29476" priority="1501" stopIfTrue="1">
      <formula>AND(AF100&gt;=8000,AF100&lt;=9999)</formula>
    </cfRule>
    <cfRule type="expression" dxfId="29475" priority="1502" stopIfTrue="1">
      <formula>AND(AF100&gt;=78100,AF100&lt;=78199)</formula>
    </cfRule>
    <cfRule type="expression" dxfId="29474" priority="1503" stopIfTrue="1">
      <formula>AND(AF100&gt;=92000,AF100&lt;=98999)</formula>
    </cfRule>
    <cfRule type="expression" dxfId="29473" priority="1504" stopIfTrue="1">
      <formula>AND(AF100&gt;=78100,AF100&lt;=78199)</formula>
    </cfRule>
    <cfRule type="expression" dxfId="29472" priority="1505" stopIfTrue="1">
      <formula>AND(AF100&gt;=91000,AF100&lt;=91999)</formula>
    </cfRule>
  </conditionalFormatting>
  <conditionalFormatting sqref="AI100:AI102">
    <cfRule type="expression" dxfId="29471" priority="1484">
      <formula>AND(AJ100&gt;=79001,AJ100&lt;79900)</formula>
    </cfRule>
    <cfRule type="expression" dxfId="29470" priority="1485" stopIfTrue="1">
      <formula>AND(AJ100&gt;=70101,AJ100&lt;=70301)</formula>
    </cfRule>
    <cfRule type="expression" dxfId="29469" priority="1486" stopIfTrue="1">
      <formula>AND(AJ100&gt;70000,AJ100&lt;70004)</formula>
    </cfRule>
    <cfRule type="expression" dxfId="29468" priority="1487" stopIfTrue="1">
      <formula>AND(AJ100&gt;=70010,AJ100&lt;=76000)</formula>
    </cfRule>
    <cfRule type="expression" dxfId="29467" priority="1488">
      <formula>AND(AJ100&gt;70000,AJ100&lt;70004)</formula>
    </cfRule>
    <cfRule type="expression" dxfId="29466" priority="1489" stopIfTrue="1">
      <formula>OR(AND(AJ100&gt;=10000,AJ100&lt;=56999),AND(AJ100&gt;=57000,AJ100&lt;=57999))</formula>
    </cfRule>
    <cfRule type="expression" dxfId="29465" priority="1490" stopIfTrue="1">
      <formula>AND(AJ100&gt;=8000,AJ100&lt;=9999)</formula>
    </cfRule>
    <cfRule type="expression" dxfId="29464" priority="1491" stopIfTrue="1">
      <formula>AND(AJ100&gt;=78100,AJ100&lt;=78199)</formula>
    </cfRule>
    <cfRule type="expression" dxfId="29463" priority="1492" stopIfTrue="1">
      <formula>AND(AJ100&gt;=92000,AJ100&lt;=98999)</formula>
    </cfRule>
    <cfRule type="expression" dxfId="29462" priority="1493" stopIfTrue="1">
      <formula>AND(AJ100&gt;=78100,AJ100&lt;=78199)</formula>
    </cfRule>
    <cfRule type="expression" dxfId="29461" priority="1494" stopIfTrue="1">
      <formula>AND(AJ100&gt;=91000,AJ100&lt;=91999)</formula>
    </cfRule>
  </conditionalFormatting>
  <conditionalFormatting sqref="AM100:AM102">
    <cfRule type="expression" dxfId="29460" priority="1473">
      <formula>AND(AN100&gt;=79001,AN100&lt;79900)</formula>
    </cfRule>
    <cfRule type="expression" dxfId="29459" priority="1474" stopIfTrue="1">
      <formula>AND(AN100&gt;=70101,AN100&lt;=70301)</formula>
    </cfRule>
    <cfRule type="expression" dxfId="29458" priority="1475" stopIfTrue="1">
      <formula>AND(AN100&gt;70000,AN100&lt;70004)</formula>
    </cfRule>
    <cfRule type="expression" dxfId="29457" priority="1476" stopIfTrue="1">
      <formula>AND(AN100&gt;=70010,AN100&lt;=76000)</formula>
    </cfRule>
    <cfRule type="expression" dxfId="29456" priority="1477">
      <formula>AND(AN100&gt;70000,AN100&lt;70004)</formula>
    </cfRule>
    <cfRule type="expression" dxfId="29455" priority="1478" stopIfTrue="1">
      <formula>OR(AND(AN100&gt;=10000,AN100&lt;=56999),AND(AN100&gt;=57000,AN100&lt;=57999))</formula>
    </cfRule>
    <cfRule type="expression" dxfId="29454" priority="1479" stopIfTrue="1">
      <formula>AND(AN100&gt;=8000,AN100&lt;=9999)</formula>
    </cfRule>
    <cfRule type="expression" dxfId="29453" priority="1480" stopIfTrue="1">
      <formula>AND(AN100&gt;=78100,AN100&lt;=78199)</formula>
    </cfRule>
    <cfRule type="expression" dxfId="29452" priority="1481" stopIfTrue="1">
      <formula>AND(AN100&gt;=92000,AN100&lt;=98999)</formula>
    </cfRule>
    <cfRule type="expression" dxfId="29451" priority="1482" stopIfTrue="1">
      <formula>AND(AN100&gt;=78100,AN100&lt;=78199)</formula>
    </cfRule>
    <cfRule type="expression" dxfId="29450" priority="1483" stopIfTrue="1">
      <formula>AND(AN100&gt;=91000,AN100&lt;=91999)</formula>
    </cfRule>
  </conditionalFormatting>
  <conditionalFormatting sqref="AQ100:AQ102">
    <cfRule type="expression" dxfId="29449" priority="1462">
      <formula>AND(AR100&gt;=79001,AR100&lt;79900)</formula>
    </cfRule>
    <cfRule type="expression" dxfId="29448" priority="1463" stopIfTrue="1">
      <formula>AND(AR100&gt;=70101,AR100&lt;=70301)</formula>
    </cfRule>
    <cfRule type="expression" dxfId="29447" priority="1464" stopIfTrue="1">
      <formula>AND(AR100&gt;70000,AR100&lt;70004)</formula>
    </cfRule>
    <cfRule type="expression" dxfId="29446" priority="1465" stopIfTrue="1">
      <formula>AND(AR100&gt;=70010,AR100&lt;=76000)</formula>
    </cfRule>
    <cfRule type="expression" dxfId="29445" priority="1466">
      <formula>AND(AR100&gt;70000,AR100&lt;70004)</formula>
    </cfRule>
    <cfRule type="expression" dxfId="29444" priority="1467" stopIfTrue="1">
      <formula>OR(AND(AR100&gt;=10000,AR100&lt;=56999),AND(AR100&gt;=57000,AR100&lt;=57999))</formula>
    </cfRule>
    <cfRule type="expression" dxfId="29443" priority="1468" stopIfTrue="1">
      <formula>AND(AR100&gt;=8000,AR100&lt;=9999)</formula>
    </cfRule>
    <cfRule type="expression" dxfId="29442" priority="1469" stopIfTrue="1">
      <formula>AND(AR100&gt;=78100,AR100&lt;=78199)</formula>
    </cfRule>
    <cfRule type="expression" dxfId="29441" priority="1470" stopIfTrue="1">
      <formula>AND(AR100&gt;=92000,AR100&lt;=98999)</formula>
    </cfRule>
    <cfRule type="expression" dxfId="29440" priority="1471" stopIfTrue="1">
      <formula>AND(AR100&gt;=78100,AR100&lt;=78199)</formula>
    </cfRule>
    <cfRule type="expression" dxfId="29439" priority="1472" stopIfTrue="1">
      <formula>AND(AR100&gt;=91000,AR100&lt;=91999)</formula>
    </cfRule>
  </conditionalFormatting>
  <conditionalFormatting sqref="AU100:AU102">
    <cfRule type="expression" dxfId="29438" priority="1451">
      <formula>AND(AV100&gt;=79001,AV100&lt;79900)</formula>
    </cfRule>
    <cfRule type="expression" dxfId="29437" priority="1452" stopIfTrue="1">
      <formula>AND(AV100&gt;=70101,AV100&lt;=70301)</formula>
    </cfRule>
    <cfRule type="expression" dxfId="29436" priority="1453" stopIfTrue="1">
      <formula>AND(AV100&gt;70000,AV100&lt;70004)</formula>
    </cfRule>
    <cfRule type="expression" dxfId="29435" priority="1454" stopIfTrue="1">
      <formula>AND(AV100&gt;=70010,AV100&lt;=76000)</formula>
    </cfRule>
    <cfRule type="expression" dxfId="29434" priority="1455">
      <formula>AND(AV100&gt;70000,AV100&lt;70004)</formula>
    </cfRule>
    <cfRule type="expression" dxfId="29433" priority="1456" stopIfTrue="1">
      <formula>OR(AND(AV100&gt;=10000,AV100&lt;=56999),AND(AV100&gt;=57000,AV100&lt;=57999))</formula>
    </cfRule>
    <cfRule type="expression" dxfId="29432" priority="1457" stopIfTrue="1">
      <formula>AND(AV100&gt;=8000,AV100&lt;=9999)</formula>
    </cfRule>
    <cfRule type="expression" dxfId="29431" priority="1458" stopIfTrue="1">
      <formula>AND(AV100&gt;=78100,AV100&lt;=78199)</formula>
    </cfRule>
    <cfRule type="expression" dxfId="29430" priority="1459" stopIfTrue="1">
      <formula>AND(AV100&gt;=92000,AV100&lt;=98999)</formula>
    </cfRule>
    <cfRule type="expression" dxfId="29429" priority="1460" stopIfTrue="1">
      <formula>AND(AV100&gt;=78100,AV100&lt;=78199)</formula>
    </cfRule>
    <cfRule type="expression" dxfId="29428" priority="1461" stopIfTrue="1">
      <formula>AND(AV100&gt;=91000,AV100&lt;=91999)</formula>
    </cfRule>
  </conditionalFormatting>
  <conditionalFormatting sqref="AY100:AY102">
    <cfRule type="expression" dxfId="29427" priority="1440">
      <formula>AND(AZ100&gt;=79001,AZ100&lt;79900)</formula>
    </cfRule>
    <cfRule type="expression" dxfId="29426" priority="1441" stopIfTrue="1">
      <formula>AND(AZ100&gt;=70101,AZ100&lt;=70301)</formula>
    </cfRule>
    <cfRule type="expression" dxfId="29425" priority="1442" stopIfTrue="1">
      <formula>AND(AZ100&gt;70000,AZ100&lt;70004)</formula>
    </cfRule>
    <cfRule type="expression" dxfId="29424" priority="1443" stopIfTrue="1">
      <formula>AND(AZ100&gt;=70010,AZ100&lt;=76000)</formula>
    </cfRule>
    <cfRule type="expression" dxfId="29423" priority="1444">
      <formula>AND(AZ100&gt;70000,AZ100&lt;70004)</formula>
    </cfRule>
    <cfRule type="expression" dxfId="29422" priority="1445" stopIfTrue="1">
      <formula>OR(AND(AZ100&gt;=10000,AZ100&lt;=56999),AND(AZ100&gt;=57000,AZ100&lt;=57999))</formula>
    </cfRule>
    <cfRule type="expression" dxfId="29421" priority="1446" stopIfTrue="1">
      <formula>AND(AZ100&gt;=8000,AZ100&lt;=9999)</formula>
    </cfRule>
    <cfRule type="expression" dxfId="29420" priority="1447" stopIfTrue="1">
      <formula>AND(AZ100&gt;=78100,AZ100&lt;=78199)</formula>
    </cfRule>
    <cfRule type="expression" dxfId="29419" priority="1448" stopIfTrue="1">
      <formula>AND(AZ100&gt;=92000,AZ100&lt;=98999)</formula>
    </cfRule>
    <cfRule type="expression" dxfId="29418" priority="1449" stopIfTrue="1">
      <formula>AND(AZ100&gt;=78100,AZ100&lt;=78199)</formula>
    </cfRule>
    <cfRule type="expression" dxfId="29417" priority="1450" stopIfTrue="1">
      <formula>AND(AZ100&gt;=91000,AZ100&lt;=91999)</formula>
    </cfRule>
  </conditionalFormatting>
  <conditionalFormatting sqref="BC100:BC102">
    <cfRule type="expression" dxfId="29416" priority="1429">
      <formula>AND(BD100&gt;=79001,BD100&lt;79900)</formula>
    </cfRule>
    <cfRule type="expression" dxfId="29415" priority="1430" stopIfTrue="1">
      <formula>AND(BD100&gt;=70101,BD100&lt;=70301)</formula>
    </cfRule>
    <cfRule type="expression" dxfId="29414" priority="1431" stopIfTrue="1">
      <formula>AND(BD100&gt;70000,BD100&lt;70004)</formula>
    </cfRule>
    <cfRule type="expression" dxfId="29413" priority="1432" stopIfTrue="1">
      <formula>AND(BD100&gt;=70010,BD100&lt;=76000)</formula>
    </cfRule>
    <cfRule type="expression" dxfId="29412" priority="1433">
      <formula>AND(BD100&gt;70000,BD100&lt;70004)</formula>
    </cfRule>
    <cfRule type="expression" dxfId="29411" priority="1434" stopIfTrue="1">
      <formula>OR(AND(BD100&gt;=10000,BD100&lt;=56999),AND(BD100&gt;=57000,BD100&lt;=57999))</formula>
    </cfRule>
    <cfRule type="expression" dxfId="29410" priority="1435" stopIfTrue="1">
      <formula>AND(BD100&gt;=8000,BD100&lt;=9999)</formula>
    </cfRule>
    <cfRule type="expression" dxfId="29409" priority="1436" stopIfTrue="1">
      <formula>AND(BD100&gt;=78100,BD100&lt;=78199)</formula>
    </cfRule>
    <cfRule type="expression" dxfId="29408" priority="1437" stopIfTrue="1">
      <formula>AND(BD100&gt;=92000,BD100&lt;=98999)</formula>
    </cfRule>
    <cfRule type="expression" dxfId="29407" priority="1438" stopIfTrue="1">
      <formula>AND(BD100&gt;=78100,BD100&lt;=78199)</formula>
    </cfRule>
    <cfRule type="expression" dxfId="29406" priority="1439" stopIfTrue="1">
      <formula>AND(BD100&gt;=91000,BD100&lt;=91999)</formula>
    </cfRule>
  </conditionalFormatting>
  <conditionalFormatting sqref="BG100:BG102">
    <cfRule type="expression" dxfId="29405" priority="1418">
      <formula>AND(BH100&gt;=79001,BH100&lt;79900)</formula>
    </cfRule>
    <cfRule type="expression" dxfId="29404" priority="1419" stopIfTrue="1">
      <formula>AND(BH100&gt;=70101,BH100&lt;=70301)</formula>
    </cfRule>
    <cfRule type="expression" dxfId="29403" priority="1420" stopIfTrue="1">
      <formula>AND(BH100&gt;70000,BH100&lt;70004)</formula>
    </cfRule>
    <cfRule type="expression" dxfId="29402" priority="1421" stopIfTrue="1">
      <formula>AND(BH100&gt;=70010,BH100&lt;=76000)</formula>
    </cfRule>
    <cfRule type="expression" dxfId="29401" priority="1422">
      <formula>AND(BH100&gt;70000,BH100&lt;70004)</formula>
    </cfRule>
    <cfRule type="expression" dxfId="29400" priority="1423" stopIfTrue="1">
      <formula>OR(AND(BH100&gt;=10000,BH100&lt;=56999),AND(BH100&gt;=57000,BH100&lt;=57999))</formula>
    </cfRule>
    <cfRule type="expression" dxfId="29399" priority="1424" stopIfTrue="1">
      <formula>AND(BH100&gt;=8000,BH100&lt;=9999)</formula>
    </cfRule>
    <cfRule type="expression" dxfId="29398" priority="1425" stopIfTrue="1">
      <formula>AND(BH100&gt;=78100,BH100&lt;=78199)</formula>
    </cfRule>
    <cfRule type="expression" dxfId="29397" priority="1426" stopIfTrue="1">
      <formula>AND(BH100&gt;=92000,BH100&lt;=98999)</formula>
    </cfRule>
    <cfRule type="expression" dxfId="29396" priority="1427" stopIfTrue="1">
      <formula>AND(BH100&gt;=78100,BH100&lt;=78199)</formula>
    </cfRule>
    <cfRule type="expression" dxfId="29395" priority="1428" stopIfTrue="1">
      <formula>AND(BH100&gt;=91000,BH100&lt;=91999)</formula>
    </cfRule>
  </conditionalFormatting>
  <conditionalFormatting sqref="BK100:BK102">
    <cfRule type="expression" dxfId="29394" priority="1407">
      <formula>AND(BL100&gt;=79001,BL100&lt;79900)</formula>
    </cfRule>
    <cfRule type="expression" dxfId="29393" priority="1408" stopIfTrue="1">
      <formula>AND(BL100&gt;=70101,BL100&lt;=70301)</formula>
    </cfRule>
    <cfRule type="expression" dxfId="29392" priority="1409" stopIfTrue="1">
      <formula>AND(BL100&gt;70000,BL100&lt;70004)</formula>
    </cfRule>
    <cfRule type="expression" dxfId="29391" priority="1410" stopIfTrue="1">
      <formula>AND(BL100&gt;=70010,BL100&lt;=76000)</formula>
    </cfRule>
    <cfRule type="expression" dxfId="29390" priority="1411">
      <formula>AND(BL100&gt;70000,BL100&lt;70004)</formula>
    </cfRule>
    <cfRule type="expression" dxfId="29389" priority="1412" stopIfTrue="1">
      <formula>OR(AND(BL100&gt;=10000,BL100&lt;=56999),AND(BL100&gt;=57000,BL100&lt;=57999))</formula>
    </cfRule>
    <cfRule type="expression" dxfId="29388" priority="1413" stopIfTrue="1">
      <formula>AND(BL100&gt;=8000,BL100&lt;=9999)</formula>
    </cfRule>
    <cfRule type="expression" dxfId="29387" priority="1414" stopIfTrue="1">
      <formula>AND(BL100&gt;=78100,BL100&lt;=78199)</formula>
    </cfRule>
    <cfRule type="expression" dxfId="29386" priority="1415" stopIfTrue="1">
      <formula>AND(BL100&gt;=92000,BL100&lt;=98999)</formula>
    </cfRule>
    <cfRule type="expression" dxfId="29385" priority="1416" stopIfTrue="1">
      <formula>AND(BL100&gt;=78100,BL100&lt;=78199)</formula>
    </cfRule>
    <cfRule type="expression" dxfId="29384" priority="1417" stopIfTrue="1">
      <formula>AND(BL100&gt;=91000,BL100&lt;=91999)</formula>
    </cfRule>
  </conditionalFormatting>
  <conditionalFormatting sqref="G100:G102">
    <cfRule type="expression" dxfId="29383" priority="1396">
      <formula>AND(H100&gt;=79001,H100&lt;79900)</formula>
    </cfRule>
    <cfRule type="expression" dxfId="29382" priority="1397" stopIfTrue="1">
      <formula>AND(H100&gt;=70101,H100&lt;=70301)</formula>
    </cfRule>
    <cfRule type="expression" dxfId="29381" priority="1398" stopIfTrue="1">
      <formula>AND(H100&gt;70000,H100&lt;70004)</formula>
    </cfRule>
    <cfRule type="expression" dxfId="29380" priority="1399" stopIfTrue="1">
      <formula>AND(H100&gt;=70010,H100&lt;=76000)</formula>
    </cfRule>
    <cfRule type="expression" dxfId="29379" priority="1400">
      <formula>AND(H100&gt;70000,H100&lt;70004)</formula>
    </cfRule>
    <cfRule type="expression" dxfId="29378" priority="1401" stopIfTrue="1">
      <formula>OR(AND(H100&gt;=10000,H100&lt;=56999),AND(H100&gt;=57000,H100&lt;=57999))</formula>
    </cfRule>
    <cfRule type="expression" dxfId="29377" priority="1402" stopIfTrue="1">
      <formula>AND(H100&gt;=8000,H100&lt;=9999)</formula>
    </cfRule>
    <cfRule type="expression" dxfId="29376" priority="1403" stopIfTrue="1">
      <formula>AND(H100&gt;=78100,H100&lt;=78199)</formula>
    </cfRule>
    <cfRule type="expression" dxfId="29375" priority="1404" stopIfTrue="1">
      <formula>AND(H100&gt;=92000,H100&lt;=98999)</formula>
    </cfRule>
    <cfRule type="expression" dxfId="29374" priority="1405" stopIfTrue="1">
      <formula>AND(H100&gt;=78100,H100&lt;=78199)</formula>
    </cfRule>
    <cfRule type="expression" dxfId="29373" priority="1406" stopIfTrue="1">
      <formula>AND(H100&gt;=91000,H100&lt;=91999)</formula>
    </cfRule>
  </conditionalFormatting>
  <conditionalFormatting sqref="K100:K102">
    <cfRule type="expression" dxfId="29372" priority="1385">
      <formula>AND(L100&gt;=79001,L100&lt;79900)</formula>
    </cfRule>
    <cfRule type="expression" dxfId="29371" priority="1386" stopIfTrue="1">
      <formula>AND(L100&gt;=70101,L100&lt;=70301)</formula>
    </cfRule>
    <cfRule type="expression" dxfId="29370" priority="1387" stopIfTrue="1">
      <formula>AND(L100&gt;70000,L100&lt;70004)</formula>
    </cfRule>
    <cfRule type="expression" dxfId="29369" priority="1388" stopIfTrue="1">
      <formula>AND(L100&gt;=70010,L100&lt;=76000)</formula>
    </cfRule>
    <cfRule type="expression" dxfId="29368" priority="1389">
      <formula>AND(L100&gt;70000,L100&lt;70004)</formula>
    </cfRule>
    <cfRule type="expression" dxfId="29367" priority="1390" stopIfTrue="1">
      <formula>OR(AND(L100&gt;=10000,L100&lt;=56999),AND(L100&gt;=57000,L100&lt;=57999))</formula>
    </cfRule>
    <cfRule type="expression" dxfId="29366" priority="1391" stopIfTrue="1">
      <formula>AND(L100&gt;=8000,L100&lt;=9999)</formula>
    </cfRule>
    <cfRule type="expression" dxfId="29365" priority="1392" stopIfTrue="1">
      <formula>AND(L100&gt;=78100,L100&lt;=78199)</formula>
    </cfRule>
    <cfRule type="expression" dxfId="29364" priority="1393" stopIfTrue="1">
      <formula>AND(L100&gt;=92000,L100&lt;=98999)</formula>
    </cfRule>
    <cfRule type="expression" dxfId="29363" priority="1394" stopIfTrue="1">
      <formula>AND(L100&gt;=78100,L100&lt;=78199)</formula>
    </cfRule>
    <cfRule type="expression" dxfId="29362" priority="1395" stopIfTrue="1">
      <formula>AND(L100&gt;=91000,L100&lt;=91999)</formula>
    </cfRule>
  </conditionalFormatting>
  <conditionalFormatting sqref="O100:O102">
    <cfRule type="expression" dxfId="29361" priority="1374">
      <formula>AND(P100&gt;=79001,P100&lt;79900)</formula>
    </cfRule>
    <cfRule type="expression" dxfId="29360" priority="1375" stopIfTrue="1">
      <formula>AND(P100&gt;=70101,P100&lt;=70301)</formula>
    </cfRule>
    <cfRule type="expression" dxfId="29359" priority="1376" stopIfTrue="1">
      <formula>AND(P100&gt;70000,P100&lt;70004)</formula>
    </cfRule>
    <cfRule type="expression" dxfId="29358" priority="1377" stopIfTrue="1">
      <formula>AND(P100&gt;=70010,P100&lt;=76000)</formula>
    </cfRule>
    <cfRule type="expression" dxfId="29357" priority="1378">
      <formula>AND(P100&gt;70000,P100&lt;70004)</formula>
    </cfRule>
    <cfRule type="expression" dxfId="29356" priority="1379" stopIfTrue="1">
      <formula>OR(AND(P100&gt;=10000,P100&lt;=56999),AND(P100&gt;=57000,P100&lt;=57999))</formula>
    </cfRule>
    <cfRule type="expression" dxfId="29355" priority="1380" stopIfTrue="1">
      <formula>AND(P100&gt;=8000,P100&lt;=9999)</formula>
    </cfRule>
    <cfRule type="expression" dxfId="29354" priority="1381" stopIfTrue="1">
      <formula>AND(P100&gt;=78100,P100&lt;=78199)</formula>
    </cfRule>
    <cfRule type="expression" dxfId="29353" priority="1382" stopIfTrue="1">
      <formula>AND(P100&gt;=92000,P100&lt;=98999)</formula>
    </cfRule>
    <cfRule type="expression" dxfId="29352" priority="1383" stopIfTrue="1">
      <formula>AND(P100&gt;=78100,P100&lt;=78199)</formula>
    </cfRule>
    <cfRule type="expression" dxfId="29351" priority="1384" stopIfTrue="1">
      <formula>AND(P100&gt;=91000,P100&lt;=91999)</formula>
    </cfRule>
  </conditionalFormatting>
  <conditionalFormatting sqref="G102">
    <cfRule type="expression" dxfId="29350" priority="1363">
      <formula>AND(H102&gt;=79001,H102&lt;79900)</formula>
    </cfRule>
    <cfRule type="expression" dxfId="29349" priority="1364" stopIfTrue="1">
      <formula>AND(H102&gt;=70101,H102&lt;=70301)</formula>
    </cfRule>
    <cfRule type="expression" dxfId="29348" priority="1365" stopIfTrue="1">
      <formula>AND(H102&gt;70000,H102&lt;70004)</formula>
    </cfRule>
    <cfRule type="expression" dxfId="29347" priority="1366" stopIfTrue="1">
      <formula>AND(H102&gt;=70010,H102&lt;=76000)</formula>
    </cfRule>
    <cfRule type="expression" dxfId="29346" priority="1367">
      <formula>AND(H102&gt;70000,H102&lt;70004)</formula>
    </cfRule>
    <cfRule type="expression" dxfId="29345" priority="1368" stopIfTrue="1">
      <formula>OR(AND(H102&gt;=10000,H102&lt;=56999),AND(H102&gt;=57000,H102&lt;=57999))</formula>
    </cfRule>
    <cfRule type="expression" dxfId="29344" priority="1369" stopIfTrue="1">
      <formula>AND(H102&gt;=8000,H102&lt;=9999)</formula>
    </cfRule>
    <cfRule type="expression" dxfId="29343" priority="1370" stopIfTrue="1">
      <formula>AND(H102&gt;=78100,H102&lt;=78199)</formula>
    </cfRule>
    <cfRule type="expression" dxfId="29342" priority="1371" stopIfTrue="1">
      <formula>AND(H102&gt;=92000,H102&lt;=98999)</formula>
    </cfRule>
    <cfRule type="expression" dxfId="29341" priority="1372" stopIfTrue="1">
      <formula>AND(H102&gt;=78100,H102&lt;=78199)</formula>
    </cfRule>
    <cfRule type="expression" dxfId="29340" priority="1373" stopIfTrue="1">
      <formula>AND(H102&gt;=91000,H102&lt;=91999)</formula>
    </cfRule>
  </conditionalFormatting>
  <conditionalFormatting sqref="K102">
    <cfRule type="expression" dxfId="29339" priority="1352">
      <formula>AND(L102&gt;=79001,L102&lt;79900)</formula>
    </cfRule>
    <cfRule type="expression" dxfId="29338" priority="1353" stopIfTrue="1">
      <formula>AND(L102&gt;=70101,L102&lt;=70301)</formula>
    </cfRule>
    <cfRule type="expression" dxfId="29337" priority="1354" stopIfTrue="1">
      <formula>AND(L102&gt;70000,L102&lt;70004)</formula>
    </cfRule>
    <cfRule type="expression" dxfId="29336" priority="1355" stopIfTrue="1">
      <formula>AND(L102&gt;=70010,L102&lt;=76000)</formula>
    </cfRule>
    <cfRule type="expression" dxfId="29335" priority="1356">
      <formula>AND(L102&gt;70000,L102&lt;70004)</formula>
    </cfRule>
    <cfRule type="expression" dxfId="29334" priority="1357" stopIfTrue="1">
      <formula>OR(AND(L102&gt;=10000,L102&lt;=56999),AND(L102&gt;=57000,L102&lt;=57999))</formula>
    </cfRule>
    <cfRule type="expression" dxfId="29333" priority="1358" stopIfTrue="1">
      <formula>AND(L102&gt;=8000,L102&lt;=9999)</formula>
    </cfRule>
    <cfRule type="expression" dxfId="29332" priority="1359" stopIfTrue="1">
      <formula>AND(L102&gt;=78100,L102&lt;=78199)</formula>
    </cfRule>
    <cfRule type="expression" dxfId="29331" priority="1360" stopIfTrue="1">
      <formula>AND(L102&gt;=92000,L102&lt;=98999)</formula>
    </cfRule>
    <cfRule type="expression" dxfId="29330" priority="1361" stopIfTrue="1">
      <formula>AND(L102&gt;=78100,L102&lt;=78199)</formula>
    </cfRule>
    <cfRule type="expression" dxfId="29329" priority="1362" stopIfTrue="1">
      <formula>AND(L102&gt;=91000,L102&lt;=91999)</formula>
    </cfRule>
  </conditionalFormatting>
  <conditionalFormatting sqref="O102">
    <cfRule type="expression" dxfId="29328" priority="1341">
      <formula>AND(P102&gt;=79001,P102&lt;79900)</formula>
    </cfRule>
    <cfRule type="expression" dxfId="29327" priority="1342" stopIfTrue="1">
      <formula>AND(P102&gt;=70101,P102&lt;=70301)</formula>
    </cfRule>
    <cfRule type="expression" dxfId="29326" priority="1343" stopIfTrue="1">
      <formula>AND(P102&gt;70000,P102&lt;70004)</formula>
    </cfRule>
    <cfRule type="expression" dxfId="29325" priority="1344" stopIfTrue="1">
      <formula>AND(P102&gt;=70010,P102&lt;=76000)</formula>
    </cfRule>
    <cfRule type="expression" dxfId="29324" priority="1345">
      <formula>AND(P102&gt;70000,P102&lt;70004)</formula>
    </cfRule>
    <cfRule type="expression" dxfId="29323" priority="1346" stopIfTrue="1">
      <formula>OR(AND(P102&gt;=10000,P102&lt;=56999),AND(P102&gt;=57000,P102&lt;=57999))</formula>
    </cfRule>
    <cfRule type="expression" dxfId="29322" priority="1347" stopIfTrue="1">
      <formula>AND(P102&gt;=8000,P102&lt;=9999)</formula>
    </cfRule>
    <cfRule type="expression" dxfId="29321" priority="1348" stopIfTrue="1">
      <formula>AND(P102&gt;=78100,P102&lt;=78199)</formula>
    </cfRule>
    <cfRule type="expression" dxfId="29320" priority="1349" stopIfTrue="1">
      <formula>AND(P102&gt;=92000,P102&lt;=98999)</formula>
    </cfRule>
    <cfRule type="expression" dxfId="29319" priority="1350" stopIfTrue="1">
      <formula>AND(P102&gt;=78100,P102&lt;=78199)</formula>
    </cfRule>
    <cfRule type="expression" dxfId="29318" priority="1351" stopIfTrue="1">
      <formula>AND(P102&gt;=91000,P102&lt;=91999)</formula>
    </cfRule>
  </conditionalFormatting>
  <conditionalFormatting sqref="G102">
    <cfRule type="expression" dxfId="29317" priority="1319">
      <formula>AND(H102&gt;=79001,H102&lt;79900)</formula>
    </cfRule>
    <cfRule type="expression" dxfId="29316" priority="1320" stopIfTrue="1">
      <formula>AND(H102&gt;=70101,H102&lt;=70301)</formula>
    </cfRule>
    <cfRule type="expression" dxfId="29315" priority="1321" stopIfTrue="1">
      <formula>AND(H102&gt;70000,H102&lt;70004)</formula>
    </cfRule>
    <cfRule type="expression" dxfId="29314" priority="1322" stopIfTrue="1">
      <formula>AND(H102&gt;=70010,H102&lt;=76000)</formula>
    </cfRule>
    <cfRule type="expression" dxfId="29313" priority="1323">
      <formula>AND(H102&gt;70000,H102&lt;70004)</formula>
    </cfRule>
    <cfRule type="expression" dxfId="29312" priority="1324" stopIfTrue="1">
      <formula>OR(AND(H102&gt;=10000,H102&lt;=56999),AND(H102&gt;=57000,H102&lt;=57999))</formula>
    </cfRule>
    <cfRule type="expression" dxfId="29311" priority="1325" stopIfTrue="1">
      <formula>AND(H102&gt;=8000,H102&lt;=9999)</formula>
    </cfRule>
    <cfRule type="expression" dxfId="29310" priority="1326" stopIfTrue="1">
      <formula>AND(H102&gt;=78100,H102&lt;=78199)</formula>
    </cfRule>
    <cfRule type="expression" dxfId="29309" priority="1327" stopIfTrue="1">
      <formula>AND(H102&gt;=92000,H102&lt;=98999)</formula>
    </cfRule>
    <cfRule type="expression" dxfId="29308" priority="1328" stopIfTrue="1">
      <formula>AND(H102&gt;=78100,H102&lt;=78199)</formula>
    </cfRule>
    <cfRule type="expression" dxfId="29307" priority="1329" stopIfTrue="1">
      <formula>AND(H102&gt;=91000,H102&lt;=91999)</formula>
    </cfRule>
  </conditionalFormatting>
  <conditionalFormatting sqref="AA102">
    <cfRule type="expression" dxfId="29306" priority="1330">
      <formula>AND(AB102&gt;=79001,AB102&lt;79900)</formula>
    </cfRule>
    <cfRule type="expression" dxfId="29305" priority="1331" stopIfTrue="1">
      <formula>AND(AB102&gt;=70101,AB102&lt;=70301)</formula>
    </cfRule>
    <cfRule type="expression" dxfId="29304" priority="1332" stopIfTrue="1">
      <formula>AND(AB102&gt;70000,AB102&lt;70004)</formula>
    </cfRule>
    <cfRule type="expression" dxfId="29303" priority="1333" stopIfTrue="1">
      <formula>AND(AB102&gt;=70010,AB102&lt;=76000)</formula>
    </cfRule>
    <cfRule type="expression" dxfId="29302" priority="1334">
      <formula>AND(AB102&gt;70000,AB102&lt;70004)</formula>
    </cfRule>
    <cfRule type="expression" dxfId="29301" priority="1335" stopIfTrue="1">
      <formula>OR(AND(AB102&gt;=10000,AB102&lt;=56999),AND(AB102&gt;=57000,AB102&lt;=57999))</formula>
    </cfRule>
    <cfRule type="expression" dxfId="29300" priority="1336" stopIfTrue="1">
      <formula>AND(AB102&gt;=8000,AB102&lt;=9999)</formula>
    </cfRule>
    <cfRule type="expression" dxfId="29299" priority="1337" stopIfTrue="1">
      <formula>AND(AB102&gt;=78100,AB102&lt;=78199)</formula>
    </cfRule>
    <cfRule type="expression" dxfId="29298" priority="1338" stopIfTrue="1">
      <formula>AND(AB102&gt;=92000,AB102&lt;=98999)</formula>
    </cfRule>
    <cfRule type="expression" dxfId="29297" priority="1339" stopIfTrue="1">
      <formula>AND(AB102&gt;=78100,AB102&lt;=78199)</formula>
    </cfRule>
    <cfRule type="expression" dxfId="29296" priority="1340" stopIfTrue="1">
      <formula>AND(AB102&gt;=91000,AB102&lt;=91999)</formula>
    </cfRule>
  </conditionalFormatting>
  <conditionalFormatting sqref="K102">
    <cfRule type="expression" dxfId="29295" priority="1308">
      <formula>AND(L102&gt;=79001,L102&lt;79900)</formula>
    </cfRule>
    <cfRule type="expression" dxfId="29294" priority="1309" stopIfTrue="1">
      <formula>AND(L102&gt;=70101,L102&lt;=70301)</formula>
    </cfRule>
    <cfRule type="expression" dxfId="29293" priority="1310" stopIfTrue="1">
      <formula>AND(L102&gt;70000,L102&lt;70004)</formula>
    </cfRule>
    <cfRule type="expression" dxfId="29292" priority="1311" stopIfTrue="1">
      <formula>AND(L102&gt;=70010,L102&lt;=76000)</formula>
    </cfRule>
    <cfRule type="expression" dxfId="29291" priority="1312">
      <formula>AND(L102&gt;70000,L102&lt;70004)</formula>
    </cfRule>
    <cfRule type="expression" dxfId="29290" priority="1313" stopIfTrue="1">
      <formula>OR(AND(L102&gt;=10000,L102&lt;=56999),AND(L102&gt;=57000,L102&lt;=57999))</formula>
    </cfRule>
    <cfRule type="expression" dxfId="29289" priority="1314" stopIfTrue="1">
      <formula>AND(L102&gt;=8000,L102&lt;=9999)</formula>
    </cfRule>
    <cfRule type="expression" dxfId="29288" priority="1315" stopIfTrue="1">
      <formula>AND(L102&gt;=78100,L102&lt;=78199)</formula>
    </cfRule>
    <cfRule type="expression" dxfId="29287" priority="1316" stopIfTrue="1">
      <formula>AND(L102&gt;=92000,L102&lt;=98999)</formula>
    </cfRule>
    <cfRule type="expression" dxfId="29286" priority="1317" stopIfTrue="1">
      <formula>AND(L102&gt;=78100,L102&lt;=78199)</formula>
    </cfRule>
    <cfRule type="expression" dxfId="29285" priority="1318" stopIfTrue="1">
      <formula>AND(L102&gt;=91000,L102&lt;=91999)</formula>
    </cfRule>
  </conditionalFormatting>
  <conditionalFormatting sqref="O102">
    <cfRule type="expression" dxfId="29284" priority="1297">
      <formula>AND(P102&gt;=79001,P102&lt;79900)</formula>
    </cfRule>
    <cfRule type="expression" dxfId="29283" priority="1298" stopIfTrue="1">
      <formula>AND(P102&gt;=70101,P102&lt;=70301)</formula>
    </cfRule>
    <cfRule type="expression" dxfId="29282" priority="1299" stopIfTrue="1">
      <formula>AND(P102&gt;70000,P102&lt;70004)</formula>
    </cfRule>
    <cfRule type="expression" dxfId="29281" priority="1300" stopIfTrue="1">
      <formula>AND(P102&gt;=70010,P102&lt;=76000)</formula>
    </cfRule>
    <cfRule type="expression" dxfId="29280" priority="1301">
      <formula>AND(P102&gt;70000,P102&lt;70004)</formula>
    </cfRule>
    <cfRule type="expression" dxfId="29279" priority="1302" stopIfTrue="1">
      <formula>OR(AND(P102&gt;=10000,P102&lt;=56999),AND(P102&gt;=57000,P102&lt;=57999))</formula>
    </cfRule>
    <cfRule type="expression" dxfId="29278" priority="1303" stopIfTrue="1">
      <formula>AND(P102&gt;=8000,P102&lt;=9999)</formula>
    </cfRule>
    <cfRule type="expression" dxfId="29277" priority="1304" stopIfTrue="1">
      <formula>AND(P102&gt;=78100,P102&lt;=78199)</formula>
    </cfRule>
    <cfRule type="expression" dxfId="29276" priority="1305" stopIfTrue="1">
      <formula>AND(P102&gt;=92000,P102&lt;=98999)</formula>
    </cfRule>
    <cfRule type="expression" dxfId="29275" priority="1306" stopIfTrue="1">
      <formula>AND(P102&gt;=78100,P102&lt;=78199)</formula>
    </cfRule>
    <cfRule type="expression" dxfId="29274" priority="1307" stopIfTrue="1">
      <formula>AND(P102&gt;=91000,P102&lt;=91999)</formula>
    </cfRule>
  </conditionalFormatting>
  <conditionalFormatting sqref="S100:S102">
    <cfRule type="expression" dxfId="29273" priority="1286">
      <formula>AND(T100&gt;=79001,T100&lt;79900)</formula>
    </cfRule>
    <cfRule type="expression" dxfId="29272" priority="1287" stopIfTrue="1">
      <formula>AND(T100&gt;=70101,T100&lt;=70301)</formula>
    </cfRule>
    <cfRule type="expression" dxfId="29271" priority="1288" stopIfTrue="1">
      <formula>AND(T100&gt;70000,T100&lt;70004)</formula>
    </cfRule>
    <cfRule type="expression" dxfId="29270" priority="1289" stopIfTrue="1">
      <formula>AND(T100&gt;=70010,T100&lt;=76000)</formula>
    </cfRule>
    <cfRule type="expression" dxfId="29269" priority="1290">
      <formula>AND(T100&gt;70000,T100&lt;70004)</formula>
    </cfRule>
    <cfRule type="expression" dxfId="29268" priority="1291" stopIfTrue="1">
      <formula>OR(AND(T100&gt;=10000,T100&lt;=56999),AND(T100&gt;=57000,T100&lt;=57999))</formula>
    </cfRule>
    <cfRule type="expression" dxfId="29267" priority="1292" stopIfTrue="1">
      <formula>AND(T100&gt;=8000,T100&lt;=9999)</formula>
    </cfRule>
    <cfRule type="expression" dxfId="29266" priority="1293" stopIfTrue="1">
      <formula>AND(T100&gt;=78100,T100&lt;=78199)</formula>
    </cfRule>
    <cfRule type="expression" dxfId="29265" priority="1294" stopIfTrue="1">
      <formula>AND(T100&gt;=92000,T100&lt;=98999)</formula>
    </cfRule>
    <cfRule type="expression" dxfId="29264" priority="1295" stopIfTrue="1">
      <formula>AND(T100&gt;=78100,T100&lt;=78199)</formula>
    </cfRule>
    <cfRule type="expression" dxfId="29263" priority="1296" stopIfTrue="1">
      <formula>AND(T100&gt;=91000,T100&lt;=91999)</formula>
    </cfRule>
  </conditionalFormatting>
  <conditionalFormatting sqref="S100:S102">
    <cfRule type="expression" dxfId="29262" priority="1275">
      <formula>AND(T100&gt;=79001,T100&lt;79900)</formula>
    </cfRule>
    <cfRule type="expression" dxfId="29261" priority="1276" stopIfTrue="1">
      <formula>AND(T100&gt;=70101,T100&lt;=70301)</formula>
    </cfRule>
    <cfRule type="expression" dxfId="29260" priority="1277" stopIfTrue="1">
      <formula>AND(T100&gt;70000,T100&lt;70004)</formula>
    </cfRule>
    <cfRule type="expression" dxfId="29259" priority="1278" stopIfTrue="1">
      <formula>AND(T100&gt;=70010,T100&lt;=76000)</formula>
    </cfRule>
    <cfRule type="expression" dxfId="29258" priority="1279">
      <formula>AND(T100&gt;70000,T100&lt;70004)</formula>
    </cfRule>
    <cfRule type="expression" dxfId="29257" priority="1280" stopIfTrue="1">
      <formula>OR(AND(T100&gt;=10000,T100&lt;=56999),AND(T100&gt;=57000,T100&lt;=57999))</formula>
    </cfRule>
    <cfRule type="expression" dxfId="29256" priority="1281" stopIfTrue="1">
      <formula>AND(T100&gt;=8000,T100&lt;=9999)</formula>
    </cfRule>
    <cfRule type="expression" dxfId="29255" priority="1282" stopIfTrue="1">
      <formula>AND(T100&gt;=78100,T100&lt;=78199)</formula>
    </cfRule>
    <cfRule type="expression" dxfId="29254" priority="1283" stopIfTrue="1">
      <formula>AND(T100&gt;=92000,T100&lt;=98999)</formula>
    </cfRule>
    <cfRule type="expression" dxfId="29253" priority="1284" stopIfTrue="1">
      <formula>AND(T100&gt;=78100,T100&lt;=78199)</formula>
    </cfRule>
    <cfRule type="expression" dxfId="29252" priority="1285" stopIfTrue="1">
      <formula>AND(T100&gt;=91000,T100&lt;=91999)</formula>
    </cfRule>
  </conditionalFormatting>
  <conditionalFormatting sqref="G109:G111">
    <cfRule type="expression" dxfId="29251" priority="1263">
      <formula>AND(H109&gt;=79001,H109&lt;79900)</formula>
    </cfRule>
    <cfRule type="expression" dxfId="29250" priority="1264" stopIfTrue="1">
      <formula>AND(H109&gt;=70101,H109&lt;=70301)</formula>
    </cfRule>
    <cfRule type="expression" dxfId="29249" priority="1265" stopIfTrue="1">
      <formula>AND(H109&gt;70000,H109&lt;70004)</formula>
    </cfRule>
    <cfRule type="expression" dxfId="29248" priority="1266" stopIfTrue="1">
      <formula>AND(H109&gt;=70010,H109&lt;=76000)</formula>
    </cfRule>
    <cfRule type="expression" dxfId="29247" priority="1267">
      <formula>AND(H109&gt;70000,H109&lt;70004)</formula>
    </cfRule>
    <cfRule type="expression" dxfId="29246" priority="1268" stopIfTrue="1">
      <formula>OR(AND(H109&gt;=10000,H109&lt;=56999),AND(H109&gt;=57000,H109&lt;=57999))</formula>
    </cfRule>
    <cfRule type="expression" dxfId="29245" priority="1269" stopIfTrue="1">
      <formula>AND(H109&gt;=8000,H109&lt;=9999)</formula>
    </cfRule>
    <cfRule type="expression" dxfId="29244" priority="1270" stopIfTrue="1">
      <formula>AND(H109&gt;=78100,H109&lt;=78199)</formula>
    </cfRule>
    <cfRule type="expression" dxfId="29243" priority="1271" stopIfTrue="1">
      <formula>AND(H109&gt;=92000,H109&lt;=98999)</formula>
    </cfRule>
    <cfRule type="expression" dxfId="29242" priority="1272" stopIfTrue="1">
      <formula>AND(H109&gt;=78100,H109&lt;=78199)</formula>
    </cfRule>
    <cfRule type="expression" dxfId="29241" priority="1273" stopIfTrue="1">
      <formula>AND(H109&gt;=91000,H109&lt;=91999)</formula>
    </cfRule>
  </conditionalFormatting>
  <conditionalFormatting sqref="K109:K111">
    <cfRule type="expression" dxfId="29240" priority="1252">
      <formula>AND(L109&gt;=79001,L109&lt;79900)</formula>
    </cfRule>
    <cfRule type="expression" dxfId="29239" priority="1253" stopIfTrue="1">
      <formula>AND(L109&gt;=70101,L109&lt;=70301)</formula>
    </cfRule>
    <cfRule type="expression" dxfId="29238" priority="1254" stopIfTrue="1">
      <formula>AND(L109&gt;70000,L109&lt;70004)</formula>
    </cfRule>
    <cfRule type="expression" dxfId="29237" priority="1255" stopIfTrue="1">
      <formula>AND(L109&gt;=70010,L109&lt;=76000)</formula>
    </cfRule>
    <cfRule type="expression" dxfId="29236" priority="1256">
      <formula>AND(L109&gt;70000,L109&lt;70004)</formula>
    </cfRule>
    <cfRule type="expression" dxfId="29235" priority="1257" stopIfTrue="1">
      <formula>OR(AND(L109&gt;=10000,L109&lt;=56999),AND(L109&gt;=57000,L109&lt;=57999))</formula>
    </cfRule>
    <cfRule type="expression" dxfId="29234" priority="1258" stopIfTrue="1">
      <formula>AND(L109&gt;=8000,L109&lt;=9999)</formula>
    </cfRule>
    <cfRule type="expression" dxfId="29233" priority="1259" stopIfTrue="1">
      <formula>AND(L109&gt;=78100,L109&lt;=78199)</formula>
    </cfRule>
    <cfRule type="expression" dxfId="29232" priority="1260" stopIfTrue="1">
      <formula>AND(L109&gt;=92000,L109&lt;=98999)</formula>
    </cfRule>
    <cfRule type="expression" dxfId="29231" priority="1261" stopIfTrue="1">
      <formula>AND(L109&gt;=78100,L109&lt;=78199)</formula>
    </cfRule>
    <cfRule type="expression" dxfId="29230" priority="1262" stopIfTrue="1">
      <formula>AND(L109&gt;=91000,L109&lt;=91999)</formula>
    </cfRule>
  </conditionalFormatting>
  <conditionalFormatting sqref="O109:O111">
    <cfRule type="expression" dxfId="29229" priority="1241">
      <formula>AND(P109&gt;=79001,P109&lt;79900)</formula>
    </cfRule>
    <cfRule type="expression" dxfId="29228" priority="1242" stopIfTrue="1">
      <formula>AND(P109&gt;=70101,P109&lt;=70301)</formula>
    </cfRule>
    <cfRule type="expression" dxfId="29227" priority="1243" stopIfTrue="1">
      <formula>AND(P109&gt;70000,P109&lt;70004)</formula>
    </cfRule>
    <cfRule type="expression" dxfId="29226" priority="1244" stopIfTrue="1">
      <formula>AND(P109&gt;=70010,P109&lt;=76000)</formula>
    </cfRule>
    <cfRule type="expression" dxfId="29225" priority="1245">
      <formula>AND(P109&gt;70000,P109&lt;70004)</formula>
    </cfRule>
    <cfRule type="expression" dxfId="29224" priority="1246" stopIfTrue="1">
      <formula>OR(AND(P109&gt;=10000,P109&lt;=56999),AND(P109&gt;=57000,P109&lt;=57999))</formula>
    </cfRule>
    <cfRule type="expression" dxfId="29223" priority="1247" stopIfTrue="1">
      <formula>AND(P109&gt;=8000,P109&lt;=9999)</formula>
    </cfRule>
    <cfRule type="expression" dxfId="29222" priority="1248" stopIfTrue="1">
      <formula>AND(P109&gt;=78100,P109&lt;=78199)</formula>
    </cfRule>
    <cfRule type="expression" dxfId="29221" priority="1249" stopIfTrue="1">
      <formula>AND(P109&gt;=92000,P109&lt;=98999)</formula>
    </cfRule>
    <cfRule type="expression" dxfId="29220" priority="1250" stopIfTrue="1">
      <formula>AND(P109&gt;=78100,P109&lt;=78199)</formula>
    </cfRule>
    <cfRule type="expression" dxfId="29219" priority="1251" stopIfTrue="1">
      <formula>AND(P109&gt;=91000,P109&lt;=91999)</formula>
    </cfRule>
  </conditionalFormatting>
  <conditionalFormatting sqref="AA109:AA111">
    <cfRule type="expression" dxfId="29218" priority="1230">
      <formula>AND(AB109&gt;=79001,AB109&lt;79900)</formula>
    </cfRule>
    <cfRule type="expression" dxfId="29217" priority="1231" stopIfTrue="1">
      <formula>AND(AB109&gt;=70101,AB109&lt;=70301)</formula>
    </cfRule>
    <cfRule type="expression" dxfId="29216" priority="1232" stopIfTrue="1">
      <formula>AND(AB109&gt;70000,AB109&lt;70004)</formula>
    </cfRule>
    <cfRule type="expression" dxfId="29215" priority="1233" stopIfTrue="1">
      <formula>AND(AB109&gt;=70010,AB109&lt;=76000)</formula>
    </cfRule>
    <cfRule type="expression" dxfId="29214" priority="1234">
      <formula>AND(AB109&gt;70000,AB109&lt;70004)</formula>
    </cfRule>
    <cfRule type="expression" dxfId="29213" priority="1235" stopIfTrue="1">
      <formula>OR(AND(AB109&gt;=10000,AB109&lt;=56999),AND(AB109&gt;=57000,AB109&lt;=57999))</formula>
    </cfRule>
    <cfRule type="expression" dxfId="29212" priority="1236" stopIfTrue="1">
      <formula>AND(AB109&gt;=8000,AB109&lt;=9999)</formula>
    </cfRule>
    <cfRule type="expression" dxfId="29211" priority="1237" stopIfTrue="1">
      <formula>AND(AB109&gt;=78100,AB109&lt;=78199)</formula>
    </cfRule>
    <cfRule type="expression" dxfId="29210" priority="1238" stopIfTrue="1">
      <formula>AND(AB109&gt;=92000,AB109&lt;=98999)</formula>
    </cfRule>
    <cfRule type="expression" dxfId="29209" priority="1239" stopIfTrue="1">
      <formula>AND(AB109&gt;=78100,AB109&lt;=78199)</formula>
    </cfRule>
    <cfRule type="expression" dxfId="29208" priority="1240" stopIfTrue="1">
      <formula>AND(AB109&gt;=91000,AB109&lt;=91999)</formula>
    </cfRule>
  </conditionalFormatting>
  <conditionalFormatting sqref="AE109:AE111">
    <cfRule type="expression" dxfId="29207" priority="1219">
      <formula>AND(AF109&gt;=79001,AF109&lt;79900)</formula>
    </cfRule>
    <cfRule type="expression" dxfId="29206" priority="1220" stopIfTrue="1">
      <formula>AND(AF109&gt;=70101,AF109&lt;=70301)</formula>
    </cfRule>
    <cfRule type="expression" dxfId="29205" priority="1221" stopIfTrue="1">
      <formula>AND(AF109&gt;70000,AF109&lt;70004)</formula>
    </cfRule>
    <cfRule type="expression" dxfId="29204" priority="1222" stopIfTrue="1">
      <formula>AND(AF109&gt;=70010,AF109&lt;=76000)</formula>
    </cfRule>
    <cfRule type="expression" dxfId="29203" priority="1223">
      <formula>AND(AF109&gt;70000,AF109&lt;70004)</formula>
    </cfRule>
    <cfRule type="expression" dxfId="29202" priority="1224" stopIfTrue="1">
      <formula>OR(AND(AF109&gt;=10000,AF109&lt;=56999),AND(AF109&gt;=57000,AF109&lt;=57999))</formula>
    </cfRule>
    <cfRule type="expression" dxfId="29201" priority="1225" stopIfTrue="1">
      <formula>AND(AF109&gt;=8000,AF109&lt;=9999)</formula>
    </cfRule>
    <cfRule type="expression" dxfId="29200" priority="1226" stopIfTrue="1">
      <formula>AND(AF109&gt;=78100,AF109&lt;=78199)</formula>
    </cfRule>
    <cfRule type="expression" dxfId="29199" priority="1227" stopIfTrue="1">
      <formula>AND(AF109&gt;=92000,AF109&lt;=98999)</formula>
    </cfRule>
    <cfRule type="expression" dxfId="29198" priority="1228" stopIfTrue="1">
      <formula>AND(AF109&gt;=78100,AF109&lt;=78199)</formula>
    </cfRule>
    <cfRule type="expression" dxfId="29197" priority="1229" stopIfTrue="1">
      <formula>AND(AF109&gt;=91000,AF109&lt;=91999)</formula>
    </cfRule>
  </conditionalFormatting>
  <conditionalFormatting sqref="AI109:AI111">
    <cfRule type="expression" dxfId="29196" priority="1208">
      <formula>AND(AJ109&gt;=79001,AJ109&lt;79900)</formula>
    </cfRule>
    <cfRule type="expression" dxfId="29195" priority="1209" stopIfTrue="1">
      <formula>AND(AJ109&gt;=70101,AJ109&lt;=70301)</formula>
    </cfRule>
    <cfRule type="expression" dxfId="29194" priority="1210" stopIfTrue="1">
      <formula>AND(AJ109&gt;70000,AJ109&lt;70004)</formula>
    </cfRule>
    <cfRule type="expression" dxfId="29193" priority="1211" stopIfTrue="1">
      <formula>AND(AJ109&gt;=70010,AJ109&lt;=76000)</formula>
    </cfRule>
    <cfRule type="expression" dxfId="29192" priority="1212">
      <formula>AND(AJ109&gt;70000,AJ109&lt;70004)</formula>
    </cfRule>
    <cfRule type="expression" dxfId="29191" priority="1213" stopIfTrue="1">
      <formula>OR(AND(AJ109&gt;=10000,AJ109&lt;=56999),AND(AJ109&gt;=57000,AJ109&lt;=57999))</formula>
    </cfRule>
    <cfRule type="expression" dxfId="29190" priority="1214" stopIfTrue="1">
      <formula>AND(AJ109&gt;=8000,AJ109&lt;=9999)</formula>
    </cfRule>
    <cfRule type="expression" dxfId="29189" priority="1215" stopIfTrue="1">
      <formula>AND(AJ109&gt;=78100,AJ109&lt;=78199)</formula>
    </cfRule>
    <cfRule type="expression" dxfId="29188" priority="1216" stopIfTrue="1">
      <formula>AND(AJ109&gt;=92000,AJ109&lt;=98999)</formula>
    </cfRule>
    <cfRule type="expression" dxfId="29187" priority="1217" stopIfTrue="1">
      <formula>AND(AJ109&gt;=78100,AJ109&lt;=78199)</formula>
    </cfRule>
    <cfRule type="expression" dxfId="29186" priority="1218" stopIfTrue="1">
      <formula>AND(AJ109&gt;=91000,AJ109&lt;=91999)</formula>
    </cfRule>
  </conditionalFormatting>
  <conditionalFormatting sqref="AM109:AM111">
    <cfRule type="expression" dxfId="29185" priority="1197">
      <formula>AND(AN109&gt;=79001,AN109&lt;79900)</formula>
    </cfRule>
    <cfRule type="expression" dxfId="29184" priority="1198" stopIfTrue="1">
      <formula>AND(AN109&gt;=70101,AN109&lt;=70301)</formula>
    </cfRule>
    <cfRule type="expression" dxfId="29183" priority="1199" stopIfTrue="1">
      <formula>AND(AN109&gt;70000,AN109&lt;70004)</formula>
    </cfRule>
    <cfRule type="expression" dxfId="29182" priority="1200" stopIfTrue="1">
      <formula>AND(AN109&gt;=70010,AN109&lt;=76000)</formula>
    </cfRule>
    <cfRule type="expression" dxfId="29181" priority="1201">
      <formula>AND(AN109&gt;70000,AN109&lt;70004)</formula>
    </cfRule>
    <cfRule type="expression" dxfId="29180" priority="1202" stopIfTrue="1">
      <formula>OR(AND(AN109&gt;=10000,AN109&lt;=56999),AND(AN109&gt;=57000,AN109&lt;=57999))</formula>
    </cfRule>
    <cfRule type="expression" dxfId="29179" priority="1203" stopIfTrue="1">
      <formula>AND(AN109&gt;=8000,AN109&lt;=9999)</formula>
    </cfRule>
    <cfRule type="expression" dxfId="29178" priority="1204" stopIfTrue="1">
      <formula>AND(AN109&gt;=78100,AN109&lt;=78199)</formula>
    </cfRule>
    <cfRule type="expression" dxfId="29177" priority="1205" stopIfTrue="1">
      <formula>AND(AN109&gt;=92000,AN109&lt;=98999)</formula>
    </cfRule>
    <cfRule type="expression" dxfId="29176" priority="1206" stopIfTrue="1">
      <formula>AND(AN109&gt;=78100,AN109&lt;=78199)</formula>
    </cfRule>
    <cfRule type="expression" dxfId="29175" priority="1207" stopIfTrue="1">
      <formula>AND(AN109&gt;=91000,AN109&lt;=91999)</formula>
    </cfRule>
  </conditionalFormatting>
  <conditionalFormatting sqref="AQ109:AQ111">
    <cfRule type="expression" dxfId="29174" priority="1186">
      <formula>AND(AR109&gt;=79001,AR109&lt;79900)</formula>
    </cfRule>
    <cfRule type="expression" dxfId="29173" priority="1187" stopIfTrue="1">
      <formula>AND(AR109&gt;=70101,AR109&lt;=70301)</formula>
    </cfRule>
    <cfRule type="expression" dxfId="29172" priority="1188" stopIfTrue="1">
      <formula>AND(AR109&gt;70000,AR109&lt;70004)</formula>
    </cfRule>
    <cfRule type="expression" dxfId="29171" priority="1189" stopIfTrue="1">
      <formula>AND(AR109&gt;=70010,AR109&lt;=76000)</formula>
    </cfRule>
    <cfRule type="expression" dxfId="29170" priority="1190">
      <formula>AND(AR109&gt;70000,AR109&lt;70004)</formula>
    </cfRule>
    <cfRule type="expression" dxfId="29169" priority="1191" stopIfTrue="1">
      <formula>OR(AND(AR109&gt;=10000,AR109&lt;=56999),AND(AR109&gt;=57000,AR109&lt;=57999))</formula>
    </cfRule>
    <cfRule type="expression" dxfId="29168" priority="1192" stopIfTrue="1">
      <formula>AND(AR109&gt;=8000,AR109&lt;=9999)</formula>
    </cfRule>
    <cfRule type="expression" dxfId="29167" priority="1193" stopIfTrue="1">
      <formula>AND(AR109&gt;=78100,AR109&lt;=78199)</formula>
    </cfRule>
    <cfRule type="expression" dxfId="29166" priority="1194" stopIfTrue="1">
      <formula>AND(AR109&gt;=92000,AR109&lt;=98999)</formula>
    </cfRule>
    <cfRule type="expression" dxfId="29165" priority="1195" stopIfTrue="1">
      <formula>AND(AR109&gt;=78100,AR109&lt;=78199)</formula>
    </cfRule>
    <cfRule type="expression" dxfId="29164" priority="1196" stopIfTrue="1">
      <formula>AND(AR109&gt;=91000,AR109&lt;=91999)</formula>
    </cfRule>
  </conditionalFormatting>
  <conditionalFormatting sqref="AU109:AU111">
    <cfRule type="expression" dxfId="29163" priority="1175">
      <formula>AND(AV109&gt;=79001,AV109&lt;79900)</formula>
    </cfRule>
    <cfRule type="expression" dxfId="29162" priority="1176" stopIfTrue="1">
      <formula>AND(AV109&gt;=70101,AV109&lt;=70301)</formula>
    </cfRule>
    <cfRule type="expression" dxfId="29161" priority="1177" stopIfTrue="1">
      <formula>AND(AV109&gt;70000,AV109&lt;70004)</formula>
    </cfRule>
    <cfRule type="expression" dxfId="29160" priority="1178" stopIfTrue="1">
      <formula>AND(AV109&gt;=70010,AV109&lt;=76000)</formula>
    </cfRule>
    <cfRule type="expression" dxfId="29159" priority="1179">
      <formula>AND(AV109&gt;70000,AV109&lt;70004)</formula>
    </cfRule>
    <cfRule type="expression" dxfId="29158" priority="1180" stopIfTrue="1">
      <formula>OR(AND(AV109&gt;=10000,AV109&lt;=56999),AND(AV109&gt;=57000,AV109&lt;=57999))</formula>
    </cfRule>
    <cfRule type="expression" dxfId="29157" priority="1181" stopIfTrue="1">
      <formula>AND(AV109&gt;=8000,AV109&lt;=9999)</formula>
    </cfRule>
    <cfRule type="expression" dxfId="29156" priority="1182" stopIfTrue="1">
      <formula>AND(AV109&gt;=78100,AV109&lt;=78199)</formula>
    </cfRule>
    <cfRule type="expression" dxfId="29155" priority="1183" stopIfTrue="1">
      <formula>AND(AV109&gt;=92000,AV109&lt;=98999)</formula>
    </cfRule>
    <cfRule type="expression" dxfId="29154" priority="1184" stopIfTrue="1">
      <formula>AND(AV109&gt;=78100,AV109&lt;=78199)</formula>
    </cfRule>
    <cfRule type="expression" dxfId="29153" priority="1185" stopIfTrue="1">
      <formula>AND(AV109&gt;=91000,AV109&lt;=91999)</formula>
    </cfRule>
  </conditionalFormatting>
  <conditionalFormatting sqref="AY109:AY111">
    <cfRule type="expression" dxfId="29152" priority="1164">
      <formula>AND(AZ109&gt;=79001,AZ109&lt;79900)</formula>
    </cfRule>
    <cfRule type="expression" dxfId="29151" priority="1165" stopIfTrue="1">
      <formula>AND(AZ109&gt;=70101,AZ109&lt;=70301)</formula>
    </cfRule>
    <cfRule type="expression" dxfId="29150" priority="1166" stopIfTrue="1">
      <formula>AND(AZ109&gt;70000,AZ109&lt;70004)</formula>
    </cfRule>
    <cfRule type="expression" dxfId="29149" priority="1167" stopIfTrue="1">
      <formula>AND(AZ109&gt;=70010,AZ109&lt;=76000)</formula>
    </cfRule>
    <cfRule type="expression" dxfId="29148" priority="1168">
      <formula>AND(AZ109&gt;70000,AZ109&lt;70004)</formula>
    </cfRule>
    <cfRule type="expression" dxfId="29147" priority="1169" stopIfTrue="1">
      <formula>OR(AND(AZ109&gt;=10000,AZ109&lt;=56999),AND(AZ109&gt;=57000,AZ109&lt;=57999))</formula>
    </cfRule>
    <cfRule type="expression" dxfId="29146" priority="1170" stopIfTrue="1">
      <formula>AND(AZ109&gt;=8000,AZ109&lt;=9999)</formula>
    </cfRule>
    <cfRule type="expression" dxfId="29145" priority="1171" stopIfTrue="1">
      <formula>AND(AZ109&gt;=78100,AZ109&lt;=78199)</formula>
    </cfRule>
    <cfRule type="expression" dxfId="29144" priority="1172" stopIfTrue="1">
      <formula>AND(AZ109&gt;=92000,AZ109&lt;=98999)</formula>
    </cfRule>
    <cfRule type="expression" dxfId="29143" priority="1173" stopIfTrue="1">
      <formula>AND(AZ109&gt;=78100,AZ109&lt;=78199)</formula>
    </cfRule>
    <cfRule type="expression" dxfId="29142" priority="1174" stopIfTrue="1">
      <formula>AND(AZ109&gt;=91000,AZ109&lt;=91999)</formula>
    </cfRule>
  </conditionalFormatting>
  <conditionalFormatting sqref="BC109:BC111">
    <cfRule type="expression" dxfId="29141" priority="1153">
      <formula>AND(BD109&gt;=79001,BD109&lt;79900)</formula>
    </cfRule>
    <cfRule type="expression" dxfId="29140" priority="1154" stopIfTrue="1">
      <formula>AND(BD109&gt;=70101,BD109&lt;=70301)</formula>
    </cfRule>
    <cfRule type="expression" dxfId="29139" priority="1155" stopIfTrue="1">
      <formula>AND(BD109&gt;70000,BD109&lt;70004)</formula>
    </cfRule>
    <cfRule type="expression" dxfId="29138" priority="1156" stopIfTrue="1">
      <formula>AND(BD109&gt;=70010,BD109&lt;=76000)</formula>
    </cfRule>
    <cfRule type="expression" dxfId="29137" priority="1157">
      <formula>AND(BD109&gt;70000,BD109&lt;70004)</formula>
    </cfRule>
    <cfRule type="expression" dxfId="29136" priority="1158" stopIfTrue="1">
      <formula>OR(AND(BD109&gt;=10000,BD109&lt;=56999),AND(BD109&gt;=57000,BD109&lt;=57999))</formula>
    </cfRule>
    <cfRule type="expression" dxfId="29135" priority="1159" stopIfTrue="1">
      <formula>AND(BD109&gt;=8000,BD109&lt;=9999)</formula>
    </cfRule>
    <cfRule type="expression" dxfId="29134" priority="1160" stopIfTrue="1">
      <formula>AND(BD109&gt;=78100,BD109&lt;=78199)</formula>
    </cfRule>
    <cfRule type="expression" dxfId="29133" priority="1161" stopIfTrue="1">
      <formula>AND(BD109&gt;=92000,BD109&lt;=98999)</formula>
    </cfRule>
    <cfRule type="expression" dxfId="29132" priority="1162" stopIfTrue="1">
      <formula>AND(BD109&gt;=78100,BD109&lt;=78199)</formula>
    </cfRule>
    <cfRule type="expression" dxfId="29131" priority="1163" stopIfTrue="1">
      <formula>AND(BD109&gt;=91000,BD109&lt;=91999)</formula>
    </cfRule>
  </conditionalFormatting>
  <conditionalFormatting sqref="BG109:BG111">
    <cfRule type="expression" dxfId="29130" priority="1142">
      <formula>AND(BH109&gt;=79001,BH109&lt;79900)</formula>
    </cfRule>
    <cfRule type="expression" dxfId="29129" priority="1143" stopIfTrue="1">
      <formula>AND(BH109&gt;=70101,BH109&lt;=70301)</formula>
    </cfRule>
    <cfRule type="expression" dxfId="29128" priority="1144" stopIfTrue="1">
      <formula>AND(BH109&gt;70000,BH109&lt;70004)</formula>
    </cfRule>
    <cfRule type="expression" dxfId="29127" priority="1145" stopIfTrue="1">
      <formula>AND(BH109&gt;=70010,BH109&lt;=76000)</formula>
    </cfRule>
    <cfRule type="expression" dxfId="29126" priority="1146">
      <formula>AND(BH109&gt;70000,BH109&lt;70004)</formula>
    </cfRule>
    <cfRule type="expression" dxfId="29125" priority="1147" stopIfTrue="1">
      <formula>OR(AND(BH109&gt;=10000,BH109&lt;=56999),AND(BH109&gt;=57000,BH109&lt;=57999))</formula>
    </cfRule>
    <cfRule type="expression" dxfId="29124" priority="1148" stopIfTrue="1">
      <formula>AND(BH109&gt;=8000,BH109&lt;=9999)</formula>
    </cfRule>
    <cfRule type="expression" dxfId="29123" priority="1149" stopIfTrue="1">
      <formula>AND(BH109&gt;=78100,BH109&lt;=78199)</formula>
    </cfRule>
    <cfRule type="expression" dxfId="29122" priority="1150" stopIfTrue="1">
      <formula>AND(BH109&gt;=92000,BH109&lt;=98999)</formula>
    </cfRule>
    <cfRule type="expression" dxfId="29121" priority="1151" stopIfTrue="1">
      <formula>AND(BH109&gt;=78100,BH109&lt;=78199)</formula>
    </cfRule>
    <cfRule type="expression" dxfId="29120" priority="1152" stopIfTrue="1">
      <formula>AND(BH109&gt;=91000,BH109&lt;=91999)</formula>
    </cfRule>
  </conditionalFormatting>
  <conditionalFormatting sqref="BK109:BK111">
    <cfRule type="expression" dxfId="29119" priority="1131">
      <formula>AND(BL109&gt;=79001,BL109&lt;79900)</formula>
    </cfRule>
    <cfRule type="expression" dxfId="29118" priority="1132" stopIfTrue="1">
      <formula>AND(BL109&gt;=70101,BL109&lt;=70301)</formula>
    </cfRule>
    <cfRule type="expression" dxfId="29117" priority="1133" stopIfTrue="1">
      <formula>AND(BL109&gt;70000,BL109&lt;70004)</formula>
    </cfRule>
    <cfRule type="expression" dxfId="29116" priority="1134" stopIfTrue="1">
      <formula>AND(BL109&gt;=70010,BL109&lt;=76000)</formula>
    </cfRule>
    <cfRule type="expression" dxfId="29115" priority="1135">
      <formula>AND(BL109&gt;70000,BL109&lt;70004)</formula>
    </cfRule>
    <cfRule type="expression" dxfId="29114" priority="1136" stopIfTrue="1">
      <formula>OR(AND(BL109&gt;=10000,BL109&lt;=56999),AND(BL109&gt;=57000,BL109&lt;=57999))</formula>
    </cfRule>
    <cfRule type="expression" dxfId="29113" priority="1137" stopIfTrue="1">
      <formula>AND(BL109&gt;=8000,BL109&lt;=9999)</formula>
    </cfRule>
    <cfRule type="expression" dxfId="29112" priority="1138" stopIfTrue="1">
      <formula>AND(BL109&gt;=78100,BL109&lt;=78199)</formula>
    </cfRule>
    <cfRule type="expression" dxfId="29111" priority="1139" stopIfTrue="1">
      <formula>AND(BL109&gt;=92000,BL109&lt;=98999)</formula>
    </cfRule>
    <cfRule type="expression" dxfId="29110" priority="1140" stopIfTrue="1">
      <formula>AND(BL109&gt;=78100,BL109&lt;=78199)</formula>
    </cfRule>
    <cfRule type="expression" dxfId="29109" priority="1141" stopIfTrue="1">
      <formula>AND(BL109&gt;=91000,BL109&lt;=91999)</formula>
    </cfRule>
  </conditionalFormatting>
  <conditionalFormatting sqref="G109:G111">
    <cfRule type="expression" dxfId="29108" priority="1120">
      <formula>AND(H109&gt;=79001,H109&lt;79900)</formula>
    </cfRule>
    <cfRule type="expression" dxfId="29107" priority="1121" stopIfTrue="1">
      <formula>AND(H109&gt;=70101,H109&lt;=70301)</formula>
    </cfRule>
    <cfRule type="expression" dxfId="29106" priority="1122" stopIfTrue="1">
      <formula>AND(H109&gt;70000,H109&lt;70004)</formula>
    </cfRule>
    <cfRule type="expression" dxfId="29105" priority="1123" stopIfTrue="1">
      <formula>AND(H109&gt;=70010,H109&lt;=76000)</formula>
    </cfRule>
    <cfRule type="expression" dxfId="29104" priority="1124">
      <formula>AND(H109&gt;70000,H109&lt;70004)</formula>
    </cfRule>
    <cfRule type="expression" dxfId="29103" priority="1125" stopIfTrue="1">
      <formula>OR(AND(H109&gt;=10000,H109&lt;=56999),AND(H109&gt;=57000,H109&lt;=57999))</formula>
    </cfRule>
    <cfRule type="expression" dxfId="29102" priority="1126" stopIfTrue="1">
      <formula>AND(H109&gt;=8000,H109&lt;=9999)</formula>
    </cfRule>
    <cfRule type="expression" dxfId="29101" priority="1127" stopIfTrue="1">
      <formula>AND(H109&gt;=78100,H109&lt;=78199)</formula>
    </cfRule>
    <cfRule type="expression" dxfId="29100" priority="1128" stopIfTrue="1">
      <formula>AND(H109&gt;=92000,H109&lt;=98999)</formula>
    </cfRule>
    <cfRule type="expression" dxfId="29099" priority="1129" stopIfTrue="1">
      <formula>AND(H109&gt;=78100,H109&lt;=78199)</formula>
    </cfRule>
    <cfRule type="expression" dxfId="29098" priority="1130" stopIfTrue="1">
      <formula>AND(H109&gt;=91000,H109&lt;=91999)</formula>
    </cfRule>
  </conditionalFormatting>
  <conditionalFormatting sqref="K109:K111">
    <cfRule type="expression" dxfId="29097" priority="1109">
      <formula>AND(L109&gt;=79001,L109&lt;79900)</formula>
    </cfRule>
    <cfRule type="expression" dxfId="29096" priority="1110" stopIfTrue="1">
      <formula>AND(L109&gt;=70101,L109&lt;=70301)</formula>
    </cfRule>
    <cfRule type="expression" dxfId="29095" priority="1111" stopIfTrue="1">
      <formula>AND(L109&gt;70000,L109&lt;70004)</formula>
    </cfRule>
    <cfRule type="expression" dxfId="29094" priority="1112" stopIfTrue="1">
      <formula>AND(L109&gt;=70010,L109&lt;=76000)</formula>
    </cfRule>
    <cfRule type="expression" dxfId="29093" priority="1113">
      <formula>AND(L109&gt;70000,L109&lt;70004)</formula>
    </cfRule>
    <cfRule type="expression" dxfId="29092" priority="1114" stopIfTrue="1">
      <formula>OR(AND(L109&gt;=10000,L109&lt;=56999),AND(L109&gt;=57000,L109&lt;=57999))</formula>
    </cfRule>
    <cfRule type="expression" dxfId="29091" priority="1115" stopIfTrue="1">
      <formula>AND(L109&gt;=8000,L109&lt;=9999)</formula>
    </cfRule>
    <cfRule type="expression" dxfId="29090" priority="1116" stopIfTrue="1">
      <formula>AND(L109&gt;=78100,L109&lt;=78199)</formula>
    </cfRule>
    <cfRule type="expression" dxfId="29089" priority="1117" stopIfTrue="1">
      <formula>AND(L109&gt;=92000,L109&lt;=98999)</formula>
    </cfRule>
    <cfRule type="expression" dxfId="29088" priority="1118" stopIfTrue="1">
      <formula>AND(L109&gt;=78100,L109&lt;=78199)</formula>
    </cfRule>
    <cfRule type="expression" dxfId="29087" priority="1119" stopIfTrue="1">
      <formula>AND(L109&gt;=91000,L109&lt;=91999)</formula>
    </cfRule>
  </conditionalFormatting>
  <conditionalFormatting sqref="O109:O111">
    <cfRule type="expression" dxfId="29086" priority="1098">
      <formula>AND(P109&gt;=79001,P109&lt;79900)</formula>
    </cfRule>
    <cfRule type="expression" dxfId="29085" priority="1099" stopIfTrue="1">
      <formula>AND(P109&gt;=70101,P109&lt;=70301)</formula>
    </cfRule>
    <cfRule type="expression" dxfId="29084" priority="1100" stopIfTrue="1">
      <formula>AND(P109&gt;70000,P109&lt;70004)</formula>
    </cfRule>
    <cfRule type="expression" dxfId="29083" priority="1101" stopIfTrue="1">
      <formula>AND(P109&gt;=70010,P109&lt;=76000)</formula>
    </cfRule>
    <cfRule type="expression" dxfId="29082" priority="1102">
      <formula>AND(P109&gt;70000,P109&lt;70004)</formula>
    </cfRule>
    <cfRule type="expression" dxfId="29081" priority="1103" stopIfTrue="1">
      <formula>OR(AND(P109&gt;=10000,P109&lt;=56999),AND(P109&gt;=57000,P109&lt;=57999))</formula>
    </cfRule>
    <cfRule type="expression" dxfId="29080" priority="1104" stopIfTrue="1">
      <formula>AND(P109&gt;=8000,P109&lt;=9999)</formula>
    </cfRule>
    <cfRule type="expression" dxfId="29079" priority="1105" stopIfTrue="1">
      <formula>AND(P109&gt;=78100,P109&lt;=78199)</formula>
    </cfRule>
    <cfRule type="expression" dxfId="29078" priority="1106" stopIfTrue="1">
      <formula>AND(P109&gt;=92000,P109&lt;=98999)</formula>
    </cfRule>
    <cfRule type="expression" dxfId="29077" priority="1107" stopIfTrue="1">
      <formula>AND(P109&gt;=78100,P109&lt;=78199)</formula>
    </cfRule>
    <cfRule type="expression" dxfId="29076" priority="1108" stopIfTrue="1">
      <formula>AND(P109&gt;=91000,P109&lt;=91999)</formula>
    </cfRule>
  </conditionalFormatting>
  <conditionalFormatting sqref="G111">
    <cfRule type="expression" dxfId="29075" priority="1087">
      <formula>AND(H111&gt;=79001,H111&lt;79900)</formula>
    </cfRule>
    <cfRule type="expression" dxfId="29074" priority="1088" stopIfTrue="1">
      <formula>AND(H111&gt;=70101,H111&lt;=70301)</formula>
    </cfRule>
    <cfRule type="expression" dxfId="29073" priority="1089" stopIfTrue="1">
      <formula>AND(H111&gt;70000,H111&lt;70004)</formula>
    </cfRule>
    <cfRule type="expression" dxfId="29072" priority="1090" stopIfTrue="1">
      <formula>AND(H111&gt;=70010,H111&lt;=76000)</formula>
    </cfRule>
    <cfRule type="expression" dxfId="29071" priority="1091">
      <formula>AND(H111&gt;70000,H111&lt;70004)</formula>
    </cfRule>
    <cfRule type="expression" dxfId="29070" priority="1092" stopIfTrue="1">
      <formula>OR(AND(H111&gt;=10000,H111&lt;=56999),AND(H111&gt;=57000,H111&lt;=57999))</formula>
    </cfRule>
    <cfRule type="expression" dxfId="29069" priority="1093" stopIfTrue="1">
      <formula>AND(H111&gt;=8000,H111&lt;=9999)</formula>
    </cfRule>
    <cfRule type="expression" dxfId="29068" priority="1094" stopIfTrue="1">
      <formula>AND(H111&gt;=78100,H111&lt;=78199)</formula>
    </cfRule>
    <cfRule type="expression" dxfId="29067" priority="1095" stopIfTrue="1">
      <formula>AND(H111&gt;=92000,H111&lt;=98999)</formula>
    </cfRule>
    <cfRule type="expression" dxfId="29066" priority="1096" stopIfTrue="1">
      <formula>AND(H111&gt;=78100,H111&lt;=78199)</formula>
    </cfRule>
    <cfRule type="expression" dxfId="29065" priority="1097" stopIfTrue="1">
      <formula>AND(H111&gt;=91000,H111&lt;=91999)</formula>
    </cfRule>
  </conditionalFormatting>
  <conditionalFormatting sqref="K111">
    <cfRule type="expression" dxfId="29064" priority="1076">
      <formula>AND(L111&gt;=79001,L111&lt;79900)</formula>
    </cfRule>
    <cfRule type="expression" dxfId="29063" priority="1077" stopIfTrue="1">
      <formula>AND(L111&gt;=70101,L111&lt;=70301)</formula>
    </cfRule>
    <cfRule type="expression" dxfId="29062" priority="1078" stopIfTrue="1">
      <formula>AND(L111&gt;70000,L111&lt;70004)</formula>
    </cfRule>
    <cfRule type="expression" dxfId="29061" priority="1079" stopIfTrue="1">
      <formula>AND(L111&gt;=70010,L111&lt;=76000)</formula>
    </cfRule>
    <cfRule type="expression" dxfId="29060" priority="1080">
      <formula>AND(L111&gt;70000,L111&lt;70004)</formula>
    </cfRule>
    <cfRule type="expression" dxfId="29059" priority="1081" stopIfTrue="1">
      <formula>OR(AND(L111&gt;=10000,L111&lt;=56999),AND(L111&gt;=57000,L111&lt;=57999))</formula>
    </cfRule>
    <cfRule type="expression" dxfId="29058" priority="1082" stopIfTrue="1">
      <formula>AND(L111&gt;=8000,L111&lt;=9999)</formula>
    </cfRule>
    <cfRule type="expression" dxfId="29057" priority="1083" stopIfTrue="1">
      <formula>AND(L111&gt;=78100,L111&lt;=78199)</formula>
    </cfRule>
    <cfRule type="expression" dxfId="29056" priority="1084" stopIfTrue="1">
      <formula>AND(L111&gt;=92000,L111&lt;=98999)</formula>
    </cfRule>
    <cfRule type="expression" dxfId="29055" priority="1085" stopIfTrue="1">
      <formula>AND(L111&gt;=78100,L111&lt;=78199)</formula>
    </cfRule>
    <cfRule type="expression" dxfId="29054" priority="1086" stopIfTrue="1">
      <formula>AND(L111&gt;=91000,L111&lt;=91999)</formula>
    </cfRule>
  </conditionalFormatting>
  <conditionalFormatting sqref="O111">
    <cfRule type="expression" dxfId="29053" priority="1065">
      <formula>AND(P111&gt;=79001,P111&lt;79900)</formula>
    </cfRule>
    <cfRule type="expression" dxfId="29052" priority="1066" stopIfTrue="1">
      <formula>AND(P111&gt;=70101,P111&lt;=70301)</formula>
    </cfRule>
    <cfRule type="expression" dxfId="29051" priority="1067" stopIfTrue="1">
      <formula>AND(P111&gt;70000,P111&lt;70004)</formula>
    </cfRule>
    <cfRule type="expression" dxfId="29050" priority="1068" stopIfTrue="1">
      <formula>AND(P111&gt;=70010,P111&lt;=76000)</formula>
    </cfRule>
    <cfRule type="expression" dxfId="29049" priority="1069">
      <formula>AND(P111&gt;70000,P111&lt;70004)</formula>
    </cfRule>
    <cfRule type="expression" dxfId="29048" priority="1070" stopIfTrue="1">
      <formula>OR(AND(P111&gt;=10000,P111&lt;=56999),AND(P111&gt;=57000,P111&lt;=57999))</formula>
    </cfRule>
    <cfRule type="expression" dxfId="29047" priority="1071" stopIfTrue="1">
      <formula>AND(P111&gt;=8000,P111&lt;=9999)</formula>
    </cfRule>
    <cfRule type="expression" dxfId="29046" priority="1072" stopIfTrue="1">
      <formula>AND(P111&gt;=78100,P111&lt;=78199)</formula>
    </cfRule>
    <cfRule type="expression" dxfId="29045" priority="1073" stopIfTrue="1">
      <formula>AND(P111&gt;=92000,P111&lt;=98999)</formula>
    </cfRule>
    <cfRule type="expression" dxfId="29044" priority="1074" stopIfTrue="1">
      <formula>AND(P111&gt;=78100,P111&lt;=78199)</formula>
    </cfRule>
    <cfRule type="expression" dxfId="29043" priority="1075" stopIfTrue="1">
      <formula>AND(P111&gt;=91000,P111&lt;=91999)</formula>
    </cfRule>
  </conditionalFormatting>
  <conditionalFormatting sqref="G111">
    <cfRule type="expression" dxfId="29042" priority="1043">
      <formula>AND(H111&gt;=79001,H111&lt;79900)</formula>
    </cfRule>
    <cfRule type="expression" dxfId="29041" priority="1044" stopIfTrue="1">
      <formula>AND(H111&gt;=70101,H111&lt;=70301)</formula>
    </cfRule>
    <cfRule type="expression" dxfId="29040" priority="1045" stopIfTrue="1">
      <formula>AND(H111&gt;70000,H111&lt;70004)</formula>
    </cfRule>
    <cfRule type="expression" dxfId="29039" priority="1046" stopIfTrue="1">
      <formula>AND(H111&gt;=70010,H111&lt;=76000)</formula>
    </cfRule>
    <cfRule type="expression" dxfId="29038" priority="1047">
      <formula>AND(H111&gt;70000,H111&lt;70004)</formula>
    </cfRule>
    <cfRule type="expression" dxfId="29037" priority="1048" stopIfTrue="1">
      <formula>OR(AND(H111&gt;=10000,H111&lt;=56999),AND(H111&gt;=57000,H111&lt;=57999))</formula>
    </cfRule>
    <cfRule type="expression" dxfId="29036" priority="1049" stopIfTrue="1">
      <formula>AND(H111&gt;=8000,H111&lt;=9999)</formula>
    </cfRule>
    <cfRule type="expression" dxfId="29035" priority="1050" stopIfTrue="1">
      <formula>AND(H111&gt;=78100,H111&lt;=78199)</formula>
    </cfRule>
    <cfRule type="expression" dxfId="29034" priority="1051" stopIfTrue="1">
      <formula>AND(H111&gt;=92000,H111&lt;=98999)</formula>
    </cfRule>
    <cfRule type="expression" dxfId="29033" priority="1052" stopIfTrue="1">
      <formula>AND(H111&gt;=78100,H111&lt;=78199)</formula>
    </cfRule>
    <cfRule type="expression" dxfId="29032" priority="1053" stopIfTrue="1">
      <formula>AND(H111&gt;=91000,H111&lt;=91999)</formula>
    </cfRule>
  </conditionalFormatting>
  <conditionalFormatting sqref="AA111">
    <cfRule type="expression" dxfId="29031" priority="1054">
      <formula>AND(AB111&gt;=79001,AB111&lt;79900)</formula>
    </cfRule>
    <cfRule type="expression" dxfId="29030" priority="1055" stopIfTrue="1">
      <formula>AND(AB111&gt;=70101,AB111&lt;=70301)</formula>
    </cfRule>
    <cfRule type="expression" dxfId="29029" priority="1056" stopIfTrue="1">
      <formula>AND(AB111&gt;70000,AB111&lt;70004)</formula>
    </cfRule>
    <cfRule type="expression" dxfId="29028" priority="1057" stopIfTrue="1">
      <formula>AND(AB111&gt;=70010,AB111&lt;=76000)</formula>
    </cfRule>
    <cfRule type="expression" dxfId="29027" priority="1058">
      <formula>AND(AB111&gt;70000,AB111&lt;70004)</formula>
    </cfRule>
    <cfRule type="expression" dxfId="29026" priority="1059" stopIfTrue="1">
      <formula>OR(AND(AB111&gt;=10000,AB111&lt;=56999),AND(AB111&gt;=57000,AB111&lt;=57999))</formula>
    </cfRule>
    <cfRule type="expression" dxfId="29025" priority="1060" stopIfTrue="1">
      <formula>AND(AB111&gt;=8000,AB111&lt;=9999)</formula>
    </cfRule>
    <cfRule type="expression" dxfId="29024" priority="1061" stopIfTrue="1">
      <formula>AND(AB111&gt;=78100,AB111&lt;=78199)</formula>
    </cfRule>
    <cfRule type="expression" dxfId="29023" priority="1062" stopIfTrue="1">
      <formula>AND(AB111&gt;=92000,AB111&lt;=98999)</formula>
    </cfRule>
    <cfRule type="expression" dxfId="29022" priority="1063" stopIfTrue="1">
      <formula>AND(AB111&gt;=78100,AB111&lt;=78199)</formula>
    </cfRule>
    <cfRule type="expression" dxfId="29021" priority="1064" stopIfTrue="1">
      <formula>AND(AB111&gt;=91000,AB111&lt;=91999)</formula>
    </cfRule>
  </conditionalFormatting>
  <conditionalFormatting sqref="K111">
    <cfRule type="expression" dxfId="29020" priority="1032">
      <formula>AND(L111&gt;=79001,L111&lt;79900)</formula>
    </cfRule>
    <cfRule type="expression" dxfId="29019" priority="1033" stopIfTrue="1">
      <formula>AND(L111&gt;=70101,L111&lt;=70301)</formula>
    </cfRule>
    <cfRule type="expression" dxfId="29018" priority="1034" stopIfTrue="1">
      <formula>AND(L111&gt;70000,L111&lt;70004)</formula>
    </cfRule>
    <cfRule type="expression" dxfId="29017" priority="1035" stopIfTrue="1">
      <formula>AND(L111&gt;=70010,L111&lt;=76000)</formula>
    </cfRule>
    <cfRule type="expression" dxfId="29016" priority="1036">
      <formula>AND(L111&gt;70000,L111&lt;70004)</formula>
    </cfRule>
    <cfRule type="expression" dxfId="29015" priority="1037" stopIfTrue="1">
      <formula>OR(AND(L111&gt;=10000,L111&lt;=56999),AND(L111&gt;=57000,L111&lt;=57999))</formula>
    </cfRule>
    <cfRule type="expression" dxfId="29014" priority="1038" stopIfTrue="1">
      <formula>AND(L111&gt;=8000,L111&lt;=9999)</formula>
    </cfRule>
    <cfRule type="expression" dxfId="29013" priority="1039" stopIfTrue="1">
      <formula>AND(L111&gt;=78100,L111&lt;=78199)</formula>
    </cfRule>
    <cfRule type="expression" dxfId="29012" priority="1040" stopIfTrue="1">
      <formula>AND(L111&gt;=92000,L111&lt;=98999)</formula>
    </cfRule>
    <cfRule type="expression" dxfId="29011" priority="1041" stopIfTrue="1">
      <formula>AND(L111&gt;=78100,L111&lt;=78199)</formula>
    </cfRule>
    <cfRule type="expression" dxfId="29010" priority="1042" stopIfTrue="1">
      <formula>AND(L111&gt;=91000,L111&lt;=91999)</formula>
    </cfRule>
  </conditionalFormatting>
  <conditionalFormatting sqref="O111">
    <cfRule type="expression" dxfId="29009" priority="1021">
      <formula>AND(P111&gt;=79001,P111&lt;79900)</formula>
    </cfRule>
    <cfRule type="expression" dxfId="29008" priority="1022" stopIfTrue="1">
      <formula>AND(P111&gt;=70101,P111&lt;=70301)</formula>
    </cfRule>
    <cfRule type="expression" dxfId="29007" priority="1023" stopIfTrue="1">
      <formula>AND(P111&gt;70000,P111&lt;70004)</formula>
    </cfRule>
    <cfRule type="expression" dxfId="29006" priority="1024" stopIfTrue="1">
      <formula>AND(P111&gt;=70010,P111&lt;=76000)</formula>
    </cfRule>
    <cfRule type="expression" dxfId="29005" priority="1025">
      <formula>AND(P111&gt;70000,P111&lt;70004)</formula>
    </cfRule>
    <cfRule type="expression" dxfId="29004" priority="1026" stopIfTrue="1">
      <formula>OR(AND(P111&gt;=10000,P111&lt;=56999),AND(P111&gt;=57000,P111&lt;=57999))</formula>
    </cfRule>
    <cfRule type="expression" dxfId="29003" priority="1027" stopIfTrue="1">
      <formula>AND(P111&gt;=8000,P111&lt;=9999)</formula>
    </cfRule>
    <cfRule type="expression" dxfId="29002" priority="1028" stopIfTrue="1">
      <formula>AND(P111&gt;=78100,P111&lt;=78199)</formula>
    </cfRule>
    <cfRule type="expression" dxfId="29001" priority="1029" stopIfTrue="1">
      <formula>AND(P111&gt;=92000,P111&lt;=98999)</formula>
    </cfRule>
    <cfRule type="expression" dxfId="29000" priority="1030" stopIfTrue="1">
      <formula>AND(P111&gt;=78100,P111&lt;=78199)</formula>
    </cfRule>
    <cfRule type="expression" dxfId="28999" priority="1031" stopIfTrue="1">
      <formula>AND(P111&gt;=91000,P111&lt;=91999)</formula>
    </cfRule>
  </conditionalFormatting>
  <conditionalFormatting sqref="S109:S111">
    <cfRule type="expression" dxfId="28998" priority="1010">
      <formula>AND(T109&gt;=79001,T109&lt;79900)</formula>
    </cfRule>
    <cfRule type="expression" dxfId="28997" priority="1011" stopIfTrue="1">
      <formula>AND(T109&gt;=70101,T109&lt;=70301)</formula>
    </cfRule>
    <cfRule type="expression" dxfId="28996" priority="1012" stopIfTrue="1">
      <formula>AND(T109&gt;70000,T109&lt;70004)</formula>
    </cfRule>
    <cfRule type="expression" dxfId="28995" priority="1013" stopIfTrue="1">
      <formula>AND(T109&gt;=70010,T109&lt;=76000)</formula>
    </cfRule>
    <cfRule type="expression" dxfId="28994" priority="1014">
      <formula>AND(T109&gt;70000,T109&lt;70004)</formula>
    </cfRule>
    <cfRule type="expression" dxfId="28993" priority="1015" stopIfTrue="1">
      <formula>OR(AND(T109&gt;=10000,T109&lt;=56999),AND(T109&gt;=57000,T109&lt;=57999))</formula>
    </cfRule>
    <cfRule type="expression" dxfId="28992" priority="1016" stopIfTrue="1">
      <formula>AND(T109&gt;=8000,T109&lt;=9999)</formula>
    </cfRule>
    <cfRule type="expression" dxfId="28991" priority="1017" stopIfTrue="1">
      <formula>AND(T109&gt;=78100,T109&lt;=78199)</formula>
    </cfRule>
    <cfRule type="expression" dxfId="28990" priority="1018" stopIfTrue="1">
      <formula>AND(T109&gt;=92000,T109&lt;=98999)</formula>
    </cfRule>
    <cfRule type="expression" dxfId="28989" priority="1019" stopIfTrue="1">
      <formula>AND(T109&gt;=78100,T109&lt;=78199)</formula>
    </cfRule>
    <cfRule type="expression" dxfId="28988" priority="1020" stopIfTrue="1">
      <formula>AND(T109&gt;=91000,T109&lt;=91999)</formula>
    </cfRule>
  </conditionalFormatting>
  <conditionalFormatting sqref="S109:S111">
    <cfRule type="expression" dxfId="28987" priority="999">
      <formula>AND(T109&gt;=79001,T109&lt;79900)</formula>
    </cfRule>
    <cfRule type="expression" dxfId="28986" priority="1000" stopIfTrue="1">
      <formula>AND(T109&gt;=70101,T109&lt;=70301)</formula>
    </cfRule>
    <cfRule type="expression" dxfId="28985" priority="1001" stopIfTrue="1">
      <formula>AND(T109&gt;70000,T109&lt;70004)</formula>
    </cfRule>
    <cfRule type="expression" dxfId="28984" priority="1002" stopIfTrue="1">
      <formula>AND(T109&gt;=70010,T109&lt;=76000)</formula>
    </cfRule>
    <cfRule type="expression" dxfId="28983" priority="1003">
      <formula>AND(T109&gt;70000,T109&lt;70004)</formula>
    </cfRule>
    <cfRule type="expression" dxfId="28982" priority="1004" stopIfTrue="1">
      <formula>OR(AND(T109&gt;=10000,T109&lt;=56999),AND(T109&gt;=57000,T109&lt;=57999))</formula>
    </cfRule>
    <cfRule type="expression" dxfId="28981" priority="1005" stopIfTrue="1">
      <formula>AND(T109&gt;=8000,T109&lt;=9999)</formula>
    </cfRule>
    <cfRule type="expression" dxfId="28980" priority="1006" stopIfTrue="1">
      <formula>AND(T109&gt;=78100,T109&lt;=78199)</formula>
    </cfRule>
    <cfRule type="expression" dxfId="28979" priority="1007" stopIfTrue="1">
      <formula>AND(T109&gt;=92000,T109&lt;=98999)</formula>
    </cfRule>
    <cfRule type="expression" dxfId="28978" priority="1008" stopIfTrue="1">
      <formula>AND(T109&gt;=78100,T109&lt;=78199)</formula>
    </cfRule>
    <cfRule type="expression" dxfId="28977" priority="1009" stopIfTrue="1">
      <formula>AND(T109&gt;=91000,T109&lt;=91999)</formula>
    </cfRule>
  </conditionalFormatting>
  <conditionalFormatting sqref="W109:W111">
    <cfRule type="expression" dxfId="28976" priority="988">
      <formula>AND(X109&gt;=79001,X109&lt;79900)</formula>
    </cfRule>
    <cfRule type="expression" dxfId="28975" priority="989" stopIfTrue="1">
      <formula>AND(X109&gt;=70101,X109&lt;=70301)</formula>
    </cfRule>
    <cfRule type="expression" dxfId="28974" priority="990" stopIfTrue="1">
      <formula>AND(X109&gt;70000,X109&lt;70004)</formula>
    </cfRule>
    <cfRule type="expression" dxfId="28973" priority="991" stopIfTrue="1">
      <formula>AND(X109&gt;=70010,X109&lt;=76000)</formula>
    </cfRule>
    <cfRule type="expression" dxfId="28972" priority="992">
      <formula>AND(X109&gt;70000,X109&lt;70004)</formula>
    </cfRule>
    <cfRule type="expression" dxfId="28971" priority="993" stopIfTrue="1">
      <formula>OR(AND(X109&gt;=10000,X109&lt;=56999),AND(X109&gt;=57000,X109&lt;=57999))</formula>
    </cfRule>
    <cfRule type="expression" dxfId="28970" priority="994" stopIfTrue="1">
      <formula>AND(X109&gt;=8000,X109&lt;=9999)</formula>
    </cfRule>
    <cfRule type="expression" dxfId="28969" priority="995" stopIfTrue="1">
      <formula>AND(X109&gt;=78100,X109&lt;=78199)</formula>
    </cfRule>
    <cfRule type="expression" dxfId="28968" priority="996" stopIfTrue="1">
      <formula>AND(X109&gt;=92000,X109&lt;=98999)</formula>
    </cfRule>
    <cfRule type="expression" dxfId="28967" priority="997" stopIfTrue="1">
      <formula>AND(X109&gt;=78100,X109&lt;=78199)</formula>
    </cfRule>
    <cfRule type="expression" dxfId="28966" priority="998" stopIfTrue="1">
      <formula>AND(X109&gt;=91000,X109&lt;=91999)</formula>
    </cfRule>
  </conditionalFormatting>
  <conditionalFormatting sqref="W109:W111">
    <cfRule type="expression" dxfId="28965" priority="977">
      <formula>AND(X109&gt;=79001,X109&lt;79900)</formula>
    </cfRule>
    <cfRule type="expression" dxfId="28964" priority="978" stopIfTrue="1">
      <formula>AND(X109&gt;=70101,X109&lt;=70301)</formula>
    </cfRule>
    <cfRule type="expression" dxfId="28963" priority="979" stopIfTrue="1">
      <formula>AND(X109&gt;70000,X109&lt;70004)</formula>
    </cfRule>
    <cfRule type="expression" dxfId="28962" priority="980" stopIfTrue="1">
      <formula>AND(X109&gt;=70010,X109&lt;=76000)</formula>
    </cfRule>
    <cfRule type="expression" dxfId="28961" priority="981">
      <formula>AND(X109&gt;70000,X109&lt;70004)</formula>
    </cfRule>
    <cfRule type="expression" dxfId="28960" priority="982" stopIfTrue="1">
      <formula>OR(AND(X109&gt;=10000,X109&lt;=56999),AND(X109&gt;=57000,X109&lt;=57999))</formula>
    </cfRule>
    <cfRule type="expression" dxfId="28959" priority="983" stopIfTrue="1">
      <formula>AND(X109&gt;=8000,X109&lt;=9999)</formula>
    </cfRule>
    <cfRule type="expression" dxfId="28958" priority="984" stopIfTrue="1">
      <formula>AND(X109&gt;=78100,X109&lt;=78199)</formula>
    </cfRule>
    <cfRule type="expression" dxfId="28957" priority="985" stopIfTrue="1">
      <formula>AND(X109&gt;=92000,X109&lt;=98999)</formula>
    </cfRule>
    <cfRule type="expression" dxfId="28956" priority="986" stopIfTrue="1">
      <formula>AND(X109&gt;=78100,X109&lt;=78199)</formula>
    </cfRule>
    <cfRule type="expression" dxfId="28955" priority="987" stopIfTrue="1">
      <formula>AND(X109&gt;=91000,X109&lt;=91999)</formula>
    </cfRule>
  </conditionalFormatting>
  <conditionalFormatting sqref="G118:G120">
    <cfRule type="expression" dxfId="28954" priority="965">
      <formula>AND(H118&gt;=79001,H118&lt;79900)</formula>
    </cfRule>
    <cfRule type="expression" dxfId="28953" priority="966" stopIfTrue="1">
      <formula>AND(H118&gt;=70101,H118&lt;=70301)</formula>
    </cfRule>
    <cfRule type="expression" dxfId="28952" priority="967" stopIfTrue="1">
      <formula>AND(H118&gt;70000,H118&lt;70004)</formula>
    </cfRule>
    <cfRule type="expression" dxfId="28951" priority="968" stopIfTrue="1">
      <formula>AND(H118&gt;=70010,H118&lt;=76000)</formula>
    </cfRule>
    <cfRule type="expression" dxfId="28950" priority="969">
      <formula>AND(H118&gt;70000,H118&lt;70004)</formula>
    </cfRule>
    <cfRule type="expression" dxfId="28949" priority="970" stopIfTrue="1">
      <formula>OR(AND(H118&gt;=10000,H118&lt;=56999),AND(H118&gt;=57000,H118&lt;=57999))</formula>
    </cfRule>
    <cfRule type="expression" dxfId="28948" priority="971" stopIfTrue="1">
      <formula>AND(H118&gt;=8000,H118&lt;=9999)</formula>
    </cfRule>
    <cfRule type="expression" dxfId="28947" priority="972" stopIfTrue="1">
      <formula>AND(H118&gt;=78100,H118&lt;=78199)</formula>
    </cfRule>
    <cfRule type="expression" dxfId="28946" priority="973" stopIfTrue="1">
      <formula>AND(H118&gt;=92000,H118&lt;=98999)</formula>
    </cfRule>
    <cfRule type="expression" dxfId="28945" priority="974" stopIfTrue="1">
      <formula>AND(H118&gt;=78100,H118&lt;=78199)</formula>
    </cfRule>
    <cfRule type="expression" dxfId="28944" priority="975" stopIfTrue="1">
      <formula>AND(H118&gt;=91000,H118&lt;=91999)</formula>
    </cfRule>
  </conditionalFormatting>
  <conditionalFormatting sqref="K118:K120">
    <cfRule type="expression" dxfId="28943" priority="954">
      <formula>AND(L118&gt;=79001,L118&lt;79900)</formula>
    </cfRule>
    <cfRule type="expression" dxfId="28942" priority="955" stopIfTrue="1">
      <formula>AND(L118&gt;=70101,L118&lt;=70301)</formula>
    </cfRule>
    <cfRule type="expression" dxfId="28941" priority="956" stopIfTrue="1">
      <formula>AND(L118&gt;70000,L118&lt;70004)</formula>
    </cfRule>
    <cfRule type="expression" dxfId="28940" priority="957" stopIfTrue="1">
      <formula>AND(L118&gt;=70010,L118&lt;=76000)</formula>
    </cfRule>
    <cfRule type="expression" dxfId="28939" priority="958">
      <formula>AND(L118&gt;70000,L118&lt;70004)</formula>
    </cfRule>
    <cfRule type="expression" dxfId="28938" priority="959" stopIfTrue="1">
      <formula>OR(AND(L118&gt;=10000,L118&lt;=56999),AND(L118&gt;=57000,L118&lt;=57999))</formula>
    </cfRule>
    <cfRule type="expression" dxfId="28937" priority="960" stopIfTrue="1">
      <formula>AND(L118&gt;=8000,L118&lt;=9999)</formula>
    </cfRule>
    <cfRule type="expression" dxfId="28936" priority="961" stopIfTrue="1">
      <formula>AND(L118&gt;=78100,L118&lt;=78199)</formula>
    </cfRule>
    <cfRule type="expression" dxfId="28935" priority="962" stopIfTrue="1">
      <formula>AND(L118&gt;=92000,L118&lt;=98999)</formula>
    </cfRule>
    <cfRule type="expression" dxfId="28934" priority="963" stopIfTrue="1">
      <formula>AND(L118&gt;=78100,L118&lt;=78199)</formula>
    </cfRule>
    <cfRule type="expression" dxfId="28933" priority="964" stopIfTrue="1">
      <formula>AND(L118&gt;=91000,L118&lt;=91999)</formula>
    </cfRule>
  </conditionalFormatting>
  <conditionalFormatting sqref="O118:O120">
    <cfRule type="expression" dxfId="28932" priority="943">
      <formula>AND(P118&gt;=79001,P118&lt;79900)</formula>
    </cfRule>
    <cfRule type="expression" dxfId="28931" priority="944" stopIfTrue="1">
      <formula>AND(P118&gt;=70101,P118&lt;=70301)</formula>
    </cfRule>
    <cfRule type="expression" dxfId="28930" priority="945" stopIfTrue="1">
      <formula>AND(P118&gt;70000,P118&lt;70004)</formula>
    </cfRule>
    <cfRule type="expression" dxfId="28929" priority="946" stopIfTrue="1">
      <formula>AND(P118&gt;=70010,P118&lt;=76000)</formula>
    </cfRule>
    <cfRule type="expression" dxfId="28928" priority="947">
      <formula>AND(P118&gt;70000,P118&lt;70004)</formula>
    </cfRule>
    <cfRule type="expression" dxfId="28927" priority="948" stopIfTrue="1">
      <formula>OR(AND(P118&gt;=10000,P118&lt;=56999),AND(P118&gt;=57000,P118&lt;=57999))</formula>
    </cfRule>
    <cfRule type="expression" dxfId="28926" priority="949" stopIfTrue="1">
      <formula>AND(P118&gt;=8000,P118&lt;=9999)</formula>
    </cfRule>
    <cfRule type="expression" dxfId="28925" priority="950" stopIfTrue="1">
      <formula>AND(P118&gt;=78100,P118&lt;=78199)</formula>
    </cfRule>
    <cfRule type="expression" dxfId="28924" priority="951" stopIfTrue="1">
      <formula>AND(P118&gt;=92000,P118&lt;=98999)</formula>
    </cfRule>
    <cfRule type="expression" dxfId="28923" priority="952" stopIfTrue="1">
      <formula>AND(P118&gt;=78100,P118&lt;=78199)</formula>
    </cfRule>
    <cfRule type="expression" dxfId="28922" priority="953" stopIfTrue="1">
      <formula>AND(P118&gt;=91000,P118&lt;=91999)</formula>
    </cfRule>
  </conditionalFormatting>
  <conditionalFormatting sqref="AA118:AA120">
    <cfRule type="expression" dxfId="28921" priority="932">
      <formula>AND(AB118&gt;=79001,AB118&lt;79900)</formula>
    </cfRule>
    <cfRule type="expression" dxfId="28920" priority="933" stopIfTrue="1">
      <formula>AND(AB118&gt;=70101,AB118&lt;=70301)</formula>
    </cfRule>
    <cfRule type="expression" dxfId="28919" priority="934" stopIfTrue="1">
      <formula>AND(AB118&gt;70000,AB118&lt;70004)</formula>
    </cfRule>
    <cfRule type="expression" dxfId="28918" priority="935" stopIfTrue="1">
      <formula>AND(AB118&gt;=70010,AB118&lt;=76000)</formula>
    </cfRule>
    <cfRule type="expression" dxfId="28917" priority="936">
      <formula>AND(AB118&gt;70000,AB118&lt;70004)</formula>
    </cfRule>
    <cfRule type="expression" dxfId="28916" priority="937" stopIfTrue="1">
      <formula>OR(AND(AB118&gt;=10000,AB118&lt;=56999),AND(AB118&gt;=57000,AB118&lt;=57999))</formula>
    </cfRule>
    <cfRule type="expression" dxfId="28915" priority="938" stopIfTrue="1">
      <formula>AND(AB118&gt;=8000,AB118&lt;=9999)</formula>
    </cfRule>
    <cfRule type="expression" dxfId="28914" priority="939" stopIfTrue="1">
      <formula>AND(AB118&gt;=78100,AB118&lt;=78199)</formula>
    </cfRule>
    <cfRule type="expression" dxfId="28913" priority="940" stopIfTrue="1">
      <formula>AND(AB118&gt;=92000,AB118&lt;=98999)</formula>
    </cfRule>
    <cfRule type="expression" dxfId="28912" priority="941" stopIfTrue="1">
      <formula>AND(AB118&gt;=78100,AB118&lt;=78199)</formula>
    </cfRule>
    <cfRule type="expression" dxfId="28911" priority="942" stopIfTrue="1">
      <formula>AND(AB118&gt;=91000,AB118&lt;=91999)</formula>
    </cfRule>
  </conditionalFormatting>
  <conditionalFormatting sqref="AE118:AE120">
    <cfRule type="expression" dxfId="28910" priority="921">
      <formula>AND(AF118&gt;=79001,AF118&lt;79900)</formula>
    </cfRule>
    <cfRule type="expression" dxfId="28909" priority="922" stopIfTrue="1">
      <formula>AND(AF118&gt;=70101,AF118&lt;=70301)</formula>
    </cfRule>
    <cfRule type="expression" dxfId="28908" priority="923" stopIfTrue="1">
      <formula>AND(AF118&gt;70000,AF118&lt;70004)</formula>
    </cfRule>
    <cfRule type="expression" dxfId="28907" priority="924" stopIfTrue="1">
      <formula>AND(AF118&gt;=70010,AF118&lt;=76000)</formula>
    </cfRule>
    <cfRule type="expression" dxfId="28906" priority="925">
      <formula>AND(AF118&gt;70000,AF118&lt;70004)</formula>
    </cfRule>
    <cfRule type="expression" dxfId="28905" priority="926" stopIfTrue="1">
      <formula>OR(AND(AF118&gt;=10000,AF118&lt;=56999),AND(AF118&gt;=57000,AF118&lt;=57999))</formula>
    </cfRule>
    <cfRule type="expression" dxfId="28904" priority="927" stopIfTrue="1">
      <formula>AND(AF118&gt;=8000,AF118&lt;=9999)</formula>
    </cfRule>
    <cfRule type="expression" dxfId="28903" priority="928" stopIfTrue="1">
      <formula>AND(AF118&gt;=78100,AF118&lt;=78199)</formula>
    </cfRule>
    <cfRule type="expression" dxfId="28902" priority="929" stopIfTrue="1">
      <formula>AND(AF118&gt;=92000,AF118&lt;=98999)</formula>
    </cfRule>
    <cfRule type="expression" dxfId="28901" priority="930" stopIfTrue="1">
      <formula>AND(AF118&gt;=78100,AF118&lt;=78199)</formula>
    </cfRule>
    <cfRule type="expression" dxfId="28900" priority="931" stopIfTrue="1">
      <formula>AND(AF118&gt;=91000,AF118&lt;=91999)</formula>
    </cfRule>
  </conditionalFormatting>
  <conditionalFormatting sqref="AI118:AI120">
    <cfRule type="expression" dxfId="28899" priority="910">
      <formula>AND(AJ118&gt;=79001,AJ118&lt;79900)</formula>
    </cfRule>
    <cfRule type="expression" dxfId="28898" priority="911" stopIfTrue="1">
      <formula>AND(AJ118&gt;=70101,AJ118&lt;=70301)</formula>
    </cfRule>
    <cfRule type="expression" dxfId="28897" priority="912" stopIfTrue="1">
      <formula>AND(AJ118&gt;70000,AJ118&lt;70004)</formula>
    </cfRule>
    <cfRule type="expression" dxfId="28896" priority="913" stopIfTrue="1">
      <formula>AND(AJ118&gt;=70010,AJ118&lt;=76000)</formula>
    </cfRule>
    <cfRule type="expression" dxfId="28895" priority="914">
      <formula>AND(AJ118&gt;70000,AJ118&lt;70004)</formula>
    </cfRule>
    <cfRule type="expression" dxfId="28894" priority="915" stopIfTrue="1">
      <formula>OR(AND(AJ118&gt;=10000,AJ118&lt;=56999),AND(AJ118&gt;=57000,AJ118&lt;=57999))</formula>
    </cfRule>
    <cfRule type="expression" dxfId="28893" priority="916" stopIfTrue="1">
      <formula>AND(AJ118&gt;=8000,AJ118&lt;=9999)</formula>
    </cfRule>
    <cfRule type="expression" dxfId="28892" priority="917" stopIfTrue="1">
      <formula>AND(AJ118&gt;=78100,AJ118&lt;=78199)</formula>
    </cfRule>
    <cfRule type="expression" dxfId="28891" priority="918" stopIfTrue="1">
      <formula>AND(AJ118&gt;=92000,AJ118&lt;=98999)</formula>
    </cfRule>
    <cfRule type="expression" dxfId="28890" priority="919" stopIfTrue="1">
      <formula>AND(AJ118&gt;=78100,AJ118&lt;=78199)</formula>
    </cfRule>
    <cfRule type="expression" dxfId="28889" priority="920" stopIfTrue="1">
      <formula>AND(AJ118&gt;=91000,AJ118&lt;=91999)</formula>
    </cfRule>
  </conditionalFormatting>
  <conditionalFormatting sqref="AM118:AM120">
    <cfRule type="expression" dxfId="28888" priority="899">
      <formula>AND(AN118&gt;=79001,AN118&lt;79900)</formula>
    </cfRule>
    <cfRule type="expression" dxfId="28887" priority="900" stopIfTrue="1">
      <formula>AND(AN118&gt;=70101,AN118&lt;=70301)</formula>
    </cfRule>
    <cfRule type="expression" dxfId="28886" priority="901" stopIfTrue="1">
      <formula>AND(AN118&gt;70000,AN118&lt;70004)</formula>
    </cfRule>
    <cfRule type="expression" dxfId="28885" priority="902" stopIfTrue="1">
      <formula>AND(AN118&gt;=70010,AN118&lt;=76000)</formula>
    </cfRule>
    <cfRule type="expression" dxfId="28884" priority="903">
      <formula>AND(AN118&gt;70000,AN118&lt;70004)</formula>
    </cfRule>
    <cfRule type="expression" dxfId="28883" priority="904" stopIfTrue="1">
      <formula>OR(AND(AN118&gt;=10000,AN118&lt;=56999),AND(AN118&gt;=57000,AN118&lt;=57999))</formula>
    </cfRule>
    <cfRule type="expression" dxfId="28882" priority="905" stopIfTrue="1">
      <formula>AND(AN118&gt;=8000,AN118&lt;=9999)</formula>
    </cfRule>
    <cfRule type="expression" dxfId="28881" priority="906" stopIfTrue="1">
      <formula>AND(AN118&gt;=78100,AN118&lt;=78199)</formula>
    </cfRule>
    <cfRule type="expression" dxfId="28880" priority="907" stopIfTrue="1">
      <formula>AND(AN118&gt;=92000,AN118&lt;=98999)</formula>
    </cfRule>
    <cfRule type="expression" dxfId="28879" priority="908" stopIfTrue="1">
      <formula>AND(AN118&gt;=78100,AN118&lt;=78199)</formula>
    </cfRule>
    <cfRule type="expression" dxfId="28878" priority="909" stopIfTrue="1">
      <formula>AND(AN118&gt;=91000,AN118&lt;=91999)</formula>
    </cfRule>
  </conditionalFormatting>
  <conditionalFormatting sqref="AQ118:AQ120">
    <cfRule type="expression" dxfId="28877" priority="888">
      <formula>AND(AR118&gt;=79001,AR118&lt;79900)</formula>
    </cfRule>
    <cfRule type="expression" dxfId="28876" priority="889" stopIfTrue="1">
      <formula>AND(AR118&gt;=70101,AR118&lt;=70301)</formula>
    </cfRule>
    <cfRule type="expression" dxfId="28875" priority="890" stopIfTrue="1">
      <formula>AND(AR118&gt;70000,AR118&lt;70004)</formula>
    </cfRule>
    <cfRule type="expression" dxfId="28874" priority="891" stopIfTrue="1">
      <formula>AND(AR118&gt;=70010,AR118&lt;=76000)</formula>
    </cfRule>
    <cfRule type="expression" dxfId="28873" priority="892">
      <formula>AND(AR118&gt;70000,AR118&lt;70004)</formula>
    </cfRule>
    <cfRule type="expression" dxfId="28872" priority="893" stopIfTrue="1">
      <formula>OR(AND(AR118&gt;=10000,AR118&lt;=56999),AND(AR118&gt;=57000,AR118&lt;=57999))</formula>
    </cfRule>
    <cfRule type="expression" dxfId="28871" priority="894" stopIfTrue="1">
      <formula>AND(AR118&gt;=8000,AR118&lt;=9999)</formula>
    </cfRule>
    <cfRule type="expression" dxfId="28870" priority="895" stopIfTrue="1">
      <formula>AND(AR118&gt;=78100,AR118&lt;=78199)</formula>
    </cfRule>
    <cfRule type="expression" dxfId="28869" priority="896" stopIfTrue="1">
      <formula>AND(AR118&gt;=92000,AR118&lt;=98999)</formula>
    </cfRule>
    <cfRule type="expression" dxfId="28868" priority="897" stopIfTrue="1">
      <formula>AND(AR118&gt;=78100,AR118&lt;=78199)</formula>
    </cfRule>
    <cfRule type="expression" dxfId="28867" priority="898" stopIfTrue="1">
      <formula>AND(AR118&gt;=91000,AR118&lt;=91999)</formula>
    </cfRule>
  </conditionalFormatting>
  <conditionalFormatting sqref="AU118:AU120">
    <cfRule type="expression" dxfId="28866" priority="877">
      <formula>AND(AV118&gt;=79001,AV118&lt;79900)</formula>
    </cfRule>
    <cfRule type="expression" dxfId="28865" priority="878" stopIfTrue="1">
      <formula>AND(AV118&gt;=70101,AV118&lt;=70301)</formula>
    </cfRule>
    <cfRule type="expression" dxfId="28864" priority="879" stopIfTrue="1">
      <formula>AND(AV118&gt;70000,AV118&lt;70004)</formula>
    </cfRule>
    <cfRule type="expression" dxfId="28863" priority="880" stopIfTrue="1">
      <formula>AND(AV118&gt;=70010,AV118&lt;=76000)</formula>
    </cfRule>
    <cfRule type="expression" dxfId="28862" priority="881">
      <formula>AND(AV118&gt;70000,AV118&lt;70004)</formula>
    </cfRule>
    <cfRule type="expression" dxfId="28861" priority="882" stopIfTrue="1">
      <formula>OR(AND(AV118&gt;=10000,AV118&lt;=56999),AND(AV118&gt;=57000,AV118&lt;=57999))</formula>
    </cfRule>
    <cfRule type="expression" dxfId="28860" priority="883" stopIfTrue="1">
      <formula>AND(AV118&gt;=8000,AV118&lt;=9999)</formula>
    </cfRule>
    <cfRule type="expression" dxfId="28859" priority="884" stopIfTrue="1">
      <formula>AND(AV118&gt;=78100,AV118&lt;=78199)</formula>
    </cfRule>
    <cfRule type="expression" dxfId="28858" priority="885" stopIfTrue="1">
      <formula>AND(AV118&gt;=92000,AV118&lt;=98999)</formula>
    </cfRule>
    <cfRule type="expression" dxfId="28857" priority="886" stopIfTrue="1">
      <formula>AND(AV118&gt;=78100,AV118&lt;=78199)</formula>
    </cfRule>
    <cfRule type="expression" dxfId="28856" priority="887" stopIfTrue="1">
      <formula>AND(AV118&gt;=91000,AV118&lt;=91999)</formula>
    </cfRule>
  </conditionalFormatting>
  <conditionalFormatting sqref="AY118:AY120">
    <cfRule type="expression" dxfId="28855" priority="866">
      <formula>AND(AZ118&gt;=79001,AZ118&lt;79900)</formula>
    </cfRule>
    <cfRule type="expression" dxfId="28854" priority="867" stopIfTrue="1">
      <formula>AND(AZ118&gt;=70101,AZ118&lt;=70301)</formula>
    </cfRule>
    <cfRule type="expression" dxfId="28853" priority="868" stopIfTrue="1">
      <formula>AND(AZ118&gt;70000,AZ118&lt;70004)</formula>
    </cfRule>
    <cfRule type="expression" dxfId="28852" priority="869" stopIfTrue="1">
      <formula>AND(AZ118&gt;=70010,AZ118&lt;=76000)</formula>
    </cfRule>
    <cfRule type="expression" dxfId="28851" priority="870">
      <formula>AND(AZ118&gt;70000,AZ118&lt;70004)</formula>
    </cfRule>
    <cfRule type="expression" dxfId="28850" priority="871" stopIfTrue="1">
      <formula>OR(AND(AZ118&gt;=10000,AZ118&lt;=56999),AND(AZ118&gt;=57000,AZ118&lt;=57999))</formula>
    </cfRule>
    <cfRule type="expression" dxfId="28849" priority="872" stopIfTrue="1">
      <formula>AND(AZ118&gt;=8000,AZ118&lt;=9999)</formula>
    </cfRule>
    <cfRule type="expression" dxfId="28848" priority="873" stopIfTrue="1">
      <formula>AND(AZ118&gt;=78100,AZ118&lt;=78199)</formula>
    </cfRule>
    <cfRule type="expression" dxfId="28847" priority="874" stopIfTrue="1">
      <formula>AND(AZ118&gt;=92000,AZ118&lt;=98999)</formula>
    </cfRule>
    <cfRule type="expression" dxfId="28846" priority="875" stopIfTrue="1">
      <formula>AND(AZ118&gt;=78100,AZ118&lt;=78199)</formula>
    </cfRule>
    <cfRule type="expression" dxfId="28845" priority="876" stopIfTrue="1">
      <formula>AND(AZ118&gt;=91000,AZ118&lt;=91999)</formula>
    </cfRule>
  </conditionalFormatting>
  <conditionalFormatting sqref="BC118:BC120">
    <cfRule type="expression" dxfId="28844" priority="855">
      <formula>AND(BD118&gt;=79001,BD118&lt;79900)</formula>
    </cfRule>
    <cfRule type="expression" dxfId="28843" priority="856" stopIfTrue="1">
      <formula>AND(BD118&gt;=70101,BD118&lt;=70301)</formula>
    </cfRule>
    <cfRule type="expression" dxfId="28842" priority="857" stopIfTrue="1">
      <formula>AND(BD118&gt;70000,BD118&lt;70004)</formula>
    </cfRule>
    <cfRule type="expression" dxfId="28841" priority="858" stopIfTrue="1">
      <formula>AND(BD118&gt;=70010,BD118&lt;=76000)</formula>
    </cfRule>
    <cfRule type="expression" dxfId="28840" priority="859">
      <formula>AND(BD118&gt;70000,BD118&lt;70004)</formula>
    </cfRule>
    <cfRule type="expression" dxfId="28839" priority="860" stopIfTrue="1">
      <formula>OR(AND(BD118&gt;=10000,BD118&lt;=56999),AND(BD118&gt;=57000,BD118&lt;=57999))</formula>
    </cfRule>
    <cfRule type="expression" dxfId="28838" priority="861" stopIfTrue="1">
      <formula>AND(BD118&gt;=8000,BD118&lt;=9999)</formula>
    </cfRule>
    <cfRule type="expression" dxfId="28837" priority="862" stopIfTrue="1">
      <formula>AND(BD118&gt;=78100,BD118&lt;=78199)</formula>
    </cfRule>
    <cfRule type="expression" dxfId="28836" priority="863" stopIfTrue="1">
      <formula>AND(BD118&gt;=92000,BD118&lt;=98999)</formula>
    </cfRule>
    <cfRule type="expression" dxfId="28835" priority="864" stopIfTrue="1">
      <formula>AND(BD118&gt;=78100,BD118&lt;=78199)</formula>
    </cfRule>
    <cfRule type="expression" dxfId="28834" priority="865" stopIfTrue="1">
      <formula>AND(BD118&gt;=91000,BD118&lt;=91999)</formula>
    </cfRule>
  </conditionalFormatting>
  <conditionalFormatting sqref="BG118:BG120">
    <cfRule type="expression" dxfId="28833" priority="844">
      <formula>AND(BH118&gt;=79001,BH118&lt;79900)</formula>
    </cfRule>
    <cfRule type="expression" dxfId="28832" priority="845" stopIfTrue="1">
      <formula>AND(BH118&gt;=70101,BH118&lt;=70301)</formula>
    </cfRule>
    <cfRule type="expression" dxfId="28831" priority="846" stopIfTrue="1">
      <formula>AND(BH118&gt;70000,BH118&lt;70004)</formula>
    </cfRule>
    <cfRule type="expression" dxfId="28830" priority="847" stopIfTrue="1">
      <formula>AND(BH118&gt;=70010,BH118&lt;=76000)</formula>
    </cfRule>
    <cfRule type="expression" dxfId="28829" priority="848">
      <formula>AND(BH118&gt;70000,BH118&lt;70004)</formula>
    </cfRule>
    <cfRule type="expression" dxfId="28828" priority="849" stopIfTrue="1">
      <formula>OR(AND(BH118&gt;=10000,BH118&lt;=56999),AND(BH118&gt;=57000,BH118&lt;=57999))</formula>
    </cfRule>
    <cfRule type="expression" dxfId="28827" priority="850" stopIfTrue="1">
      <formula>AND(BH118&gt;=8000,BH118&lt;=9999)</formula>
    </cfRule>
    <cfRule type="expression" dxfId="28826" priority="851" stopIfTrue="1">
      <formula>AND(BH118&gt;=78100,BH118&lt;=78199)</formula>
    </cfRule>
    <cfRule type="expression" dxfId="28825" priority="852" stopIfTrue="1">
      <formula>AND(BH118&gt;=92000,BH118&lt;=98999)</formula>
    </cfRule>
    <cfRule type="expression" dxfId="28824" priority="853" stopIfTrue="1">
      <formula>AND(BH118&gt;=78100,BH118&lt;=78199)</formula>
    </cfRule>
    <cfRule type="expression" dxfId="28823" priority="854" stopIfTrue="1">
      <formula>AND(BH118&gt;=91000,BH118&lt;=91999)</formula>
    </cfRule>
  </conditionalFormatting>
  <conditionalFormatting sqref="BK118:BK120">
    <cfRule type="expression" dxfId="28822" priority="833">
      <formula>AND(BL118&gt;=79001,BL118&lt;79900)</formula>
    </cfRule>
    <cfRule type="expression" dxfId="28821" priority="834" stopIfTrue="1">
      <formula>AND(BL118&gt;=70101,BL118&lt;=70301)</formula>
    </cfRule>
    <cfRule type="expression" dxfId="28820" priority="835" stopIfTrue="1">
      <formula>AND(BL118&gt;70000,BL118&lt;70004)</formula>
    </cfRule>
    <cfRule type="expression" dxfId="28819" priority="836" stopIfTrue="1">
      <formula>AND(BL118&gt;=70010,BL118&lt;=76000)</formula>
    </cfRule>
    <cfRule type="expression" dxfId="28818" priority="837">
      <formula>AND(BL118&gt;70000,BL118&lt;70004)</formula>
    </cfRule>
    <cfRule type="expression" dxfId="28817" priority="838" stopIfTrue="1">
      <formula>OR(AND(BL118&gt;=10000,BL118&lt;=56999),AND(BL118&gt;=57000,BL118&lt;=57999))</formula>
    </cfRule>
    <cfRule type="expression" dxfId="28816" priority="839" stopIfTrue="1">
      <formula>AND(BL118&gt;=8000,BL118&lt;=9999)</formula>
    </cfRule>
    <cfRule type="expression" dxfId="28815" priority="840" stopIfTrue="1">
      <formula>AND(BL118&gt;=78100,BL118&lt;=78199)</formula>
    </cfRule>
    <cfRule type="expression" dxfId="28814" priority="841" stopIfTrue="1">
      <formula>AND(BL118&gt;=92000,BL118&lt;=98999)</formula>
    </cfRule>
    <cfRule type="expression" dxfId="28813" priority="842" stopIfTrue="1">
      <formula>AND(BL118&gt;=78100,BL118&lt;=78199)</formula>
    </cfRule>
    <cfRule type="expression" dxfId="28812" priority="843" stopIfTrue="1">
      <formula>AND(BL118&gt;=91000,BL118&lt;=91999)</formula>
    </cfRule>
  </conditionalFormatting>
  <conditionalFormatting sqref="G118:G120">
    <cfRule type="expression" dxfId="28811" priority="822">
      <formula>AND(H118&gt;=79001,H118&lt;79900)</formula>
    </cfRule>
    <cfRule type="expression" dxfId="28810" priority="823" stopIfTrue="1">
      <formula>AND(H118&gt;=70101,H118&lt;=70301)</formula>
    </cfRule>
    <cfRule type="expression" dxfId="28809" priority="824" stopIfTrue="1">
      <formula>AND(H118&gt;70000,H118&lt;70004)</formula>
    </cfRule>
    <cfRule type="expression" dxfId="28808" priority="825" stopIfTrue="1">
      <formula>AND(H118&gt;=70010,H118&lt;=76000)</formula>
    </cfRule>
    <cfRule type="expression" dxfId="28807" priority="826">
      <formula>AND(H118&gt;70000,H118&lt;70004)</formula>
    </cfRule>
    <cfRule type="expression" dxfId="28806" priority="827" stopIfTrue="1">
      <formula>OR(AND(H118&gt;=10000,H118&lt;=56999),AND(H118&gt;=57000,H118&lt;=57999))</formula>
    </cfRule>
    <cfRule type="expression" dxfId="28805" priority="828" stopIfTrue="1">
      <formula>AND(H118&gt;=8000,H118&lt;=9999)</formula>
    </cfRule>
    <cfRule type="expression" dxfId="28804" priority="829" stopIfTrue="1">
      <formula>AND(H118&gt;=78100,H118&lt;=78199)</formula>
    </cfRule>
    <cfRule type="expression" dxfId="28803" priority="830" stopIfTrue="1">
      <formula>AND(H118&gt;=92000,H118&lt;=98999)</formula>
    </cfRule>
    <cfRule type="expression" dxfId="28802" priority="831" stopIfTrue="1">
      <formula>AND(H118&gt;=78100,H118&lt;=78199)</formula>
    </cfRule>
    <cfRule type="expression" dxfId="28801" priority="832" stopIfTrue="1">
      <formula>AND(H118&gt;=91000,H118&lt;=91999)</formula>
    </cfRule>
  </conditionalFormatting>
  <conditionalFormatting sqref="K118:K120">
    <cfRule type="expression" dxfId="28800" priority="811">
      <formula>AND(L118&gt;=79001,L118&lt;79900)</formula>
    </cfRule>
    <cfRule type="expression" dxfId="28799" priority="812" stopIfTrue="1">
      <formula>AND(L118&gt;=70101,L118&lt;=70301)</formula>
    </cfRule>
    <cfRule type="expression" dxfId="28798" priority="813" stopIfTrue="1">
      <formula>AND(L118&gt;70000,L118&lt;70004)</formula>
    </cfRule>
    <cfRule type="expression" dxfId="28797" priority="814" stopIfTrue="1">
      <formula>AND(L118&gt;=70010,L118&lt;=76000)</formula>
    </cfRule>
    <cfRule type="expression" dxfId="28796" priority="815">
      <formula>AND(L118&gt;70000,L118&lt;70004)</formula>
    </cfRule>
    <cfRule type="expression" dxfId="28795" priority="816" stopIfTrue="1">
      <formula>OR(AND(L118&gt;=10000,L118&lt;=56999),AND(L118&gt;=57000,L118&lt;=57999))</formula>
    </cfRule>
    <cfRule type="expression" dxfId="28794" priority="817" stopIfTrue="1">
      <formula>AND(L118&gt;=8000,L118&lt;=9999)</formula>
    </cfRule>
    <cfRule type="expression" dxfId="28793" priority="818" stopIfTrue="1">
      <formula>AND(L118&gt;=78100,L118&lt;=78199)</formula>
    </cfRule>
    <cfRule type="expression" dxfId="28792" priority="819" stopIfTrue="1">
      <formula>AND(L118&gt;=92000,L118&lt;=98999)</formula>
    </cfRule>
    <cfRule type="expression" dxfId="28791" priority="820" stopIfTrue="1">
      <formula>AND(L118&gt;=78100,L118&lt;=78199)</formula>
    </cfRule>
    <cfRule type="expression" dxfId="28790" priority="821" stopIfTrue="1">
      <formula>AND(L118&gt;=91000,L118&lt;=91999)</formula>
    </cfRule>
  </conditionalFormatting>
  <conditionalFormatting sqref="O118:O120">
    <cfRule type="expression" dxfId="28789" priority="800">
      <formula>AND(P118&gt;=79001,P118&lt;79900)</formula>
    </cfRule>
    <cfRule type="expression" dxfId="28788" priority="801" stopIfTrue="1">
      <formula>AND(P118&gt;=70101,P118&lt;=70301)</formula>
    </cfRule>
    <cfRule type="expression" dxfId="28787" priority="802" stopIfTrue="1">
      <formula>AND(P118&gt;70000,P118&lt;70004)</formula>
    </cfRule>
    <cfRule type="expression" dxfId="28786" priority="803" stopIfTrue="1">
      <formula>AND(P118&gt;=70010,P118&lt;=76000)</formula>
    </cfRule>
    <cfRule type="expression" dxfId="28785" priority="804">
      <formula>AND(P118&gt;70000,P118&lt;70004)</formula>
    </cfRule>
    <cfRule type="expression" dxfId="28784" priority="805" stopIfTrue="1">
      <formula>OR(AND(P118&gt;=10000,P118&lt;=56999),AND(P118&gt;=57000,P118&lt;=57999))</formula>
    </cfRule>
    <cfRule type="expression" dxfId="28783" priority="806" stopIfTrue="1">
      <formula>AND(P118&gt;=8000,P118&lt;=9999)</formula>
    </cfRule>
    <cfRule type="expression" dxfId="28782" priority="807" stopIfTrue="1">
      <formula>AND(P118&gt;=78100,P118&lt;=78199)</formula>
    </cfRule>
    <cfRule type="expression" dxfId="28781" priority="808" stopIfTrue="1">
      <formula>AND(P118&gt;=92000,P118&lt;=98999)</formula>
    </cfRule>
    <cfRule type="expression" dxfId="28780" priority="809" stopIfTrue="1">
      <formula>AND(P118&gt;=78100,P118&lt;=78199)</formula>
    </cfRule>
    <cfRule type="expression" dxfId="28779" priority="810" stopIfTrue="1">
      <formula>AND(P118&gt;=91000,P118&lt;=91999)</formula>
    </cfRule>
  </conditionalFormatting>
  <conditionalFormatting sqref="G120">
    <cfRule type="expression" dxfId="28778" priority="789">
      <formula>AND(H120&gt;=79001,H120&lt;79900)</formula>
    </cfRule>
    <cfRule type="expression" dxfId="28777" priority="790" stopIfTrue="1">
      <formula>AND(H120&gt;=70101,H120&lt;=70301)</formula>
    </cfRule>
    <cfRule type="expression" dxfId="28776" priority="791" stopIfTrue="1">
      <formula>AND(H120&gt;70000,H120&lt;70004)</formula>
    </cfRule>
    <cfRule type="expression" dxfId="28775" priority="792" stopIfTrue="1">
      <formula>AND(H120&gt;=70010,H120&lt;=76000)</formula>
    </cfRule>
    <cfRule type="expression" dxfId="28774" priority="793">
      <formula>AND(H120&gt;70000,H120&lt;70004)</formula>
    </cfRule>
    <cfRule type="expression" dxfId="28773" priority="794" stopIfTrue="1">
      <formula>OR(AND(H120&gt;=10000,H120&lt;=56999),AND(H120&gt;=57000,H120&lt;=57999))</formula>
    </cfRule>
    <cfRule type="expression" dxfId="28772" priority="795" stopIfTrue="1">
      <formula>AND(H120&gt;=8000,H120&lt;=9999)</formula>
    </cfRule>
    <cfRule type="expression" dxfId="28771" priority="796" stopIfTrue="1">
      <formula>AND(H120&gt;=78100,H120&lt;=78199)</formula>
    </cfRule>
    <cfRule type="expression" dxfId="28770" priority="797" stopIfTrue="1">
      <formula>AND(H120&gt;=92000,H120&lt;=98999)</formula>
    </cfRule>
    <cfRule type="expression" dxfId="28769" priority="798" stopIfTrue="1">
      <formula>AND(H120&gt;=78100,H120&lt;=78199)</formula>
    </cfRule>
    <cfRule type="expression" dxfId="28768" priority="799" stopIfTrue="1">
      <formula>AND(H120&gt;=91000,H120&lt;=91999)</formula>
    </cfRule>
  </conditionalFormatting>
  <conditionalFormatting sqref="K120">
    <cfRule type="expression" dxfId="28767" priority="778">
      <formula>AND(L120&gt;=79001,L120&lt;79900)</formula>
    </cfRule>
    <cfRule type="expression" dxfId="28766" priority="779" stopIfTrue="1">
      <formula>AND(L120&gt;=70101,L120&lt;=70301)</formula>
    </cfRule>
    <cfRule type="expression" dxfId="28765" priority="780" stopIfTrue="1">
      <formula>AND(L120&gt;70000,L120&lt;70004)</formula>
    </cfRule>
    <cfRule type="expression" dxfId="28764" priority="781" stopIfTrue="1">
      <formula>AND(L120&gt;=70010,L120&lt;=76000)</formula>
    </cfRule>
    <cfRule type="expression" dxfId="28763" priority="782">
      <formula>AND(L120&gt;70000,L120&lt;70004)</formula>
    </cfRule>
    <cfRule type="expression" dxfId="28762" priority="783" stopIfTrue="1">
      <formula>OR(AND(L120&gt;=10000,L120&lt;=56999),AND(L120&gt;=57000,L120&lt;=57999))</formula>
    </cfRule>
    <cfRule type="expression" dxfId="28761" priority="784" stopIfTrue="1">
      <formula>AND(L120&gt;=8000,L120&lt;=9999)</formula>
    </cfRule>
    <cfRule type="expression" dxfId="28760" priority="785" stopIfTrue="1">
      <formula>AND(L120&gt;=78100,L120&lt;=78199)</formula>
    </cfRule>
    <cfRule type="expression" dxfId="28759" priority="786" stopIfTrue="1">
      <formula>AND(L120&gt;=92000,L120&lt;=98999)</formula>
    </cfRule>
    <cfRule type="expression" dxfId="28758" priority="787" stopIfTrue="1">
      <formula>AND(L120&gt;=78100,L120&lt;=78199)</formula>
    </cfRule>
    <cfRule type="expression" dxfId="28757" priority="788" stopIfTrue="1">
      <formula>AND(L120&gt;=91000,L120&lt;=91999)</formula>
    </cfRule>
  </conditionalFormatting>
  <conditionalFormatting sqref="O120">
    <cfRule type="expression" dxfId="28756" priority="767">
      <formula>AND(P120&gt;=79001,P120&lt;79900)</formula>
    </cfRule>
    <cfRule type="expression" dxfId="28755" priority="768" stopIfTrue="1">
      <formula>AND(P120&gt;=70101,P120&lt;=70301)</formula>
    </cfRule>
    <cfRule type="expression" dxfId="28754" priority="769" stopIfTrue="1">
      <formula>AND(P120&gt;70000,P120&lt;70004)</formula>
    </cfRule>
    <cfRule type="expression" dxfId="28753" priority="770" stopIfTrue="1">
      <formula>AND(P120&gt;=70010,P120&lt;=76000)</formula>
    </cfRule>
    <cfRule type="expression" dxfId="28752" priority="771">
      <formula>AND(P120&gt;70000,P120&lt;70004)</formula>
    </cfRule>
    <cfRule type="expression" dxfId="28751" priority="772" stopIfTrue="1">
      <formula>OR(AND(P120&gt;=10000,P120&lt;=56999),AND(P120&gt;=57000,P120&lt;=57999))</formula>
    </cfRule>
    <cfRule type="expression" dxfId="28750" priority="773" stopIfTrue="1">
      <formula>AND(P120&gt;=8000,P120&lt;=9999)</formula>
    </cfRule>
    <cfRule type="expression" dxfId="28749" priority="774" stopIfTrue="1">
      <formula>AND(P120&gt;=78100,P120&lt;=78199)</formula>
    </cfRule>
    <cfRule type="expression" dxfId="28748" priority="775" stopIfTrue="1">
      <formula>AND(P120&gt;=92000,P120&lt;=98999)</formula>
    </cfRule>
    <cfRule type="expression" dxfId="28747" priority="776" stopIfTrue="1">
      <formula>AND(P120&gt;=78100,P120&lt;=78199)</formula>
    </cfRule>
    <cfRule type="expression" dxfId="28746" priority="777" stopIfTrue="1">
      <formula>AND(P120&gt;=91000,P120&lt;=91999)</formula>
    </cfRule>
  </conditionalFormatting>
  <conditionalFormatting sqref="AE120">
    <cfRule type="expression" dxfId="28745" priority="745">
      <formula>AND(AF120&gt;=79001,AF120&lt;79900)</formula>
    </cfRule>
    <cfRule type="expression" dxfId="28744" priority="746" stopIfTrue="1">
      <formula>AND(AF120&gt;=70101,AF120&lt;=70301)</formula>
    </cfRule>
    <cfRule type="expression" dxfId="28743" priority="747" stopIfTrue="1">
      <formula>AND(AF120&gt;70000,AF120&lt;70004)</formula>
    </cfRule>
    <cfRule type="expression" dxfId="28742" priority="748" stopIfTrue="1">
      <formula>AND(AF120&gt;=70010,AF120&lt;=76000)</formula>
    </cfRule>
    <cfRule type="expression" dxfId="28741" priority="749">
      <formula>AND(AF120&gt;70000,AF120&lt;70004)</formula>
    </cfRule>
    <cfRule type="expression" dxfId="28740" priority="750" stopIfTrue="1">
      <formula>OR(AND(AF120&gt;=10000,AF120&lt;=56999),AND(AF120&gt;=57000,AF120&lt;=57999))</formula>
    </cfRule>
    <cfRule type="expression" dxfId="28739" priority="751" stopIfTrue="1">
      <formula>AND(AF120&gt;=8000,AF120&lt;=9999)</formula>
    </cfRule>
    <cfRule type="expression" dxfId="28738" priority="752" stopIfTrue="1">
      <formula>AND(AF120&gt;=78100,AF120&lt;=78199)</formula>
    </cfRule>
    <cfRule type="expression" dxfId="28737" priority="753" stopIfTrue="1">
      <formula>AND(AF120&gt;=92000,AF120&lt;=98999)</formula>
    </cfRule>
    <cfRule type="expression" dxfId="28736" priority="754" stopIfTrue="1">
      <formula>AND(AF120&gt;=78100,AF120&lt;=78199)</formula>
    </cfRule>
    <cfRule type="expression" dxfId="28735" priority="755" stopIfTrue="1">
      <formula>AND(AF120&gt;=91000,AF120&lt;=91999)</formula>
    </cfRule>
  </conditionalFormatting>
  <conditionalFormatting sqref="AA120">
    <cfRule type="expression" dxfId="28734" priority="756">
      <formula>AND(AB120&gt;=79001,AB120&lt;79900)</formula>
    </cfRule>
    <cfRule type="expression" dxfId="28733" priority="757" stopIfTrue="1">
      <formula>AND(AB120&gt;=70101,AB120&lt;=70301)</formula>
    </cfRule>
    <cfRule type="expression" dxfId="28732" priority="758" stopIfTrue="1">
      <formula>AND(AB120&gt;70000,AB120&lt;70004)</formula>
    </cfRule>
    <cfRule type="expression" dxfId="28731" priority="759" stopIfTrue="1">
      <formula>AND(AB120&gt;=70010,AB120&lt;=76000)</formula>
    </cfRule>
    <cfRule type="expression" dxfId="28730" priority="760">
      <formula>AND(AB120&gt;70000,AB120&lt;70004)</formula>
    </cfRule>
    <cfRule type="expression" dxfId="28729" priority="761" stopIfTrue="1">
      <formula>OR(AND(AB120&gt;=10000,AB120&lt;=56999),AND(AB120&gt;=57000,AB120&lt;=57999))</formula>
    </cfRule>
    <cfRule type="expression" dxfId="28728" priority="762" stopIfTrue="1">
      <formula>AND(AB120&gt;=8000,AB120&lt;=9999)</formula>
    </cfRule>
    <cfRule type="expression" dxfId="28727" priority="763" stopIfTrue="1">
      <formula>AND(AB120&gt;=78100,AB120&lt;=78199)</formula>
    </cfRule>
    <cfRule type="expression" dxfId="28726" priority="764" stopIfTrue="1">
      <formula>AND(AB120&gt;=92000,AB120&lt;=98999)</formula>
    </cfRule>
    <cfRule type="expression" dxfId="28725" priority="765" stopIfTrue="1">
      <formula>AND(AB120&gt;=78100,AB120&lt;=78199)</formula>
    </cfRule>
    <cfRule type="expression" dxfId="28724" priority="766" stopIfTrue="1">
      <formula>AND(AB120&gt;=91000,AB120&lt;=91999)</formula>
    </cfRule>
  </conditionalFormatting>
  <conditionalFormatting sqref="G120">
    <cfRule type="expression" dxfId="28723" priority="734">
      <formula>AND(H120&gt;=79001,H120&lt;79900)</formula>
    </cfRule>
    <cfRule type="expression" dxfId="28722" priority="735" stopIfTrue="1">
      <formula>AND(H120&gt;=70101,H120&lt;=70301)</formula>
    </cfRule>
    <cfRule type="expression" dxfId="28721" priority="736" stopIfTrue="1">
      <formula>AND(H120&gt;70000,H120&lt;70004)</formula>
    </cfRule>
    <cfRule type="expression" dxfId="28720" priority="737" stopIfTrue="1">
      <formula>AND(H120&gt;=70010,H120&lt;=76000)</formula>
    </cfRule>
    <cfRule type="expression" dxfId="28719" priority="738">
      <formula>AND(H120&gt;70000,H120&lt;70004)</formula>
    </cfRule>
    <cfRule type="expression" dxfId="28718" priority="739" stopIfTrue="1">
      <formula>OR(AND(H120&gt;=10000,H120&lt;=56999),AND(H120&gt;=57000,H120&lt;=57999))</formula>
    </cfRule>
    <cfRule type="expression" dxfId="28717" priority="740" stopIfTrue="1">
      <formula>AND(H120&gt;=8000,H120&lt;=9999)</formula>
    </cfRule>
    <cfRule type="expression" dxfId="28716" priority="741" stopIfTrue="1">
      <formula>AND(H120&gt;=78100,H120&lt;=78199)</formula>
    </cfRule>
    <cfRule type="expression" dxfId="28715" priority="742" stopIfTrue="1">
      <formula>AND(H120&gt;=92000,H120&lt;=98999)</formula>
    </cfRule>
    <cfRule type="expression" dxfId="28714" priority="743" stopIfTrue="1">
      <formula>AND(H120&gt;=78100,H120&lt;=78199)</formula>
    </cfRule>
    <cfRule type="expression" dxfId="28713" priority="744" stopIfTrue="1">
      <formula>AND(H120&gt;=91000,H120&lt;=91999)</formula>
    </cfRule>
  </conditionalFormatting>
  <conditionalFormatting sqref="K120">
    <cfRule type="expression" dxfId="28712" priority="723">
      <formula>AND(L120&gt;=79001,L120&lt;79900)</formula>
    </cfRule>
    <cfRule type="expression" dxfId="28711" priority="724" stopIfTrue="1">
      <formula>AND(L120&gt;=70101,L120&lt;=70301)</formula>
    </cfRule>
    <cfRule type="expression" dxfId="28710" priority="725" stopIfTrue="1">
      <formula>AND(L120&gt;70000,L120&lt;70004)</formula>
    </cfRule>
    <cfRule type="expression" dxfId="28709" priority="726" stopIfTrue="1">
      <formula>AND(L120&gt;=70010,L120&lt;=76000)</formula>
    </cfRule>
    <cfRule type="expression" dxfId="28708" priority="727">
      <formula>AND(L120&gt;70000,L120&lt;70004)</formula>
    </cfRule>
    <cfRule type="expression" dxfId="28707" priority="728" stopIfTrue="1">
      <formula>OR(AND(L120&gt;=10000,L120&lt;=56999),AND(L120&gt;=57000,L120&lt;=57999))</formula>
    </cfRule>
    <cfRule type="expression" dxfId="28706" priority="729" stopIfTrue="1">
      <formula>AND(L120&gt;=8000,L120&lt;=9999)</formula>
    </cfRule>
    <cfRule type="expression" dxfId="28705" priority="730" stopIfTrue="1">
      <formula>AND(L120&gt;=78100,L120&lt;=78199)</formula>
    </cfRule>
    <cfRule type="expression" dxfId="28704" priority="731" stopIfTrue="1">
      <formula>AND(L120&gt;=92000,L120&lt;=98999)</formula>
    </cfRule>
    <cfRule type="expression" dxfId="28703" priority="732" stopIfTrue="1">
      <formula>AND(L120&gt;=78100,L120&lt;=78199)</formula>
    </cfRule>
    <cfRule type="expression" dxfId="28702" priority="733" stopIfTrue="1">
      <formula>AND(L120&gt;=91000,L120&lt;=91999)</formula>
    </cfRule>
  </conditionalFormatting>
  <conditionalFormatting sqref="O120">
    <cfRule type="expression" dxfId="28701" priority="712">
      <formula>AND(P120&gt;=79001,P120&lt;79900)</formula>
    </cfRule>
    <cfRule type="expression" dxfId="28700" priority="713" stopIfTrue="1">
      <formula>AND(P120&gt;=70101,P120&lt;=70301)</formula>
    </cfRule>
    <cfRule type="expression" dxfId="28699" priority="714" stopIfTrue="1">
      <formula>AND(P120&gt;70000,P120&lt;70004)</formula>
    </cfRule>
    <cfRule type="expression" dxfId="28698" priority="715" stopIfTrue="1">
      <formula>AND(P120&gt;=70010,P120&lt;=76000)</formula>
    </cfRule>
    <cfRule type="expression" dxfId="28697" priority="716">
      <formula>AND(P120&gt;70000,P120&lt;70004)</formula>
    </cfRule>
    <cfRule type="expression" dxfId="28696" priority="717" stopIfTrue="1">
      <formula>OR(AND(P120&gt;=10000,P120&lt;=56999),AND(P120&gt;=57000,P120&lt;=57999))</formula>
    </cfRule>
    <cfRule type="expression" dxfId="28695" priority="718" stopIfTrue="1">
      <formula>AND(P120&gt;=8000,P120&lt;=9999)</formula>
    </cfRule>
    <cfRule type="expression" dxfId="28694" priority="719" stopIfTrue="1">
      <formula>AND(P120&gt;=78100,P120&lt;=78199)</formula>
    </cfRule>
    <cfRule type="expression" dxfId="28693" priority="720" stopIfTrue="1">
      <formula>AND(P120&gt;=92000,P120&lt;=98999)</formula>
    </cfRule>
    <cfRule type="expression" dxfId="28692" priority="721" stopIfTrue="1">
      <formula>AND(P120&gt;=78100,P120&lt;=78199)</formula>
    </cfRule>
    <cfRule type="expression" dxfId="28691" priority="722" stopIfTrue="1">
      <formula>AND(P120&gt;=91000,P120&lt;=91999)</formula>
    </cfRule>
  </conditionalFormatting>
  <conditionalFormatting sqref="S118:S120">
    <cfRule type="expression" dxfId="28690" priority="701">
      <formula>AND(T118&gt;=79001,T118&lt;79900)</formula>
    </cfRule>
    <cfRule type="expression" dxfId="28689" priority="702" stopIfTrue="1">
      <formula>AND(T118&gt;=70101,T118&lt;=70301)</formula>
    </cfRule>
    <cfRule type="expression" dxfId="28688" priority="703" stopIfTrue="1">
      <formula>AND(T118&gt;70000,T118&lt;70004)</formula>
    </cfRule>
    <cfRule type="expression" dxfId="28687" priority="704" stopIfTrue="1">
      <formula>AND(T118&gt;=70010,T118&lt;=76000)</formula>
    </cfRule>
    <cfRule type="expression" dxfId="28686" priority="705">
      <formula>AND(T118&gt;70000,T118&lt;70004)</formula>
    </cfRule>
    <cfRule type="expression" dxfId="28685" priority="706" stopIfTrue="1">
      <formula>OR(AND(T118&gt;=10000,T118&lt;=56999),AND(T118&gt;=57000,T118&lt;=57999))</formula>
    </cfRule>
    <cfRule type="expression" dxfId="28684" priority="707" stopIfTrue="1">
      <formula>AND(T118&gt;=8000,T118&lt;=9999)</formula>
    </cfRule>
    <cfRule type="expression" dxfId="28683" priority="708" stopIfTrue="1">
      <formula>AND(T118&gt;=78100,T118&lt;=78199)</formula>
    </cfRule>
    <cfRule type="expression" dxfId="28682" priority="709" stopIfTrue="1">
      <formula>AND(T118&gt;=92000,T118&lt;=98999)</formula>
    </cfRule>
    <cfRule type="expression" dxfId="28681" priority="710" stopIfTrue="1">
      <formula>AND(T118&gt;=78100,T118&lt;=78199)</formula>
    </cfRule>
    <cfRule type="expression" dxfId="28680" priority="711" stopIfTrue="1">
      <formula>AND(T118&gt;=91000,T118&lt;=91999)</formula>
    </cfRule>
  </conditionalFormatting>
  <conditionalFormatting sqref="S118:S120">
    <cfRule type="expression" dxfId="28679" priority="690">
      <formula>AND(T118&gt;=79001,T118&lt;79900)</formula>
    </cfRule>
    <cfRule type="expression" dxfId="28678" priority="691" stopIfTrue="1">
      <formula>AND(T118&gt;=70101,T118&lt;=70301)</formula>
    </cfRule>
    <cfRule type="expression" dxfId="28677" priority="692" stopIfTrue="1">
      <formula>AND(T118&gt;70000,T118&lt;70004)</formula>
    </cfRule>
    <cfRule type="expression" dxfId="28676" priority="693" stopIfTrue="1">
      <formula>AND(T118&gt;=70010,T118&lt;=76000)</formula>
    </cfRule>
    <cfRule type="expression" dxfId="28675" priority="694">
      <formula>AND(T118&gt;70000,T118&lt;70004)</formula>
    </cfRule>
    <cfRule type="expression" dxfId="28674" priority="695" stopIfTrue="1">
      <formula>OR(AND(T118&gt;=10000,T118&lt;=56999),AND(T118&gt;=57000,T118&lt;=57999))</formula>
    </cfRule>
    <cfRule type="expression" dxfId="28673" priority="696" stopIfTrue="1">
      <formula>AND(T118&gt;=8000,T118&lt;=9999)</formula>
    </cfRule>
    <cfRule type="expression" dxfId="28672" priority="697" stopIfTrue="1">
      <formula>AND(T118&gt;=78100,T118&lt;=78199)</formula>
    </cfRule>
    <cfRule type="expression" dxfId="28671" priority="698" stopIfTrue="1">
      <formula>AND(T118&gt;=92000,T118&lt;=98999)</formula>
    </cfRule>
    <cfRule type="expression" dxfId="28670" priority="699" stopIfTrue="1">
      <formula>AND(T118&gt;=78100,T118&lt;=78199)</formula>
    </cfRule>
    <cfRule type="expression" dxfId="28669" priority="700" stopIfTrue="1">
      <formula>AND(T118&gt;=91000,T118&lt;=91999)</formula>
    </cfRule>
  </conditionalFormatting>
  <conditionalFormatting sqref="W118:W120">
    <cfRule type="expression" dxfId="28668" priority="679">
      <formula>AND(X118&gt;=79001,X118&lt;79900)</formula>
    </cfRule>
    <cfRule type="expression" dxfId="28667" priority="680" stopIfTrue="1">
      <formula>AND(X118&gt;=70101,X118&lt;=70301)</formula>
    </cfRule>
    <cfRule type="expression" dxfId="28666" priority="681" stopIfTrue="1">
      <formula>AND(X118&gt;70000,X118&lt;70004)</formula>
    </cfRule>
    <cfRule type="expression" dxfId="28665" priority="682" stopIfTrue="1">
      <formula>AND(X118&gt;=70010,X118&lt;=76000)</formula>
    </cfRule>
    <cfRule type="expression" dxfId="28664" priority="683">
      <formula>AND(X118&gt;70000,X118&lt;70004)</formula>
    </cfRule>
    <cfRule type="expression" dxfId="28663" priority="684" stopIfTrue="1">
      <formula>OR(AND(X118&gt;=10000,X118&lt;=56999),AND(X118&gt;=57000,X118&lt;=57999))</formula>
    </cfRule>
    <cfRule type="expression" dxfId="28662" priority="685" stopIfTrue="1">
      <formula>AND(X118&gt;=8000,X118&lt;=9999)</formula>
    </cfRule>
    <cfRule type="expression" dxfId="28661" priority="686" stopIfTrue="1">
      <formula>AND(X118&gt;=78100,X118&lt;=78199)</formula>
    </cfRule>
    <cfRule type="expression" dxfId="28660" priority="687" stopIfTrue="1">
      <formula>AND(X118&gt;=92000,X118&lt;=98999)</formula>
    </cfRule>
    <cfRule type="expression" dxfId="28659" priority="688" stopIfTrue="1">
      <formula>AND(X118&gt;=78100,X118&lt;=78199)</formula>
    </cfRule>
    <cfRule type="expression" dxfId="28658" priority="689" stopIfTrue="1">
      <formula>AND(X118&gt;=91000,X118&lt;=91999)</formula>
    </cfRule>
  </conditionalFormatting>
  <conditionalFormatting sqref="W118:W120">
    <cfRule type="expression" dxfId="28657" priority="668">
      <formula>AND(X118&gt;=79001,X118&lt;79900)</formula>
    </cfRule>
    <cfRule type="expression" dxfId="28656" priority="669" stopIfTrue="1">
      <formula>AND(X118&gt;=70101,X118&lt;=70301)</formula>
    </cfRule>
    <cfRule type="expression" dxfId="28655" priority="670" stopIfTrue="1">
      <formula>AND(X118&gt;70000,X118&lt;70004)</formula>
    </cfRule>
    <cfRule type="expression" dxfId="28654" priority="671" stopIfTrue="1">
      <formula>AND(X118&gt;=70010,X118&lt;=76000)</formula>
    </cfRule>
    <cfRule type="expression" dxfId="28653" priority="672">
      <formula>AND(X118&gt;70000,X118&lt;70004)</formula>
    </cfRule>
    <cfRule type="expression" dxfId="28652" priority="673" stopIfTrue="1">
      <formula>OR(AND(X118&gt;=10000,X118&lt;=56999),AND(X118&gt;=57000,X118&lt;=57999))</formula>
    </cfRule>
    <cfRule type="expression" dxfId="28651" priority="674" stopIfTrue="1">
      <formula>AND(X118&gt;=8000,X118&lt;=9999)</formula>
    </cfRule>
    <cfRule type="expression" dxfId="28650" priority="675" stopIfTrue="1">
      <formula>AND(X118&gt;=78100,X118&lt;=78199)</formula>
    </cfRule>
    <cfRule type="expression" dxfId="28649" priority="676" stopIfTrue="1">
      <formula>AND(X118&gt;=92000,X118&lt;=98999)</formula>
    </cfRule>
    <cfRule type="expression" dxfId="28648" priority="677" stopIfTrue="1">
      <formula>AND(X118&gt;=78100,X118&lt;=78199)</formula>
    </cfRule>
    <cfRule type="expression" dxfId="28647" priority="678" stopIfTrue="1">
      <formula>AND(X118&gt;=91000,X118&lt;=91999)</formula>
    </cfRule>
  </conditionalFormatting>
  <conditionalFormatting sqref="BO300:XFD300 B300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0 O300 G300 W300 S300 AA300 AY300 BC300 BG300 BK300 AQ300 AI300 AU300 AM300 AE300">
    <cfRule type="expression" dxfId="28646" priority="655">
      <formula>AND(H300&gt;=79001,H300&lt;79900)</formula>
    </cfRule>
    <cfRule type="expression" dxfId="28645" priority="656" stopIfTrue="1">
      <formula>AND(H300&gt;=70101,H300&lt;=70301)</formula>
    </cfRule>
    <cfRule type="expression" dxfId="28644" priority="657" stopIfTrue="1">
      <formula>AND(H300&gt;70000,H300&lt;70004)</formula>
    </cfRule>
    <cfRule type="expression" dxfId="28643" priority="658" stopIfTrue="1">
      <formula>AND(H300&gt;=70010,H300&lt;=76000)</formula>
    </cfRule>
    <cfRule type="expression" dxfId="28642" priority="659">
      <formula>AND(H300&gt;70000,H300&lt;70004)</formula>
    </cfRule>
    <cfRule type="expression" dxfId="28641" priority="660" stopIfTrue="1">
      <formula>OR(AND(H300&gt;=10000,H300&lt;=56999),AND(H300&gt;=57000,H300&lt;=57999))</formula>
    </cfRule>
    <cfRule type="expression" dxfId="28640" priority="661" stopIfTrue="1">
      <formula>AND(H300&gt;=8000,H300&lt;=9999)</formula>
    </cfRule>
    <cfRule type="expression" dxfId="28639" priority="662" stopIfTrue="1">
      <formula>AND(H300&gt;=78100,H300&lt;=78199)</formula>
    </cfRule>
    <cfRule type="expression" dxfId="28638" priority="663" stopIfTrue="1">
      <formula>AND(H300&gt;=92000,H300&lt;=98999)</formula>
    </cfRule>
    <cfRule type="expression" dxfId="28637" priority="664" stopIfTrue="1">
      <formula>AND(H300&gt;=78100,H300&lt;=78199)</formula>
    </cfRule>
    <cfRule type="expression" dxfId="28636" priority="665" stopIfTrue="1">
      <formula>AND(H300&gt;=91000,H300&lt;=91999)</formula>
    </cfRule>
  </conditionalFormatting>
  <conditionalFormatting sqref="A300">
    <cfRule type="duplicateValues" dxfId="28635" priority="654"/>
  </conditionalFormatting>
  <conditionalFormatting sqref="H290:H294">
    <cfRule type="expression" dxfId="28634" priority="643">
      <formula>AND(#REF!&gt;=79001,#REF!&lt;79900)</formula>
    </cfRule>
    <cfRule type="expression" dxfId="28633" priority="644" stopIfTrue="1">
      <formula>AND(#REF!&gt;=70101,#REF!&lt;=70301)</formula>
    </cfRule>
    <cfRule type="expression" dxfId="28632" priority="645" stopIfTrue="1">
      <formula>AND(#REF!&gt;70000,#REF!&lt;70004)</formula>
    </cfRule>
    <cfRule type="expression" dxfId="28631" priority="646" stopIfTrue="1">
      <formula>AND(#REF!&gt;=70010,#REF!&lt;=76000)</formula>
    </cfRule>
    <cfRule type="expression" dxfId="28630" priority="647">
      <formula>AND(#REF!&gt;70000,#REF!&lt;70004)</formula>
    </cfRule>
    <cfRule type="expression" dxfId="28629" priority="648" stopIfTrue="1">
      <formula>OR(AND(#REF!&gt;=10000,#REF!&lt;=56999),AND(#REF!&gt;=57000,#REF!&lt;=57999))</formula>
    </cfRule>
    <cfRule type="expression" dxfId="28628" priority="649" stopIfTrue="1">
      <formula>AND(#REF!&gt;=8000,#REF!&lt;=9999)</formula>
    </cfRule>
    <cfRule type="expression" dxfId="28627" priority="650" stopIfTrue="1">
      <formula>AND(#REF!&gt;=78100,#REF!&lt;=78199)</formula>
    </cfRule>
    <cfRule type="expression" dxfId="28626" priority="651" stopIfTrue="1">
      <formula>AND(#REF!&gt;=92000,#REF!&lt;=98999)</formula>
    </cfRule>
    <cfRule type="expression" dxfId="28625" priority="652" stopIfTrue="1">
      <formula>AND(#REF!&gt;=78100,#REF!&lt;=78199)</formula>
    </cfRule>
    <cfRule type="expression" dxfId="28624" priority="653" stopIfTrue="1">
      <formula>AND(#REF!&gt;=91000,#REF!&lt;=91999)</formula>
    </cfRule>
  </conditionalFormatting>
  <conditionalFormatting sqref="A324:A1048576 A1:A305">
    <cfRule type="duplicateValues" dxfId="28623" priority="629"/>
  </conditionalFormatting>
  <conditionalFormatting sqref="G587:G589">
    <cfRule type="expression" dxfId="28622" priority="602">
      <formula>AND(H587&gt;=79001,H587&lt;79900)</formula>
    </cfRule>
    <cfRule type="expression" dxfId="28621" priority="603" stopIfTrue="1">
      <formula>AND(H587&gt;=70101,H587&lt;=70301)</formula>
    </cfRule>
    <cfRule type="expression" dxfId="28620" priority="604" stopIfTrue="1">
      <formula>AND(H587&gt;70000,H587&lt;70004)</formula>
    </cfRule>
    <cfRule type="expression" dxfId="28619" priority="605" stopIfTrue="1">
      <formula>AND(H587&gt;=70010,H587&lt;=76000)</formula>
    </cfRule>
    <cfRule type="expression" dxfId="28618" priority="606">
      <formula>AND(H587&gt;70000,H587&lt;70004)</formula>
    </cfRule>
    <cfRule type="expression" dxfId="28617" priority="607" stopIfTrue="1">
      <formula>OR(AND(H587&gt;=10000,H587&lt;=56999),AND(H587&gt;=57000,H587&lt;=57999))</formula>
    </cfRule>
    <cfRule type="expression" dxfId="28616" priority="608" stopIfTrue="1">
      <formula>AND(H587&gt;=8000,H587&lt;=9999)</formula>
    </cfRule>
    <cfRule type="expression" dxfId="28615" priority="609" stopIfTrue="1">
      <formula>AND(H587&gt;=78100,H587&lt;=78199)</formula>
    </cfRule>
    <cfRule type="expression" dxfId="28614" priority="610" stopIfTrue="1">
      <formula>AND(H587&gt;=92000,H587&lt;=98999)</formula>
    </cfRule>
    <cfRule type="expression" dxfId="28613" priority="611" stopIfTrue="1">
      <formula>AND(H587&gt;=78100,H587&lt;=78199)</formula>
    </cfRule>
    <cfRule type="expression" dxfId="28612" priority="612" stopIfTrue="1">
      <formula>AND(H587&gt;=91000,H587&lt;=91999)</formula>
    </cfRule>
  </conditionalFormatting>
  <conditionalFormatting sqref="AE587:AE589 AM587:AM589 AU587:AU589 AA587:AA589 AI587:AI589 AQ587:AQ589 W587:W589 BK587:BK589 BG587:BG589 BC587:BC589 AY587:AY589 S587:S589 O587:O589 K587:K589">
    <cfRule type="expression" dxfId="28611" priority="591">
      <formula>AND(L587&gt;=79001,L587&lt;79900)</formula>
    </cfRule>
    <cfRule type="expression" dxfId="28610" priority="592" stopIfTrue="1">
      <formula>AND(L587&gt;=70101,L587&lt;=70301)</formula>
    </cfRule>
    <cfRule type="expression" dxfId="28609" priority="593" stopIfTrue="1">
      <formula>AND(L587&gt;70000,L587&lt;70004)</formula>
    </cfRule>
    <cfRule type="expression" dxfId="28608" priority="594" stopIfTrue="1">
      <formula>AND(L587&gt;=70010,L587&lt;=76000)</formula>
    </cfRule>
    <cfRule type="expression" dxfId="28607" priority="595">
      <formula>AND(L587&gt;70000,L587&lt;70004)</formula>
    </cfRule>
    <cfRule type="expression" dxfId="28606" priority="596" stopIfTrue="1">
      <formula>OR(AND(L587&gt;=10000,L587&lt;=56999),AND(L587&gt;=57000,L587&lt;=57999))</formula>
    </cfRule>
    <cfRule type="expression" dxfId="28605" priority="597" stopIfTrue="1">
      <formula>AND(L587&gt;=8000,L587&lt;=9999)</formula>
    </cfRule>
    <cfRule type="expression" dxfId="28604" priority="598" stopIfTrue="1">
      <formula>AND(L587&gt;=78100,L587&lt;=78199)</formula>
    </cfRule>
    <cfRule type="expression" dxfId="28603" priority="599" stopIfTrue="1">
      <formula>AND(L587&gt;=92000,L587&lt;=98999)</formula>
    </cfRule>
    <cfRule type="expression" dxfId="28602" priority="600" stopIfTrue="1">
      <formula>AND(L587&gt;=78100,L587&lt;=78199)</formula>
    </cfRule>
    <cfRule type="expression" dxfId="28601" priority="601" stopIfTrue="1">
      <formula>AND(L587&gt;=91000,L587&lt;=91999)</formula>
    </cfRule>
  </conditionalFormatting>
  <conditionalFormatting sqref="G516:G518">
    <cfRule type="expression" dxfId="28600" priority="578">
      <formula>AND(H516&gt;=79001,H516&lt;79900)</formula>
    </cfRule>
    <cfRule type="expression" dxfId="28599" priority="579" stopIfTrue="1">
      <formula>AND(H516&gt;=70101,H516&lt;=70301)</formula>
    </cfRule>
    <cfRule type="expression" dxfId="28598" priority="580" stopIfTrue="1">
      <formula>AND(H516&gt;70000,H516&lt;70004)</formula>
    </cfRule>
    <cfRule type="expression" dxfId="28597" priority="581" stopIfTrue="1">
      <formula>AND(H516&gt;=70010,H516&lt;=76000)</formula>
    </cfRule>
    <cfRule type="expression" dxfId="28596" priority="582">
      <formula>AND(H516&gt;70000,H516&lt;70004)</formula>
    </cfRule>
    <cfRule type="expression" dxfId="28595" priority="583" stopIfTrue="1">
      <formula>OR(AND(H516&gt;=10000,H516&lt;=56999),AND(H516&gt;=57000,H516&lt;=57999))</formula>
    </cfRule>
    <cfRule type="expression" dxfId="28594" priority="584" stopIfTrue="1">
      <formula>AND(H516&gt;=8000,H516&lt;=9999)</formula>
    </cfRule>
    <cfRule type="expression" dxfId="28593" priority="585" stopIfTrue="1">
      <formula>AND(H516&gt;=78100,H516&lt;=78199)</formula>
    </cfRule>
    <cfRule type="expression" dxfId="28592" priority="586" stopIfTrue="1">
      <formula>AND(H516&gt;=92000,H516&lt;=98999)</formula>
    </cfRule>
    <cfRule type="expression" dxfId="28591" priority="587" stopIfTrue="1">
      <formula>AND(H516&gt;=78100,H516&lt;=78199)</formula>
    </cfRule>
    <cfRule type="expression" dxfId="28590" priority="588" stopIfTrue="1">
      <formula>AND(H516&gt;=91000,H516&lt;=91999)</formula>
    </cfRule>
  </conditionalFormatting>
  <conditionalFormatting sqref="AE516:AE518 AM516:AM518 AU516:AU518 AI516:AI518 AQ516:AQ518 BK516:BK518 BG516:BG518 BC516:BC518 AY516:AY518 K516:K518 O516:O518 S516:S518 W516:W518 AA516:AA518">
    <cfRule type="expression" dxfId="28589" priority="567">
      <formula>AND(L516&gt;=79001,L516&lt;79900)</formula>
    </cfRule>
    <cfRule type="expression" dxfId="28588" priority="568" stopIfTrue="1">
      <formula>AND(L516&gt;=70101,L516&lt;=70301)</formula>
    </cfRule>
    <cfRule type="expression" dxfId="28587" priority="569" stopIfTrue="1">
      <formula>AND(L516&gt;70000,L516&lt;70004)</formula>
    </cfRule>
    <cfRule type="expression" dxfId="28586" priority="570" stopIfTrue="1">
      <formula>AND(L516&gt;=70010,L516&lt;=76000)</formula>
    </cfRule>
    <cfRule type="expression" dxfId="28585" priority="571">
      <formula>AND(L516&gt;70000,L516&lt;70004)</formula>
    </cfRule>
    <cfRule type="expression" dxfId="28584" priority="572" stopIfTrue="1">
      <formula>OR(AND(L516&gt;=10000,L516&lt;=56999),AND(L516&gt;=57000,L516&lt;=57999))</formula>
    </cfRule>
    <cfRule type="expression" dxfId="28583" priority="573" stopIfTrue="1">
      <formula>AND(L516&gt;=8000,L516&lt;=9999)</formula>
    </cfRule>
    <cfRule type="expression" dxfId="28582" priority="574" stopIfTrue="1">
      <formula>AND(L516&gt;=78100,L516&lt;=78199)</formula>
    </cfRule>
    <cfRule type="expression" dxfId="28581" priority="575" stopIfTrue="1">
      <formula>AND(L516&gt;=92000,L516&lt;=98999)</formula>
    </cfRule>
    <cfRule type="expression" dxfId="28580" priority="576" stopIfTrue="1">
      <formula>AND(L516&gt;=78100,L516&lt;=78199)</formula>
    </cfRule>
    <cfRule type="expression" dxfId="28579" priority="577" stopIfTrue="1">
      <formula>AND(L516&gt;=91000,L516&lt;=91999)</formula>
    </cfRule>
  </conditionalFormatting>
  <conditionalFormatting sqref="G519:G527">
    <cfRule type="expression" dxfId="28578" priority="555">
      <formula>AND(H519&gt;=79001,H519&lt;79900)</formula>
    </cfRule>
    <cfRule type="expression" dxfId="28577" priority="556" stopIfTrue="1">
      <formula>AND(H519&gt;=70101,H519&lt;=70301)</formula>
    </cfRule>
    <cfRule type="expression" dxfId="28576" priority="557" stopIfTrue="1">
      <formula>AND(H519&gt;70000,H519&lt;70004)</formula>
    </cfRule>
    <cfRule type="expression" dxfId="28575" priority="558" stopIfTrue="1">
      <formula>AND(H519&gt;=70010,H519&lt;=76000)</formula>
    </cfRule>
    <cfRule type="expression" dxfId="28574" priority="559">
      <formula>AND(H519&gt;70000,H519&lt;70004)</formula>
    </cfRule>
    <cfRule type="expression" dxfId="28573" priority="560" stopIfTrue="1">
      <formula>OR(AND(H519&gt;=10000,H519&lt;=56999),AND(H519&gt;=57000,H519&lt;=57999))</formula>
    </cfRule>
    <cfRule type="expression" dxfId="28572" priority="561" stopIfTrue="1">
      <formula>AND(H519&gt;=8000,H519&lt;=9999)</formula>
    </cfRule>
    <cfRule type="expression" dxfId="28571" priority="562" stopIfTrue="1">
      <formula>AND(H519&gt;=78100,H519&lt;=78199)</formula>
    </cfRule>
    <cfRule type="expression" dxfId="28570" priority="563" stopIfTrue="1">
      <formula>AND(H519&gt;=92000,H519&lt;=98999)</formula>
    </cfRule>
    <cfRule type="expression" dxfId="28569" priority="564" stopIfTrue="1">
      <formula>AND(H519&gt;=78100,H519&lt;=78199)</formula>
    </cfRule>
    <cfRule type="expression" dxfId="28568" priority="565" stopIfTrue="1">
      <formula>AND(H519&gt;=91000,H519&lt;=91999)</formula>
    </cfRule>
  </conditionalFormatting>
  <conditionalFormatting sqref="AE519:AE527 AM519:AM527 AU519:AU527 AI519:AI527 AQ519:AQ527 BK519:BK527 BG519:BG527 BC519:BC527 AY519:AY527 K519:K527 O519:O527 S519:S527 W519:W527 AA519:AA527">
    <cfRule type="expression" dxfId="28567" priority="544">
      <formula>AND(L519&gt;=79001,L519&lt;79900)</formula>
    </cfRule>
    <cfRule type="expression" dxfId="28566" priority="545" stopIfTrue="1">
      <formula>AND(L519&gt;=70101,L519&lt;=70301)</formula>
    </cfRule>
    <cfRule type="expression" dxfId="28565" priority="546" stopIfTrue="1">
      <formula>AND(L519&gt;70000,L519&lt;70004)</formula>
    </cfRule>
    <cfRule type="expression" dxfId="28564" priority="547" stopIfTrue="1">
      <formula>AND(L519&gt;=70010,L519&lt;=76000)</formula>
    </cfRule>
    <cfRule type="expression" dxfId="28563" priority="548">
      <formula>AND(L519&gt;70000,L519&lt;70004)</formula>
    </cfRule>
    <cfRule type="expression" dxfId="28562" priority="549" stopIfTrue="1">
      <formula>OR(AND(L519&gt;=10000,L519&lt;=56999),AND(L519&gt;=57000,L519&lt;=57999))</formula>
    </cfRule>
    <cfRule type="expression" dxfId="28561" priority="550" stopIfTrue="1">
      <formula>AND(L519&gt;=8000,L519&lt;=9999)</formula>
    </cfRule>
    <cfRule type="expression" dxfId="28560" priority="551" stopIfTrue="1">
      <formula>AND(L519&gt;=78100,L519&lt;=78199)</formula>
    </cfRule>
    <cfRule type="expression" dxfId="28559" priority="552" stopIfTrue="1">
      <formula>AND(L519&gt;=92000,L519&lt;=98999)</formula>
    </cfRule>
    <cfRule type="expression" dxfId="28558" priority="553" stopIfTrue="1">
      <formula>AND(L519&gt;=78100,L519&lt;=78199)</formula>
    </cfRule>
    <cfRule type="expression" dxfId="28557" priority="554" stopIfTrue="1">
      <formula>AND(L519&gt;=91000,L519&lt;=91999)</formula>
    </cfRule>
  </conditionalFormatting>
  <conditionalFormatting sqref="G528:G530">
    <cfRule type="expression" dxfId="28556" priority="530">
      <formula>AND(H528&gt;=79001,H528&lt;79900)</formula>
    </cfRule>
    <cfRule type="expression" dxfId="28555" priority="531" stopIfTrue="1">
      <formula>AND(H528&gt;=70101,H528&lt;=70301)</formula>
    </cfRule>
    <cfRule type="expression" dxfId="28554" priority="532" stopIfTrue="1">
      <formula>AND(H528&gt;70000,H528&lt;70004)</formula>
    </cfRule>
    <cfRule type="expression" dxfId="28553" priority="533" stopIfTrue="1">
      <formula>AND(H528&gt;=70010,H528&lt;=76000)</formula>
    </cfRule>
    <cfRule type="expression" dxfId="28552" priority="534">
      <formula>AND(H528&gt;70000,H528&lt;70004)</formula>
    </cfRule>
    <cfRule type="expression" dxfId="28551" priority="535" stopIfTrue="1">
      <formula>OR(AND(H528&gt;=10000,H528&lt;=56999),AND(H528&gt;=57000,H528&lt;=57999))</formula>
    </cfRule>
    <cfRule type="expression" dxfId="28550" priority="536" stopIfTrue="1">
      <formula>AND(H528&gt;=8000,H528&lt;=9999)</formula>
    </cfRule>
    <cfRule type="expression" dxfId="28549" priority="537" stopIfTrue="1">
      <formula>AND(H528&gt;=78100,H528&lt;=78199)</formula>
    </cfRule>
    <cfRule type="expression" dxfId="28548" priority="538" stopIfTrue="1">
      <formula>AND(H528&gt;=92000,H528&lt;=98999)</formula>
    </cfRule>
    <cfRule type="expression" dxfId="28547" priority="539" stopIfTrue="1">
      <formula>AND(H528&gt;=78100,H528&lt;=78199)</formula>
    </cfRule>
    <cfRule type="expression" dxfId="28546" priority="540" stopIfTrue="1">
      <formula>AND(H528&gt;=91000,H528&lt;=91999)</formula>
    </cfRule>
  </conditionalFormatting>
  <conditionalFormatting sqref="AE528:AE530 AM528:AM530 AU528:AU530 AI528:AI530 AQ528:AQ530 BK528:BK530 BG528:BG530 BC528:BC530 AY528:AY530 K528:K530 O528:O530 S528:S530 W528:W530 AA528:AA530">
    <cfRule type="expression" dxfId="28545" priority="519">
      <formula>AND(L528&gt;=79001,L528&lt;79900)</formula>
    </cfRule>
    <cfRule type="expression" dxfId="28544" priority="520" stopIfTrue="1">
      <formula>AND(L528&gt;=70101,L528&lt;=70301)</formula>
    </cfRule>
    <cfRule type="expression" dxfId="28543" priority="521" stopIfTrue="1">
      <formula>AND(L528&gt;70000,L528&lt;70004)</formula>
    </cfRule>
    <cfRule type="expression" dxfId="28542" priority="522" stopIfTrue="1">
      <formula>AND(L528&gt;=70010,L528&lt;=76000)</formula>
    </cfRule>
    <cfRule type="expression" dxfId="28541" priority="523">
      <formula>AND(L528&gt;70000,L528&lt;70004)</formula>
    </cfRule>
    <cfRule type="expression" dxfId="28540" priority="524" stopIfTrue="1">
      <formula>OR(AND(L528&gt;=10000,L528&lt;=56999),AND(L528&gt;=57000,L528&lt;=57999))</formula>
    </cfRule>
    <cfRule type="expression" dxfId="28539" priority="525" stopIfTrue="1">
      <formula>AND(L528&gt;=8000,L528&lt;=9999)</formula>
    </cfRule>
    <cfRule type="expression" dxfId="28538" priority="526" stopIfTrue="1">
      <formula>AND(L528&gt;=78100,L528&lt;=78199)</formula>
    </cfRule>
    <cfRule type="expression" dxfId="28537" priority="527" stopIfTrue="1">
      <formula>AND(L528&gt;=92000,L528&lt;=98999)</formula>
    </cfRule>
    <cfRule type="expression" dxfId="28536" priority="528" stopIfTrue="1">
      <formula>AND(L528&gt;=78100,L528&lt;=78199)</formula>
    </cfRule>
    <cfRule type="expression" dxfId="28535" priority="529" stopIfTrue="1">
      <formula>AND(L528&gt;=91000,L528&lt;=91999)</formula>
    </cfRule>
  </conditionalFormatting>
  <conditionalFormatting sqref="BO321:XFD322">
    <cfRule type="colorScale" priority="5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1:K322 O321:O322 G321:G322 W321:W322 S321:S322 AA321:AA322 AY321:AY322 BC321:BC322 BG321:BG322 BK321:BK322 AQ321:AQ322 AI321:AI322 AU321:AU322 AM321:AM322 AE321:AE322">
    <cfRule type="expression" dxfId="28534" priority="507">
      <formula>AND(H321&gt;=79001,H321&lt;79900)</formula>
    </cfRule>
    <cfRule type="expression" dxfId="28533" priority="508" stopIfTrue="1">
      <formula>AND(H321&gt;=70101,H321&lt;=70301)</formula>
    </cfRule>
    <cfRule type="expression" dxfId="28532" priority="509" stopIfTrue="1">
      <formula>AND(H321&gt;70000,H321&lt;70004)</formula>
    </cfRule>
    <cfRule type="expression" dxfId="28531" priority="510" stopIfTrue="1">
      <formula>AND(H321&gt;=70010,H321&lt;=76000)</formula>
    </cfRule>
    <cfRule type="expression" dxfId="28530" priority="511">
      <formula>AND(H321&gt;70000,H321&lt;70004)</formula>
    </cfRule>
    <cfRule type="expression" dxfId="28529" priority="512" stopIfTrue="1">
      <formula>OR(AND(H321&gt;=10000,H321&lt;=56999),AND(H321&gt;=57000,H321&lt;=57999))</formula>
    </cfRule>
    <cfRule type="expression" dxfId="28528" priority="513" stopIfTrue="1">
      <formula>AND(H321&gt;=8000,H321&lt;=9999)</formula>
    </cfRule>
    <cfRule type="expression" dxfId="28527" priority="514" stopIfTrue="1">
      <formula>AND(H321&gt;=78100,H321&lt;=78199)</formula>
    </cfRule>
    <cfRule type="expression" dxfId="28526" priority="515" stopIfTrue="1">
      <formula>AND(H321&gt;=92000,H321&lt;=98999)</formula>
    </cfRule>
    <cfRule type="expression" dxfId="28525" priority="516" stopIfTrue="1">
      <formula>AND(H321&gt;=78100,H321&lt;=78199)</formula>
    </cfRule>
    <cfRule type="expression" dxfId="28524" priority="517" stopIfTrue="1">
      <formula>AND(H321&gt;=91000,H321&lt;=91999)</formula>
    </cfRule>
  </conditionalFormatting>
  <conditionalFormatting sqref="A321:A323">
    <cfRule type="duplicateValues" dxfId="28523" priority="506"/>
  </conditionalFormatting>
  <conditionalFormatting sqref="A321:A323">
    <cfRule type="duplicateValues" dxfId="28522" priority="505"/>
  </conditionalFormatting>
  <conditionalFormatting sqref="DW309:XFD309 B309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9 O309 G309 W309 S309 AA309 AY309 BC309 BG309 BK309 AQ309 AI309 AU309 AM309 AE309">
    <cfRule type="expression" dxfId="28521" priority="454">
      <formula>AND(H309&gt;=79001,H309&lt;79900)</formula>
    </cfRule>
    <cfRule type="expression" dxfId="28520" priority="455" stopIfTrue="1">
      <formula>AND(H309&gt;=70101,H309&lt;=70301)</formula>
    </cfRule>
    <cfRule type="expression" dxfId="28519" priority="456" stopIfTrue="1">
      <formula>AND(H309&gt;70000,H309&lt;70004)</formula>
    </cfRule>
    <cfRule type="expression" dxfId="28518" priority="457" stopIfTrue="1">
      <formula>AND(H309&gt;=70010,H309&lt;=76000)</formula>
    </cfRule>
    <cfRule type="expression" dxfId="28517" priority="458">
      <formula>AND(H309&gt;70000,H309&lt;70004)</formula>
    </cfRule>
    <cfRule type="expression" dxfId="28516" priority="459" stopIfTrue="1">
      <formula>OR(AND(H309&gt;=10000,H309&lt;=56999),AND(H309&gt;=57000,H309&lt;=57999))</formula>
    </cfRule>
    <cfRule type="expression" dxfId="28515" priority="460" stopIfTrue="1">
      <formula>AND(H309&gt;=8000,H309&lt;=9999)</formula>
    </cfRule>
    <cfRule type="expression" dxfId="28514" priority="461" stopIfTrue="1">
      <formula>AND(H309&gt;=78100,H309&lt;=78199)</formula>
    </cfRule>
    <cfRule type="expression" dxfId="28513" priority="462" stopIfTrue="1">
      <formula>AND(H309&gt;=92000,H309&lt;=98999)</formula>
    </cfRule>
    <cfRule type="expression" dxfId="28512" priority="463" stopIfTrue="1">
      <formula>AND(H309&gt;=78100,H309&lt;=78199)</formula>
    </cfRule>
    <cfRule type="expression" dxfId="28511" priority="464" stopIfTrue="1">
      <formula>AND(H309&gt;=91000,H309&lt;=91999)</formula>
    </cfRule>
  </conditionalFormatting>
  <conditionalFormatting sqref="B306:B308 DW306:XFD307 EU308:XFD308">
    <cfRule type="colorScale" priority="349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06:A309">
    <cfRule type="duplicateValues" dxfId="28510" priority="35150"/>
  </conditionalFormatting>
  <conditionalFormatting sqref="BO306:BO308">
    <cfRule type="expression" dxfId="28509" priority="442">
      <formula>AND(BP306&gt;=79001,BP306&lt;79900)</formula>
    </cfRule>
    <cfRule type="expression" dxfId="28508" priority="443" stopIfTrue="1">
      <formula>AND(BP306&gt;=70101,BP306&lt;=70301)</formula>
    </cfRule>
    <cfRule type="expression" dxfId="28507" priority="444" stopIfTrue="1">
      <formula>AND(BP306&gt;70000,BP306&lt;70004)</formula>
    </cfRule>
    <cfRule type="expression" dxfId="28506" priority="445" stopIfTrue="1">
      <formula>AND(BP306&gt;=70010,BP306&lt;=76000)</formula>
    </cfRule>
    <cfRule type="expression" dxfId="28505" priority="446">
      <formula>AND(BP306&gt;70000,BP306&lt;70004)</formula>
    </cfRule>
    <cfRule type="expression" dxfId="28504" priority="447" stopIfTrue="1">
      <formula>OR(AND(BP306&gt;=10000,BP306&lt;=56999),AND(BP306&gt;=57000,BP306&lt;=57999))</formula>
    </cfRule>
    <cfRule type="expression" dxfId="28503" priority="448" stopIfTrue="1">
      <formula>AND(BP306&gt;=8000,BP306&lt;=9999)</formula>
    </cfRule>
    <cfRule type="expression" dxfId="28502" priority="449" stopIfTrue="1">
      <formula>AND(BP306&gt;=78100,BP306&lt;=78199)</formula>
    </cfRule>
    <cfRule type="expression" dxfId="28501" priority="450" stopIfTrue="1">
      <formula>AND(BP306&gt;=92000,BP306&lt;=98999)</formula>
    </cfRule>
    <cfRule type="expression" dxfId="28500" priority="451" stopIfTrue="1">
      <formula>AND(BP306&gt;=78100,BP306&lt;=78199)</formula>
    </cfRule>
    <cfRule type="expression" dxfId="28499" priority="452" stopIfTrue="1">
      <formula>AND(BP306&gt;=91000,BP306&lt;=91999)</formula>
    </cfRule>
  </conditionalFormatting>
  <conditionalFormatting sqref="BO309">
    <cfRule type="expression" dxfId="28498" priority="431">
      <formula>AND(BP309&gt;=79001,BP309&lt;79900)</formula>
    </cfRule>
    <cfRule type="expression" dxfId="28497" priority="432" stopIfTrue="1">
      <formula>AND(BP309&gt;=70101,BP309&lt;=70301)</formula>
    </cfRule>
    <cfRule type="expression" dxfId="28496" priority="433" stopIfTrue="1">
      <formula>AND(BP309&gt;70000,BP309&lt;70004)</formula>
    </cfRule>
    <cfRule type="expression" dxfId="28495" priority="434" stopIfTrue="1">
      <formula>AND(BP309&gt;=70010,BP309&lt;=76000)</formula>
    </cfRule>
    <cfRule type="expression" dxfId="28494" priority="435">
      <formula>AND(BP309&gt;70000,BP309&lt;70004)</formula>
    </cfRule>
    <cfRule type="expression" dxfId="28493" priority="436" stopIfTrue="1">
      <formula>OR(AND(BP309&gt;=10000,BP309&lt;=56999),AND(BP309&gt;=57000,BP309&lt;=57999))</formula>
    </cfRule>
    <cfRule type="expression" dxfId="28492" priority="437" stopIfTrue="1">
      <formula>AND(BP309&gt;=8000,BP309&lt;=9999)</formula>
    </cfRule>
    <cfRule type="expression" dxfId="28491" priority="438" stopIfTrue="1">
      <formula>AND(BP309&gt;=78100,BP309&lt;=78199)</formula>
    </cfRule>
    <cfRule type="expression" dxfId="28490" priority="439" stopIfTrue="1">
      <formula>AND(BP309&gt;=92000,BP309&lt;=98999)</formula>
    </cfRule>
    <cfRule type="expression" dxfId="28489" priority="440" stopIfTrue="1">
      <formula>AND(BP309&gt;=78100,BP309&lt;=78199)</formula>
    </cfRule>
    <cfRule type="expression" dxfId="28488" priority="441" stopIfTrue="1">
      <formula>AND(BP309&gt;=91000,BP309&lt;=91999)</formula>
    </cfRule>
  </conditionalFormatting>
  <conditionalFormatting sqref="BS306:BS308">
    <cfRule type="expression" dxfId="28487" priority="420">
      <formula>AND(BT306&gt;=79001,BT306&lt;79900)</formula>
    </cfRule>
    <cfRule type="expression" dxfId="28486" priority="421" stopIfTrue="1">
      <formula>AND(BT306&gt;=70101,BT306&lt;=70301)</formula>
    </cfRule>
    <cfRule type="expression" dxfId="28485" priority="422" stopIfTrue="1">
      <formula>AND(BT306&gt;70000,BT306&lt;70004)</formula>
    </cfRule>
    <cfRule type="expression" dxfId="28484" priority="423" stopIfTrue="1">
      <formula>AND(BT306&gt;=70010,BT306&lt;=76000)</formula>
    </cfRule>
    <cfRule type="expression" dxfId="28483" priority="424">
      <formula>AND(BT306&gt;70000,BT306&lt;70004)</formula>
    </cfRule>
    <cfRule type="expression" dxfId="28482" priority="425" stopIfTrue="1">
      <formula>OR(AND(BT306&gt;=10000,BT306&lt;=56999),AND(BT306&gt;=57000,BT306&lt;=57999))</formula>
    </cfRule>
    <cfRule type="expression" dxfId="28481" priority="426" stopIfTrue="1">
      <formula>AND(BT306&gt;=8000,BT306&lt;=9999)</formula>
    </cfRule>
    <cfRule type="expression" dxfId="28480" priority="427" stopIfTrue="1">
      <formula>AND(BT306&gt;=78100,BT306&lt;=78199)</formula>
    </cfRule>
    <cfRule type="expression" dxfId="28479" priority="428" stopIfTrue="1">
      <formula>AND(BT306&gt;=92000,BT306&lt;=98999)</formula>
    </cfRule>
    <cfRule type="expression" dxfId="28478" priority="429" stopIfTrue="1">
      <formula>AND(BT306&gt;=78100,BT306&lt;=78199)</formula>
    </cfRule>
    <cfRule type="expression" dxfId="28477" priority="430" stopIfTrue="1">
      <formula>AND(BT306&gt;=91000,BT306&lt;=91999)</formula>
    </cfRule>
  </conditionalFormatting>
  <conditionalFormatting sqref="BS309">
    <cfRule type="expression" dxfId="28476" priority="409">
      <formula>AND(BT309&gt;=79001,BT309&lt;79900)</formula>
    </cfRule>
    <cfRule type="expression" dxfId="28475" priority="410" stopIfTrue="1">
      <formula>AND(BT309&gt;=70101,BT309&lt;=70301)</formula>
    </cfRule>
    <cfRule type="expression" dxfId="28474" priority="411" stopIfTrue="1">
      <formula>AND(BT309&gt;70000,BT309&lt;70004)</formula>
    </cfRule>
    <cfRule type="expression" dxfId="28473" priority="412" stopIfTrue="1">
      <formula>AND(BT309&gt;=70010,BT309&lt;=76000)</formula>
    </cfRule>
    <cfRule type="expression" dxfId="28472" priority="413">
      <formula>AND(BT309&gt;70000,BT309&lt;70004)</formula>
    </cfRule>
    <cfRule type="expression" dxfId="28471" priority="414" stopIfTrue="1">
      <formula>OR(AND(BT309&gt;=10000,BT309&lt;=56999),AND(BT309&gt;=57000,BT309&lt;=57999))</formula>
    </cfRule>
    <cfRule type="expression" dxfId="28470" priority="415" stopIfTrue="1">
      <formula>AND(BT309&gt;=8000,BT309&lt;=9999)</formula>
    </cfRule>
    <cfRule type="expression" dxfId="28469" priority="416" stopIfTrue="1">
      <formula>AND(BT309&gt;=78100,BT309&lt;=78199)</formula>
    </cfRule>
    <cfRule type="expression" dxfId="28468" priority="417" stopIfTrue="1">
      <formula>AND(BT309&gt;=92000,BT309&lt;=98999)</formula>
    </cfRule>
    <cfRule type="expression" dxfId="28467" priority="418" stopIfTrue="1">
      <formula>AND(BT309&gt;=78100,BT309&lt;=78199)</formula>
    </cfRule>
    <cfRule type="expression" dxfId="28466" priority="419" stopIfTrue="1">
      <formula>AND(BT309&gt;=91000,BT309&lt;=91999)</formula>
    </cfRule>
  </conditionalFormatting>
  <conditionalFormatting sqref="BW306:BW308">
    <cfRule type="expression" dxfId="28465" priority="398">
      <formula>AND(BX306&gt;=79001,BX306&lt;79900)</formula>
    </cfRule>
    <cfRule type="expression" dxfId="28464" priority="399" stopIfTrue="1">
      <formula>AND(BX306&gt;=70101,BX306&lt;=70301)</formula>
    </cfRule>
    <cfRule type="expression" dxfId="28463" priority="400" stopIfTrue="1">
      <formula>AND(BX306&gt;70000,BX306&lt;70004)</formula>
    </cfRule>
    <cfRule type="expression" dxfId="28462" priority="401" stopIfTrue="1">
      <formula>AND(BX306&gt;=70010,BX306&lt;=76000)</formula>
    </cfRule>
    <cfRule type="expression" dxfId="28461" priority="402">
      <formula>AND(BX306&gt;70000,BX306&lt;70004)</formula>
    </cfRule>
    <cfRule type="expression" dxfId="28460" priority="403" stopIfTrue="1">
      <formula>OR(AND(BX306&gt;=10000,BX306&lt;=56999),AND(BX306&gt;=57000,BX306&lt;=57999))</formula>
    </cfRule>
    <cfRule type="expression" dxfId="28459" priority="404" stopIfTrue="1">
      <formula>AND(BX306&gt;=8000,BX306&lt;=9999)</formula>
    </cfRule>
    <cfRule type="expression" dxfId="28458" priority="405" stopIfTrue="1">
      <formula>AND(BX306&gt;=78100,BX306&lt;=78199)</formula>
    </cfRule>
    <cfRule type="expression" dxfId="28457" priority="406" stopIfTrue="1">
      <formula>AND(BX306&gt;=92000,BX306&lt;=98999)</formula>
    </cfRule>
    <cfRule type="expression" dxfId="28456" priority="407" stopIfTrue="1">
      <formula>AND(BX306&gt;=78100,BX306&lt;=78199)</formula>
    </cfRule>
    <cfRule type="expression" dxfId="28455" priority="408" stopIfTrue="1">
      <formula>AND(BX306&gt;=91000,BX306&lt;=91999)</formula>
    </cfRule>
  </conditionalFormatting>
  <conditionalFormatting sqref="BW309">
    <cfRule type="expression" dxfId="28454" priority="387">
      <formula>AND(BX309&gt;=79001,BX309&lt;79900)</formula>
    </cfRule>
    <cfRule type="expression" dxfId="28453" priority="388" stopIfTrue="1">
      <formula>AND(BX309&gt;=70101,BX309&lt;=70301)</formula>
    </cfRule>
    <cfRule type="expression" dxfId="28452" priority="389" stopIfTrue="1">
      <formula>AND(BX309&gt;70000,BX309&lt;70004)</formula>
    </cfRule>
    <cfRule type="expression" dxfId="28451" priority="390" stopIfTrue="1">
      <formula>AND(BX309&gt;=70010,BX309&lt;=76000)</formula>
    </cfRule>
    <cfRule type="expression" dxfId="28450" priority="391">
      <formula>AND(BX309&gt;70000,BX309&lt;70004)</formula>
    </cfRule>
    <cfRule type="expression" dxfId="28449" priority="392" stopIfTrue="1">
      <formula>OR(AND(BX309&gt;=10000,BX309&lt;=56999),AND(BX309&gt;=57000,BX309&lt;=57999))</formula>
    </cfRule>
    <cfRule type="expression" dxfId="28448" priority="393" stopIfTrue="1">
      <formula>AND(BX309&gt;=8000,BX309&lt;=9999)</formula>
    </cfRule>
    <cfRule type="expression" dxfId="28447" priority="394" stopIfTrue="1">
      <formula>AND(BX309&gt;=78100,BX309&lt;=78199)</formula>
    </cfRule>
    <cfRule type="expression" dxfId="28446" priority="395" stopIfTrue="1">
      <formula>AND(BX309&gt;=92000,BX309&lt;=98999)</formula>
    </cfRule>
    <cfRule type="expression" dxfId="28445" priority="396" stopIfTrue="1">
      <formula>AND(BX309&gt;=78100,BX309&lt;=78199)</formula>
    </cfRule>
    <cfRule type="expression" dxfId="28444" priority="397" stopIfTrue="1">
      <formula>AND(BX309&gt;=91000,BX309&lt;=91999)</formula>
    </cfRule>
  </conditionalFormatting>
  <conditionalFormatting sqref="CA306:CA308">
    <cfRule type="expression" dxfId="28443" priority="376">
      <formula>AND(CB306&gt;=79001,CB306&lt;79900)</formula>
    </cfRule>
    <cfRule type="expression" dxfId="28442" priority="377" stopIfTrue="1">
      <formula>AND(CB306&gt;=70101,CB306&lt;=70301)</formula>
    </cfRule>
    <cfRule type="expression" dxfId="28441" priority="378" stopIfTrue="1">
      <formula>AND(CB306&gt;70000,CB306&lt;70004)</formula>
    </cfRule>
    <cfRule type="expression" dxfId="28440" priority="379" stopIfTrue="1">
      <formula>AND(CB306&gt;=70010,CB306&lt;=76000)</formula>
    </cfRule>
    <cfRule type="expression" dxfId="28439" priority="380">
      <formula>AND(CB306&gt;70000,CB306&lt;70004)</formula>
    </cfRule>
    <cfRule type="expression" dxfId="28438" priority="381" stopIfTrue="1">
      <formula>OR(AND(CB306&gt;=10000,CB306&lt;=56999),AND(CB306&gt;=57000,CB306&lt;=57999))</formula>
    </cfRule>
    <cfRule type="expression" dxfId="28437" priority="382" stopIfTrue="1">
      <formula>AND(CB306&gt;=8000,CB306&lt;=9999)</formula>
    </cfRule>
    <cfRule type="expression" dxfId="28436" priority="383" stopIfTrue="1">
      <formula>AND(CB306&gt;=78100,CB306&lt;=78199)</formula>
    </cfRule>
    <cfRule type="expression" dxfId="28435" priority="384" stopIfTrue="1">
      <formula>AND(CB306&gt;=92000,CB306&lt;=98999)</formula>
    </cfRule>
    <cfRule type="expression" dxfId="28434" priority="385" stopIfTrue="1">
      <formula>AND(CB306&gt;=78100,CB306&lt;=78199)</formula>
    </cfRule>
    <cfRule type="expression" dxfId="28433" priority="386" stopIfTrue="1">
      <formula>AND(CB306&gt;=91000,CB306&lt;=91999)</formula>
    </cfRule>
  </conditionalFormatting>
  <conditionalFormatting sqref="CA309">
    <cfRule type="expression" dxfId="28432" priority="365">
      <formula>AND(CB309&gt;=79001,CB309&lt;79900)</formula>
    </cfRule>
    <cfRule type="expression" dxfId="28431" priority="366" stopIfTrue="1">
      <formula>AND(CB309&gt;=70101,CB309&lt;=70301)</formula>
    </cfRule>
    <cfRule type="expression" dxfId="28430" priority="367" stopIfTrue="1">
      <formula>AND(CB309&gt;70000,CB309&lt;70004)</formula>
    </cfRule>
    <cfRule type="expression" dxfId="28429" priority="368" stopIfTrue="1">
      <formula>AND(CB309&gt;=70010,CB309&lt;=76000)</formula>
    </cfRule>
    <cfRule type="expression" dxfId="28428" priority="369">
      <formula>AND(CB309&gt;70000,CB309&lt;70004)</formula>
    </cfRule>
    <cfRule type="expression" dxfId="28427" priority="370" stopIfTrue="1">
      <formula>OR(AND(CB309&gt;=10000,CB309&lt;=56999),AND(CB309&gt;=57000,CB309&lt;=57999))</formula>
    </cfRule>
    <cfRule type="expression" dxfId="28426" priority="371" stopIfTrue="1">
      <formula>AND(CB309&gt;=8000,CB309&lt;=9999)</formula>
    </cfRule>
    <cfRule type="expression" dxfId="28425" priority="372" stopIfTrue="1">
      <formula>AND(CB309&gt;=78100,CB309&lt;=78199)</formula>
    </cfRule>
    <cfRule type="expression" dxfId="28424" priority="373" stopIfTrue="1">
      <formula>AND(CB309&gt;=92000,CB309&lt;=98999)</formula>
    </cfRule>
    <cfRule type="expression" dxfId="28423" priority="374" stopIfTrue="1">
      <formula>AND(CB309&gt;=78100,CB309&lt;=78199)</formula>
    </cfRule>
    <cfRule type="expression" dxfId="28422" priority="375" stopIfTrue="1">
      <formula>AND(CB309&gt;=91000,CB309&lt;=91999)</formula>
    </cfRule>
  </conditionalFormatting>
  <conditionalFormatting sqref="CE306:CE308">
    <cfRule type="expression" dxfId="28421" priority="354">
      <formula>AND(CF306&gt;=79001,CF306&lt;79900)</formula>
    </cfRule>
    <cfRule type="expression" dxfId="28420" priority="355" stopIfTrue="1">
      <formula>AND(CF306&gt;=70101,CF306&lt;=70301)</formula>
    </cfRule>
    <cfRule type="expression" dxfId="28419" priority="356" stopIfTrue="1">
      <formula>AND(CF306&gt;70000,CF306&lt;70004)</formula>
    </cfRule>
    <cfRule type="expression" dxfId="28418" priority="357" stopIfTrue="1">
      <formula>AND(CF306&gt;=70010,CF306&lt;=76000)</formula>
    </cfRule>
    <cfRule type="expression" dxfId="28417" priority="358">
      <formula>AND(CF306&gt;70000,CF306&lt;70004)</formula>
    </cfRule>
    <cfRule type="expression" dxfId="28416" priority="359" stopIfTrue="1">
      <formula>OR(AND(CF306&gt;=10000,CF306&lt;=56999),AND(CF306&gt;=57000,CF306&lt;=57999))</formula>
    </cfRule>
    <cfRule type="expression" dxfId="28415" priority="360" stopIfTrue="1">
      <formula>AND(CF306&gt;=8000,CF306&lt;=9999)</formula>
    </cfRule>
    <cfRule type="expression" dxfId="28414" priority="361" stopIfTrue="1">
      <formula>AND(CF306&gt;=78100,CF306&lt;=78199)</formula>
    </cfRule>
    <cfRule type="expression" dxfId="28413" priority="362" stopIfTrue="1">
      <formula>AND(CF306&gt;=92000,CF306&lt;=98999)</formula>
    </cfRule>
    <cfRule type="expression" dxfId="28412" priority="363" stopIfTrue="1">
      <formula>AND(CF306&gt;=78100,CF306&lt;=78199)</formula>
    </cfRule>
    <cfRule type="expression" dxfId="28411" priority="364" stopIfTrue="1">
      <formula>AND(CF306&gt;=91000,CF306&lt;=91999)</formula>
    </cfRule>
  </conditionalFormatting>
  <conditionalFormatting sqref="CE309">
    <cfRule type="expression" dxfId="28410" priority="343">
      <formula>AND(CF309&gt;=79001,CF309&lt;79900)</formula>
    </cfRule>
    <cfRule type="expression" dxfId="28409" priority="344" stopIfTrue="1">
      <formula>AND(CF309&gt;=70101,CF309&lt;=70301)</formula>
    </cfRule>
    <cfRule type="expression" dxfId="28408" priority="345" stopIfTrue="1">
      <formula>AND(CF309&gt;70000,CF309&lt;70004)</formula>
    </cfRule>
    <cfRule type="expression" dxfId="28407" priority="346" stopIfTrue="1">
      <formula>AND(CF309&gt;=70010,CF309&lt;=76000)</formula>
    </cfRule>
    <cfRule type="expression" dxfId="28406" priority="347">
      <formula>AND(CF309&gt;70000,CF309&lt;70004)</formula>
    </cfRule>
    <cfRule type="expression" dxfId="28405" priority="348" stopIfTrue="1">
      <formula>OR(AND(CF309&gt;=10000,CF309&lt;=56999),AND(CF309&gt;=57000,CF309&lt;=57999))</formula>
    </cfRule>
    <cfRule type="expression" dxfId="28404" priority="349" stopIfTrue="1">
      <formula>AND(CF309&gt;=8000,CF309&lt;=9999)</formula>
    </cfRule>
    <cfRule type="expression" dxfId="28403" priority="350" stopIfTrue="1">
      <formula>AND(CF309&gt;=78100,CF309&lt;=78199)</formula>
    </cfRule>
    <cfRule type="expression" dxfId="28402" priority="351" stopIfTrue="1">
      <formula>AND(CF309&gt;=92000,CF309&lt;=98999)</formula>
    </cfRule>
    <cfRule type="expression" dxfId="28401" priority="352" stopIfTrue="1">
      <formula>AND(CF309&gt;=78100,CF309&lt;=78199)</formula>
    </cfRule>
    <cfRule type="expression" dxfId="28400" priority="353" stopIfTrue="1">
      <formula>AND(CF309&gt;=91000,CF309&lt;=91999)</formula>
    </cfRule>
  </conditionalFormatting>
  <conditionalFormatting sqref="CI306:CI308">
    <cfRule type="expression" dxfId="28399" priority="332">
      <formula>AND(CJ306&gt;=79001,CJ306&lt;79900)</formula>
    </cfRule>
    <cfRule type="expression" dxfId="28398" priority="333" stopIfTrue="1">
      <formula>AND(CJ306&gt;=70101,CJ306&lt;=70301)</formula>
    </cfRule>
    <cfRule type="expression" dxfId="28397" priority="334" stopIfTrue="1">
      <formula>AND(CJ306&gt;70000,CJ306&lt;70004)</formula>
    </cfRule>
    <cfRule type="expression" dxfId="28396" priority="335" stopIfTrue="1">
      <formula>AND(CJ306&gt;=70010,CJ306&lt;=76000)</formula>
    </cfRule>
    <cfRule type="expression" dxfId="28395" priority="336">
      <formula>AND(CJ306&gt;70000,CJ306&lt;70004)</formula>
    </cfRule>
    <cfRule type="expression" dxfId="28394" priority="337" stopIfTrue="1">
      <formula>OR(AND(CJ306&gt;=10000,CJ306&lt;=56999),AND(CJ306&gt;=57000,CJ306&lt;=57999))</formula>
    </cfRule>
    <cfRule type="expression" dxfId="28393" priority="338" stopIfTrue="1">
      <formula>AND(CJ306&gt;=8000,CJ306&lt;=9999)</formula>
    </cfRule>
    <cfRule type="expression" dxfId="28392" priority="339" stopIfTrue="1">
      <formula>AND(CJ306&gt;=78100,CJ306&lt;=78199)</formula>
    </cfRule>
    <cfRule type="expression" dxfId="28391" priority="340" stopIfTrue="1">
      <formula>AND(CJ306&gt;=92000,CJ306&lt;=98999)</formula>
    </cfRule>
    <cfRule type="expression" dxfId="28390" priority="341" stopIfTrue="1">
      <formula>AND(CJ306&gt;=78100,CJ306&lt;=78199)</formula>
    </cfRule>
    <cfRule type="expression" dxfId="28389" priority="342" stopIfTrue="1">
      <formula>AND(CJ306&gt;=91000,CJ306&lt;=91999)</formula>
    </cfRule>
  </conditionalFormatting>
  <conditionalFormatting sqref="CI309">
    <cfRule type="expression" dxfId="28388" priority="321">
      <formula>AND(CJ309&gt;=79001,CJ309&lt;79900)</formula>
    </cfRule>
    <cfRule type="expression" dxfId="28387" priority="322" stopIfTrue="1">
      <formula>AND(CJ309&gt;=70101,CJ309&lt;=70301)</formula>
    </cfRule>
    <cfRule type="expression" dxfId="28386" priority="323" stopIfTrue="1">
      <formula>AND(CJ309&gt;70000,CJ309&lt;70004)</formula>
    </cfRule>
    <cfRule type="expression" dxfId="28385" priority="324" stopIfTrue="1">
      <formula>AND(CJ309&gt;=70010,CJ309&lt;=76000)</formula>
    </cfRule>
    <cfRule type="expression" dxfId="28384" priority="325">
      <formula>AND(CJ309&gt;70000,CJ309&lt;70004)</formula>
    </cfRule>
    <cfRule type="expression" dxfId="28383" priority="326" stopIfTrue="1">
      <formula>OR(AND(CJ309&gt;=10000,CJ309&lt;=56999),AND(CJ309&gt;=57000,CJ309&lt;=57999))</formula>
    </cfRule>
    <cfRule type="expression" dxfId="28382" priority="327" stopIfTrue="1">
      <formula>AND(CJ309&gt;=8000,CJ309&lt;=9999)</formula>
    </cfRule>
    <cfRule type="expression" dxfId="28381" priority="328" stopIfTrue="1">
      <formula>AND(CJ309&gt;=78100,CJ309&lt;=78199)</formula>
    </cfRule>
    <cfRule type="expression" dxfId="28380" priority="329" stopIfTrue="1">
      <formula>AND(CJ309&gt;=92000,CJ309&lt;=98999)</formula>
    </cfRule>
    <cfRule type="expression" dxfId="28379" priority="330" stopIfTrue="1">
      <formula>AND(CJ309&gt;=78100,CJ309&lt;=78199)</formula>
    </cfRule>
    <cfRule type="expression" dxfId="28378" priority="331" stopIfTrue="1">
      <formula>AND(CJ309&gt;=91000,CJ309&lt;=91999)</formula>
    </cfRule>
  </conditionalFormatting>
  <conditionalFormatting sqref="CM306:CM308">
    <cfRule type="expression" dxfId="28377" priority="310">
      <formula>AND(CN306&gt;=79001,CN306&lt;79900)</formula>
    </cfRule>
    <cfRule type="expression" dxfId="28376" priority="311" stopIfTrue="1">
      <formula>AND(CN306&gt;=70101,CN306&lt;=70301)</formula>
    </cfRule>
    <cfRule type="expression" dxfId="28375" priority="312" stopIfTrue="1">
      <formula>AND(CN306&gt;70000,CN306&lt;70004)</formula>
    </cfRule>
    <cfRule type="expression" dxfId="28374" priority="313" stopIfTrue="1">
      <formula>AND(CN306&gt;=70010,CN306&lt;=76000)</formula>
    </cfRule>
    <cfRule type="expression" dxfId="28373" priority="314">
      <formula>AND(CN306&gt;70000,CN306&lt;70004)</formula>
    </cfRule>
    <cfRule type="expression" dxfId="28372" priority="315" stopIfTrue="1">
      <formula>OR(AND(CN306&gt;=10000,CN306&lt;=56999),AND(CN306&gt;=57000,CN306&lt;=57999))</formula>
    </cfRule>
    <cfRule type="expression" dxfId="28371" priority="316" stopIfTrue="1">
      <formula>AND(CN306&gt;=8000,CN306&lt;=9999)</formula>
    </cfRule>
    <cfRule type="expression" dxfId="28370" priority="317" stopIfTrue="1">
      <formula>AND(CN306&gt;=78100,CN306&lt;=78199)</formula>
    </cfRule>
    <cfRule type="expression" dxfId="28369" priority="318" stopIfTrue="1">
      <formula>AND(CN306&gt;=92000,CN306&lt;=98999)</formula>
    </cfRule>
    <cfRule type="expression" dxfId="28368" priority="319" stopIfTrue="1">
      <formula>AND(CN306&gt;=78100,CN306&lt;=78199)</formula>
    </cfRule>
    <cfRule type="expression" dxfId="28367" priority="320" stopIfTrue="1">
      <formula>AND(CN306&gt;=91000,CN306&lt;=91999)</formula>
    </cfRule>
  </conditionalFormatting>
  <conditionalFormatting sqref="CM309">
    <cfRule type="expression" dxfId="28366" priority="299">
      <formula>AND(CN309&gt;=79001,CN309&lt;79900)</formula>
    </cfRule>
    <cfRule type="expression" dxfId="28365" priority="300" stopIfTrue="1">
      <formula>AND(CN309&gt;=70101,CN309&lt;=70301)</formula>
    </cfRule>
    <cfRule type="expression" dxfId="28364" priority="301" stopIfTrue="1">
      <formula>AND(CN309&gt;70000,CN309&lt;70004)</formula>
    </cfRule>
    <cfRule type="expression" dxfId="28363" priority="302" stopIfTrue="1">
      <formula>AND(CN309&gt;=70010,CN309&lt;=76000)</formula>
    </cfRule>
    <cfRule type="expression" dxfId="28362" priority="303">
      <formula>AND(CN309&gt;70000,CN309&lt;70004)</formula>
    </cfRule>
    <cfRule type="expression" dxfId="28361" priority="304" stopIfTrue="1">
      <formula>OR(AND(CN309&gt;=10000,CN309&lt;=56999),AND(CN309&gt;=57000,CN309&lt;=57999))</formula>
    </cfRule>
    <cfRule type="expression" dxfId="28360" priority="305" stopIfTrue="1">
      <formula>AND(CN309&gt;=8000,CN309&lt;=9999)</formula>
    </cfRule>
    <cfRule type="expression" dxfId="28359" priority="306" stopIfTrue="1">
      <formula>AND(CN309&gt;=78100,CN309&lt;=78199)</formula>
    </cfRule>
    <cfRule type="expression" dxfId="28358" priority="307" stopIfTrue="1">
      <formula>AND(CN309&gt;=92000,CN309&lt;=98999)</formula>
    </cfRule>
    <cfRule type="expression" dxfId="28357" priority="308" stopIfTrue="1">
      <formula>AND(CN309&gt;=78100,CN309&lt;=78199)</formula>
    </cfRule>
    <cfRule type="expression" dxfId="28356" priority="309" stopIfTrue="1">
      <formula>AND(CN309&gt;=91000,CN309&lt;=91999)</formula>
    </cfRule>
  </conditionalFormatting>
  <conditionalFormatting sqref="CQ306:CQ308">
    <cfRule type="expression" dxfId="28355" priority="288">
      <formula>AND(CR306&gt;=79001,CR306&lt;79900)</formula>
    </cfRule>
    <cfRule type="expression" dxfId="28354" priority="289" stopIfTrue="1">
      <formula>AND(CR306&gt;=70101,CR306&lt;=70301)</formula>
    </cfRule>
    <cfRule type="expression" dxfId="28353" priority="290" stopIfTrue="1">
      <formula>AND(CR306&gt;70000,CR306&lt;70004)</formula>
    </cfRule>
    <cfRule type="expression" dxfId="28352" priority="291" stopIfTrue="1">
      <formula>AND(CR306&gt;=70010,CR306&lt;=76000)</formula>
    </cfRule>
    <cfRule type="expression" dxfId="28351" priority="292">
      <formula>AND(CR306&gt;70000,CR306&lt;70004)</formula>
    </cfRule>
    <cfRule type="expression" dxfId="28350" priority="293" stopIfTrue="1">
      <formula>OR(AND(CR306&gt;=10000,CR306&lt;=56999),AND(CR306&gt;=57000,CR306&lt;=57999))</formula>
    </cfRule>
    <cfRule type="expression" dxfId="28349" priority="294" stopIfTrue="1">
      <formula>AND(CR306&gt;=8000,CR306&lt;=9999)</formula>
    </cfRule>
    <cfRule type="expression" dxfId="28348" priority="295" stopIfTrue="1">
      <formula>AND(CR306&gt;=78100,CR306&lt;=78199)</formula>
    </cfRule>
    <cfRule type="expression" dxfId="28347" priority="296" stopIfTrue="1">
      <formula>AND(CR306&gt;=92000,CR306&lt;=98999)</formula>
    </cfRule>
    <cfRule type="expression" dxfId="28346" priority="297" stopIfTrue="1">
      <formula>AND(CR306&gt;=78100,CR306&lt;=78199)</formula>
    </cfRule>
    <cfRule type="expression" dxfId="28345" priority="298" stopIfTrue="1">
      <formula>AND(CR306&gt;=91000,CR306&lt;=91999)</formula>
    </cfRule>
  </conditionalFormatting>
  <conditionalFormatting sqref="CQ309">
    <cfRule type="expression" dxfId="28344" priority="277">
      <formula>AND(CR309&gt;=79001,CR309&lt;79900)</formula>
    </cfRule>
    <cfRule type="expression" dxfId="28343" priority="278" stopIfTrue="1">
      <formula>AND(CR309&gt;=70101,CR309&lt;=70301)</formula>
    </cfRule>
    <cfRule type="expression" dxfId="28342" priority="279" stopIfTrue="1">
      <formula>AND(CR309&gt;70000,CR309&lt;70004)</formula>
    </cfRule>
    <cfRule type="expression" dxfId="28341" priority="280" stopIfTrue="1">
      <formula>AND(CR309&gt;=70010,CR309&lt;=76000)</formula>
    </cfRule>
    <cfRule type="expression" dxfId="28340" priority="281">
      <formula>AND(CR309&gt;70000,CR309&lt;70004)</formula>
    </cfRule>
    <cfRule type="expression" dxfId="28339" priority="282" stopIfTrue="1">
      <formula>OR(AND(CR309&gt;=10000,CR309&lt;=56999),AND(CR309&gt;=57000,CR309&lt;=57999))</formula>
    </cfRule>
    <cfRule type="expression" dxfId="28338" priority="283" stopIfTrue="1">
      <formula>AND(CR309&gt;=8000,CR309&lt;=9999)</formula>
    </cfRule>
    <cfRule type="expression" dxfId="28337" priority="284" stopIfTrue="1">
      <formula>AND(CR309&gt;=78100,CR309&lt;=78199)</formula>
    </cfRule>
    <cfRule type="expression" dxfId="28336" priority="285" stopIfTrue="1">
      <formula>AND(CR309&gt;=92000,CR309&lt;=98999)</formula>
    </cfRule>
    <cfRule type="expression" dxfId="28335" priority="286" stopIfTrue="1">
      <formula>AND(CR309&gt;=78100,CR309&lt;=78199)</formula>
    </cfRule>
    <cfRule type="expression" dxfId="28334" priority="287" stopIfTrue="1">
      <formula>AND(CR309&gt;=91000,CR309&lt;=91999)</formula>
    </cfRule>
  </conditionalFormatting>
  <conditionalFormatting sqref="CU306:CU308">
    <cfRule type="expression" dxfId="28333" priority="266">
      <formula>AND(CV306&gt;=79001,CV306&lt;79900)</formula>
    </cfRule>
    <cfRule type="expression" dxfId="28332" priority="267" stopIfTrue="1">
      <formula>AND(CV306&gt;=70101,CV306&lt;=70301)</formula>
    </cfRule>
    <cfRule type="expression" dxfId="28331" priority="268" stopIfTrue="1">
      <formula>AND(CV306&gt;70000,CV306&lt;70004)</formula>
    </cfRule>
    <cfRule type="expression" dxfId="28330" priority="269" stopIfTrue="1">
      <formula>AND(CV306&gt;=70010,CV306&lt;=76000)</formula>
    </cfRule>
    <cfRule type="expression" dxfId="28329" priority="270">
      <formula>AND(CV306&gt;70000,CV306&lt;70004)</formula>
    </cfRule>
    <cfRule type="expression" dxfId="28328" priority="271" stopIfTrue="1">
      <formula>OR(AND(CV306&gt;=10000,CV306&lt;=56999),AND(CV306&gt;=57000,CV306&lt;=57999))</formula>
    </cfRule>
    <cfRule type="expression" dxfId="28327" priority="272" stopIfTrue="1">
      <formula>AND(CV306&gt;=8000,CV306&lt;=9999)</formula>
    </cfRule>
    <cfRule type="expression" dxfId="28326" priority="273" stopIfTrue="1">
      <formula>AND(CV306&gt;=78100,CV306&lt;=78199)</formula>
    </cfRule>
    <cfRule type="expression" dxfId="28325" priority="274" stopIfTrue="1">
      <formula>AND(CV306&gt;=92000,CV306&lt;=98999)</formula>
    </cfRule>
    <cfRule type="expression" dxfId="28324" priority="275" stopIfTrue="1">
      <formula>AND(CV306&gt;=78100,CV306&lt;=78199)</formula>
    </cfRule>
    <cfRule type="expression" dxfId="28323" priority="276" stopIfTrue="1">
      <formula>AND(CV306&gt;=91000,CV306&lt;=91999)</formula>
    </cfRule>
  </conditionalFormatting>
  <conditionalFormatting sqref="CU309">
    <cfRule type="expression" dxfId="28322" priority="255">
      <formula>AND(CV309&gt;=79001,CV309&lt;79900)</formula>
    </cfRule>
    <cfRule type="expression" dxfId="28321" priority="256" stopIfTrue="1">
      <formula>AND(CV309&gt;=70101,CV309&lt;=70301)</formula>
    </cfRule>
    <cfRule type="expression" dxfId="28320" priority="257" stopIfTrue="1">
      <formula>AND(CV309&gt;70000,CV309&lt;70004)</formula>
    </cfRule>
    <cfRule type="expression" dxfId="28319" priority="258" stopIfTrue="1">
      <formula>AND(CV309&gt;=70010,CV309&lt;=76000)</formula>
    </cfRule>
    <cfRule type="expression" dxfId="28318" priority="259">
      <formula>AND(CV309&gt;70000,CV309&lt;70004)</formula>
    </cfRule>
    <cfRule type="expression" dxfId="28317" priority="260" stopIfTrue="1">
      <formula>OR(AND(CV309&gt;=10000,CV309&lt;=56999),AND(CV309&gt;=57000,CV309&lt;=57999))</formula>
    </cfRule>
    <cfRule type="expression" dxfId="28316" priority="261" stopIfTrue="1">
      <formula>AND(CV309&gt;=8000,CV309&lt;=9999)</formula>
    </cfRule>
    <cfRule type="expression" dxfId="28315" priority="262" stopIfTrue="1">
      <formula>AND(CV309&gt;=78100,CV309&lt;=78199)</formula>
    </cfRule>
    <cfRule type="expression" dxfId="28314" priority="263" stopIfTrue="1">
      <formula>AND(CV309&gt;=92000,CV309&lt;=98999)</formula>
    </cfRule>
    <cfRule type="expression" dxfId="28313" priority="264" stopIfTrue="1">
      <formula>AND(CV309&gt;=78100,CV309&lt;=78199)</formula>
    </cfRule>
    <cfRule type="expression" dxfId="28312" priority="265" stopIfTrue="1">
      <formula>AND(CV309&gt;=91000,CV309&lt;=91999)</formula>
    </cfRule>
  </conditionalFormatting>
  <conditionalFormatting sqref="CY306:CY308">
    <cfRule type="expression" dxfId="28311" priority="244">
      <formula>AND(CZ306&gt;=79001,CZ306&lt;79900)</formula>
    </cfRule>
    <cfRule type="expression" dxfId="28310" priority="245" stopIfTrue="1">
      <formula>AND(CZ306&gt;=70101,CZ306&lt;=70301)</formula>
    </cfRule>
    <cfRule type="expression" dxfId="28309" priority="246" stopIfTrue="1">
      <formula>AND(CZ306&gt;70000,CZ306&lt;70004)</formula>
    </cfRule>
    <cfRule type="expression" dxfId="28308" priority="247" stopIfTrue="1">
      <formula>AND(CZ306&gt;=70010,CZ306&lt;=76000)</formula>
    </cfRule>
    <cfRule type="expression" dxfId="28307" priority="248">
      <formula>AND(CZ306&gt;70000,CZ306&lt;70004)</formula>
    </cfRule>
    <cfRule type="expression" dxfId="28306" priority="249" stopIfTrue="1">
      <formula>OR(AND(CZ306&gt;=10000,CZ306&lt;=56999),AND(CZ306&gt;=57000,CZ306&lt;=57999))</formula>
    </cfRule>
    <cfRule type="expression" dxfId="28305" priority="250" stopIfTrue="1">
      <formula>AND(CZ306&gt;=8000,CZ306&lt;=9999)</formula>
    </cfRule>
    <cfRule type="expression" dxfId="28304" priority="251" stopIfTrue="1">
      <formula>AND(CZ306&gt;=78100,CZ306&lt;=78199)</formula>
    </cfRule>
    <cfRule type="expression" dxfId="28303" priority="252" stopIfTrue="1">
      <formula>AND(CZ306&gt;=92000,CZ306&lt;=98999)</formula>
    </cfRule>
    <cfRule type="expression" dxfId="28302" priority="253" stopIfTrue="1">
      <formula>AND(CZ306&gt;=78100,CZ306&lt;=78199)</formula>
    </cfRule>
    <cfRule type="expression" dxfId="28301" priority="254" stopIfTrue="1">
      <formula>AND(CZ306&gt;=91000,CZ306&lt;=91999)</formula>
    </cfRule>
  </conditionalFormatting>
  <conditionalFormatting sqref="CY309">
    <cfRule type="expression" dxfId="28300" priority="233">
      <formula>AND(CZ309&gt;=79001,CZ309&lt;79900)</formula>
    </cfRule>
    <cfRule type="expression" dxfId="28299" priority="234" stopIfTrue="1">
      <formula>AND(CZ309&gt;=70101,CZ309&lt;=70301)</formula>
    </cfRule>
    <cfRule type="expression" dxfId="28298" priority="235" stopIfTrue="1">
      <formula>AND(CZ309&gt;70000,CZ309&lt;70004)</formula>
    </cfRule>
    <cfRule type="expression" dxfId="28297" priority="236" stopIfTrue="1">
      <formula>AND(CZ309&gt;=70010,CZ309&lt;=76000)</formula>
    </cfRule>
    <cfRule type="expression" dxfId="28296" priority="237">
      <formula>AND(CZ309&gt;70000,CZ309&lt;70004)</formula>
    </cfRule>
    <cfRule type="expression" dxfId="28295" priority="238" stopIfTrue="1">
      <formula>OR(AND(CZ309&gt;=10000,CZ309&lt;=56999),AND(CZ309&gt;=57000,CZ309&lt;=57999))</formula>
    </cfRule>
    <cfRule type="expression" dxfId="28294" priority="239" stopIfTrue="1">
      <formula>AND(CZ309&gt;=8000,CZ309&lt;=9999)</formula>
    </cfRule>
    <cfRule type="expression" dxfId="28293" priority="240" stopIfTrue="1">
      <formula>AND(CZ309&gt;=78100,CZ309&lt;=78199)</formula>
    </cfRule>
    <cfRule type="expression" dxfId="28292" priority="241" stopIfTrue="1">
      <formula>AND(CZ309&gt;=92000,CZ309&lt;=98999)</formula>
    </cfRule>
    <cfRule type="expression" dxfId="28291" priority="242" stopIfTrue="1">
      <formula>AND(CZ309&gt;=78100,CZ309&lt;=78199)</formula>
    </cfRule>
    <cfRule type="expression" dxfId="28290" priority="243" stopIfTrue="1">
      <formula>AND(CZ309&gt;=91000,CZ309&lt;=91999)</formula>
    </cfRule>
  </conditionalFormatting>
  <conditionalFormatting sqref="DC306:DC308">
    <cfRule type="expression" dxfId="28289" priority="222">
      <formula>AND(DD306&gt;=79001,DD306&lt;79900)</formula>
    </cfRule>
    <cfRule type="expression" dxfId="28288" priority="223" stopIfTrue="1">
      <formula>AND(DD306&gt;=70101,DD306&lt;=70301)</formula>
    </cfRule>
    <cfRule type="expression" dxfId="28287" priority="224" stopIfTrue="1">
      <formula>AND(DD306&gt;70000,DD306&lt;70004)</formula>
    </cfRule>
    <cfRule type="expression" dxfId="28286" priority="225" stopIfTrue="1">
      <formula>AND(DD306&gt;=70010,DD306&lt;=76000)</formula>
    </cfRule>
    <cfRule type="expression" dxfId="28285" priority="226">
      <formula>AND(DD306&gt;70000,DD306&lt;70004)</formula>
    </cfRule>
    <cfRule type="expression" dxfId="28284" priority="227" stopIfTrue="1">
      <formula>OR(AND(DD306&gt;=10000,DD306&lt;=56999),AND(DD306&gt;=57000,DD306&lt;=57999))</formula>
    </cfRule>
    <cfRule type="expression" dxfId="28283" priority="228" stopIfTrue="1">
      <formula>AND(DD306&gt;=8000,DD306&lt;=9999)</formula>
    </cfRule>
    <cfRule type="expression" dxfId="28282" priority="229" stopIfTrue="1">
      <formula>AND(DD306&gt;=78100,DD306&lt;=78199)</formula>
    </cfRule>
    <cfRule type="expression" dxfId="28281" priority="230" stopIfTrue="1">
      <formula>AND(DD306&gt;=92000,DD306&lt;=98999)</formula>
    </cfRule>
    <cfRule type="expression" dxfId="28280" priority="231" stopIfTrue="1">
      <formula>AND(DD306&gt;=78100,DD306&lt;=78199)</formula>
    </cfRule>
    <cfRule type="expression" dxfId="28279" priority="232" stopIfTrue="1">
      <formula>AND(DD306&gt;=91000,DD306&lt;=91999)</formula>
    </cfRule>
  </conditionalFormatting>
  <conditionalFormatting sqref="DC309">
    <cfRule type="expression" dxfId="28278" priority="211">
      <formula>AND(DD309&gt;=79001,DD309&lt;79900)</formula>
    </cfRule>
    <cfRule type="expression" dxfId="28277" priority="212" stopIfTrue="1">
      <formula>AND(DD309&gt;=70101,DD309&lt;=70301)</formula>
    </cfRule>
    <cfRule type="expression" dxfId="28276" priority="213" stopIfTrue="1">
      <formula>AND(DD309&gt;70000,DD309&lt;70004)</formula>
    </cfRule>
    <cfRule type="expression" dxfId="28275" priority="214" stopIfTrue="1">
      <formula>AND(DD309&gt;=70010,DD309&lt;=76000)</formula>
    </cfRule>
    <cfRule type="expression" dxfId="28274" priority="215">
      <formula>AND(DD309&gt;70000,DD309&lt;70004)</formula>
    </cfRule>
    <cfRule type="expression" dxfId="28273" priority="216" stopIfTrue="1">
      <formula>OR(AND(DD309&gt;=10000,DD309&lt;=56999),AND(DD309&gt;=57000,DD309&lt;=57999))</formula>
    </cfRule>
    <cfRule type="expression" dxfId="28272" priority="217" stopIfTrue="1">
      <formula>AND(DD309&gt;=8000,DD309&lt;=9999)</formula>
    </cfRule>
    <cfRule type="expression" dxfId="28271" priority="218" stopIfTrue="1">
      <formula>AND(DD309&gt;=78100,DD309&lt;=78199)</formula>
    </cfRule>
    <cfRule type="expression" dxfId="28270" priority="219" stopIfTrue="1">
      <formula>AND(DD309&gt;=92000,DD309&lt;=98999)</formula>
    </cfRule>
    <cfRule type="expression" dxfId="28269" priority="220" stopIfTrue="1">
      <formula>AND(DD309&gt;=78100,DD309&lt;=78199)</formula>
    </cfRule>
    <cfRule type="expression" dxfId="28268" priority="221" stopIfTrue="1">
      <formula>AND(DD309&gt;=91000,DD309&lt;=91999)</formula>
    </cfRule>
  </conditionalFormatting>
  <conditionalFormatting sqref="DG306:DG308">
    <cfRule type="expression" dxfId="28267" priority="200">
      <formula>AND(DH306&gt;=79001,DH306&lt;79900)</formula>
    </cfRule>
    <cfRule type="expression" dxfId="28266" priority="201" stopIfTrue="1">
      <formula>AND(DH306&gt;=70101,DH306&lt;=70301)</formula>
    </cfRule>
    <cfRule type="expression" dxfId="28265" priority="202" stopIfTrue="1">
      <formula>AND(DH306&gt;70000,DH306&lt;70004)</formula>
    </cfRule>
    <cfRule type="expression" dxfId="28264" priority="203" stopIfTrue="1">
      <formula>AND(DH306&gt;=70010,DH306&lt;=76000)</formula>
    </cfRule>
    <cfRule type="expression" dxfId="28263" priority="204">
      <formula>AND(DH306&gt;70000,DH306&lt;70004)</formula>
    </cfRule>
    <cfRule type="expression" dxfId="28262" priority="205" stopIfTrue="1">
      <formula>OR(AND(DH306&gt;=10000,DH306&lt;=56999),AND(DH306&gt;=57000,DH306&lt;=57999))</formula>
    </cfRule>
    <cfRule type="expression" dxfId="28261" priority="206" stopIfTrue="1">
      <formula>AND(DH306&gt;=8000,DH306&lt;=9999)</formula>
    </cfRule>
    <cfRule type="expression" dxfId="28260" priority="207" stopIfTrue="1">
      <formula>AND(DH306&gt;=78100,DH306&lt;=78199)</formula>
    </cfRule>
    <cfRule type="expression" dxfId="28259" priority="208" stopIfTrue="1">
      <formula>AND(DH306&gt;=92000,DH306&lt;=98999)</formula>
    </cfRule>
    <cfRule type="expression" dxfId="28258" priority="209" stopIfTrue="1">
      <formula>AND(DH306&gt;=78100,DH306&lt;=78199)</formula>
    </cfRule>
    <cfRule type="expression" dxfId="28257" priority="210" stopIfTrue="1">
      <formula>AND(DH306&gt;=91000,DH306&lt;=91999)</formula>
    </cfRule>
  </conditionalFormatting>
  <conditionalFormatting sqref="DG309">
    <cfRule type="expression" dxfId="28256" priority="189">
      <formula>AND(DH309&gt;=79001,DH309&lt;79900)</formula>
    </cfRule>
    <cfRule type="expression" dxfId="28255" priority="190" stopIfTrue="1">
      <formula>AND(DH309&gt;=70101,DH309&lt;=70301)</formula>
    </cfRule>
    <cfRule type="expression" dxfId="28254" priority="191" stopIfTrue="1">
      <formula>AND(DH309&gt;70000,DH309&lt;70004)</formula>
    </cfRule>
    <cfRule type="expression" dxfId="28253" priority="192" stopIfTrue="1">
      <formula>AND(DH309&gt;=70010,DH309&lt;=76000)</formula>
    </cfRule>
    <cfRule type="expression" dxfId="28252" priority="193">
      <formula>AND(DH309&gt;70000,DH309&lt;70004)</formula>
    </cfRule>
    <cfRule type="expression" dxfId="28251" priority="194" stopIfTrue="1">
      <formula>OR(AND(DH309&gt;=10000,DH309&lt;=56999),AND(DH309&gt;=57000,DH309&lt;=57999))</formula>
    </cfRule>
    <cfRule type="expression" dxfId="28250" priority="195" stopIfTrue="1">
      <formula>AND(DH309&gt;=8000,DH309&lt;=9999)</formula>
    </cfRule>
    <cfRule type="expression" dxfId="28249" priority="196" stopIfTrue="1">
      <formula>AND(DH309&gt;=78100,DH309&lt;=78199)</formula>
    </cfRule>
    <cfRule type="expression" dxfId="28248" priority="197" stopIfTrue="1">
      <formula>AND(DH309&gt;=92000,DH309&lt;=98999)</formula>
    </cfRule>
    <cfRule type="expression" dxfId="28247" priority="198" stopIfTrue="1">
      <formula>AND(DH309&gt;=78100,DH309&lt;=78199)</formula>
    </cfRule>
    <cfRule type="expression" dxfId="28246" priority="199" stopIfTrue="1">
      <formula>AND(DH309&gt;=91000,DH309&lt;=91999)</formula>
    </cfRule>
  </conditionalFormatting>
  <conditionalFormatting sqref="DK306:DK308">
    <cfRule type="expression" dxfId="28245" priority="178">
      <formula>AND(DL306&gt;=79001,DL306&lt;79900)</formula>
    </cfRule>
    <cfRule type="expression" dxfId="28244" priority="179" stopIfTrue="1">
      <formula>AND(DL306&gt;=70101,DL306&lt;=70301)</formula>
    </cfRule>
    <cfRule type="expression" dxfId="28243" priority="180" stopIfTrue="1">
      <formula>AND(DL306&gt;70000,DL306&lt;70004)</formula>
    </cfRule>
    <cfRule type="expression" dxfId="28242" priority="181" stopIfTrue="1">
      <formula>AND(DL306&gt;=70010,DL306&lt;=76000)</formula>
    </cfRule>
    <cfRule type="expression" dxfId="28241" priority="182">
      <formula>AND(DL306&gt;70000,DL306&lt;70004)</formula>
    </cfRule>
    <cfRule type="expression" dxfId="28240" priority="183" stopIfTrue="1">
      <formula>OR(AND(DL306&gt;=10000,DL306&lt;=56999),AND(DL306&gt;=57000,DL306&lt;=57999))</formula>
    </cfRule>
    <cfRule type="expression" dxfId="28239" priority="184" stopIfTrue="1">
      <formula>AND(DL306&gt;=8000,DL306&lt;=9999)</formula>
    </cfRule>
    <cfRule type="expression" dxfId="28238" priority="185" stopIfTrue="1">
      <formula>AND(DL306&gt;=78100,DL306&lt;=78199)</formula>
    </cfRule>
    <cfRule type="expression" dxfId="28237" priority="186" stopIfTrue="1">
      <formula>AND(DL306&gt;=92000,DL306&lt;=98999)</formula>
    </cfRule>
    <cfRule type="expression" dxfId="28236" priority="187" stopIfTrue="1">
      <formula>AND(DL306&gt;=78100,DL306&lt;=78199)</formula>
    </cfRule>
    <cfRule type="expression" dxfId="28235" priority="188" stopIfTrue="1">
      <formula>AND(DL306&gt;=91000,DL306&lt;=91999)</formula>
    </cfRule>
  </conditionalFormatting>
  <conditionalFormatting sqref="DK309">
    <cfRule type="expression" dxfId="28234" priority="167">
      <formula>AND(DL309&gt;=79001,DL309&lt;79900)</formula>
    </cfRule>
    <cfRule type="expression" dxfId="28233" priority="168" stopIfTrue="1">
      <formula>AND(DL309&gt;=70101,DL309&lt;=70301)</formula>
    </cfRule>
    <cfRule type="expression" dxfId="28232" priority="169" stopIfTrue="1">
      <formula>AND(DL309&gt;70000,DL309&lt;70004)</formula>
    </cfRule>
    <cfRule type="expression" dxfId="28231" priority="170" stopIfTrue="1">
      <formula>AND(DL309&gt;=70010,DL309&lt;=76000)</formula>
    </cfRule>
    <cfRule type="expression" dxfId="28230" priority="171">
      <formula>AND(DL309&gt;70000,DL309&lt;70004)</formula>
    </cfRule>
    <cfRule type="expression" dxfId="28229" priority="172" stopIfTrue="1">
      <formula>OR(AND(DL309&gt;=10000,DL309&lt;=56999),AND(DL309&gt;=57000,DL309&lt;=57999))</formula>
    </cfRule>
    <cfRule type="expression" dxfId="28228" priority="173" stopIfTrue="1">
      <formula>AND(DL309&gt;=8000,DL309&lt;=9999)</formula>
    </cfRule>
    <cfRule type="expression" dxfId="28227" priority="174" stopIfTrue="1">
      <formula>AND(DL309&gt;=78100,DL309&lt;=78199)</formula>
    </cfRule>
    <cfRule type="expression" dxfId="28226" priority="175" stopIfTrue="1">
      <formula>AND(DL309&gt;=92000,DL309&lt;=98999)</formula>
    </cfRule>
    <cfRule type="expression" dxfId="28225" priority="176" stopIfTrue="1">
      <formula>AND(DL309&gt;=78100,DL309&lt;=78199)</formula>
    </cfRule>
    <cfRule type="expression" dxfId="28224" priority="177" stopIfTrue="1">
      <formula>AND(DL309&gt;=91000,DL309&lt;=91999)</formula>
    </cfRule>
  </conditionalFormatting>
  <conditionalFormatting sqref="DO306:DO308">
    <cfRule type="expression" dxfId="28223" priority="156">
      <formula>AND(DP306&gt;=79001,DP306&lt;79900)</formula>
    </cfRule>
    <cfRule type="expression" dxfId="28222" priority="157" stopIfTrue="1">
      <formula>AND(DP306&gt;=70101,DP306&lt;=70301)</formula>
    </cfRule>
    <cfRule type="expression" dxfId="28221" priority="158" stopIfTrue="1">
      <formula>AND(DP306&gt;70000,DP306&lt;70004)</formula>
    </cfRule>
    <cfRule type="expression" dxfId="28220" priority="159" stopIfTrue="1">
      <formula>AND(DP306&gt;=70010,DP306&lt;=76000)</formula>
    </cfRule>
    <cfRule type="expression" dxfId="28219" priority="160">
      <formula>AND(DP306&gt;70000,DP306&lt;70004)</formula>
    </cfRule>
    <cfRule type="expression" dxfId="28218" priority="161" stopIfTrue="1">
      <formula>OR(AND(DP306&gt;=10000,DP306&lt;=56999),AND(DP306&gt;=57000,DP306&lt;=57999))</formula>
    </cfRule>
    <cfRule type="expression" dxfId="28217" priority="162" stopIfTrue="1">
      <formula>AND(DP306&gt;=8000,DP306&lt;=9999)</formula>
    </cfRule>
    <cfRule type="expression" dxfId="28216" priority="163" stopIfTrue="1">
      <formula>AND(DP306&gt;=78100,DP306&lt;=78199)</formula>
    </cfRule>
    <cfRule type="expression" dxfId="28215" priority="164" stopIfTrue="1">
      <formula>AND(DP306&gt;=92000,DP306&lt;=98999)</formula>
    </cfRule>
    <cfRule type="expression" dxfId="28214" priority="165" stopIfTrue="1">
      <formula>AND(DP306&gt;=78100,DP306&lt;=78199)</formula>
    </cfRule>
    <cfRule type="expression" dxfId="28213" priority="166" stopIfTrue="1">
      <formula>AND(DP306&gt;=91000,DP306&lt;=91999)</formula>
    </cfRule>
  </conditionalFormatting>
  <conditionalFormatting sqref="DO309">
    <cfRule type="expression" dxfId="28212" priority="145">
      <formula>AND(DP309&gt;=79001,DP309&lt;79900)</formula>
    </cfRule>
    <cfRule type="expression" dxfId="28211" priority="146" stopIfTrue="1">
      <formula>AND(DP309&gt;=70101,DP309&lt;=70301)</formula>
    </cfRule>
    <cfRule type="expression" dxfId="28210" priority="147" stopIfTrue="1">
      <formula>AND(DP309&gt;70000,DP309&lt;70004)</formula>
    </cfRule>
    <cfRule type="expression" dxfId="28209" priority="148" stopIfTrue="1">
      <formula>AND(DP309&gt;=70010,DP309&lt;=76000)</formula>
    </cfRule>
    <cfRule type="expression" dxfId="28208" priority="149">
      <formula>AND(DP309&gt;70000,DP309&lt;70004)</formula>
    </cfRule>
    <cfRule type="expression" dxfId="28207" priority="150" stopIfTrue="1">
      <formula>OR(AND(DP309&gt;=10000,DP309&lt;=56999),AND(DP309&gt;=57000,DP309&lt;=57999))</formula>
    </cfRule>
    <cfRule type="expression" dxfId="28206" priority="151" stopIfTrue="1">
      <formula>AND(DP309&gt;=8000,DP309&lt;=9999)</formula>
    </cfRule>
    <cfRule type="expression" dxfId="28205" priority="152" stopIfTrue="1">
      <formula>AND(DP309&gt;=78100,DP309&lt;=78199)</formula>
    </cfRule>
    <cfRule type="expression" dxfId="28204" priority="153" stopIfTrue="1">
      <formula>AND(DP309&gt;=92000,DP309&lt;=98999)</formula>
    </cfRule>
    <cfRule type="expression" dxfId="28203" priority="154" stopIfTrue="1">
      <formula>AND(DP309&gt;=78100,DP309&lt;=78199)</formula>
    </cfRule>
    <cfRule type="expression" dxfId="28202" priority="155" stopIfTrue="1">
      <formula>AND(DP309&gt;=91000,DP309&lt;=91999)</formula>
    </cfRule>
  </conditionalFormatting>
  <conditionalFormatting sqref="DS306:DS308">
    <cfRule type="expression" dxfId="28201" priority="134">
      <formula>AND(DT306&gt;=79001,DT306&lt;79900)</formula>
    </cfRule>
    <cfRule type="expression" dxfId="28200" priority="135" stopIfTrue="1">
      <formula>AND(DT306&gt;=70101,DT306&lt;=70301)</formula>
    </cfRule>
    <cfRule type="expression" dxfId="28199" priority="136" stopIfTrue="1">
      <formula>AND(DT306&gt;70000,DT306&lt;70004)</formula>
    </cfRule>
    <cfRule type="expression" dxfId="28198" priority="137" stopIfTrue="1">
      <formula>AND(DT306&gt;=70010,DT306&lt;=76000)</formula>
    </cfRule>
    <cfRule type="expression" dxfId="28197" priority="138">
      <formula>AND(DT306&gt;70000,DT306&lt;70004)</formula>
    </cfRule>
    <cfRule type="expression" dxfId="28196" priority="139" stopIfTrue="1">
      <formula>OR(AND(DT306&gt;=10000,DT306&lt;=56999),AND(DT306&gt;=57000,DT306&lt;=57999))</formula>
    </cfRule>
    <cfRule type="expression" dxfId="28195" priority="140" stopIfTrue="1">
      <formula>AND(DT306&gt;=8000,DT306&lt;=9999)</formula>
    </cfRule>
    <cfRule type="expression" dxfId="28194" priority="141" stopIfTrue="1">
      <formula>AND(DT306&gt;=78100,DT306&lt;=78199)</formula>
    </cfRule>
    <cfRule type="expression" dxfId="28193" priority="142" stopIfTrue="1">
      <formula>AND(DT306&gt;=92000,DT306&lt;=98999)</formula>
    </cfRule>
    <cfRule type="expression" dxfId="28192" priority="143" stopIfTrue="1">
      <formula>AND(DT306&gt;=78100,DT306&lt;=78199)</formula>
    </cfRule>
    <cfRule type="expression" dxfId="28191" priority="144" stopIfTrue="1">
      <formula>AND(DT306&gt;=91000,DT306&lt;=91999)</formula>
    </cfRule>
  </conditionalFormatting>
  <conditionalFormatting sqref="DS309">
    <cfRule type="expression" dxfId="28190" priority="123">
      <formula>AND(DT309&gt;=79001,DT309&lt;79900)</formula>
    </cfRule>
    <cfRule type="expression" dxfId="28189" priority="124" stopIfTrue="1">
      <formula>AND(DT309&gt;=70101,DT309&lt;=70301)</formula>
    </cfRule>
    <cfRule type="expression" dxfId="28188" priority="125" stopIfTrue="1">
      <formula>AND(DT309&gt;70000,DT309&lt;70004)</formula>
    </cfRule>
    <cfRule type="expression" dxfId="28187" priority="126" stopIfTrue="1">
      <formula>AND(DT309&gt;=70010,DT309&lt;=76000)</formula>
    </cfRule>
    <cfRule type="expression" dxfId="28186" priority="127">
      <formula>AND(DT309&gt;70000,DT309&lt;70004)</formula>
    </cfRule>
    <cfRule type="expression" dxfId="28185" priority="128" stopIfTrue="1">
      <formula>OR(AND(DT309&gt;=10000,DT309&lt;=56999),AND(DT309&gt;=57000,DT309&lt;=57999))</formula>
    </cfRule>
    <cfRule type="expression" dxfId="28184" priority="129" stopIfTrue="1">
      <formula>AND(DT309&gt;=8000,DT309&lt;=9999)</formula>
    </cfRule>
    <cfRule type="expression" dxfId="28183" priority="130" stopIfTrue="1">
      <formula>AND(DT309&gt;=78100,DT309&lt;=78199)</formula>
    </cfRule>
    <cfRule type="expression" dxfId="28182" priority="131" stopIfTrue="1">
      <formula>AND(DT309&gt;=92000,DT309&lt;=98999)</formula>
    </cfRule>
    <cfRule type="expression" dxfId="28181" priority="132" stopIfTrue="1">
      <formula>AND(DT309&gt;=78100,DT309&lt;=78199)</formula>
    </cfRule>
    <cfRule type="expression" dxfId="28180" priority="133" stopIfTrue="1">
      <formula>AND(DT309&gt;=91000,DT309&lt;=91999)</formula>
    </cfRule>
  </conditionalFormatting>
  <conditionalFormatting sqref="DW308">
    <cfRule type="expression" dxfId="28179" priority="112">
      <formula>AND(DX308&gt;=79001,DX308&lt;79900)</formula>
    </cfRule>
    <cfRule type="expression" dxfId="28178" priority="113" stopIfTrue="1">
      <formula>AND(DX308&gt;=70101,DX308&lt;=70301)</formula>
    </cfRule>
    <cfRule type="expression" dxfId="28177" priority="114" stopIfTrue="1">
      <formula>AND(DX308&gt;70000,DX308&lt;70004)</formula>
    </cfRule>
    <cfRule type="expression" dxfId="28176" priority="115" stopIfTrue="1">
      <formula>AND(DX308&gt;=70010,DX308&lt;=76000)</formula>
    </cfRule>
    <cfRule type="expression" dxfId="28175" priority="116">
      <formula>AND(DX308&gt;70000,DX308&lt;70004)</formula>
    </cfRule>
    <cfRule type="expression" dxfId="28174" priority="117" stopIfTrue="1">
      <formula>OR(AND(DX308&gt;=10000,DX308&lt;=56999),AND(DX308&gt;=57000,DX308&lt;=57999))</formula>
    </cfRule>
    <cfRule type="expression" dxfId="28173" priority="118" stopIfTrue="1">
      <formula>AND(DX308&gt;=8000,DX308&lt;=9999)</formula>
    </cfRule>
    <cfRule type="expression" dxfId="28172" priority="119" stopIfTrue="1">
      <formula>AND(DX308&gt;=78100,DX308&lt;=78199)</formula>
    </cfRule>
    <cfRule type="expression" dxfId="28171" priority="120" stopIfTrue="1">
      <formula>AND(DX308&gt;=92000,DX308&lt;=98999)</formula>
    </cfRule>
    <cfRule type="expression" dxfId="28170" priority="121" stopIfTrue="1">
      <formula>AND(DX308&gt;=78100,DX308&lt;=78199)</formula>
    </cfRule>
    <cfRule type="expression" dxfId="28169" priority="122" stopIfTrue="1">
      <formula>AND(DX308&gt;=91000,DX308&lt;=91999)</formula>
    </cfRule>
  </conditionalFormatting>
  <conditionalFormatting sqref="EA308">
    <cfRule type="expression" dxfId="28168" priority="101">
      <formula>AND(EB308&gt;=79001,EB308&lt;79900)</formula>
    </cfRule>
    <cfRule type="expression" dxfId="28167" priority="102" stopIfTrue="1">
      <formula>AND(EB308&gt;=70101,EB308&lt;=70301)</formula>
    </cfRule>
    <cfRule type="expression" dxfId="28166" priority="103" stopIfTrue="1">
      <formula>AND(EB308&gt;70000,EB308&lt;70004)</formula>
    </cfRule>
    <cfRule type="expression" dxfId="28165" priority="104" stopIfTrue="1">
      <formula>AND(EB308&gt;=70010,EB308&lt;=76000)</formula>
    </cfRule>
    <cfRule type="expression" dxfId="28164" priority="105">
      <formula>AND(EB308&gt;70000,EB308&lt;70004)</formula>
    </cfRule>
    <cfRule type="expression" dxfId="28163" priority="106" stopIfTrue="1">
      <formula>OR(AND(EB308&gt;=10000,EB308&lt;=56999),AND(EB308&gt;=57000,EB308&lt;=57999))</formula>
    </cfRule>
    <cfRule type="expression" dxfId="28162" priority="107" stopIfTrue="1">
      <formula>AND(EB308&gt;=8000,EB308&lt;=9999)</formula>
    </cfRule>
    <cfRule type="expression" dxfId="28161" priority="108" stopIfTrue="1">
      <formula>AND(EB308&gt;=78100,EB308&lt;=78199)</formula>
    </cfRule>
    <cfRule type="expression" dxfId="28160" priority="109" stopIfTrue="1">
      <formula>AND(EB308&gt;=92000,EB308&lt;=98999)</formula>
    </cfRule>
    <cfRule type="expression" dxfId="28159" priority="110" stopIfTrue="1">
      <formula>AND(EB308&gt;=78100,EB308&lt;=78199)</formula>
    </cfRule>
    <cfRule type="expression" dxfId="28158" priority="111" stopIfTrue="1">
      <formula>AND(EB308&gt;=91000,EB308&lt;=91999)</formula>
    </cfRule>
  </conditionalFormatting>
  <conditionalFormatting sqref="EE308">
    <cfRule type="expression" dxfId="28157" priority="90">
      <formula>AND(EF308&gt;=79001,EF308&lt;79900)</formula>
    </cfRule>
    <cfRule type="expression" dxfId="28156" priority="91" stopIfTrue="1">
      <formula>AND(EF308&gt;=70101,EF308&lt;=70301)</formula>
    </cfRule>
    <cfRule type="expression" dxfId="28155" priority="92" stopIfTrue="1">
      <formula>AND(EF308&gt;70000,EF308&lt;70004)</formula>
    </cfRule>
    <cfRule type="expression" dxfId="28154" priority="93" stopIfTrue="1">
      <formula>AND(EF308&gt;=70010,EF308&lt;=76000)</formula>
    </cfRule>
    <cfRule type="expression" dxfId="28153" priority="94">
      <formula>AND(EF308&gt;70000,EF308&lt;70004)</formula>
    </cfRule>
    <cfRule type="expression" dxfId="28152" priority="95" stopIfTrue="1">
      <formula>OR(AND(EF308&gt;=10000,EF308&lt;=56999),AND(EF308&gt;=57000,EF308&lt;=57999))</formula>
    </cfRule>
    <cfRule type="expression" dxfId="28151" priority="96" stopIfTrue="1">
      <formula>AND(EF308&gt;=8000,EF308&lt;=9999)</formula>
    </cfRule>
    <cfRule type="expression" dxfId="28150" priority="97" stopIfTrue="1">
      <formula>AND(EF308&gt;=78100,EF308&lt;=78199)</formula>
    </cfRule>
    <cfRule type="expression" dxfId="28149" priority="98" stopIfTrue="1">
      <formula>AND(EF308&gt;=92000,EF308&lt;=98999)</formula>
    </cfRule>
    <cfRule type="expression" dxfId="28148" priority="99" stopIfTrue="1">
      <formula>AND(EF308&gt;=78100,EF308&lt;=78199)</formula>
    </cfRule>
    <cfRule type="expression" dxfId="28147" priority="100" stopIfTrue="1">
      <formula>AND(EF308&gt;=91000,EF308&lt;=91999)</formula>
    </cfRule>
  </conditionalFormatting>
  <conditionalFormatting sqref="EI308">
    <cfRule type="expression" dxfId="28146" priority="79">
      <formula>AND(EJ308&gt;=79001,EJ308&lt;79900)</formula>
    </cfRule>
    <cfRule type="expression" dxfId="28145" priority="80" stopIfTrue="1">
      <formula>AND(EJ308&gt;=70101,EJ308&lt;=70301)</formula>
    </cfRule>
    <cfRule type="expression" dxfId="28144" priority="81" stopIfTrue="1">
      <formula>AND(EJ308&gt;70000,EJ308&lt;70004)</formula>
    </cfRule>
    <cfRule type="expression" dxfId="28143" priority="82" stopIfTrue="1">
      <formula>AND(EJ308&gt;=70010,EJ308&lt;=76000)</formula>
    </cfRule>
    <cfRule type="expression" dxfId="28142" priority="83">
      <formula>AND(EJ308&gt;70000,EJ308&lt;70004)</formula>
    </cfRule>
    <cfRule type="expression" dxfId="28141" priority="84" stopIfTrue="1">
      <formula>OR(AND(EJ308&gt;=10000,EJ308&lt;=56999),AND(EJ308&gt;=57000,EJ308&lt;=57999))</formula>
    </cfRule>
    <cfRule type="expression" dxfId="28140" priority="85" stopIfTrue="1">
      <formula>AND(EJ308&gt;=8000,EJ308&lt;=9999)</formula>
    </cfRule>
    <cfRule type="expression" dxfId="28139" priority="86" stopIfTrue="1">
      <formula>AND(EJ308&gt;=78100,EJ308&lt;=78199)</formula>
    </cfRule>
    <cfRule type="expression" dxfId="28138" priority="87" stopIfTrue="1">
      <formula>AND(EJ308&gt;=92000,EJ308&lt;=98999)</formula>
    </cfRule>
    <cfRule type="expression" dxfId="28137" priority="88" stopIfTrue="1">
      <formula>AND(EJ308&gt;=78100,EJ308&lt;=78199)</formula>
    </cfRule>
    <cfRule type="expression" dxfId="28136" priority="89" stopIfTrue="1">
      <formula>AND(EJ308&gt;=91000,EJ308&lt;=91999)</formula>
    </cfRule>
  </conditionalFormatting>
  <conditionalFormatting sqref="EM308">
    <cfRule type="expression" dxfId="28135" priority="68">
      <formula>AND(EN308&gt;=79001,EN308&lt;79900)</formula>
    </cfRule>
    <cfRule type="expression" dxfId="28134" priority="69" stopIfTrue="1">
      <formula>AND(EN308&gt;=70101,EN308&lt;=70301)</formula>
    </cfRule>
    <cfRule type="expression" dxfId="28133" priority="70" stopIfTrue="1">
      <formula>AND(EN308&gt;70000,EN308&lt;70004)</formula>
    </cfRule>
    <cfRule type="expression" dxfId="28132" priority="71" stopIfTrue="1">
      <formula>AND(EN308&gt;=70010,EN308&lt;=76000)</formula>
    </cfRule>
    <cfRule type="expression" dxfId="28131" priority="72">
      <formula>AND(EN308&gt;70000,EN308&lt;70004)</formula>
    </cfRule>
    <cfRule type="expression" dxfId="28130" priority="73" stopIfTrue="1">
      <formula>OR(AND(EN308&gt;=10000,EN308&lt;=56999),AND(EN308&gt;=57000,EN308&lt;=57999))</formula>
    </cfRule>
    <cfRule type="expression" dxfId="28129" priority="74" stopIfTrue="1">
      <formula>AND(EN308&gt;=8000,EN308&lt;=9999)</formula>
    </cfRule>
    <cfRule type="expression" dxfId="28128" priority="75" stopIfTrue="1">
      <formula>AND(EN308&gt;=78100,EN308&lt;=78199)</formula>
    </cfRule>
    <cfRule type="expression" dxfId="28127" priority="76" stopIfTrue="1">
      <formula>AND(EN308&gt;=92000,EN308&lt;=98999)</formula>
    </cfRule>
    <cfRule type="expression" dxfId="28126" priority="77" stopIfTrue="1">
      <formula>AND(EN308&gt;=78100,EN308&lt;=78199)</formula>
    </cfRule>
    <cfRule type="expression" dxfId="28125" priority="78" stopIfTrue="1">
      <formula>AND(EN308&gt;=91000,EN308&lt;=91999)</formula>
    </cfRule>
  </conditionalFormatting>
  <conditionalFormatting sqref="EQ308">
    <cfRule type="expression" dxfId="28124" priority="57">
      <formula>AND(ER308&gt;=79001,ER308&lt;79900)</formula>
    </cfRule>
    <cfRule type="expression" dxfId="28123" priority="58" stopIfTrue="1">
      <formula>AND(ER308&gt;=70101,ER308&lt;=70301)</formula>
    </cfRule>
    <cfRule type="expression" dxfId="28122" priority="59" stopIfTrue="1">
      <formula>AND(ER308&gt;70000,ER308&lt;70004)</formula>
    </cfRule>
    <cfRule type="expression" dxfId="28121" priority="60" stopIfTrue="1">
      <formula>AND(ER308&gt;=70010,ER308&lt;=76000)</formula>
    </cfRule>
    <cfRule type="expression" dxfId="28120" priority="61">
      <formula>AND(ER308&gt;70000,ER308&lt;70004)</formula>
    </cfRule>
    <cfRule type="expression" dxfId="28119" priority="62" stopIfTrue="1">
      <formula>OR(AND(ER308&gt;=10000,ER308&lt;=56999),AND(ER308&gt;=57000,ER308&lt;=57999))</formula>
    </cfRule>
    <cfRule type="expression" dxfId="28118" priority="63" stopIfTrue="1">
      <formula>AND(ER308&gt;=8000,ER308&lt;=9999)</formula>
    </cfRule>
    <cfRule type="expression" dxfId="28117" priority="64" stopIfTrue="1">
      <formula>AND(ER308&gt;=78100,ER308&lt;=78199)</formula>
    </cfRule>
    <cfRule type="expression" dxfId="28116" priority="65" stopIfTrue="1">
      <formula>AND(ER308&gt;=92000,ER308&lt;=98999)</formula>
    </cfRule>
    <cfRule type="expression" dxfId="28115" priority="66" stopIfTrue="1">
      <formula>AND(ER308&gt;=78100,ER308&lt;=78199)</formula>
    </cfRule>
    <cfRule type="expression" dxfId="28114" priority="67" stopIfTrue="1">
      <formula>AND(ER308&gt;=91000,ER308&lt;=91999)</formula>
    </cfRule>
  </conditionalFormatting>
  <conditionalFormatting sqref="BO310:XFD314 B310:B31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0:K314 O310:O314 G310:G314 W310:W314 S310:S314 AA310:AA314 AY310:AY314 BC310:BC314 BG310:BG314 BK310:BK314 AQ310:AQ314 AI310:AI314 AU310:AU314 AM310:AM314 AE310:AE314">
    <cfRule type="expression" dxfId="28113" priority="45">
      <formula>AND(H310&gt;=79001,H310&lt;79900)</formula>
    </cfRule>
    <cfRule type="expression" dxfId="28112" priority="46" stopIfTrue="1">
      <formula>AND(H310&gt;=70101,H310&lt;=70301)</formula>
    </cfRule>
    <cfRule type="expression" dxfId="28111" priority="47" stopIfTrue="1">
      <formula>AND(H310&gt;70000,H310&lt;70004)</formula>
    </cfRule>
    <cfRule type="expression" dxfId="28110" priority="48" stopIfTrue="1">
      <formula>AND(H310&gt;=70010,H310&lt;=76000)</formula>
    </cfRule>
    <cfRule type="expression" dxfId="28109" priority="49">
      <formula>AND(H310&gt;70000,H310&lt;70004)</formula>
    </cfRule>
    <cfRule type="expression" dxfId="28108" priority="50" stopIfTrue="1">
      <formula>OR(AND(H310&gt;=10000,H310&lt;=56999),AND(H310&gt;=57000,H310&lt;=57999))</formula>
    </cfRule>
    <cfRule type="expression" dxfId="28107" priority="51" stopIfTrue="1">
      <formula>AND(H310&gt;=8000,H310&lt;=9999)</formula>
    </cfRule>
    <cfRule type="expression" dxfId="28106" priority="52" stopIfTrue="1">
      <formula>AND(H310&gt;=78100,H310&lt;=78199)</formula>
    </cfRule>
    <cfRule type="expression" dxfId="28105" priority="53" stopIfTrue="1">
      <formula>AND(H310&gt;=92000,H310&lt;=98999)</formula>
    </cfRule>
    <cfRule type="expression" dxfId="28104" priority="54" stopIfTrue="1">
      <formula>AND(H310&gt;=78100,H310&lt;=78199)</formula>
    </cfRule>
    <cfRule type="expression" dxfId="28103" priority="55" stopIfTrue="1">
      <formula>AND(H310&gt;=91000,H310&lt;=91999)</formula>
    </cfRule>
  </conditionalFormatting>
  <conditionalFormatting sqref="A310:A314">
    <cfRule type="duplicateValues" dxfId="28102" priority="44"/>
  </conditionalFormatting>
  <conditionalFormatting sqref="A310:A314">
    <cfRule type="duplicateValues" dxfId="28101" priority="43"/>
  </conditionalFormatting>
  <conditionalFormatting sqref="BO315:XFD319 B315:B31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5:K319 O315:O319 G315:G319 W315:W319 S315:S319 AA315:AA319 AY315:AY319 BC315:BC319 BG315:BG319 BK315:BK319 AQ315:AQ319 AI315:AI319 AU315:AU319 AM315:AM319 AE315:AE319">
    <cfRule type="expression" dxfId="28100" priority="31">
      <formula>AND(H315&gt;=79001,H315&lt;79900)</formula>
    </cfRule>
    <cfRule type="expression" dxfId="28099" priority="32" stopIfTrue="1">
      <formula>AND(H315&gt;=70101,H315&lt;=70301)</formula>
    </cfRule>
    <cfRule type="expression" dxfId="28098" priority="33" stopIfTrue="1">
      <formula>AND(H315&gt;70000,H315&lt;70004)</formula>
    </cfRule>
    <cfRule type="expression" dxfId="28097" priority="34" stopIfTrue="1">
      <formula>AND(H315&gt;=70010,H315&lt;=76000)</formula>
    </cfRule>
    <cfRule type="expression" dxfId="28096" priority="35">
      <formula>AND(H315&gt;70000,H315&lt;70004)</formula>
    </cfRule>
    <cfRule type="expression" dxfId="28095" priority="36" stopIfTrue="1">
      <formula>OR(AND(H315&gt;=10000,H315&lt;=56999),AND(H315&gt;=57000,H315&lt;=57999))</formula>
    </cfRule>
    <cfRule type="expression" dxfId="28094" priority="37" stopIfTrue="1">
      <formula>AND(H315&gt;=8000,H315&lt;=9999)</formula>
    </cfRule>
    <cfRule type="expression" dxfId="28093" priority="38" stopIfTrue="1">
      <formula>AND(H315&gt;=78100,H315&lt;=78199)</formula>
    </cfRule>
    <cfRule type="expression" dxfId="28092" priority="39" stopIfTrue="1">
      <formula>AND(H315&gt;=92000,H315&lt;=98999)</formula>
    </cfRule>
    <cfRule type="expression" dxfId="28091" priority="40" stopIfTrue="1">
      <formula>AND(H315&gt;=78100,H315&lt;=78199)</formula>
    </cfRule>
    <cfRule type="expression" dxfId="28090" priority="41" stopIfTrue="1">
      <formula>AND(H315&gt;=91000,H315&lt;=91999)</formula>
    </cfRule>
  </conditionalFormatting>
  <conditionalFormatting sqref="A315:A319">
    <cfRule type="duplicateValues" dxfId="28089" priority="30"/>
  </conditionalFormatting>
  <conditionalFormatting sqref="A315:A319">
    <cfRule type="duplicateValues" dxfId="28088" priority="29"/>
  </conditionalFormatting>
  <conditionalFormatting sqref="BO320:XFD320 B32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0 O320 G320 W320 S320 AA320 AY320 BC320 BG320 BK320 AQ320 AI320 AU320 AM320 AE320">
    <cfRule type="expression" dxfId="28087" priority="17">
      <formula>AND(H320&gt;=79001,H320&lt;79900)</formula>
    </cfRule>
    <cfRule type="expression" dxfId="28086" priority="18" stopIfTrue="1">
      <formula>AND(H320&gt;=70101,H320&lt;=70301)</formula>
    </cfRule>
    <cfRule type="expression" dxfId="28085" priority="19" stopIfTrue="1">
      <formula>AND(H320&gt;70000,H320&lt;70004)</formula>
    </cfRule>
    <cfRule type="expression" dxfId="28084" priority="20" stopIfTrue="1">
      <formula>AND(H320&gt;=70010,H320&lt;=76000)</formula>
    </cfRule>
    <cfRule type="expression" dxfId="28083" priority="21">
      <formula>AND(H320&gt;70000,H320&lt;70004)</formula>
    </cfRule>
    <cfRule type="expression" dxfId="28082" priority="22" stopIfTrue="1">
      <formula>OR(AND(H320&gt;=10000,H320&lt;=56999),AND(H320&gt;=57000,H320&lt;=57999))</formula>
    </cfRule>
    <cfRule type="expression" dxfId="28081" priority="23" stopIfTrue="1">
      <formula>AND(H320&gt;=8000,H320&lt;=9999)</formula>
    </cfRule>
    <cfRule type="expression" dxfId="28080" priority="24" stopIfTrue="1">
      <formula>AND(H320&gt;=78100,H320&lt;=78199)</formula>
    </cfRule>
    <cfRule type="expression" dxfId="28079" priority="25" stopIfTrue="1">
      <formula>AND(H320&gt;=92000,H320&lt;=98999)</formula>
    </cfRule>
    <cfRule type="expression" dxfId="28078" priority="26" stopIfTrue="1">
      <formula>AND(H320&gt;=78100,H320&lt;=78199)</formula>
    </cfRule>
    <cfRule type="expression" dxfId="28077" priority="27" stopIfTrue="1">
      <formula>AND(H320&gt;=91000,H320&lt;=91999)</formula>
    </cfRule>
  </conditionalFormatting>
  <conditionalFormatting sqref="A320">
    <cfRule type="duplicateValues" dxfId="28076" priority="16"/>
  </conditionalFormatting>
  <conditionalFormatting sqref="A320">
    <cfRule type="duplicateValues" dxfId="28075" priority="15"/>
  </conditionalFormatting>
  <conditionalFormatting sqref="BO323:XFD32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3 O323 G323 W323 S323 AA323 AY323 BC323 BG323 BK323 AQ323 AI323 AU323 AM323 AE323">
    <cfRule type="expression" dxfId="28074" priority="3">
      <formula>AND(H323&gt;=79001,H323&lt;79900)</formula>
    </cfRule>
    <cfRule type="expression" dxfId="28073" priority="4" stopIfTrue="1">
      <formula>AND(H323&gt;=70101,H323&lt;=70301)</formula>
    </cfRule>
    <cfRule type="expression" dxfId="28072" priority="5" stopIfTrue="1">
      <formula>AND(H323&gt;70000,H323&lt;70004)</formula>
    </cfRule>
    <cfRule type="expression" dxfId="28071" priority="6" stopIfTrue="1">
      <formula>AND(H323&gt;=70010,H323&lt;=76000)</formula>
    </cfRule>
    <cfRule type="expression" dxfId="28070" priority="7">
      <formula>AND(H323&gt;70000,H323&lt;70004)</formula>
    </cfRule>
    <cfRule type="expression" dxfId="28069" priority="8" stopIfTrue="1">
      <formula>OR(AND(H323&gt;=10000,H323&lt;=56999),AND(H323&gt;=57000,H323&lt;=57999))</formula>
    </cfRule>
    <cfRule type="expression" dxfId="28068" priority="9" stopIfTrue="1">
      <formula>AND(H323&gt;=8000,H323&lt;=9999)</formula>
    </cfRule>
    <cfRule type="expression" dxfId="28067" priority="10" stopIfTrue="1">
      <formula>AND(H323&gt;=78100,H323&lt;=78199)</formula>
    </cfRule>
    <cfRule type="expression" dxfId="28066" priority="11" stopIfTrue="1">
      <formula>AND(H323&gt;=92000,H323&lt;=98999)</formula>
    </cfRule>
    <cfRule type="expression" dxfId="28065" priority="12" stopIfTrue="1">
      <formula>AND(H323&gt;=78100,H323&lt;=78199)</formula>
    </cfRule>
    <cfRule type="expression" dxfId="28064" priority="13" stopIfTrue="1">
      <formula>AND(H323&gt;=91000,H323&lt;=91999)</formula>
    </cfRule>
  </conditionalFormatting>
  <conditionalFormatting sqref="BO281:XFD294 B281:B294">
    <cfRule type="colorScale" priority="35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81:A294">
    <cfRule type="duplicateValues" dxfId="28063" priority="35707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BY313"/>
  <sheetViews>
    <sheetView workbookViewId="0">
      <pane xSplit="2" ySplit="1" topLeftCell="C283" activePane="bottomRight" state="frozen"/>
      <selection pane="topRight" activeCell="C1" sqref="C1"/>
      <selection pane="bottomLeft" activeCell="A2" sqref="A2"/>
      <selection pane="bottomRight" activeCell="H313" sqref="H313"/>
    </sheetView>
  </sheetViews>
  <sheetFormatPr defaultRowHeight="13.5" x14ac:dyDescent="0.15"/>
  <cols>
    <col min="1" max="1" width="9.25" style="66" bestFit="1" customWidth="1"/>
    <col min="2" max="2" width="20.75" style="66" bestFit="1" customWidth="1"/>
    <col min="3" max="3" width="11" style="66" bestFit="1" customWidth="1"/>
    <col min="4" max="4" width="13" style="66" bestFit="1" customWidth="1"/>
    <col min="5" max="6" width="16.125" style="66" bestFit="1" customWidth="1"/>
    <col min="7" max="7" width="12" style="66" bestFit="1" customWidth="1"/>
    <col min="8" max="8" width="13" style="66" bestFit="1" customWidth="1"/>
    <col min="9" max="10" width="16.125" style="66" bestFit="1" customWidth="1"/>
    <col min="11" max="11" width="12" style="66" bestFit="1" customWidth="1"/>
    <col min="12" max="12" width="13" style="66" bestFit="1" customWidth="1"/>
    <col min="13" max="14" width="16.125" style="66" bestFit="1" customWidth="1"/>
    <col min="15" max="15" width="12" style="66" bestFit="1" customWidth="1"/>
    <col min="16" max="16" width="13" style="66" bestFit="1" customWidth="1"/>
    <col min="17" max="18" width="16.125" style="66" bestFit="1" customWidth="1"/>
    <col min="19" max="20" width="12" style="66" bestFit="1" customWidth="1"/>
    <col min="21" max="21" width="16.125" style="31" bestFit="1" customWidth="1"/>
    <col min="22" max="22" width="16.125" style="66" bestFit="1" customWidth="1"/>
    <col min="23" max="24" width="12" style="66" bestFit="1" customWidth="1"/>
    <col min="25" max="26" width="16.125" style="66" bestFit="1" customWidth="1"/>
    <col min="27" max="28" width="12" style="66" bestFit="1" customWidth="1"/>
    <col min="29" max="30" width="16.125" style="66" bestFit="1" customWidth="1"/>
    <col min="31" max="32" width="12" style="66" bestFit="1" customWidth="1"/>
    <col min="33" max="34" width="16.125" style="66" bestFit="1" customWidth="1"/>
    <col min="35" max="36" width="12" style="66" bestFit="1" customWidth="1"/>
    <col min="37" max="38" width="16.125" style="66" bestFit="1" customWidth="1"/>
    <col min="39" max="39" width="12" style="66" bestFit="1" customWidth="1"/>
    <col min="40" max="40" width="13.125" style="66" bestFit="1" customWidth="1"/>
    <col min="41" max="42" width="17.25" style="66" bestFit="1" customWidth="1"/>
    <col min="43" max="44" width="13.125" style="66" bestFit="1" customWidth="1"/>
    <col min="45" max="46" width="17.25" style="66" bestFit="1" customWidth="1"/>
    <col min="47" max="48" width="13.125" style="66" bestFit="1" customWidth="1"/>
    <col min="49" max="50" width="17.25" style="66" bestFit="1" customWidth="1"/>
    <col min="51" max="52" width="13.125" style="66" bestFit="1" customWidth="1"/>
    <col min="53" max="54" width="17.25" style="66" bestFit="1" customWidth="1"/>
    <col min="55" max="56" width="13.125" style="66" bestFit="1" customWidth="1"/>
    <col min="57" max="58" width="17.25" style="66" bestFit="1" customWidth="1"/>
    <col min="59" max="60" width="13.125" style="66" bestFit="1" customWidth="1"/>
    <col min="61" max="62" width="17.25" style="66" bestFit="1" customWidth="1"/>
    <col min="63" max="63" width="13.125" style="66" bestFit="1" customWidth="1"/>
    <col min="64" max="64" width="9" style="66"/>
    <col min="65" max="66" width="9" style="66" bestFit="1" customWidth="1"/>
    <col min="67" max="67" width="3.875" style="66" customWidth="1"/>
    <col min="68" max="68" width="9" style="66" bestFit="1" customWidth="1"/>
    <col min="69" max="69" width="3.875" style="66" customWidth="1"/>
    <col min="70" max="70" width="9" style="66" bestFit="1" customWidth="1"/>
    <col min="71" max="71" width="3.875" style="66" customWidth="1"/>
    <col min="72" max="72" width="9" style="66" bestFit="1" customWidth="1"/>
    <col min="73" max="73" width="3.875" style="66" customWidth="1"/>
    <col min="74" max="74" width="9" style="66" bestFit="1" customWidth="1"/>
    <col min="75" max="75" width="11" style="66" bestFit="1" customWidth="1"/>
    <col min="76" max="76" width="10.625" style="66" customWidth="1"/>
    <col min="77" max="16384" width="9" style="66"/>
  </cols>
  <sheetData>
    <row r="1" spans="1:77" x14ac:dyDescent="0.15">
      <c r="A1" s="65" t="s">
        <v>0</v>
      </c>
      <c r="B1" s="65" t="s">
        <v>330</v>
      </c>
      <c r="C1" s="65" t="s">
        <v>59</v>
      </c>
      <c r="D1" s="65" t="s">
        <v>331</v>
      </c>
      <c r="E1" s="65" t="s">
        <v>3</v>
      </c>
      <c r="F1" s="65" t="s">
        <v>61</v>
      </c>
      <c r="G1" s="65" t="s">
        <v>14</v>
      </c>
      <c r="H1" s="65" t="s">
        <v>332</v>
      </c>
      <c r="I1" s="65" t="s">
        <v>6</v>
      </c>
      <c r="J1" s="65" t="s">
        <v>15</v>
      </c>
      <c r="K1" s="65" t="s">
        <v>60</v>
      </c>
      <c r="L1" s="65" t="s">
        <v>333</v>
      </c>
      <c r="M1" s="65" t="s">
        <v>7</v>
      </c>
      <c r="N1" s="65" t="s">
        <v>16</v>
      </c>
      <c r="O1" s="65" t="s">
        <v>17</v>
      </c>
      <c r="P1" s="65" t="s">
        <v>334</v>
      </c>
      <c r="Q1" s="65" t="s">
        <v>8</v>
      </c>
      <c r="R1" s="65" t="s">
        <v>18</v>
      </c>
      <c r="S1" s="65" t="s">
        <v>19</v>
      </c>
      <c r="T1" s="65" t="s">
        <v>335</v>
      </c>
      <c r="U1" s="31" t="s">
        <v>9</v>
      </c>
      <c r="V1" s="65" t="s">
        <v>20</v>
      </c>
      <c r="W1" s="65" t="s">
        <v>21</v>
      </c>
      <c r="X1" s="65" t="s">
        <v>336</v>
      </c>
      <c r="Y1" s="65" t="s">
        <v>22</v>
      </c>
      <c r="Z1" s="65" t="s">
        <v>23</v>
      </c>
      <c r="AA1" s="65" t="s">
        <v>24</v>
      </c>
      <c r="AB1" s="65" t="s">
        <v>337</v>
      </c>
      <c r="AC1" s="65" t="s">
        <v>25</v>
      </c>
      <c r="AD1" s="65" t="s">
        <v>26</v>
      </c>
      <c r="AE1" s="65" t="s">
        <v>27</v>
      </c>
      <c r="AF1" s="65" t="s">
        <v>338</v>
      </c>
      <c r="AG1" s="65" t="s">
        <v>28</v>
      </c>
      <c r="AH1" s="65" t="s">
        <v>29</v>
      </c>
      <c r="AI1" s="65" t="s">
        <v>30</v>
      </c>
      <c r="AJ1" s="65" t="s">
        <v>339</v>
      </c>
      <c r="AK1" s="65" t="s">
        <v>31</v>
      </c>
      <c r="AL1" s="65" t="s">
        <v>32</v>
      </c>
      <c r="AM1" s="65" t="s">
        <v>33</v>
      </c>
      <c r="AN1" s="65" t="s">
        <v>340</v>
      </c>
      <c r="AO1" s="65" t="s">
        <v>34</v>
      </c>
      <c r="AP1" s="65" t="s">
        <v>35</v>
      </c>
      <c r="AQ1" s="65" t="s">
        <v>36</v>
      </c>
      <c r="AR1" s="65" t="s">
        <v>341</v>
      </c>
      <c r="AS1" s="65" t="s">
        <v>37</v>
      </c>
      <c r="AT1" s="65" t="s">
        <v>38</v>
      </c>
      <c r="AU1" s="65" t="s">
        <v>39</v>
      </c>
      <c r="AV1" s="65" t="s">
        <v>342</v>
      </c>
      <c r="AW1" s="65" t="s">
        <v>40</v>
      </c>
      <c r="AX1" s="65" t="s">
        <v>41</v>
      </c>
      <c r="AY1" s="65" t="s">
        <v>42</v>
      </c>
      <c r="AZ1" s="65" t="s">
        <v>343</v>
      </c>
      <c r="BA1" s="65" t="s">
        <v>43</v>
      </c>
      <c r="BB1" s="65" t="s">
        <v>44</v>
      </c>
      <c r="BC1" s="65" t="s">
        <v>45</v>
      </c>
      <c r="BD1" s="65" t="s">
        <v>344</v>
      </c>
      <c r="BE1" s="65" t="s">
        <v>46</v>
      </c>
      <c r="BF1" s="65" t="s">
        <v>47</v>
      </c>
      <c r="BG1" s="65" t="s">
        <v>48</v>
      </c>
      <c r="BH1" s="65" t="s">
        <v>345</v>
      </c>
      <c r="BI1" s="65" t="s">
        <v>49</v>
      </c>
      <c r="BJ1" s="65" t="s">
        <v>50</v>
      </c>
      <c r="BK1" s="65" t="s">
        <v>51</v>
      </c>
      <c r="BM1" s="66" t="s">
        <v>346</v>
      </c>
      <c r="BN1" s="66" t="s">
        <v>347</v>
      </c>
      <c r="BP1" s="66" t="s">
        <v>347</v>
      </c>
      <c r="BR1" s="66" t="s">
        <v>347</v>
      </c>
      <c r="BT1" s="66" t="s">
        <v>347</v>
      </c>
      <c r="BV1" s="66" t="s">
        <v>349</v>
      </c>
      <c r="BW1" s="66" t="s">
        <v>348</v>
      </c>
    </row>
    <row r="2" spans="1:77" x14ac:dyDescent="0.15">
      <c r="A2" s="66">
        <v>100101</v>
      </c>
      <c r="B2" s="66" t="s">
        <v>906</v>
      </c>
      <c r="C2" s="67">
        <f t="shared" ref="C2:C6" si="0">CHOOSE(2,1,COUNT(F2,J2,N2,R2,V2,Z2,AD2,AH2,AL2,AP2,AT2,AX2,BB2,BF2,BJ2))</f>
        <v>4</v>
      </c>
      <c r="D2" s="66" t="str">
        <f>IF(E2="","",VLOOKUP(E2,引用表合并!$A:$B,2,FALSE))</f>
        <v>马仔经验药水</v>
      </c>
      <c r="E2" s="66">
        <f t="shared" ref="E2:E66" si="1">IF(BN2=100,91100,IF(BN2=500,91200,91300))</f>
        <v>91100</v>
      </c>
      <c r="F2" s="66">
        <f t="shared" ref="F2:F33" si="2">BO2</f>
        <v>1</v>
      </c>
      <c r="G2" s="66">
        <f>IF(MOD(MOD($A2,100),15)=0,500,IF(MOD(MOD($A2,100),3)=0,1500,2500))</f>
        <v>2500</v>
      </c>
      <c r="H2" s="66" t="str">
        <f>IF(I2="","",VLOOKUP(I2,引用表合并!$A:$B,2,FALSE))</f>
        <v>马仔经验药水</v>
      </c>
      <c r="I2" s="66">
        <f t="shared" ref="I2:I29" si="3">IF(BP2=100,91100,IF(BP2=500,91200,91300))</f>
        <v>91100</v>
      </c>
      <c r="J2" s="66">
        <f>BQ2</f>
        <v>1</v>
      </c>
      <c r="K2" s="66">
        <f>IF(MOD(MOD($A2,100),15)=0,500,IF(MOD(MOD($A2,100),3)=0,1500,2500))+G2</f>
        <v>5000</v>
      </c>
      <c r="L2" s="66" t="str">
        <f>IF(M2="","",VLOOKUP(M2,引用表合并!$A:$B,2,FALSE))</f>
        <v>马仔经验药水</v>
      </c>
      <c r="M2" s="66">
        <f t="shared" ref="M2:M36" si="4">IF(BR2=100,91100,IF(BR2=500,91200,91300))</f>
        <v>91100</v>
      </c>
      <c r="N2" s="66">
        <f>BS2</f>
        <v>2</v>
      </c>
      <c r="O2" s="66">
        <f>IF(MOD(MOD($A2,100),15)=0,500,IF(MOD(MOD($A2,100),3)=0,1500,2500))+K2</f>
        <v>7500</v>
      </c>
      <c r="P2" s="66" t="str">
        <f>IF(Q2="","",VLOOKUP(Q2,引用表合并!$A:$B,2,FALSE))</f>
        <v>马仔经验药水</v>
      </c>
      <c r="Q2" s="66">
        <f t="shared" ref="Q2:Q24" si="5">IF(BT2=100,91100,IF(BT2=500,91200,91300))</f>
        <v>91100</v>
      </c>
      <c r="R2" s="66">
        <f>BU2</f>
        <v>2</v>
      </c>
      <c r="S2" s="66">
        <f>IF(MOD(MOD($A2,100),15)=0,500,IF(MOD(MOD($A2,100),3)=0,1500,2500))+O2</f>
        <v>10000</v>
      </c>
      <c r="T2" s="66" t="str">
        <f>IF(U2="","",VLOOKUP(U2,引用表合并!$A:$B,2,FALSE))</f>
        <v/>
      </c>
      <c r="U2" s="69"/>
      <c r="W2" s="31"/>
      <c r="X2" s="66" t="str">
        <f>IF(Y2="","",VLOOKUP(Y2,引用表合并!$A:$B,2,FALSE))</f>
        <v/>
      </c>
      <c r="AA2" s="31"/>
      <c r="AB2" s="66" t="str">
        <f>IF(AC2="","",VLOOKUP(AC2,引用表合并!$A:$B,2,FALSE))</f>
        <v/>
      </c>
      <c r="AC2" s="68"/>
      <c r="AE2" s="31"/>
      <c r="AF2" s="66" t="str">
        <f>IF(AG2="","",VLOOKUP(AG2,引用表合并!$A:$B,2,FALSE))</f>
        <v/>
      </c>
      <c r="AI2" s="31"/>
      <c r="AJ2" s="66" t="str">
        <f>IF(AK2="","",VLOOKUP(AK2,引用表合并!$A:$B,2,FALSE))</f>
        <v/>
      </c>
      <c r="AM2" s="31"/>
      <c r="AN2" s="66" t="str">
        <f>IF(AO2="","",VLOOKUP(AO2,引用表合并!$A:$B,2,FALSE))</f>
        <v/>
      </c>
      <c r="AQ2" s="31"/>
      <c r="AR2" s="66" t="str">
        <f>IF(AS2="","",VLOOKUP(AS2,引用表合并!$A:$B,2,FALSE))</f>
        <v/>
      </c>
      <c r="AU2" s="31"/>
      <c r="AV2" s="66" t="str">
        <f>IF(AW2="","",VLOOKUP(AW2,引用表合并!$A:$B,2,FALSE))</f>
        <v/>
      </c>
      <c r="AY2" s="31"/>
      <c r="AZ2" s="66" t="str">
        <f>IF(BA2="","",VLOOKUP(BA2,引用表合并!$A:$B,2,FALSE))</f>
        <v/>
      </c>
      <c r="BC2" s="31"/>
      <c r="BD2" s="66" t="str">
        <f>IF(BE2="","",VLOOKUP(BE2,引用表合并!$A:$B,2,FALSE))</f>
        <v/>
      </c>
      <c r="BG2" s="31"/>
      <c r="BH2" s="66" t="str">
        <f>IF(BI2="","",VLOOKUP(BI2,引用表合并!$A:$B,2,FALSE))</f>
        <v/>
      </c>
      <c r="BM2" s="66">
        <f t="shared" ref="BM2:BM33" si="6">AVERAGE(F2,J2,N2,R2)</f>
        <v>1.5</v>
      </c>
      <c r="BN2" s="31">
        <v>100</v>
      </c>
      <c r="BO2" s="66">
        <v>1</v>
      </c>
      <c r="BP2" s="31">
        <v>100</v>
      </c>
      <c r="BQ2" s="31">
        <v>1</v>
      </c>
      <c r="BR2" s="31">
        <v>100</v>
      </c>
      <c r="BS2" s="31">
        <v>2</v>
      </c>
      <c r="BT2" s="31">
        <v>100</v>
      </c>
      <c r="BU2" s="31">
        <v>2</v>
      </c>
      <c r="BV2" s="66">
        <f>(BN2*BO2+BP2*BQ2+BR2*BS2+BT2*BU2)/4</f>
        <v>150</v>
      </c>
      <c r="BX2" s="66" t="s">
        <v>974</v>
      </c>
      <c r="BY2" s="66">
        <f>[5]马仔的投放!$D$13</f>
        <v>15000</v>
      </c>
    </row>
    <row r="3" spans="1:77" x14ac:dyDescent="0.15">
      <c r="A3" s="66">
        <f>A2+1</f>
        <v>100102</v>
      </c>
      <c r="B3" s="66" t="s">
        <v>862</v>
      </c>
      <c r="C3" s="67">
        <f t="shared" si="0"/>
        <v>4</v>
      </c>
      <c r="D3" s="66" t="str">
        <f>IF(E3="","",VLOOKUP(E3,引用表合并!$A:$B,2,FALSE))</f>
        <v>马仔经验药水</v>
      </c>
      <c r="E3" s="66">
        <f t="shared" si="1"/>
        <v>91100</v>
      </c>
      <c r="F3" s="66">
        <f t="shared" si="2"/>
        <v>1</v>
      </c>
      <c r="G3" s="66">
        <f t="shared" ref="G3:G66" si="7">IF(MOD(MOD($A3,100),15)=0,500,IF(MOD(MOD($A3,100),3)=0,1500,2500))</f>
        <v>2500</v>
      </c>
      <c r="H3" s="66" t="str">
        <f>IF(I3="","",VLOOKUP(I3,引用表合并!$A:$B,2,FALSE))</f>
        <v>马仔经验药水</v>
      </c>
      <c r="I3" s="66">
        <f t="shared" si="3"/>
        <v>91100</v>
      </c>
      <c r="J3" s="66">
        <f t="shared" ref="J3:J66" si="8">BQ3</f>
        <v>2</v>
      </c>
      <c r="K3" s="66">
        <f t="shared" ref="K3:K66" si="9">IF(MOD(MOD($A3,100),15)=0,500,IF(MOD(MOD($A3,100),3)=0,1500,2500))+G3</f>
        <v>5000</v>
      </c>
      <c r="L3" s="66" t="str">
        <f>IF(M3="","",VLOOKUP(M3,引用表合并!$A:$B,2,FALSE))</f>
        <v>马仔经验药水</v>
      </c>
      <c r="M3" s="66">
        <f t="shared" si="4"/>
        <v>91100</v>
      </c>
      <c r="N3" s="66">
        <f t="shared" ref="N3:N66" si="10">BS3</f>
        <v>2</v>
      </c>
      <c r="O3" s="66">
        <f t="shared" ref="O3:O66" si="11">IF(MOD(MOD($A3,100),15)=0,500,IF(MOD(MOD($A3,100),3)=0,1500,2500))+K3</f>
        <v>7500</v>
      </c>
      <c r="P3" s="66" t="str">
        <f>IF(Q3="","",VLOOKUP(Q3,引用表合并!$A:$B,2,FALSE))</f>
        <v>马仔经验药水</v>
      </c>
      <c r="Q3" s="66">
        <f t="shared" si="5"/>
        <v>91100</v>
      </c>
      <c r="R3" s="66">
        <f t="shared" ref="R3:R66" si="12">BU3</f>
        <v>3</v>
      </c>
      <c r="S3" s="66">
        <f t="shared" ref="S3:S66" si="13">IF(MOD(MOD($A3,100),15)=0,500,IF(MOD(MOD($A3,100),3)=0,1500,2500))+O3</f>
        <v>10000</v>
      </c>
      <c r="BM3" s="66">
        <f t="shared" si="6"/>
        <v>2</v>
      </c>
      <c r="BN3" s="31">
        <v>100</v>
      </c>
      <c r="BO3" s="66">
        <v>1</v>
      </c>
      <c r="BP3" s="31">
        <v>100</v>
      </c>
      <c r="BQ3" s="31">
        <v>2</v>
      </c>
      <c r="BR3" s="31">
        <v>100</v>
      </c>
      <c r="BS3" s="31">
        <v>2</v>
      </c>
      <c r="BT3" s="31">
        <v>100</v>
      </c>
      <c r="BU3" s="31">
        <v>3</v>
      </c>
      <c r="BV3" s="66">
        <f t="shared" ref="BV3:BV66" si="14">(BN3*BO3+BP3*BQ3+BR3*BS3+BT3*BU3)/4</f>
        <v>200</v>
      </c>
      <c r="BX3" s="66" t="s">
        <v>975</v>
      </c>
      <c r="BY3" s="66">
        <f>AVERAGE(BW:BW)</f>
        <v>14795.454545454546</v>
      </c>
    </row>
    <row r="4" spans="1:77" x14ac:dyDescent="0.15">
      <c r="A4" s="66">
        <f t="shared" ref="A4:A16" si="15">A3+1</f>
        <v>100103</v>
      </c>
      <c r="B4" s="66" t="s">
        <v>863</v>
      </c>
      <c r="C4" s="67">
        <f t="shared" si="0"/>
        <v>8</v>
      </c>
      <c r="D4" s="66" t="str">
        <f>IF(E4="","",VLOOKUP(E4,引用表合并!$A:$B,2,FALSE))</f>
        <v>马仔经验合剂</v>
      </c>
      <c r="E4" s="66">
        <f t="shared" si="1"/>
        <v>91200</v>
      </c>
      <c r="F4" s="66">
        <f t="shared" si="2"/>
        <v>1</v>
      </c>
      <c r="G4" s="66">
        <f t="shared" si="7"/>
        <v>1500</v>
      </c>
      <c r="H4" s="66" t="str">
        <f>IF(I4="","",VLOOKUP(I4,引用表合并!$A:$B,2,FALSE))</f>
        <v>马仔经验合剂</v>
      </c>
      <c r="I4" s="66">
        <f t="shared" si="3"/>
        <v>91200</v>
      </c>
      <c r="J4" s="66">
        <f t="shared" si="8"/>
        <v>1</v>
      </c>
      <c r="K4" s="66">
        <f t="shared" si="9"/>
        <v>3000</v>
      </c>
      <c r="L4" s="66" t="str">
        <f>IF(M4="","",VLOOKUP(M4,引用表合并!$A:$B,2,FALSE))</f>
        <v>马仔经验合剂</v>
      </c>
      <c r="M4" s="66">
        <f t="shared" si="4"/>
        <v>91200</v>
      </c>
      <c r="N4" s="66">
        <f t="shared" si="10"/>
        <v>2</v>
      </c>
      <c r="O4" s="66">
        <f t="shared" si="11"/>
        <v>4500</v>
      </c>
      <c r="P4" s="66" t="str">
        <f>IF(Q4="","",VLOOKUP(Q4,引用表合并!$A:$B,2,FALSE))</f>
        <v>马仔经验合剂</v>
      </c>
      <c r="Q4" s="66">
        <f t="shared" si="5"/>
        <v>91200</v>
      </c>
      <c r="R4" s="66">
        <f t="shared" si="12"/>
        <v>2</v>
      </c>
      <c r="S4" s="66">
        <f t="shared" si="13"/>
        <v>6000</v>
      </c>
      <c r="T4" s="31" t="str">
        <f>IF(U4="","",VLOOKUP(U4,引用表合并!$A:$B,2,FALSE))</f>
        <v>马仔碎片(靓坤)</v>
      </c>
      <c r="U4" s="31">
        <v>78106</v>
      </c>
      <c r="V4" s="66">
        <v>1</v>
      </c>
      <c r="W4" s="66">
        <v>7000</v>
      </c>
      <c r="X4" s="31" t="str">
        <f>IF(Y4="","",VLOOKUP(Y4,引用表合并!$A:$B,2,FALSE))</f>
        <v>马仔碎片(雷复轰)</v>
      </c>
      <c r="Y4" s="66">
        <v>78107</v>
      </c>
      <c r="Z4" s="31">
        <v>1</v>
      </c>
      <c r="AA4" s="31">
        <v>8000</v>
      </c>
      <c r="AB4" s="31" t="str">
        <f>IF(AC4="","",VLOOKUP(AC4,引用表合并!$A:$B,2,FALSE))</f>
        <v>马仔碎片(肥仔)</v>
      </c>
      <c r="AC4" s="66">
        <v>78108</v>
      </c>
      <c r="AD4" s="31">
        <v>1</v>
      </c>
      <c r="AE4" s="31">
        <v>9000</v>
      </c>
      <c r="AF4" s="31" t="str">
        <f>IF(AG4="","",VLOOKUP(AG4,引用表合并!$A:$B,2,FALSE))</f>
        <v>马仔碎片(巴闭)</v>
      </c>
      <c r="AG4" s="66">
        <v>78117</v>
      </c>
      <c r="AH4" s="31">
        <v>1</v>
      </c>
      <c r="AI4" s="31">
        <v>10000</v>
      </c>
      <c r="BM4" s="66">
        <f t="shared" si="6"/>
        <v>1.5</v>
      </c>
      <c r="BN4" s="31">
        <v>500</v>
      </c>
      <c r="BO4" s="66">
        <v>1</v>
      </c>
      <c r="BP4" s="31">
        <v>500</v>
      </c>
      <c r="BQ4" s="31">
        <v>1</v>
      </c>
      <c r="BR4" s="31">
        <v>500</v>
      </c>
      <c r="BS4" s="31">
        <v>2</v>
      </c>
      <c r="BT4" s="31">
        <v>500</v>
      </c>
      <c r="BU4" s="31">
        <v>2</v>
      </c>
      <c r="BV4" s="66">
        <f t="shared" si="14"/>
        <v>750</v>
      </c>
    </row>
    <row r="5" spans="1:77" x14ac:dyDescent="0.15">
      <c r="A5" s="66">
        <f t="shared" si="15"/>
        <v>100104</v>
      </c>
      <c r="B5" s="66" t="s">
        <v>864</v>
      </c>
      <c r="C5" s="67">
        <f t="shared" si="0"/>
        <v>4</v>
      </c>
      <c r="D5" s="66" t="str">
        <f>IF(E5="","",VLOOKUP(E5,引用表合并!$A:$B,2,FALSE))</f>
        <v>马仔经验药水</v>
      </c>
      <c r="E5" s="66">
        <f t="shared" si="1"/>
        <v>91100</v>
      </c>
      <c r="F5" s="66">
        <f t="shared" si="2"/>
        <v>2</v>
      </c>
      <c r="G5" s="66">
        <f t="shared" si="7"/>
        <v>2500</v>
      </c>
      <c r="H5" s="66" t="str">
        <f>IF(I5="","",VLOOKUP(I5,引用表合并!$A:$B,2,FALSE))</f>
        <v>马仔经验药水</v>
      </c>
      <c r="I5" s="66">
        <f t="shared" si="3"/>
        <v>91100</v>
      </c>
      <c r="J5" s="66">
        <f t="shared" si="8"/>
        <v>2</v>
      </c>
      <c r="K5" s="66">
        <f t="shared" si="9"/>
        <v>5000</v>
      </c>
      <c r="L5" s="66" t="str">
        <f>IF(M5="","",VLOOKUP(M5,引用表合并!$A:$B,2,FALSE))</f>
        <v>马仔经验药水</v>
      </c>
      <c r="M5" s="66">
        <f t="shared" si="4"/>
        <v>91100</v>
      </c>
      <c r="N5" s="66">
        <f t="shared" si="10"/>
        <v>3</v>
      </c>
      <c r="O5" s="66">
        <f t="shared" si="11"/>
        <v>7500</v>
      </c>
      <c r="P5" s="66" t="str">
        <f>IF(Q5="","",VLOOKUP(Q5,引用表合并!$A:$B,2,FALSE))</f>
        <v>马仔经验药水</v>
      </c>
      <c r="Q5" s="66">
        <f t="shared" si="5"/>
        <v>91100</v>
      </c>
      <c r="R5" s="66">
        <f t="shared" si="12"/>
        <v>3</v>
      </c>
      <c r="S5" s="66">
        <f t="shared" si="13"/>
        <v>10000</v>
      </c>
      <c r="BM5" s="66">
        <f t="shared" si="6"/>
        <v>2.5</v>
      </c>
      <c r="BN5" s="31">
        <v>100</v>
      </c>
      <c r="BO5" s="66">
        <v>2</v>
      </c>
      <c r="BP5" s="31">
        <v>100</v>
      </c>
      <c r="BQ5" s="31">
        <v>2</v>
      </c>
      <c r="BR5" s="31">
        <v>100</v>
      </c>
      <c r="BS5" s="31">
        <v>3</v>
      </c>
      <c r="BT5" s="31">
        <v>100</v>
      </c>
      <c r="BU5" s="31">
        <v>3</v>
      </c>
      <c r="BV5" s="66">
        <f t="shared" si="14"/>
        <v>250</v>
      </c>
    </row>
    <row r="6" spans="1:77" x14ac:dyDescent="0.15">
      <c r="A6" s="66">
        <f t="shared" si="15"/>
        <v>100105</v>
      </c>
      <c r="B6" s="66" t="s">
        <v>865</v>
      </c>
      <c r="C6" s="67">
        <f t="shared" si="0"/>
        <v>4</v>
      </c>
      <c r="D6" s="66" t="str">
        <f>IF(E6="","",VLOOKUP(E6,引用表合并!$A:$B,2,FALSE))</f>
        <v>马仔经验药水</v>
      </c>
      <c r="E6" s="66">
        <f t="shared" si="1"/>
        <v>91100</v>
      </c>
      <c r="F6" s="66">
        <f t="shared" si="2"/>
        <v>2</v>
      </c>
      <c r="G6" s="66">
        <f t="shared" si="7"/>
        <v>2500</v>
      </c>
      <c r="H6" s="66" t="str">
        <f>IF(I6="","",VLOOKUP(I6,引用表合并!$A:$B,2,FALSE))</f>
        <v>马仔经验药水</v>
      </c>
      <c r="I6" s="66">
        <f t="shared" si="3"/>
        <v>91100</v>
      </c>
      <c r="J6" s="66">
        <f t="shared" si="8"/>
        <v>3</v>
      </c>
      <c r="K6" s="66">
        <f t="shared" si="9"/>
        <v>5000</v>
      </c>
      <c r="L6" s="66" t="str">
        <f>IF(M6="","",VLOOKUP(M6,引用表合并!$A:$B,2,FALSE))</f>
        <v>马仔经验药水</v>
      </c>
      <c r="M6" s="66">
        <f t="shared" si="4"/>
        <v>91100</v>
      </c>
      <c r="N6" s="66">
        <f t="shared" si="10"/>
        <v>3</v>
      </c>
      <c r="O6" s="66">
        <f t="shared" si="11"/>
        <v>7500</v>
      </c>
      <c r="P6" s="66" t="str">
        <f>IF(Q6="","",VLOOKUP(Q6,引用表合并!$A:$B,2,FALSE))</f>
        <v>马仔经验药水</v>
      </c>
      <c r="Q6" s="66">
        <f t="shared" si="5"/>
        <v>91100</v>
      </c>
      <c r="R6" s="66">
        <f t="shared" si="12"/>
        <v>4</v>
      </c>
      <c r="S6" s="66">
        <f t="shared" si="13"/>
        <v>10000</v>
      </c>
      <c r="BM6" s="66">
        <f t="shared" si="6"/>
        <v>3</v>
      </c>
      <c r="BN6" s="31">
        <v>100</v>
      </c>
      <c r="BO6" s="66">
        <v>2</v>
      </c>
      <c r="BP6" s="31">
        <v>100</v>
      </c>
      <c r="BQ6" s="31">
        <v>3</v>
      </c>
      <c r="BR6" s="31">
        <v>100</v>
      </c>
      <c r="BS6" s="31">
        <v>3</v>
      </c>
      <c r="BT6" s="31">
        <v>100</v>
      </c>
      <c r="BU6" s="31">
        <v>4</v>
      </c>
      <c r="BV6" s="66">
        <f t="shared" si="14"/>
        <v>300</v>
      </c>
    </row>
    <row r="7" spans="1:77" x14ac:dyDescent="0.15">
      <c r="A7" s="66">
        <f t="shared" si="15"/>
        <v>100106</v>
      </c>
      <c r="B7" s="66" t="s">
        <v>866</v>
      </c>
      <c r="C7" s="67">
        <f t="shared" ref="C7:C70" si="16">CHOOSE(2,1,COUNT(F7,J7,N7,R7,V7,Z7,AD7,AH7,AL7,AP7,AT7,AX7,BB7,BF7,BJ7))</f>
        <v>8</v>
      </c>
      <c r="D7" s="66" t="str">
        <f>IF(E7="","",VLOOKUP(E7,引用表合并!$A:$B,2,FALSE))</f>
        <v>马仔经验合剂</v>
      </c>
      <c r="E7" s="66">
        <f t="shared" si="1"/>
        <v>91200</v>
      </c>
      <c r="F7" s="66">
        <f t="shared" si="2"/>
        <v>1</v>
      </c>
      <c r="G7" s="66">
        <f t="shared" si="7"/>
        <v>1500</v>
      </c>
      <c r="H7" s="66" t="str">
        <f>IF(I7="","",VLOOKUP(I7,引用表合并!$A:$B,2,FALSE))</f>
        <v>马仔经验合剂</v>
      </c>
      <c r="I7" s="66">
        <f t="shared" si="3"/>
        <v>91200</v>
      </c>
      <c r="J7" s="66">
        <f t="shared" si="8"/>
        <v>2</v>
      </c>
      <c r="K7" s="66">
        <f t="shared" si="9"/>
        <v>3000</v>
      </c>
      <c r="L7" s="66" t="str">
        <f>IF(M7="","",VLOOKUP(M7,引用表合并!$A:$B,2,FALSE))</f>
        <v>马仔经验合剂</v>
      </c>
      <c r="M7" s="66">
        <f t="shared" si="4"/>
        <v>91200</v>
      </c>
      <c r="N7" s="66">
        <f t="shared" si="10"/>
        <v>2</v>
      </c>
      <c r="O7" s="66">
        <f t="shared" si="11"/>
        <v>4500</v>
      </c>
      <c r="P7" s="66" t="str">
        <f>IF(Q7="","",VLOOKUP(Q7,引用表合并!$A:$B,2,FALSE))</f>
        <v>马仔经验合剂</v>
      </c>
      <c r="Q7" s="66">
        <f t="shared" si="5"/>
        <v>91200</v>
      </c>
      <c r="R7" s="66">
        <f t="shared" si="12"/>
        <v>3</v>
      </c>
      <c r="S7" s="66">
        <f t="shared" si="13"/>
        <v>6000</v>
      </c>
      <c r="T7" s="31" t="str">
        <f>IF(U7="","",VLOOKUP(U7,引用表合并!$A:$B,2,FALSE))</f>
        <v>马仔碎片(靓坤)</v>
      </c>
      <c r="U7" s="31">
        <v>78106</v>
      </c>
      <c r="V7" s="66">
        <v>2</v>
      </c>
      <c r="W7" s="66">
        <v>7000</v>
      </c>
      <c r="X7" s="31" t="str">
        <f>IF(Y7="","",VLOOKUP(Y7,引用表合并!$A:$B,2,FALSE))</f>
        <v>马仔碎片(雷复轰)</v>
      </c>
      <c r="Y7" s="66">
        <v>78107</v>
      </c>
      <c r="Z7" s="31">
        <v>2</v>
      </c>
      <c r="AA7" s="31">
        <v>8000</v>
      </c>
      <c r="AB7" s="31" t="str">
        <f>IF(AC7="","",VLOOKUP(AC7,引用表合并!$A:$B,2,FALSE))</f>
        <v>马仔碎片(肥仔)</v>
      </c>
      <c r="AC7" s="66">
        <v>78108</v>
      </c>
      <c r="AD7" s="31">
        <v>2</v>
      </c>
      <c r="AE7" s="31">
        <v>9000</v>
      </c>
      <c r="AF7" s="31" t="str">
        <f>IF(AG7="","",VLOOKUP(AG7,引用表合并!$A:$B,2,FALSE))</f>
        <v>马仔碎片(巴闭)</v>
      </c>
      <c r="AG7" s="66">
        <v>78117</v>
      </c>
      <c r="AH7" s="31">
        <v>2</v>
      </c>
      <c r="AI7" s="31">
        <v>10000</v>
      </c>
      <c r="BM7" s="66">
        <f t="shared" si="6"/>
        <v>2</v>
      </c>
      <c r="BN7" s="31">
        <v>500</v>
      </c>
      <c r="BO7" s="66">
        <v>1</v>
      </c>
      <c r="BP7" s="31">
        <v>500</v>
      </c>
      <c r="BQ7" s="31">
        <v>2</v>
      </c>
      <c r="BR7" s="31">
        <v>500</v>
      </c>
      <c r="BS7" s="31">
        <v>2</v>
      </c>
      <c r="BT7" s="31">
        <v>500</v>
      </c>
      <c r="BU7" s="31">
        <v>3</v>
      </c>
      <c r="BV7" s="66">
        <f t="shared" si="14"/>
        <v>1000</v>
      </c>
    </row>
    <row r="8" spans="1:77" x14ac:dyDescent="0.15">
      <c r="A8" s="66">
        <f t="shared" si="15"/>
        <v>100107</v>
      </c>
      <c r="B8" s="66" t="s">
        <v>867</v>
      </c>
      <c r="C8" s="67">
        <f t="shared" si="16"/>
        <v>4</v>
      </c>
      <c r="D8" s="66" t="str">
        <f>IF(E8="","",VLOOKUP(E8,引用表合并!$A:$B,2,FALSE))</f>
        <v>马仔经验药水</v>
      </c>
      <c r="E8" s="66">
        <f t="shared" si="1"/>
        <v>91100</v>
      </c>
      <c r="F8" s="66">
        <f t="shared" si="2"/>
        <v>3</v>
      </c>
      <c r="G8" s="66">
        <f t="shared" si="7"/>
        <v>2500</v>
      </c>
      <c r="H8" s="66" t="str">
        <f>IF(I8="","",VLOOKUP(I8,引用表合并!$A:$B,2,FALSE))</f>
        <v>马仔经验药水</v>
      </c>
      <c r="I8" s="66">
        <f t="shared" si="3"/>
        <v>91100</v>
      </c>
      <c r="J8" s="66">
        <f t="shared" si="8"/>
        <v>3</v>
      </c>
      <c r="K8" s="66">
        <f t="shared" si="9"/>
        <v>5000</v>
      </c>
      <c r="L8" s="66" t="str">
        <f>IF(M8="","",VLOOKUP(M8,引用表合并!$A:$B,2,FALSE))</f>
        <v>马仔经验药水</v>
      </c>
      <c r="M8" s="66">
        <f t="shared" si="4"/>
        <v>91100</v>
      </c>
      <c r="N8" s="66">
        <f t="shared" si="10"/>
        <v>4</v>
      </c>
      <c r="O8" s="66">
        <f t="shared" si="11"/>
        <v>7500</v>
      </c>
      <c r="P8" s="66" t="str">
        <f>IF(Q8="","",VLOOKUP(Q8,引用表合并!$A:$B,2,FALSE))</f>
        <v>马仔经验药水</v>
      </c>
      <c r="Q8" s="66">
        <f t="shared" si="5"/>
        <v>91100</v>
      </c>
      <c r="R8" s="66">
        <f t="shared" si="12"/>
        <v>4</v>
      </c>
      <c r="S8" s="66">
        <f t="shared" si="13"/>
        <v>10000</v>
      </c>
      <c r="BM8" s="66">
        <f t="shared" si="6"/>
        <v>3.5</v>
      </c>
      <c r="BN8" s="31">
        <v>100</v>
      </c>
      <c r="BO8" s="66">
        <v>3</v>
      </c>
      <c r="BP8" s="31">
        <v>100</v>
      </c>
      <c r="BQ8" s="31">
        <v>3</v>
      </c>
      <c r="BR8" s="31">
        <v>100</v>
      </c>
      <c r="BS8" s="31">
        <v>4</v>
      </c>
      <c r="BT8" s="31">
        <v>100</v>
      </c>
      <c r="BU8" s="31">
        <v>4</v>
      </c>
      <c r="BV8" s="66">
        <f t="shared" si="14"/>
        <v>350</v>
      </c>
    </row>
    <row r="9" spans="1:77" x14ac:dyDescent="0.15">
      <c r="A9" s="66">
        <f t="shared" si="15"/>
        <v>100108</v>
      </c>
      <c r="B9" s="66" t="s">
        <v>868</v>
      </c>
      <c r="C9" s="67">
        <f t="shared" si="16"/>
        <v>4</v>
      </c>
      <c r="D9" s="66" t="str">
        <f>IF(E9="","",VLOOKUP(E9,引用表合并!$A:$B,2,FALSE))</f>
        <v>马仔经验药水</v>
      </c>
      <c r="E9" s="66">
        <f t="shared" si="1"/>
        <v>91100</v>
      </c>
      <c r="F9" s="66">
        <f t="shared" si="2"/>
        <v>3</v>
      </c>
      <c r="G9" s="66">
        <f t="shared" si="7"/>
        <v>2500</v>
      </c>
      <c r="H9" s="66" t="str">
        <f>IF(I9="","",VLOOKUP(I9,引用表合并!$A:$B,2,FALSE))</f>
        <v>马仔经验药水</v>
      </c>
      <c r="I9" s="66">
        <f t="shared" si="3"/>
        <v>91100</v>
      </c>
      <c r="J9" s="66">
        <f t="shared" si="8"/>
        <v>4</v>
      </c>
      <c r="K9" s="66">
        <f t="shared" si="9"/>
        <v>5000</v>
      </c>
      <c r="L9" s="66" t="str">
        <f>IF(M9="","",VLOOKUP(M9,引用表合并!$A:$B,2,FALSE))</f>
        <v>马仔经验药水</v>
      </c>
      <c r="M9" s="66">
        <f t="shared" si="4"/>
        <v>91100</v>
      </c>
      <c r="N9" s="66">
        <f t="shared" si="10"/>
        <v>4</v>
      </c>
      <c r="O9" s="66">
        <f t="shared" si="11"/>
        <v>7500</v>
      </c>
      <c r="P9" s="66" t="str">
        <f>IF(Q9="","",VLOOKUP(Q9,引用表合并!$A:$B,2,FALSE))</f>
        <v>马仔经验药水</v>
      </c>
      <c r="Q9" s="66">
        <f t="shared" si="5"/>
        <v>91100</v>
      </c>
      <c r="R9" s="66">
        <f t="shared" si="12"/>
        <v>5</v>
      </c>
      <c r="S9" s="66">
        <f t="shared" si="13"/>
        <v>10000</v>
      </c>
      <c r="BM9" s="66">
        <f t="shared" si="6"/>
        <v>4</v>
      </c>
      <c r="BN9" s="31">
        <v>100</v>
      </c>
      <c r="BO9" s="66">
        <v>3</v>
      </c>
      <c r="BP9" s="31">
        <v>100</v>
      </c>
      <c r="BQ9" s="31">
        <v>4</v>
      </c>
      <c r="BR9" s="31">
        <v>100</v>
      </c>
      <c r="BS9" s="31">
        <v>4</v>
      </c>
      <c r="BT9" s="31">
        <v>100</v>
      </c>
      <c r="BU9" s="31">
        <v>5</v>
      </c>
      <c r="BV9" s="66">
        <f t="shared" si="14"/>
        <v>400</v>
      </c>
    </row>
    <row r="10" spans="1:77" x14ac:dyDescent="0.15">
      <c r="A10" s="66">
        <f t="shared" si="15"/>
        <v>100109</v>
      </c>
      <c r="B10" s="66" t="s">
        <v>869</v>
      </c>
      <c r="C10" s="67">
        <f t="shared" si="16"/>
        <v>8</v>
      </c>
      <c r="D10" s="66" t="str">
        <f>IF(E10="","",VLOOKUP(E10,引用表合并!$A:$B,2,FALSE))</f>
        <v>马仔经验合剂</v>
      </c>
      <c r="E10" s="66">
        <v>91200</v>
      </c>
      <c r="F10" s="66">
        <f t="shared" si="2"/>
        <v>2</v>
      </c>
      <c r="G10" s="66">
        <f t="shared" si="7"/>
        <v>1500</v>
      </c>
      <c r="H10" s="66" t="str">
        <f>IF(I10="","",VLOOKUP(I10,引用表合并!$A:$B,2,FALSE))</f>
        <v>马仔经验合剂</v>
      </c>
      <c r="I10" s="66">
        <f t="shared" si="3"/>
        <v>91200</v>
      </c>
      <c r="J10" s="66">
        <f t="shared" si="8"/>
        <v>2</v>
      </c>
      <c r="K10" s="66">
        <f t="shared" si="9"/>
        <v>3000</v>
      </c>
      <c r="L10" s="66" t="str">
        <f>IF(M10="","",VLOOKUP(M10,引用表合并!$A:$B,2,FALSE))</f>
        <v>马仔经验合剂</v>
      </c>
      <c r="M10" s="66">
        <f t="shared" si="4"/>
        <v>91200</v>
      </c>
      <c r="N10" s="66">
        <f t="shared" si="10"/>
        <v>3</v>
      </c>
      <c r="O10" s="66">
        <f t="shared" si="11"/>
        <v>4500</v>
      </c>
      <c r="P10" s="66" t="str">
        <f>IF(Q10="","",VLOOKUP(Q10,引用表合并!$A:$B,2,FALSE))</f>
        <v>马仔经验合剂</v>
      </c>
      <c r="Q10" s="66">
        <f t="shared" si="5"/>
        <v>91200</v>
      </c>
      <c r="R10" s="66">
        <f t="shared" si="12"/>
        <v>3</v>
      </c>
      <c r="S10" s="66">
        <f t="shared" si="13"/>
        <v>6000</v>
      </c>
      <c r="T10" s="31" t="str">
        <f>IF(U10="","",VLOOKUP(U10,引用表合并!$A:$B,2,FALSE))</f>
        <v>马仔碎片(靓坤)</v>
      </c>
      <c r="U10" s="31">
        <v>78106</v>
      </c>
      <c r="V10" s="66">
        <v>3</v>
      </c>
      <c r="W10" s="66">
        <v>7000</v>
      </c>
      <c r="X10" s="31" t="str">
        <f>IF(Y10="","",VLOOKUP(Y10,引用表合并!$A:$B,2,FALSE))</f>
        <v>马仔碎片(雷复轰)</v>
      </c>
      <c r="Y10" s="66">
        <v>78107</v>
      </c>
      <c r="Z10" s="31">
        <v>3</v>
      </c>
      <c r="AA10" s="31">
        <v>8000</v>
      </c>
      <c r="AB10" s="31" t="str">
        <f>IF(AC10="","",VLOOKUP(AC10,引用表合并!$A:$B,2,FALSE))</f>
        <v>马仔碎片(肥仔)</v>
      </c>
      <c r="AC10" s="66">
        <v>78108</v>
      </c>
      <c r="AD10" s="31">
        <v>3</v>
      </c>
      <c r="AE10" s="31">
        <v>9000</v>
      </c>
      <c r="AF10" s="31" t="str">
        <f>IF(AG10="","",VLOOKUP(AG10,引用表合并!$A:$B,2,FALSE))</f>
        <v>马仔碎片(巴闭)</v>
      </c>
      <c r="AG10" s="66">
        <v>78117</v>
      </c>
      <c r="AH10" s="31">
        <v>3</v>
      </c>
      <c r="AI10" s="31">
        <v>10000</v>
      </c>
      <c r="BM10" s="66">
        <f t="shared" si="6"/>
        <v>2.5</v>
      </c>
      <c r="BN10" s="31">
        <v>500</v>
      </c>
      <c r="BO10" s="66">
        <v>2</v>
      </c>
      <c r="BP10" s="31">
        <v>500</v>
      </c>
      <c r="BQ10" s="31">
        <v>2</v>
      </c>
      <c r="BR10" s="31">
        <v>500</v>
      </c>
      <c r="BS10" s="31">
        <v>3</v>
      </c>
      <c r="BT10" s="31">
        <v>500</v>
      </c>
      <c r="BU10" s="31">
        <v>3</v>
      </c>
      <c r="BV10" s="66">
        <f t="shared" si="14"/>
        <v>1250</v>
      </c>
    </row>
    <row r="11" spans="1:77" x14ac:dyDescent="0.15">
      <c r="A11" s="66">
        <f t="shared" si="15"/>
        <v>100110</v>
      </c>
      <c r="B11" s="66" t="s">
        <v>870</v>
      </c>
      <c r="C11" s="67">
        <f t="shared" si="16"/>
        <v>4</v>
      </c>
      <c r="D11" s="66" t="str">
        <f>IF(E11="","",VLOOKUP(E11,引用表合并!$A:$B,2,FALSE))</f>
        <v>马仔经验药水</v>
      </c>
      <c r="E11" s="66">
        <v>91100</v>
      </c>
      <c r="F11" s="66">
        <f t="shared" si="2"/>
        <v>4</v>
      </c>
      <c r="G11" s="66">
        <f t="shared" si="7"/>
        <v>2500</v>
      </c>
      <c r="H11" s="66" t="str">
        <f>IF(I11="","",VLOOKUP(I11,引用表合并!$A:$B,2,FALSE))</f>
        <v>马仔经验药水</v>
      </c>
      <c r="I11" s="66">
        <f t="shared" si="3"/>
        <v>91100</v>
      </c>
      <c r="J11" s="66">
        <f t="shared" si="8"/>
        <v>4</v>
      </c>
      <c r="K11" s="66">
        <f t="shared" si="9"/>
        <v>5000</v>
      </c>
      <c r="L11" s="66" t="str">
        <f>IF(M11="","",VLOOKUP(M11,引用表合并!$A:$B,2,FALSE))</f>
        <v>马仔经验药水</v>
      </c>
      <c r="M11" s="66">
        <f t="shared" si="4"/>
        <v>91100</v>
      </c>
      <c r="N11" s="66">
        <f t="shared" si="10"/>
        <v>5</v>
      </c>
      <c r="O11" s="66">
        <f t="shared" si="11"/>
        <v>7500</v>
      </c>
      <c r="P11" s="66" t="str">
        <f>IF(Q11="","",VLOOKUP(Q11,引用表合并!$A:$B,2,FALSE))</f>
        <v>马仔经验药水</v>
      </c>
      <c r="Q11" s="66">
        <f t="shared" si="5"/>
        <v>91100</v>
      </c>
      <c r="R11" s="66">
        <f t="shared" si="12"/>
        <v>5</v>
      </c>
      <c r="S11" s="66">
        <f t="shared" si="13"/>
        <v>10000</v>
      </c>
      <c r="BM11" s="66">
        <f t="shared" si="6"/>
        <v>4.5</v>
      </c>
      <c r="BN11" s="31">
        <v>100</v>
      </c>
      <c r="BO11" s="66">
        <v>4</v>
      </c>
      <c r="BP11" s="31">
        <v>100</v>
      </c>
      <c r="BQ11" s="31">
        <v>4</v>
      </c>
      <c r="BR11" s="31">
        <v>100</v>
      </c>
      <c r="BS11" s="31">
        <v>5</v>
      </c>
      <c r="BT11" s="31">
        <v>100</v>
      </c>
      <c r="BU11" s="31">
        <v>5</v>
      </c>
      <c r="BV11" s="66">
        <f t="shared" si="14"/>
        <v>450</v>
      </c>
    </row>
    <row r="12" spans="1:77" x14ac:dyDescent="0.15">
      <c r="A12" s="66">
        <f t="shared" si="15"/>
        <v>100111</v>
      </c>
      <c r="B12" s="66" t="s">
        <v>871</v>
      </c>
      <c r="C12" s="67">
        <f t="shared" si="16"/>
        <v>4</v>
      </c>
      <c r="D12" s="66" t="str">
        <f>IF(E12="","",VLOOKUP(E12,引用表合并!$A:$B,2,FALSE))</f>
        <v>马仔经验药水</v>
      </c>
      <c r="E12" s="66">
        <f t="shared" si="1"/>
        <v>91100</v>
      </c>
      <c r="F12" s="66">
        <f t="shared" si="2"/>
        <v>4</v>
      </c>
      <c r="G12" s="66">
        <f t="shared" si="7"/>
        <v>2500</v>
      </c>
      <c r="H12" s="66" t="str">
        <f>IF(I12="","",VLOOKUP(I12,引用表合并!$A:$B,2,FALSE))</f>
        <v>马仔经验药水</v>
      </c>
      <c r="I12" s="66">
        <f t="shared" si="3"/>
        <v>91100</v>
      </c>
      <c r="J12" s="66">
        <f t="shared" si="8"/>
        <v>5</v>
      </c>
      <c r="K12" s="66">
        <f t="shared" si="9"/>
        <v>5000</v>
      </c>
      <c r="L12" s="66" t="str">
        <f>IF(M12="","",VLOOKUP(M12,引用表合并!$A:$B,2,FALSE))</f>
        <v>马仔经验药水</v>
      </c>
      <c r="M12" s="66">
        <f t="shared" si="4"/>
        <v>91100</v>
      </c>
      <c r="N12" s="66">
        <f t="shared" si="10"/>
        <v>5</v>
      </c>
      <c r="O12" s="66">
        <f t="shared" si="11"/>
        <v>7500</v>
      </c>
      <c r="P12" s="66" t="str">
        <f>IF(Q12="","",VLOOKUP(Q12,引用表合并!$A:$B,2,FALSE))</f>
        <v>马仔经验药水</v>
      </c>
      <c r="Q12" s="66">
        <f t="shared" si="5"/>
        <v>91100</v>
      </c>
      <c r="R12" s="66">
        <f t="shared" si="12"/>
        <v>6</v>
      </c>
      <c r="S12" s="66">
        <f t="shared" si="13"/>
        <v>10000</v>
      </c>
      <c r="BM12" s="66">
        <f t="shared" si="6"/>
        <v>5</v>
      </c>
      <c r="BN12" s="31">
        <v>100</v>
      </c>
      <c r="BO12" s="66">
        <v>4</v>
      </c>
      <c r="BP12" s="31">
        <v>100</v>
      </c>
      <c r="BQ12" s="31">
        <v>5</v>
      </c>
      <c r="BR12" s="31">
        <v>100</v>
      </c>
      <c r="BS12" s="31">
        <v>5</v>
      </c>
      <c r="BT12" s="31">
        <v>100</v>
      </c>
      <c r="BU12" s="31">
        <v>6</v>
      </c>
      <c r="BV12" s="66">
        <f t="shared" si="14"/>
        <v>500</v>
      </c>
    </row>
    <row r="13" spans="1:77" x14ac:dyDescent="0.15">
      <c r="A13" s="66">
        <f t="shared" si="15"/>
        <v>100112</v>
      </c>
      <c r="B13" s="66" t="s">
        <v>872</v>
      </c>
      <c r="C13" s="67">
        <f t="shared" si="16"/>
        <v>8</v>
      </c>
      <c r="D13" s="66" t="str">
        <f>IF(E13="","",VLOOKUP(E13,引用表合并!$A:$B,2,FALSE))</f>
        <v>马仔经验合剂</v>
      </c>
      <c r="E13" s="66">
        <v>91200</v>
      </c>
      <c r="F13" s="66">
        <f t="shared" si="2"/>
        <v>3</v>
      </c>
      <c r="G13" s="66">
        <f t="shared" si="7"/>
        <v>1500</v>
      </c>
      <c r="H13" s="66" t="str">
        <f>IF(I13="","",VLOOKUP(I13,引用表合并!$A:$B,2,FALSE))</f>
        <v>马仔经验合剂</v>
      </c>
      <c r="I13" s="66">
        <f t="shared" si="3"/>
        <v>91200</v>
      </c>
      <c r="J13" s="66">
        <f t="shared" si="8"/>
        <v>3</v>
      </c>
      <c r="K13" s="66">
        <f t="shared" si="9"/>
        <v>3000</v>
      </c>
      <c r="L13" s="66" t="str">
        <f>IF(M13="","",VLOOKUP(M13,引用表合并!$A:$B,2,FALSE))</f>
        <v>马仔经验合剂</v>
      </c>
      <c r="M13" s="66">
        <f t="shared" si="4"/>
        <v>91200</v>
      </c>
      <c r="N13" s="66">
        <f t="shared" si="10"/>
        <v>4</v>
      </c>
      <c r="O13" s="66">
        <f t="shared" si="11"/>
        <v>4500</v>
      </c>
      <c r="P13" s="66" t="str">
        <f>IF(Q13="","",VLOOKUP(Q13,引用表合并!$A:$B,2,FALSE))</f>
        <v>马仔经验合剂</v>
      </c>
      <c r="Q13" s="66">
        <f t="shared" si="5"/>
        <v>91200</v>
      </c>
      <c r="R13" s="66">
        <f t="shared" si="12"/>
        <v>4</v>
      </c>
      <c r="S13" s="66">
        <f t="shared" si="13"/>
        <v>6000</v>
      </c>
      <c r="T13" s="31" t="str">
        <f>IF(U13="","",VLOOKUP(U13,引用表合并!$A:$B,2,FALSE))</f>
        <v>马仔碎片(赌王)</v>
      </c>
      <c r="U13" s="31">
        <v>78111</v>
      </c>
      <c r="V13" s="66">
        <v>1</v>
      </c>
      <c r="W13" s="66">
        <v>7000</v>
      </c>
      <c r="X13" s="31" t="str">
        <f>IF(Y13="","",VLOOKUP(Y13,引用表合并!$A:$B,2,FALSE))</f>
        <v>马仔碎片(山下忠秀)</v>
      </c>
      <c r="Y13" s="31">
        <v>78112</v>
      </c>
      <c r="Z13" s="31">
        <v>1</v>
      </c>
      <c r="AA13" s="31">
        <v>8000</v>
      </c>
      <c r="AB13" s="31" t="str">
        <f>IF(AC13="","",VLOOKUP(AC13,引用表合并!$A:$B,2,FALSE))</f>
        <v>马仔碎片(宫本一)</v>
      </c>
      <c r="AC13" s="66">
        <v>78113</v>
      </c>
      <c r="AD13" s="31">
        <v>1</v>
      </c>
      <c r="AE13" s="31">
        <v>9000</v>
      </c>
      <c r="AF13" s="31" t="str">
        <f>IF(AG13="","",VLOOKUP(AG13,引用表合并!$A:$B,2,FALSE))</f>
        <v>马仔碎片(笑面虎)</v>
      </c>
      <c r="AG13" s="66">
        <v>78119</v>
      </c>
      <c r="AH13" s="31">
        <v>1</v>
      </c>
      <c r="AI13" s="31">
        <v>10000</v>
      </c>
      <c r="BM13" s="66">
        <f t="shared" si="6"/>
        <v>3.5</v>
      </c>
      <c r="BN13" s="31">
        <v>500</v>
      </c>
      <c r="BO13" s="66">
        <v>3</v>
      </c>
      <c r="BP13" s="31">
        <v>500</v>
      </c>
      <c r="BQ13" s="31">
        <v>3</v>
      </c>
      <c r="BR13" s="31">
        <v>500</v>
      </c>
      <c r="BS13" s="31">
        <v>4</v>
      </c>
      <c r="BT13" s="31">
        <v>500</v>
      </c>
      <c r="BU13" s="31">
        <v>4</v>
      </c>
      <c r="BV13" s="66">
        <f t="shared" si="14"/>
        <v>1750</v>
      </c>
    </row>
    <row r="14" spans="1:77" x14ac:dyDescent="0.15">
      <c r="A14" s="66">
        <f t="shared" si="15"/>
        <v>100113</v>
      </c>
      <c r="B14" s="66" t="s">
        <v>873</v>
      </c>
      <c r="C14" s="67">
        <f t="shared" si="16"/>
        <v>4</v>
      </c>
      <c r="D14" s="66" t="str">
        <f>IF(E14="","",VLOOKUP(E14,引用表合并!$A:$B,2,FALSE))</f>
        <v>马仔经验药水</v>
      </c>
      <c r="E14" s="66">
        <f>IF(BN14=100,91100,IF(BN14=500,91200,91300))</f>
        <v>91100</v>
      </c>
      <c r="F14" s="66">
        <f t="shared" si="2"/>
        <v>5</v>
      </c>
      <c r="G14" s="66">
        <f t="shared" si="7"/>
        <v>2500</v>
      </c>
      <c r="H14" s="66" t="str">
        <f>IF(I14="","",VLOOKUP(I14,引用表合并!$A:$B,2,FALSE))</f>
        <v>马仔经验药水</v>
      </c>
      <c r="I14" s="66">
        <f t="shared" si="3"/>
        <v>91100</v>
      </c>
      <c r="J14" s="66">
        <f t="shared" si="8"/>
        <v>5</v>
      </c>
      <c r="K14" s="66">
        <f t="shared" si="9"/>
        <v>5000</v>
      </c>
      <c r="L14" s="66" t="str">
        <f>IF(M14="","",VLOOKUP(M14,引用表合并!$A:$B,2,FALSE))</f>
        <v>马仔经验药水</v>
      </c>
      <c r="M14" s="66">
        <f t="shared" si="4"/>
        <v>91100</v>
      </c>
      <c r="N14" s="66">
        <f t="shared" si="10"/>
        <v>6</v>
      </c>
      <c r="O14" s="66">
        <f t="shared" si="11"/>
        <v>7500</v>
      </c>
      <c r="P14" s="66" t="str">
        <f>IF(Q14="","",VLOOKUP(Q14,引用表合并!$A:$B,2,FALSE))</f>
        <v>马仔经验药水</v>
      </c>
      <c r="Q14" s="66">
        <f t="shared" si="5"/>
        <v>91100</v>
      </c>
      <c r="R14" s="66">
        <f t="shared" si="12"/>
        <v>6</v>
      </c>
      <c r="S14" s="66">
        <f t="shared" si="13"/>
        <v>10000</v>
      </c>
      <c r="BM14" s="66">
        <f t="shared" si="6"/>
        <v>5.5</v>
      </c>
      <c r="BN14" s="31">
        <v>100</v>
      </c>
      <c r="BO14" s="66">
        <v>5</v>
      </c>
      <c r="BP14" s="31">
        <v>100</v>
      </c>
      <c r="BQ14" s="31">
        <v>5</v>
      </c>
      <c r="BR14" s="31">
        <v>100</v>
      </c>
      <c r="BS14" s="31">
        <v>6</v>
      </c>
      <c r="BT14" s="31">
        <v>100</v>
      </c>
      <c r="BU14" s="31">
        <v>6</v>
      </c>
      <c r="BV14" s="66">
        <f t="shared" si="14"/>
        <v>550</v>
      </c>
    </row>
    <row r="15" spans="1:77" x14ac:dyDescent="0.15">
      <c r="A15" s="66">
        <f t="shared" si="15"/>
        <v>100114</v>
      </c>
      <c r="B15" s="66" t="s">
        <v>874</v>
      </c>
      <c r="C15" s="67">
        <f t="shared" si="16"/>
        <v>4</v>
      </c>
      <c r="D15" s="66" t="str">
        <f>IF(E15="","",VLOOKUP(E15,引用表合并!$A:$B,2,FALSE))</f>
        <v>马仔经验药水</v>
      </c>
      <c r="E15" s="66">
        <f t="shared" si="1"/>
        <v>91100</v>
      </c>
      <c r="F15" s="66">
        <f t="shared" si="2"/>
        <v>5</v>
      </c>
      <c r="G15" s="66">
        <f t="shared" si="7"/>
        <v>2500</v>
      </c>
      <c r="H15" s="66" t="str">
        <f>IF(I15="","",VLOOKUP(I15,引用表合并!$A:$B,2,FALSE))</f>
        <v>马仔经验药水</v>
      </c>
      <c r="I15" s="66">
        <f t="shared" si="3"/>
        <v>91100</v>
      </c>
      <c r="J15" s="66">
        <f t="shared" si="8"/>
        <v>6</v>
      </c>
      <c r="K15" s="66">
        <f t="shared" si="9"/>
        <v>5000</v>
      </c>
      <c r="L15" s="66" t="str">
        <f>IF(M15="","",VLOOKUP(M15,引用表合并!$A:$B,2,FALSE))</f>
        <v>马仔经验药水</v>
      </c>
      <c r="M15" s="66">
        <f t="shared" si="4"/>
        <v>91100</v>
      </c>
      <c r="N15" s="66">
        <f t="shared" si="10"/>
        <v>6</v>
      </c>
      <c r="O15" s="66">
        <f t="shared" si="11"/>
        <v>7500</v>
      </c>
      <c r="P15" s="66" t="str">
        <f>IF(Q15="","",VLOOKUP(Q15,引用表合并!$A:$B,2,FALSE))</f>
        <v>马仔经验药水</v>
      </c>
      <c r="Q15" s="66">
        <f t="shared" si="5"/>
        <v>91100</v>
      </c>
      <c r="R15" s="66">
        <f t="shared" si="12"/>
        <v>7</v>
      </c>
      <c r="S15" s="66">
        <f t="shared" si="13"/>
        <v>10000</v>
      </c>
      <c r="BM15" s="66">
        <f t="shared" si="6"/>
        <v>6</v>
      </c>
      <c r="BN15" s="31">
        <v>100</v>
      </c>
      <c r="BO15" s="66">
        <v>5</v>
      </c>
      <c r="BP15" s="31">
        <v>100</v>
      </c>
      <c r="BQ15" s="31">
        <v>6</v>
      </c>
      <c r="BR15" s="31">
        <v>100</v>
      </c>
      <c r="BS15" s="31">
        <v>6</v>
      </c>
      <c r="BT15" s="31">
        <v>100</v>
      </c>
      <c r="BU15" s="31">
        <v>7</v>
      </c>
      <c r="BV15" s="66">
        <f t="shared" si="14"/>
        <v>600</v>
      </c>
    </row>
    <row r="16" spans="1:77" s="31" customFormat="1" x14ac:dyDescent="0.15">
      <c r="A16" s="31">
        <f t="shared" si="15"/>
        <v>100115</v>
      </c>
      <c r="B16" s="31" t="s">
        <v>875</v>
      </c>
      <c r="C16" s="67">
        <f t="shared" si="16"/>
        <v>9</v>
      </c>
      <c r="D16" s="31" t="str">
        <f>IF(E16="","",VLOOKUP(E16,引用表合并!$A:$B,2,FALSE))</f>
        <v>马仔经验甘露</v>
      </c>
      <c r="E16" s="31">
        <f t="shared" si="1"/>
        <v>91300</v>
      </c>
      <c r="F16" s="66">
        <f t="shared" si="2"/>
        <v>1</v>
      </c>
      <c r="G16" s="66">
        <f t="shared" si="7"/>
        <v>500</v>
      </c>
      <c r="H16" s="31" t="str">
        <f>IF(I16="","",VLOOKUP(I16,引用表合并!$A:$B,2,FALSE))</f>
        <v>马仔经验甘露</v>
      </c>
      <c r="I16" s="66">
        <f t="shared" si="3"/>
        <v>91300</v>
      </c>
      <c r="J16" s="66">
        <f t="shared" si="8"/>
        <v>1</v>
      </c>
      <c r="K16" s="66">
        <f t="shared" si="9"/>
        <v>1000</v>
      </c>
      <c r="L16" s="31" t="str">
        <f>IF(M16="","",VLOOKUP(M16,引用表合并!$A:$B,2,FALSE))</f>
        <v>马仔经验甘露</v>
      </c>
      <c r="M16" s="66">
        <f t="shared" si="4"/>
        <v>91300</v>
      </c>
      <c r="N16" s="66">
        <f t="shared" si="10"/>
        <v>1</v>
      </c>
      <c r="O16" s="66">
        <f t="shared" si="11"/>
        <v>1500</v>
      </c>
      <c r="P16" s="31" t="str">
        <f>IF(Q16="","",VLOOKUP(Q16,引用表合并!$A:$B,2,FALSE))</f>
        <v>马仔经验甘露</v>
      </c>
      <c r="Q16" s="66">
        <f t="shared" si="5"/>
        <v>91300</v>
      </c>
      <c r="R16" s="66">
        <f t="shared" si="12"/>
        <v>1</v>
      </c>
      <c r="S16" s="66">
        <f t="shared" si="13"/>
        <v>2000</v>
      </c>
      <c r="T16" s="31" t="str">
        <f>IF(U16="","",VLOOKUP(U16,引用表合并!$A:$B,2,FALSE))</f>
        <v>猛龙过江(3天)</v>
      </c>
      <c r="U16" s="31">
        <v>83108</v>
      </c>
      <c r="V16" s="31">
        <v>1</v>
      </c>
      <c r="W16" s="31">
        <v>4000</v>
      </c>
      <c r="X16" s="31" t="str">
        <f>IF(Y16="","",VLOOKUP(Y16,引用表合并!$A:$B,2,FALSE))</f>
        <v>马仔碎片(山下忠秀)</v>
      </c>
      <c r="Y16" s="31">
        <v>78112</v>
      </c>
      <c r="Z16" s="31">
        <v>2</v>
      </c>
      <c r="AA16" s="31">
        <v>5500</v>
      </c>
      <c r="AB16" s="31" t="str">
        <f>IF(AC16="","",VLOOKUP(AC16,引用表合并!$A:$B,2,FALSE))</f>
        <v>马仔碎片(山下忠秀)</v>
      </c>
      <c r="AC16" s="66">
        <v>78112</v>
      </c>
      <c r="AD16" s="31">
        <v>2</v>
      </c>
      <c r="AE16" s="31">
        <v>7000</v>
      </c>
      <c r="AF16" s="31" t="str">
        <f>IF(AG16="","",VLOOKUP(AG16,引用表合并!$A:$B,2,FALSE))</f>
        <v>马仔碎片(宫本一)</v>
      </c>
      <c r="AG16" s="66">
        <v>78113</v>
      </c>
      <c r="AH16" s="31">
        <v>2</v>
      </c>
      <c r="AI16" s="31">
        <v>8500</v>
      </c>
      <c r="AJ16" s="31" t="str">
        <f>IF(AK16="","",VLOOKUP(AK16,引用表合并!$A:$B,2,FALSE))</f>
        <v>马仔碎片(笑面虎)</v>
      </c>
      <c r="AK16" s="31">
        <v>78119</v>
      </c>
      <c r="AL16" s="31">
        <v>2</v>
      </c>
      <c r="AM16" s="31">
        <v>10000</v>
      </c>
      <c r="AN16" s="31" t="str">
        <f>IF(AO16="","",VLOOKUP(AO16,引用表合并!$A:$B,2,FALSE))</f>
        <v/>
      </c>
      <c r="AR16" s="31" t="str">
        <f>IF(AS16="","",VLOOKUP(AS16,引用表合并!$A:$B,2,FALSE))</f>
        <v/>
      </c>
      <c r="AV16" s="31" t="str">
        <f>IF(AW16="","",VLOOKUP(AW16,引用表合并!$A:$B,2,FALSE))</f>
        <v/>
      </c>
      <c r="AZ16" s="31" t="str">
        <f>IF(BA16="","",VLOOKUP(BA16,引用表合并!$A:$B,2,FALSE))</f>
        <v/>
      </c>
      <c r="BM16" s="66">
        <f t="shared" si="6"/>
        <v>1</v>
      </c>
      <c r="BN16" s="31">
        <v>2500</v>
      </c>
      <c r="BO16" s="66">
        <v>1</v>
      </c>
      <c r="BP16" s="31">
        <v>2500</v>
      </c>
      <c r="BQ16" s="31">
        <v>1</v>
      </c>
      <c r="BR16" s="31">
        <v>2500</v>
      </c>
      <c r="BS16" s="31">
        <v>1</v>
      </c>
      <c r="BT16" s="31">
        <v>2500</v>
      </c>
      <c r="BU16" s="31">
        <v>1</v>
      </c>
      <c r="BV16" s="66">
        <f t="shared" si="14"/>
        <v>2500</v>
      </c>
      <c r="BW16" s="66">
        <f>SUM(BV2:BV16)</f>
        <v>11000</v>
      </c>
    </row>
    <row r="17" spans="1:75" x14ac:dyDescent="0.15">
      <c r="A17" s="66">
        <f>A2+100</f>
        <v>100201</v>
      </c>
      <c r="B17" s="66" t="s">
        <v>907</v>
      </c>
      <c r="C17" s="67">
        <f t="shared" si="16"/>
        <v>4</v>
      </c>
      <c r="D17" s="66" t="str">
        <f>IF(E17="","",VLOOKUP(E17,引用表合并!$A:$B,2,FALSE))</f>
        <v>马仔经验药水</v>
      </c>
      <c r="E17" s="66">
        <f t="shared" si="1"/>
        <v>91100</v>
      </c>
      <c r="F17" s="66">
        <f t="shared" si="2"/>
        <v>1</v>
      </c>
      <c r="G17" s="66">
        <f t="shared" si="7"/>
        <v>2500</v>
      </c>
      <c r="H17" s="66" t="str">
        <f>IF(I17="","",VLOOKUP(I17,引用表合并!$A:$B,2,FALSE))</f>
        <v>马仔经验药水</v>
      </c>
      <c r="I17" s="66">
        <f t="shared" si="3"/>
        <v>91100</v>
      </c>
      <c r="J17" s="66">
        <f t="shared" si="8"/>
        <v>1</v>
      </c>
      <c r="K17" s="66">
        <f t="shared" si="9"/>
        <v>5000</v>
      </c>
      <c r="L17" s="66" t="str">
        <f>IF(M17="","",VLOOKUP(M17,引用表合并!$A:$B,2,FALSE))</f>
        <v>马仔经验药水</v>
      </c>
      <c r="M17" s="66">
        <f t="shared" si="4"/>
        <v>91100</v>
      </c>
      <c r="N17" s="66">
        <f t="shared" si="10"/>
        <v>2</v>
      </c>
      <c r="O17" s="66">
        <f t="shared" si="11"/>
        <v>7500</v>
      </c>
      <c r="P17" s="66" t="str">
        <f>IF(Q17="","",VLOOKUP(Q17,引用表合并!$A:$B,2,FALSE))</f>
        <v>马仔经验药水</v>
      </c>
      <c r="Q17" s="66">
        <f t="shared" si="5"/>
        <v>91100</v>
      </c>
      <c r="R17" s="66">
        <f t="shared" si="12"/>
        <v>2</v>
      </c>
      <c r="S17" s="66">
        <f t="shared" si="13"/>
        <v>10000</v>
      </c>
      <c r="T17" s="66" t="str">
        <f>IF(U17="","",VLOOKUP(U17,引用表合并!$A:$B,2,FALSE))</f>
        <v/>
      </c>
      <c r="U17" s="69"/>
      <c r="W17" s="31"/>
      <c r="X17" s="66" t="str">
        <f>IF(Y17="","",VLOOKUP(Y17,引用表合并!$A:$B,2,FALSE))</f>
        <v/>
      </c>
      <c r="AA17" s="31"/>
      <c r="AB17" s="66" t="str">
        <f>IF(AC17="","",VLOOKUP(AC17,引用表合并!$A:$B,2,FALSE))</f>
        <v/>
      </c>
      <c r="AC17" s="68"/>
      <c r="AE17" s="31"/>
      <c r="AF17" s="66" t="str">
        <f>IF(AG17="","",VLOOKUP(AG17,引用表合并!$A:$B,2,FALSE))</f>
        <v/>
      </c>
      <c r="AI17" s="31"/>
      <c r="AJ17" s="66" t="str">
        <f>IF(AK17="","",VLOOKUP(AK17,引用表合并!$A:$B,2,FALSE))</f>
        <v/>
      </c>
      <c r="AM17" s="31"/>
      <c r="BM17" s="66">
        <f t="shared" si="6"/>
        <v>1.5</v>
      </c>
      <c r="BN17" s="31">
        <v>100</v>
      </c>
      <c r="BO17" s="66">
        <v>1</v>
      </c>
      <c r="BP17" s="31">
        <v>100</v>
      </c>
      <c r="BQ17" s="31">
        <v>1</v>
      </c>
      <c r="BR17" s="31">
        <v>100</v>
      </c>
      <c r="BS17" s="31">
        <v>2</v>
      </c>
      <c r="BT17" s="31">
        <v>100</v>
      </c>
      <c r="BU17" s="31">
        <v>2</v>
      </c>
      <c r="BV17" s="66">
        <f t="shared" si="14"/>
        <v>150</v>
      </c>
    </row>
    <row r="18" spans="1:75" x14ac:dyDescent="0.15">
      <c r="A18" s="66">
        <f t="shared" ref="A18:A81" si="17">A3+100</f>
        <v>100202</v>
      </c>
      <c r="B18" s="66" t="s">
        <v>877</v>
      </c>
      <c r="C18" s="67">
        <f t="shared" si="16"/>
        <v>4</v>
      </c>
      <c r="D18" s="66" t="str">
        <f>IF(E18="","",VLOOKUP(E18,引用表合并!$A:$B,2,FALSE))</f>
        <v>马仔经验药水</v>
      </c>
      <c r="E18" s="66">
        <f t="shared" si="1"/>
        <v>91100</v>
      </c>
      <c r="F18" s="66">
        <f t="shared" si="2"/>
        <v>1</v>
      </c>
      <c r="G18" s="66">
        <f t="shared" si="7"/>
        <v>2500</v>
      </c>
      <c r="H18" s="66" t="str">
        <f>IF(I18="","",VLOOKUP(I18,引用表合并!$A:$B,2,FALSE))</f>
        <v>马仔经验药水</v>
      </c>
      <c r="I18" s="66">
        <f t="shared" si="3"/>
        <v>91100</v>
      </c>
      <c r="J18" s="66">
        <f t="shared" si="8"/>
        <v>2</v>
      </c>
      <c r="K18" s="66">
        <f t="shared" si="9"/>
        <v>5000</v>
      </c>
      <c r="L18" s="66" t="str">
        <f>IF(M18="","",VLOOKUP(M18,引用表合并!$A:$B,2,FALSE))</f>
        <v>马仔经验药水</v>
      </c>
      <c r="M18" s="66">
        <f t="shared" si="4"/>
        <v>91100</v>
      </c>
      <c r="N18" s="66">
        <f t="shared" si="10"/>
        <v>2</v>
      </c>
      <c r="O18" s="66">
        <f t="shared" si="11"/>
        <v>7500</v>
      </c>
      <c r="P18" s="66" t="str">
        <f>IF(Q18="","",VLOOKUP(Q18,引用表合并!$A:$B,2,FALSE))</f>
        <v>马仔经验药水</v>
      </c>
      <c r="Q18" s="66">
        <f t="shared" si="5"/>
        <v>91100</v>
      </c>
      <c r="R18" s="66">
        <f t="shared" si="12"/>
        <v>3</v>
      </c>
      <c r="S18" s="66">
        <f t="shared" si="13"/>
        <v>10000</v>
      </c>
      <c r="BM18" s="66">
        <f t="shared" si="6"/>
        <v>2</v>
      </c>
      <c r="BN18" s="31">
        <v>100</v>
      </c>
      <c r="BO18" s="66">
        <v>1</v>
      </c>
      <c r="BP18" s="31">
        <v>100</v>
      </c>
      <c r="BQ18" s="31">
        <v>2</v>
      </c>
      <c r="BR18" s="31">
        <v>100</v>
      </c>
      <c r="BS18" s="31">
        <v>2</v>
      </c>
      <c r="BT18" s="31">
        <v>100</v>
      </c>
      <c r="BU18" s="31">
        <v>3</v>
      </c>
      <c r="BV18" s="66">
        <f t="shared" si="14"/>
        <v>200</v>
      </c>
    </row>
    <row r="19" spans="1:75" x14ac:dyDescent="0.15">
      <c r="A19" s="66">
        <f t="shared" si="17"/>
        <v>100203</v>
      </c>
      <c r="B19" s="66" t="s">
        <v>878</v>
      </c>
      <c r="C19" s="67">
        <f t="shared" si="16"/>
        <v>8</v>
      </c>
      <c r="D19" s="66" t="str">
        <f>IF(E19="","",VLOOKUP(E19,引用表合并!$A:$B,2,FALSE))</f>
        <v>马仔经验合剂</v>
      </c>
      <c r="E19" s="66">
        <f t="shared" si="1"/>
        <v>91200</v>
      </c>
      <c r="F19" s="66">
        <f t="shared" si="2"/>
        <v>1</v>
      </c>
      <c r="G19" s="66">
        <f t="shared" si="7"/>
        <v>1500</v>
      </c>
      <c r="H19" s="66" t="str">
        <f>IF(I19="","",VLOOKUP(I19,引用表合并!$A:$B,2,FALSE))</f>
        <v>马仔经验合剂</v>
      </c>
      <c r="I19" s="66">
        <f t="shared" si="3"/>
        <v>91200</v>
      </c>
      <c r="J19" s="66">
        <f t="shared" si="8"/>
        <v>2</v>
      </c>
      <c r="K19" s="66">
        <f t="shared" si="9"/>
        <v>3000</v>
      </c>
      <c r="L19" s="66" t="str">
        <f>IF(M19="","",VLOOKUP(M19,引用表合并!$A:$B,2,FALSE))</f>
        <v>马仔经验合剂</v>
      </c>
      <c r="M19" s="66">
        <f t="shared" si="4"/>
        <v>91200</v>
      </c>
      <c r="N19" s="66">
        <f t="shared" si="10"/>
        <v>2</v>
      </c>
      <c r="O19" s="66">
        <f t="shared" si="11"/>
        <v>4500</v>
      </c>
      <c r="P19" s="66" t="str">
        <f>IF(Q19="","",VLOOKUP(Q19,引用表合并!$A:$B,2,FALSE))</f>
        <v>马仔经验合剂</v>
      </c>
      <c r="Q19" s="66">
        <f t="shared" si="5"/>
        <v>91200</v>
      </c>
      <c r="R19" s="66">
        <f t="shared" si="12"/>
        <v>2</v>
      </c>
      <c r="S19" s="66">
        <f t="shared" si="13"/>
        <v>6000</v>
      </c>
      <c r="T19" s="31" t="str">
        <f>IF(U19="","",VLOOKUP(U19,引用表合并!$A:$B,2,FALSE))</f>
        <v>马仔碎片(靓坤)</v>
      </c>
      <c r="U19" s="31">
        <v>78106</v>
      </c>
      <c r="V19" s="66">
        <v>1</v>
      </c>
      <c r="W19" s="66">
        <v>7000</v>
      </c>
      <c r="X19" s="31" t="str">
        <f>IF(Y19="","",VLOOKUP(Y19,引用表合并!$A:$B,2,FALSE))</f>
        <v>马仔碎片(雷复轰)</v>
      </c>
      <c r="Y19" s="66">
        <v>78107</v>
      </c>
      <c r="Z19" s="31">
        <v>1</v>
      </c>
      <c r="AA19" s="31">
        <v>8000</v>
      </c>
      <c r="AB19" s="31" t="str">
        <f>IF(AC19="","",VLOOKUP(AC19,引用表合并!$A:$B,2,FALSE))</f>
        <v>马仔碎片(肥仔)</v>
      </c>
      <c r="AC19" s="66">
        <v>78108</v>
      </c>
      <c r="AD19" s="31">
        <v>1</v>
      </c>
      <c r="AE19" s="31">
        <v>9000</v>
      </c>
      <c r="AF19" s="31" t="str">
        <f>IF(AG19="","",VLOOKUP(AG19,引用表合并!$A:$B,2,FALSE))</f>
        <v>马仔碎片(巴闭)</v>
      </c>
      <c r="AG19" s="66">
        <v>78117</v>
      </c>
      <c r="AH19" s="31">
        <v>1</v>
      </c>
      <c r="AI19" s="31">
        <v>10000</v>
      </c>
      <c r="BM19" s="66">
        <f t="shared" si="6"/>
        <v>1.75</v>
      </c>
      <c r="BN19" s="31">
        <v>500</v>
      </c>
      <c r="BO19" s="66">
        <v>1</v>
      </c>
      <c r="BP19" s="31">
        <v>500</v>
      </c>
      <c r="BQ19" s="31">
        <v>2</v>
      </c>
      <c r="BR19" s="31">
        <v>500</v>
      </c>
      <c r="BS19" s="31">
        <v>2</v>
      </c>
      <c r="BT19" s="31">
        <v>500</v>
      </c>
      <c r="BU19" s="31">
        <v>2</v>
      </c>
      <c r="BV19" s="66">
        <f t="shared" si="14"/>
        <v>875</v>
      </c>
    </row>
    <row r="20" spans="1:75" x14ac:dyDescent="0.15">
      <c r="A20" s="66">
        <f t="shared" si="17"/>
        <v>100204</v>
      </c>
      <c r="B20" s="66" t="s">
        <v>879</v>
      </c>
      <c r="C20" s="67">
        <f t="shared" si="16"/>
        <v>4</v>
      </c>
      <c r="D20" s="66" t="str">
        <f>IF(E20="","",VLOOKUP(E20,引用表合并!$A:$B,2,FALSE))</f>
        <v>马仔经验药水</v>
      </c>
      <c r="E20" s="66">
        <f t="shared" si="1"/>
        <v>91100</v>
      </c>
      <c r="F20" s="66">
        <f t="shared" si="2"/>
        <v>2</v>
      </c>
      <c r="G20" s="66">
        <f t="shared" si="7"/>
        <v>2500</v>
      </c>
      <c r="H20" s="66" t="str">
        <f>IF(I20="","",VLOOKUP(I20,引用表合并!$A:$B,2,FALSE))</f>
        <v>马仔经验药水</v>
      </c>
      <c r="I20" s="66">
        <f t="shared" si="3"/>
        <v>91100</v>
      </c>
      <c r="J20" s="66">
        <f t="shared" si="8"/>
        <v>2</v>
      </c>
      <c r="K20" s="66">
        <f t="shared" si="9"/>
        <v>5000</v>
      </c>
      <c r="L20" s="66" t="str">
        <f>IF(M20="","",VLOOKUP(M20,引用表合并!$A:$B,2,FALSE))</f>
        <v>马仔经验药水</v>
      </c>
      <c r="M20" s="66">
        <f t="shared" si="4"/>
        <v>91100</v>
      </c>
      <c r="N20" s="66">
        <f t="shared" si="10"/>
        <v>3</v>
      </c>
      <c r="O20" s="66">
        <f t="shared" si="11"/>
        <v>7500</v>
      </c>
      <c r="P20" s="66" t="str">
        <f>IF(Q20="","",VLOOKUP(Q20,引用表合并!$A:$B,2,FALSE))</f>
        <v>马仔经验药水</v>
      </c>
      <c r="Q20" s="66">
        <f t="shared" si="5"/>
        <v>91100</v>
      </c>
      <c r="R20" s="66">
        <f t="shared" si="12"/>
        <v>3</v>
      </c>
      <c r="S20" s="66">
        <f t="shared" si="13"/>
        <v>10000</v>
      </c>
      <c r="BM20" s="66">
        <f t="shared" si="6"/>
        <v>2.5</v>
      </c>
      <c r="BN20" s="31">
        <v>100</v>
      </c>
      <c r="BO20" s="66">
        <v>2</v>
      </c>
      <c r="BP20" s="31">
        <v>100</v>
      </c>
      <c r="BQ20" s="31">
        <v>2</v>
      </c>
      <c r="BR20" s="31">
        <v>100</v>
      </c>
      <c r="BS20" s="31">
        <v>3</v>
      </c>
      <c r="BT20" s="31">
        <v>100</v>
      </c>
      <c r="BU20" s="31">
        <v>3</v>
      </c>
      <c r="BV20" s="66">
        <f t="shared" si="14"/>
        <v>250</v>
      </c>
    </row>
    <row r="21" spans="1:75" x14ac:dyDescent="0.15">
      <c r="A21" s="66">
        <f t="shared" si="17"/>
        <v>100205</v>
      </c>
      <c r="B21" s="66" t="s">
        <v>880</v>
      </c>
      <c r="C21" s="67">
        <f t="shared" si="16"/>
        <v>4</v>
      </c>
      <c r="D21" s="66" t="str">
        <f>IF(E21="","",VLOOKUP(E21,引用表合并!$A:$B,2,FALSE))</f>
        <v>马仔经验药水</v>
      </c>
      <c r="E21" s="66">
        <f t="shared" ref="E21" si="18">IF(BN21=100,91100,IF(BN21=500,91200,91300))</f>
        <v>91100</v>
      </c>
      <c r="F21" s="66">
        <f t="shared" si="2"/>
        <v>2</v>
      </c>
      <c r="G21" s="66">
        <f t="shared" si="7"/>
        <v>2500</v>
      </c>
      <c r="H21" s="66" t="str">
        <f>IF(I21="","",VLOOKUP(I21,引用表合并!$A:$B,2,FALSE))</f>
        <v>马仔经验药水</v>
      </c>
      <c r="I21" s="66">
        <f t="shared" si="3"/>
        <v>91100</v>
      </c>
      <c r="J21" s="66">
        <f t="shared" si="8"/>
        <v>3</v>
      </c>
      <c r="K21" s="66">
        <f t="shared" si="9"/>
        <v>5000</v>
      </c>
      <c r="L21" s="66" t="str">
        <f>IF(M21="","",VLOOKUP(M21,引用表合并!$A:$B,2,FALSE))</f>
        <v>马仔经验药水</v>
      </c>
      <c r="M21" s="66">
        <f t="shared" si="4"/>
        <v>91100</v>
      </c>
      <c r="N21" s="66">
        <f t="shared" si="10"/>
        <v>3</v>
      </c>
      <c r="O21" s="66">
        <f t="shared" si="11"/>
        <v>7500</v>
      </c>
      <c r="P21" s="66" t="str">
        <f>IF(Q21="","",VLOOKUP(Q21,引用表合并!$A:$B,2,FALSE))</f>
        <v>马仔经验药水</v>
      </c>
      <c r="Q21" s="66">
        <f t="shared" si="5"/>
        <v>91100</v>
      </c>
      <c r="R21" s="66">
        <f t="shared" si="12"/>
        <v>4</v>
      </c>
      <c r="S21" s="66">
        <f t="shared" si="13"/>
        <v>10000</v>
      </c>
      <c r="BM21" s="66">
        <f t="shared" si="6"/>
        <v>3</v>
      </c>
      <c r="BN21" s="31">
        <v>100</v>
      </c>
      <c r="BO21" s="66">
        <v>2</v>
      </c>
      <c r="BP21" s="31">
        <v>100</v>
      </c>
      <c r="BQ21" s="31">
        <v>3</v>
      </c>
      <c r="BR21" s="31">
        <v>100</v>
      </c>
      <c r="BS21" s="31">
        <v>3</v>
      </c>
      <c r="BT21" s="31">
        <v>100</v>
      </c>
      <c r="BU21" s="31">
        <v>4</v>
      </c>
      <c r="BV21" s="66">
        <f t="shared" si="14"/>
        <v>300</v>
      </c>
    </row>
    <row r="22" spans="1:75" x14ac:dyDescent="0.15">
      <c r="A22" s="66">
        <f t="shared" si="17"/>
        <v>100206</v>
      </c>
      <c r="B22" s="66" t="s">
        <v>881</v>
      </c>
      <c r="C22" s="67">
        <f t="shared" si="16"/>
        <v>8</v>
      </c>
      <c r="D22" s="66" t="str">
        <f>IF(E22="","",VLOOKUP(E22,引用表合并!$A:$B,2,FALSE))</f>
        <v>马仔经验合剂</v>
      </c>
      <c r="E22" s="66">
        <f t="shared" si="1"/>
        <v>91200</v>
      </c>
      <c r="F22" s="66">
        <f t="shared" si="2"/>
        <v>2</v>
      </c>
      <c r="G22" s="66">
        <f t="shared" si="7"/>
        <v>1500</v>
      </c>
      <c r="H22" s="66" t="str">
        <f>IF(I22="","",VLOOKUP(I22,引用表合并!$A:$B,2,FALSE))</f>
        <v>马仔经验合剂</v>
      </c>
      <c r="I22" s="66">
        <f t="shared" si="3"/>
        <v>91200</v>
      </c>
      <c r="J22" s="66">
        <f t="shared" si="8"/>
        <v>2</v>
      </c>
      <c r="K22" s="66">
        <f t="shared" si="9"/>
        <v>3000</v>
      </c>
      <c r="L22" s="66" t="str">
        <f>IF(M22="","",VLOOKUP(M22,引用表合并!$A:$B,2,FALSE))</f>
        <v>马仔经验合剂</v>
      </c>
      <c r="M22" s="66">
        <f t="shared" si="4"/>
        <v>91200</v>
      </c>
      <c r="N22" s="66">
        <f t="shared" si="10"/>
        <v>2</v>
      </c>
      <c r="O22" s="66">
        <f t="shared" si="11"/>
        <v>4500</v>
      </c>
      <c r="P22" s="66" t="str">
        <f>IF(Q22="","",VLOOKUP(Q22,引用表合并!$A:$B,2,FALSE))</f>
        <v>马仔经验合剂</v>
      </c>
      <c r="Q22" s="66">
        <f t="shared" si="5"/>
        <v>91200</v>
      </c>
      <c r="R22" s="66">
        <f t="shared" si="12"/>
        <v>3</v>
      </c>
      <c r="S22" s="66">
        <f t="shared" si="13"/>
        <v>6000</v>
      </c>
      <c r="T22" s="31" t="str">
        <f>IF(U22="","",VLOOKUP(U22,引用表合并!$A:$B,2,FALSE))</f>
        <v>马仔碎片(靓坤)</v>
      </c>
      <c r="U22" s="31">
        <v>78106</v>
      </c>
      <c r="V22" s="66">
        <v>2</v>
      </c>
      <c r="W22" s="66">
        <v>7000</v>
      </c>
      <c r="X22" s="31" t="str">
        <f>IF(Y22="","",VLOOKUP(Y22,引用表合并!$A:$B,2,FALSE))</f>
        <v>马仔碎片(雷复轰)</v>
      </c>
      <c r="Y22" s="66">
        <v>78107</v>
      </c>
      <c r="Z22" s="31">
        <v>2</v>
      </c>
      <c r="AA22" s="31">
        <v>8000</v>
      </c>
      <c r="AB22" s="31" t="str">
        <f>IF(AC22="","",VLOOKUP(AC22,引用表合并!$A:$B,2,FALSE))</f>
        <v>马仔碎片(肥仔)</v>
      </c>
      <c r="AC22" s="66">
        <v>78108</v>
      </c>
      <c r="AD22" s="31">
        <v>2</v>
      </c>
      <c r="AE22" s="31">
        <v>9000</v>
      </c>
      <c r="AF22" s="31" t="str">
        <f>IF(AG22="","",VLOOKUP(AG22,引用表合并!$A:$B,2,FALSE))</f>
        <v>马仔碎片(巴闭)</v>
      </c>
      <c r="AG22" s="66">
        <v>78117</v>
      </c>
      <c r="AH22" s="31">
        <v>2</v>
      </c>
      <c r="AI22" s="31">
        <v>10000</v>
      </c>
      <c r="BM22" s="66">
        <f t="shared" si="6"/>
        <v>2.25</v>
      </c>
      <c r="BN22" s="31">
        <v>500</v>
      </c>
      <c r="BO22" s="66">
        <v>2</v>
      </c>
      <c r="BP22" s="31">
        <v>500</v>
      </c>
      <c r="BQ22" s="31">
        <v>2</v>
      </c>
      <c r="BR22" s="31">
        <v>500</v>
      </c>
      <c r="BS22" s="31">
        <v>2</v>
      </c>
      <c r="BT22" s="31">
        <v>500</v>
      </c>
      <c r="BU22" s="31">
        <v>3</v>
      </c>
      <c r="BV22" s="66">
        <f t="shared" si="14"/>
        <v>1125</v>
      </c>
    </row>
    <row r="23" spans="1:75" x14ac:dyDescent="0.15">
      <c r="A23" s="66">
        <f t="shared" si="17"/>
        <v>100207</v>
      </c>
      <c r="B23" s="66" t="s">
        <v>882</v>
      </c>
      <c r="C23" s="67">
        <f t="shared" si="16"/>
        <v>4</v>
      </c>
      <c r="D23" s="66" t="str">
        <f>IF(E23="","",VLOOKUP(E23,引用表合并!$A:$B,2,FALSE))</f>
        <v>马仔经验药水</v>
      </c>
      <c r="E23" s="66">
        <f t="shared" si="1"/>
        <v>91100</v>
      </c>
      <c r="F23" s="66">
        <f t="shared" si="2"/>
        <v>3</v>
      </c>
      <c r="G23" s="66">
        <f t="shared" si="7"/>
        <v>2500</v>
      </c>
      <c r="H23" s="66" t="str">
        <f>IF(I23="","",VLOOKUP(I23,引用表合并!$A:$B,2,FALSE))</f>
        <v>马仔经验药水</v>
      </c>
      <c r="I23" s="66">
        <f t="shared" si="3"/>
        <v>91100</v>
      </c>
      <c r="J23" s="66">
        <f t="shared" si="8"/>
        <v>3</v>
      </c>
      <c r="K23" s="66">
        <f t="shared" si="9"/>
        <v>5000</v>
      </c>
      <c r="L23" s="66" t="str">
        <f>IF(M23="","",VLOOKUP(M23,引用表合并!$A:$B,2,FALSE))</f>
        <v>马仔经验药水</v>
      </c>
      <c r="M23" s="66">
        <f t="shared" si="4"/>
        <v>91100</v>
      </c>
      <c r="N23" s="66">
        <f t="shared" si="10"/>
        <v>4</v>
      </c>
      <c r="O23" s="66">
        <f t="shared" si="11"/>
        <v>7500</v>
      </c>
      <c r="P23" s="66" t="str">
        <f>IF(Q23="","",VLOOKUP(Q23,引用表合并!$A:$B,2,FALSE))</f>
        <v>马仔经验药水</v>
      </c>
      <c r="Q23" s="66">
        <f t="shared" si="5"/>
        <v>91100</v>
      </c>
      <c r="R23" s="66">
        <f t="shared" si="12"/>
        <v>4</v>
      </c>
      <c r="S23" s="66">
        <f t="shared" si="13"/>
        <v>10000</v>
      </c>
      <c r="BM23" s="66">
        <f t="shared" si="6"/>
        <v>3.5</v>
      </c>
      <c r="BN23" s="31">
        <v>100</v>
      </c>
      <c r="BO23" s="66">
        <v>3</v>
      </c>
      <c r="BP23" s="31">
        <v>100</v>
      </c>
      <c r="BQ23" s="31">
        <v>3</v>
      </c>
      <c r="BR23" s="31">
        <v>100</v>
      </c>
      <c r="BS23" s="31">
        <v>4</v>
      </c>
      <c r="BT23" s="31">
        <v>100</v>
      </c>
      <c r="BU23" s="31">
        <v>4</v>
      </c>
      <c r="BV23" s="66">
        <f t="shared" si="14"/>
        <v>350</v>
      </c>
    </row>
    <row r="24" spans="1:75" x14ac:dyDescent="0.15">
      <c r="A24" s="66">
        <f t="shared" si="17"/>
        <v>100208</v>
      </c>
      <c r="B24" s="66" t="s">
        <v>883</v>
      </c>
      <c r="C24" s="67">
        <f t="shared" si="16"/>
        <v>4</v>
      </c>
      <c r="D24" s="66" t="str">
        <f>IF(E24="","",VLOOKUP(E24,引用表合并!$A:$B,2,FALSE))</f>
        <v>马仔经验药水</v>
      </c>
      <c r="E24" s="66">
        <f t="shared" si="1"/>
        <v>91100</v>
      </c>
      <c r="F24" s="66">
        <f t="shared" si="2"/>
        <v>3</v>
      </c>
      <c r="G24" s="66">
        <f t="shared" si="7"/>
        <v>2500</v>
      </c>
      <c r="H24" s="66" t="str">
        <f>IF(I24="","",VLOOKUP(I24,引用表合并!$A:$B,2,FALSE))</f>
        <v>马仔经验药水</v>
      </c>
      <c r="I24" s="66">
        <f t="shared" si="3"/>
        <v>91100</v>
      </c>
      <c r="J24" s="66">
        <f t="shared" si="8"/>
        <v>4</v>
      </c>
      <c r="K24" s="66">
        <f t="shared" si="9"/>
        <v>5000</v>
      </c>
      <c r="L24" s="66" t="str">
        <f>IF(M24="","",VLOOKUP(M24,引用表合并!$A:$B,2,FALSE))</f>
        <v>马仔经验药水</v>
      </c>
      <c r="M24" s="66">
        <f t="shared" si="4"/>
        <v>91100</v>
      </c>
      <c r="N24" s="66">
        <f t="shared" si="10"/>
        <v>4</v>
      </c>
      <c r="O24" s="66">
        <f t="shared" si="11"/>
        <v>7500</v>
      </c>
      <c r="P24" s="66" t="str">
        <f>IF(Q24="","",VLOOKUP(Q24,引用表合并!$A:$B,2,FALSE))</f>
        <v>马仔经验药水</v>
      </c>
      <c r="Q24" s="66">
        <f t="shared" si="5"/>
        <v>91100</v>
      </c>
      <c r="R24" s="66">
        <f t="shared" si="12"/>
        <v>5</v>
      </c>
      <c r="S24" s="66">
        <f t="shared" si="13"/>
        <v>10000</v>
      </c>
      <c r="BM24" s="66">
        <f t="shared" si="6"/>
        <v>4</v>
      </c>
      <c r="BN24" s="31">
        <v>100</v>
      </c>
      <c r="BO24" s="66">
        <v>3</v>
      </c>
      <c r="BP24" s="31">
        <v>100</v>
      </c>
      <c r="BQ24" s="31">
        <v>4</v>
      </c>
      <c r="BR24" s="31">
        <v>100</v>
      </c>
      <c r="BS24" s="31">
        <v>4</v>
      </c>
      <c r="BT24" s="31">
        <v>100</v>
      </c>
      <c r="BU24" s="31">
        <v>5</v>
      </c>
      <c r="BV24" s="66">
        <f t="shared" si="14"/>
        <v>400</v>
      </c>
    </row>
    <row r="25" spans="1:75" x14ac:dyDescent="0.15">
      <c r="A25" s="66">
        <f t="shared" si="17"/>
        <v>100209</v>
      </c>
      <c r="B25" s="66" t="s">
        <v>884</v>
      </c>
      <c r="C25" s="67">
        <f t="shared" si="16"/>
        <v>8</v>
      </c>
      <c r="D25" s="66" t="str">
        <f>IF(E25="","",VLOOKUP(E25,引用表合并!$A:$B,2,FALSE))</f>
        <v>马仔经验合剂</v>
      </c>
      <c r="E25" s="66">
        <f t="shared" si="1"/>
        <v>91200</v>
      </c>
      <c r="F25" s="66">
        <f t="shared" si="2"/>
        <v>2</v>
      </c>
      <c r="G25" s="66">
        <f t="shared" si="7"/>
        <v>1500</v>
      </c>
      <c r="H25" s="66" t="str">
        <f>IF(I25="","",VLOOKUP(I25,引用表合并!$A:$B,2,FALSE))</f>
        <v>马仔经验合剂</v>
      </c>
      <c r="I25" s="66">
        <f t="shared" si="3"/>
        <v>91200</v>
      </c>
      <c r="J25" s="66">
        <f t="shared" si="8"/>
        <v>3</v>
      </c>
      <c r="K25" s="66">
        <f t="shared" si="9"/>
        <v>3000</v>
      </c>
      <c r="L25" s="66" t="str">
        <f>IF(M25="","",VLOOKUP(M25,引用表合并!$A:$B,2,FALSE))</f>
        <v>马仔经验合剂</v>
      </c>
      <c r="M25" s="66">
        <f t="shared" si="4"/>
        <v>91200</v>
      </c>
      <c r="N25" s="66">
        <f t="shared" si="10"/>
        <v>3</v>
      </c>
      <c r="O25" s="66">
        <f t="shared" si="11"/>
        <v>4500</v>
      </c>
      <c r="P25" s="66" t="str">
        <f>IF(Q25="","",VLOOKUP(Q25,引用表合并!$A:$B,2,FALSE))</f>
        <v>马仔经验合剂</v>
      </c>
      <c r="Q25" s="66">
        <f t="shared" ref="Q25:Q78" si="19">IF(BT25=100,91100,IF(BT25=500,91200,91300))</f>
        <v>91200</v>
      </c>
      <c r="R25" s="66">
        <f t="shared" si="12"/>
        <v>3</v>
      </c>
      <c r="S25" s="66">
        <f t="shared" si="13"/>
        <v>6000</v>
      </c>
      <c r="T25" s="31" t="str">
        <f>IF(U25="","",VLOOKUP(U25,引用表合并!$A:$B,2,FALSE))</f>
        <v>马仔碎片(靓坤)</v>
      </c>
      <c r="U25" s="31">
        <v>78106</v>
      </c>
      <c r="V25" s="66">
        <v>3</v>
      </c>
      <c r="W25" s="66">
        <v>7000</v>
      </c>
      <c r="X25" s="31" t="str">
        <f>IF(Y25="","",VLOOKUP(Y25,引用表合并!$A:$B,2,FALSE))</f>
        <v>马仔碎片(雷复轰)</v>
      </c>
      <c r="Y25" s="66">
        <v>78107</v>
      </c>
      <c r="Z25" s="31">
        <v>3</v>
      </c>
      <c r="AA25" s="31">
        <v>8000</v>
      </c>
      <c r="AB25" s="31" t="str">
        <f>IF(AC25="","",VLOOKUP(AC25,引用表合并!$A:$B,2,FALSE))</f>
        <v>马仔碎片(肥仔)</v>
      </c>
      <c r="AC25" s="66">
        <v>78108</v>
      </c>
      <c r="AD25" s="31">
        <v>3</v>
      </c>
      <c r="AE25" s="31">
        <v>9000</v>
      </c>
      <c r="AF25" s="31" t="str">
        <f>IF(AG25="","",VLOOKUP(AG25,引用表合并!$A:$B,2,FALSE))</f>
        <v>马仔碎片(巴闭)</v>
      </c>
      <c r="AG25" s="66">
        <v>78117</v>
      </c>
      <c r="AH25" s="31">
        <v>3</v>
      </c>
      <c r="AI25" s="31">
        <v>10000</v>
      </c>
      <c r="BM25" s="66">
        <f t="shared" si="6"/>
        <v>2.75</v>
      </c>
      <c r="BN25" s="31">
        <v>500</v>
      </c>
      <c r="BO25" s="66">
        <v>2</v>
      </c>
      <c r="BP25" s="31">
        <v>500</v>
      </c>
      <c r="BQ25" s="31">
        <v>3</v>
      </c>
      <c r="BR25" s="31">
        <v>500</v>
      </c>
      <c r="BS25" s="31">
        <v>3</v>
      </c>
      <c r="BT25" s="31">
        <v>500</v>
      </c>
      <c r="BU25" s="31">
        <v>3</v>
      </c>
      <c r="BV25" s="66">
        <f t="shared" si="14"/>
        <v>1375</v>
      </c>
    </row>
    <row r="26" spans="1:75" x14ac:dyDescent="0.15">
      <c r="A26" s="66">
        <f t="shared" si="17"/>
        <v>100210</v>
      </c>
      <c r="B26" s="66" t="s">
        <v>885</v>
      </c>
      <c r="C26" s="67">
        <f t="shared" si="16"/>
        <v>4</v>
      </c>
      <c r="D26" s="66" t="str">
        <f>IF(E26="","",VLOOKUP(E26,引用表合并!$A:$B,2,FALSE))</f>
        <v>马仔经验药水</v>
      </c>
      <c r="E26" s="66">
        <f t="shared" si="1"/>
        <v>91100</v>
      </c>
      <c r="F26" s="66">
        <f t="shared" si="2"/>
        <v>4</v>
      </c>
      <c r="G26" s="66">
        <f t="shared" si="7"/>
        <v>2500</v>
      </c>
      <c r="H26" s="66" t="str">
        <f>IF(I26="","",VLOOKUP(I26,引用表合并!$A:$B,2,FALSE))</f>
        <v>马仔经验药水</v>
      </c>
      <c r="I26" s="66">
        <f t="shared" si="3"/>
        <v>91100</v>
      </c>
      <c r="J26" s="66">
        <f t="shared" si="8"/>
        <v>4</v>
      </c>
      <c r="K26" s="66">
        <f t="shared" si="9"/>
        <v>5000</v>
      </c>
      <c r="L26" s="66" t="str">
        <f>IF(M26="","",VLOOKUP(M26,引用表合并!$A:$B,2,FALSE))</f>
        <v>马仔经验药水</v>
      </c>
      <c r="M26" s="66">
        <f t="shared" si="4"/>
        <v>91100</v>
      </c>
      <c r="N26" s="66">
        <f t="shared" si="10"/>
        <v>5</v>
      </c>
      <c r="O26" s="66">
        <f t="shared" si="11"/>
        <v>7500</v>
      </c>
      <c r="P26" s="66" t="str">
        <f>IF(Q26="","",VLOOKUP(Q26,引用表合并!$A:$B,2,FALSE))</f>
        <v>马仔经验药水</v>
      </c>
      <c r="Q26" s="66">
        <f t="shared" si="19"/>
        <v>91100</v>
      </c>
      <c r="R26" s="66">
        <f t="shared" si="12"/>
        <v>5</v>
      </c>
      <c r="S26" s="66">
        <f t="shared" si="13"/>
        <v>10000</v>
      </c>
      <c r="BM26" s="66">
        <f t="shared" si="6"/>
        <v>4.5</v>
      </c>
      <c r="BN26" s="31">
        <v>100</v>
      </c>
      <c r="BO26" s="66">
        <v>4</v>
      </c>
      <c r="BP26" s="31">
        <v>100</v>
      </c>
      <c r="BQ26" s="31">
        <v>4</v>
      </c>
      <c r="BR26" s="31">
        <v>100</v>
      </c>
      <c r="BS26" s="31">
        <v>5</v>
      </c>
      <c r="BT26" s="31">
        <v>100</v>
      </c>
      <c r="BU26" s="31">
        <v>5</v>
      </c>
      <c r="BV26" s="66">
        <f t="shared" si="14"/>
        <v>450</v>
      </c>
    </row>
    <row r="27" spans="1:75" x14ac:dyDescent="0.15">
      <c r="A27" s="66">
        <f t="shared" si="17"/>
        <v>100211</v>
      </c>
      <c r="B27" s="66" t="s">
        <v>886</v>
      </c>
      <c r="C27" s="67">
        <f t="shared" si="16"/>
        <v>4</v>
      </c>
      <c r="D27" s="66" t="str">
        <f>IF(E27="","",VLOOKUP(E27,引用表合并!$A:$B,2,FALSE))</f>
        <v>马仔经验药水</v>
      </c>
      <c r="E27" s="66">
        <f t="shared" si="1"/>
        <v>91100</v>
      </c>
      <c r="F27" s="66">
        <f t="shared" si="2"/>
        <v>4</v>
      </c>
      <c r="G27" s="66">
        <f t="shared" si="7"/>
        <v>2500</v>
      </c>
      <c r="H27" s="66" t="str">
        <f>IF(I27="","",VLOOKUP(I27,引用表合并!$A:$B,2,FALSE))</f>
        <v>马仔经验药水</v>
      </c>
      <c r="I27" s="66">
        <f t="shared" si="3"/>
        <v>91100</v>
      </c>
      <c r="J27" s="66">
        <f t="shared" si="8"/>
        <v>5</v>
      </c>
      <c r="K27" s="66">
        <f t="shared" si="9"/>
        <v>5000</v>
      </c>
      <c r="L27" s="66" t="str">
        <f>IF(M27="","",VLOOKUP(M27,引用表合并!$A:$B,2,FALSE))</f>
        <v>马仔经验药水</v>
      </c>
      <c r="M27" s="66">
        <f t="shared" si="4"/>
        <v>91100</v>
      </c>
      <c r="N27" s="66">
        <f t="shared" si="10"/>
        <v>5</v>
      </c>
      <c r="O27" s="66">
        <f t="shared" si="11"/>
        <v>7500</v>
      </c>
      <c r="P27" s="66" t="str">
        <f>IF(Q27="","",VLOOKUP(Q27,引用表合并!$A:$B,2,FALSE))</f>
        <v>马仔经验药水</v>
      </c>
      <c r="Q27" s="66">
        <f t="shared" si="19"/>
        <v>91100</v>
      </c>
      <c r="R27" s="66">
        <f t="shared" si="12"/>
        <v>6</v>
      </c>
      <c r="S27" s="66">
        <f t="shared" si="13"/>
        <v>10000</v>
      </c>
      <c r="BM27" s="66">
        <f t="shared" si="6"/>
        <v>5</v>
      </c>
      <c r="BN27" s="31">
        <v>100</v>
      </c>
      <c r="BO27" s="66">
        <v>4</v>
      </c>
      <c r="BP27" s="31">
        <v>100</v>
      </c>
      <c r="BQ27" s="31">
        <v>5</v>
      </c>
      <c r="BR27" s="31">
        <v>100</v>
      </c>
      <c r="BS27" s="31">
        <v>5</v>
      </c>
      <c r="BT27" s="31">
        <v>100</v>
      </c>
      <c r="BU27" s="31">
        <v>6</v>
      </c>
      <c r="BV27" s="66">
        <f t="shared" si="14"/>
        <v>500</v>
      </c>
      <c r="BW27" s="31"/>
    </row>
    <row r="28" spans="1:75" x14ac:dyDescent="0.15">
      <c r="A28" s="66">
        <f t="shared" si="17"/>
        <v>100212</v>
      </c>
      <c r="B28" s="66" t="s">
        <v>887</v>
      </c>
      <c r="C28" s="67">
        <f t="shared" si="16"/>
        <v>8</v>
      </c>
      <c r="D28" s="66" t="str">
        <f>IF(E28="","",VLOOKUP(E28,引用表合并!$A:$B,2,FALSE))</f>
        <v>马仔经验合剂</v>
      </c>
      <c r="E28" s="66">
        <f t="shared" si="1"/>
        <v>91200</v>
      </c>
      <c r="F28" s="66">
        <f t="shared" si="2"/>
        <v>3</v>
      </c>
      <c r="G28" s="66">
        <f t="shared" si="7"/>
        <v>1500</v>
      </c>
      <c r="H28" s="66" t="str">
        <f>IF(I28="","",VLOOKUP(I28,引用表合并!$A:$B,2,FALSE))</f>
        <v>马仔经验合剂</v>
      </c>
      <c r="I28" s="66">
        <f t="shared" si="3"/>
        <v>91200</v>
      </c>
      <c r="J28" s="66">
        <f t="shared" si="8"/>
        <v>4</v>
      </c>
      <c r="K28" s="66">
        <f t="shared" si="9"/>
        <v>3000</v>
      </c>
      <c r="L28" s="66" t="str">
        <f>IF(M28="","",VLOOKUP(M28,引用表合并!$A:$B,2,FALSE))</f>
        <v>马仔经验合剂</v>
      </c>
      <c r="M28" s="66">
        <f t="shared" si="4"/>
        <v>91200</v>
      </c>
      <c r="N28" s="66">
        <f t="shared" si="10"/>
        <v>4</v>
      </c>
      <c r="O28" s="66">
        <f t="shared" si="11"/>
        <v>4500</v>
      </c>
      <c r="P28" s="66" t="str">
        <f>IF(Q28="","",VLOOKUP(Q28,引用表合并!$A:$B,2,FALSE))</f>
        <v>马仔经验合剂</v>
      </c>
      <c r="Q28" s="66">
        <f t="shared" si="19"/>
        <v>91200</v>
      </c>
      <c r="R28" s="66">
        <f t="shared" si="12"/>
        <v>4</v>
      </c>
      <c r="S28" s="66">
        <f t="shared" si="13"/>
        <v>6000</v>
      </c>
      <c r="T28" s="31" t="str">
        <f>IF(U28="","",VLOOKUP(U28,引用表合并!$A:$B,2,FALSE))</f>
        <v>马仔碎片(赌王)</v>
      </c>
      <c r="U28" s="31">
        <v>78111</v>
      </c>
      <c r="V28" s="66">
        <v>1</v>
      </c>
      <c r="W28" s="66">
        <v>7000</v>
      </c>
      <c r="X28" s="31" t="str">
        <f>IF(Y28="","",VLOOKUP(Y28,引用表合并!$A:$B,2,FALSE))</f>
        <v>马仔碎片(山下忠秀)</v>
      </c>
      <c r="Y28" s="31">
        <v>78112</v>
      </c>
      <c r="Z28" s="31">
        <v>1</v>
      </c>
      <c r="AA28" s="31">
        <v>8000</v>
      </c>
      <c r="AB28" s="31" t="str">
        <f>IF(AC28="","",VLOOKUP(AC28,引用表合并!$A:$B,2,FALSE))</f>
        <v>马仔碎片(宫本一)</v>
      </c>
      <c r="AC28" s="66">
        <v>78113</v>
      </c>
      <c r="AD28" s="31">
        <v>1</v>
      </c>
      <c r="AE28" s="31">
        <v>9000</v>
      </c>
      <c r="AF28" s="31" t="str">
        <f>IF(AG28="","",VLOOKUP(AG28,引用表合并!$A:$B,2,FALSE))</f>
        <v>马仔碎片(笑面虎)</v>
      </c>
      <c r="AG28" s="66">
        <v>78119</v>
      </c>
      <c r="AH28" s="31">
        <v>1</v>
      </c>
      <c r="AI28" s="31">
        <v>10000</v>
      </c>
      <c r="BM28" s="66">
        <f t="shared" si="6"/>
        <v>3.75</v>
      </c>
      <c r="BN28" s="31">
        <v>500</v>
      </c>
      <c r="BO28" s="66">
        <v>3</v>
      </c>
      <c r="BP28" s="31">
        <v>500</v>
      </c>
      <c r="BQ28" s="31">
        <v>4</v>
      </c>
      <c r="BR28" s="31">
        <v>500</v>
      </c>
      <c r="BS28" s="31">
        <v>4</v>
      </c>
      <c r="BT28" s="31">
        <v>500</v>
      </c>
      <c r="BU28" s="31">
        <v>4</v>
      </c>
      <c r="BV28" s="66">
        <f t="shared" si="14"/>
        <v>1875</v>
      </c>
    </row>
    <row r="29" spans="1:75" x14ac:dyDescent="0.15">
      <c r="A29" s="66">
        <f t="shared" si="17"/>
        <v>100213</v>
      </c>
      <c r="B29" s="66" t="s">
        <v>888</v>
      </c>
      <c r="C29" s="67">
        <f t="shared" si="16"/>
        <v>4</v>
      </c>
      <c r="D29" s="66" t="str">
        <f>IF(E29="","",VLOOKUP(E29,引用表合并!$A:$B,2,FALSE))</f>
        <v>马仔经验药水</v>
      </c>
      <c r="E29" s="66">
        <f t="shared" si="1"/>
        <v>91100</v>
      </c>
      <c r="F29" s="66">
        <f t="shared" si="2"/>
        <v>5</v>
      </c>
      <c r="G29" s="66">
        <f t="shared" si="7"/>
        <v>2500</v>
      </c>
      <c r="H29" s="66" t="str">
        <f>IF(I29="","",VLOOKUP(I29,引用表合并!$A:$B,2,FALSE))</f>
        <v>马仔经验药水</v>
      </c>
      <c r="I29" s="66">
        <f t="shared" si="3"/>
        <v>91100</v>
      </c>
      <c r="J29" s="66">
        <f t="shared" si="8"/>
        <v>5</v>
      </c>
      <c r="K29" s="66">
        <f t="shared" si="9"/>
        <v>5000</v>
      </c>
      <c r="L29" s="66" t="str">
        <f>IF(M29="","",VLOOKUP(M29,引用表合并!$A:$B,2,FALSE))</f>
        <v>马仔经验药水</v>
      </c>
      <c r="M29" s="66">
        <f t="shared" si="4"/>
        <v>91100</v>
      </c>
      <c r="N29" s="66">
        <f t="shared" si="10"/>
        <v>6</v>
      </c>
      <c r="O29" s="66">
        <f t="shared" si="11"/>
        <v>7500</v>
      </c>
      <c r="P29" s="66" t="str">
        <f>IF(Q29="","",VLOOKUP(Q29,引用表合并!$A:$B,2,FALSE))</f>
        <v>马仔经验药水</v>
      </c>
      <c r="Q29" s="66">
        <f t="shared" si="19"/>
        <v>91100</v>
      </c>
      <c r="R29" s="66">
        <f t="shared" si="12"/>
        <v>6</v>
      </c>
      <c r="S29" s="66">
        <f t="shared" si="13"/>
        <v>10000</v>
      </c>
      <c r="BM29" s="66">
        <f t="shared" si="6"/>
        <v>5.5</v>
      </c>
      <c r="BN29" s="31">
        <v>100</v>
      </c>
      <c r="BO29" s="66">
        <v>5</v>
      </c>
      <c r="BP29" s="31">
        <v>100</v>
      </c>
      <c r="BQ29" s="31">
        <v>5</v>
      </c>
      <c r="BR29" s="31">
        <v>100</v>
      </c>
      <c r="BS29" s="31">
        <v>6</v>
      </c>
      <c r="BT29" s="31">
        <v>100</v>
      </c>
      <c r="BU29" s="31">
        <v>6</v>
      </c>
      <c r="BV29" s="66">
        <f t="shared" si="14"/>
        <v>550</v>
      </c>
    </row>
    <row r="30" spans="1:75" x14ac:dyDescent="0.15">
      <c r="A30" s="66">
        <f t="shared" si="17"/>
        <v>100214</v>
      </c>
      <c r="B30" s="66" t="s">
        <v>889</v>
      </c>
      <c r="C30" s="67">
        <f t="shared" si="16"/>
        <v>4</v>
      </c>
      <c r="D30" s="66" t="str">
        <f>IF(E30="","",VLOOKUP(E30,引用表合并!$A:$B,2,FALSE))</f>
        <v>马仔经验药水</v>
      </c>
      <c r="E30" s="66">
        <f t="shared" si="1"/>
        <v>91100</v>
      </c>
      <c r="F30" s="66">
        <f t="shared" si="2"/>
        <v>5</v>
      </c>
      <c r="G30" s="66">
        <f t="shared" si="7"/>
        <v>2500</v>
      </c>
      <c r="H30" s="66" t="str">
        <f>IF(I30="","",VLOOKUP(I30,引用表合并!$A:$B,2,FALSE))</f>
        <v>马仔经验药水</v>
      </c>
      <c r="I30" s="66">
        <f t="shared" ref="I30:I78" si="20">IF(BP30=100,91100,IF(BP30=500,91200,91300))</f>
        <v>91100</v>
      </c>
      <c r="J30" s="66">
        <f t="shared" si="8"/>
        <v>6</v>
      </c>
      <c r="K30" s="66">
        <f t="shared" si="9"/>
        <v>5000</v>
      </c>
      <c r="L30" s="66" t="str">
        <f>IF(M30="","",VLOOKUP(M30,引用表合并!$A:$B,2,FALSE))</f>
        <v>马仔经验药水</v>
      </c>
      <c r="M30" s="66">
        <f t="shared" si="4"/>
        <v>91100</v>
      </c>
      <c r="N30" s="66">
        <f t="shared" si="10"/>
        <v>6</v>
      </c>
      <c r="O30" s="66">
        <f t="shared" si="11"/>
        <v>7500</v>
      </c>
      <c r="P30" s="66" t="str">
        <f>IF(Q30="","",VLOOKUP(Q30,引用表合并!$A:$B,2,FALSE))</f>
        <v>马仔经验药水</v>
      </c>
      <c r="Q30" s="66">
        <f t="shared" si="19"/>
        <v>91100</v>
      </c>
      <c r="R30" s="66">
        <f t="shared" si="12"/>
        <v>7</v>
      </c>
      <c r="S30" s="66">
        <f t="shared" si="13"/>
        <v>10000</v>
      </c>
      <c r="BM30" s="66">
        <f t="shared" si="6"/>
        <v>6</v>
      </c>
      <c r="BN30" s="31">
        <v>100</v>
      </c>
      <c r="BO30" s="66">
        <v>5</v>
      </c>
      <c r="BP30" s="31">
        <v>100</v>
      </c>
      <c r="BQ30" s="31">
        <v>6</v>
      </c>
      <c r="BR30" s="31">
        <v>100</v>
      </c>
      <c r="BS30" s="31">
        <v>6</v>
      </c>
      <c r="BT30" s="31">
        <v>100</v>
      </c>
      <c r="BU30" s="31">
        <v>7</v>
      </c>
      <c r="BV30" s="66">
        <f t="shared" si="14"/>
        <v>600</v>
      </c>
    </row>
    <row r="31" spans="1:75" x14ac:dyDescent="0.15">
      <c r="A31" s="66">
        <f t="shared" si="17"/>
        <v>100215</v>
      </c>
      <c r="B31" s="66" t="s">
        <v>890</v>
      </c>
      <c r="C31" s="67">
        <f t="shared" si="16"/>
        <v>9</v>
      </c>
      <c r="D31" s="66" t="str">
        <f>IF(E31="","",VLOOKUP(E31,引用表合并!$A:$B,2,FALSE))</f>
        <v>马仔经验甘露</v>
      </c>
      <c r="E31" s="66">
        <f t="shared" si="1"/>
        <v>91300</v>
      </c>
      <c r="F31" s="66">
        <f t="shared" si="2"/>
        <v>1</v>
      </c>
      <c r="G31" s="66">
        <f t="shared" si="7"/>
        <v>500</v>
      </c>
      <c r="H31" s="66" t="str">
        <f>IF(I31="","",VLOOKUP(I31,引用表合并!$A:$B,2,FALSE))</f>
        <v>马仔经验甘露</v>
      </c>
      <c r="I31" s="66">
        <f t="shared" si="20"/>
        <v>91300</v>
      </c>
      <c r="J31" s="66">
        <f t="shared" si="8"/>
        <v>1</v>
      </c>
      <c r="K31" s="66">
        <f t="shared" si="9"/>
        <v>1000</v>
      </c>
      <c r="L31" s="66" t="str">
        <f>IF(M31="","",VLOOKUP(M31,引用表合并!$A:$B,2,FALSE))</f>
        <v>马仔经验甘露</v>
      </c>
      <c r="M31" s="66">
        <f t="shared" si="4"/>
        <v>91300</v>
      </c>
      <c r="N31" s="66">
        <f t="shared" si="10"/>
        <v>1</v>
      </c>
      <c r="O31" s="66">
        <f t="shared" si="11"/>
        <v>1500</v>
      </c>
      <c r="P31" s="66" t="str">
        <f>IF(Q31="","",VLOOKUP(Q31,引用表合并!$A:$B,2,FALSE))</f>
        <v>马仔经验甘露</v>
      </c>
      <c r="Q31" s="66">
        <f t="shared" si="19"/>
        <v>91300</v>
      </c>
      <c r="R31" s="66">
        <f t="shared" si="12"/>
        <v>1</v>
      </c>
      <c r="S31" s="66">
        <f t="shared" si="13"/>
        <v>2000</v>
      </c>
      <c r="T31" s="31" t="str">
        <f>IF(U31="","",VLOOKUP(U31,引用表合并!$A:$B,2,FALSE))</f>
        <v>猛龙过江(3天)</v>
      </c>
      <c r="U31" s="31">
        <v>83108</v>
      </c>
      <c r="V31" s="31">
        <v>1</v>
      </c>
      <c r="W31" s="31">
        <v>4000</v>
      </c>
      <c r="X31" s="31" t="str">
        <f>IF(Y31="","",VLOOKUP(Y31,引用表合并!$A:$B,2,FALSE))</f>
        <v>马仔碎片(山下忠秀)</v>
      </c>
      <c r="Y31" s="31">
        <v>78112</v>
      </c>
      <c r="Z31" s="31">
        <v>2</v>
      </c>
      <c r="AA31" s="31">
        <v>5500</v>
      </c>
      <c r="AB31" s="31" t="str">
        <f>IF(AC31="","",VLOOKUP(AC31,引用表合并!$A:$B,2,FALSE))</f>
        <v>马仔碎片(山下忠秀)</v>
      </c>
      <c r="AC31" s="66">
        <v>78112</v>
      </c>
      <c r="AD31" s="31">
        <v>2</v>
      </c>
      <c r="AE31" s="31">
        <v>7000</v>
      </c>
      <c r="AF31" s="31" t="str">
        <f>IF(AG31="","",VLOOKUP(AG31,引用表合并!$A:$B,2,FALSE))</f>
        <v>马仔碎片(宫本一)</v>
      </c>
      <c r="AG31" s="66">
        <v>78113</v>
      </c>
      <c r="AH31" s="31">
        <v>2</v>
      </c>
      <c r="AI31" s="31">
        <v>8500</v>
      </c>
      <c r="AJ31" s="31" t="str">
        <f>IF(AK31="","",VLOOKUP(AK31,引用表合并!$A:$B,2,FALSE))</f>
        <v>马仔碎片(笑面虎)</v>
      </c>
      <c r="AK31" s="31">
        <v>78119</v>
      </c>
      <c r="AL31" s="31">
        <v>2</v>
      </c>
      <c r="AM31" s="31">
        <v>10000</v>
      </c>
      <c r="AN31" s="66" t="str">
        <f>IF(AO31="","",VLOOKUP(AO31,引用表合并!$A:$B,2,FALSE))</f>
        <v/>
      </c>
      <c r="AR31" s="66" t="str">
        <f>IF(AS31="","",VLOOKUP(AS31,引用表合并!$A:$B,2,FALSE))</f>
        <v/>
      </c>
      <c r="AV31" s="66" t="str">
        <f>IF(AW31="","",VLOOKUP(AW31,引用表合并!$A:$B,2,FALSE))</f>
        <v/>
      </c>
      <c r="AZ31" s="66" t="str">
        <f>IF(BA31="","",VLOOKUP(BA31,引用表合并!$A:$B,2,FALSE))</f>
        <v/>
      </c>
      <c r="BM31" s="66">
        <f t="shared" si="6"/>
        <v>1</v>
      </c>
      <c r="BN31" s="31">
        <v>2500</v>
      </c>
      <c r="BO31" s="66">
        <v>1</v>
      </c>
      <c r="BP31" s="31">
        <v>2500</v>
      </c>
      <c r="BQ31" s="31">
        <v>1</v>
      </c>
      <c r="BR31" s="31">
        <v>2500</v>
      </c>
      <c r="BS31" s="31">
        <v>1</v>
      </c>
      <c r="BT31" s="31">
        <v>2500</v>
      </c>
      <c r="BU31" s="31">
        <v>1</v>
      </c>
      <c r="BV31" s="66">
        <f t="shared" si="14"/>
        <v>2500</v>
      </c>
      <c r="BW31" s="66">
        <f>SUM(BV17:BV31)</f>
        <v>11500</v>
      </c>
    </row>
    <row r="32" spans="1:75" x14ac:dyDescent="0.15">
      <c r="A32" s="66">
        <f t="shared" si="17"/>
        <v>100301</v>
      </c>
      <c r="B32" s="66" t="s">
        <v>908</v>
      </c>
      <c r="C32" s="67">
        <f t="shared" si="16"/>
        <v>4</v>
      </c>
      <c r="D32" s="66" t="str">
        <f>IF(E32="","",VLOOKUP(E32,引用表合并!$A:$B,2,FALSE))</f>
        <v>马仔经验药水</v>
      </c>
      <c r="E32" s="66">
        <f t="shared" si="1"/>
        <v>91100</v>
      </c>
      <c r="F32" s="66">
        <f t="shared" si="2"/>
        <v>1</v>
      </c>
      <c r="G32" s="66">
        <f t="shared" si="7"/>
        <v>2500</v>
      </c>
      <c r="H32" s="66" t="str">
        <f>IF(I32="","",VLOOKUP(I32,引用表合并!$A:$B,2,FALSE))</f>
        <v>马仔经验药水</v>
      </c>
      <c r="I32" s="66">
        <f t="shared" si="20"/>
        <v>91100</v>
      </c>
      <c r="J32" s="66">
        <f t="shared" si="8"/>
        <v>1</v>
      </c>
      <c r="K32" s="66">
        <f t="shared" si="9"/>
        <v>5000</v>
      </c>
      <c r="L32" s="66" t="str">
        <f>IF(M32="","",VLOOKUP(M32,引用表合并!$A:$B,2,FALSE))</f>
        <v>马仔经验药水</v>
      </c>
      <c r="M32" s="66">
        <f t="shared" si="4"/>
        <v>91100</v>
      </c>
      <c r="N32" s="66">
        <f t="shared" si="10"/>
        <v>2</v>
      </c>
      <c r="O32" s="66">
        <f t="shared" si="11"/>
        <v>7500</v>
      </c>
      <c r="P32" s="66" t="str">
        <f>IF(Q32="","",VLOOKUP(Q32,引用表合并!$A:$B,2,FALSE))</f>
        <v>马仔经验药水</v>
      </c>
      <c r="Q32" s="66">
        <f t="shared" si="19"/>
        <v>91100</v>
      </c>
      <c r="R32" s="66">
        <f t="shared" si="12"/>
        <v>2</v>
      </c>
      <c r="S32" s="66">
        <f t="shared" si="13"/>
        <v>10000</v>
      </c>
      <c r="T32" s="66" t="str">
        <f>IF(U32="","",VLOOKUP(U32,引用表合并!$A:$B,2,FALSE))</f>
        <v/>
      </c>
      <c r="U32" s="69"/>
      <c r="W32" s="31"/>
      <c r="X32" s="66" t="str">
        <f>IF(Y32="","",VLOOKUP(Y32,引用表合并!$A:$B,2,FALSE))</f>
        <v/>
      </c>
      <c r="AA32" s="31"/>
      <c r="AB32" s="66" t="str">
        <f>IF(AC32="","",VLOOKUP(AC32,引用表合并!$A:$B,2,FALSE))</f>
        <v/>
      </c>
      <c r="AC32" s="68"/>
      <c r="AE32" s="31"/>
      <c r="AF32" s="66" t="str">
        <f>IF(AG32="","",VLOOKUP(AG32,引用表合并!$A:$B,2,FALSE))</f>
        <v/>
      </c>
      <c r="AI32" s="31"/>
      <c r="AJ32" s="66" t="str">
        <f>IF(AK32="","",VLOOKUP(AK32,引用表合并!$A:$B,2,FALSE))</f>
        <v/>
      </c>
      <c r="AM32" s="31"/>
      <c r="AN32" s="66" t="str">
        <f>IF(AO32="","",VLOOKUP(AO32,引用表合并!$A:$B,2,FALSE))</f>
        <v/>
      </c>
      <c r="AQ32" s="31"/>
      <c r="AR32" s="66" t="str">
        <f>IF(AS32="","",VLOOKUP(AS32,引用表合并!$A:$B,2,FALSE))</f>
        <v/>
      </c>
      <c r="AU32" s="31"/>
      <c r="AV32" s="66" t="str">
        <f>IF(AW32="","",VLOOKUP(AW32,引用表合并!$A:$B,2,FALSE))</f>
        <v/>
      </c>
      <c r="AY32" s="31"/>
      <c r="AZ32" s="66" t="str">
        <f>IF(BA32="","",VLOOKUP(BA32,引用表合并!$A:$B,2,FALSE))</f>
        <v/>
      </c>
      <c r="BC32" s="31"/>
      <c r="BD32" s="66" t="str">
        <f>IF(BE32="","",VLOOKUP(BE32,引用表合并!$A:$B,2,FALSE))</f>
        <v/>
      </c>
      <c r="BG32" s="31"/>
      <c r="BH32" s="66" t="str">
        <f>IF(BI32="","",VLOOKUP(BI32,引用表合并!$A:$B,2,FALSE))</f>
        <v/>
      </c>
      <c r="BM32" s="66">
        <f t="shared" si="6"/>
        <v>1.5</v>
      </c>
      <c r="BN32" s="31">
        <v>100</v>
      </c>
      <c r="BO32" s="66">
        <v>1</v>
      </c>
      <c r="BP32" s="31">
        <v>100</v>
      </c>
      <c r="BQ32" s="31">
        <v>1</v>
      </c>
      <c r="BR32" s="31">
        <v>100</v>
      </c>
      <c r="BS32" s="31">
        <v>2</v>
      </c>
      <c r="BT32" s="31">
        <v>100</v>
      </c>
      <c r="BU32" s="31">
        <v>2</v>
      </c>
      <c r="BV32" s="66">
        <f t="shared" si="14"/>
        <v>150</v>
      </c>
    </row>
    <row r="33" spans="1:75" x14ac:dyDescent="0.15">
      <c r="A33" s="66">
        <f t="shared" si="17"/>
        <v>100302</v>
      </c>
      <c r="B33" s="66" t="s">
        <v>892</v>
      </c>
      <c r="C33" s="67">
        <f t="shared" si="16"/>
        <v>4</v>
      </c>
      <c r="D33" s="66" t="str">
        <f>IF(E33="","",VLOOKUP(E33,引用表合并!$A:$B,2,FALSE))</f>
        <v>马仔经验药水</v>
      </c>
      <c r="E33" s="66">
        <f t="shared" si="1"/>
        <v>91100</v>
      </c>
      <c r="F33" s="66">
        <f t="shared" si="2"/>
        <v>1</v>
      </c>
      <c r="G33" s="66">
        <f t="shared" si="7"/>
        <v>2500</v>
      </c>
      <c r="H33" s="66" t="str">
        <f>IF(I33="","",VLOOKUP(I33,引用表合并!$A:$B,2,FALSE))</f>
        <v>马仔经验药水</v>
      </c>
      <c r="I33" s="66">
        <f t="shared" si="20"/>
        <v>91100</v>
      </c>
      <c r="J33" s="66">
        <f t="shared" si="8"/>
        <v>2</v>
      </c>
      <c r="K33" s="66">
        <f t="shared" si="9"/>
        <v>5000</v>
      </c>
      <c r="L33" s="66" t="str">
        <f>IF(M33="","",VLOOKUP(M33,引用表合并!$A:$B,2,FALSE))</f>
        <v>马仔经验药水</v>
      </c>
      <c r="M33" s="66">
        <f t="shared" si="4"/>
        <v>91100</v>
      </c>
      <c r="N33" s="66">
        <f t="shared" si="10"/>
        <v>2</v>
      </c>
      <c r="O33" s="66">
        <f t="shared" si="11"/>
        <v>7500</v>
      </c>
      <c r="P33" s="66" t="str">
        <f>IF(Q33="","",VLOOKUP(Q33,引用表合并!$A:$B,2,FALSE))</f>
        <v>马仔经验药水</v>
      </c>
      <c r="Q33" s="66">
        <f t="shared" si="19"/>
        <v>91100</v>
      </c>
      <c r="R33" s="66">
        <f t="shared" si="12"/>
        <v>3</v>
      </c>
      <c r="S33" s="66">
        <f t="shared" si="13"/>
        <v>10000</v>
      </c>
      <c r="BM33" s="66">
        <f t="shared" si="6"/>
        <v>2</v>
      </c>
      <c r="BN33" s="31">
        <v>100</v>
      </c>
      <c r="BO33" s="66">
        <v>1</v>
      </c>
      <c r="BP33" s="31">
        <v>100</v>
      </c>
      <c r="BQ33" s="31">
        <v>2</v>
      </c>
      <c r="BR33" s="31">
        <v>100</v>
      </c>
      <c r="BS33" s="31">
        <v>2</v>
      </c>
      <c r="BT33" s="31">
        <v>100</v>
      </c>
      <c r="BU33" s="31">
        <v>3</v>
      </c>
      <c r="BV33" s="66">
        <f t="shared" si="14"/>
        <v>200</v>
      </c>
    </row>
    <row r="34" spans="1:75" x14ac:dyDescent="0.15">
      <c r="A34" s="66">
        <f t="shared" si="17"/>
        <v>100303</v>
      </c>
      <c r="B34" s="66" t="s">
        <v>893</v>
      </c>
      <c r="C34" s="67">
        <f t="shared" si="16"/>
        <v>8</v>
      </c>
      <c r="D34" s="66" t="str">
        <f>IF(E34="","",VLOOKUP(E34,引用表合并!$A:$B,2,FALSE))</f>
        <v>马仔经验合剂</v>
      </c>
      <c r="E34" s="66">
        <f t="shared" si="1"/>
        <v>91200</v>
      </c>
      <c r="F34" s="66">
        <f t="shared" ref="F34:F65" si="21">BO34</f>
        <v>1</v>
      </c>
      <c r="G34" s="66">
        <f t="shared" si="7"/>
        <v>1500</v>
      </c>
      <c r="H34" s="66" t="str">
        <f>IF(I34="","",VLOOKUP(I34,引用表合并!$A:$B,2,FALSE))</f>
        <v>马仔经验合剂</v>
      </c>
      <c r="I34" s="66">
        <f t="shared" si="20"/>
        <v>91200</v>
      </c>
      <c r="J34" s="66">
        <f t="shared" si="8"/>
        <v>2</v>
      </c>
      <c r="K34" s="66">
        <f t="shared" si="9"/>
        <v>3000</v>
      </c>
      <c r="L34" s="66" t="str">
        <f>IF(M34="","",VLOOKUP(M34,引用表合并!$A:$B,2,FALSE))</f>
        <v>马仔经验合剂</v>
      </c>
      <c r="M34" s="66">
        <f t="shared" si="4"/>
        <v>91200</v>
      </c>
      <c r="N34" s="66">
        <f t="shared" si="10"/>
        <v>2</v>
      </c>
      <c r="O34" s="66">
        <f t="shared" si="11"/>
        <v>4500</v>
      </c>
      <c r="P34" s="66" t="str">
        <f>IF(Q34="","",VLOOKUP(Q34,引用表合并!$A:$B,2,FALSE))</f>
        <v>马仔经验合剂</v>
      </c>
      <c r="Q34" s="66">
        <f t="shared" si="19"/>
        <v>91200</v>
      </c>
      <c r="R34" s="66">
        <f t="shared" si="12"/>
        <v>2</v>
      </c>
      <c r="S34" s="66">
        <f t="shared" si="13"/>
        <v>6000</v>
      </c>
      <c r="T34" s="31" t="str">
        <f>IF(U34="","",VLOOKUP(U34,引用表合并!$A:$B,2,FALSE))</f>
        <v>马仔碎片(靓坤)</v>
      </c>
      <c r="U34" s="31">
        <v>78106</v>
      </c>
      <c r="V34" s="66">
        <v>1</v>
      </c>
      <c r="W34" s="66">
        <v>7000</v>
      </c>
      <c r="X34" s="31" t="str">
        <f>IF(Y34="","",VLOOKUP(Y34,引用表合并!$A:$B,2,FALSE))</f>
        <v>马仔碎片(雷复轰)</v>
      </c>
      <c r="Y34" s="66">
        <v>78107</v>
      </c>
      <c r="Z34" s="31">
        <v>1</v>
      </c>
      <c r="AA34" s="31">
        <v>8000</v>
      </c>
      <c r="AB34" s="31" t="str">
        <f>IF(AC34="","",VLOOKUP(AC34,引用表合并!$A:$B,2,FALSE))</f>
        <v>马仔碎片(肥仔)</v>
      </c>
      <c r="AC34" s="66">
        <v>78108</v>
      </c>
      <c r="AD34" s="31">
        <v>1</v>
      </c>
      <c r="AE34" s="31">
        <v>9000</v>
      </c>
      <c r="AF34" s="31" t="str">
        <f>IF(AG34="","",VLOOKUP(AG34,引用表合并!$A:$B,2,FALSE))</f>
        <v>马仔碎片(巴闭)</v>
      </c>
      <c r="AG34" s="66">
        <v>78117</v>
      </c>
      <c r="AH34" s="31">
        <v>1</v>
      </c>
      <c r="AI34" s="31">
        <v>10000</v>
      </c>
      <c r="BM34" s="66">
        <f t="shared" ref="BM34:BM65" si="22">AVERAGE(F34,J34,N34,R34)</f>
        <v>1.75</v>
      </c>
      <c r="BN34" s="31">
        <v>500</v>
      </c>
      <c r="BO34" s="66">
        <v>1</v>
      </c>
      <c r="BP34" s="31">
        <v>500</v>
      </c>
      <c r="BQ34" s="31">
        <v>2</v>
      </c>
      <c r="BR34" s="31">
        <v>500</v>
      </c>
      <c r="BS34" s="31">
        <v>2</v>
      </c>
      <c r="BT34" s="31">
        <v>500</v>
      </c>
      <c r="BU34" s="31">
        <v>2</v>
      </c>
      <c r="BV34" s="66">
        <f t="shared" si="14"/>
        <v>875</v>
      </c>
    </row>
    <row r="35" spans="1:75" x14ac:dyDescent="0.15">
      <c r="A35" s="66">
        <f t="shared" si="17"/>
        <v>100304</v>
      </c>
      <c r="B35" s="66" t="s">
        <v>894</v>
      </c>
      <c r="C35" s="67">
        <f t="shared" si="16"/>
        <v>4</v>
      </c>
      <c r="D35" s="66" t="str">
        <f>IF(E35="","",VLOOKUP(E35,引用表合并!$A:$B,2,FALSE))</f>
        <v>马仔经验药水</v>
      </c>
      <c r="E35" s="66">
        <f t="shared" si="1"/>
        <v>91100</v>
      </c>
      <c r="F35" s="66">
        <f t="shared" si="21"/>
        <v>2</v>
      </c>
      <c r="G35" s="66">
        <f t="shared" si="7"/>
        <v>2500</v>
      </c>
      <c r="H35" s="66" t="str">
        <f>IF(I35="","",VLOOKUP(I35,引用表合并!$A:$B,2,FALSE))</f>
        <v>马仔经验药水</v>
      </c>
      <c r="I35" s="66">
        <f t="shared" si="20"/>
        <v>91100</v>
      </c>
      <c r="J35" s="66">
        <f t="shared" si="8"/>
        <v>2</v>
      </c>
      <c r="K35" s="66">
        <f t="shared" si="9"/>
        <v>5000</v>
      </c>
      <c r="L35" s="66" t="str">
        <f>IF(M35="","",VLOOKUP(M35,引用表合并!$A:$B,2,FALSE))</f>
        <v>马仔经验药水</v>
      </c>
      <c r="M35" s="66">
        <f t="shared" si="4"/>
        <v>91100</v>
      </c>
      <c r="N35" s="66">
        <f t="shared" si="10"/>
        <v>3</v>
      </c>
      <c r="O35" s="66">
        <f t="shared" si="11"/>
        <v>7500</v>
      </c>
      <c r="P35" s="66" t="str">
        <f>IF(Q35="","",VLOOKUP(Q35,引用表合并!$A:$B,2,FALSE))</f>
        <v>马仔经验药水</v>
      </c>
      <c r="Q35" s="66">
        <f t="shared" si="19"/>
        <v>91100</v>
      </c>
      <c r="R35" s="66">
        <f t="shared" si="12"/>
        <v>3</v>
      </c>
      <c r="S35" s="66">
        <f t="shared" si="13"/>
        <v>10000</v>
      </c>
      <c r="BM35" s="66">
        <f t="shared" si="22"/>
        <v>2.5</v>
      </c>
      <c r="BN35" s="31">
        <v>100</v>
      </c>
      <c r="BO35" s="66">
        <v>2</v>
      </c>
      <c r="BP35" s="31">
        <v>100</v>
      </c>
      <c r="BQ35" s="31">
        <v>2</v>
      </c>
      <c r="BR35" s="31">
        <v>100</v>
      </c>
      <c r="BS35" s="31">
        <v>3</v>
      </c>
      <c r="BT35" s="31">
        <v>100</v>
      </c>
      <c r="BU35" s="31">
        <v>3</v>
      </c>
      <c r="BV35" s="66">
        <f t="shared" si="14"/>
        <v>250</v>
      </c>
    </row>
    <row r="36" spans="1:75" x14ac:dyDescent="0.15">
      <c r="A36" s="66">
        <f t="shared" si="17"/>
        <v>100305</v>
      </c>
      <c r="B36" s="66" t="s">
        <v>895</v>
      </c>
      <c r="C36" s="67">
        <f t="shared" si="16"/>
        <v>4</v>
      </c>
      <c r="D36" s="66" t="str">
        <f>IF(E36="","",VLOOKUP(E36,引用表合并!$A:$B,2,FALSE))</f>
        <v>马仔经验药水</v>
      </c>
      <c r="E36" s="66">
        <f t="shared" si="1"/>
        <v>91100</v>
      </c>
      <c r="F36" s="66">
        <f t="shared" si="21"/>
        <v>2</v>
      </c>
      <c r="G36" s="66">
        <f t="shared" si="7"/>
        <v>2500</v>
      </c>
      <c r="H36" s="66" t="str">
        <f>IF(I36="","",VLOOKUP(I36,引用表合并!$A:$B,2,FALSE))</f>
        <v>马仔经验药水</v>
      </c>
      <c r="I36" s="66">
        <f t="shared" si="20"/>
        <v>91100</v>
      </c>
      <c r="J36" s="66">
        <f t="shared" si="8"/>
        <v>3</v>
      </c>
      <c r="K36" s="66">
        <f t="shared" si="9"/>
        <v>5000</v>
      </c>
      <c r="L36" s="66" t="str">
        <f>IF(M36="","",VLOOKUP(M36,引用表合并!$A:$B,2,FALSE))</f>
        <v>马仔经验药水</v>
      </c>
      <c r="M36" s="66">
        <f t="shared" si="4"/>
        <v>91100</v>
      </c>
      <c r="N36" s="66">
        <f t="shared" si="10"/>
        <v>3</v>
      </c>
      <c r="O36" s="66">
        <f t="shared" si="11"/>
        <v>7500</v>
      </c>
      <c r="P36" s="66" t="str">
        <f>IF(Q36="","",VLOOKUP(Q36,引用表合并!$A:$B,2,FALSE))</f>
        <v>马仔经验药水</v>
      </c>
      <c r="Q36" s="66">
        <f t="shared" si="19"/>
        <v>91100</v>
      </c>
      <c r="R36" s="66">
        <f t="shared" si="12"/>
        <v>4</v>
      </c>
      <c r="S36" s="66">
        <f t="shared" si="13"/>
        <v>10000</v>
      </c>
      <c r="BM36" s="66">
        <f t="shared" si="22"/>
        <v>3</v>
      </c>
      <c r="BN36" s="31">
        <v>100</v>
      </c>
      <c r="BO36" s="66">
        <v>2</v>
      </c>
      <c r="BP36" s="31">
        <v>100</v>
      </c>
      <c r="BQ36" s="31">
        <v>3</v>
      </c>
      <c r="BR36" s="31">
        <v>100</v>
      </c>
      <c r="BS36" s="31">
        <v>3</v>
      </c>
      <c r="BT36" s="31">
        <v>100</v>
      </c>
      <c r="BU36" s="31">
        <v>4</v>
      </c>
      <c r="BV36" s="66">
        <f t="shared" si="14"/>
        <v>300</v>
      </c>
    </row>
    <row r="37" spans="1:75" x14ac:dyDescent="0.15">
      <c r="A37" s="66">
        <f t="shared" si="17"/>
        <v>100306</v>
      </c>
      <c r="B37" s="66" t="s">
        <v>896</v>
      </c>
      <c r="C37" s="67">
        <f t="shared" si="16"/>
        <v>8</v>
      </c>
      <c r="D37" s="66" t="str">
        <f>IF(E37="","",VLOOKUP(E37,引用表合并!$A:$B,2,FALSE))</f>
        <v>马仔经验合剂</v>
      </c>
      <c r="E37" s="66">
        <f t="shared" si="1"/>
        <v>91200</v>
      </c>
      <c r="F37" s="66">
        <f t="shared" si="21"/>
        <v>2</v>
      </c>
      <c r="G37" s="66">
        <f t="shared" si="7"/>
        <v>1500</v>
      </c>
      <c r="H37" s="66" t="str">
        <f>IF(I37="","",VLOOKUP(I37,引用表合并!$A:$B,2,FALSE))</f>
        <v>马仔经验合剂</v>
      </c>
      <c r="I37" s="66">
        <f t="shared" si="20"/>
        <v>91200</v>
      </c>
      <c r="J37" s="66">
        <f t="shared" si="8"/>
        <v>2</v>
      </c>
      <c r="K37" s="66">
        <f t="shared" si="9"/>
        <v>3000</v>
      </c>
      <c r="L37" s="66" t="str">
        <f>IF(M37="","",VLOOKUP(M37,引用表合并!$A:$B,2,FALSE))</f>
        <v>马仔经验合剂</v>
      </c>
      <c r="M37" s="66">
        <f t="shared" ref="M37:M78" si="23">IF(BR37=100,91100,IF(BR37=500,91200,91300))</f>
        <v>91200</v>
      </c>
      <c r="N37" s="66">
        <f t="shared" si="10"/>
        <v>2</v>
      </c>
      <c r="O37" s="66">
        <f t="shared" si="11"/>
        <v>4500</v>
      </c>
      <c r="P37" s="66" t="str">
        <f>IF(Q37="","",VLOOKUP(Q37,引用表合并!$A:$B,2,FALSE))</f>
        <v>马仔经验合剂</v>
      </c>
      <c r="Q37" s="66">
        <f t="shared" si="19"/>
        <v>91200</v>
      </c>
      <c r="R37" s="66">
        <f t="shared" si="12"/>
        <v>3</v>
      </c>
      <c r="S37" s="66">
        <f t="shared" si="13"/>
        <v>6000</v>
      </c>
      <c r="T37" s="31" t="str">
        <f>IF(U37="","",VLOOKUP(U37,引用表合并!$A:$B,2,FALSE))</f>
        <v>马仔碎片(靓坤)</v>
      </c>
      <c r="U37" s="31">
        <v>78106</v>
      </c>
      <c r="V37" s="66">
        <v>2</v>
      </c>
      <c r="W37" s="66">
        <v>7000</v>
      </c>
      <c r="X37" s="31" t="str">
        <f>IF(Y37="","",VLOOKUP(Y37,引用表合并!$A:$B,2,FALSE))</f>
        <v>马仔碎片(雷复轰)</v>
      </c>
      <c r="Y37" s="66">
        <v>78107</v>
      </c>
      <c r="Z37" s="31">
        <v>2</v>
      </c>
      <c r="AA37" s="31">
        <v>8000</v>
      </c>
      <c r="AB37" s="31" t="str">
        <f>IF(AC37="","",VLOOKUP(AC37,引用表合并!$A:$B,2,FALSE))</f>
        <v>马仔碎片(肥仔)</v>
      </c>
      <c r="AC37" s="66">
        <v>78108</v>
      </c>
      <c r="AD37" s="31">
        <v>2</v>
      </c>
      <c r="AE37" s="31">
        <v>9000</v>
      </c>
      <c r="AF37" s="31" t="str">
        <f>IF(AG37="","",VLOOKUP(AG37,引用表合并!$A:$B,2,FALSE))</f>
        <v>马仔碎片(巴闭)</v>
      </c>
      <c r="AG37" s="66">
        <v>78117</v>
      </c>
      <c r="AH37" s="31">
        <v>2</v>
      </c>
      <c r="AI37" s="31">
        <v>10000</v>
      </c>
      <c r="BM37" s="66">
        <f t="shared" si="22"/>
        <v>2.25</v>
      </c>
      <c r="BN37" s="31">
        <v>500</v>
      </c>
      <c r="BO37" s="66">
        <v>2</v>
      </c>
      <c r="BP37" s="31">
        <v>500</v>
      </c>
      <c r="BQ37" s="31">
        <v>2</v>
      </c>
      <c r="BR37" s="31">
        <v>500</v>
      </c>
      <c r="BS37" s="31">
        <v>2</v>
      </c>
      <c r="BT37" s="31">
        <v>500</v>
      </c>
      <c r="BU37" s="31">
        <v>3</v>
      </c>
      <c r="BV37" s="66">
        <f t="shared" si="14"/>
        <v>1125</v>
      </c>
    </row>
    <row r="38" spans="1:75" x14ac:dyDescent="0.15">
      <c r="A38" s="66">
        <f t="shared" si="17"/>
        <v>100307</v>
      </c>
      <c r="B38" s="66" t="s">
        <v>897</v>
      </c>
      <c r="C38" s="67">
        <f t="shared" si="16"/>
        <v>4</v>
      </c>
      <c r="D38" s="66" t="str">
        <f>IF(E38="","",VLOOKUP(E38,引用表合并!$A:$B,2,FALSE))</f>
        <v>马仔经验药水</v>
      </c>
      <c r="E38" s="66">
        <f t="shared" si="1"/>
        <v>91100</v>
      </c>
      <c r="F38" s="66">
        <f t="shared" si="21"/>
        <v>3</v>
      </c>
      <c r="G38" s="66">
        <f t="shared" si="7"/>
        <v>2500</v>
      </c>
      <c r="H38" s="66" t="str">
        <f>IF(I38="","",VLOOKUP(I38,引用表合并!$A:$B,2,FALSE))</f>
        <v>马仔经验药水</v>
      </c>
      <c r="I38" s="66">
        <f t="shared" si="20"/>
        <v>91100</v>
      </c>
      <c r="J38" s="66">
        <f t="shared" si="8"/>
        <v>3</v>
      </c>
      <c r="K38" s="66">
        <f t="shared" si="9"/>
        <v>5000</v>
      </c>
      <c r="L38" s="66" t="str">
        <f>IF(M38="","",VLOOKUP(M38,引用表合并!$A:$B,2,FALSE))</f>
        <v>马仔经验药水</v>
      </c>
      <c r="M38" s="66">
        <f t="shared" si="23"/>
        <v>91100</v>
      </c>
      <c r="N38" s="66">
        <f t="shared" si="10"/>
        <v>4</v>
      </c>
      <c r="O38" s="66">
        <f t="shared" si="11"/>
        <v>7500</v>
      </c>
      <c r="P38" s="66" t="str">
        <f>IF(Q38="","",VLOOKUP(Q38,引用表合并!$A:$B,2,FALSE))</f>
        <v>马仔经验药水</v>
      </c>
      <c r="Q38" s="66">
        <f t="shared" si="19"/>
        <v>91100</v>
      </c>
      <c r="R38" s="66">
        <f t="shared" si="12"/>
        <v>4</v>
      </c>
      <c r="S38" s="66">
        <f t="shared" si="13"/>
        <v>10000</v>
      </c>
      <c r="BM38" s="66">
        <f t="shared" si="22"/>
        <v>3.5</v>
      </c>
      <c r="BN38" s="31">
        <v>100</v>
      </c>
      <c r="BO38" s="66">
        <v>3</v>
      </c>
      <c r="BP38" s="31">
        <v>100</v>
      </c>
      <c r="BQ38" s="31">
        <v>3</v>
      </c>
      <c r="BR38" s="31">
        <v>100</v>
      </c>
      <c r="BS38" s="31">
        <v>4</v>
      </c>
      <c r="BT38" s="31">
        <v>100</v>
      </c>
      <c r="BU38" s="31">
        <v>4</v>
      </c>
      <c r="BV38" s="66">
        <f t="shared" si="14"/>
        <v>350</v>
      </c>
    </row>
    <row r="39" spans="1:75" x14ac:dyDescent="0.15">
      <c r="A39" s="66">
        <f t="shared" si="17"/>
        <v>100308</v>
      </c>
      <c r="B39" s="66" t="s">
        <v>898</v>
      </c>
      <c r="C39" s="67">
        <f t="shared" si="16"/>
        <v>4</v>
      </c>
      <c r="D39" s="66" t="str">
        <f>IF(E39="","",VLOOKUP(E39,引用表合并!$A:$B,2,FALSE))</f>
        <v>马仔经验药水</v>
      </c>
      <c r="E39" s="66">
        <f t="shared" si="1"/>
        <v>91100</v>
      </c>
      <c r="F39" s="66">
        <f t="shared" si="21"/>
        <v>3</v>
      </c>
      <c r="G39" s="66">
        <f t="shared" si="7"/>
        <v>2500</v>
      </c>
      <c r="H39" s="66" t="str">
        <f>IF(I39="","",VLOOKUP(I39,引用表合并!$A:$B,2,FALSE))</f>
        <v>马仔经验药水</v>
      </c>
      <c r="I39" s="66">
        <f t="shared" si="20"/>
        <v>91100</v>
      </c>
      <c r="J39" s="66">
        <f t="shared" si="8"/>
        <v>4</v>
      </c>
      <c r="K39" s="66">
        <f t="shared" si="9"/>
        <v>5000</v>
      </c>
      <c r="L39" s="66" t="str">
        <f>IF(M39="","",VLOOKUP(M39,引用表合并!$A:$B,2,FALSE))</f>
        <v>马仔经验药水</v>
      </c>
      <c r="M39" s="66">
        <f t="shared" si="23"/>
        <v>91100</v>
      </c>
      <c r="N39" s="66">
        <f t="shared" si="10"/>
        <v>4</v>
      </c>
      <c r="O39" s="66">
        <f t="shared" si="11"/>
        <v>7500</v>
      </c>
      <c r="P39" s="66" t="str">
        <f>IF(Q39="","",VLOOKUP(Q39,引用表合并!$A:$B,2,FALSE))</f>
        <v>马仔经验药水</v>
      </c>
      <c r="Q39" s="66">
        <f t="shared" si="19"/>
        <v>91100</v>
      </c>
      <c r="R39" s="66">
        <f t="shared" si="12"/>
        <v>5</v>
      </c>
      <c r="S39" s="66">
        <f t="shared" si="13"/>
        <v>10000</v>
      </c>
      <c r="BM39" s="66">
        <f t="shared" si="22"/>
        <v>4</v>
      </c>
      <c r="BN39" s="31">
        <v>100</v>
      </c>
      <c r="BO39" s="66">
        <v>3</v>
      </c>
      <c r="BP39" s="31">
        <v>100</v>
      </c>
      <c r="BQ39" s="31">
        <v>4</v>
      </c>
      <c r="BR39" s="31">
        <v>100</v>
      </c>
      <c r="BS39" s="31">
        <v>4</v>
      </c>
      <c r="BT39" s="31">
        <v>100</v>
      </c>
      <c r="BU39" s="31">
        <v>5</v>
      </c>
      <c r="BV39" s="66">
        <f t="shared" si="14"/>
        <v>400</v>
      </c>
    </row>
    <row r="40" spans="1:75" x14ac:dyDescent="0.15">
      <c r="A40" s="66">
        <f t="shared" si="17"/>
        <v>100309</v>
      </c>
      <c r="B40" s="66" t="s">
        <v>899</v>
      </c>
      <c r="C40" s="67">
        <f t="shared" si="16"/>
        <v>8</v>
      </c>
      <c r="D40" s="66" t="str">
        <f>IF(E40="","",VLOOKUP(E40,引用表合并!$A:$B,2,FALSE))</f>
        <v>马仔经验合剂</v>
      </c>
      <c r="E40" s="66">
        <f t="shared" si="1"/>
        <v>91200</v>
      </c>
      <c r="F40" s="66">
        <f t="shared" si="21"/>
        <v>2</v>
      </c>
      <c r="G40" s="66">
        <f t="shared" si="7"/>
        <v>1500</v>
      </c>
      <c r="H40" s="66" t="str">
        <f>IF(I40="","",VLOOKUP(I40,引用表合并!$A:$B,2,FALSE))</f>
        <v>马仔经验合剂</v>
      </c>
      <c r="I40" s="66">
        <f t="shared" si="20"/>
        <v>91200</v>
      </c>
      <c r="J40" s="66">
        <f t="shared" si="8"/>
        <v>3</v>
      </c>
      <c r="K40" s="66">
        <f t="shared" si="9"/>
        <v>3000</v>
      </c>
      <c r="L40" s="66" t="str">
        <f>IF(M40="","",VLOOKUP(M40,引用表合并!$A:$B,2,FALSE))</f>
        <v>马仔经验合剂</v>
      </c>
      <c r="M40" s="66">
        <f t="shared" si="23"/>
        <v>91200</v>
      </c>
      <c r="N40" s="66">
        <f t="shared" si="10"/>
        <v>3</v>
      </c>
      <c r="O40" s="66">
        <f t="shared" si="11"/>
        <v>4500</v>
      </c>
      <c r="P40" s="66" t="str">
        <f>IF(Q40="","",VLOOKUP(Q40,引用表合并!$A:$B,2,FALSE))</f>
        <v>马仔经验合剂</v>
      </c>
      <c r="Q40" s="66">
        <f t="shared" si="19"/>
        <v>91200</v>
      </c>
      <c r="R40" s="66">
        <f t="shared" si="12"/>
        <v>3</v>
      </c>
      <c r="S40" s="66">
        <f t="shared" si="13"/>
        <v>6000</v>
      </c>
      <c r="T40" s="31" t="str">
        <f>IF(U40="","",VLOOKUP(U40,引用表合并!$A:$B,2,FALSE))</f>
        <v>马仔碎片(靓坤)</v>
      </c>
      <c r="U40" s="31">
        <v>78106</v>
      </c>
      <c r="V40" s="66">
        <v>3</v>
      </c>
      <c r="W40" s="66">
        <v>7000</v>
      </c>
      <c r="X40" s="31" t="str">
        <f>IF(Y40="","",VLOOKUP(Y40,引用表合并!$A:$B,2,FALSE))</f>
        <v>马仔碎片(雷复轰)</v>
      </c>
      <c r="Y40" s="66">
        <v>78107</v>
      </c>
      <c r="Z40" s="31">
        <v>3</v>
      </c>
      <c r="AA40" s="31">
        <v>8000</v>
      </c>
      <c r="AB40" s="31" t="str">
        <f>IF(AC40="","",VLOOKUP(AC40,引用表合并!$A:$B,2,FALSE))</f>
        <v>马仔碎片(肥仔)</v>
      </c>
      <c r="AC40" s="66">
        <v>78108</v>
      </c>
      <c r="AD40" s="31">
        <v>3</v>
      </c>
      <c r="AE40" s="31">
        <v>9000</v>
      </c>
      <c r="AF40" s="31" t="str">
        <f>IF(AG40="","",VLOOKUP(AG40,引用表合并!$A:$B,2,FALSE))</f>
        <v>马仔碎片(巴闭)</v>
      </c>
      <c r="AG40" s="66">
        <v>78117</v>
      </c>
      <c r="AH40" s="31">
        <v>3</v>
      </c>
      <c r="AI40" s="31">
        <v>10000</v>
      </c>
      <c r="BM40" s="66">
        <f t="shared" si="22"/>
        <v>2.75</v>
      </c>
      <c r="BN40" s="31">
        <v>500</v>
      </c>
      <c r="BO40" s="66">
        <v>2</v>
      </c>
      <c r="BP40" s="31">
        <v>500</v>
      </c>
      <c r="BQ40" s="31">
        <v>3</v>
      </c>
      <c r="BR40" s="31">
        <v>500</v>
      </c>
      <c r="BS40" s="31">
        <v>3</v>
      </c>
      <c r="BT40" s="31">
        <v>500</v>
      </c>
      <c r="BU40" s="31">
        <v>3</v>
      </c>
      <c r="BV40" s="66">
        <f t="shared" si="14"/>
        <v>1375</v>
      </c>
    </row>
    <row r="41" spans="1:75" x14ac:dyDescent="0.15">
      <c r="A41" s="66">
        <f t="shared" si="17"/>
        <v>100310</v>
      </c>
      <c r="B41" s="66" t="s">
        <v>900</v>
      </c>
      <c r="C41" s="67">
        <f t="shared" si="16"/>
        <v>4</v>
      </c>
      <c r="D41" s="66" t="str">
        <f>IF(E41="","",VLOOKUP(E41,引用表合并!$A:$B,2,FALSE))</f>
        <v>马仔经验药水</v>
      </c>
      <c r="E41" s="66">
        <f t="shared" si="1"/>
        <v>91100</v>
      </c>
      <c r="F41" s="66">
        <f t="shared" si="21"/>
        <v>4</v>
      </c>
      <c r="G41" s="66">
        <f t="shared" si="7"/>
        <v>2500</v>
      </c>
      <c r="H41" s="66" t="str">
        <f>IF(I41="","",VLOOKUP(I41,引用表合并!$A:$B,2,FALSE))</f>
        <v>马仔经验药水</v>
      </c>
      <c r="I41" s="66">
        <f t="shared" si="20"/>
        <v>91100</v>
      </c>
      <c r="J41" s="66">
        <f t="shared" si="8"/>
        <v>4</v>
      </c>
      <c r="K41" s="66">
        <f t="shared" si="9"/>
        <v>5000</v>
      </c>
      <c r="L41" s="66" t="str">
        <f>IF(M41="","",VLOOKUP(M41,引用表合并!$A:$B,2,FALSE))</f>
        <v>马仔经验药水</v>
      </c>
      <c r="M41" s="66">
        <f t="shared" si="23"/>
        <v>91100</v>
      </c>
      <c r="N41" s="66">
        <f t="shared" si="10"/>
        <v>5</v>
      </c>
      <c r="O41" s="66">
        <f t="shared" si="11"/>
        <v>7500</v>
      </c>
      <c r="P41" s="66" t="str">
        <f>IF(Q41="","",VLOOKUP(Q41,引用表合并!$A:$B,2,FALSE))</f>
        <v>马仔经验药水</v>
      </c>
      <c r="Q41" s="66">
        <f t="shared" si="19"/>
        <v>91100</v>
      </c>
      <c r="R41" s="66">
        <f t="shared" si="12"/>
        <v>5</v>
      </c>
      <c r="S41" s="66">
        <f t="shared" si="13"/>
        <v>10000</v>
      </c>
      <c r="BM41" s="66">
        <f t="shared" si="22"/>
        <v>4.5</v>
      </c>
      <c r="BN41" s="31">
        <v>100</v>
      </c>
      <c r="BO41" s="66">
        <v>4</v>
      </c>
      <c r="BP41" s="31">
        <v>100</v>
      </c>
      <c r="BQ41" s="31">
        <v>4</v>
      </c>
      <c r="BR41" s="31">
        <v>100</v>
      </c>
      <c r="BS41" s="31">
        <v>5</v>
      </c>
      <c r="BT41" s="31">
        <v>100</v>
      </c>
      <c r="BU41" s="31">
        <v>5</v>
      </c>
      <c r="BV41" s="66">
        <f t="shared" si="14"/>
        <v>450</v>
      </c>
    </row>
    <row r="42" spans="1:75" x14ac:dyDescent="0.15">
      <c r="A42" s="66">
        <f t="shared" si="17"/>
        <v>100311</v>
      </c>
      <c r="B42" s="66" t="s">
        <v>901</v>
      </c>
      <c r="C42" s="67">
        <f t="shared" si="16"/>
        <v>4</v>
      </c>
      <c r="D42" s="66" t="str">
        <f>IF(E42="","",VLOOKUP(E42,引用表合并!$A:$B,2,FALSE))</f>
        <v>马仔经验药水</v>
      </c>
      <c r="E42" s="66">
        <f t="shared" si="1"/>
        <v>91100</v>
      </c>
      <c r="F42" s="66">
        <f t="shared" si="21"/>
        <v>4</v>
      </c>
      <c r="G42" s="66">
        <f t="shared" si="7"/>
        <v>2500</v>
      </c>
      <c r="H42" s="66" t="str">
        <f>IF(I42="","",VLOOKUP(I42,引用表合并!$A:$B,2,FALSE))</f>
        <v>马仔经验药水</v>
      </c>
      <c r="I42" s="66">
        <f t="shared" si="20"/>
        <v>91100</v>
      </c>
      <c r="J42" s="66">
        <f t="shared" si="8"/>
        <v>5</v>
      </c>
      <c r="K42" s="66">
        <f t="shared" si="9"/>
        <v>5000</v>
      </c>
      <c r="L42" s="66" t="str">
        <f>IF(M42="","",VLOOKUP(M42,引用表合并!$A:$B,2,FALSE))</f>
        <v>马仔经验药水</v>
      </c>
      <c r="M42" s="66">
        <f t="shared" si="23"/>
        <v>91100</v>
      </c>
      <c r="N42" s="66">
        <f t="shared" si="10"/>
        <v>5</v>
      </c>
      <c r="O42" s="66">
        <f t="shared" si="11"/>
        <v>7500</v>
      </c>
      <c r="P42" s="66" t="str">
        <f>IF(Q42="","",VLOOKUP(Q42,引用表合并!$A:$B,2,FALSE))</f>
        <v>马仔经验药水</v>
      </c>
      <c r="Q42" s="66">
        <f t="shared" si="19"/>
        <v>91100</v>
      </c>
      <c r="R42" s="66">
        <f t="shared" si="12"/>
        <v>6</v>
      </c>
      <c r="S42" s="66">
        <f t="shared" si="13"/>
        <v>10000</v>
      </c>
      <c r="BM42" s="66">
        <f t="shared" si="22"/>
        <v>5</v>
      </c>
      <c r="BN42" s="31">
        <v>100</v>
      </c>
      <c r="BO42" s="66">
        <v>4</v>
      </c>
      <c r="BP42" s="31">
        <v>100</v>
      </c>
      <c r="BQ42" s="31">
        <v>5</v>
      </c>
      <c r="BR42" s="31">
        <v>100</v>
      </c>
      <c r="BS42" s="31">
        <v>5</v>
      </c>
      <c r="BT42" s="31">
        <v>100</v>
      </c>
      <c r="BU42" s="31">
        <v>6</v>
      </c>
      <c r="BV42" s="66">
        <f t="shared" si="14"/>
        <v>500</v>
      </c>
    </row>
    <row r="43" spans="1:75" x14ac:dyDescent="0.15">
      <c r="A43" s="66">
        <f t="shared" si="17"/>
        <v>100312</v>
      </c>
      <c r="B43" s="66" t="s">
        <v>902</v>
      </c>
      <c r="C43" s="67">
        <f t="shared" si="16"/>
        <v>8</v>
      </c>
      <c r="D43" s="66" t="str">
        <f>IF(E43="","",VLOOKUP(E43,引用表合并!$A:$B,2,FALSE))</f>
        <v>马仔经验合剂</v>
      </c>
      <c r="E43" s="66">
        <f t="shared" si="1"/>
        <v>91200</v>
      </c>
      <c r="F43" s="66">
        <f t="shared" si="21"/>
        <v>3</v>
      </c>
      <c r="G43" s="66">
        <f t="shared" si="7"/>
        <v>1500</v>
      </c>
      <c r="H43" s="66" t="str">
        <f>IF(I43="","",VLOOKUP(I43,引用表合并!$A:$B,2,FALSE))</f>
        <v>马仔经验合剂</v>
      </c>
      <c r="I43" s="66">
        <f t="shared" si="20"/>
        <v>91200</v>
      </c>
      <c r="J43" s="66">
        <f t="shared" si="8"/>
        <v>4</v>
      </c>
      <c r="K43" s="66">
        <f t="shared" si="9"/>
        <v>3000</v>
      </c>
      <c r="L43" s="66" t="str">
        <f>IF(M43="","",VLOOKUP(M43,引用表合并!$A:$B,2,FALSE))</f>
        <v>马仔经验合剂</v>
      </c>
      <c r="M43" s="66">
        <f t="shared" si="23"/>
        <v>91200</v>
      </c>
      <c r="N43" s="66">
        <f t="shared" si="10"/>
        <v>4</v>
      </c>
      <c r="O43" s="66">
        <f t="shared" si="11"/>
        <v>4500</v>
      </c>
      <c r="P43" s="66" t="str">
        <f>IF(Q43="","",VLOOKUP(Q43,引用表合并!$A:$B,2,FALSE))</f>
        <v>马仔经验合剂</v>
      </c>
      <c r="Q43" s="66">
        <f t="shared" si="19"/>
        <v>91200</v>
      </c>
      <c r="R43" s="66">
        <f t="shared" si="12"/>
        <v>4</v>
      </c>
      <c r="S43" s="66">
        <f t="shared" si="13"/>
        <v>6000</v>
      </c>
      <c r="T43" s="31" t="str">
        <f>IF(U43="","",VLOOKUP(U43,引用表合并!$A:$B,2,FALSE))</f>
        <v>马仔碎片(赌王)</v>
      </c>
      <c r="U43" s="31">
        <v>78111</v>
      </c>
      <c r="V43" s="66">
        <v>1</v>
      </c>
      <c r="W43" s="66">
        <v>7000</v>
      </c>
      <c r="X43" s="31" t="str">
        <f>IF(Y43="","",VLOOKUP(Y43,引用表合并!$A:$B,2,FALSE))</f>
        <v>马仔碎片(山下忠秀)</v>
      </c>
      <c r="Y43" s="31">
        <v>78112</v>
      </c>
      <c r="Z43" s="31">
        <v>1</v>
      </c>
      <c r="AA43" s="31">
        <v>8000</v>
      </c>
      <c r="AB43" s="31" t="str">
        <f>IF(AC43="","",VLOOKUP(AC43,引用表合并!$A:$B,2,FALSE))</f>
        <v>马仔碎片(宫本一)</v>
      </c>
      <c r="AC43" s="66">
        <v>78113</v>
      </c>
      <c r="AD43" s="31">
        <v>1</v>
      </c>
      <c r="AE43" s="31">
        <v>9000</v>
      </c>
      <c r="AF43" s="31" t="str">
        <f>IF(AG43="","",VLOOKUP(AG43,引用表合并!$A:$B,2,FALSE))</f>
        <v>马仔碎片(笑面虎)</v>
      </c>
      <c r="AG43" s="66">
        <v>78119</v>
      </c>
      <c r="AH43" s="31">
        <v>1</v>
      </c>
      <c r="AI43" s="31">
        <v>10000</v>
      </c>
      <c r="BM43" s="66">
        <f t="shared" si="22"/>
        <v>3.75</v>
      </c>
      <c r="BN43" s="31">
        <v>500</v>
      </c>
      <c r="BO43" s="66">
        <v>3</v>
      </c>
      <c r="BP43" s="31">
        <v>500</v>
      </c>
      <c r="BQ43" s="31">
        <v>4</v>
      </c>
      <c r="BR43" s="31">
        <v>500</v>
      </c>
      <c r="BS43" s="31">
        <v>4</v>
      </c>
      <c r="BT43" s="31">
        <v>500</v>
      </c>
      <c r="BU43" s="31">
        <v>4</v>
      </c>
      <c r="BV43" s="66">
        <f t="shared" si="14"/>
        <v>1875</v>
      </c>
    </row>
    <row r="44" spans="1:75" x14ac:dyDescent="0.15">
      <c r="A44" s="66">
        <f t="shared" si="17"/>
        <v>100313</v>
      </c>
      <c r="B44" s="66" t="s">
        <v>903</v>
      </c>
      <c r="C44" s="67">
        <f t="shared" si="16"/>
        <v>4</v>
      </c>
      <c r="D44" s="66" t="str">
        <f>IF(E44="","",VLOOKUP(E44,引用表合并!$A:$B,2,FALSE))</f>
        <v>马仔经验药水</v>
      </c>
      <c r="E44" s="66">
        <f t="shared" si="1"/>
        <v>91100</v>
      </c>
      <c r="F44" s="66">
        <f t="shared" si="21"/>
        <v>5</v>
      </c>
      <c r="G44" s="66">
        <f t="shared" si="7"/>
        <v>2500</v>
      </c>
      <c r="H44" s="66" t="str">
        <f>IF(I44="","",VLOOKUP(I44,引用表合并!$A:$B,2,FALSE))</f>
        <v>马仔经验药水</v>
      </c>
      <c r="I44" s="66">
        <f t="shared" si="20"/>
        <v>91100</v>
      </c>
      <c r="J44" s="66">
        <f t="shared" si="8"/>
        <v>5</v>
      </c>
      <c r="K44" s="66">
        <f t="shared" si="9"/>
        <v>5000</v>
      </c>
      <c r="L44" s="66" t="str">
        <f>IF(M44="","",VLOOKUP(M44,引用表合并!$A:$B,2,FALSE))</f>
        <v>马仔经验药水</v>
      </c>
      <c r="M44" s="66">
        <f t="shared" si="23"/>
        <v>91100</v>
      </c>
      <c r="N44" s="66">
        <f t="shared" si="10"/>
        <v>6</v>
      </c>
      <c r="O44" s="66">
        <f t="shared" si="11"/>
        <v>7500</v>
      </c>
      <c r="P44" s="66" t="str">
        <f>IF(Q44="","",VLOOKUP(Q44,引用表合并!$A:$B,2,FALSE))</f>
        <v>马仔经验药水</v>
      </c>
      <c r="Q44" s="66">
        <f t="shared" si="19"/>
        <v>91100</v>
      </c>
      <c r="R44" s="66">
        <f t="shared" si="12"/>
        <v>6</v>
      </c>
      <c r="S44" s="66">
        <f t="shared" si="13"/>
        <v>10000</v>
      </c>
      <c r="BM44" s="66">
        <f t="shared" si="22"/>
        <v>5.5</v>
      </c>
      <c r="BN44" s="31">
        <v>100</v>
      </c>
      <c r="BO44" s="66">
        <v>5</v>
      </c>
      <c r="BP44" s="31">
        <v>100</v>
      </c>
      <c r="BQ44" s="31">
        <v>5</v>
      </c>
      <c r="BR44" s="31">
        <v>100</v>
      </c>
      <c r="BS44" s="31">
        <v>6</v>
      </c>
      <c r="BT44" s="31">
        <v>100</v>
      </c>
      <c r="BU44" s="31">
        <v>6</v>
      </c>
      <c r="BV44" s="66">
        <f t="shared" si="14"/>
        <v>550</v>
      </c>
    </row>
    <row r="45" spans="1:75" x14ac:dyDescent="0.15">
      <c r="A45" s="66">
        <f t="shared" si="17"/>
        <v>100314</v>
      </c>
      <c r="B45" s="66" t="s">
        <v>904</v>
      </c>
      <c r="C45" s="67">
        <f t="shared" si="16"/>
        <v>4</v>
      </c>
      <c r="D45" s="66" t="str">
        <f>IF(E45="","",VLOOKUP(E45,引用表合并!$A:$B,2,FALSE))</f>
        <v>马仔经验药水</v>
      </c>
      <c r="E45" s="66">
        <f t="shared" si="1"/>
        <v>91100</v>
      </c>
      <c r="F45" s="66">
        <f t="shared" si="21"/>
        <v>5</v>
      </c>
      <c r="G45" s="66">
        <f t="shared" si="7"/>
        <v>2500</v>
      </c>
      <c r="H45" s="66" t="str">
        <f>IF(I45="","",VLOOKUP(I45,引用表合并!$A:$B,2,FALSE))</f>
        <v>马仔经验药水</v>
      </c>
      <c r="I45" s="66">
        <f t="shared" si="20"/>
        <v>91100</v>
      </c>
      <c r="J45" s="66">
        <f t="shared" si="8"/>
        <v>6</v>
      </c>
      <c r="K45" s="66">
        <f t="shared" si="9"/>
        <v>5000</v>
      </c>
      <c r="L45" s="66" t="str">
        <f>IF(M45="","",VLOOKUP(M45,引用表合并!$A:$B,2,FALSE))</f>
        <v>马仔经验药水</v>
      </c>
      <c r="M45" s="66">
        <f t="shared" si="23"/>
        <v>91100</v>
      </c>
      <c r="N45" s="66">
        <f t="shared" si="10"/>
        <v>6</v>
      </c>
      <c r="O45" s="66">
        <f t="shared" si="11"/>
        <v>7500</v>
      </c>
      <c r="P45" s="66" t="str">
        <f>IF(Q45="","",VLOOKUP(Q45,引用表合并!$A:$B,2,FALSE))</f>
        <v>马仔经验药水</v>
      </c>
      <c r="Q45" s="66">
        <f t="shared" si="19"/>
        <v>91100</v>
      </c>
      <c r="R45" s="66">
        <f t="shared" si="12"/>
        <v>7</v>
      </c>
      <c r="S45" s="66">
        <f t="shared" si="13"/>
        <v>10000</v>
      </c>
      <c r="BM45" s="66">
        <f t="shared" si="22"/>
        <v>6</v>
      </c>
      <c r="BN45" s="31">
        <v>100</v>
      </c>
      <c r="BO45" s="66">
        <v>5</v>
      </c>
      <c r="BP45" s="31">
        <v>100</v>
      </c>
      <c r="BQ45" s="31">
        <v>6</v>
      </c>
      <c r="BR45" s="31">
        <v>100</v>
      </c>
      <c r="BS45" s="31">
        <v>6</v>
      </c>
      <c r="BT45" s="31">
        <v>100</v>
      </c>
      <c r="BU45" s="31">
        <v>7</v>
      </c>
      <c r="BV45" s="66">
        <f t="shared" si="14"/>
        <v>600</v>
      </c>
    </row>
    <row r="46" spans="1:75" x14ac:dyDescent="0.15">
      <c r="A46" s="66">
        <f t="shared" si="17"/>
        <v>100315</v>
      </c>
      <c r="B46" s="66" t="s">
        <v>905</v>
      </c>
      <c r="C46" s="67">
        <f t="shared" si="16"/>
        <v>9</v>
      </c>
      <c r="D46" s="66" t="str">
        <f>IF(E46="","",VLOOKUP(E46,引用表合并!$A:$B,2,FALSE))</f>
        <v>马仔经验甘露</v>
      </c>
      <c r="E46" s="66">
        <f t="shared" si="1"/>
        <v>91300</v>
      </c>
      <c r="F46" s="66">
        <f t="shared" si="21"/>
        <v>1</v>
      </c>
      <c r="G46" s="66">
        <f t="shared" si="7"/>
        <v>500</v>
      </c>
      <c r="H46" s="66" t="str">
        <f>IF(I46="","",VLOOKUP(I46,引用表合并!$A:$B,2,FALSE))</f>
        <v>马仔经验甘露</v>
      </c>
      <c r="I46" s="66">
        <f t="shared" si="20"/>
        <v>91300</v>
      </c>
      <c r="J46" s="66">
        <f t="shared" si="8"/>
        <v>1</v>
      </c>
      <c r="K46" s="66">
        <f t="shared" si="9"/>
        <v>1000</v>
      </c>
      <c r="L46" s="66" t="str">
        <f>IF(M46="","",VLOOKUP(M46,引用表合并!$A:$B,2,FALSE))</f>
        <v>马仔经验甘露</v>
      </c>
      <c r="M46" s="66">
        <f t="shared" si="23"/>
        <v>91300</v>
      </c>
      <c r="N46" s="66">
        <f t="shared" si="10"/>
        <v>1</v>
      </c>
      <c r="O46" s="66">
        <f t="shared" si="11"/>
        <v>1500</v>
      </c>
      <c r="P46" s="66" t="str">
        <f>IF(Q46="","",VLOOKUP(Q46,引用表合并!$A:$B,2,FALSE))</f>
        <v>马仔经验甘露</v>
      </c>
      <c r="Q46" s="66">
        <f t="shared" si="19"/>
        <v>91300</v>
      </c>
      <c r="R46" s="66">
        <f t="shared" si="12"/>
        <v>2</v>
      </c>
      <c r="S46" s="66">
        <f t="shared" si="13"/>
        <v>2000</v>
      </c>
      <c r="T46" s="31" t="str">
        <f>IF(U46="","",VLOOKUP(U46,引用表合并!$A:$B,2,FALSE))</f>
        <v>猛龙过江(3天)</v>
      </c>
      <c r="U46" s="31">
        <v>83108</v>
      </c>
      <c r="V46" s="31">
        <v>1</v>
      </c>
      <c r="W46" s="31">
        <v>4000</v>
      </c>
      <c r="X46" s="31" t="str">
        <f>IF(Y46="","",VLOOKUP(Y46,引用表合并!$A:$B,2,FALSE))</f>
        <v>马仔碎片(山下忠秀)</v>
      </c>
      <c r="Y46" s="31">
        <v>78112</v>
      </c>
      <c r="Z46" s="31">
        <v>2</v>
      </c>
      <c r="AA46" s="31">
        <v>5500</v>
      </c>
      <c r="AB46" s="31" t="str">
        <f>IF(AC46="","",VLOOKUP(AC46,引用表合并!$A:$B,2,FALSE))</f>
        <v>马仔碎片(山下忠秀)</v>
      </c>
      <c r="AC46" s="66">
        <v>78112</v>
      </c>
      <c r="AD46" s="31">
        <v>2</v>
      </c>
      <c r="AE46" s="31">
        <v>7000</v>
      </c>
      <c r="AF46" s="31" t="str">
        <f>IF(AG46="","",VLOOKUP(AG46,引用表合并!$A:$B,2,FALSE))</f>
        <v>马仔碎片(宫本一)</v>
      </c>
      <c r="AG46" s="66">
        <v>78113</v>
      </c>
      <c r="AH46" s="31">
        <v>2</v>
      </c>
      <c r="AI46" s="31">
        <v>8500</v>
      </c>
      <c r="AJ46" s="31" t="str">
        <f>IF(AK46="","",VLOOKUP(AK46,引用表合并!$A:$B,2,FALSE))</f>
        <v>马仔碎片(笑面虎)</v>
      </c>
      <c r="AK46" s="31">
        <v>78119</v>
      </c>
      <c r="AL46" s="31">
        <v>2</v>
      </c>
      <c r="AM46" s="31">
        <v>10000</v>
      </c>
      <c r="AN46" s="66" t="str">
        <f>IF(AO46="","",VLOOKUP(AO46,引用表合并!$A:$B,2,FALSE))</f>
        <v/>
      </c>
      <c r="AR46" s="66" t="str">
        <f>IF(AS46="","",VLOOKUP(AS46,引用表合并!$A:$B,2,FALSE))</f>
        <v/>
      </c>
      <c r="AV46" s="66" t="str">
        <f>IF(AW46="","",VLOOKUP(AW46,引用表合并!$A:$B,2,FALSE))</f>
        <v/>
      </c>
      <c r="AZ46" s="66" t="str">
        <f>IF(BA46="","",VLOOKUP(BA46,引用表合并!$A:$B,2,FALSE))</f>
        <v/>
      </c>
      <c r="BM46" s="66">
        <f t="shared" si="22"/>
        <v>1.25</v>
      </c>
      <c r="BN46" s="31">
        <v>2500</v>
      </c>
      <c r="BO46" s="66">
        <v>1</v>
      </c>
      <c r="BP46" s="31">
        <v>2500</v>
      </c>
      <c r="BQ46" s="31">
        <v>1</v>
      </c>
      <c r="BR46" s="31">
        <v>2500</v>
      </c>
      <c r="BS46" s="31">
        <v>1</v>
      </c>
      <c r="BT46" s="31">
        <v>2500</v>
      </c>
      <c r="BU46" s="31">
        <v>2</v>
      </c>
      <c r="BV46" s="66">
        <f t="shared" si="14"/>
        <v>3125</v>
      </c>
      <c r="BW46" s="66">
        <f>SUM(BV32:BV46)</f>
        <v>12125</v>
      </c>
    </row>
    <row r="47" spans="1:75" x14ac:dyDescent="0.15">
      <c r="A47" s="66">
        <f t="shared" si="17"/>
        <v>100401</v>
      </c>
      <c r="B47" s="66" t="s">
        <v>165</v>
      </c>
      <c r="C47" s="67">
        <f t="shared" si="16"/>
        <v>4</v>
      </c>
      <c r="D47" s="66" t="str">
        <f>IF(E47="","",VLOOKUP(E47,引用表合并!$A:$B,2,FALSE))</f>
        <v>马仔经验药水</v>
      </c>
      <c r="E47" s="66">
        <f t="shared" si="1"/>
        <v>91100</v>
      </c>
      <c r="F47" s="66">
        <f t="shared" si="21"/>
        <v>1</v>
      </c>
      <c r="G47" s="66">
        <f t="shared" si="7"/>
        <v>2500</v>
      </c>
      <c r="H47" s="66" t="str">
        <f>IF(I47="","",VLOOKUP(I47,引用表合并!$A:$B,2,FALSE))</f>
        <v>马仔经验药水</v>
      </c>
      <c r="I47" s="66">
        <f t="shared" si="20"/>
        <v>91100</v>
      </c>
      <c r="J47" s="66">
        <f t="shared" si="8"/>
        <v>1</v>
      </c>
      <c r="K47" s="66">
        <f t="shared" si="9"/>
        <v>5000</v>
      </c>
      <c r="L47" s="66" t="str">
        <f>IF(M47="","",VLOOKUP(M47,引用表合并!$A:$B,2,FALSE))</f>
        <v>马仔经验药水</v>
      </c>
      <c r="M47" s="66">
        <f t="shared" si="23"/>
        <v>91100</v>
      </c>
      <c r="N47" s="66">
        <f t="shared" si="10"/>
        <v>2</v>
      </c>
      <c r="O47" s="66">
        <f t="shared" si="11"/>
        <v>7500</v>
      </c>
      <c r="P47" s="66" t="str">
        <f>IF(Q47="","",VLOOKUP(Q47,引用表合并!$A:$B,2,FALSE))</f>
        <v>马仔经验药水</v>
      </c>
      <c r="Q47" s="66">
        <f t="shared" si="19"/>
        <v>91100</v>
      </c>
      <c r="R47" s="66">
        <f t="shared" si="12"/>
        <v>2</v>
      </c>
      <c r="S47" s="66">
        <f t="shared" si="13"/>
        <v>10000</v>
      </c>
      <c r="T47" s="66" t="str">
        <f>IF(U47="","",VLOOKUP(U47,引用表合并!$A:$B,2,FALSE))</f>
        <v/>
      </c>
      <c r="U47" s="69"/>
      <c r="W47" s="31"/>
      <c r="X47" s="66" t="str">
        <f>IF(Y47="","",VLOOKUP(Y47,引用表合并!$A:$B,2,FALSE))</f>
        <v/>
      </c>
      <c r="AA47" s="31"/>
      <c r="AB47" s="66" t="str">
        <f>IF(AC47="","",VLOOKUP(AC47,引用表合并!$A:$B,2,FALSE))</f>
        <v/>
      </c>
      <c r="AC47" s="68"/>
      <c r="AE47" s="31"/>
      <c r="AF47" s="66" t="str">
        <f>IF(AG47="","",VLOOKUP(AG47,引用表合并!$A:$B,2,FALSE))</f>
        <v/>
      </c>
      <c r="AI47" s="31"/>
      <c r="AJ47" s="66" t="str">
        <f>IF(AK47="","",VLOOKUP(AK47,引用表合并!$A:$B,2,FALSE))</f>
        <v/>
      </c>
      <c r="AM47" s="31"/>
      <c r="BM47" s="66">
        <f t="shared" si="22"/>
        <v>1.5</v>
      </c>
      <c r="BN47" s="31">
        <v>100</v>
      </c>
      <c r="BO47" s="66">
        <v>1</v>
      </c>
      <c r="BP47" s="31">
        <v>100</v>
      </c>
      <c r="BQ47" s="31">
        <v>1</v>
      </c>
      <c r="BR47" s="31">
        <v>100</v>
      </c>
      <c r="BS47" s="31">
        <v>2</v>
      </c>
      <c r="BT47" s="31">
        <v>100</v>
      </c>
      <c r="BU47" s="31">
        <v>2</v>
      </c>
      <c r="BV47" s="66">
        <f t="shared" si="14"/>
        <v>150</v>
      </c>
    </row>
    <row r="48" spans="1:75" x14ac:dyDescent="0.15">
      <c r="A48" s="66">
        <f t="shared" si="17"/>
        <v>100402</v>
      </c>
      <c r="B48" s="66" t="s">
        <v>166</v>
      </c>
      <c r="C48" s="67">
        <f t="shared" si="16"/>
        <v>4</v>
      </c>
      <c r="D48" s="66" t="str">
        <f>IF(E48="","",VLOOKUP(E48,引用表合并!$A:$B,2,FALSE))</f>
        <v>马仔经验药水</v>
      </c>
      <c r="E48" s="66">
        <f t="shared" si="1"/>
        <v>91100</v>
      </c>
      <c r="F48" s="66">
        <f t="shared" si="21"/>
        <v>1</v>
      </c>
      <c r="G48" s="66">
        <f t="shared" si="7"/>
        <v>2500</v>
      </c>
      <c r="H48" s="66" t="str">
        <f>IF(I48="","",VLOOKUP(I48,引用表合并!$A:$B,2,FALSE))</f>
        <v>马仔经验药水</v>
      </c>
      <c r="I48" s="66">
        <f t="shared" si="20"/>
        <v>91100</v>
      </c>
      <c r="J48" s="66">
        <f t="shared" si="8"/>
        <v>2</v>
      </c>
      <c r="K48" s="66">
        <f t="shared" si="9"/>
        <v>5000</v>
      </c>
      <c r="L48" s="66" t="str">
        <f>IF(M48="","",VLOOKUP(M48,引用表合并!$A:$B,2,FALSE))</f>
        <v>马仔经验药水</v>
      </c>
      <c r="M48" s="66">
        <f t="shared" si="23"/>
        <v>91100</v>
      </c>
      <c r="N48" s="66">
        <f t="shared" si="10"/>
        <v>2</v>
      </c>
      <c r="O48" s="66">
        <f t="shared" si="11"/>
        <v>7500</v>
      </c>
      <c r="P48" s="66" t="str">
        <f>IF(Q48="","",VLOOKUP(Q48,引用表合并!$A:$B,2,FALSE))</f>
        <v>马仔经验药水</v>
      </c>
      <c r="Q48" s="66">
        <f t="shared" si="19"/>
        <v>91100</v>
      </c>
      <c r="R48" s="66">
        <f t="shared" si="12"/>
        <v>3</v>
      </c>
      <c r="S48" s="66">
        <f t="shared" si="13"/>
        <v>10000</v>
      </c>
      <c r="BM48" s="66">
        <f t="shared" si="22"/>
        <v>2</v>
      </c>
      <c r="BN48" s="31">
        <v>100</v>
      </c>
      <c r="BO48" s="66">
        <v>1</v>
      </c>
      <c r="BP48" s="31">
        <v>100</v>
      </c>
      <c r="BQ48" s="31">
        <v>2</v>
      </c>
      <c r="BR48" s="31">
        <v>100</v>
      </c>
      <c r="BS48" s="31">
        <v>2</v>
      </c>
      <c r="BT48" s="31">
        <v>100</v>
      </c>
      <c r="BU48" s="31">
        <v>3</v>
      </c>
      <c r="BV48" s="66">
        <f t="shared" si="14"/>
        <v>200</v>
      </c>
    </row>
    <row r="49" spans="1:75" x14ac:dyDescent="0.15">
      <c r="A49" s="66">
        <f t="shared" si="17"/>
        <v>100403</v>
      </c>
      <c r="B49" s="66" t="s">
        <v>167</v>
      </c>
      <c r="C49" s="67">
        <f t="shared" si="16"/>
        <v>8</v>
      </c>
      <c r="D49" s="66" t="str">
        <f>IF(E49="","",VLOOKUP(E49,引用表合并!$A:$B,2,FALSE))</f>
        <v>马仔经验合剂</v>
      </c>
      <c r="E49" s="66">
        <f t="shared" si="1"/>
        <v>91200</v>
      </c>
      <c r="F49" s="66">
        <f t="shared" si="21"/>
        <v>1</v>
      </c>
      <c r="G49" s="66">
        <f t="shared" si="7"/>
        <v>1500</v>
      </c>
      <c r="H49" s="66" t="str">
        <f>IF(I49="","",VLOOKUP(I49,引用表合并!$A:$B,2,FALSE))</f>
        <v>马仔经验合剂</v>
      </c>
      <c r="I49" s="66">
        <f t="shared" si="20"/>
        <v>91200</v>
      </c>
      <c r="J49" s="66">
        <f t="shared" si="8"/>
        <v>2</v>
      </c>
      <c r="K49" s="66">
        <f t="shared" si="9"/>
        <v>3000</v>
      </c>
      <c r="L49" s="66" t="str">
        <f>IF(M49="","",VLOOKUP(M49,引用表合并!$A:$B,2,FALSE))</f>
        <v>马仔经验合剂</v>
      </c>
      <c r="M49" s="66">
        <f t="shared" si="23"/>
        <v>91200</v>
      </c>
      <c r="N49" s="66">
        <f t="shared" si="10"/>
        <v>2</v>
      </c>
      <c r="O49" s="66">
        <f t="shared" si="11"/>
        <v>4500</v>
      </c>
      <c r="P49" s="66" t="str">
        <f>IF(Q49="","",VLOOKUP(Q49,引用表合并!$A:$B,2,FALSE))</f>
        <v>马仔经验合剂</v>
      </c>
      <c r="Q49" s="66">
        <f t="shared" si="19"/>
        <v>91200</v>
      </c>
      <c r="R49" s="66">
        <f t="shared" si="12"/>
        <v>2</v>
      </c>
      <c r="S49" s="66">
        <f t="shared" si="13"/>
        <v>6000</v>
      </c>
      <c r="T49" s="31" t="str">
        <f>IF(U49="","",VLOOKUP(U49,引用表合并!$A:$B,2,FALSE))</f>
        <v>马仔碎片(靓坤)</v>
      </c>
      <c r="U49" s="31">
        <v>78106</v>
      </c>
      <c r="V49" s="66">
        <v>1</v>
      </c>
      <c r="W49" s="66">
        <v>7000</v>
      </c>
      <c r="X49" s="31" t="str">
        <f>IF(Y49="","",VLOOKUP(Y49,引用表合并!$A:$B,2,FALSE))</f>
        <v>马仔碎片(雷复轰)</v>
      </c>
      <c r="Y49" s="66">
        <v>78107</v>
      </c>
      <c r="Z49" s="31">
        <v>1</v>
      </c>
      <c r="AA49" s="31">
        <v>8000</v>
      </c>
      <c r="AB49" s="31" t="str">
        <f>IF(AC49="","",VLOOKUP(AC49,引用表合并!$A:$B,2,FALSE))</f>
        <v>马仔碎片(肥仔)</v>
      </c>
      <c r="AC49" s="66">
        <v>78108</v>
      </c>
      <c r="AD49" s="31">
        <v>1</v>
      </c>
      <c r="AE49" s="31">
        <v>9000</v>
      </c>
      <c r="AF49" s="31" t="str">
        <f>IF(AG49="","",VLOOKUP(AG49,引用表合并!$A:$B,2,FALSE))</f>
        <v>马仔碎片(巴闭)</v>
      </c>
      <c r="AG49" s="66">
        <v>78117</v>
      </c>
      <c r="AH49" s="31">
        <v>1</v>
      </c>
      <c r="AI49" s="31">
        <v>10000</v>
      </c>
      <c r="BM49" s="66">
        <f t="shared" si="22"/>
        <v>1.75</v>
      </c>
      <c r="BN49" s="31">
        <v>500</v>
      </c>
      <c r="BO49" s="66">
        <v>1</v>
      </c>
      <c r="BP49" s="31">
        <v>500</v>
      </c>
      <c r="BQ49" s="31">
        <v>2</v>
      </c>
      <c r="BR49" s="31">
        <v>500</v>
      </c>
      <c r="BS49" s="31">
        <v>2</v>
      </c>
      <c r="BT49" s="31">
        <v>500</v>
      </c>
      <c r="BU49" s="31">
        <v>2</v>
      </c>
      <c r="BV49" s="66">
        <f t="shared" si="14"/>
        <v>875</v>
      </c>
    </row>
    <row r="50" spans="1:75" x14ac:dyDescent="0.15">
      <c r="A50" s="66">
        <f t="shared" si="17"/>
        <v>100404</v>
      </c>
      <c r="B50" s="66" t="s">
        <v>168</v>
      </c>
      <c r="C50" s="67">
        <f t="shared" si="16"/>
        <v>4</v>
      </c>
      <c r="D50" s="66" t="str">
        <f>IF(E50="","",VLOOKUP(E50,引用表合并!$A:$B,2,FALSE))</f>
        <v>马仔经验药水</v>
      </c>
      <c r="E50" s="66">
        <f t="shared" si="1"/>
        <v>91100</v>
      </c>
      <c r="F50" s="66">
        <f t="shared" si="21"/>
        <v>2</v>
      </c>
      <c r="G50" s="66">
        <f t="shared" si="7"/>
        <v>2500</v>
      </c>
      <c r="H50" s="66" t="str">
        <f>IF(I50="","",VLOOKUP(I50,引用表合并!$A:$B,2,FALSE))</f>
        <v>马仔经验药水</v>
      </c>
      <c r="I50" s="66">
        <f t="shared" si="20"/>
        <v>91100</v>
      </c>
      <c r="J50" s="66">
        <f t="shared" si="8"/>
        <v>2</v>
      </c>
      <c r="K50" s="66">
        <f t="shared" si="9"/>
        <v>5000</v>
      </c>
      <c r="L50" s="66" t="str">
        <f>IF(M50="","",VLOOKUP(M50,引用表合并!$A:$B,2,FALSE))</f>
        <v>马仔经验药水</v>
      </c>
      <c r="M50" s="66">
        <f t="shared" si="23"/>
        <v>91100</v>
      </c>
      <c r="N50" s="66">
        <f t="shared" si="10"/>
        <v>3</v>
      </c>
      <c r="O50" s="66">
        <f t="shared" si="11"/>
        <v>7500</v>
      </c>
      <c r="P50" s="66" t="str">
        <f>IF(Q50="","",VLOOKUP(Q50,引用表合并!$A:$B,2,FALSE))</f>
        <v>马仔经验药水</v>
      </c>
      <c r="Q50" s="66">
        <f t="shared" si="19"/>
        <v>91100</v>
      </c>
      <c r="R50" s="66">
        <f t="shared" si="12"/>
        <v>3</v>
      </c>
      <c r="S50" s="66">
        <f t="shared" si="13"/>
        <v>10000</v>
      </c>
      <c r="BM50" s="66">
        <f t="shared" si="22"/>
        <v>2.5</v>
      </c>
      <c r="BN50" s="31">
        <v>100</v>
      </c>
      <c r="BO50" s="66">
        <v>2</v>
      </c>
      <c r="BP50" s="31">
        <v>100</v>
      </c>
      <c r="BQ50" s="31">
        <v>2</v>
      </c>
      <c r="BR50" s="31">
        <v>100</v>
      </c>
      <c r="BS50" s="31">
        <v>3</v>
      </c>
      <c r="BT50" s="31">
        <v>100</v>
      </c>
      <c r="BU50" s="31">
        <v>3</v>
      </c>
      <c r="BV50" s="66">
        <f t="shared" si="14"/>
        <v>250</v>
      </c>
    </row>
    <row r="51" spans="1:75" x14ac:dyDescent="0.15">
      <c r="A51" s="66">
        <f t="shared" si="17"/>
        <v>100405</v>
      </c>
      <c r="B51" s="66" t="s">
        <v>169</v>
      </c>
      <c r="C51" s="67">
        <f t="shared" si="16"/>
        <v>4</v>
      </c>
      <c r="D51" s="66" t="str">
        <f>IF(E51="","",VLOOKUP(E51,引用表合并!$A:$B,2,FALSE))</f>
        <v>马仔经验药水</v>
      </c>
      <c r="E51" s="66">
        <f t="shared" si="1"/>
        <v>91100</v>
      </c>
      <c r="F51" s="66">
        <f t="shared" si="21"/>
        <v>2</v>
      </c>
      <c r="G51" s="66">
        <f t="shared" si="7"/>
        <v>2500</v>
      </c>
      <c r="H51" s="66" t="str">
        <f>IF(I51="","",VLOOKUP(I51,引用表合并!$A:$B,2,FALSE))</f>
        <v>马仔经验药水</v>
      </c>
      <c r="I51" s="66">
        <f t="shared" si="20"/>
        <v>91100</v>
      </c>
      <c r="J51" s="66">
        <f t="shared" si="8"/>
        <v>3</v>
      </c>
      <c r="K51" s="66">
        <f t="shared" si="9"/>
        <v>5000</v>
      </c>
      <c r="L51" s="66" t="str">
        <f>IF(M51="","",VLOOKUP(M51,引用表合并!$A:$B,2,FALSE))</f>
        <v>马仔经验药水</v>
      </c>
      <c r="M51" s="66">
        <f t="shared" si="23"/>
        <v>91100</v>
      </c>
      <c r="N51" s="66">
        <f t="shared" si="10"/>
        <v>3</v>
      </c>
      <c r="O51" s="66">
        <f t="shared" si="11"/>
        <v>7500</v>
      </c>
      <c r="P51" s="66" t="str">
        <f>IF(Q51="","",VLOOKUP(Q51,引用表合并!$A:$B,2,FALSE))</f>
        <v>马仔经验药水</v>
      </c>
      <c r="Q51" s="66">
        <f t="shared" si="19"/>
        <v>91100</v>
      </c>
      <c r="R51" s="66">
        <f t="shared" si="12"/>
        <v>4</v>
      </c>
      <c r="S51" s="66">
        <f t="shared" si="13"/>
        <v>10000</v>
      </c>
      <c r="BM51" s="66">
        <f t="shared" si="22"/>
        <v>3</v>
      </c>
      <c r="BN51" s="31">
        <v>100</v>
      </c>
      <c r="BO51" s="66">
        <v>2</v>
      </c>
      <c r="BP51" s="31">
        <v>100</v>
      </c>
      <c r="BQ51" s="31">
        <v>3</v>
      </c>
      <c r="BR51" s="31">
        <v>100</v>
      </c>
      <c r="BS51" s="31">
        <v>3</v>
      </c>
      <c r="BT51" s="31">
        <v>100</v>
      </c>
      <c r="BU51" s="31">
        <v>4</v>
      </c>
      <c r="BV51" s="66">
        <f t="shared" si="14"/>
        <v>300</v>
      </c>
    </row>
    <row r="52" spans="1:75" x14ac:dyDescent="0.15">
      <c r="A52" s="66">
        <f t="shared" si="17"/>
        <v>100406</v>
      </c>
      <c r="B52" s="66" t="s">
        <v>170</v>
      </c>
      <c r="C52" s="67">
        <f t="shared" si="16"/>
        <v>8</v>
      </c>
      <c r="D52" s="66" t="str">
        <f>IF(E52="","",VLOOKUP(E52,引用表合并!$A:$B,2,FALSE))</f>
        <v>马仔经验合剂</v>
      </c>
      <c r="E52" s="66">
        <f t="shared" si="1"/>
        <v>91200</v>
      </c>
      <c r="F52" s="66">
        <f t="shared" si="21"/>
        <v>2</v>
      </c>
      <c r="G52" s="66">
        <f t="shared" si="7"/>
        <v>1500</v>
      </c>
      <c r="H52" s="66" t="str">
        <f>IF(I52="","",VLOOKUP(I52,引用表合并!$A:$B,2,FALSE))</f>
        <v>马仔经验合剂</v>
      </c>
      <c r="I52" s="66">
        <f t="shared" si="20"/>
        <v>91200</v>
      </c>
      <c r="J52" s="66">
        <f t="shared" si="8"/>
        <v>2</v>
      </c>
      <c r="K52" s="66">
        <f t="shared" si="9"/>
        <v>3000</v>
      </c>
      <c r="L52" s="66" t="str">
        <f>IF(M52="","",VLOOKUP(M52,引用表合并!$A:$B,2,FALSE))</f>
        <v>马仔经验合剂</v>
      </c>
      <c r="M52" s="66">
        <f t="shared" si="23"/>
        <v>91200</v>
      </c>
      <c r="N52" s="66">
        <f t="shared" si="10"/>
        <v>2</v>
      </c>
      <c r="O52" s="66">
        <f t="shared" si="11"/>
        <v>4500</v>
      </c>
      <c r="P52" s="66" t="str">
        <f>IF(Q52="","",VLOOKUP(Q52,引用表合并!$A:$B,2,FALSE))</f>
        <v>马仔经验合剂</v>
      </c>
      <c r="Q52" s="66">
        <f t="shared" si="19"/>
        <v>91200</v>
      </c>
      <c r="R52" s="66">
        <f t="shared" si="12"/>
        <v>3</v>
      </c>
      <c r="S52" s="66">
        <f t="shared" si="13"/>
        <v>6000</v>
      </c>
      <c r="T52" s="31" t="str">
        <f>IF(U52="","",VLOOKUP(U52,引用表合并!$A:$B,2,FALSE))</f>
        <v>马仔碎片(靓坤)</v>
      </c>
      <c r="U52" s="31">
        <v>78106</v>
      </c>
      <c r="V52" s="66">
        <v>2</v>
      </c>
      <c r="W52" s="66">
        <v>7000</v>
      </c>
      <c r="X52" s="31" t="str">
        <f>IF(Y52="","",VLOOKUP(Y52,引用表合并!$A:$B,2,FALSE))</f>
        <v>马仔碎片(雷复轰)</v>
      </c>
      <c r="Y52" s="66">
        <v>78107</v>
      </c>
      <c r="Z52" s="31">
        <v>2</v>
      </c>
      <c r="AA52" s="31">
        <v>8000</v>
      </c>
      <c r="AB52" s="31" t="str">
        <f>IF(AC52="","",VLOOKUP(AC52,引用表合并!$A:$B,2,FALSE))</f>
        <v>马仔碎片(肥仔)</v>
      </c>
      <c r="AC52" s="66">
        <v>78108</v>
      </c>
      <c r="AD52" s="31">
        <v>2</v>
      </c>
      <c r="AE52" s="31">
        <v>9000</v>
      </c>
      <c r="AF52" s="31" t="str">
        <f>IF(AG52="","",VLOOKUP(AG52,引用表合并!$A:$B,2,FALSE))</f>
        <v>马仔碎片(巴闭)</v>
      </c>
      <c r="AG52" s="66">
        <v>78117</v>
      </c>
      <c r="AH52" s="31">
        <v>2</v>
      </c>
      <c r="AI52" s="31">
        <v>10000</v>
      </c>
      <c r="BM52" s="66">
        <f t="shared" si="22"/>
        <v>2.25</v>
      </c>
      <c r="BN52" s="31">
        <v>500</v>
      </c>
      <c r="BO52" s="66">
        <v>2</v>
      </c>
      <c r="BP52" s="31">
        <v>500</v>
      </c>
      <c r="BQ52" s="31">
        <v>2</v>
      </c>
      <c r="BR52" s="31">
        <v>500</v>
      </c>
      <c r="BS52" s="31">
        <v>2</v>
      </c>
      <c r="BT52" s="31">
        <v>500</v>
      </c>
      <c r="BU52" s="31">
        <v>3</v>
      </c>
      <c r="BV52" s="66">
        <f t="shared" si="14"/>
        <v>1125</v>
      </c>
    </row>
    <row r="53" spans="1:75" x14ac:dyDescent="0.15">
      <c r="A53" s="66">
        <f t="shared" si="17"/>
        <v>100407</v>
      </c>
      <c r="B53" s="66" t="s">
        <v>171</v>
      </c>
      <c r="C53" s="67">
        <f t="shared" si="16"/>
        <v>4</v>
      </c>
      <c r="D53" s="66" t="str">
        <f>IF(E53="","",VLOOKUP(E53,引用表合并!$A:$B,2,FALSE))</f>
        <v>马仔经验药水</v>
      </c>
      <c r="E53" s="66">
        <f t="shared" si="1"/>
        <v>91100</v>
      </c>
      <c r="F53" s="66">
        <f t="shared" si="21"/>
        <v>3</v>
      </c>
      <c r="G53" s="66">
        <f t="shared" si="7"/>
        <v>2500</v>
      </c>
      <c r="H53" s="66" t="str">
        <f>IF(I53="","",VLOOKUP(I53,引用表合并!$A:$B,2,FALSE))</f>
        <v>马仔经验药水</v>
      </c>
      <c r="I53" s="66">
        <f t="shared" si="20"/>
        <v>91100</v>
      </c>
      <c r="J53" s="66">
        <f t="shared" si="8"/>
        <v>3</v>
      </c>
      <c r="K53" s="66">
        <f t="shared" si="9"/>
        <v>5000</v>
      </c>
      <c r="L53" s="66" t="str">
        <f>IF(M53="","",VLOOKUP(M53,引用表合并!$A:$B,2,FALSE))</f>
        <v>马仔经验药水</v>
      </c>
      <c r="M53" s="66">
        <f t="shared" si="23"/>
        <v>91100</v>
      </c>
      <c r="N53" s="66">
        <f t="shared" si="10"/>
        <v>4</v>
      </c>
      <c r="O53" s="66">
        <f t="shared" si="11"/>
        <v>7500</v>
      </c>
      <c r="P53" s="66" t="str">
        <f>IF(Q53="","",VLOOKUP(Q53,引用表合并!$A:$B,2,FALSE))</f>
        <v>马仔经验药水</v>
      </c>
      <c r="Q53" s="66">
        <f t="shared" si="19"/>
        <v>91100</v>
      </c>
      <c r="R53" s="66">
        <f t="shared" si="12"/>
        <v>4</v>
      </c>
      <c r="S53" s="66">
        <f t="shared" si="13"/>
        <v>10000</v>
      </c>
      <c r="BM53" s="66">
        <f t="shared" si="22"/>
        <v>3.5</v>
      </c>
      <c r="BN53" s="31">
        <v>100</v>
      </c>
      <c r="BO53" s="66">
        <v>3</v>
      </c>
      <c r="BP53" s="31">
        <v>100</v>
      </c>
      <c r="BQ53" s="31">
        <v>3</v>
      </c>
      <c r="BR53" s="31">
        <v>100</v>
      </c>
      <c r="BS53" s="31">
        <v>4</v>
      </c>
      <c r="BT53" s="31">
        <v>100</v>
      </c>
      <c r="BU53" s="31">
        <v>4</v>
      </c>
      <c r="BV53" s="66">
        <f t="shared" si="14"/>
        <v>350</v>
      </c>
    </row>
    <row r="54" spans="1:75" x14ac:dyDescent="0.15">
      <c r="A54" s="66">
        <f t="shared" si="17"/>
        <v>100408</v>
      </c>
      <c r="B54" s="66" t="s">
        <v>172</v>
      </c>
      <c r="C54" s="67">
        <f t="shared" si="16"/>
        <v>4</v>
      </c>
      <c r="D54" s="66" t="str">
        <f>IF(E54="","",VLOOKUP(E54,引用表合并!$A:$B,2,FALSE))</f>
        <v>马仔经验药水</v>
      </c>
      <c r="E54" s="66">
        <f t="shared" si="1"/>
        <v>91100</v>
      </c>
      <c r="F54" s="66">
        <f t="shared" si="21"/>
        <v>3</v>
      </c>
      <c r="G54" s="66">
        <f t="shared" si="7"/>
        <v>2500</v>
      </c>
      <c r="H54" s="66" t="str">
        <f>IF(I54="","",VLOOKUP(I54,引用表合并!$A:$B,2,FALSE))</f>
        <v>马仔经验药水</v>
      </c>
      <c r="I54" s="66">
        <f t="shared" si="20"/>
        <v>91100</v>
      </c>
      <c r="J54" s="66">
        <f t="shared" si="8"/>
        <v>4</v>
      </c>
      <c r="K54" s="66">
        <f t="shared" si="9"/>
        <v>5000</v>
      </c>
      <c r="L54" s="66" t="str">
        <f>IF(M54="","",VLOOKUP(M54,引用表合并!$A:$B,2,FALSE))</f>
        <v>马仔经验药水</v>
      </c>
      <c r="M54" s="66">
        <f t="shared" si="23"/>
        <v>91100</v>
      </c>
      <c r="N54" s="66">
        <f t="shared" si="10"/>
        <v>4</v>
      </c>
      <c r="O54" s="66">
        <f t="shared" si="11"/>
        <v>7500</v>
      </c>
      <c r="P54" s="66" t="str">
        <f>IF(Q54="","",VLOOKUP(Q54,引用表合并!$A:$B,2,FALSE))</f>
        <v>马仔经验药水</v>
      </c>
      <c r="Q54" s="66">
        <f t="shared" si="19"/>
        <v>91100</v>
      </c>
      <c r="R54" s="66">
        <f t="shared" si="12"/>
        <v>5</v>
      </c>
      <c r="S54" s="66">
        <f t="shared" si="13"/>
        <v>10000</v>
      </c>
      <c r="BM54" s="66">
        <f t="shared" si="22"/>
        <v>4</v>
      </c>
      <c r="BN54" s="31">
        <v>100</v>
      </c>
      <c r="BO54" s="66">
        <v>3</v>
      </c>
      <c r="BP54" s="31">
        <v>100</v>
      </c>
      <c r="BQ54" s="31">
        <v>4</v>
      </c>
      <c r="BR54" s="31">
        <v>100</v>
      </c>
      <c r="BS54" s="31">
        <v>4</v>
      </c>
      <c r="BT54" s="31">
        <v>100</v>
      </c>
      <c r="BU54" s="31">
        <v>5</v>
      </c>
      <c r="BV54" s="66">
        <f t="shared" si="14"/>
        <v>400</v>
      </c>
    </row>
    <row r="55" spans="1:75" x14ac:dyDescent="0.15">
      <c r="A55" s="66">
        <f t="shared" si="17"/>
        <v>100409</v>
      </c>
      <c r="B55" s="66" t="s">
        <v>173</v>
      </c>
      <c r="C55" s="67">
        <f t="shared" si="16"/>
        <v>8</v>
      </c>
      <c r="D55" s="66" t="str">
        <f>IF(E55="","",VLOOKUP(E55,引用表合并!$A:$B,2,FALSE))</f>
        <v>马仔经验合剂</v>
      </c>
      <c r="E55" s="66">
        <f t="shared" si="1"/>
        <v>91200</v>
      </c>
      <c r="F55" s="66">
        <f t="shared" si="21"/>
        <v>2</v>
      </c>
      <c r="G55" s="66">
        <f t="shared" si="7"/>
        <v>1500</v>
      </c>
      <c r="H55" s="66" t="str">
        <f>IF(I55="","",VLOOKUP(I55,引用表合并!$A:$B,2,FALSE))</f>
        <v>马仔经验合剂</v>
      </c>
      <c r="I55" s="66">
        <f t="shared" si="20"/>
        <v>91200</v>
      </c>
      <c r="J55" s="66">
        <f t="shared" si="8"/>
        <v>3</v>
      </c>
      <c r="K55" s="66">
        <f t="shared" si="9"/>
        <v>3000</v>
      </c>
      <c r="L55" s="66" t="str">
        <f>IF(M55="","",VLOOKUP(M55,引用表合并!$A:$B,2,FALSE))</f>
        <v>马仔经验合剂</v>
      </c>
      <c r="M55" s="66">
        <f t="shared" si="23"/>
        <v>91200</v>
      </c>
      <c r="N55" s="66">
        <f t="shared" si="10"/>
        <v>3</v>
      </c>
      <c r="O55" s="66">
        <f t="shared" si="11"/>
        <v>4500</v>
      </c>
      <c r="P55" s="66" t="str">
        <f>IF(Q55="","",VLOOKUP(Q55,引用表合并!$A:$B,2,FALSE))</f>
        <v>马仔经验合剂</v>
      </c>
      <c r="Q55" s="66">
        <f t="shared" si="19"/>
        <v>91200</v>
      </c>
      <c r="R55" s="66">
        <f t="shared" si="12"/>
        <v>3</v>
      </c>
      <c r="S55" s="66">
        <f t="shared" si="13"/>
        <v>6000</v>
      </c>
      <c r="T55" s="31" t="str">
        <f>IF(U55="","",VLOOKUP(U55,引用表合并!$A:$B,2,FALSE))</f>
        <v>马仔碎片(靓坤)</v>
      </c>
      <c r="U55" s="31">
        <v>78106</v>
      </c>
      <c r="V55" s="66">
        <v>3</v>
      </c>
      <c r="W55" s="66">
        <v>7000</v>
      </c>
      <c r="X55" s="31" t="str">
        <f>IF(Y55="","",VLOOKUP(Y55,引用表合并!$A:$B,2,FALSE))</f>
        <v>马仔碎片(雷复轰)</v>
      </c>
      <c r="Y55" s="66">
        <v>78107</v>
      </c>
      <c r="Z55" s="31">
        <v>3</v>
      </c>
      <c r="AA55" s="31">
        <v>8000</v>
      </c>
      <c r="AB55" s="31" t="str">
        <f>IF(AC55="","",VLOOKUP(AC55,引用表合并!$A:$B,2,FALSE))</f>
        <v>马仔碎片(肥仔)</v>
      </c>
      <c r="AC55" s="66">
        <v>78108</v>
      </c>
      <c r="AD55" s="31">
        <v>3</v>
      </c>
      <c r="AE55" s="31">
        <v>9000</v>
      </c>
      <c r="AF55" s="31" t="str">
        <f>IF(AG55="","",VLOOKUP(AG55,引用表合并!$A:$B,2,FALSE))</f>
        <v>马仔碎片(巴闭)</v>
      </c>
      <c r="AG55" s="66">
        <v>78117</v>
      </c>
      <c r="AH55" s="31">
        <v>3</v>
      </c>
      <c r="AI55" s="31">
        <v>10000</v>
      </c>
      <c r="BM55" s="66">
        <f t="shared" si="22"/>
        <v>2.75</v>
      </c>
      <c r="BN55" s="31">
        <v>500</v>
      </c>
      <c r="BO55" s="66">
        <v>2</v>
      </c>
      <c r="BP55" s="31">
        <v>500</v>
      </c>
      <c r="BQ55" s="31">
        <v>3</v>
      </c>
      <c r="BR55" s="31">
        <v>500</v>
      </c>
      <c r="BS55" s="31">
        <v>3</v>
      </c>
      <c r="BT55" s="31">
        <v>500</v>
      </c>
      <c r="BU55" s="31">
        <v>3</v>
      </c>
      <c r="BV55" s="66">
        <f t="shared" si="14"/>
        <v>1375</v>
      </c>
    </row>
    <row r="56" spans="1:75" x14ac:dyDescent="0.15">
      <c r="A56" s="66">
        <f t="shared" si="17"/>
        <v>100410</v>
      </c>
      <c r="B56" s="66" t="s">
        <v>174</v>
      </c>
      <c r="C56" s="67">
        <f t="shared" si="16"/>
        <v>4</v>
      </c>
      <c r="D56" s="66" t="str">
        <f>IF(E56="","",VLOOKUP(E56,引用表合并!$A:$B,2,FALSE))</f>
        <v>马仔经验药水</v>
      </c>
      <c r="E56" s="66">
        <f t="shared" si="1"/>
        <v>91100</v>
      </c>
      <c r="F56" s="66">
        <f t="shared" si="21"/>
        <v>4</v>
      </c>
      <c r="G56" s="66">
        <f t="shared" si="7"/>
        <v>2500</v>
      </c>
      <c r="H56" s="66" t="str">
        <f>IF(I56="","",VLOOKUP(I56,引用表合并!$A:$B,2,FALSE))</f>
        <v>马仔经验药水</v>
      </c>
      <c r="I56" s="66">
        <f t="shared" si="20"/>
        <v>91100</v>
      </c>
      <c r="J56" s="66">
        <f t="shared" si="8"/>
        <v>4</v>
      </c>
      <c r="K56" s="66">
        <f t="shared" si="9"/>
        <v>5000</v>
      </c>
      <c r="L56" s="66" t="str">
        <f>IF(M56="","",VLOOKUP(M56,引用表合并!$A:$B,2,FALSE))</f>
        <v>马仔经验药水</v>
      </c>
      <c r="M56" s="66">
        <f t="shared" si="23"/>
        <v>91100</v>
      </c>
      <c r="N56" s="66">
        <f t="shared" si="10"/>
        <v>5</v>
      </c>
      <c r="O56" s="66">
        <f t="shared" si="11"/>
        <v>7500</v>
      </c>
      <c r="P56" s="66" t="str">
        <f>IF(Q56="","",VLOOKUP(Q56,引用表合并!$A:$B,2,FALSE))</f>
        <v>马仔经验药水</v>
      </c>
      <c r="Q56" s="66">
        <f t="shared" si="19"/>
        <v>91100</v>
      </c>
      <c r="R56" s="66">
        <f t="shared" si="12"/>
        <v>5</v>
      </c>
      <c r="S56" s="66">
        <f t="shared" si="13"/>
        <v>10000</v>
      </c>
      <c r="BM56" s="66">
        <f t="shared" si="22"/>
        <v>4.5</v>
      </c>
      <c r="BN56" s="31">
        <v>100</v>
      </c>
      <c r="BO56" s="66">
        <v>4</v>
      </c>
      <c r="BP56" s="31">
        <v>100</v>
      </c>
      <c r="BQ56" s="31">
        <v>4</v>
      </c>
      <c r="BR56" s="31">
        <v>100</v>
      </c>
      <c r="BS56" s="31">
        <v>5</v>
      </c>
      <c r="BT56" s="31">
        <v>100</v>
      </c>
      <c r="BU56" s="31">
        <v>5</v>
      </c>
      <c r="BV56" s="66">
        <f t="shared" si="14"/>
        <v>450</v>
      </c>
    </row>
    <row r="57" spans="1:75" x14ac:dyDescent="0.15">
      <c r="A57" s="66">
        <f t="shared" si="17"/>
        <v>100411</v>
      </c>
      <c r="B57" s="66" t="s">
        <v>175</v>
      </c>
      <c r="C57" s="67">
        <f t="shared" si="16"/>
        <v>4</v>
      </c>
      <c r="D57" s="66" t="str">
        <f>IF(E57="","",VLOOKUP(E57,引用表合并!$A:$B,2,FALSE))</f>
        <v>马仔经验药水</v>
      </c>
      <c r="E57" s="66">
        <f t="shared" si="1"/>
        <v>91100</v>
      </c>
      <c r="F57" s="66">
        <f t="shared" si="21"/>
        <v>4</v>
      </c>
      <c r="G57" s="66">
        <f t="shared" si="7"/>
        <v>2500</v>
      </c>
      <c r="H57" s="66" t="str">
        <f>IF(I57="","",VLOOKUP(I57,引用表合并!$A:$B,2,FALSE))</f>
        <v>马仔经验药水</v>
      </c>
      <c r="I57" s="66">
        <f t="shared" si="20"/>
        <v>91100</v>
      </c>
      <c r="J57" s="66">
        <f t="shared" si="8"/>
        <v>5</v>
      </c>
      <c r="K57" s="66">
        <f t="shared" si="9"/>
        <v>5000</v>
      </c>
      <c r="L57" s="66" t="str">
        <f>IF(M57="","",VLOOKUP(M57,引用表合并!$A:$B,2,FALSE))</f>
        <v>马仔经验药水</v>
      </c>
      <c r="M57" s="66">
        <f t="shared" si="23"/>
        <v>91100</v>
      </c>
      <c r="N57" s="66">
        <f t="shared" si="10"/>
        <v>5</v>
      </c>
      <c r="O57" s="66">
        <f t="shared" si="11"/>
        <v>7500</v>
      </c>
      <c r="P57" s="66" t="str">
        <f>IF(Q57="","",VLOOKUP(Q57,引用表合并!$A:$B,2,FALSE))</f>
        <v>马仔经验药水</v>
      </c>
      <c r="Q57" s="66">
        <f t="shared" si="19"/>
        <v>91100</v>
      </c>
      <c r="R57" s="66">
        <f t="shared" si="12"/>
        <v>6</v>
      </c>
      <c r="S57" s="66">
        <f t="shared" si="13"/>
        <v>10000</v>
      </c>
      <c r="BM57" s="66">
        <f t="shared" si="22"/>
        <v>5</v>
      </c>
      <c r="BN57" s="31">
        <v>100</v>
      </c>
      <c r="BO57" s="66">
        <v>4</v>
      </c>
      <c r="BP57" s="31">
        <v>100</v>
      </c>
      <c r="BQ57" s="31">
        <v>5</v>
      </c>
      <c r="BR57" s="31">
        <v>100</v>
      </c>
      <c r="BS57" s="31">
        <v>5</v>
      </c>
      <c r="BT57" s="31">
        <v>100</v>
      </c>
      <c r="BU57" s="31">
        <v>6</v>
      </c>
      <c r="BV57" s="66">
        <f t="shared" si="14"/>
        <v>500</v>
      </c>
    </row>
    <row r="58" spans="1:75" x14ac:dyDescent="0.15">
      <c r="A58" s="66">
        <f t="shared" si="17"/>
        <v>100412</v>
      </c>
      <c r="B58" s="66" t="s">
        <v>176</v>
      </c>
      <c r="C58" s="67">
        <f t="shared" si="16"/>
        <v>8</v>
      </c>
      <c r="D58" s="66" t="str">
        <f>IF(E58="","",VLOOKUP(E58,引用表合并!$A:$B,2,FALSE))</f>
        <v>马仔经验合剂</v>
      </c>
      <c r="E58" s="66">
        <f t="shared" si="1"/>
        <v>91200</v>
      </c>
      <c r="F58" s="66">
        <f t="shared" si="21"/>
        <v>3</v>
      </c>
      <c r="G58" s="66">
        <f t="shared" si="7"/>
        <v>1500</v>
      </c>
      <c r="H58" s="66" t="str">
        <f>IF(I58="","",VLOOKUP(I58,引用表合并!$A:$B,2,FALSE))</f>
        <v>马仔经验合剂</v>
      </c>
      <c r="I58" s="66">
        <f t="shared" si="20"/>
        <v>91200</v>
      </c>
      <c r="J58" s="66">
        <f t="shared" si="8"/>
        <v>4</v>
      </c>
      <c r="K58" s="66">
        <f t="shared" si="9"/>
        <v>3000</v>
      </c>
      <c r="L58" s="66" t="str">
        <f>IF(M58="","",VLOOKUP(M58,引用表合并!$A:$B,2,FALSE))</f>
        <v>马仔经验合剂</v>
      </c>
      <c r="M58" s="66">
        <f t="shared" si="23"/>
        <v>91200</v>
      </c>
      <c r="N58" s="66">
        <f t="shared" si="10"/>
        <v>4</v>
      </c>
      <c r="O58" s="66">
        <f t="shared" si="11"/>
        <v>4500</v>
      </c>
      <c r="P58" s="66" t="str">
        <f>IF(Q58="","",VLOOKUP(Q58,引用表合并!$A:$B,2,FALSE))</f>
        <v>马仔经验合剂</v>
      </c>
      <c r="Q58" s="66">
        <f t="shared" si="19"/>
        <v>91200</v>
      </c>
      <c r="R58" s="66">
        <f t="shared" si="12"/>
        <v>4</v>
      </c>
      <c r="S58" s="66">
        <f t="shared" si="13"/>
        <v>6000</v>
      </c>
      <c r="T58" s="31" t="str">
        <f>IF(U58="","",VLOOKUP(U58,引用表合并!$A:$B,2,FALSE))</f>
        <v>马仔碎片(赌王)</v>
      </c>
      <c r="U58" s="31">
        <v>78111</v>
      </c>
      <c r="V58" s="66">
        <v>1</v>
      </c>
      <c r="W58" s="66">
        <v>7000</v>
      </c>
      <c r="X58" s="31" t="str">
        <f>IF(Y58="","",VLOOKUP(Y58,引用表合并!$A:$B,2,FALSE))</f>
        <v>马仔碎片(山下忠秀)</v>
      </c>
      <c r="Y58" s="31">
        <v>78112</v>
      </c>
      <c r="Z58" s="31">
        <v>1</v>
      </c>
      <c r="AA58" s="31">
        <v>8000</v>
      </c>
      <c r="AB58" s="31" t="str">
        <f>IF(AC58="","",VLOOKUP(AC58,引用表合并!$A:$B,2,FALSE))</f>
        <v>马仔碎片(宫本一)</v>
      </c>
      <c r="AC58" s="66">
        <v>78113</v>
      </c>
      <c r="AD58" s="31">
        <v>1</v>
      </c>
      <c r="AE58" s="31">
        <v>9000</v>
      </c>
      <c r="AF58" s="31" t="str">
        <f>IF(AG58="","",VLOOKUP(AG58,引用表合并!$A:$B,2,FALSE))</f>
        <v>马仔碎片(笑面虎)</v>
      </c>
      <c r="AG58" s="66">
        <v>78119</v>
      </c>
      <c r="AH58" s="31">
        <v>1</v>
      </c>
      <c r="AI58" s="31">
        <v>10000</v>
      </c>
      <c r="BM58" s="66">
        <f t="shared" si="22"/>
        <v>3.75</v>
      </c>
      <c r="BN58" s="31">
        <v>500</v>
      </c>
      <c r="BO58" s="66">
        <v>3</v>
      </c>
      <c r="BP58" s="31">
        <v>500</v>
      </c>
      <c r="BQ58" s="31">
        <v>4</v>
      </c>
      <c r="BR58" s="31">
        <v>500</v>
      </c>
      <c r="BS58" s="31">
        <v>4</v>
      </c>
      <c r="BT58" s="31">
        <v>500</v>
      </c>
      <c r="BU58" s="31">
        <v>4</v>
      </c>
      <c r="BV58" s="66">
        <f t="shared" si="14"/>
        <v>1875</v>
      </c>
    </row>
    <row r="59" spans="1:75" x14ac:dyDescent="0.15">
      <c r="A59" s="66">
        <f t="shared" si="17"/>
        <v>100413</v>
      </c>
      <c r="B59" s="66" t="s">
        <v>177</v>
      </c>
      <c r="C59" s="67">
        <f t="shared" si="16"/>
        <v>4</v>
      </c>
      <c r="D59" s="66" t="str">
        <f>IF(E59="","",VLOOKUP(E59,引用表合并!$A:$B,2,FALSE))</f>
        <v>马仔经验药水</v>
      </c>
      <c r="E59" s="66">
        <f t="shared" si="1"/>
        <v>91100</v>
      </c>
      <c r="F59" s="66">
        <f t="shared" si="21"/>
        <v>5</v>
      </c>
      <c r="G59" s="66">
        <f t="shared" si="7"/>
        <v>2500</v>
      </c>
      <c r="H59" s="66" t="str">
        <f>IF(I59="","",VLOOKUP(I59,引用表合并!$A:$B,2,FALSE))</f>
        <v>马仔经验药水</v>
      </c>
      <c r="I59" s="66">
        <f t="shared" si="20"/>
        <v>91100</v>
      </c>
      <c r="J59" s="66">
        <f t="shared" si="8"/>
        <v>5</v>
      </c>
      <c r="K59" s="66">
        <f t="shared" si="9"/>
        <v>5000</v>
      </c>
      <c r="L59" s="66" t="str">
        <f>IF(M59="","",VLOOKUP(M59,引用表合并!$A:$B,2,FALSE))</f>
        <v>马仔经验药水</v>
      </c>
      <c r="M59" s="66">
        <f t="shared" si="23"/>
        <v>91100</v>
      </c>
      <c r="N59" s="66">
        <f t="shared" si="10"/>
        <v>6</v>
      </c>
      <c r="O59" s="66">
        <f t="shared" si="11"/>
        <v>7500</v>
      </c>
      <c r="P59" s="66" t="str">
        <f>IF(Q59="","",VLOOKUP(Q59,引用表合并!$A:$B,2,FALSE))</f>
        <v>马仔经验药水</v>
      </c>
      <c r="Q59" s="66">
        <f t="shared" si="19"/>
        <v>91100</v>
      </c>
      <c r="R59" s="66">
        <f t="shared" si="12"/>
        <v>6</v>
      </c>
      <c r="S59" s="66">
        <f t="shared" si="13"/>
        <v>10000</v>
      </c>
      <c r="BM59" s="66">
        <f t="shared" si="22"/>
        <v>5.5</v>
      </c>
      <c r="BN59" s="31">
        <v>100</v>
      </c>
      <c r="BO59" s="66">
        <v>5</v>
      </c>
      <c r="BP59" s="31">
        <v>100</v>
      </c>
      <c r="BQ59" s="31">
        <v>5</v>
      </c>
      <c r="BR59" s="31">
        <v>100</v>
      </c>
      <c r="BS59" s="31">
        <v>6</v>
      </c>
      <c r="BT59" s="31">
        <v>100</v>
      </c>
      <c r="BU59" s="31">
        <v>6</v>
      </c>
      <c r="BV59" s="66">
        <f t="shared" si="14"/>
        <v>550</v>
      </c>
    </row>
    <row r="60" spans="1:75" x14ac:dyDescent="0.15">
      <c r="A60" s="66">
        <f t="shared" si="17"/>
        <v>100414</v>
      </c>
      <c r="B60" s="66" t="s">
        <v>178</v>
      </c>
      <c r="C60" s="67">
        <f t="shared" si="16"/>
        <v>4</v>
      </c>
      <c r="D60" s="66" t="str">
        <f>IF(E60="","",VLOOKUP(E60,引用表合并!$A:$B,2,FALSE))</f>
        <v>马仔经验药水</v>
      </c>
      <c r="E60" s="66">
        <f t="shared" si="1"/>
        <v>91100</v>
      </c>
      <c r="F60" s="66">
        <f t="shared" si="21"/>
        <v>5</v>
      </c>
      <c r="G60" s="66">
        <f t="shared" si="7"/>
        <v>2500</v>
      </c>
      <c r="H60" s="66" t="str">
        <f>IF(I60="","",VLOOKUP(I60,引用表合并!$A:$B,2,FALSE))</f>
        <v>马仔经验药水</v>
      </c>
      <c r="I60" s="66">
        <f t="shared" si="20"/>
        <v>91100</v>
      </c>
      <c r="J60" s="66">
        <f t="shared" si="8"/>
        <v>6</v>
      </c>
      <c r="K60" s="66">
        <f t="shared" si="9"/>
        <v>5000</v>
      </c>
      <c r="L60" s="66" t="str">
        <f>IF(M60="","",VLOOKUP(M60,引用表合并!$A:$B,2,FALSE))</f>
        <v>马仔经验药水</v>
      </c>
      <c r="M60" s="66">
        <f t="shared" si="23"/>
        <v>91100</v>
      </c>
      <c r="N60" s="66">
        <f t="shared" si="10"/>
        <v>6</v>
      </c>
      <c r="O60" s="66">
        <f t="shared" si="11"/>
        <v>7500</v>
      </c>
      <c r="P60" s="66" t="str">
        <f>IF(Q60="","",VLOOKUP(Q60,引用表合并!$A:$B,2,FALSE))</f>
        <v>马仔经验药水</v>
      </c>
      <c r="Q60" s="66">
        <f t="shared" si="19"/>
        <v>91100</v>
      </c>
      <c r="R60" s="66">
        <f t="shared" si="12"/>
        <v>7</v>
      </c>
      <c r="S60" s="66">
        <f t="shared" si="13"/>
        <v>10000</v>
      </c>
      <c r="BM60" s="66">
        <f t="shared" si="22"/>
        <v>6</v>
      </c>
      <c r="BN60" s="31">
        <v>100</v>
      </c>
      <c r="BO60" s="66">
        <v>5</v>
      </c>
      <c r="BP60" s="31">
        <v>100</v>
      </c>
      <c r="BQ60" s="31">
        <v>6</v>
      </c>
      <c r="BR60" s="31">
        <v>100</v>
      </c>
      <c r="BS60" s="31">
        <v>6</v>
      </c>
      <c r="BT60" s="31">
        <v>100</v>
      </c>
      <c r="BU60" s="31">
        <v>7</v>
      </c>
      <c r="BV60" s="66">
        <f t="shared" si="14"/>
        <v>600</v>
      </c>
    </row>
    <row r="61" spans="1:75" x14ac:dyDescent="0.15">
      <c r="A61" s="66">
        <f t="shared" si="17"/>
        <v>100415</v>
      </c>
      <c r="B61" s="66" t="s">
        <v>179</v>
      </c>
      <c r="C61" s="67">
        <f t="shared" si="16"/>
        <v>9</v>
      </c>
      <c r="D61" s="66" t="str">
        <f>IF(E61="","",VLOOKUP(E61,引用表合并!$A:$B,2,FALSE))</f>
        <v>马仔经验甘露</v>
      </c>
      <c r="E61" s="66">
        <f t="shared" si="1"/>
        <v>91300</v>
      </c>
      <c r="F61" s="66">
        <f t="shared" si="21"/>
        <v>1</v>
      </c>
      <c r="G61" s="66">
        <f t="shared" si="7"/>
        <v>500</v>
      </c>
      <c r="H61" s="66" t="str">
        <f>IF(I61="","",VLOOKUP(I61,引用表合并!$A:$B,2,FALSE))</f>
        <v>马仔经验甘露</v>
      </c>
      <c r="I61" s="66">
        <f t="shared" si="20"/>
        <v>91300</v>
      </c>
      <c r="J61" s="66">
        <f t="shared" si="8"/>
        <v>1</v>
      </c>
      <c r="K61" s="66">
        <f t="shared" si="9"/>
        <v>1000</v>
      </c>
      <c r="L61" s="66" t="str">
        <f>IF(M61="","",VLOOKUP(M61,引用表合并!$A:$B,2,FALSE))</f>
        <v>马仔经验甘露</v>
      </c>
      <c r="M61" s="66">
        <f t="shared" si="23"/>
        <v>91300</v>
      </c>
      <c r="N61" s="66">
        <f t="shared" si="10"/>
        <v>2</v>
      </c>
      <c r="O61" s="66">
        <f t="shared" si="11"/>
        <v>1500</v>
      </c>
      <c r="P61" s="66" t="str">
        <f>IF(Q61="","",VLOOKUP(Q61,引用表合并!$A:$B,2,FALSE))</f>
        <v>马仔经验甘露</v>
      </c>
      <c r="Q61" s="66">
        <f t="shared" si="19"/>
        <v>91300</v>
      </c>
      <c r="R61" s="66">
        <f t="shared" si="12"/>
        <v>2</v>
      </c>
      <c r="S61" s="66">
        <f t="shared" si="13"/>
        <v>2000</v>
      </c>
      <c r="T61" s="31" t="str">
        <f>IF(U61="","",VLOOKUP(U61,引用表合并!$A:$B,2,FALSE))</f>
        <v>猛龙过江(3天)</v>
      </c>
      <c r="U61" s="31">
        <v>83108</v>
      </c>
      <c r="V61" s="31">
        <v>1</v>
      </c>
      <c r="W61" s="31">
        <v>4000</v>
      </c>
      <c r="X61" s="31" t="str">
        <f>IF(Y61="","",VLOOKUP(Y61,引用表合并!$A:$B,2,FALSE))</f>
        <v>马仔碎片(山下忠秀)</v>
      </c>
      <c r="Y61" s="31">
        <v>78112</v>
      </c>
      <c r="Z61" s="31">
        <v>2</v>
      </c>
      <c r="AA61" s="31">
        <v>5500</v>
      </c>
      <c r="AB61" s="31" t="str">
        <f>IF(AC61="","",VLOOKUP(AC61,引用表合并!$A:$B,2,FALSE))</f>
        <v>马仔碎片(山下忠秀)</v>
      </c>
      <c r="AC61" s="66">
        <v>78112</v>
      </c>
      <c r="AD61" s="31">
        <v>2</v>
      </c>
      <c r="AE61" s="31">
        <v>7000</v>
      </c>
      <c r="AF61" s="31" t="str">
        <f>IF(AG61="","",VLOOKUP(AG61,引用表合并!$A:$B,2,FALSE))</f>
        <v>马仔碎片(宫本一)</v>
      </c>
      <c r="AG61" s="66">
        <v>78113</v>
      </c>
      <c r="AH61" s="31">
        <v>2</v>
      </c>
      <c r="AI61" s="31">
        <v>8500</v>
      </c>
      <c r="AJ61" s="31" t="str">
        <f>IF(AK61="","",VLOOKUP(AK61,引用表合并!$A:$B,2,FALSE))</f>
        <v>马仔碎片(笑面虎)</v>
      </c>
      <c r="AK61" s="31">
        <v>78119</v>
      </c>
      <c r="AL61" s="31">
        <v>2</v>
      </c>
      <c r="AM61" s="31">
        <v>10000</v>
      </c>
      <c r="AN61" s="66" t="str">
        <f>IF(AO61="","",VLOOKUP(AO61,引用表合并!$A:$B,2,FALSE))</f>
        <v/>
      </c>
      <c r="AR61" s="66" t="str">
        <f>IF(AS61="","",VLOOKUP(AS61,引用表合并!$A:$B,2,FALSE))</f>
        <v/>
      </c>
      <c r="AV61" s="66" t="str">
        <f>IF(AW61="","",VLOOKUP(AW61,引用表合并!$A:$B,2,FALSE))</f>
        <v/>
      </c>
      <c r="AZ61" s="66" t="str">
        <f>IF(BA61="","",VLOOKUP(BA61,引用表合并!$A:$B,2,FALSE))</f>
        <v/>
      </c>
      <c r="BM61" s="66">
        <f t="shared" si="22"/>
        <v>1.5</v>
      </c>
      <c r="BN61" s="31">
        <v>2500</v>
      </c>
      <c r="BO61" s="66">
        <v>1</v>
      </c>
      <c r="BP61" s="31">
        <v>2500</v>
      </c>
      <c r="BQ61" s="31">
        <v>1</v>
      </c>
      <c r="BR61" s="31">
        <v>2500</v>
      </c>
      <c r="BS61" s="31">
        <v>2</v>
      </c>
      <c r="BT61" s="31">
        <v>2500</v>
      </c>
      <c r="BU61" s="31">
        <v>2</v>
      </c>
      <c r="BV61" s="66">
        <f t="shared" si="14"/>
        <v>3750</v>
      </c>
      <c r="BW61" s="66">
        <f>SUM(BV47:BV61)</f>
        <v>12750</v>
      </c>
    </row>
    <row r="62" spans="1:75" x14ac:dyDescent="0.15">
      <c r="A62" s="66">
        <f t="shared" si="17"/>
        <v>100501</v>
      </c>
      <c r="B62" s="66" t="s">
        <v>180</v>
      </c>
      <c r="C62" s="67">
        <f t="shared" si="16"/>
        <v>4</v>
      </c>
      <c r="D62" s="66" t="str">
        <f>IF(E62="","",VLOOKUP(E62,引用表合并!$A:$B,2,FALSE))</f>
        <v>马仔经验药水</v>
      </c>
      <c r="E62" s="66">
        <f t="shared" si="1"/>
        <v>91100</v>
      </c>
      <c r="F62" s="66">
        <f t="shared" si="21"/>
        <v>1</v>
      </c>
      <c r="G62" s="66">
        <f t="shared" si="7"/>
        <v>2500</v>
      </c>
      <c r="H62" s="66" t="str">
        <f>IF(I62="","",VLOOKUP(I62,引用表合并!$A:$B,2,FALSE))</f>
        <v>马仔经验药水</v>
      </c>
      <c r="I62" s="66">
        <f t="shared" si="20"/>
        <v>91100</v>
      </c>
      <c r="J62" s="66">
        <f t="shared" si="8"/>
        <v>1</v>
      </c>
      <c r="K62" s="66">
        <f t="shared" si="9"/>
        <v>5000</v>
      </c>
      <c r="L62" s="66" t="str">
        <f>IF(M62="","",VLOOKUP(M62,引用表合并!$A:$B,2,FALSE))</f>
        <v>马仔经验药水</v>
      </c>
      <c r="M62" s="66">
        <f t="shared" si="23"/>
        <v>91100</v>
      </c>
      <c r="N62" s="66">
        <f t="shared" si="10"/>
        <v>2</v>
      </c>
      <c r="O62" s="66">
        <f t="shared" si="11"/>
        <v>7500</v>
      </c>
      <c r="P62" s="66" t="str">
        <f>IF(Q62="","",VLOOKUP(Q62,引用表合并!$A:$B,2,FALSE))</f>
        <v>马仔经验药水</v>
      </c>
      <c r="Q62" s="66">
        <f t="shared" si="19"/>
        <v>91100</v>
      </c>
      <c r="R62" s="66">
        <f t="shared" si="12"/>
        <v>2</v>
      </c>
      <c r="S62" s="66">
        <f t="shared" si="13"/>
        <v>10000</v>
      </c>
      <c r="T62" s="66" t="str">
        <f>IF(U62="","",VLOOKUP(U62,引用表合并!$A:$B,2,FALSE))</f>
        <v/>
      </c>
      <c r="U62" s="69"/>
      <c r="W62" s="31"/>
      <c r="X62" s="66" t="str">
        <f>IF(Y62="","",VLOOKUP(Y62,引用表合并!$A:$B,2,FALSE))</f>
        <v/>
      </c>
      <c r="AA62" s="31"/>
      <c r="AB62" s="66" t="str">
        <f>IF(AC62="","",VLOOKUP(AC62,引用表合并!$A:$B,2,FALSE))</f>
        <v/>
      </c>
      <c r="AC62" s="68"/>
      <c r="AE62" s="31"/>
      <c r="AF62" s="66" t="str">
        <f>IF(AG62="","",VLOOKUP(AG62,引用表合并!$A:$B,2,FALSE))</f>
        <v/>
      </c>
      <c r="AI62" s="31"/>
      <c r="AJ62" s="66" t="str">
        <f>IF(AK62="","",VLOOKUP(AK62,引用表合并!$A:$B,2,FALSE))</f>
        <v/>
      </c>
      <c r="AM62" s="31"/>
      <c r="BM62" s="66">
        <f t="shared" si="22"/>
        <v>1.5</v>
      </c>
      <c r="BN62" s="31">
        <v>100</v>
      </c>
      <c r="BO62" s="66">
        <v>1</v>
      </c>
      <c r="BP62" s="31">
        <v>100</v>
      </c>
      <c r="BQ62" s="31">
        <v>1</v>
      </c>
      <c r="BR62" s="31">
        <v>100</v>
      </c>
      <c r="BS62" s="31">
        <v>2</v>
      </c>
      <c r="BT62" s="31">
        <v>100</v>
      </c>
      <c r="BU62" s="31">
        <v>2</v>
      </c>
      <c r="BV62" s="66">
        <f t="shared" si="14"/>
        <v>150</v>
      </c>
    </row>
    <row r="63" spans="1:75" x14ac:dyDescent="0.15">
      <c r="A63" s="66">
        <f t="shared" si="17"/>
        <v>100502</v>
      </c>
      <c r="B63" s="66" t="s">
        <v>181</v>
      </c>
      <c r="C63" s="67">
        <f t="shared" si="16"/>
        <v>4</v>
      </c>
      <c r="D63" s="66" t="str">
        <f>IF(E63="","",VLOOKUP(E63,引用表合并!$A:$B,2,FALSE))</f>
        <v>马仔经验药水</v>
      </c>
      <c r="E63" s="66">
        <f t="shared" si="1"/>
        <v>91100</v>
      </c>
      <c r="F63" s="66">
        <f t="shared" si="21"/>
        <v>1</v>
      </c>
      <c r="G63" s="66">
        <f t="shared" si="7"/>
        <v>2500</v>
      </c>
      <c r="H63" s="66" t="str">
        <f>IF(I63="","",VLOOKUP(I63,引用表合并!$A:$B,2,FALSE))</f>
        <v>马仔经验药水</v>
      </c>
      <c r="I63" s="66">
        <f t="shared" si="20"/>
        <v>91100</v>
      </c>
      <c r="J63" s="66">
        <f t="shared" si="8"/>
        <v>2</v>
      </c>
      <c r="K63" s="66">
        <f t="shared" si="9"/>
        <v>5000</v>
      </c>
      <c r="L63" s="66" t="str">
        <f>IF(M63="","",VLOOKUP(M63,引用表合并!$A:$B,2,FALSE))</f>
        <v>马仔经验药水</v>
      </c>
      <c r="M63" s="66">
        <f t="shared" si="23"/>
        <v>91100</v>
      </c>
      <c r="N63" s="66">
        <f t="shared" si="10"/>
        <v>2</v>
      </c>
      <c r="O63" s="66">
        <f t="shared" si="11"/>
        <v>7500</v>
      </c>
      <c r="P63" s="66" t="str">
        <f>IF(Q63="","",VLOOKUP(Q63,引用表合并!$A:$B,2,FALSE))</f>
        <v>马仔经验药水</v>
      </c>
      <c r="Q63" s="66">
        <f t="shared" si="19"/>
        <v>91100</v>
      </c>
      <c r="R63" s="66">
        <f t="shared" si="12"/>
        <v>3</v>
      </c>
      <c r="S63" s="66">
        <f t="shared" si="13"/>
        <v>10000</v>
      </c>
      <c r="BM63" s="66">
        <f t="shared" si="22"/>
        <v>2</v>
      </c>
      <c r="BN63" s="31">
        <v>100</v>
      </c>
      <c r="BO63" s="66">
        <v>1</v>
      </c>
      <c r="BP63" s="31">
        <v>100</v>
      </c>
      <c r="BQ63" s="31">
        <v>2</v>
      </c>
      <c r="BR63" s="31">
        <v>100</v>
      </c>
      <c r="BS63" s="31">
        <v>2</v>
      </c>
      <c r="BT63" s="31">
        <v>100</v>
      </c>
      <c r="BU63" s="31">
        <v>3</v>
      </c>
      <c r="BV63" s="66">
        <f t="shared" si="14"/>
        <v>200</v>
      </c>
    </row>
    <row r="64" spans="1:75" x14ac:dyDescent="0.15">
      <c r="A64" s="66">
        <f t="shared" si="17"/>
        <v>100503</v>
      </c>
      <c r="B64" s="66" t="s">
        <v>182</v>
      </c>
      <c r="C64" s="67">
        <f t="shared" si="16"/>
        <v>8</v>
      </c>
      <c r="D64" s="66" t="str">
        <f>IF(E64="","",VLOOKUP(E64,引用表合并!$A:$B,2,FALSE))</f>
        <v>马仔经验合剂</v>
      </c>
      <c r="E64" s="66">
        <f t="shared" si="1"/>
        <v>91200</v>
      </c>
      <c r="F64" s="66">
        <f t="shared" si="21"/>
        <v>2</v>
      </c>
      <c r="G64" s="66">
        <f t="shared" si="7"/>
        <v>1500</v>
      </c>
      <c r="H64" s="66" t="str">
        <f>IF(I64="","",VLOOKUP(I64,引用表合并!$A:$B,2,FALSE))</f>
        <v>马仔经验合剂</v>
      </c>
      <c r="I64" s="66">
        <f t="shared" si="20"/>
        <v>91200</v>
      </c>
      <c r="J64" s="66">
        <f t="shared" si="8"/>
        <v>2</v>
      </c>
      <c r="K64" s="66">
        <f t="shared" si="9"/>
        <v>3000</v>
      </c>
      <c r="L64" s="66" t="str">
        <f>IF(M64="","",VLOOKUP(M64,引用表合并!$A:$B,2,FALSE))</f>
        <v>马仔经验合剂</v>
      </c>
      <c r="M64" s="66">
        <f t="shared" si="23"/>
        <v>91200</v>
      </c>
      <c r="N64" s="66">
        <f t="shared" si="10"/>
        <v>2</v>
      </c>
      <c r="O64" s="66">
        <f t="shared" si="11"/>
        <v>4500</v>
      </c>
      <c r="P64" s="66" t="str">
        <f>IF(Q64="","",VLOOKUP(Q64,引用表合并!$A:$B,2,FALSE))</f>
        <v>马仔经验合剂</v>
      </c>
      <c r="Q64" s="66">
        <f t="shared" si="19"/>
        <v>91200</v>
      </c>
      <c r="R64" s="66">
        <f t="shared" si="12"/>
        <v>2</v>
      </c>
      <c r="S64" s="66">
        <f t="shared" si="13"/>
        <v>6000</v>
      </c>
      <c r="T64" s="31" t="str">
        <f>IF(U64="","",VLOOKUP(U64,引用表合并!$A:$B,2,FALSE))</f>
        <v>马仔碎片(靓坤)</v>
      </c>
      <c r="U64" s="31">
        <v>78106</v>
      </c>
      <c r="V64" s="66">
        <v>1</v>
      </c>
      <c r="W64" s="66">
        <v>7000</v>
      </c>
      <c r="X64" s="31" t="str">
        <f>IF(Y64="","",VLOOKUP(Y64,引用表合并!$A:$B,2,FALSE))</f>
        <v>马仔碎片(雷复轰)</v>
      </c>
      <c r="Y64" s="66">
        <v>78107</v>
      </c>
      <c r="Z64" s="31">
        <v>1</v>
      </c>
      <c r="AA64" s="31">
        <v>8000</v>
      </c>
      <c r="AB64" s="31" t="str">
        <f>IF(AC64="","",VLOOKUP(AC64,引用表合并!$A:$B,2,FALSE))</f>
        <v>马仔碎片(肥仔)</v>
      </c>
      <c r="AC64" s="66">
        <v>78108</v>
      </c>
      <c r="AD64" s="31">
        <v>1</v>
      </c>
      <c r="AE64" s="31">
        <v>9000</v>
      </c>
      <c r="AF64" s="31" t="str">
        <f>IF(AG64="","",VLOOKUP(AG64,引用表合并!$A:$B,2,FALSE))</f>
        <v>马仔碎片(巴闭)</v>
      </c>
      <c r="AG64" s="66">
        <v>78117</v>
      </c>
      <c r="AH64" s="31">
        <v>1</v>
      </c>
      <c r="AI64" s="31">
        <v>10000</v>
      </c>
      <c r="BM64" s="66">
        <f t="shared" si="22"/>
        <v>2</v>
      </c>
      <c r="BN64" s="31">
        <v>500</v>
      </c>
      <c r="BO64" s="66">
        <v>2</v>
      </c>
      <c r="BP64" s="31">
        <v>500</v>
      </c>
      <c r="BQ64" s="31">
        <v>2</v>
      </c>
      <c r="BR64" s="31">
        <v>500</v>
      </c>
      <c r="BS64" s="31">
        <v>2</v>
      </c>
      <c r="BT64" s="31">
        <v>500</v>
      </c>
      <c r="BU64" s="31">
        <v>2</v>
      </c>
      <c r="BV64" s="66">
        <f t="shared" si="14"/>
        <v>1000</v>
      </c>
    </row>
    <row r="65" spans="1:75" x14ac:dyDescent="0.15">
      <c r="A65" s="66">
        <f t="shared" si="17"/>
        <v>100504</v>
      </c>
      <c r="B65" s="66" t="s">
        <v>183</v>
      </c>
      <c r="C65" s="67">
        <f t="shared" si="16"/>
        <v>4</v>
      </c>
      <c r="D65" s="66" t="str">
        <f>IF(E65="","",VLOOKUP(E65,引用表合并!$A:$B,2,FALSE))</f>
        <v>马仔经验药水</v>
      </c>
      <c r="E65" s="66">
        <f t="shared" si="1"/>
        <v>91100</v>
      </c>
      <c r="F65" s="66">
        <f t="shared" si="21"/>
        <v>2</v>
      </c>
      <c r="G65" s="66">
        <f t="shared" si="7"/>
        <v>2500</v>
      </c>
      <c r="H65" s="66" t="str">
        <f>IF(I65="","",VLOOKUP(I65,引用表合并!$A:$B,2,FALSE))</f>
        <v>马仔经验药水</v>
      </c>
      <c r="I65" s="66">
        <f t="shared" si="20"/>
        <v>91100</v>
      </c>
      <c r="J65" s="66">
        <f t="shared" si="8"/>
        <v>2</v>
      </c>
      <c r="K65" s="66">
        <f t="shared" si="9"/>
        <v>5000</v>
      </c>
      <c r="L65" s="66" t="str">
        <f>IF(M65="","",VLOOKUP(M65,引用表合并!$A:$B,2,FALSE))</f>
        <v>马仔经验药水</v>
      </c>
      <c r="M65" s="66">
        <f t="shared" si="23"/>
        <v>91100</v>
      </c>
      <c r="N65" s="66">
        <f t="shared" si="10"/>
        <v>3</v>
      </c>
      <c r="O65" s="66">
        <f t="shared" si="11"/>
        <v>7500</v>
      </c>
      <c r="P65" s="66" t="str">
        <f>IF(Q65="","",VLOOKUP(Q65,引用表合并!$A:$B,2,FALSE))</f>
        <v>马仔经验药水</v>
      </c>
      <c r="Q65" s="66">
        <f t="shared" si="19"/>
        <v>91100</v>
      </c>
      <c r="R65" s="66">
        <f t="shared" si="12"/>
        <v>3</v>
      </c>
      <c r="S65" s="66">
        <f t="shared" si="13"/>
        <v>10000</v>
      </c>
      <c r="BM65" s="66">
        <f t="shared" si="22"/>
        <v>2.5</v>
      </c>
      <c r="BN65" s="31">
        <v>100</v>
      </c>
      <c r="BO65" s="66">
        <v>2</v>
      </c>
      <c r="BP65" s="31">
        <v>100</v>
      </c>
      <c r="BQ65" s="31">
        <v>2</v>
      </c>
      <c r="BR65" s="31">
        <v>100</v>
      </c>
      <c r="BS65" s="31">
        <v>3</v>
      </c>
      <c r="BT65" s="31">
        <v>100</v>
      </c>
      <c r="BU65" s="31">
        <v>3</v>
      </c>
      <c r="BV65" s="66">
        <f t="shared" si="14"/>
        <v>250</v>
      </c>
    </row>
    <row r="66" spans="1:75" x14ac:dyDescent="0.15">
      <c r="A66" s="66">
        <f t="shared" si="17"/>
        <v>100505</v>
      </c>
      <c r="B66" s="66" t="s">
        <v>184</v>
      </c>
      <c r="C66" s="67">
        <f t="shared" si="16"/>
        <v>4</v>
      </c>
      <c r="D66" s="66" t="str">
        <f>IF(E66="","",VLOOKUP(E66,引用表合并!$A:$B,2,FALSE))</f>
        <v>马仔经验药水</v>
      </c>
      <c r="E66" s="66">
        <f t="shared" si="1"/>
        <v>91100</v>
      </c>
      <c r="F66" s="66">
        <f t="shared" ref="F66:F97" si="24">BO66</f>
        <v>2</v>
      </c>
      <c r="G66" s="66">
        <f t="shared" si="7"/>
        <v>2500</v>
      </c>
      <c r="H66" s="66" t="str">
        <f>IF(I66="","",VLOOKUP(I66,引用表合并!$A:$B,2,FALSE))</f>
        <v>马仔经验药水</v>
      </c>
      <c r="I66" s="66">
        <f t="shared" si="20"/>
        <v>91100</v>
      </c>
      <c r="J66" s="66">
        <f t="shared" si="8"/>
        <v>3</v>
      </c>
      <c r="K66" s="66">
        <f t="shared" si="9"/>
        <v>5000</v>
      </c>
      <c r="L66" s="66" t="str">
        <f>IF(M66="","",VLOOKUP(M66,引用表合并!$A:$B,2,FALSE))</f>
        <v>马仔经验药水</v>
      </c>
      <c r="M66" s="66">
        <f t="shared" si="23"/>
        <v>91100</v>
      </c>
      <c r="N66" s="66">
        <f t="shared" si="10"/>
        <v>3</v>
      </c>
      <c r="O66" s="66">
        <f t="shared" si="11"/>
        <v>7500</v>
      </c>
      <c r="P66" s="66" t="str">
        <f>IF(Q66="","",VLOOKUP(Q66,引用表合并!$A:$B,2,FALSE))</f>
        <v>马仔经验药水</v>
      </c>
      <c r="Q66" s="66">
        <f t="shared" si="19"/>
        <v>91100</v>
      </c>
      <c r="R66" s="66">
        <f t="shared" si="12"/>
        <v>4</v>
      </c>
      <c r="S66" s="66">
        <f t="shared" si="13"/>
        <v>10000</v>
      </c>
      <c r="BM66" s="66">
        <f t="shared" ref="BM66:BM97" si="25">AVERAGE(F66,J66,N66,R66)</f>
        <v>3</v>
      </c>
      <c r="BN66" s="31">
        <v>100</v>
      </c>
      <c r="BO66" s="66">
        <v>2</v>
      </c>
      <c r="BP66" s="31">
        <v>100</v>
      </c>
      <c r="BQ66" s="31">
        <v>3</v>
      </c>
      <c r="BR66" s="31">
        <v>100</v>
      </c>
      <c r="BS66" s="31">
        <v>3</v>
      </c>
      <c r="BT66" s="31">
        <v>100</v>
      </c>
      <c r="BU66" s="31">
        <v>4</v>
      </c>
      <c r="BV66" s="66">
        <f t="shared" si="14"/>
        <v>300</v>
      </c>
    </row>
    <row r="67" spans="1:75" x14ac:dyDescent="0.15">
      <c r="A67" s="66">
        <f t="shared" si="17"/>
        <v>100506</v>
      </c>
      <c r="B67" s="66" t="s">
        <v>185</v>
      </c>
      <c r="C67" s="67">
        <f t="shared" si="16"/>
        <v>8</v>
      </c>
      <c r="D67" s="66" t="str">
        <f>IF(E67="","",VLOOKUP(E67,引用表合并!$A:$B,2,FALSE))</f>
        <v>马仔经验合剂</v>
      </c>
      <c r="E67" s="66">
        <f t="shared" ref="E67:E130" si="26">IF(BN67=100,91100,IF(BN67=500,91200,91300))</f>
        <v>91200</v>
      </c>
      <c r="F67" s="66">
        <f t="shared" si="24"/>
        <v>2</v>
      </c>
      <c r="G67" s="66">
        <f t="shared" ref="G67:G130" si="27">IF(MOD(MOD($A67,100),15)=0,500,IF(MOD(MOD($A67,100),3)=0,1500,2500))</f>
        <v>1500</v>
      </c>
      <c r="H67" s="66" t="str">
        <f>IF(I67="","",VLOOKUP(I67,引用表合并!$A:$B,2,FALSE))</f>
        <v>马仔经验合剂</v>
      </c>
      <c r="I67" s="66">
        <f t="shared" si="20"/>
        <v>91200</v>
      </c>
      <c r="J67" s="66">
        <f t="shared" ref="J67:J130" si="28">BQ67</f>
        <v>2</v>
      </c>
      <c r="K67" s="66">
        <f t="shared" ref="K67:K130" si="29">IF(MOD(MOD($A67,100),15)=0,500,IF(MOD(MOD($A67,100),3)=0,1500,2500))+G67</f>
        <v>3000</v>
      </c>
      <c r="L67" s="66" t="str">
        <f>IF(M67="","",VLOOKUP(M67,引用表合并!$A:$B,2,FALSE))</f>
        <v>马仔经验合剂</v>
      </c>
      <c r="M67" s="66">
        <f t="shared" si="23"/>
        <v>91200</v>
      </c>
      <c r="N67" s="66">
        <f t="shared" ref="N67:N130" si="30">BS67</f>
        <v>3</v>
      </c>
      <c r="O67" s="66">
        <f t="shared" ref="O67:O130" si="31">IF(MOD(MOD($A67,100),15)=0,500,IF(MOD(MOD($A67,100),3)=0,1500,2500))+K67</f>
        <v>4500</v>
      </c>
      <c r="P67" s="66" t="str">
        <f>IF(Q67="","",VLOOKUP(Q67,引用表合并!$A:$B,2,FALSE))</f>
        <v>马仔经验合剂</v>
      </c>
      <c r="Q67" s="66">
        <f t="shared" si="19"/>
        <v>91200</v>
      </c>
      <c r="R67" s="66">
        <f t="shared" ref="R67:R130" si="32">BU67</f>
        <v>3</v>
      </c>
      <c r="S67" s="66">
        <f t="shared" ref="S67:S130" si="33">IF(MOD(MOD($A67,100),15)=0,500,IF(MOD(MOD($A67,100),3)=0,1500,2500))+O67</f>
        <v>6000</v>
      </c>
      <c r="T67" s="31" t="str">
        <f>IF(U67="","",VLOOKUP(U67,引用表合并!$A:$B,2,FALSE))</f>
        <v>马仔碎片(靓坤)</v>
      </c>
      <c r="U67" s="31">
        <v>78106</v>
      </c>
      <c r="V67" s="66">
        <v>2</v>
      </c>
      <c r="W67" s="66">
        <v>7000</v>
      </c>
      <c r="X67" s="31" t="str">
        <f>IF(Y67="","",VLOOKUP(Y67,引用表合并!$A:$B,2,FALSE))</f>
        <v>马仔碎片(雷复轰)</v>
      </c>
      <c r="Y67" s="66">
        <v>78107</v>
      </c>
      <c r="Z67" s="31">
        <v>2</v>
      </c>
      <c r="AA67" s="31">
        <v>8000</v>
      </c>
      <c r="AB67" s="31" t="str">
        <f>IF(AC67="","",VLOOKUP(AC67,引用表合并!$A:$B,2,FALSE))</f>
        <v>马仔碎片(肥仔)</v>
      </c>
      <c r="AC67" s="66">
        <v>78108</v>
      </c>
      <c r="AD67" s="31">
        <v>2</v>
      </c>
      <c r="AE67" s="31">
        <v>9000</v>
      </c>
      <c r="AF67" s="31" t="str">
        <f>IF(AG67="","",VLOOKUP(AG67,引用表合并!$A:$B,2,FALSE))</f>
        <v>马仔碎片(巴闭)</v>
      </c>
      <c r="AG67" s="66">
        <v>78117</v>
      </c>
      <c r="AH67" s="31">
        <v>2</v>
      </c>
      <c r="AI67" s="31">
        <v>10000</v>
      </c>
      <c r="BM67" s="66">
        <f t="shared" si="25"/>
        <v>2.5</v>
      </c>
      <c r="BN67" s="31">
        <v>500</v>
      </c>
      <c r="BO67" s="66">
        <v>2</v>
      </c>
      <c r="BP67" s="31">
        <v>500</v>
      </c>
      <c r="BQ67" s="31">
        <v>2</v>
      </c>
      <c r="BR67" s="31">
        <v>500</v>
      </c>
      <c r="BS67" s="31">
        <v>3</v>
      </c>
      <c r="BT67" s="31">
        <v>500</v>
      </c>
      <c r="BU67" s="31">
        <v>3</v>
      </c>
      <c r="BV67" s="66">
        <f t="shared" ref="BV67:BV130" si="34">(BN67*BO67+BP67*BQ67+BR67*BS67+BT67*BU67)/4</f>
        <v>1250</v>
      </c>
    </row>
    <row r="68" spans="1:75" x14ac:dyDescent="0.15">
      <c r="A68" s="66">
        <f t="shared" si="17"/>
        <v>100507</v>
      </c>
      <c r="B68" s="66" t="s">
        <v>186</v>
      </c>
      <c r="C68" s="67">
        <f t="shared" si="16"/>
        <v>4</v>
      </c>
      <c r="D68" s="66" t="str">
        <f>IF(E68="","",VLOOKUP(E68,引用表合并!$A:$B,2,FALSE))</f>
        <v>马仔经验药水</v>
      </c>
      <c r="E68" s="66">
        <f t="shared" si="26"/>
        <v>91100</v>
      </c>
      <c r="F68" s="66">
        <f t="shared" si="24"/>
        <v>3</v>
      </c>
      <c r="G68" s="66">
        <f t="shared" si="27"/>
        <v>2500</v>
      </c>
      <c r="H68" s="66" t="str">
        <f>IF(I68="","",VLOOKUP(I68,引用表合并!$A:$B,2,FALSE))</f>
        <v>马仔经验药水</v>
      </c>
      <c r="I68" s="66">
        <f t="shared" si="20"/>
        <v>91100</v>
      </c>
      <c r="J68" s="66">
        <f t="shared" si="28"/>
        <v>3</v>
      </c>
      <c r="K68" s="66">
        <f t="shared" si="29"/>
        <v>5000</v>
      </c>
      <c r="L68" s="66" t="str">
        <f>IF(M68="","",VLOOKUP(M68,引用表合并!$A:$B,2,FALSE))</f>
        <v>马仔经验药水</v>
      </c>
      <c r="M68" s="66">
        <f t="shared" si="23"/>
        <v>91100</v>
      </c>
      <c r="N68" s="66">
        <f t="shared" si="30"/>
        <v>4</v>
      </c>
      <c r="O68" s="66">
        <f t="shared" si="31"/>
        <v>7500</v>
      </c>
      <c r="P68" s="66" t="str">
        <f>IF(Q68="","",VLOOKUP(Q68,引用表合并!$A:$B,2,FALSE))</f>
        <v>马仔经验药水</v>
      </c>
      <c r="Q68" s="66">
        <f t="shared" si="19"/>
        <v>91100</v>
      </c>
      <c r="R68" s="66">
        <f t="shared" si="32"/>
        <v>4</v>
      </c>
      <c r="S68" s="66">
        <f t="shared" si="33"/>
        <v>10000</v>
      </c>
      <c r="BM68" s="66">
        <f t="shared" si="25"/>
        <v>3.5</v>
      </c>
      <c r="BN68" s="31">
        <v>100</v>
      </c>
      <c r="BO68" s="66">
        <v>3</v>
      </c>
      <c r="BP68" s="31">
        <v>100</v>
      </c>
      <c r="BQ68" s="31">
        <v>3</v>
      </c>
      <c r="BR68" s="31">
        <v>100</v>
      </c>
      <c r="BS68" s="31">
        <v>4</v>
      </c>
      <c r="BT68" s="31">
        <v>100</v>
      </c>
      <c r="BU68" s="31">
        <v>4</v>
      </c>
      <c r="BV68" s="66">
        <f t="shared" si="34"/>
        <v>350</v>
      </c>
    </row>
    <row r="69" spans="1:75" x14ac:dyDescent="0.15">
      <c r="A69" s="66">
        <f t="shared" si="17"/>
        <v>100508</v>
      </c>
      <c r="B69" s="66" t="s">
        <v>187</v>
      </c>
      <c r="C69" s="67">
        <f t="shared" si="16"/>
        <v>4</v>
      </c>
      <c r="D69" s="66" t="str">
        <f>IF(E69="","",VLOOKUP(E69,引用表合并!$A:$B,2,FALSE))</f>
        <v>马仔经验药水</v>
      </c>
      <c r="E69" s="66">
        <f t="shared" si="26"/>
        <v>91100</v>
      </c>
      <c r="F69" s="66">
        <f t="shared" si="24"/>
        <v>3</v>
      </c>
      <c r="G69" s="66">
        <f t="shared" si="27"/>
        <v>2500</v>
      </c>
      <c r="H69" s="66" t="str">
        <f>IF(I69="","",VLOOKUP(I69,引用表合并!$A:$B,2,FALSE))</f>
        <v>马仔经验药水</v>
      </c>
      <c r="I69" s="66">
        <f t="shared" si="20"/>
        <v>91100</v>
      </c>
      <c r="J69" s="66">
        <f t="shared" si="28"/>
        <v>4</v>
      </c>
      <c r="K69" s="66">
        <f t="shared" si="29"/>
        <v>5000</v>
      </c>
      <c r="L69" s="66" t="str">
        <f>IF(M69="","",VLOOKUP(M69,引用表合并!$A:$B,2,FALSE))</f>
        <v>马仔经验药水</v>
      </c>
      <c r="M69" s="66">
        <f t="shared" si="23"/>
        <v>91100</v>
      </c>
      <c r="N69" s="66">
        <f t="shared" si="30"/>
        <v>4</v>
      </c>
      <c r="O69" s="66">
        <f t="shared" si="31"/>
        <v>7500</v>
      </c>
      <c r="P69" s="66" t="str">
        <f>IF(Q69="","",VLOOKUP(Q69,引用表合并!$A:$B,2,FALSE))</f>
        <v>马仔经验药水</v>
      </c>
      <c r="Q69" s="66">
        <f t="shared" si="19"/>
        <v>91100</v>
      </c>
      <c r="R69" s="66">
        <f t="shared" si="32"/>
        <v>5</v>
      </c>
      <c r="S69" s="66">
        <f t="shared" si="33"/>
        <v>10000</v>
      </c>
      <c r="BM69" s="66">
        <f t="shared" si="25"/>
        <v>4</v>
      </c>
      <c r="BN69" s="31">
        <v>100</v>
      </c>
      <c r="BO69" s="66">
        <v>3</v>
      </c>
      <c r="BP69" s="31">
        <v>100</v>
      </c>
      <c r="BQ69" s="31">
        <v>4</v>
      </c>
      <c r="BR69" s="31">
        <v>100</v>
      </c>
      <c r="BS69" s="31">
        <v>4</v>
      </c>
      <c r="BT69" s="31">
        <v>100</v>
      </c>
      <c r="BU69" s="31">
        <v>5</v>
      </c>
      <c r="BV69" s="66">
        <f t="shared" si="34"/>
        <v>400</v>
      </c>
    </row>
    <row r="70" spans="1:75" x14ac:dyDescent="0.15">
      <c r="A70" s="66">
        <f t="shared" si="17"/>
        <v>100509</v>
      </c>
      <c r="B70" s="66" t="s">
        <v>188</v>
      </c>
      <c r="C70" s="67">
        <f t="shared" si="16"/>
        <v>8</v>
      </c>
      <c r="D70" s="66" t="str">
        <f>IF(E70="","",VLOOKUP(E70,引用表合并!$A:$B,2,FALSE))</f>
        <v>马仔经验合剂</v>
      </c>
      <c r="E70" s="66">
        <f t="shared" si="26"/>
        <v>91200</v>
      </c>
      <c r="F70" s="66">
        <f t="shared" si="24"/>
        <v>3</v>
      </c>
      <c r="G70" s="66">
        <f t="shared" si="27"/>
        <v>1500</v>
      </c>
      <c r="H70" s="66" t="str">
        <f>IF(I70="","",VLOOKUP(I70,引用表合并!$A:$B,2,FALSE))</f>
        <v>马仔经验合剂</v>
      </c>
      <c r="I70" s="66">
        <f t="shared" si="20"/>
        <v>91200</v>
      </c>
      <c r="J70" s="66">
        <f t="shared" si="28"/>
        <v>3</v>
      </c>
      <c r="K70" s="66">
        <f t="shared" si="29"/>
        <v>3000</v>
      </c>
      <c r="L70" s="66" t="str">
        <f>IF(M70="","",VLOOKUP(M70,引用表合并!$A:$B,2,FALSE))</f>
        <v>马仔经验合剂</v>
      </c>
      <c r="M70" s="66">
        <f t="shared" si="23"/>
        <v>91200</v>
      </c>
      <c r="N70" s="66">
        <f t="shared" si="30"/>
        <v>3</v>
      </c>
      <c r="O70" s="66">
        <f t="shared" si="31"/>
        <v>4500</v>
      </c>
      <c r="P70" s="66" t="str">
        <f>IF(Q70="","",VLOOKUP(Q70,引用表合并!$A:$B,2,FALSE))</f>
        <v>马仔经验合剂</v>
      </c>
      <c r="Q70" s="66">
        <f t="shared" si="19"/>
        <v>91200</v>
      </c>
      <c r="R70" s="66">
        <f t="shared" si="32"/>
        <v>4</v>
      </c>
      <c r="S70" s="66">
        <f t="shared" si="33"/>
        <v>6000</v>
      </c>
      <c r="T70" s="31" t="str">
        <f>IF(U70="","",VLOOKUP(U70,引用表合并!$A:$B,2,FALSE))</f>
        <v>马仔碎片(靓坤)</v>
      </c>
      <c r="U70" s="31">
        <v>78106</v>
      </c>
      <c r="V70" s="66">
        <v>3</v>
      </c>
      <c r="W70" s="66">
        <v>7000</v>
      </c>
      <c r="X70" s="31" t="str">
        <f>IF(Y70="","",VLOOKUP(Y70,引用表合并!$A:$B,2,FALSE))</f>
        <v>马仔碎片(雷复轰)</v>
      </c>
      <c r="Y70" s="66">
        <v>78107</v>
      </c>
      <c r="Z70" s="31">
        <v>3</v>
      </c>
      <c r="AA70" s="31">
        <v>8000</v>
      </c>
      <c r="AB70" s="31" t="str">
        <f>IF(AC70="","",VLOOKUP(AC70,引用表合并!$A:$B,2,FALSE))</f>
        <v>马仔碎片(肥仔)</v>
      </c>
      <c r="AC70" s="66">
        <v>78108</v>
      </c>
      <c r="AD70" s="31">
        <v>3</v>
      </c>
      <c r="AE70" s="31">
        <v>9000</v>
      </c>
      <c r="AF70" s="31" t="str">
        <f>IF(AG70="","",VLOOKUP(AG70,引用表合并!$A:$B,2,FALSE))</f>
        <v>马仔碎片(巴闭)</v>
      </c>
      <c r="AG70" s="66">
        <v>78117</v>
      </c>
      <c r="AH70" s="31">
        <v>3</v>
      </c>
      <c r="AI70" s="31">
        <v>10000</v>
      </c>
      <c r="BM70" s="66">
        <f t="shared" si="25"/>
        <v>3.25</v>
      </c>
      <c r="BN70" s="31">
        <v>500</v>
      </c>
      <c r="BO70" s="66">
        <v>3</v>
      </c>
      <c r="BP70" s="31">
        <v>500</v>
      </c>
      <c r="BQ70" s="31">
        <v>3</v>
      </c>
      <c r="BR70" s="31">
        <v>500</v>
      </c>
      <c r="BS70" s="31">
        <v>3</v>
      </c>
      <c r="BT70" s="31">
        <v>500</v>
      </c>
      <c r="BU70" s="31">
        <v>4</v>
      </c>
      <c r="BV70" s="66">
        <f t="shared" si="34"/>
        <v>1625</v>
      </c>
    </row>
    <row r="71" spans="1:75" x14ac:dyDescent="0.15">
      <c r="A71" s="66">
        <f t="shared" si="17"/>
        <v>100510</v>
      </c>
      <c r="B71" s="66" t="s">
        <v>189</v>
      </c>
      <c r="C71" s="67">
        <f t="shared" ref="C71:C106" si="35">CHOOSE(2,1,COUNT(F71,J71,N71,R71,V71,Z71,AD71,AH71,AL71,AP71,AT71,AX71,BB71,BF71,BJ71))</f>
        <v>4</v>
      </c>
      <c r="D71" s="66" t="str">
        <f>IF(E71="","",VLOOKUP(E71,引用表合并!$A:$B,2,FALSE))</f>
        <v>马仔经验药水</v>
      </c>
      <c r="E71" s="66">
        <f t="shared" si="26"/>
        <v>91100</v>
      </c>
      <c r="F71" s="66">
        <f t="shared" si="24"/>
        <v>4</v>
      </c>
      <c r="G71" s="66">
        <f t="shared" si="27"/>
        <v>2500</v>
      </c>
      <c r="H71" s="66" t="str">
        <f>IF(I71="","",VLOOKUP(I71,引用表合并!$A:$B,2,FALSE))</f>
        <v>马仔经验药水</v>
      </c>
      <c r="I71" s="66">
        <f t="shared" si="20"/>
        <v>91100</v>
      </c>
      <c r="J71" s="66">
        <f t="shared" si="28"/>
        <v>4</v>
      </c>
      <c r="K71" s="66">
        <f t="shared" si="29"/>
        <v>5000</v>
      </c>
      <c r="L71" s="66" t="str">
        <f>IF(M71="","",VLOOKUP(M71,引用表合并!$A:$B,2,FALSE))</f>
        <v>马仔经验药水</v>
      </c>
      <c r="M71" s="66">
        <f t="shared" si="23"/>
        <v>91100</v>
      </c>
      <c r="N71" s="66">
        <f t="shared" si="30"/>
        <v>5</v>
      </c>
      <c r="O71" s="66">
        <f t="shared" si="31"/>
        <v>7500</v>
      </c>
      <c r="P71" s="66" t="str">
        <f>IF(Q71="","",VLOOKUP(Q71,引用表合并!$A:$B,2,FALSE))</f>
        <v>马仔经验药水</v>
      </c>
      <c r="Q71" s="66">
        <f t="shared" si="19"/>
        <v>91100</v>
      </c>
      <c r="R71" s="66">
        <f t="shared" si="32"/>
        <v>5</v>
      </c>
      <c r="S71" s="66">
        <f t="shared" si="33"/>
        <v>10000</v>
      </c>
      <c r="BM71" s="66">
        <f t="shared" si="25"/>
        <v>4.5</v>
      </c>
      <c r="BN71" s="31">
        <v>100</v>
      </c>
      <c r="BO71" s="66">
        <v>4</v>
      </c>
      <c r="BP71" s="31">
        <v>100</v>
      </c>
      <c r="BQ71" s="31">
        <v>4</v>
      </c>
      <c r="BR71" s="31">
        <v>100</v>
      </c>
      <c r="BS71" s="31">
        <v>5</v>
      </c>
      <c r="BT71" s="31">
        <v>100</v>
      </c>
      <c r="BU71" s="31">
        <v>5</v>
      </c>
      <c r="BV71" s="66">
        <f t="shared" si="34"/>
        <v>450</v>
      </c>
    </row>
    <row r="72" spans="1:75" x14ac:dyDescent="0.15">
      <c r="A72" s="66">
        <f t="shared" si="17"/>
        <v>100511</v>
      </c>
      <c r="B72" s="66" t="s">
        <v>190</v>
      </c>
      <c r="C72" s="67">
        <f t="shared" si="35"/>
        <v>4</v>
      </c>
      <c r="D72" s="66" t="str">
        <f>IF(E72="","",VLOOKUP(E72,引用表合并!$A:$B,2,FALSE))</f>
        <v>马仔经验药水</v>
      </c>
      <c r="E72" s="66">
        <f t="shared" si="26"/>
        <v>91100</v>
      </c>
      <c r="F72" s="66">
        <f t="shared" si="24"/>
        <v>4</v>
      </c>
      <c r="G72" s="66">
        <f t="shared" si="27"/>
        <v>2500</v>
      </c>
      <c r="H72" s="66" t="str">
        <f>IF(I72="","",VLOOKUP(I72,引用表合并!$A:$B,2,FALSE))</f>
        <v>马仔经验药水</v>
      </c>
      <c r="I72" s="66">
        <f t="shared" si="20"/>
        <v>91100</v>
      </c>
      <c r="J72" s="66">
        <f t="shared" si="28"/>
        <v>5</v>
      </c>
      <c r="K72" s="66">
        <f t="shared" si="29"/>
        <v>5000</v>
      </c>
      <c r="L72" s="66" t="str">
        <f>IF(M72="","",VLOOKUP(M72,引用表合并!$A:$B,2,FALSE))</f>
        <v>马仔经验药水</v>
      </c>
      <c r="M72" s="66">
        <f t="shared" si="23"/>
        <v>91100</v>
      </c>
      <c r="N72" s="66">
        <f t="shared" si="30"/>
        <v>5</v>
      </c>
      <c r="O72" s="66">
        <f t="shared" si="31"/>
        <v>7500</v>
      </c>
      <c r="P72" s="66" t="str">
        <f>IF(Q72="","",VLOOKUP(Q72,引用表合并!$A:$B,2,FALSE))</f>
        <v>马仔经验药水</v>
      </c>
      <c r="Q72" s="66">
        <f t="shared" si="19"/>
        <v>91100</v>
      </c>
      <c r="R72" s="66">
        <f t="shared" si="32"/>
        <v>6</v>
      </c>
      <c r="S72" s="66">
        <f t="shared" si="33"/>
        <v>10000</v>
      </c>
      <c r="BM72" s="66">
        <f t="shared" si="25"/>
        <v>5</v>
      </c>
      <c r="BN72" s="31">
        <v>100</v>
      </c>
      <c r="BO72" s="66">
        <v>4</v>
      </c>
      <c r="BP72" s="31">
        <v>100</v>
      </c>
      <c r="BQ72" s="31">
        <v>5</v>
      </c>
      <c r="BR72" s="31">
        <v>100</v>
      </c>
      <c r="BS72" s="31">
        <v>5</v>
      </c>
      <c r="BT72" s="31">
        <v>100</v>
      </c>
      <c r="BU72" s="31">
        <v>6</v>
      </c>
      <c r="BV72" s="66">
        <f t="shared" si="34"/>
        <v>500</v>
      </c>
    </row>
    <row r="73" spans="1:75" x14ac:dyDescent="0.15">
      <c r="A73" s="66">
        <f t="shared" si="17"/>
        <v>100512</v>
      </c>
      <c r="B73" s="66" t="s">
        <v>191</v>
      </c>
      <c r="C73" s="67">
        <f t="shared" si="35"/>
        <v>8</v>
      </c>
      <c r="D73" s="66" t="str">
        <f>IF(E73="","",VLOOKUP(E73,引用表合并!$A:$B,2,FALSE))</f>
        <v>马仔经验合剂</v>
      </c>
      <c r="E73" s="66">
        <f t="shared" si="26"/>
        <v>91200</v>
      </c>
      <c r="F73" s="66">
        <f t="shared" si="24"/>
        <v>4</v>
      </c>
      <c r="G73" s="66">
        <f t="shared" si="27"/>
        <v>1500</v>
      </c>
      <c r="H73" s="66" t="str">
        <f>IF(I73="","",VLOOKUP(I73,引用表合并!$A:$B,2,FALSE))</f>
        <v>马仔经验合剂</v>
      </c>
      <c r="I73" s="66">
        <f t="shared" si="20"/>
        <v>91200</v>
      </c>
      <c r="J73" s="66">
        <f t="shared" si="28"/>
        <v>4</v>
      </c>
      <c r="K73" s="66">
        <f t="shared" si="29"/>
        <v>3000</v>
      </c>
      <c r="L73" s="66" t="str">
        <f>IF(M73="","",VLOOKUP(M73,引用表合并!$A:$B,2,FALSE))</f>
        <v>马仔经验合剂</v>
      </c>
      <c r="M73" s="66">
        <f t="shared" si="23"/>
        <v>91200</v>
      </c>
      <c r="N73" s="66">
        <f t="shared" si="30"/>
        <v>4</v>
      </c>
      <c r="O73" s="66">
        <f t="shared" si="31"/>
        <v>4500</v>
      </c>
      <c r="P73" s="66" t="str">
        <f>IF(Q73="","",VLOOKUP(Q73,引用表合并!$A:$B,2,FALSE))</f>
        <v>马仔经验合剂</v>
      </c>
      <c r="Q73" s="66">
        <f t="shared" si="19"/>
        <v>91200</v>
      </c>
      <c r="R73" s="66">
        <f t="shared" si="32"/>
        <v>5</v>
      </c>
      <c r="S73" s="66">
        <f t="shared" si="33"/>
        <v>6000</v>
      </c>
      <c r="T73" s="31" t="str">
        <f>IF(U73="","",VLOOKUP(U73,引用表合并!$A:$B,2,FALSE))</f>
        <v>马仔碎片(赌王)</v>
      </c>
      <c r="U73" s="31">
        <v>78111</v>
      </c>
      <c r="V73" s="66">
        <v>1</v>
      </c>
      <c r="W73" s="66">
        <v>7000</v>
      </c>
      <c r="X73" s="31" t="str">
        <f>IF(Y73="","",VLOOKUP(Y73,引用表合并!$A:$B,2,FALSE))</f>
        <v>马仔碎片(山下忠秀)</v>
      </c>
      <c r="Y73" s="31">
        <v>78112</v>
      </c>
      <c r="Z73" s="31">
        <v>1</v>
      </c>
      <c r="AA73" s="31">
        <v>8000</v>
      </c>
      <c r="AB73" s="31" t="str">
        <f>IF(AC73="","",VLOOKUP(AC73,引用表合并!$A:$B,2,FALSE))</f>
        <v>马仔碎片(宫本一)</v>
      </c>
      <c r="AC73" s="66">
        <v>78113</v>
      </c>
      <c r="AD73" s="31">
        <v>1</v>
      </c>
      <c r="AE73" s="31">
        <v>9000</v>
      </c>
      <c r="AF73" s="31" t="str">
        <f>IF(AG73="","",VLOOKUP(AG73,引用表合并!$A:$B,2,FALSE))</f>
        <v>马仔碎片(笑面虎)</v>
      </c>
      <c r="AG73" s="66">
        <v>78119</v>
      </c>
      <c r="AH73" s="31">
        <v>1</v>
      </c>
      <c r="AI73" s="31">
        <v>10000</v>
      </c>
      <c r="BM73" s="66">
        <f t="shared" si="25"/>
        <v>4.25</v>
      </c>
      <c r="BN73" s="31">
        <v>500</v>
      </c>
      <c r="BO73" s="66">
        <v>4</v>
      </c>
      <c r="BP73" s="31">
        <v>500</v>
      </c>
      <c r="BQ73" s="31">
        <v>4</v>
      </c>
      <c r="BR73" s="31">
        <v>500</v>
      </c>
      <c r="BS73" s="31">
        <v>4</v>
      </c>
      <c r="BT73" s="31">
        <v>500</v>
      </c>
      <c r="BU73" s="31">
        <v>5</v>
      </c>
      <c r="BV73" s="66">
        <f t="shared" si="34"/>
        <v>2125</v>
      </c>
    </row>
    <row r="74" spans="1:75" x14ac:dyDescent="0.15">
      <c r="A74" s="66">
        <f t="shared" si="17"/>
        <v>100513</v>
      </c>
      <c r="B74" s="66" t="s">
        <v>192</v>
      </c>
      <c r="C74" s="67">
        <f t="shared" si="35"/>
        <v>4</v>
      </c>
      <c r="D74" s="66" t="str">
        <f>IF(E74="","",VLOOKUP(E74,引用表合并!$A:$B,2,FALSE))</f>
        <v>马仔经验药水</v>
      </c>
      <c r="E74" s="66">
        <f t="shared" si="26"/>
        <v>91100</v>
      </c>
      <c r="F74" s="66">
        <f t="shared" si="24"/>
        <v>5</v>
      </c>
      <c r="G74" s="66">
        <f t="shared" si="27"/>
        <v>2500</v>
      </c>
      <c r="H74" s="66" t="str">
        <f>IF(I74="","",VLOOKUP(I74,引用表合并!$A:$B,2,FALSE))</f>
        <v>马仔经验药水</v>
      </c>
      <c r="I74" s="66">
        <f t="shared" si="20"/>
        <v>91100</v>
      </c>
      <c r="J74" s="66">
        <f t="shared" si="28"/>
        <v>5</v>
      </c>
      <c r="K74" s="66">
        <f t="shared" si="29"/>
        <v>5000</v>
      </c>
      <c r="L74" s="66" t="str">
        <f>IF(M74="","",VLOOKUP(M74,引用表合并!$A:$B,2,FALSE))</f>
        <v>马仔经验药水</v>
      </c>
      <c r="M74" s="66">
        <f t="shared" si="23"/>
        <v>91100</v>
      </c>
      <c r="N74" s="66">
        <f t="shared" si="30"/>
        <v>6</v>
      </c>
      <c r="O74" s="66">
        <f t="shared" si="31"/>
        <v>7500</v>
      </c>
      <c r="P74" s="66" t="str">
        <f>IF(Q74="","",VLOOKUP(Q74,引用表合并!$A:$B,2,FALSE))</f>
        <v>马仔经验药水</v>
      </c>
      <c r="Q74" s="66">
        <f t="shared" si="19"/>
        <v>91100</v>
      </c>
      <c r="R74" s="66">
        <f t="shared" si="32"/>
        <v>6</v>
      </c>
      <c r="S74" s="66">
        <f t="shared" si="33"/>
        <v>10000</v>
      </c>
      <c r="BM74" s="66">
        <f t="shared" si="25"/>
        <v>5.5</v>
      </c>
      <c r="BN74" s="31">
        <v>100</v>
      </c>
      <c r="BO74" s="66">
        <v>5</v>
      </c>
      <c r="BP74" s="31">
        <v>100</v>
      </c>
      <c r="BQ74" s="31">
        <v>5</v>
      </c>
      <c r="BR74" s="31">
        <v>100</v>
      </c>
      <c r="BS74" s="31">
        <v>6</v>
      </c>
      <c r="BT74" s="31">
        <v>100</v>
      </c>
      <c r="BU74" s="31">
        <v>6</v>
      </c>
      <c r="BV74" s="66">
        <f t="shared" si="34"/>
        <v>550</v>
      </c>
    </row>
    <row r="75" spans="1:75" x14ac:dyDescent="0.15">
      <c r="A75" s="66">
        <f t="shared" si="17"/>
        <v>100514</v>
      </c>
      <c r="B75" s="66" t="s">
        <v>193</v>
      </c>
      <c r="C75" s="67">
        <f t="shared" si="35"/>
        <v>4</v>
      </c>
      <c r="D75" s="66" t="str">
        <f>IF(E75="","",VLOOKUP(E75,引用表合并!$A:$B,2,FALSE))</f>
        <v>马仔经验药水</v>
      </c>
      <c r="E75" s="66">
        <f t="shared" si="26"/>
        <v>91100</v>
      </c>
      <c r="F75" s="66">
        <f t="shared" si="24"/>
        <v>5</v>
      </c>
      <c r="G75" s="66">
        <f t="shared" si="27"/>
        <v>2500</v>
      </c>
      <c r="H75" s="66" t="str">
        <f>IF(I75="","",VLOOKUP(I75,引用表合并!$A:$B,2,FALSE))</f>
        <v>马仔经验药水</v>
      </c>
      <c r="I75" s="66">
        <f t="shared" si="20"/>
        <v>91100</v>
      </c>
      <c r="J75" s="66">
        <f t="shared" si="28"/>
        <v>6</v>
      </c>
      <c r="K75" s="66">
        <f t="shared" si="29"/>
        <v>5000</v>
      </c>
      <c r="L75" s="66" t="str">
        <f>IF(M75="","",VLOOKUP(M75,引用表合并!$A:$B,2,FALSE))</f>
        <v>马仔经验药水</v>
      </c>
      <c r="M75" s="66">
        <f t="shared" si="23"/>
        <v>91100</v>
      </c>
      <c r="N75" s="66">
        <f t="shared" si="30"/>
        <v>6</v>
      </c>
      <c r="O75" s="66">
        <f t="shared" si="31"/>
        <v>7500</v>
      </c>
      <c r="P75" s="66" t="str">
        <f>IF(Q75="","",VLOOKUP(Q75,引用表合并!$A:$B,2,FALSE))</f>
        <v>马仔经验药水</v>
      </c>
      <c r="Q75" s="66">
        <f t="shared" si="19"/>
        <v>91100</v>
      </c>
      <c r="R75" s="66">
        <f t="shared" si="32"/>
        <v>7</v>
      </c>
      <c r="S75" s="66">
        <f t="shared" si="33"/>
        <v>10000</v>
      </c>
      <c r="BM75" s="66">
        <f t="shared" si="25"/>
        <v>6</v>
      </c>
      <c r="BN75" s="31">
        <v>100</v>
      </c>
      <c r="BO75" s="66">
        <v>5</v>
      </c>
      <c r="BP75" s="31">
        <v>100</v>
      </c>
      <c r="BQ75" s="31">
        <v>6</v>
      </c>
      <c r="BR75" s="31">
        <v>100</v>
      </c>
      <c r="BS75" s="31">
        <v>6</v>
      </c>
      <c r="BT75" s="31">
        <v>100</v>
      </c>
      <c r="BU75" s="31">
        <v>7</v>
      </c>
      <c r="BV75" s="66">
        <f t="shared" si="34"/>
        <v>600</v>
      </c>
    </row>
    <row r="76" spans="1:75" x14ac:dyDescent="0.15">
      <c r="A76" s="66">
        <f t="shared" si="17"/>
        <v>100515</v>
      </c>
      <c r="B76" s="66" t="s">
        <v>194</v>
      </c>
      <c r="C76" s="67">
        <f t="shared" si="35"/>
        <v>9</v>
      </c>
      <c r="D76" s="66" t="str">
        <f>IF(E76="","",VLOOKUP(E76,引用表合并!$A:$B,2,FALSE))</f>
        <v>马仔经验甘露</v>
      </c>
      <c r="E76" s="66">
        <f t="shared" si="26"/>
        <v>91300</v>
      </c>
      <c r="F76" s="66">
        <f t="shared" si="24"/>
        <v>1</v>
      </c>
      <c r="G76" s="66">
        <f t="shared" si="27"/>
        <v>500</v>
      </c>
      <c r="H76" s="66" t="str">
        <f>IF(I76="","",VLOOKUP(I76,引用表合并!$A:$B,2,FALSE))</f>
        <v>马仔经验甘露</v>
      </c>
      <c r="I76" s="66">
        <f t="shared" si="20"/>
        <v>91300</v>
      </c>
      <c r="J76" s="66">
        <f t="shared" si="28"/>
        <v>1</v>
      </c>
      <c r="K76" s="66">
        <f t="shared" si="29"/>
        <v>1000</v>
      </c>
      <c r="L76" s="66" t="str">
        <f>IF(M76="","",VLOOKUP(M76,引用表合并!$A:$B,2,FALSE))</f>
        <v>马仔经验甘露</v>
      </c>
      <c r="M76" s="66">
        <f t="shared" si="23"/>
        <v>91300</v>
      </c>
      <c r="N76" s="66">
        <f t="shared" si="30"/>
        <v>2</v>
      </c>
      <c r="O76" s="66">
        <f t="shared" si="31"/>
        <v>1500</v>
      </c>
      <c r="P76" s="66" t="str">
        <f>IF(Q76="","",VLOOKUP(Q76,引用表合并!$A:$B,2,FALSE))</f>
        <v>马仔经验甘露</v>
      </c>
      <c r="Q76" s="66">
        <f t="shared" si="19"/>
        <v>91300</v>
      </c>
      <c r="R76" s="66">
        <f t="shared" si="32"/>
        <v>2</v>
      </c>
      <c r="S76" s="66">
        <f t="shared" si="33"/>
        <v>2000</v>
      </c>
      <c r="T76" s="31" t="str">
        <f>IF(U76="","",VLOOKUP(U76,引用表合并!$A:$B,2,FALSE))</f>
        <v>猛龙过江(3天)</v>
      </c>
      <c r="U76" s="31">
        <v>83108</v>
      </c>
      <c r="V76" s="31">
        <v>1</v>
      </c>
      <c r="W76" s="31">
        <v>4000</v>
      </c>
      <c r="X76" s="31" t="str">
        <f>IF(Y76="","",VLOOKUP(Y76,引用表合并!$A:$B,2,FALSE))</f>
        <v>马仔碎片(山下忠秀)</v>
      </c>
      <c r="Y76" s="31">
        <v>78112</v>
      </c>
      <c r="Z76" s="31">
        <v>2</v>
      </c>
      <c r="AA76" s="31">
        <v>5500</v>
      </c>
      <c r="AB76" s="31" t="str">
        <f>IF(AC76="","",VLOOKUP(AC76,引用表合并!$A:$B,2,FALSE))</f>
        <v>马仔碎片(山下忠秀)</v>
      </c>
      <c r="AC76" s="66">
        <v>78112</v>
      </c>
      <c r="AD76" s="31">
        <v>2</v>
      </c>
      <c r="AE76" s="31">
        <v>7000</v>
      </c>
      <c r="AF76" s="31" t="str">
        <f>IF(AG76="","",VLOOKUP(AG76,引用表合并!$A:$B,2,FALSE))</f>
        <v>马仔碎片(宫本一)</v>
      </c>
      <c r="AG76" s="66">
        <v>78113</v>
      </c>
      <c r="AH76" s="31">
        <v>2</v>
      </c>
      <c r="AI76" s="31">
        <v>8500</v>
      </c>
      <c r="AJ76" s="31" t="str">
        <f>IF(AK76="","",VLOOKUP(AK76,引用表合并!$A:$B,2,FALSE))</f>
        <v>马仔碎片(笑面虎)</v>
      </c>
      <c r="AK76" s="31">
        <v>78119</v>
      </c>
      <c r="AL76" s="31">
        <v>2</v>
      </c>
      <c r="AM76" s="31">
        <v>10000</v>
      </c>
      <c r="AN76" s="66" t="str">
        <f>IF(AO76="","",VLOOKUP(AO76,引用表合并!$A:$B,2,FALSE))</f>
        <v/>
      </c>
      <c r="AR76" s="66" t="str">
        <f>IF(AS76="","",VLOOKUP(AS76,引用表合并!$A:$B,2,FALSE))</f>
        <v/>
      </c>
      <c r="AV76" s="66" t="str">
        <f>IF(AW76="","",VLOOKUP(AW76,引用表合并!$A:$B,2,FALSE))</f>
        <v/>
      </c>
      <c r="AZ76" s="66" t="str">
        <f>IF(BA76="","",VLOOKUP(BA76,引用表合并!$A:$B,2,FALSE))</f>
        <v/>
      </c>
      <c r="BM76" s="66">
        <f t="shared" si="25"/>
        <v>1.5</v>
      </c>
      <c r="BN76" s="31">
        <v>2500</v>
      </c>
      <c r="BO76" s="66">
        <v>1</v>
      </c>
      <c r="BP76" s="31">
        <v>2500</v>
      </c>
      <c r="BQ76" s="31">
        <v>1</v>
      </c>
      <c r="BR76" s="31">
        <v>2500</v>
      </c>
      <c r="BS76" s="31">
        <v>2</v>
      </c>
      <c r="BT76" s="31">
        <v>2500</v>
      </c>
      <c r="BU76" s="31">
        <v>2</v>
      </c>
      <c r="BV76" s="66">
        <f t="shared" si="34"/>
        <v>3750</v>
      </c>
      <c r="BW76" s="66">
        <f>SUM(BV62:BV76)</f>
        <v>13500</v>
      </c>
    </row>
    <row r="77" spans="1:75" x14ac:dyDescent="0.15">
      <c r="A77" s="66">
        <f t="shared" si="17"/>
        <v>100601</v>
      </c>
      <c r="B77" s="66" t="s">
        <v>195</v>
      </c>
      <c r="C77" s="67">
        <f t="shared" si="35"/>
        <v>4</v>
      </c>
      <c r="D77" s="66" t="str">
        <f>IF(E77="","",VLOOKUP(E77,引用表合并!$A:$B,2,FALSE))</f>
        <v>马仔经验药水</v>
      </c>
      <c r="E77" s="66">
        <f t="shared" si="26"/>
        <v>91100</v>
      </c>
      <c r="F77" s="66">
        <f t="shared" si="24"/>
        <v>1</v>
      </c>
      <c r="G77" s="66">
        <f t="shared" si="27"/>
        <v>2500</v>
      </c>
      <c r="H77" s="66" t="str">
        <f>IF(I77="","",VLOOKUP(I77,引用表合并!$A:$B,2,FALSE))</f>
        <v>马仔经验药水</v>
      </c>
      <c r="I77" s="66">
        <f t="shared" si="20"/>
        <v>91100</v>
      </c>
      <c r="J77" s="66">
        <f t="shared" si="28"/>
        <v>1</v>
      </c>
      <c r="K77" s="66">
        <f t="shared" si="29"/>
        <v>5000</v>
      </c>
      <c r="L77" s="66" t="str">
        <f>IF(M77="","",VLOOKUP(M77,引用表合并!$A:$B,2,FALSE))</f>
        <v>马仔经验药水</v>
      </c>
      <c r="M77" s="66">
        <f t="shared" si="23"/>
        <v>91100</v>
      </c>
      <c r="N77" s="66">
        <f t="shared" si="30"/>
        <v>2</v>
      </c>
      <c r="O77" s="66">
        <f t="shared" si="31"/>
        <v>7500</v>
      </c>
      <c r="P77" s="66" t="str">
        <f>IF(Q77="","",VLOOKUP(Q77,引用表合并!$A:$B,2,FALSE))</f>
        <v>马仔经验药水</v>
      </c>
      <c r="Q77" s="66">
        <f t="shared" si="19"/>
        <v>91100</v>
      </c>
      <c r="R77" s="66">
        <f t="shared" si="32"/>
        <v>2</v>
      </c>
      <c r="S77" s="66">
        <f t="shared" si="33"/>
        <v>10000</v>
      </c>
      <c r="T77" s="66" t="str">
        <f>IF(U77="","",VLOOKUP(U77,引用表合并!$A:$B,2,FALSE))</f>
        <v/>
      </c>
      <c r="U77" s="69"/>
      <c r="W77" s="31"/>
      <c r="X77" s="66" t="str">
        <f>IF(Y77="","",VLOOKUP(Y77,引用表合并!$A:$B,2,FALSE))</f>
        <v/>
      </c>
      <c r="AA77" s="31"/>
      <c r="AB77" s="66" t="str">
        <f>IF(AC77="","",VLOOKUP(AC77,引用表合并!$A:$B,2,FALSE))</f>
        <v/>
      </c>
      <c r="AC77" s="68"/>
      <c r="AE77" s="31"/>
      <c r="AF77" s="66" t="str">
        <f>IF(AG77="","",VLOOKUP(AG77,引用表合并!$A:$B,2,FALSE))</f>
        <v/>
      </c>
      <c r="AI77" s="31"/>
      <c r="AJ77" s="66" t="str">
        <f>IF(AK77="","",VLOOKUP(AK77,引用表合并!$A:$B,2,FALSE))</f>
        <v/>
      </c>
      <c r="AM77" s="31"/>
      <c r="BM77" s="66">
        <f t="shared" si="25"/>
        <v>1.5</v>
      </c>
      <c r="BN77" s="31">
        <v>100</v>
      </c>
      <c r="BO77" s="66">
        <v>1</v>
      </c>
      <c r="BP77" s="31">
        <v>100</v>
      </c>
      <c r="BQ77" s="31">
        <v>1</v>
      </c>
      <c r="BR77" s="31">
        <v>100</v>
      </c>
      <c r="BS77" s="31">
        <v>2</v>
      </c>
      <c r="BT77" s="31">
        <v>100</v>
      </c>
      <c r="BU77" s="31">
        <v>2</v>
      </c>
      <c r="BV77" s="66">
        <f t="shared" si="34"/>
        <v>150</v>
      </c>
    </row>
    <row r="78" spans="1:75" x14ac:dyDescent="0.15">
      <c r="A78" s="66">
        <f t="shared" si="17"/>
        <v>100602</v>
      </c>
      <c r="B78" s="66" t="s">
        <v>196</v>
      </c>
      <c r="C78" s="67">
        <f t="shared" si="35"/>
        <v>4</v>
      </c>
      <c r="D78" s="66" t="str">
        <f>IF(E78="","",VLOOKUP(E78,引用表合并!$A:$B,2,FALSE))</f>
        <v>马仔经验药水</v>
      </c>
      <c r="E78" s="66">
        <f t="shared" si="26"/>
        <v>91100</v>
      </c>
      <c r="F78" s="66">
        <f t="shared" si="24"/>
        <v>1</v>
      </c>
      <c r="G78" s="66">
        <f t="shared" si="27"/>
        <v>2500</v>
      </c>
      <c r="H78" s="66" t="str">
        <f>IF(I78="","",VLOOKUP(I78,引用表合并!$A:$B,2,FALSE))</f>
        <v>马仔经验药水</v>
      </c>
      <c r="I78" s="66">
        <f t="shared" si="20"/>
        <v>91100</v>
      </c>
      <c r="J78" s="66">
        <f t="shared" si="28"/>
        <v>2</v>
      </c>
      <c r="K78" s="66">
        <f t="shared" si="29"/>
        <v>5000</v>
      </c>
      <c r="L78" s="66" t="str">
        <f>IF(M78="","",VLOOKUP(M78,引用表合并!$A:$B,2,FALSE))</f>
        <v>马仔经验药水</v>
      </c>
      <c r="M78" s="66">
        <f t="shared" si="23"/>
        <v>91100</v>
      </c>
      <c r="N78" s="66">
        <f t="shared" si="30"/>
        <v>2</v>
      </c>
      <c r="O78" s="66">
        <f t="shared" si="31"/>
        <v>7500</v>
      </c>
      <c r="P78" s="66" t="str">
        <f>IF(Q78="","",VLOOKUP(Q78,引用表合并!$A:$B,2,FALSE))</f>
        <v>马仔经验药水</v>
      </c>
      <c r="Q78" s="66">
        <f t="shared" si="19"/>
        <v>91100</v>
      </c>
      <c r="R78" s="66">
        <f t="shared" si="32"/>
        <v>3</v>
      </c>
      <c r="S78" s="66">
        <f t="shared" si="33"/>
        <v>10000</v>
      </c>
      <c r="BM78" s="66">
        <f t="shared" si="25"/>
        <v>2</v>
      </c>
      <c r="BN78" s="31">
        <v>100</v>
      </c>
      <c r="BO78" s="66">
        <v>1</v>
      </c>
      <c r="BP78" s="31">
        <v>100</v>
      </c>
      <c r="BQ78" s="31">
        <v>2</v>
      </c>
      <c r="BR78" s="31">
        <v>100</v>
      </c>
      <c r="BS78" s="31">
        <v>2</v>
      </c>
      <c r="BT78" s="31">
        <v>100</v>
      </c>
      <c r="BU78" s="31">
        <v>3</v>
      </c>
      <c r="BV78" s="66">
        <f t="shared" si="34"/>
        <v>200</v>
      </c>
    </row>
    <row r="79" spans="1:75" x14ac:dyDescent="0.15">
      <c r="A79" s="66">
        <f t="shared" si="17"/>
        <v>100603</v>
      </c>
      <c r="B79" s="66" t="s">
        <v>197</v>
      </c>
      <c r="C79" s="67">
        <f t="shared" si="35"/>
        <v>8</v>
      </c>
      <c r="D79" s="66" t="str">
        <f>IF(E79="","",VLOOKUP(E79,引用表合并!$A:$B,2,FALSE))</f>
        <v>马仔经验合剂</v>
      </c>
      <c r="E79" s="66">
        <f t="shared" si="26"/>
        <v>91200</v>
      </c>
      <c r="F79" s="66">
        <f t="shared" si="24"/>
        <v>2</v>
      </c>
      <c r="G79" s="66">
        <f t="shared" si="27"/>
        <v>1500</v>
      </c>
      <c r="H79" s="66" t="str">
        <f>IF(I79="","",VLOOKUP(I79,引用表合并!$A:$B,2,FALSE))</f>
        <v>马仔经验合剂</v>
      </c>
      <c r="I79" s="66">
        <f t="shared" ref="I79:I142" si="36">IF(BP79=100,91100,IF(BP79=500,91200,91300))</f>
        <v>91200</v>
      </c>
      <c r="J79" s="66">
        <f t="shared" si="28"/>
        <v>2</v>
      </c>
      <c r="K79" s="66">
        <f t="shared" si="29"/>
        <v>3000</v>
      </c>
      <c r="L79" s="66" t="str">
        <f>IF(M79="","",VLOOKUP(M79,引用表合并!$A:$B,2,FALSE))</f>
        <v>马仔经验合剂</v>
      </c>
      <c r="M79" s="66">
        <f t="shared" ref="M79:M142" si="37">IF(BR79=100,91100,IF(BR79=500,91200,91300))</f>
        <v>91200</v>
      </c>
      <c r="N79" s="66">
        <f t="shared" si="30"/>
        <v>2</v>
      </c>
      <c r="O79" s="66">
        <f t="shared" si="31"/>
        <v>4500</v>
      </c>
      <c r="P79" s="66" t="str">
        <f>IF(Q79="","",VLOOKUP(Q79,引用表合并!$A:$B,2,FALSE))</f>
        <v>马仔经验合剂</v>
      </c>
      <c r="Q79" s="66">
        <f t="shared" ref="Q79:Q142" si="38">IF(BT79=100,91100,IF(BT79=500,91200,91300))</f>
        <v>91200</v>
      </c>
      <c r="R79" s="66">
        <f t="shared" si="32"/>
        <v>3</v>
      </c>
      <c r="S79" s="66">
        <f t="shared" si="33"/>
        <v>6000</v>
      </c>
      <c r="T79" s="31" t="str">
        <f>IF(U79="","",VLOOKUP(U79,引用表合并!$A:$B,2,FALSE))</f>
        <v>马仔碎片(靓坤)</v>
      </c>
      <c r="U79" s="31">
        <v>78106</v>
      </c>
      <c r="V79" s="66">
        <v>1</v>
      </c>
      <c r="W79" s="66">
        <v>7000</v>
      </c>
      <c r="X79" s="31" t="str">
        <f>IF(Y79="","",VLOOKUP(Y79,引用表合并!$A:$B,2,FALSE))</f>
        <v>马仔碎片(雷复轰)</v>
      </c>
      <c r="Y79" s="66">
        <v>78107</v>
      </c>
      <c r="Z79" s="31">
        <v>1</v>
      </c>
      <c r="AA79" s="31">
        <v>8000</v>
      </c>
      <c r="AB79" s="31" t="str">
        <f>IF(AC79="","",VLOOKUP(AC79,引用表合并!$A:$B,2,FALSE))</f>
        <v>马仔碎片(肥仔)</v>
      </c>
      <c r="AC79" s="66">
        <v>78108</v>
      </c>
      <c r="AD79" s="31">
        <v>1</v>
      </c>
      <c r="AE79" s="31">
        <v>9000</v>
      </c>
      <c r="AF79" s="31" t="str">
        <f>IF(AG79="","",VLOOKUP(AG79,引用表合并!$A:$B,2,FALSE))</f>
        <v>马仔碎片(巴闭)</v>
      </c>
      <c r="AG79" s="66">
        <v>78117</v>
      </c>
      <c r="AH79" s="31">
        <v>1</v>
      </c>
      <c r="AI79" s="31">
        <v>10000</v>
      </c>
      <c r="BM79" s="66">
        <f t="shared" si="25"/>
        <v>2.25</v>
      </c>
      <c r="BN79" s="31">
        <v>500</v>
      </c>
      <c r="BO79" s="66">
        <v>2</v>
      </c>
      <c r="BP79" s="31">
        <v>500</v>
      </c>
      <c r="BQ79" s="31">
        <v>2</v>
      </c>
      <c r="BR79" s="31">
        <v>500</v>
      </c>
      <c r="BS79" s="31">
        <v>2</v>
      </c>
      <c r="BT79" s="31">
        <v>500</v>
      </c>
      <c r="BU79" s="31">
        <v>3</v>
      </c>
      <c r="BV79" s="66">
        <f t="shared" si="34"/>
        <v>1125</v>
      </c>
    </row>
    <row r="80" spans="1:75" x14ac:dyDescent="0.15">
      <c r="A80" s="66">
        <f t="shared" si="17"/>
        <v>100604</v>
      </c>
      <c r="B80" s="66" t="s">
        <v>198</v>
      </c>
      <c r="C80" s="67">
        <f t="shared" si="35"/>
        <v>4</v>
      </c>
      <c r="D80" s="66" t="str">
        <f>IF(E80="","",VLOOKUP(E80,引用表合并!$A:$B,2,FALSE))</f>
        <v>马仔经验药水</v>
      </c>
      <c r="E80" s="66">
        <f t="shared" si="26"/>
        <v>91100</v>
      </c>
      <c r="F80" s="66">
        <f t="shared" si="24"/>
        <v>2</v>
      </c>
      <c r="G80" s="66">
        <f t="shared" si="27"/>
        <v>2500</v>
      </c>
      <c r="H80" s="66" t="str">
        <f>IF(I80="","",VLOOKUP(I80,引用表合并!$A:$B,2,FALSE))</f>
        <v>马仔经验药水</v>
      </c>
      <c r="I80" s="66">
        <f t="shared" si="36"/>
        <v>91100</v>
      </c>
      <c r="J80" s="66">
        <f t="shared" si="28"/>
        <v>2</v>
      </c>
      <c r="K80" s="66">
        <f t="shared" si="29"/>
        <v>5000</v>
      </c>
      <c r="L80" s="66" t="str">
        <f>IF(M80="","",VLOOKUP(M80,引用表合并!$A:$B,2,FALSE))</f>
        <v>马仔经验药水</v>
      </c>
      <c r="M80" s="66">
        <f t="shared" si="37"/>
        <v>91100</v>
      </c>
      <c r="N80" s="66">
        <f t="shared" si="30"/>
        <v>3</v>
      </c>
      <c r="O80" s="66">
        <f t="shared" si="31"/>
        <v>7500</v>
      </c>
      <c r="P80" s="66" t="str">
        <f>IF(Q80="","",VLOOKUP(Q80,引用表合并!$A:$B,2,FALSE))</f>
        <v>马仔经验药水</v>
      </c>
      <c r="Q80" s="66">
        <f t="shared" si="38"/>
        <v>91100</v>
      </c>
      <c r="R80" s="66">
        <f t="shared" si="32"/>
        <v>3</v>
      </c>
      <c r="S80" s="66">
        <f t="shared" si="33"/>
        <v>10000</v>
      </c>
      <c r="BM80" s="66">
        <f t="shared" si="25"/>
        <v>2.5</v>
      </c>
      <c r="BN80" s="31">
        <v>100</v>
      </c>
      <c r="BO80" s="66">
        <v>2</v>
      </c>
      <c r="BP80" s="31">
        <v>100</v>
      </c>
      <c r="BQ80" s="31">
        <v>2</v>
      </c>
      <c r="BR80" s="31">
        <v>100</v>
      </c>
      <c r="BS80" s="31">
        <v>3</v>
      </c>
      <c r="BT80" s="31">
        <v>100</v>
      </c>
      <c r="BU80" s="31">
        <v>3</v>
      </c>
      <c r="BV80" s="66">
        <f t="shared" si="34"/>
        <v>250</v>
      </c>
    </row>
    <row r="81" spans="1:75" x14ac:dyDescent="0.15">
      <c r="A81" s="66">
        <f t="shared" si="17"/>
        <v>100605</v>
      </c>
      <c r="B81" s="66" t="s">
        <v>199</v>
      </c>
      <c r="C81" s="67">
        <f t="shared" si="35"/>
        <v>4</v>
      </c>
      <c r="D81" s="66" t="str">
        <f>IF(E81="","",VLOOKUP(E81,引用表合并!$A:$B,2,FALSE))</f>
        <v>马仔经验药水</v>
      </c>
      <c r="E81" s="66">
        <f t="shared" si="26"/>
        <v>91100</v>
      </c>
      <c r="F81" s="66">
        <f t="shared" si="24"/>
        <v>2</v>
      </c>
      <c r="G81" s="66">
        <f t="shared" si="27"/>
        <v>2500</v>
      </c>
      <c r="H81" s="66" t="str">
        <f>IF(I81="","",VLOOKUP(I81,引用表合并!$A:$B,2,FALSE))</f>
        <v>马仔经验药水</v>
      </c>
      <c r="I81" s="66">
        <f t="shared" si="36"/>
        <v>91100</v>
      </c>
      <c r="J81" s="66">
        <f t="shared" si="28"/>
        <v>3</v>
      </c>
      <c r="K81" s="66">
        <f t="shared" si="29"/>
        <v>5000</v>
      </c>
      <c r="L81" s="66" t="str">
        <f>IF(M81="","",VLOOKUP(M81,引用表合并!$A:$B,2,FALSE))</f>
        <v>马仔经验药水</v>
      </c>
      <c r="M81" s="66">
        <f t="shared" si="37"/>
        <v>91100</v>
      </c>
      <c r="N81" s="66">
        <f t="shared" si="30"/>
        <v>3</v>
      </c>
      <c r="O81" s="66">
        <f t="shared" si="31"/>
        <v>7500</v>
      </c>
      <c r="P81" s="66" t="str">
        <f>IF(Q81="","",VLOOKUP(Q81,引用表合并!$A:$B,2,FALSE))</f>
        <v>马仔经验药水</v>
      </c>
      <c r="Q81" s="66">
        <f t="shared" si="38"/>
        <v>91100</v>
      </c>
      <c r="R81" s="66">
        <f t="shared" si="32"/>
        <v>4</v>
      </c>
      <c r="S81" s="66">
        <f t="shared" si="33"/>
        <v>10000</v>
      </c>
      <c r="BM81" s="66">
        <f t="shared" si="25"/>
        <v>3</v>
      </c>
      <c r="BN81" s="31">
        <v>100</v>
      </c>
      <c r="BO81" s="66">
        <v>2</v>
      </c>
      <c r="BP81" s="31">
        <v>100</v>
      </c>
      <c r="BQ81" s="31">
        <v>3</v>
      </c>
      <c r="BR81" s="31">
        <v>100</v>
      </c>
      <c r="BS81" s="31">
        <v>3</v>
      </c>
      <c r="BT81" s="31">
        <v>100</v>
      </c>
      <c r="BU81" s="31">
        <v>4</v>
      </c>
      <c r="BV81" s="66">
        <f t="shared" si="34"/>
        <v>300</v>
      </c>
    </row>
    <row r="82" spans="1:75" x14ac:dyDescent="0.15">
      <c r="A82" s="66">
        <f t="shared" ref="A82:A136" si="39">A67+100</f>
        <v>100606</v>
      </c>
      <c r="B82" s="66" t="s">
        <v>200</v>
      </c>
      <c r="C82" s="67">
        <f t="shared" si="35"/>
        <v>8</v>
      </c>
      <c r="D82" s="66" t="str">
        <f>IF(E82="","",VLOOKUP(E82,引用表合并!$A:$B,2,FALSE))</f>
        <v>马仔经验合剂</v>
      </c>
      <c r="E82" s="66">
        <f t="shared" si="26"/>
        <v>91200</v>
      </c>
      <c r="F82" s="66">
        <f t="shared" si="24"/>
        <v>2</v>
      </c>
      <c r="G82" s="66">
        <f t="shared" si="27"/>
        <v>1500</v>
      </c>
      <c r="H82" s="66" t="str">
        <f>IF(I82="","",VLOOKUP(I82,引用表合并!$A:$B,2,FALSE))</f>
        <v>马仔经验合剂</v>
      </c>
      <c r="I82" s="66">
        <f t="shared" si="36"/>
        <v>91200</v>
      </c>
      <c r="J82" s="66">
        <f t="shared" si="28"/>
        <v>3</v>
      </c>
      <c r="K82" s="66">
        <f t="shared" si="29"/>
        <v>3000</v>
      </c>
      <c r="L82" s="66" t="str">
        <f>IF(M82="","",VLOOKUP(M82,引用表合并!$A:$B,2,FALSE))</f>
        <v>马仔经验合剂</v>
      </c>
      <c r="M82" s="66">
        <f t="shared" si="37"/>
        <v>91200</v>
      </c>
      <c r="N82" s="66">
        <f t="shared" si="30"/>
        <v>3</v>
      </c>
      <c r="O82" s="66">
        <f t="shared" si="31"/>
        <v>4500</v>
      </c>
      <c r="P82" s="66" t="str">
        <f>IF(Q82="","",VLOOKUP(Q82,引用表合并!$A:$B,2,FALSE))</f>
        <v>马仔经验合剂</v>
      </c>
      <c r="Q82" s="66">
        <f t="shared" si="38"/>
        <v>91200</v>
      </c>
      <c r="R82" s="66">
        <f t="shared" si="32"/>
        <v>3</v>
      </c>
      <c r="S82" s="66">
        <f t="shared" si="33"/>
        <v>6000</v>
      </c>
      <c r="T82" s="31" t="str">
        <f>IF(U82="","",VLOOKUP(U82,引用表合并!$A:$B,2,FALSE))</f>
        <v>马仔碎片(靓坤)</v>
      </c>
      <c r="U82" s="31">
        <v>78106</v>
      </c>
      <c r="V82" s="66">
        <v>2</v>
      </c>
      <c r="W82" s="66">
        <v>7000</v>
      </c>
      <c r="X82" s="31" t="str">
        <f>IF(Y82="","",VLOOKUP(Y82,引用表合并!$A:$B,2,FALSE))</f>
        <v>马仔碎片(雷复轰)</v>
      </c>
      <c r="Y82" s="66">
        <v>78107</v>
      </c>
      <c r="Z82" s="31">
        <v>2</v>
      </c>
      <c r="AA82" s="31">
        <v>8000</v>
      </c>
      <c r="AB82" s="31" t="str">
        <f>IF(AC82="","",VLOOKUP(AC82,引用表合并!$A:$B,2,FALSE))</f>
        <v>马仔碎片(肥仔)</v>
      </c>
      <c r="AC82" s="66">
        <v>78108</v>
      </c>
      <c r="AD82" s="31">
        <v>2</v>
      </c>
      <c r="AE82" s="31">
        <v>9000</v>
      </c>
      <c r="AF82" s="31" t="str">
        <f>IF(AG82="","",VLOOKUP(AG82,引用表合并!$A:$B,2,FALSE))</f>
        <v>马仔碎片(巴闭)</v>
      </c>
      <c r="AG82" s="66">
        <v>78117</v>
      </c>
      <c r="AH82" s="31">
        <v>2</v>
      </c>
      <c r="AI82" s="31">
        <v>10000</v>
      </c>
      <c r="BM82" s="66">
        <f t="shared" si="25"/>
        <v>2.75</v>
      </c>
      <c r="BN82" s="31">
        <v>500</v>
      </c>
      <c r="BO82" s="66">
        <v>2</v>
      </c>
      <c r="BP82" s="31">
        <v>500</v>
      </c>
      <c r="BQ82" s="31">
        <v>3</v>
      </c>
      <c r="BR82" s="31">
        <v>500</v>
      </c>
      <c r="BS82" s="31">
        <v>3</v>
      </c>
      <c r="BT82" s="31">
        <v>500</v>
      </c>
      <c r="BU82" s="31">
        <v>3</v>
      </c>
      <c r="BV82" s="66">
        <f t="shared" si="34"/>
        <v>1375</v>
      </c>
    </row>
    <row r="83" spans="1:75" x14ac:dyDescent="0.15">
      <c r="A83" s="66">
        <f t="shared" si="39"/>
        <v>100607</v>
      </c>
      <c r="B83" s="66" t="s">
        <v>201</v>
      </c>
      <c r="C83" s="67">
        <f t="shared" si="35"/>
        <v>4</v>
      </c>
      <c r="D83" s="66" t="str">
        <f>IF(E83="","",VLOOKUP(E83,引用表合并!$A:$B,2,FALSE))</f>
        <v>马仔经验药水</v>
      </c>
      <c r="E83" s="66">
        <f t="shared" si="26"/>
        <v>91100</v>
      </c>
      <c r="F83" s="66">
        <f t="shared" si="24"/>
        <v>3</v>
      </c>
      <c r="G83" s="66">
        <f t="shared" si="27"/>
        <v>2500</v>
      </c>
      <c r="H83" s="66" t="str">
        <f>IF(I83="","",VLOOKUP(I83,引用表合并!$A:$B,2,FALSE))</f>
        <v>马仔经验药水</v>
      </c>
      <c r="I83" s="66">
        <f t="shared" si="36"/>
        <v>91100</v>
      </c>
      <c r="J83" s="66">
        <f t="shared" si="28"/>
        <v>3</v>
      </c>
      <c r="K83" s="66">
        <f t="shared" si="29"/>
        <v>5000</v>
      </c>
      <c r="L83" s="66" t="str">
        <f>IF(M83="","",VLOOKUP(M83,引用表合并!$A:$B,2,FALSE))</f>
        <v>马仔经验药水</v>
      </c>
      <c r="M83" s="66">
        <f t="shared" si="37"/>
        <v>91100</v>
      </c>
      <c r="N83" s="66">
        <f t="shared" si="30"/>
        <v>4</v>
      </c>
      <c r="O83" s="66">
        <f t="shared" si="31"/>
        <v>7500</v>
      </c>
      <c r="P83" s="66" t="str">
        <f>IF(Q83="","",VLOOKUP(Q83,引用表合并!$A:$B,2,FALSE))</f>
        <v>马仔经验药水</v>
      </c>
      <c r="Q83" s="66">
        <f t="shared" si="38"/>
        <v>91100</v>
      </c>
      <c r="R83" s="66">
        <f t="shared" si="32"/>
        <v>4</v>
      </c>
      <c r="S83" s="66">
        <f t="shared" si="33"/>
        <v>10000</v>
      </c>
      <c r="BM83" s="66">
        <f t="shared" si="25"/>
        <v>3.5</v>
      </c>
      <c r="BN83" s="31">
        <v>100</v>
      </c>
      <c r="BO83" s="66">
        <v>3</v>
      </c>
      <c r="BP83" s="31">
        <v>100</v>
      </c>
      <c r="BQ83" s="31">
        <v>3</v>
      </c>
      <c r="BR83" s="31">
        <v>100</v>
      </c>
      <c r="BS83" s="31">
        <v>4</v>
      </c>
      <c r="BT83" s="31">
        <v>100</v>
      </c>
      <c r="BU83" s="31">
        <v>4</v>
      </c>
      <c r="BV83" s="66">
        <f t="shared" si="34"/>
        <v>350</v>
      </c>
    </row>
    <row r="84" spans="1:75" x14ac:dyDescent="0.15">
      <c r="A84" s="66">
        <f t="shared" si="39"/>
        <v>100608</v>
      </c>
      <c r="B84" s="66" t="s">
        <v>202</v>
      </c>
      <c r="C84" s="67">
        <f t="shared" si="35"/>
        <v>4</v>
      </c>
      <c r="D84" s="66" t="str">
        <f>IF(E84="","",VLOOKUP(E84,引用表合并!$A:$B,2,FALSE))</f>
        <v>马仔经验药水</v>
      </c>
      <c r="E84" s="66">
        <f t="shared" si="26"/>
        <v>91100</v>
      </c>
      <c r="F84" s="66">
        <f t="shared" si="24"/>
        <v>3</v>
      </c>
      <c r="G84" s="66">
        <f t="shared" si="27"/>
        <v>2500</v>
      </c>
      <c r="H84" s="66" t="str">
        <f>IF(I84="","",VLOOKUP(I84,引用表合并!$A:$B,2,FALSE))</f>
        <v>马仔经验药水</v>
      </c>
      <c r="I84" s="66">
        <f t="shared" si="36"/>
        <v>91100</v>
      </c>
      <c r="J84" s="66">
        <f t="shared" si="28"/>
        <v>4</v>
      </c>
      <c r="K84" s="66">
        <f t="shared" si="29"/>
        <v>5000</v>
      </c>
      <c r="L84" s="66" t="str">
        <f>IF(M84="","",VLOOKUP(M84,引用表合并!$A:$B,2,FALSE))</f>
        <v>马仔经验药水</v>
      </c>
      <c r="M84" s="66">
        <f t="shared" si="37"/>
        <v>91100</v>
      </c>
      <c r="N84" s="66">
        <f t="shared" si="30"/>
        <v>4</v>
      </c>
      <c r="O84" s="66">
        <f t="shared" si="31"/>
        <v>7500</v>
      </c>
      <c r="P84" s="66" t="str">
        <f>IF(Q84="","",VLOOKUP(Q84,引用表合并!$A:$B,2,FALSE))</f>
        <v>马仔经验药水</v>
      </c>
      <c r="Q84" s="66">
        <f t="shared" si="38"/>
        <v>91100</v>
      </c>
      <c r="R84" s="66">
        <f t="shared" si="32"/>
        <v>5</v>
      </c>
      <c r="S84" s="66">
        <f t="shared" si="33"/>
        <v>10000</v>
      </c>
      <c r="BM84" s="66">
        <f t="shared" si="25"/>
        <v>4</v>
      </c>
      <c r="BN84" s="31">
        <v>100</v>
      </c>
      <c r="BO84" s="66">
        <v>3</v>
      </c>
      <c r="BP84" s="31">
        <v>100</v>
      </c>
      <c r="BQ84" s="31">
        <v>4</v>
      </c>
      <c r="BR84" s="31">
        <v>100</v>
      </c>
      <c r="BS84" s="31">
        <v>4</v>
      </c>
      <c r="BT84" s="31">
        <v>100</v>
      </c>
      <c r="BU84" s="31">
        <v>5</v>
      </c>
      <c r="BV84" s="66">
        <f t="shared" si="34"/>
        <v>400</v>
      </c>
    </row>
    <row r="85" spans="1:75" x14ac:dyDescent="0.15">
      <c r="A85" s="66">
        <f t="shared" si="39"/>
        <v>100609</v>
      </c>
      <c r="B85" s="66" t="s">
        <v>203</v>
      </c>
      <c r="C85" s="67">
        <f t="shared" si="35"/>
        <v>8</v>
      </c>
      <c r="D85" s="66" t="str">
        <f>IF(E85="","",VLOOKUP(E85,引用表合并!$A:$B,2,FALSE))</f>
        <v>马仔经验合剂</v>
      </c>
      <c r="E85" s="66">
        <f t="shared" si="26"/>
        <v>91200</v>
      </c>
      <c r="F85" s="66">
        <f t="shared" si="24"/>
        <v>3</v>
      </c>
      <c r="G85" s="66">
        <f t="shared" si="27"/>
        <v>1500</v>
      </c>
      <c r="H85" s="66" t="str">
        <f>IF(I85="","",VLOOKUP(I85,引用表合并!$A:$B,2,FALSE))</f>
        <v>马仔经验合剂</v>
      </c>
      <c r="I85" s="66">
        <f t="shared" si="36"/>
        <v>91200</v>
      </c>
      <c r="J85" s="66">
        <f t="shared" si="28"/>
        <v>3</v>
      </c>
      <c r="K85" s="66">
        <f t="shared" si="29"/>
        <v>3000</v>
      </c>
      <c r="L85" s="66" t="str">
        <f>IF(M85="","",VLOOKUP(M85,引用表合并!$A:$B,2,FALSE))</f>
        <v>马仔经验合剂</v>
      </c>
      <c r="M85" s="66">
        <f t="shared" si="37"/>
        <v>91200</v>
      </c>
      <c r="N85" s="66">
        <f t="shared" si="30"/>
        <v>4</v>
      </c>
      <c r="O85" s="66">
        <f t="shared" si="31"/>
        <v>4500</v>
      </c>
      <c r="P85" s="66" t="str">
        <f>IF(Q85="","",VLOOKUP(Q85,引用表合并!$A:$B,2,FALSE))</f>
        <v>马仔经验合剂</v>
      </c>
      <c r="Q85" s="66">
        <f t="shared" si="38"/>
        <v>91200</v>
      </c>
      <c r="R85" s="66">
        <f t="shared" si="32"/>
        <v>4</v>
      </c>
      <c r="S85" s="66">
        <f t="shared" si="33"/>
        <v>6000</v>
      </c>
      <c r="T85" s="31" t="str">
        <f>IF(U85="","",VLOOKUP(U85,引用表合并!$A:$B,2,FALSE))</f>
        <v>马仔碎片(靓坤)</v>
      </c>
      <c r="U85" s="31">
        <v>78106</v>
      </c>
      <c r="V85" s="66">
        <v>3</v>
      </c>
      <c r="W85" s="66">
        <v>7000</v>
      </c>
      <c r="X85" s="31" t="str">
        <f>IF(Y85="","",VLOOKUP(Y85,引用表合并!$A:$B,2,FALSE))</f>
        <v>马仔碎片(雷复轰)</v>
      </c>
      <c r="Y85" s="66">
        <v>78107</v>
      </c>
      <c r="Z85" s="31">
        <v>3</v>
      </c>
      <c r="AA85" s="31">
        <v>8000</v>
      </c>
      <c r="AB85" s="31" t="str">
        <f>IF(AC85="","",VLOOKUP(AC85,引用表合并!$A:$B,2,FALSE))</f>
        <v>马仔碎片(肥仔)</v>
      </c>
      <c r="AC85" s="66">
        <v>78108</v>
      </c>
      <c r="AD85" s="31">
        <v>3</v>
      </c>
      <c r="AE85" s="31">
        <v>9000</v>
      </c>
      <c r="AF85" s="31" t="str">
        <f>IF(AG85="","",VLOOKUP(AG85,引用表合并!$A:$B,2,FALSE))</f>
        <v>马仔碎片(巴闭)</v>
      </c>
      <c r="AG85" s="66">
        <v>78117</v>
      </c>
      <c r="AH85" s="31">
        <v>3</v>
      </c>
      <c r="AI85" s="31">
        <v>10000</v>
      </c>
      <c r="BM85" s="66">
        <f t="shared" si="25"/>
        <v>3.5</v>
      </c>
      <c r="BN85" s="31">
        <v>500</v>
      </c>
      <c r="BO85" s="66">
        <v>3</v>
      </c>
      <c r="BP85" s="31">
        <v>500</v>
      </c>
      <c r="BQ85" s="31">
        <v>3</v>
      </c>
      <c r="BR85" s="31">
        <v>500</v>
      </c>
      <c r="BS85" s="31">
        <v>4</v>
      </c>
      <c r="BT85" s="31">
        <v>500</v>
      </c>
      <c r="BU85" s="31">
        <v>4</v>
      </c>
      <c r="BV85" s="66">
        <f t="shared" si="34"/>
        <v>1750</v>
      </c>
    </row>
    <row r="86" spans="1:75" x14ac:dyDescent="0.15">
      <c r="A86" s="66">
        <f t="shared" si="39"/>
        <v>100610</v>
      </c>
      <c r="B86" s="66" t="s">
        <v>204</v>
      </c>
      <c r="C86" s="67">
        <f t="shared" si="35"/>
        <v>4</v>
      </c>
      <c r="D86" s="66" t="str">
        <f>IF(E86="","",VLOOKUP(E86,引用表合并!$A:$B,2,FALSE))</f>
        <v>马仔经验药水</v>
      </c>
      <c r="E86" s="66">
        <f t="shared" si="26"/>
        <v>91100</v>
      </c>
      <c r="F86" s="66">
        <f t="shared" si="24"/>
        <v>4</v>
      </c>
      <c r="G86" s="66">
        <f t="shared" si="27"/>
        <v>2500</v>
      </c>
      <c r="H86" s="66" t="str">
        <f>IF(I86="","",VLOOKUP(I86,引用表合并!$A:$B,2,FALSE))</f>
        <v>马仔经验药水</v>
      </c>
      <c r="I86" s="66">
        <f t="shared" si="36"/>
        <v>91100</v>
      </c>
      <c r="J86" s="66">
        <f t="shared" si="28"/>
        <v>4</v>
      </c>
      <c r="K86" s="66">
        <f t="shared" si="29"/>
        <v>5000</v>
      </c>
      <c r="L86" s="66" t="str">
        <f>IF(M86="","",VLOOKUP(M86,引用表合并!$A:$B,2,FALSE))</f>
        <v>马仔经验药水</v>
      </c>
      <c r="M86" s="66">
        <f t="shared" si="37"/>
        <v>91100</v>
      </c>
      <c r="N86" s="66">
        <f t="shared" si="30"/>
        <v>5</v>
      </c>
      <c r="O86" s="66">
        <f t="shared" si="31"/>
        <v>7500</v>
      </c>
      <c r="P86" s="66" t="str">
        <f>IF(Q86="","",VLOOKUP(Q86,引用表合并!$A:$B,2,FALSE))</f>
        <v>马仔经验药水</v>
      </c>
      <c r="Q86" s="66">
        <f t="shared" si="38"/>
        <v>91100</v>
      </c>
      <c r="R86" s="66">
        <f t="shared" si="32"/>
        <v>5</v>
      </c>
      <c r="S86" s="66">
        <f t="shared" si="33"/>
        <v>10000</v>
      </c>
      <c r="BM86" s="66">
        <f t="shared" si="25"/>
        <v>4.5</v>
      </c>
      <c r="BN86" s="31">
        <v>100</v>
      </c>
      <c r="BO86" s="66">
        <v>4</v>
      </c>
      <c r="BP86" s="31">
        <v>100</v>
      </c>
      <c r="BQ86" s="31">
        <v>4</v>
      </c>
      <c r="BR86" s="31">
        <v>100</v>
      </c>
      <c r="BS86" s="31">
        <v>5</v>
      </c>
      <c r="BT86" s="31">
        <v>100</v>
      </c>
      <c r="BU86" s="31">
        <v>5</v>
      </c>
      <c r="BV86" s="66">
        <f t="shared" si="34"/>
        <v>450</v>
      </c>
    </row>
    <row r="87" spans="1:75" x14ac:dyDescent="0.15">
      <c r="A87" s="66">
        <f t="shared" si="39"/>
        <v>100611</v>
      </c>
      <c r="B87" s="66" t="s">
        <v>205</v>
      </c>
      <c r="C87" s="67">
        <f t="shared" si="35"/>
        <v>4</v>
      </c>
      <c r="D87" s="66" t="str">
        <f>IF(E87="","",VLOOKUP(E87,引用表合并!$A:$B,2,FALSE))</f>
        <v>马仔经验药水</v>
      </c>
      <c r="E87" s="66">
        <f t="shared" si="26"/>
        <v>91100</v>
      </c>
      <c r="F87" s="66">
        <f t="shared" si="24"/>
        <v>4</v>
      </c>
      <c r="G87" s="66">
        <f t="shared" si="27"/>
        <v>2500</v>
      </c>
      <c r="H87" s="66" t="str">
        <f>IF(I87="","",VLOOKUP(I87,引用表合并!$A:$B,2,FALSE))</f>
        <v>马仔经验药水</v>
      </c>
      <c r="I87" s="66">
        <f t="shared" si="36"/>
        <v>91100</v>
      </c>
      <c r="J87" s="66">
        <f t="shared" si="28"/>
        <v>5</v>
      </c>
      <c r="K87" s="66">
        <f t="shared" si="29"/>
        <v>5000</v>
      </c>
      <c r="L87" s="66" t="str">
        <f>IF(M87="","",VLOOKUP(M87,引用表合并!$A:$B,2,FALSE))</f>
        <v>马仔经验药水</v>
      </c>
      <c r="M87" s="66">
        <f t="shared" si="37"/>
        <v>91100</v>
      </c>
      <c r="N87" s="66">
        <f t="shared" si="30"/>
        <v>5</v>
      </c>
      <c r="O87" s="66">
        <f t="shared" si="31"/>
        <v>7500</v>
      </c>
      <c r="P87" s="66" t="str">
        <f>IF(Q87="","",VLOOKUP(Q87,引用表合并!$A:$B,2,FALSE))</f>
        <v>马仔经验药水</v>
      </c>
      <c r="Q87" s="66">
        <f t="shared" si="38"/>
        <v>91100</v>
      </c>
      <c r="R87" s="66">
        <f t="shared" si="32"/>
        <v>6</v>
      </c>
      <c r="S87" s="66">
        <f t="shared" si="33"/>
        <v>10000</v>
      </c>
      <c r="BM87" s="66">
        <f t="shared" si="25"/>
        <v>5</v>
      </c>
      <c r="BN87" s="31">
        <v>100</v>
      </c>
      <c r="BO87" s="66">
        <v>4</v>
      </c>
      <c r="BP87" s="31">
        <v>100</v>
      </c>
      <c r="BQ87" s="31">
        <v>5</v>
      </c>
      <c r="BR87" s="31">
        <v>100</v>
      </c>
      <c r="BS87" s="31">
        <v>5</v>
      </c>
      <c r="BT87" s="31">
        <v>100</v>
      </c>
      <c r="BU87" s="31">
        <v>6</v>
      </c>
      <c r="BV87" s="66">
        <f t="shared" si="34"/>
        <v>500</v>
      </c>
    </row>
    <row r="88" spans="1:75" x14ac:dyDescent="0.15">
      <c r="A88" s="66">
        <f t="shared" si="39"/>
        <v>100612</v>
      </c>
      <c r="B88" s="66" t="s">
        <v>206</v>
      </c>
      <c r="C88" s="67">
        <f t="shared" si="35"/>
        <v>8</v>
      </c>
      <c r="D88" s="66" t="str">
        <f>IF(E88="","",VLOOKUP(E88,引用表合并!$A:$B,2,FALSE))</f>
        <v>马仔经验合剂</v>
      </c>
      <c r="E88" s="66">
        <f t="shared" si="26"/>
        <v>91200</v>
      </c>
      <c r="F88" s="66">
        <f t="shared" si="24"/>
        <v>4</v>
      </c>
      <c r="G88" s="66">
        <f t="shared" si="27"/>
        <v>1500</v>
      </c>
      <c r="H88" s="66" t="str">
        <f>IF(I88="","",VLOOKUP(I88,引用表合并!$A:$B,2,FALSE))</f>
        <v>马仔经验合剂</v>
      </c>
      <c r="I88" s="66">
        <f t="shared" si="36"/>
        <v>91200</v>
      </c>
      <c r="J88" s="66">
        <f t="shared" si="28"/>
        <v>4</v>
      </c>
      <c r="K88" s="66">
        <f t="shared" si="29"/>
        <v>3000</v>
      </c>
      <c r="L88" s="66" t="str">
        <f>IF(M88="","",VLOOKUP(M88,引用表合并!$A:$B,2,FALSE))</f>
        <v>马仔经验合剂</v>
      </c>
      <c r="M88" s="66">
        <f t="shared" si="37"/>
        <v>91200</v>
      </c>
      <c r="N88" s="66">
        <f t="shared" si="30"/>
        <v>5</v>
      </c>
      <c r="O88" s="66">
        <f t="shared" si="31"/>
        <v>4500</v>
      </c>
      <c r="P88" s="66" t="str">
        <f>IF(Q88="","",VLOOKUP(Q88,引用表合并!$A:$B,2,FALSE))</f>
        <v>马仔经验合剂</v>
      </c>
      <c r="Q88" s="66">
        <f t="shared" si="38"/>
        <v>91200</v>
      </c>
      <c r="R88" s="66">
        <f t="shared" si="32"/>
        <v>5</v>
      </c>
      <c r="S88" s="66">
        <f t="shared" si="33"/>
        <v>6000</v>
      </c>
      <c r="T88" s="31" t="str">
        <f>IF(U88="","",VLOOKUP(U88,引用表合并!$A:$B,2,FALSE))</f>
        <v>马仔碎片(赌王)</v>
      </c>
      <c r="U88" s="31">
        <v>78111</v>
      </c>
      <c r="V88" s="66">
        <v>1</v>
      </c>
      <c r="W88" s="66">
        <v>7000</v>
      </c>
      <c r="X88" s="31" t="str">
        <f>IF(Y88="","",VLOOKUP(Y88,引用表合并!$A:$B,2,FALSE))</f>
        <v>马仔碎片(山下忠秀)</v>
      </c>
      <c r="Y88" s="31">
        <v>78112</v>
      </c>
      <c r="Z88" s="31">
        <v>1</v>
      </c>
      <c r="AA88" s="31">
        <v>8000</v>
      </c>
      <c r="AB88" s="31" t="str">
        <f>IF(AC88="","",VLOOKUP(AC88,引用表合并!$A:$B,2,FALSE))</f>
        <v>马仔碎片(宫本一)</v>
      </c>
      <c r="AC88" s="66">
        <v>78113</v>
      </c>
      <c r="AD88" s="31">
        <v>1</v>
      </c>
      <c r="AE88" s="31">
        <v>9000</v>
      </c>
      <c r="AF88" s="31" t="str">
        <f>IF(AG88="","",VLOOKUP(AG88,引用表合并!$A:$B,2,FALSE))</f>
        <v>马仔碎片(笑面虎)</v>
      </c>
      <c r="AG88" s="66">
        <v>78119</v>
      </c>
      <c r="AH88" s="31">
        <v>1</v>
      </c>
      <c r="AI88" s="31">
        <v>10000</v>
      </c>
      <c r="BM88" s="66">
        <f t="shared" si="25"/>
        <v>4.5</v>
      </c>
      <c r="BN88" s="31">
        <v>500</v>
      </c>
      <c r="BO88" s="66">
        <v>4</v>
      </c>
      <c r="BP88" s="31">
        <v>500</v>
      </c>
      <c r="BQ88" s="31">
        <v>4</v>
      </c>
      <c r="BR88" s="31">
        <v>500</v>
      </c>
      <c r="BS88" s="31">
        <v>5</v>
      </c>
      <c r="BT88" s="31">
        <v>500</v>
      </c>
      <c r="BU88" s="31">
        <v>5</v>
      </c>
      <c r="BV88" s="66">
        <f t="shared" si="34"/>
        <v>2250</v>
      </c>
    </row>
    <row r="89" spans="1:75" x14ac:dyDescent="0.15">
      <c r="A89" s="66">
        <f t="shared" si="39"/>
        <v>100613</v>
      </c>
      <c r="B89" s="66" t="s">
        <v>207</v>
      </c>
      <c r="C89" s="67">
        <f t="shared" si="35"/>
        <v>4</v>
      </c>
      <c r="D89" s="66" t="str">
        <f>IF(E89="","",VLOOKUP(E89,引用表合并!$A:$B,2,FALSE))</f>
        <v>马仔经验药水</v>
      </c>
      <c r="E89" s="66">
        <f t="shared" si="26"/>
        <v>91100</v>
      </c>
      <c r="F89" s="66">
        <f t="shared" si="24"/>
        <v>5</v>
      </c>
      <c r="G89" s="66">
        <f t="shared" si="27"/>
        <v>2500</v>
      </c>
      <c r="H89" s="66" t="str">
        <f>IF(I89="","",VLOOKUP(I89,引用表合并!$A:$B,2,FALSE))</f>
        <v>马仔经验药水</v>
      </c>
      <c r="I89" s="66">
        <f t="shared" si="36"/>
        <v>91100</v>
      </c>
      <c r="J89" s="66">
        <f t="shared" si="28"/>
        <v>5</v>
      </c>
      <c r="K89" s="66">
        <f t="shared" si="29"/>
        <v>5000</v>
      </c>
      <c r="L89" s="66" t="str">
        <f>IF(M89="","",VLOOKUP(M89,引用表合并!$A:$B,2,FALSE))</f>
        <v>马仔经验药水</v>
      </c>
      <c r="M89" s="66">
        <f t="shared" si="37"/>
        <v>91100</v>
      </c>
      <c r="N89" s="66">
        <f t="shared" si="30"/>
        <v>6</v>
      </c>
      <c r="O89" s="66">
        <f t="shared" si="31"/>
        <v>7500</v>
      </c>
      <c r="P89" s="66" t="str">
        <f>IF(Q89="","",VLOOKUP(Q89,引用表合并!$A:$B,2,FALSE))</f>
        <v>马仔经验药水</v>
      </c>
      <c r="Q89" s="66">
        <f t="shared" si="38"/>
        <v>91100</v>
      </c>
      <c r="R89" s="66">
        <f t="shared" si="32"/>
        <v>6</v>
      </c>
      <c r="S89" s="66">
        <f t="shared" si="33"/>
        <v>10000</v>
      </c>
      <c r="BM89" s="66">
        <f t="shared" si="25"/>
        <v>5.5</v>
      </c>
      <c r="BN89" s="31">
        <v>100</v>
      </c>
      <c r="BO89" s="66">
        <v>5</v>
      </c>
      <c r="BP89" s="31">
        <v>100</v>
      </c>
      <c r="BQ89" s="31">
        <v>5</v>
      </c>
      <c r="BR89" s="31">
        <v>100</v>
      </c>
      <c r="BS89" s="31">
        <v>6</v>
      </c>
      <c r="BT89" s="31">
        <v>100</v>
      </c>
      <c r="BU89" s="31">
        <v>6</v>
      </c>
      <c r="BV89" s="66">
        <f t="shared" si="34"/>
        <v>550</v>
      </c>
    </row>
    <row r="90" spans="1:75" x14ac:dyDescent="0.15">
      <c r="A90" s="66">
        <f t="shared" si="39"/>
        <v>100614</v>
      </c>
      <c r="B90" s="66" t="s">
        <v>208</v>
      </c>
      <c r="C90" s="67">
        <f t="shared" si="35"/>
        <v>4</v>
      </c>
      <c r="D90" s="66" t="str">
        <f>IF(E90="","",VLOOKUP(E90,引用表合并!$A:$B,2,FALSE))</f>
        <v>马仔经验药水</v>
      </c>
      <c r="E90" s="66">
        <f t="shared" si="26"/>
        <v>91100</v>
      </c>
      <c r="F90" s="66">
        <f t="shared" si="24"/>
        <v>5</v>
      </c>
      <c r="G90" s="66">
        <f t="shared" si="27"/>
        <v>2500</v>
      </c>
      <c r="H90" s="66" t="str">
        <f>IF(I90="","",VLOOKUP(I90,引用表合并!$A:$B,2,FALSE))</f>
        <v>马仔经验药水</v>
      </c>
      <c r="I90" s="66">
        <f t="shared" si="36"/>
        <v>91100</v>
      </c>
      <c r="J90" s="66">
        <f t="shared" si="28"/>
        <v>6</v>
      </c>
      <c r="K90" s="66">
        <f t="shared" si="29"/>
        <v>5000</v>
      </c>
      <c r="L90" s="66" t="str">
        <f>IF(M90="","",VLOOKUP(M90,引用表合并!$A:$B,2,FALSE))</f>
        <v>马仔经验药水</v>
      </c>
      <c r="M90" s="66">
        <f t="shared" si="37"/>
        <v>91100</v>
      </c>
      <c r="N90" s="66">
        <f t="shared" si="30"/>
        <v>6</v>
      </c>
      <c r="O90" s="66">
        <f t="shared" si="31"/>
        <v>7500</v>
      </c>
      <c r="P90" s="66" t="str">
        <f>IF(Q90="","",VLOOKUP(Q90,引用表合并!$A:$B,2,FALSE))</f>
        <v>马仔经验药水</v>
      </c>
      <c r="Q90" s="66">
        <f t="shared" si="38"/>
        <v>91100</v>
      </c>
      <c r="R90" s="66">
        <f t="shared" si="32"/>
        <v>7</v>
      </c>
      <c r="S90" s="66">
        <f t="shared" si="33"/>
        <v>10000</v>
      </c>
      <c r="BM90" s="66">
        <f t="shared" si="25"/>
        <v>6</v>
      </c>
      <c r="BN90" s="31">
        <v>100</v>
      </c>
      <c r="BO90" s="66">
        <v>5</v>
      </c>
      <c r="BP90" s="31">
        <v>100</v>
      </c>
      <c r="BQ90" s="31">
        <v>6</v>
      </c>
      <c r="BR90" s="31">
        <v>100</v>
      </c>
      <c r="BS90" s="31">
        <v>6</v>
      </c>
      <c r="BT90" s="31">
        <v>100</v>
      </c>
      <c r="BU90" s="31">
        <v>7</v>
      </c>
      <c r="BV90" s="66">
        <f t="shared" si="34"/>
        <v>600</v>
      </c>
    </row>
    <row r="91" spans="1:75" x14ac:dyDescent="0.15">
      <c r="A91" s="66">
        <f t="shared" si="39"/>
        <v>100615</v>
      </c>
      <c r="B91" s="66" t="s">
        <v>209</v>
      </c>
      <c r="C91" s="67">
        <f t="shared" si="35"/>
        <v>9</v>
      </c>
      <c r="D91" s="66" t="str">
        <f>IF(E91="","",VLOOKUP(E91,引用表合并!$A:$B,2,FALSE))</f>
        <v>马仔经验甘露</v>
      </c>
      <c r="E91" s="66">
        <f t="shared" si="26"/>
        <v>91300</v>
      </c>
      <c r="F91" s="66">
        <f t="shared" si="24"/>
        <v>1</v>
      </c>
      <c r="G91" s="66">
        <f t="shared" si="27"/>
        <v>500</v>
      </c>
      <c r="H91" s="66" t="str">
        <f>IF(I91="","",VLOOKUP(I91,引用表合并!$A:$B,2,FALSE))</f>
        <v>马仔经验甘露</v>
      </c>
      <c r="I91" s="66">
        <f t="shared" si="36"/>
        <v>91300</v>
      </c>
      <c r="J91" s="66">
        <f t="shared" si="28"/>
        <v>1</v>
      </c>
      <c r="K91" s="66">
        <f t="shared" si="29"/>
        <v>1000</v>
      </c>
      <c r="L91" s="66" t="str">
        <f>IF(M91="","",VLOOKUP(M91,引用表合并!$A:$B,2,FALSE))</f>
        <v>马仔经验甘露</v>
      </c>
      <c r="M91" s="66">
        <f t="shared" si="37"/>
        <v>91300</v>
      </c>
      <c r="N91" s="66">
        <f t="shared" si="30"/>
        <v>2</v>
      </c>
      <c r="O91" s="66">
        <f t="shared" si="31"/>
        <v>1500</v>
      </c>
      <c r="P91" s="66" t="str">
        <f>IF(Q91="","",VLOOKUP(Q91,引用表合并!$A:$B,2,FALSE))</f>
        <v>马仔经验甘露</v>
      </c>
      <c r="Q91" s="66">
        <f t="shared" si="38"/>
        <v>91300</v>
      </c>
      <c r="R91" s="66">
        <f t="shared" si="32"/>
        <v>2</v>
      </c>
      <c r="S91" s="66">
        <f t="shared" si="33"/>
        <v>2000</v>
      </c>
      <c r="T91" s="31" t="str">
        <f>IF(U91="","",VLOOKUP(U91,引用表合并!$A:$B,2,FALSE))</f>
        <v>猛龙过江(3天)</v>
      </c>
      <c r="U91" s="31">
        <v>83108</v>
      </c>
      <c r="V91" s="31">
        <v>1</v>
      </c>
      <c r="W91" s="31">
        <v>4000</v>
      </c>
      <c r="X91" s="31" t="str">
        <f>IF(Y91="","",VLOOKUP(Y91,引用表合并!$A:$B,2,FALSE))</f>
        <v>马仔碎片(山下忠秀)</v>
      </c>
      <c r="Y91" s="31">
        <v>78112</v>
      </c>
      <c r="Z91" s="31">
        <v>2</v>
      </c>
      <c r="AA91" s="31">
        <v>5500</v>
      </c>
      <c r="AB91" s="31" t="str">
        <f>IF(AC91="","",VLOOKUP(AC91,引用表合并!$A:$B,2,FALSE))</f>
        <v>马仔碎片(山下忠秀)</v>
      </c>
      <c r="AC91" s="66">
        <v>78112</v>
      </c>
      <c r="AD91" s="31">
        <v>2</v>
      </c>
      <c r="AE91" s="31">
        <v>7000</v>
      </c>
      <c r="AF91" s="31" t="str">
        <f>IF(AG91="","",VLOOKUP(AG91,引用表合并!$A:$B,2,FALSE))</f>
        <v>马仔碎片(宫本一)</v>
      </c>
      <c r="AG91" s="66">
        <v>78113</v>
      </c>
      <c r="AH91" s="31">
        <v>2</v>
      </c>
      <c r="AI91" s="31">
        <v>8500</v>
      </c>
      <c r="AJ91" s="31" t="str">
        <f>IF(AK91="","",VLOOKUP(AK91,引用表合并!$A:$B,2,FALSE))</f>
        <v>马仔碎片(笑面虎)</v>
      </c>
      <c r="AK91" s="31">
        <v>78119</v>
      </c>
      <c r="AL91" s="31">
        <v>2</v>
      </c>
      <c r="AM91" s="31">
        <v>10000</v>
      </c>
      <c r="AN91" s="66" t="str">
        <f>IF(AO91="","",VLOOKUP(AO91,引用表合并!$A:$B,2,FALSE))</f>
        <v/>
      </c>
      <c r="AR91" s="66" t="str">
        <f>IF(AS91="","",VLOOKUP(AS91,引用表合并!$A:$B,2,FALSE))</f>
        <v/>
      </c>
      <c r="AV91" s="66" t="str">
        <f>IF(AW91="","",VLOOKUP(AW91,引用表合并!$A:$B,2,FALSE))</f>
        <v/>
      </c>
      <c r="AZ91" s="66" t="str">
        <f>IF(BA91="","",VLOOKUP(BA91,引用表合并!$A:$B,2,FALSE))</f>
        <v/>
      </c>
      <c r="BM91" s="66">
        <f t="shared" si="25"/>
        <v>1.5</v>
      </c>
      <c r="BN91" s="31">
        <v>2500</v>
      </c>
      <c r="BO91" s="66">
        <v>1</v>
      </c>
      <c r="BP91" s="31">
        <v>2500</v>
      </c>
      <c r="BQ91" s="31">
        <v>1</v>
      </c>
      <c r="BR91" s="31">
        <v>2500</v>
      </c>
      <c r="BS91" s="31">
        <v>2</v>
      </c>
      <c r="BT91" s="31">
        <v>2500</v>
      </c>
      <c r="BU91" s="31">
        <v>2</v>
      </c>
      <c r="BV91" s="66">
        <f t="shared" si="34"/>
        <v>3750</v>
      </c>
      <c r="BW91" s="66">
        <f>SUM(BV77:BV91)</f>
        <v>14000</v>
      </c>
    </row>
    <row r="92" spans="1:75" x14ac:dyDescent="0.15">
      <c r="A92" s="66">
        <f t="shared" si="39"/>
        <v>100701</v>
      </c>
      <c r="B92" s="66" t="s">
        <v>210</v>
      </c>
      <c r="C92" s="67">
        <f t="shared" si="35"/>
        <v>4</v>
      </c>
      <c r="D92" s="66" t="str">
        <f>IF(E92="","",VLOOKUP(E92,引用表合并!$A:$B,2,FALSE))</f>
        <v>马仔经验药水</v>
      </c>
      <c r="E92" s="66">
        <f t="shared" si="26"/>
        <v>91100</v>
      </c>
      <c r="F92" s="66">
        <f t="shared" si="24"/>
        <v>1</v>
      </c>
      <c r="G92" s="66">
        <f t="shared" si="27"/>
        <v>2500</v>
      </c>
      <c r="H92" s="66" t="str">
        <f>IF(I92="","",VLOOKUP(I92,引用表合并!$A:$B,2,FALSE))</f>
        <v>马仔经验药水</v>
      </c>
      <c r="I92" s="66">
        <f t="shared" si="36"/>
        <v>91100</v>
      </c>
      <c r="J92" s="66">
        <f t="shared" si="28"/>
        <v>1</v>
      </c>
      <c r="K92" s="66">
        <f t="shared" si="29"/>
        <v>5000</v>
      </c>
      <c r="L92" s="66" t="str">
        <f>IF(M92="","",VLOOKUP(M92,引用表合并!$A:$B,2,FALSE))</f>
        <v>马仔经验药水</v>
      </c>
      <c r="M92" s="66">
        <f t="shared" si="37"/>
        <v>91100</v>
      </c>
      <c r="N92" s="66">
        <f t="shared" si="30"/>
        <v>2</v>
      </c>
      <c r="O92" s="66">
        <f t="shared" si="31"/>
        <v>7500</v>
      </c>
      <c r="P92" s="66" t="str">
        <f>IF(Q92="","",VLOOKUP(Q92,引用表合并!$A:$B,2,FALSE))</f>
        <v>马仔经验药水</v>
      </c>
      <c r="Q92" s="66">
        <f t="shared" si="38"/>
        <v>91100</v>
      </c>
      <c r="R92" s="66">
        <f t="shared" si="32"/>
        <v>2</v>
      </c>
      <c r="S92" s="66">
        <f t="shared" si="33"/>
        <v>10000</v>
      </c>
      <c r="T92" s="66" t="str">
        <f>IF(U92="","",VLOOKUP(U92,引用表合并!$A:$B,2,FALSE))</f>
        <v/>
      </c>
      <c r="U92" s="69"/>
      <c r="W92" s="31"/>
      <c r="X92" s="66" t="str">
        <f>IF(Y92="","",VLOOKUP(Y92,引用表合并!$A:$B,2,FALSE))</f>
        <v/>
      </c>
      <c r="AA92" s="31"/>
      <c r="AB92" s="66" t="str">
        <f>IF(AC92="","",VLOOKUP(AC92,引用表合并!$A:$B,2,FALSE))</f>
        <v/>
      </c>
      <c r="AC92" s="68"/>
      <c r="AE92" s="31"/>
      <c r="AF92" s="66" t="str">
        <f>IF(AG92="","",VLOOKUP(AG92,引用表合并!$A:$B,2,FALSE))</f>
        <v/>
      </c>
      <c r="AI92" s="31"/>
      <c r="AJ92" s="66" t="str">
        <f>IF(AK92="","",VLOOKUP(AK92,引用表合并!$A:$B,2,FALSE))</f>
        <v/>
      </c>
      <c r="AM92" s="31"/>
      <c r="BM92" s="66">
        <f t="shared" si="25"/>
        <v>1.5</v>
      </c>
      <c r="BN92" s="31">
        <v>100</v>
      </c>
      <c r="BO92" s="66">
        <v>1</v>
      </c>
      <c r="BP92" s="31">
        <v>100</v>
      </c>
      <c r="BQ92" s="31">
        <v>1</v>
      </c>
      <c r="BR92" s="31">
        <v>100</v>
      </c>
      <c r="BS92" s="31">
        <v>2</v>
      </c>
      <c r="BT92" s="31">
        <v>100</v>
      </c>
      <c r="BU92" s="31">
        <v>2</v>
      </c>
      <c r="BV92" s="66">
        <f t="shared" si="34"/>
        <v>150</v>
      </c>
    </row>
    <row r="93" spans="1:75" x14ac:dyDescent="0.15">
      <c r="A93" s="66">
        <f t="shared" si="39"/>
        <v>100702</v>
      </c>
      <c r="B93" s="66" t="s">
        <v>211</v>
      </c>
      <c r="C93" s="67">
        <f t="shared" si="35"/>
        <v>4</v>
      </c>
      <c r="D93" s="66" t="str">
        <f>IF(E93="","",VLOOKUP(E93,引用表合并!$A:$B,2,FALSE))</f>
        <v>马仔经验药水</v>
      </c>
      <c r="E93" s="66">
        <f t="shared" si="26"/>
        <v>91100</v>
      </c>
      <c r="F93" s="66">
        <f t="shared" si="24"/>
        <v>1</v>
      </c>
      <c r="G93" s="66">
        <f t="shared" si="27"/>
        <v>2500</v>
      </c>
      <c r="H93" s="66" t="str">
        <f>IF(I93="","",VLOOKUP(I93,引用表合并!$A:$B,2,FALSE))</f>
        <v>马仔经验药水</v>
      </c>
      <c r="I93" s="66">
        <f t="shared" si="36"/>
        <v>91100</v>
      </c>
      <c r="J93" s="66">
        <f t="shared" si="28"/>
        <v>2</v>
      </c>
      <c r="K93" s="66">
        <f t="shared" si="29"/>
        <v>5000</v>
      </c>
      <c r="L93" s="66" t="str">
        <f>IF(M93="","",VLOOKUP(M93,引用表合并!$A:$B,2,FALSE))</f>
        <v>马仔经验药水</v>
      </c>
      <c r="M93" s="66">
        <f t="shared" si="37"/>
        <v>91100</v>
      </c>
      <c r="N93" s="66">
        <f t="shared" si="30"/>
        <v>2</v>
      </c>
      <c r="O93" s="66">
        <f t="shared" si="31"/>
        <v>7500</v>
      </c>
      <c r="P93" s="66" t="str">
        <f>IF(Q93="","",VLOOKUP(Q93,引用表合并!$A:$B,2,FALSE))</f>
        <v>马仔经验药水</v>
      </c>
      <c r="Q93" s="66">
        <f t="shared" si="38"/>
        <v>91100</v>
      </c>
      <c r="R93" s="66">
        <f t="shared" si="32"/>
        <v>3</v>
      </c>
      <c r="S93" s="66">
        <f t="shared" si="33"/>
        <v>10000</v>
      </c>
      <c r="BM93" s="66">
        <f t="shared" si="25"/>
        <v>2</v>
      </c>
      <c r="BN93" s="31">
        <v>100</v>
      </c>
      <c r="BO93" s="66">
        <v>1</v>
      </c>
      <c r="BP93" s="31">
        <v>100</v>
      </c>
      <c r="BQ93" s="31">
        <v>2</v>
      </c>
      <c r="BR93" s="31">
        <v>100</v>
      </c>
      <c r="BS93" s="31">
        <v>2</v>
      </c>
      <c r="BT93" s="31">
        <v>100</v>
      </c>
      <c r="BU93" s="31">
        <v>3</v>
      </c>
      <c r="BV93" s="66">
        <f t="shared" si="34"/>
        <v>200</v>
      </c>
    </row>
    <row r="94" spans="1:75" x14ac:dyDescent="0.15">
      <c r="A94" s="66">
        <f t="shared" si="39"/>
        <v>100703</v>
      </c>
      <c r="B94" s="66" t="s">
        <v>212</v>
      </c>
      <c r="C94" s="67">
        <f t="shared" si="35"/>
        <v>8</v>
      </c>
      <c r="D94" s="66" t="str">
        <f>IF(E94="","",VLOOKUP(E94,引用表合并!$A:$B,2,FALSE))</f>
        <v>马仔经验合剂</v>
      </c>
      <c r="E94" s="66">
        <f t="shared" si="26"/>
        <v>91200</v>
      </c>
      <c r="F94" s="66">
        <f t="shared" si="24"/>
        <v>2</v>
      </c>
      <c r="G94" s="66">
        <f t="shared" si="27"/>
        <v>1500</v>
      </c>
      <c r="H94" s="66" t="str">
        <f>IF(I94="","",VLOOKUP(I94,引用表合并!$A:$B,2,FALSE))</f>
        <v>马仔经验合剂</v>
      </c>
      <c r="I94" s="66">
        <f t="shared" si="36"/>
        <v>91200</v>
      </c>
      <c r="J94" s="66">
        <f t="shared" si="28"/>
        <v>2</v>
      </c>
      <c r="K94" s="66">
        <f t="shared" si="29"/>
        <v>3000</v>
      </c>
      <c r="L94" s="66" t="str">
        <f>IF(M94="","",VLOOKUP(M94,引用表合并!$A:$B,2,FALSE))</f>
        <v>马仔经验合剂</v>
      </c>
      <c r="M94" s="66">
        <f t="shared" si="37"/>
        <v>91200</v>
      </c>
      <c r="N94" s="66">
        <f t="shared" si="30"/>
        <v>3</v>
      </c>
      <c r="O94" s="66">
        <f t="shared" si="31"/>
        <v>4500</v>
      </c>
      <c r="P94" s="66" t="str">
        <f>IF(Q94="","",VLOOKUP(Q94,引用表合并!$A:$B,2,FALSE))</f>
        <v>马仔经验合剂</v>
      </c>
      <c r="Q94" s="66">
        <f t="shared" si="38"/>
        <v>91200</v>
      </c>
      <c r="R94" s="66">
        <f t="shared" si="32"/>
        <v>3</v>
      </c>
      <c r="S94" s="66">
        <f t="shared" si="33"/>
        <v>6000</v>
      </c>
      <c r="T94" s="31" t="str">
        <f>IF(U94="","",VLOOKUP(U94,引用表合并!$A:$B,2,FALSE))</f>
        <v>马仔碎片(靓坤)</v>
      </c>
      <c r="U94" s="31">
        <v>78106</v>
      </c>
      <c r="V94" s="66">
        <v>1</v>
      </c>
      <c r="W94" s="66">
        <v>7000</v>
      </c>
      <c r="X94" s="31" t="str">
        <f>IF(Y94="","",VLOOKUP(Y94,引用表合并!$A:$B,2,FALSE))</f>
        <v>马仔碎片(雷复轰)</v>
      </c>
      <c r="Y94" s="66">
        <v>78107</v>
      </c>
      <c r="Z94" s="31">
        <v>1</v>
      </c>
      <c r="AA94" s="31">
        <v>8000</v>
      </c>
      <c r="AB94" s="31" t="str">
        <f>IF(AC94="","",VLOOKUP(AC94,引用表合并!$A:$B,2,FALSE))</f>
        <v>马仔碎片(肥仔)</v>
      </c>
      <c r="AC94" s="66">
        <v>78108</v>
      </c>
      <c r="AD94" s="31">
        <v>1</v>
      </c>
      <c r="AE94" s="31">
        <v>9000</v>
      </c>
      <c r="AF94" s="31" t="str">
        <f>IF(AG94="","",VLOOKUP(AG94,引用表合并!$A:$B,2,FALSE))</f>
        <v>马仔碎片(巴闭)</v>
      </c>
      <c r="AG94" s="66">
        <v>78117</v>
      </c>
      <c r="AH94" s="31">
        <v>1</v>
      </c>
      <c r="AI94" s="31">
        <v>10000</v>
      </c>
      <c r="BM94" s="66">
        <f t="shared" si="25"/>
        <v>2.5</v>
      </c>
      <c r="BN94" s="31">
        <v>500</v>
      </c>
      <c r="BO94" s="66">
        <v>2</v>
      </c>
      <c r="BP94" s="31">
        <v>500</v>
      </c>
      <c r="BQ94" s="31">
        <v>2</v>
      </c>
      <c r="BR94" s="31">
        <v>500</v>
      </c>
      <c r="BS94" s="31">
        <v>3</v>
      </c>
      <c r="BT94" s="31">
        <v>500</v>
      </c>
      <c r="BU94" s="31">
        <v>3</v>
      </c>
      <c r="BV94" s="66">
        <f t="shared" si="34"/>
        <v>1250</v>
      </c>
    </row>
    <row r="95" spans="1:75" x14ac:dyDescent="0.15">
      <c r="A95" s="66">
        <f t="shared" si="39"/>
        <v>100704</v>
      </c>
      <c r="B95" s="66" t="s">
        <v>213</v>
      </c>
      <c r="C95" s="67">
        <f t="shared" si="35"/>
        <v>4</v>
      </c>
      <c r="D95" s="66" t="str">
        <f>IF(E95="","",VLOOKUP(E95,引用表合并!$A:$B,2,FALSE))</f>
        <v>马仔经验药水</v>
      </c>
      <c r="E95" s="66">
        <f t="shared" si="26"/>
        <v>91100</v>
      </c>
      <c r="F95" s="66">
        <f t="shared" si="24"/>
        <v>2</v>
      </c>
      <c r="G95" s="66">
        <f t="shared" si="27"/>
        <v>2500</v>
      </c>
      <c r="H95" s="66" t="str">
        <f>IF(I95="","",VLOOKUP(I95,引用表合并!$A:$B,2,FALSE))</f>
        <v>马仔经验药水</v>
      </c>
      <c r="I95" s="66">
        <f t="shared" si="36"/>
        <v>91100</v>
      </c>
      <c r="J95" s="66">
        <f t="shared" si="28"/>
        <v>2</v>
      </c>
      <c r="K95" s="66">
        <f t="shared" si="29"/>
        <v>5000</v>
      </c>
      <c r="L95" s="66" t="str">
        <f>IF(M95="","",VLOOKUP(M95,引用表合并!$A:$B,2,FALSE))</f>
        <v>马仔经验药水</v>
      </c>
      <c r="M95" s="66">
        <f t="shared" si="37"/>
        <v>91100</v>
      </c>
      <c r="N95" s="66">
        <f t="shared" si="30"/>
        <v>3</v>
      </c>
      <c r="O95" s="66">
        <f t="shared" si="31"/>
        <v>7500</v>
      </c>
      <c r="P95" s="66" t="str">
        <f>IF(Q95="","",VLOOKUP(Q95,引用表合并!$A:$B,2,FALSE))</f>
        <v>马仔经验药水</v>
      </c>
      <c r="Q95" s="66">
        <f t="shared" si="38"/>
        <v>91100</v>
      </c>
      <c r="R95" s="66">
        <f t="shared" si="32"/>
        <v>3</v>
      </c>
      <c r="S95" s="66">
        <f t="shared" si="33"/>
        <v>10000</v>
      </c>
      <c r="BM95" s="66">
        <f t="shared" si="25"/>
        <v>2.5</v>
      </c>
      <c r="BN95" s="31">
        <v>100</v>
      </c>
      <c r="BO95" s="66">
        <v>2</v>
      </c>
      <c r="BP95" s="31">
        <v>100</v>
      </c>
      <c r="BQ95" s="31">
        <v>2</v>
      </c>
      <c r="BR95" s="31">
        <v>100</v>
      </c>
      <c r="BS95" s="31">
        <v>3</v>
      </c>
      <c r="BT95" s="31">
        <v>100</v>
      </c>
      <c r="BU95" s="31">
        <v>3</v>
      </c>
      <c r="BV95" s="66">
        <f t="shared" si="34"/>
        <v>250</v>
      </c>
    </row>
    <row r="96" spans="1:75" x14ac:dyDescent="0.15">
      <c r="A96" s="66">
        <f t="shared" si="39"/>
        <v>100705</v>
      </c>
      <c r="B96" s="66" t="s">
        <v>214</v>
      </c>
      <c r="C96" s="67">
        <f t="shared" si="35"/>
        <v>4</v>
      </c>
      <c r="D96" s="66" t="str">
        <f>IF(E96="","",VLOOKUP(E96,引用表合并!$A:$B,2,FALSE))</f>
        <v>马仔经验药水</v>
      </c>
      <c r="E96" s="66">
        <f t="shared" si="26"/>
        <v>91100</v>
      </c>
      <c r="F96" s="66">
        <f t="shared" si="24"/>
        <v>2</v>
      </c>
      <c r="G96" s="66">
        <f t="shared" si="27"/>
        <v>2500</v>
      </c>
      <c r="H96" s="66" t="str">
        <f>IF(I96="","",VLOOKUP(I96,引用表合并!$A:$B,2,FALSE))</f>
        <v>马仔经验药水</v>
      </c>
      <c r="I96" s="66">
        <f t="shared" si="36"/>
        <v>91100</v>
      </c>
      <c r="J96" s="66">
        <f t="shared" si="28"/>
        <v>3</v>
      </c>
      <c r="K96" s="66">
        <f t="shared" si="29"/>
        <v>5000</v>
      </c>
      <c r="L96" s="66" t="str">
        <f>IF(M96="","",VLOOKUP(M96,引用表合并!$A:$B,2,FALSE))</f>
        <v>马仔经验药水</v>
      </c>
      <c r="M96" s="66">
        <f t="shared" si="37"/>
        <v>91100</v>
      </c>
      <c r="N96" s="66">
        <f t="shared" si="30"/>
        <v>3</v>
      </c>
      <c r="O96" s="66">
        <f t="shared" si="31"/>
        <v>7500</v>
      </c>
      <c r="P96" s="66" t="str">
        <f>IF(Q96="","",VLOOKUP(Q96,引用表合并!$A:$B,2,FALSE))</f>
        <v>马仔经验药水</v>
      </c>
      <c r="Q96" s="66">
        <f t="shared" si="38"/>
        <v>91100</v>
      </c>
      <c r="R96" s="66">
        <f t="shared" si="32"/>
        <v>4</v>
      </c>
      <c r="S96" s="66">
        <f t="shared" si="33"/>
        <v>10000</v>
      </c>
      <c r="BM96" s="66">
        <f t="shared" si="25"/>
        <v>3</v>
      </c>
      <c r="BN96" s="31">
        <v>100</v>
      </c>
      <c r="BO96" s="66">
        <v>2</v>
      </c>
      <c r="BP96" s="31">
        <v>100</v>
      </c>
      <c r="BQ96" s="31">
        <v>3</v>
      </c>
      <c r="BR96" s="31">
        <v>100</v>
      </c>
      <c r="BS96" s="31">
        <v>3</v>
      </c>
      <c r="BT96" s="31">
        <v>100</v>
      </c>
      <c r="BU96" s="31">
        <v>4</v>
      </c>
      <c r="BV96" s="66">
        <f t="shared" si="34"/>
        <v>300</v>
      </c>
    </row>
    <row r="97" spans="1:75" x14ac:dyDescent="0.15">
      <c r="A97" s="66">
        <f t="shared" si="39"/>
        <v>100706</v>
      </c>
      <c r="B97" s="66" t="s">
        <v>215</v>
      </c>
      <c r="C97" s="67">
        <f t="shared" si="35"/>
        <v>8</v>
      </c>
      <c r="D97" s="66" t="str">
        <f>IF(E97="","",VLOOKUP(E97,引用表合并!$A:$B,2,FALSE))</f>
        <v>马仔经验合剂</v>
      </c>
      <c r="E97" s="66">
        <f t="shared" si="26"/>
        <v>91200</v>
      </c>
      <c r="F97" s="66">
        <f t="shared" si="24"/>
        <v>3</v>
      </c>
      <c r="G97" s="66">
        <f t="shared" si="27"/>
        <v>1500</v>
      </c>
      <c r="H97" s="66" t="str">
        <f>IF(I97="","",VLOOKUP(I97,引用表合并!$A:$B,2,FALSE))</f>
        <v>马仔经验合剂</v>
      </c>
      <c r="I97" s="66">
        <f t="shared" si="36"/>
        <v>91200</v>
      </c>
      <c r="J97" s="66">
        <f t="shared" si="28"/>
        <v>3</v>
      </c>
      <c r="K97" s="66">
        <f t="shared" si="29"/>
        <v>3000</v>
      </c>
      <c r="L97" s="66" t="str">
        <f>IF(M97="","",VLOOKUP(M97,引用表合并!$A:$B,2,FALSE))</f>
        <v>马仔经验合剂</v>
      </c>
      <c r="M97" s="66">
        <f t="shared" si="37"/>
        <v>91200</v>
      </c>
      <c r="N97" s="66">
        <f t="shared" si="30"/>
        <v>3</v>
      </c>
      <c r="O97" s="66">
        <f t="shared" si="31"/>
        <v>4500</v>
      </c>
      <c r="P97" s="66" t="str">
        <f>IF(Q97="","",VLOOKUP(Q97,引用表合并!$A:$B,2,FALSE))</f>
        <v>马仔经验合剂</v>
      </c>
      <c r="Q97" s="66">
        <f t="shared" si="38"/>
        <v>91200</v>
      </c>
      <c r="R97" s="66">
        <f t="shared" si="32"/>
        <v>3</v>
      </c>
      <c r="S97" s="66">
        <f t="shared" si="33"/>
        <v>6000</v>
      </c>
      <c r="T97" s="31" t="str">
        <f>IF(U97="","",VLOOKUP(U97,引用表合并!$A:$B,2,FALSE))</f>
        <v>马仔碎片(靓坤)</v>
      </c>
      <c r="U97" s="31">
        <v>78106</v>
      </c>
      <c r="V97" s="66">
        <v>2</v>
      </c>
      <c r="W97" s="66">
        <v>7000</v>
      </c>
      <c r="X97" s="31" t="str">
        <f>IF(Y97="","",VLOOKUP(Y97,引用表合并!$A:$B,2,FALSE))</f>
        <v>马仔碎片(雷复轰)</v>
      </c>
      <c r="Y97" s="66">
        <v>78107</v>
      </c>
      <c r="Z97" s="31">
        <v>2</v>
      </c>
      <c r="AA97" s="31">
        <v>8000</v>
      </c>
      <c r="AB97" s="31" t="str">
        <f>IF(AC97="","",VLOOKUP(AC97,引用表合并!$A:$B,2,FALSE))</f>
        <v>马仔碎片(肥仔)</v>
      </c>
      <c r="AC97" s="66">
        <v>78108</v>
      </c>
      <c r="AD97" s="31">
        <v>2</v>
      </c>
      <c r="AE97" s="31">
        <v>9000</v>
      </c>
      <c r="AF97" s="31" t="str">
        <f>IF(AG97="","",VLOOKUP(AG97,引用表合并!$A:$B,2,FALSE))</f>
        <v>马仔碎片(巴闭)</v>
      </c>
      <c r="AG97" s="66">
        <v>78117</v>
      </c>
      <c r="AH97" s="31">
        <v>2</v>
      </c>
      <c r="AI97" s="31">
        <v>10000</v>
      </c>
      <c r="BM97" s="66">
        <f t="shared" si="25"/>
        <v>3</v>
      </c>
      <c r="BN97" s="31">
        <v>500</v>
      </c>
      <c r="BO97" s="66">
        <v>3</v>
      </c>
      <c r="BP97" s="31">
        <v>500</v>
      </c>
      <c r="BQ97" s="31">
        <v>3</v>
      </c>
      <c r="BR97" s="31">
        <v>500</v>
      </c>
      <c r="BS97" s="31">
        <v>3</v>
      </c>
      <c r="BT97" s="31">
        <v>500</v>
      </c>
      <c r="BU97" s="31">
        <v>3</v>
      </c>
      <c r="BV97" s="66">
        <f t="shared" si="34"/>
        <v>1500</v>
      </c>
    </row>
    <row r="98" spans="1:75" x14ac:dyDescent="0.15">
      <c r="A98" s="66">
        <f t="shared" si="39"/>
        <v>100707</v>
      </c>
      <c r="B98" s="66" t="s">
        <v>216</v>
      </c>
      <c r="C98" s="67">
        <f t="shared" si="35"/>
        <v>4</v>
      </c>
      <c r="D98" s="66" t="str">
        <f>IF(E98="","",VLOOKUP(E98,引用表合并!$A:$B,2,FALSE))</f>
        <v>马仔经验药水</v>
      </c>
      <c r="E98" s="66">
        <f t="shared" si="26"/>
        <v>91100</v>
      </c>
      <c r="F98" s="66">
        <f t="shared" ref="F98:F129" si="40">BO98</f>
        <v>3</v>
      </c>
      <c r="G98" s="66">
        <f t="shared" si="27"/>
        <v>2500</v>
      </c>
      <c r="H98" s="66" t="str">
        <f>IF(I98="","",VLOOKUP(I98,引用表合并!$A:$B,2,FALSE))</f>
        <v>马仔经验药水</v>
      </c>
      <c r="I98" s="66">
        <f t="shared" si="36"/>
        <v>91100</v>
      </c>
      <c r="J98" s="66">
        <f t="shared" si="28"/>
        <v>3</v>
      </c>
      <c r="K98" s="66">
        <f t="shared" si="29"/>
        <v>5000</v>
      </c>
      <c r="L98" s="66" t="str">
        <f>IF(M98="","",VLOOKUP(M98,引用表合并!$A:$B,2,FALSE))</f>
        <v>马仔经验药水</v>
      </c>
      <c r="M98" s="66">
        <f t="shared" si="37"/>
        <v>91100</v>
      </c>
      <c r="N98" s="66">
        <f t="shared" si="30"/>
        <v>4</v>
      </c>
      <c r="O98" s="66">
        <f t="shared" si="31"/>
        <v>7500</v>
      </c>
      <c r="P98" s="66" t="str">
        <f>IF(Q98="","",VLOOKUP(Q98,引用表合并!$A:$B,2,FALSE))</f>
        <v>马仔经验药水</v>
      </c>
      <c r="Q98" s="66">
        <f t="shared" si="38"/>
        <v>91100</v>
      </c>
      <c r="R98" s="66">
        <f t="shared" si="32"/>
        <v>4</v>
      </c>
      <c r="S98" s="66">
        <f t="shared" si="33"/>
        <v>10000</v>
      </c>
      <c r="BM98" s="66">
        <f t="shared" ref="BM98:BM129" si="41">AVERAGE(F98,J98,N98,R98)</f>
        <v>3.5</v>
      </c>
      <c r="BN98" s="31">
        <v>100</v>
      </c>
      <c r="BO98" s="66">
        <v>3</v>
      </c>
      <c r="BP98" s="31">
        <v>100</v>
      </c>
      <c r="BQ98" s="31">
        <v>3</v>
      </c>
      <c r="BR98" s="31">
        <v>100</v>
      </c>
      <c r="BS98" s="31">
        <v>4</v>
      </c>
      <c r="BT98" s="31">
        <v>100</v>
      </c>
      <c r="BU98" s="31">
        <v>4</v>
      </c>
      <c r="BV98" s="66">
        <f t="shared" si="34"/>
        <v>350</v>
      </c>
    </row>
    <row r="99" spans="1:75" x14ac:dyDescent="0.15">
      <c r="A99" s="66">
        <f t="shared" si="39"/>
        <v>100708</v>
      </c>
      <c r="B99" s="66" t="s">
        <v>217</v>
      </c>
      <c r="C99" s="67">
        <f t="shared" si="35"/>
        <v>4</v>
      </c>
      <c r="D99" s="66" t="str">
        <f>IF(E99="","",VLOOKUP(E99,引用表合并!$A:$B,2,FALSE))</f>
        <v>马仔经验药水</v>
      </c>
      <c r="E99" s="66">
        <f t="shared" si="26"/>
        <v>91100</v>
      </c>
      <c r="F99" s="66">
        <f t="shared" si="40"/>
        <v>3</v>
      </c>
      <c r="G99" s="66">
        <f t="shared" si="27"/>
        <v>2500</v>
      </c>
      <c r="H99" s="66" t="str">
        <f>IF(I99="","",VLOOKUP(I99,引用表合并!$A:$B,2,FALSE))</f>
        <v>马仔经验药水</v>
      </c>
      <c r="I99" s="66">
        <f t="shared" si="36"/>
        <v>91100</v>
      </c>
      <c r="J99" s="66">
        <f t="shared" si="28"/>
        <v>4</v>
      </c>
      <c r="K99" s="66">
        <f t="shared" si="29"/>
        <v>5000</v>
      </c>
      <c r="L99" s="66" t="str">
        <f>IF(M99="","",VLOOKUP(M99,引用表合并!$A:$B,2,FALSE))</f>
        <v>马仔经验药水</v>
      </c>
      <c r="M99" s="66">
        <f t="shared" si="37"/>
        <v>91100</v>
      </c>
      <c r="N99" s="66">
        <f t="shared" si="30"/>
        <v>4</v>
      </c>
      <c r="O99" s="66">
        <f t="shared" si="31"/>
        <v>7500</v>
      </c>
      <c r="P99" s="66" t="str">
        <f>IF(Q99="","",VLOOKUP(Q99,引用表合并!$A:$B,2,FALSE))</f>
        <v>马仔经验药水</v>
      </c>
      <c r="Q99" s="66">
        <f t="shared" si="38"/>
        <v>91100</v>
      </c>
      <c r="R99" s="66">
        <f t="shared" si="32"/>
        <v>5</v>
      </c>
      <c r="S99" s="66">
        <f t="shared" si="33"/>
        <v>10000</v>
      </c>
      <c r="BM99" s="66">
        <f t="shared" si="41"/>
        <v>4</v>
      </c>
      <c r="BN99" s="31">
        <v>100</v>
      </c>
      <c r="BO99" s="66">
        <v>3</v>
      </c>
      <c r="BP99" s="31">
        <v>100</v>
      </c>
      <c r="BQ99" s="31">
        <v>4</v>
      </c>
      <c r="BR99" s="31">
        <v>100</v>
      </c>
      <c r="BS99" s="31">
        <v>4</v>
      </c>
      <c r="BT99" s="31">
        <v>100</v>
      </c>
      <c r="BU99" s="31">
        <v>5</v>
      </c>
      <c r="BV99" s="66">
        <f t="shared" si="34"/>
        <v>400</v>
      </c>
    </row>
    <row r="100" spans="1:75" x14ac:dyDescent="0.15">
      <c r="A100" s="66">
        <f t="shared" si="39"/>
        <v>100709</v>
      </c>
      <c r="B100" s="66" t="s">
        <v>218</v>
      </c>
      <c r="C100" s="67">
        <f t="shared" si="35"/>
        <v>8</v>
      </c>
      <c r="D100" s="66" t="str">
        <f>IF(E100="","",VLOOKUP(E100,引用表合并!$A:$B,2,FALSE))</f>
        <v>马仔经验合剂</v>
      </c>
      <c r="E100" s="66">
        <f t="shared" si="26"/>
        <v>91200</v>
      </c>
      <c r="F100" s="66">
        <f t="shared" si="40"/>
        <v>3</v>
      </c>
      <c r="G100" s="66">
        <f t="shared" si="27"/>
        <v>1500</v>
      </c>
      <c r="H100" s="66" t="str">
        <f>IF(I100="","",VLOOKUP(I100,引用表合并!$A:$B,2,FALSE))</f>
        <v>马仔经验合剂</v>
      </c>
      <c r="I100" s="66">
        <f t="shared" si="36"/>
        <v>91200</v>
      </c>
      <c r="J100" s="66">
        <f t="shared" si="28"/>
        <v>4</v>
      </c>
      <c r="K100" s="66">
        <f t="shared" si="29"/>
        <v>3000</v>
      </c>
      <c r="L100" s="66" t="str">
        <f>IF(M100="","",VLOOKUP(M100,引用表合并!$A:$B,2,FALSE))</f>
        <v>马仔经验合剂</v>
      </c>
      <c r="M100" s="66">
        <f t="shared" si="37"/>
        <v>91200</v>
      </c>
      <c r="N100" s="66">
        <f t="shared" si="30"/>
        <v>4</v>
      </c>
      <c r="O100" s="66">
        <f t="shared" si="31"/>
        <v>4500</v>
      </c>
      <c r="P100" s="66" t="str">
        <f>IF(Q100="","",VLOOKUP(Q100,引用表合并!$A:$B,2,FALSE))</f>
        <v>马仔经验合剂</v>
      </c>
      <c r="Q100" s="66">
        <f t="shared" si="38"/>
        <v>91200</v>
      </c>
      <c r="R100" s="66">
        <f t="shared" si="32"/>
        <v>4</v>
      </c>
      <c r="S100" s="66">
        <f t="shared" si="33"/>
        <v>6000</v>
      </c>
      <c r="T100" s="31" t="str">
        <f>IF(U100="","",VLOOKUP(U100,引用表合并!$A:$B,2,FALSE))</f>
        <v>马仔碎片(靓坤)</v>
      </c>
      <c r="U100" s="31">
        <v>78106</v>
      </c>
      <c r="V100" s="66">
        <v>3</v>
      </c>
      <c r="W100" s="66">
        <v>7000</v>
      </c>
      <c r="X100" s="31" t="str">
        <f>IF(Y100="","",VLOOKUP(Y100,引用表合并!$A:$B,2,FALSE))</f>
        <v>马仔碎片(雷复轰)</v>
      </c>
      <c r="Y100" s="66">
        <v>78107</v>
      </c>
      <c r="Z100" s="31">
        <v>3</v>
      </c>
      <c r="AA100" s="31">
        <v>8000</v>
      </c>
      <c r="AB100" s="31" t="str">
        <f>IF(AC100="","",VLOOKUP(AC100,引用表合并!$A:$B,2,FALSE))</f>
        <v>马仔碎片(肥仔)</v>
      </c>
      <c r="AC100" s="66">
        <v>78108</v>
      </c>
      <c r="AD100" s="31">
        <v>3</v>
      </c>
      <c r="AE100" s="31">
        <v>9000</v>
      </c>
      <c r="AF100" s="31" t="str">
        <f>IF(AG100="","",VLOOKUP(AG100,引用表合并!$A:$B,2,FALSE))</f>
        <v>马仔碎片(巴闭)</v>
      </c>
      <c r="AG100" s="66">
        <v>78117</v>
      </c>
      <c r="AH100" s="31">
        <v>3</v>
      </c>
      <c r="AI100" s="31">
        <v>10000</v>
      </c>
      <c r="BM100" s="66">
        <f t="shared" si="41"/>
        <v>3.75</v>
      </c>
      <c r="BN100" s="31">
        <v>500</v>
      </c>
      <c r="BO100" s="66">
        <v>3</v>
      </c>
      <c r="BP100" s="31">
        <v>500</v>
      </c>
      <c r="BQ100" s="31">
        <v>4</v>
      </c>
      <c r="BR100" s="31">
        <v>500</v>
      </c>
      <c r="BS100" s="31">
        <v>4</v>
      </c>
      <c r="BT100" s="31">
        <v>500</v>
      </c>
      <c r="BU100" s="31">
        <v>4</v>
      </c>
      <c r="BV100" s="66">
        <f t="shared" si="34"/>
        <v>1875</v>
      </c>
    </row>
    <row r="101" spans="1:75" x14ac:dyDescent="0.15">
      <c r="A101" s="66">
        <f t="shared" si="39"/>
        <v>100710</v>
      </c>
      <c r="B101" s="66" t="s">
        <v>219</v>
      </c>
      <c r="C101" s="67">
        <f t="shared" si="35"/>
        <v>4</v>
      </c>
      <c r="D101" s="66" t="str">
        <f>IF(E101="","",VLOOKUP(E101,引用表合并!$A:$B,2,FALSE))</f>
        <v>马仔经验药水</v>
      </c>
      <c r="E101" s="66">
        <f t="shared" si="26"/>
        <v>91100</v>
      </c>
      <c r="F101" s="66">
        <f t="shared" si="40"/>
        <v>4</v>
      </c>
      <c r="G101" s="66">
        <f t="shared" si="27"/>
        <v>2500</v>
      </c>
      <c r="H101" s="66" t="str">
        <f>IF(I101="","",VLOOKUP(I101,引用表合并!$A:$B,2,FALSE))</f>
        <v>马仔经验药水</v>
      </c>
      <c r="I101" s="66">
        <f t="shared" si="36"/>
        <v>91100</v>
      </c>
      <c r="J101" s="66">
        <f t="shared" si="28"/>
        <v>4</v>
      </c>
      <c r="K101" s="66">
        <f t="shared" si="29"/>
        <v>5000</v>
      </c>
      <c r="L101" s="66" t="str">
        <f>IF(M101="","",VLOOKUP(M101,引用表合并!$A:$B,2,FALSE))</f>
        <v>马仔经验药水</v>
      </c>
      <c r="M101" s="66">
        <f t="shared" si="37"/>
        <v>91100</v>
      </c>
      <c r="N101" s="66">
        <f t="shared" si="30"/>
        <v>5</v>
      </c>
      <c r="O101" s="66">
        <f t="shared" si="31"/>
        <v>7500</v>
      </c>
      <c r="P101" s="66" t="str">
        <f>IF(Q101="","",VLOOKUP(Q101,引用表合并!$A:$B,2,FALSE))</f>
        <v>马仔经验药水</v>
      </c>
      <c r="Q101" s="66">
        <f t="shared" si="38"/>
        <v>91100</v>
      </c>
      <c r="R101" s="66">
        <f t="shared" si="32"/>
        <v>5</v>
      </c>
      <c r="S101" s="66">
        <f t="shared" si="33"/>
        <v>10000</v>
      </c>
      <c r="BM101" s="66">
        <f t="shared" si="41"/>
        <v>4.5</v>
      </c>
      <c r="BN101" s="31">
        <v>100</v>
      </c>
      <c r="BO101" s="66">
        <v>4</v>
      </c>
      <c r="BP101" s="31">
        <v>100</v>
      </c>
      <c r="BQ101" s="31">
        <v>4</v>
      </c>
      <c r="BR101" s="31">
        <v>100</v>
      </c>
      <c r="BS101" s="31">
        <v>5</v>
      </c>
      <c r="BT101" s="31">
        <v>100</v>
      </c>
      <c r="BU101" s="31">
        <v>5</v>
      </c>
      <c r="BV101" s="66">
        <f t="shared" si="34"/>
        <v>450</v>
      </c>
    </row>
    <row r="102" spans="1:75" x14ac:dyDescent="0.15">
      <c r="A102" s="66">
        <f t="shared" si="39"/>
        <v>100711</v>
      </c>
      <c r="B102" s="66" t="s">
        <v>220</v>
      </c>
      <c r="C102" s="67">
        <f t="shared" si="35"/>
        <v>4</v>
      </c>
      <c r="D102" s="66" t="str">
        <f>IF(E102="","",VLOOKUP(E102,引用表合并!$A:$B,2,FALSE))</f>
        <v>马仔经验药水</v>
      </c>
      <c r="E102" s="66">
        <f t="shared" si="26"/>
        <v>91100</v>
      </c>
      <c r="F102" s="66">
        <f t="shared" si="40"/>
        <v>4</v>
      </c>
      <c r="G102" s="66">
        <f t="shared" si="27"/>
        <v>2500</v>
      </c>
      <c r="H102" s="66" t="str">
        <f>IF(I102="","",VLOOKUP(I102,引用表合并!$A:$B,2,FALSE))</f>
        <v>马仔经验药水</v>
      </c>
      <c r="I102" s="66">
        <f t="shared" si="36"/>
        <v>91100</v>
      </c>
      <c r="J102" s="66">
        <f t="shared" si="28"/>
        <v>5</v>
      </c>
      <c r="K102" s="66">
        <f t="shared" si="29"/>
        <v>5000</v>
      </c>
      <c r="L102" s="66" t="str">
        <f>IF(M102="","",VLOOKUP(M102,引用表合并!$A:$B,2,FALSE))</f>
        <v>马仔经验药水</v>
      </c>
      <c r="M102" s="66">
        <f t="shared" si="37"/>
        <v>91100</v>
      </c>
      <c r="N102" s="66">
        <f t="shared" si="30"/>
        <v>5</v>
      </c>
      <c r="O102" s="66">
        <f t="shared" si="31"/>
        <v>7500</v>
      </c>
      <c r="P102" s="66" t="str">
        <f>IF(Q102="","",VLOOKUP(Q102,引用表合并!$A:$B,2,FALSE))</f>
        <v>马仔经验药水</v>
      </c>
      <c r="Q102" s="66">
        <f t="shared" si="38"/>
        <v>91100</v>
      </c>
      <c r="R102" s="66">
        <f t="shared" si="32"/>
        <v>6</v>
      </c>
      <c r="S102" s="66">
        <f t="shared" si="33"/>
        <v>10000</v>
      </c>
      <c r="BM102" s="66">
        <f t="shared" si="41"/>
        <v>5</v>
      </c>
      <c r="BN102" s="31">
        <v>100</v>
      </c>
      <c r="BO102" s="66">
        <v>4</v>
      </c>
      <c r="BP102" s="31">
        <v>100</v>
      </c>
      <c r="BQ102" s="31">
        <v>5</v>
      </c>
      <c r="BR102" s="31">
        <v>100</v>
      </c>
      <c r="BS102" s="31">
        <v>5</v>
      </c>
      <c r="BT102" s="31">
        <v>100</v>
      </c>
      <c r="BU102" s="31">
        <v>6</v>
      </c>
      <c r="BV102" s="66">
        <f t="shared" si="34"/>
        <v>500</v>
      </c>
    </row>
    <row r="103" spans="1:75" x14ac:dyDescent="0.15">
      <c r="A103" s="66">
        <f t="shared" si="39"/>
        <v>100712</v>
      </c>
      <c r="B103" s="66" t="s">
        <v>221</v>
      </c>
      <c r="C103" s="67">
        <f t="shared" si="35"/>
        <v>8</v>
      </c>
      <c r="D103" s="66" t="str">
        <f>IF(E103="","",VLOOKUP(E103,引用表合并!$A:$B,2,FALSE))</f>
        <v>马仔经验合剂</v>
      </c>
      <c r="E103" s="66">
        <f t="shared" si="26"/>
        <v>91200</v>
      </c>
      <c r="F103" s="66">
        <f t="shared" si="40"/>
        <v>4</v>
      </c>
      <c r="G103" s="66">
        <f t="shared" si="27"/>
        <v>1500</v>
      </c>
      <c r="H103" s="66" t="str">
        <f>IF(I103="","",VLOOKUP(I103,引用表合并!$A:$B,2,FALSE))</f>
        <v>马仔经验合剂</v>
      </c>
      <c r="I103" s="66">
        <f t="shared" si="36"/>
        <v>91200</v>
      </c>
      <c r="J103" s="66">
        <f t="shared" si="28"/>
        <v>5</v>
      </c>
      <c r="K103" s="66">
        <f t="shared" si="29"/>
        <v>3000</v>
      </c>
      <c r="L103" s="66" t="str">
        <f>IF(M103="","",VLOOKUP(M103,引用表合并!$A:$B,2,FALSE))</f>
        <v>马仔经验合剂</v>
      </c>
      <c r="M103" s="66">
        <f t="shared" si="37"/>
        <v>91200</v>
      </c>
      <c r="N103" s="66">
        <f t="shared" si="30"/>
        <v>5</v>
      </c>
      <c r="O103" s="66">
        <f t="shared" si="31"/>
        <v>4500</v>
      </c>
      <c r="P103" s="66" t="str">
        <f>IF(Q103="","",VLOOKUP(Q103,引用表合并!$A:$B,2,FALSE))</f>
        <v>马仔经验合剂</v>
      </c>
      <c r="Q103" s="66">
        <f t="shared" si="38"/>
        <v>91200</v>
      </c>
      <c r="R103" s="66">
        <f t="shared" si="32"/>
        <v>5</v>
      </c>
      <c r="S103" s="66">
        <f t="shared" si="33"/>
        <v>6000</v>
      </c>
      <c r="T103" s="31" t="str">
        <f>IF(U103="","",VLOOKUP(U103,引用表合并!$A:$B,2,FALSE))</f>
        <v>马仔碎片(赌王)</v>
      </c>
      <c r="U103" s="31">
        <v>78111</v>
      </c>
      <c r="V103" s="66">
        <v>1</v>
      </c>
      <c r="W103" s="66">
        <v>7000</v>
      </c>
      <c r="X103" s="31" t="str">
        <f>IF(Y103="","",VLOOKUP(Y103,引用表合并!$A:$B,2,FALSE))</f>
        <v>马仔碎片(山下忠秀)</v>
      </c>
      <c r="Y103" s="31">
        <v>78112</v>
      </c>
      <c r="Z103" s="31">
        <v>1</v>
      </c>
      <c r="AA103" s="31">
        <v>8000</v>
      </c>
      <c r="AB103" s="31" t="str">
        <f>IF(AC103="","",VLOOKUP(AC103,引用表合并!$A:$B,2,FALSE))</f>
        <v>马仔碎片(宫本一)</v>
      </c>
      <c r="AC103" s="66">
        <v>78113</v>
      </c>
      <c r="AD103" s="31">
        <v>1</v>
      </c>
      <c r="AE103" s="31">
        <v>9000</v>
      </c>
      <c r="AF103" s="31" t="str">
        <f>IF(AG103="","",VLOOKUP(AG103,引用表合并!$A:$B,2,FALSE))</f>
        <v>马仔碎片(笑面虎)</v>
      </c>
      <c r="AG103" s="66">
        <v>78119</v>
      </c>
      <c r="AH103" s="31">
        <v>1</v>
      </c>
      <c r="AI103" s="31">
        <v>10000</v>
      </c>
      <c r="BM103" s="66">
        <f t="shared" si="41"/>
        <v>4.75</v>
      </c>
      <c r="BN103" s="31">
        <v>500</v>
      </c>
      <c r="BO103" s="66">
        <v>4</v>
      </c>
      <c r="BP103" s="31">
        <v>500</v>
      </c>
      <c r="BQ103" s="31">
        <v>5</v>
      </c>
      <c r="BR103" s="31">
        <v>500</v>
      </c>
      <c r="BS103" s="31">
        <v>5</v>
      </c>
      <c r="BT103" s="31">
        <v>500</v>
      </c>
      <c r="BU103" s="31">
        <v>5</v>
      </c>
      <c r="BV103" s="66">
        <f t="shared" si="34"/>
        <v>2375</v>
      </c>
    </row>
    <row r="104" spans="1:75" x14ac:dyDescent="0.15">
      <c r="A104" s="66">
        <f t="shared" si="39"/>
        <v>100713</v>
      </c>
      <c r="B104" s="66" t="s">
        <v>222</v>
      </c>
      <c r="C104" s="67">
        <f t="shared" si="35"/>
        <v>4</v>
      </c>
      <c r="D104" s="66" t="str">
        <f>IF(E104="","",VLOOKUP(E104,引用表合并!$A:$B,2,FALSE))</f>
        <v>马仔经验药水</v>
      </c>
      <c r="E104" s="66">
        <f t="shared" si="26"/>
        <v>91100</v>
      </c>
      <c r="F104" s="66">
        <f t="shared" si="40"/>
        <v>5</v>
      </c>
      <c r="G104" s="66">
        <f t="shared" si="27"/>
        <v>2500</v>
      </c>
      <c r="H104" s="66" t="str">
        <f>IF(I104="","",VLOOKUP(I104,引用表合并!$A:$B,2,FALSE))</f>
        <v>马仔经验药水</v>
      </c>
      <c r="I104" s="66">
        <f t="shared" si="36"/>
        <v>91100</v>
      </c>
      <c r="J104" s="66">
        <f t="shared" si="28"/>
        <v>5</v>
      </c>
      <c r="K104" s="66">
        <f t="shared" si="29"/>
        <v>5000</v>
      </c>
      <c r="L104" s="66" t="str">
        <f>IF(M104="","",VLOOKUP(M104,引用表合并!$A:$B,2,FALSE))</f>
        <v>马仔经验药水</v>
      </c>
      <c r="M104" s="66">
        <f t="shared" si="37"/>
        <v>91100</v>
      </c>
      <c r="N104" s="66">
        <f t="shared" si="30"/>
        <v>6</v>
      </c>
      <c r="O104" s="66">
        <f t="shared" si="31"/>
        <v>7500</v>
      </c>
      <c r="P104" s="66" t="str">
        <f>IF(Q104="","",VLOOKUP(Q104,引用表合并!$A:$B,2,FALSE))</f>
        <v>马仔经验药水</v>
      </c>
      <c r="Q104" s="66">
        <f t="shared" si="38"/>
        <v>91100</v>
      </c>
      <c r="R104" s="66">
        <f t="shared" si="32"/>
        <v>6</v>
      </c>
      <c r="S104" s="66">
        <f t="shared" si="33"/>
        <v>10000</v>
      </c>
      <c r="BM104" s="66">
        <f t="shared" si="41"/>
        <v>5.5</v>
      </c>
      <c r="BN104" s="31">
        <v>100</v>
      </c>
      <c r="BO104" s="66">
        <v>5</v>
      </c>
      <c r="BP104" s="31">
        <v>100</v>
      </c>
      <c r="BQ104" s="31">
        <v>5</v>
      </c>
      <c r="BR104" s="31">
        <v>100</v>
      </c>
      <c r="BS104" s="31">
        <v>6</v>
      </c>
      <c r="BT104" s="31">
        <v>100</v>
      </c>
      <c r="BU104" s="31">
        <v>6</v>
      </c>
      <c r="BV104" s="66">
        <f t="shared" si="34"/>
        <v>550</v>
      </c>
    </row>
    <row r="105" spans="1:75" x14ac:dyDescent="0.15">
      <c r="A105" s="66">
        <f t="shared" si="39"/>
        <v>100714</v>
      </c>
      <c r="B105" s="66" t="s">
        <v>223</v>
      </c>
      <c r="C105" s="67">
        <f t="shared" si="35"/>
        <v>4</v>
      </c>
      <c r="D105" s="66" t="str">
        <f>IF(E105="","",VLOOKUP(E105,引用表合并!$A:$B,2,FALSE))</f>
        <v>马仔经验药水</v>
      </c>
      <c r="E105" s="66">
        <f t="shared" si="26"/>
        <v>91100</v>
      </c>
      <c r="F105" s="66">
        <f t="shared" si="40"/>
        <v>5</v>
      </c>
      <c r="G105" s="66">
        <f t="shared" si="27"/>
        <v>2500</v>
      </c>
      <c r="H105" s="66" t="str">
        <f>IF(I105="","",VLOOKUP(I105,引用表合并!$A:$B,2,FALSE))</f>
        <v>马仔经验药水</v>
      </c>
      <c r="I105" s="66">
        <f t="shared" si="36"/>
        <v>91100</v>
      </c>
      <c r="J105" s="66">
        <f t="shared" si="28"/>
        <v>6</v>
      </c>
      <c r="K105" s="66">
        <f t="shared" si="29"/>
        <v>5000</v>
      </c>
      <c r="L105" s="66" t="str">
        <f>IF(M105="","",VLOOKUP(M105,引用表合并!$A:$B,2,FALSE))</f>
        <v>马仔经验药水</v>
      </c>
      <c r="M105" s="66">
        <f t="shared" si="37"/>
        <v>91100</v>
      </c>
      <c r="N105" s="66">
        <f t="shared" si="30"/>
        <v>6</v>
      </c>
      <c r="O105" s="66">
        <f t="shared" si="31"/>
        <v>7500</v>
      </c>
      <c r="P105" s="66" t="str">
        <f>IF(Q105="","",VLOOKUP(Q105,引用表合并!$A:$B,2,FALSE))</f>
        <v>马仔经验药水</v>
      </c>
      <c r="Q105" s="66">
        <f t="shared" si="38"/>
        <v>91100</v>
      </c>
      <c r="R105" s="66">
        <f t="shared" si="32"/>
        <v>7</v>
      </c>
      <c r="S105" s="66">
        <f t="shared" si="33"/>
        <v>10000</v>
      </c>
      <c r="BM105" s="66">
        <f t="shared" si="41"/>
        <v>6</v>
      </c>
      <c r="BN105" s="31">
        <v>100</v>
      </c>
      <c r="BO105" s="66">
        <v>5</v>
      </c>
      <c r="BP105" s="31">
        <v>100</v>
      </c>
      <c r="BQ105" s="31">
        <v>6</v>
      </c>
      <c r="BR105" s="31">
        <v>100</v>
      </c>
      <c r="BS105" s="31">
        <v>6</v>
      </c>
      <c r="BT105" s="31">
        <v>100</v>
      </c>
      <c r="BU105" s="31">
        <v>7</v>
      </c>
      <c r="BV105" s="66">
        <f t="shared" si="34"/>
        <v>600</v>
      </c>
    </row>
    <row r="106" spans="1:75" x14ac:dyDescent="0.15">
      <c r="A106" s="66">
        <f t="shared" si="39"/>
        <v>100715</v>
      </c>
      <c r="B106" s="66" t="s">
        <v>224</v>
      </c>
      <c r="C106" s="67">
        <f t="shared" si="35"/>
        <v>9</v>
      </c>
      <c r="D106" s="66" t="str">
        <f>IF(E106="","",VLOOKUP(E106,引用表合并!$A:$B,2,FALSE))</f>
        <v>马仔经验甘露</v>
      </c>
      <c r="E106" s="66">
        <f t="shared" si="26"/>
        <v>91300</v>
      </c>
      <c r="F106" s="66">
        <f t="shared" si="40"/>
        <v>1</v>
      </c>
      <c r="G106" s="66">
        <f t="shared" si="27"/>
        <v>500</v>
      </c>
      <c r="H106" s="66" t="str">
        <f>IF(I106="","",VLOOKUP(I106,引用表合并!$A:$B,2,FALSE))</f>
        <v>马仔经验甘露</v>
      </c>
      <c r="I106" s="66">
        <f t="shared" si="36"/>
        <v>91300</v>
      </c>
      <c r="J106" s="66">
        <f t="shared" si="28"/>
        <v>2</v>
      </c>
      <c r="K106" s="66">
        <f t="shared" si="29"/>
        <v>1000</v>
      </c>
      <c r="L106" s="66" t="str">
        <f>IF(M106="","",VLOOKUP(M106,引用表合并!$A:$B,2,FALSE))</f>
        <v>马仔经验甘露</v>
      </c>
      <c r="M106" s="66">
        <f t="shared" si="37"/>
        <v>91300</v>
      </c>
      <c r="N106" s="66">
        <f t="shared" si="30"/>
        <v>2</v>
      </c>
      <c r="O106" s="66">
        <f t="shared" si="31"/>
        <v>1500</v>
      </c>
      <c r="P106" s="66" t="str">
        <f>IF(Q106="","",VLOOKUP(Q106,引用表合并!$A:$B,2,FALSE))</f>
        <v>马仔经验甘露</v>
      </c>
      <c r="Q106" s="66">
        <f t="shared" si="38"/>
        <v>91300</v>
      </c>
      <c r="R106" s="66">
        <f t="shared" si="32"/>
        <v>2</v>
      </c>
      <c r="S106" s="66">
        <f t="shared" si="33"/>
        <v>2000</v>
      </c>
      <c r="T106" s="31" t="str">
        <f>IF(U106="","",VLOOKUP(U106,引用表合并!$A:$B,2,FALSE))</f>
        <v>猛龙过江(3天)</v>
      </c>
      <c r="U106" s="31">
        <v>83108</v>
      </c>
      <c r="V106" s="31">
        <v>1</v>
      </c>
      <c r="W106" s="31">
        <v>4000</v>
      </c>
      <c r="X106" s="31" t="str">
        <f>IF(Y106="","",VLOOKUP(Y106,引用表合并!$A:$B,2,FALSE))</f>
        <v>马仔碎片(山下忠秀)</v>
      </c>
      <c r="Y106" s="31">
        <v>78112</v>
      </c>
      <c r="Z106" s="31">
        <v>2</v>
      </c>
      <c r="AA106" s="31">
        <v>5500</v>
      </c>
      <c r="AB106" s="31" t="str">
        <f>IF(AC106="","",VLOOKUP(AC106,引用表合并!$A:$B,2,FALSE))</f>
        <v>马仔碎片(山下忠秀)</v>
      </c>
      <c r="AC106" s="66">
        <v>78112</v>
      </c>
      <c r="AD106" s="31">
        <v>2</v>
      </c>
      <c r="AE106" s="31">
        <v>7000</v>
      </c>
      <c r="AF106" s="31" t="str">
        <f>IF(AG106="","",VLOOKUP(AG106,引用表合并!$A:$B,2,FALSE))</f>
        <v>马仔碎片(宫本一)</v>
      </c>
      <c r="AG106" s="66">
        <v>78113</v>
      </c>
      <c r="AH106" s="31">
        <v>2</v>
      </c>
      <c r="AI106" s="31">
        <v>8500</v>
      </c>
      <c r="AJ106" s="31" t="str">
        <f>IF(AK106="","",VLOOKUP(AK106,引用表合并!$A:$B,2,FALSE))</f>
        <v>马仔碎片(笑面虎)</v>
      </c>
      <c r="AK106" s="31">
        <v>78119</v>
      </c>
      <c r="AL106" s="31">
        <v>2</v>
      </c>
      <c r="AM106" s="31">
        <v>10000</v>
      </c>
      <c r="AN106" s="66" t="str">
        <f>IF(AO106="","",VLOOKUP(AO106,引用表合并!$A:$B,2,FALSE))</f>
        <v/>
      </c>
      <c r="AR106" s="66" t="str">
        <f>IF(AS106="","",VLOOKUP(AS106,引用表合并!$A:$B,2,FALSE))</f>
        <v/>
      </c>
      <c r="AV106" s="66" t="str">
        <f>IF(AW106="","",VLOOKUP(AW106,引用表合并!$A:$B,2,FALSE))</f>
        <v/>
      </c>
      <c r="AZ106" s="66" t="str">
        <f>IF(BA106="","",VLOOKUP(BA106,引用表合并!$A:$B,2,FALSE))</f>
        <v/>
      </c>
      <c r="BM106" s="66">
        <f t="shared" si="41"/>
        <v>1.75</v>
      </c>
      <c r="BN106" s="31">
        <v>2500</v>
      </c>
      <c r="BO106" s="66">
        <v>1</v>
      </c>
      <c r="BP106" s="31">
        <v>2500</v>
      </c>
      <c r="BQ106" s="31">
        <v>2</v>
      </c>
      <c r="BR106" s="31">
        <v>2500</v>
      </c>
      <c r="BS106" s="31">
        <v>2</v>
      </c>
      <c r="BT106" s="31">
        <v>2500</v>
      </c>
      <c r="BU106" s="31">
        <v>2</v>
      </c>
      <c r="BV106" s="66">
        <f t="shared" si="34"/>
        <v>4375</v>
      </c>
      <c r="BW106" s="66">
        <f>SUM(BV92:BV106)</f>
        <v>15125</v>
      </c>
    </row>
    <row r="107" spans="1:75" x14ac:dyDescent="0.15">
      <c r="A107" s="66">
        <f t="shared" si="39"/>
        <v>100801</v>
      </c>
      <c r="B107" s="66" t="s">
        <v>225</v>
      </c>
      <c r="C107" s="67">
        <f>CHOOSE(2,1,COUNT(F107,J107,N107,R107,V107,Z107,AD107,AH107,AL107,AP107,AT107,AX107,BB107,BF107,BJ107))</f>
        <v>4</v>
      </c>
      <c r="D107" s="66" t="str">
        <f>IF(E107="","",VLOOKUP(E107,引用表合并!$A:$B,2,FALSE))</f>
        <v>马仔经验药水</v>
      </c>
      <c r="E107" s="66">
        <f t="shared" si="26"/>
        <v>91100</v>
      </c>
      <c r="F107" s="66">
        <f t="shared" si="40"/>
        <v>1</v>
      </c>
      <c r="G107" s="66">
        <f t="shared" si="27"/>
        <v>2500</v>
      </c>
      <c r="H107" s="66" t="str">
        <f>IF(I107="","",VLOOKUP(I107,引用表合并!$A:$B,2,FALSE))</f>
        <v>马仔经验药水</v>
      </c>
      <c r="I107" s="66">
        <f t="shared" si="36"/>
        <v>91100</v>
      </c>
      <c r="J107" s="66">
        <f t="shared" si="28"/>
        <v>1</v>
      </c>
      <c r="K107" s="66">
        <f t="shared" si="29"/>
        <v>5000</v>
      </c>
      <c r="L107" s="66" t="str">
        <f>IF(M107="","",VLOOKUP(M107,引用表合并!$A:$B,2,FALSE))</f>
        <v>马仔经验药水</v>
      </c>
      <c r="M107" s="66">
        <f t="shared" si="37"/>
        <v>91100</v>
      </c>
      <c r="N107" s="66">
        <f t="shared" si="30"/>
        <v>2</v>
      </c>
      <c r="O107" s="66">
        <f t="shared" si="31"/>
        <v>7500</v>
      </c>
      <c r="P107" s="66" t="str">
        <f>IF(Q107="","",VLOOKUP(Q107,引用表合并!$A:$B,2,FALSE))</f>
        <v>马仔经验药水</v>
      </c>
      <c r="Q107" s="66">
        <f t="shared" si="38"/>
        <v>91100</v>
      </c>
      <c r="R107" s="66">
        <f t="shared" si="32"/>
        <v>2</v>
      </c>
      <c r="S107" s="66">
        <f t="shared" si="33"/>
        <v>10000</v>
      </c>
      <c r="T107" s="66" t="str">
        <f>IF(U107="","",VLOOKUP(U107,引用表合并!$A:$B,2,FALSE))</f>
        <v/>
      </c>
      <c r="U107" s="69"/>
      <c r="W107" s="31"/>
      <c r="X107" s="66" t="str">
        <f>IF(Y107="","",VLOOKUP(Y107,引用表合并!$A:$B,2,FALSE))</f>
        <v/>
      </c>
      <c r="AA107" s="31"/>
      <c r="AB107" s="66" t="str">
        <f>IF(AC107="","",VLOOKUP(AC107,引用表合并!$A:$B,2,FALSE))</f>
        <v/>
      </c>
      <c r="AC107" s="68"/>
      <c r="AE107" s="31"/>
      <c r="AF107" s="66" t="str">
        <f>IF(AG107="","",VLOOKUP(AG107,引用表合并!$A:$B,2,FALSE))</f>
        <v/>
      </c>
      <c r="AI107" s="31"/>
      <c r="AJ107" s="66" t="str">
        <f>IF(AK107="","",VLOOKUP(AK107,引用表合并!$A:$B,2,FALSE))</f>
        <v/>
      </c>
      <c r="AM107" s="31"/>
      <c r="BM107" s="66">
        <f t="shared" si="41"/>
        <v>1.5</v>
      </c>
      <c r="BN107" s="31">
        <v>100</v>
      </c>
      <c r="BO107" s="66">
        <v>1</v>
      </c>
      <c r="BP107" s="31">
        <v>100</v>
      </c>
      <c r="BQ107" s="31">
        <v>1</v>
      </c>
      <c r="BR107" s="31">
        <v>100</v>
      </c>
      <c r="BS107" s="31">
        <v>2</v>
      </c>
      <c r="BT107" s="31">
        <v>100</v>
      </c>
      <c r="BU107" s="31">
        <v>2</v>
      </c>
      <c r="BV107" s="66">
        <f t="shared" si="34"/>
        <v>150</v>
      </c>
    </row>
    <row r="108" spans="1:75" x14ac:dyDescent="0.15">
      <c r="A108" s="66">
        <f t="shared" si="39"/>
        <v>100802</v>
      </c>
      <c r="B108" s="66" t="s">
        <v>226</v>
      </c>
      <c r="C108" s="67">
        <f t="shared" ref="C108:C171" si="42">CHOOSE(2,1,COUNT(F108,J108,N108,R108,V108,Z108,AD108,AH108,AL108,AP108,AT108,AX108,BB108,BF108,BJ108))</f>
        <v>4</v>
      </c>
      <c r="D108" s="66" t="str">
        <f>IF(E108="","",VLOOKUP(E108,引用表合并!$A:$B,2,FALSE))</f>
        <v>马仔经验药水</v>
      </c>
      <c r="E108" s="66">
        <f t="shared" si="26"/>
        <v>91100</v>
      </c>
      <c r="F108" s="66">
        <f t="shared" si="40"/>
        <v>1</v>
      </c>
      <c r="G108" s="66">
        <f t="shared" si="27"/>
        <v>2500</v>
      </c>
      <c r="H108" s="66" t="str">
        <f>IF(I108="","",VLOOKUP(I108,引用表合并!$A:$B,2,FALSE))</f>
        <v>马仔经验药水</v>
      </c>
      <c r="I108" s="66">
        <f t="shared" si="36"/>
        <v>91100</v>
      </c>
      <c r="J108" s="66">
        <f t="shared" si="28"/>
        <v>2</v>
      </c>
      <c r="K108" s="66">
        <f t="shared" si="29"/>
        <v>5000</v>
      </c>
      <c r="L108" s="66" t="str">
        <f>IF(M108="","",VLOOKUP(M108,引用表合并!$A:$B,2,FALSE))</f>
        <v>马仔经验药水</v>
      </c>
      <c r="M108" s="66">
        <f t="shared" si="37"/>
        <v>91100</v>
      </c>
      <c r="N108" s="66">
        <f t="shared" si="30"/>
        <v>2</v>
      </c>
      <c r="O108" s="66">
        <f t="shared" si="31"/>
        <v>7500</v>
      </c>
      <c r="P108" s="66" t="str">
        <f>IF(Q108="","",VLOOKUP(Q108,引用表合并!$A:$B,2,FALSE))</f>
        <v>马仔经验药水</v>
      </c>
      <c r="Q108" s="66">
        <f t="shared" si="38"/>
        <v>91100</v>
      </c>
      <c r="R108" s="66">
        <f t="shared" si="32"/>
        <v>3</v>
      </c>
      <c r="S108" s="66">
        <f t="shared" si="33"/>
        <v>10000</v>
      </c>
      <c r="BM108" s="66">
        <f t="shared" si="41"/>
        <v>2</v>
      </c>
      <c r="BN108" s="31">
        <v>100</v>
      </c>
      <c r="BO108" s="66">
        <v>1</v>
      </c>
      <c r="BP108" s="31">
        <v>100</v>
      </c>
      <c r="BQ108" s="31">
        <v>2</v>
      </c>
      <c r="BR108" s="31">
        <v>100</v>
      </c>
      <c r="BS108" s="31">
        <v>2</v>
      </c>
      <c r="BT108" s="31">
        <v>100</v>
      </c>
      <c r="BU108" s="31">
        <v>3</v>
      </c>
      <c r="BV108" s="66">
        <f t="shared" si="34"/>
        <v>200</v>
      </c>
    </row>
    <row r="109" spans="1:75" x14ac:dyDescent="0.15">
      <c r="A109" s="66">
        <f t="shared" si="39"/>
        <v>100803</v>
      </c>
      <c r="B109" s="66" t="s">
        <v>227</v>
      </c>
      <c r="C109" s="67">
        <f t="shared" si="42"/>
        <v>8</v>
      </c>
      <c r="D109" s="66" t="str">
        <f>IF(E109="","",VLOOKUP(E109,引用表合并!$A:$B,2,FALSE))</f>
        <v>马仔经验合剂</v>
      </c>
      <c r="E109" s="66">
        <f t="shared" si="26"/>
        <v>91200</v>
      </c>
      <c r="F109" s="66">
        <f t="shared" si="40"/>
        <v>2</v>
      </c>
      <c r="G109" s="66">
        <f t="shared" si="27"/>
        <v>1500</v>
      </c>
      <c r="H109" s="66" t="str">
        <f>IF(I109="","",VLOOKUP(I109,引用表合并!$A:$B,2,FALSE))</f>
        <v>马仔经验合剂</v>
      </c>
      <c r="I109" s="66">
        <f t="shared" si="36"/>
        <v>91200</v>
      </c>
      <c r="J109" s="66">
        <f t="shared" si="28"/>
        <v>2</v>
      </c>
      <c r="K109" s="66">
        <f t="shared" si="29"/>
        <v>3000</v>
      </c>
      <c r="L109" s="66" t="str">
        <f>IF(M109="","",VLOOKUP(M109,引用表合并!$A:$B,2,FALSE))</f>
        <v>马仔经验合剂</v>
      </c>
      <c r="M109" s="66">
        <f t="shared" si="37"/>
        <v>91200</v>
      </c>
      <c r="N109" s="66">
        <f t="shared" si="30"/>
        <v>3</v>
      </c>
      <c r="O109" s="66">
        <f t="shared" si="31"/>
        <v>4500</v>
      </c>
      <c r="P109" s="66" t="str">
        <f>IF(Q109="","",VLOOKUP(Q109,引用表合并!$A:$B,2,FALSE))</f>
        <v>马仔经验合剂</v>
      </c>
      <c r="Q109" s="66">
        <f t="shared" si="38"/>
        <v>91200</v>
      </c>
      <c r="R109" s="66">
        <f t="shared" si="32"/>
        <v>3</v>
      </c>
      <c r="S109" s="66">
        <f t="shared" si="33"/>
        <v>6000</v>
      </c>
      <c r="T109" s="31" t="str">
        <f>IF(U109="","",VLOOKUP(U109,引用表合并!$A:$B,2,FALSE))</f>
        <v>马仔碎片(靓坤)</v>
      </c>
      <c r="U109" s="31">
        <v>78106</v>
      </c>
      <c r="V109" s="66">
        <v>1</v>
      </c>
      <c r="W109" s="66">
        <v>7000</v>
      </c>
      <c r="X109" s="31" t="str">
        <f>IF(Y109="","",VLOOKUP(Y109,引用表合并!$A:$B,2,FALSE))</f>
        <v>马仔碎片(雷复轰)</v>
      </c>
      <c r="Y109" s="66">
        <v>78107</v>
      </c>
      <c r="Z109" s="31">
        <v>1</v>
      </c>
      <c r="AA109" s="31">
        <v>8000</v>
      </c>
      <c r="AB109" s="31" t="str">
        <f>IF(AC109="","",VLOOKUP(AC109,引用表合并!$A:$B,2,FALSE))</f>
        <v>马仔碎片(肥仔)</v>
      </c>
      <c r="AC109" s="66">
        <v>78108</v>
      </c>
      <c r="AD109" s="31">
        <v>1</v>
      </c>
      <c r="AE109" s="31">
        <v>9000</v>
      </c>
      <c r="AF109" s="31" t="str">
        <f>IF(AG109="","",VLOOKUP(AG109,引用表合并!$A:$B,2,FALSE))</f>
        <v>马仔碎片(巴闭)</v>
      </c>
      <c r="AG109" s="66">
        <v>78117</v>
      </c>
      <c r="AH109" s="31">
        <v>1</v>
      </c>
      <c r="AI109" s="31">
        <v>10000</v>
      </c>
      <c r="BM109" s="66">
        <f t="shared" si="41"/>
        <v>2.5</v>
      </c>
      <c r="BN109" s="31">
        <v>500</v>
      </c>
      <c r="BO109" s="66">
        <v>2</v>
      </c>
      <c r="BP109" s="31">
        <v>500</v>
      </c>
      <c r="BQ109" s="31">
        <v>2</v>
      </c>
      <c r="BR109" s="31">
        <v>500</v>
      </c>
      <c r="BS109" s="31">
        <v>3</v>
      </c>
      <c r="BT109" s="31">
        <v>500</v>
      </c>
      <c r="BU109" s="31">
        <v>3</v>
      </c>
      <c r="BV109" s="66">
        <f t="shared" si="34"/>
        <v>1250</v>
      </c>
    </row>
    <row r="110" spans="1:75" x14ac:dyDescent="0.15">
      <c r="A110" s="66">
        <f t="shared" si="39"/>
        <v>100804</v>
      </c>
      <c r="B110" s="66" t="s">
        <v>228</v>
      </c>
      <c r="C110" s="67">
        <f t="shared" si="42"/>
        <v>4</v>
      </c>
      <c r="D110" s="66" t="str">
        <f>IF(E110="","",VLOOKUP(E110,引用表合并!$A:$B,2,FALSE))</f>
        <v>马仔经验药水</v>
      </c>
      <c r="E110" s="66">
        <f t="shared" si="26"/>
        <v>91100</v>
      </c>
      <c r="F110" s="66">
        <f t="shared" si="40"/>
        <v>2</v>
      </c>
      <c r="G110" s="66">
        <f t="shared" si="27"/>
        <v>2500</v>
      </c>
      <c r="H110" s="66" t="str">
        <f>IF(I110="","",VLOOKUP(I110,引用表合并!$A:$B,2,FALSE))</f>
        <v>马仔经验药水</v>
      </c>
      <c r="I110" s="66">
        <f t="shared" si="36"/>
        <v>91100</v>
      </c>
      <c r="J110" s="66">
        <f t="shared" si="28"/>
        <v>2</v>
      </c>
      <c r="K110" s="66">
        <f t="shared" si="29"/>
        <v>5000</v>
      </c>
      <c r="L110" s="66" t="str">
        <f>IF(M110="","",VLOOKUP(M110,引用表合并!$A:$B,2,FALSE))</f>
        <v>马仔经验药水</v>
      </c>
      <c r="M110" s="66">
        <f t="shared" si="37"/>
        <v>91100</v>
      </c>
      <c r="N110" s="66">
        <f t="shared" si="30"/>
        <v>3</v>
      </c>
      <c r="O110" s="66">
        <f t="shared" si="31"/>
        <v>7500</v>
      </c>
      <c r="P110" s="66" t="str">
        <f>IF(Q110="","",VLOOKUP(Q110,引用表合并!$A:$B,2,FALSE))</f>
        <v>马仔经验药水</v>
      </c>
      <c r="Q110" s="66">
        <f t="shared" si="38"/>
        <v>91100</v>
      </c>
      <c r="R110" s="66">
        <f t="shared" si="32"/>
        <v>3</v>
      </c>
      <c r="S110" s="66">
        <f t="shared" si="33"/>
        <v>10000</v>
      </c>
      <c r="BM110" s="66">
        <f t="shared" si="41"/>
        <v>2.5</v>
      </c>
      <c r="BN110" s="31">
        <v>100</v>
      </c>
      <c r="BO110" s="66">
        <v>2</v>
      </c>
      <c r="BP110" s="31">
        <v>100</v>
      </c>
      <c r="BQ110" s="31">
        <v>2</v>
      </c>
      <c r="BR110" s="31">
        <v>100</v>
      </c>
      <c r="BS110" s="31">
        <v>3</v>
      </c>
      <c r="BT110" s="31">
        <v>100</v>
      </c>
      <c r="BU110" s="31">
        <v>3</v>
      </c>
      <c r="BV110" s="66">
        <f t="shared" si="34"/>
        <v>250</v>
      </c>
    </row>
    <row r="111" spans="1:75" x14ac:dyDescent="0.15">
      <c r="A111" s="66">
        <f t="shared" si="39"/>
        <v>100805</v>
      </c>
      <c r="B111" s="66" t="s">
        <v>229</v>
      </c>
      <c r="C111" s="67">
        <f t="shared" si="42"/>
        <v>4</v>
      </c>
      <c r="D111" s="66" t="str">
        <f>IF(E111="","",VLOOKUP(E111,引用表合并!$A:$B,2,FALSE))</f>
        <v>马仔经验药水</v>
      </c>
      <c r="E111" s="66">
        <f t="shared" si="26"/>
        <v>91100</v>
      </c>
      <c r="F111" s="66">
        <f t="shared" si="40"/>
        <v>2</v>
      </c>
      <c r="G111" s="66">
        <f t="shared" si="27"/>
        <v>2500</v>
      </c>
      <c r="H111" s="66" t="str">
        <f>IF(I111="","",VLOOKUP(I111,引用表合并!$A:$B,2,FALSE))</f>
        <v>马仔经验药水</v>
      </c>
      <c r="I111" s="66">
        <f t="shared" si="36"/>
        <v>91100</v>
      </c>
      <c r="J111" s="66">
        <f t="shared" si="28"/>
        <v>3</v>
      </c>
      <c r="K111" s="66">
        <f t="shared" si="29"/>
        <v>5000</v>
      </c>
      <c r="L111" s="66" t="str">
        <f>IF(M111="","",VLOOKUP(M111,引用表合并!$A:$B,2,FALSE))</f>
        <v>马仔经验药水</v>
      </c>
      <c r="M111" s="66">
        <f t="shared" si="37"/>
        <v>91100</v>
      </c>
      <c r="N111" s="66">
        <f t="shared" si="30"/>
        <v>3</v>
      </c>
      <c r="O111" s="66">
        <f t="shared" si="31"/>
        <v>7500</v>
      </c>
      <c r="P111" s="66" t="str">
        <f>IF(Q111="","",VLOOKUP(Q111,引用表合并!$A:$B,2,FALSE))</f>
        <v>马仔经验药水</v>
      </c>
      <c r="Q111" s="66">
        <f t="shared" si="38"/>
        <v>91100</v>
      </c>
      <c r="R111" s="66">
        <f t="shared" si="32"/>
        <v>4</v>
      </c>
      <c r="S111" s="66">
        <f t="shared" si="33"/>
        <v>10000</v>
      </c>
      <c r="BM111" s="66">
        <f t="shared" si="41"/>
        <v>3</v>
      </c>
      <c r="BN111" s="31">
        <v>100</v>
      </c>
      <c r="BO111" s="66">
        <v>2</v>
      </c>
      <c r="BP111" s="31">
        <v>100</v>
      </c>
      <c r="BQ111" s="31">
        <v>3</v>
      </c>
      <c r="BR111" s="31">
        <v>100</v>
      </c>
      <c r="BS111" s="31">
        <v>3</v>
      </c>
      <c r="BT111" s="31">
        <v>100</v>
      </c>
      <c r="BU111" s="31">
        <v>4</v>
      </c>
      <c r="BV111" s="66">
        <f t="shared" si="34"/>
        <v>300</v>
      </c>
    </row>
    <row r="112" spans="1:75" x14ac:dyDescent="0.15">
      <c r="A112" s="66">
        <f t="shared" si="39"/>
        <v>100806</v>
      </c>
      <c r="B112" s="66" t="s">
        <v>230</v>
      </c>
      <c r="C112" s="67">
        <f t="shared" si="42"/>
        <v>8</v>
      </c>
      <c r="D112" s="66" t="str">
        <f>IF(E112="","",VLOOKUP(E112,引用表合并!$A:$B,2,FALSE))</f>
        <v>马仔经验合剂</v>
      </c>
      <c r="E112" s="66">
        <f t="shared" si="26"/>
        <v>91200</v>
      </c>
      <c r="F112" s="66">
        <f t="shared" si="40"/>
        <v>3</v>
      </c>
      <c r="G112" s="66">
        <f t="shared" si="27"/>
        <v>1500</v>
      </c>
      <c r="H112" s="66" t="str">
        <f>IF(I112="","",VLOOKUP(I112,引用表合并!$A:$B,2,FALSE))</f>
        <v>马仔经验合剂</v>
      </c>
      <c r="I112" s="66">
        <f t="shared" si="36"/>
        <v>91200</v>
      </c>
      <c r="J112" s="66">
        <f t="shared" si="28"/>
        <v>3</v>
      </c>
      <c r="K112" s="66">
        <f t="shared" si="29"/>
        <v>3000</v>
      </c>
      <c r="L112" s="66" t="str">
        <f>IF(M112="","",VLOOKUP(M112,引用表合并!$A:$B,2,FALSE))</f>
        <v>马仔经验合剂</v>
      </c>
      <c r="M112" s="66">
        <f t="shared" si="37"/>
        <v>91200</v>
      </c>
      <c r="N112" s="66">
        <f t="shared" si="30"/>
        <v>4</v>
      </c>
      <c r="O112" s="66">
        <f t="shared" si="31"/>
        <v>4500</v>
      </c>
      <c r="P112" s="66" t="str">
        <f>IF(Q112="","",VLOOKUP(Q112,引用表合并!$A:$B,2,FALSE))</f>
        <v>马仔经验合剂</v>
      </c>
      <c r="Q112" s="66">
        <f t="shared" si="38"/>
        <v>91200</v>
      </c>
      <c r="R112" s="66">
        <f t="shared" si="32"/>
        <v>4</v>
      </c>
      <c r="S112" s="66">
        <f t="shared" si="33"/>
        <v>6000</v>
      </c>
      <c r="T112" s="31" t="str">
        <f>IF(U112="","",VLOOKUP(U112,引用表合并!$A:$B,2,FALSE))</f>
        <v>马仔碎片(靓坤)</v>
      </c>
      <c r="U112" s="31">
        <v>78106</v>
      </c>
      <c r="V112" s="66">
        <v>2</v>
      </c>
      <c r="W112" s="66">
        <v>7000</v>
      </c>
      <c r="X112" s="31" t="str">
        <f>IF(Y112="","",VLOOKUP(Y112,引用表合并!$A:$B,2,FALSE))</f>
        <v>马仔碎片(雷复轰)</v>
      </c>
      <c r="Y112" s="66">
        <v>78107</v>
      </c>
      <c r="Z112" s="31">
        <v>2</v>
      </c>
      <c r="AA112" s="31">
        <v>8000</v>
      </c>
      <c r="AB112" s="31" t="str">
        <f>IF(AC112="","",VLOOKUP(AC112,引用表合并!$A:$B,2,FALSE))</f>
        <v>马仔碎片(肥仔)</v>
      </c>
      <c r="AC112" s="66">
        <v>78108</v>
      </c>
      <c r="AD112" s="31">
        <v>2</v>
      </c>
      <c r="AE112" s="31">
        <v>9000</v>
      </c>
      <c r="AF112" s="31" t="str">
        <f>IF(AG112="","",VLOOKUP(AG112,引用表合并!$A:$B,2,FALSE))</f>
        <v>马仔碎片(巴闭)</v>
      </c>
      <c r="AG112" s="66">
        <v>78117</v>
      </c>
      <c r="AH112" s="31">
        <v>2</v>
      </c>
      <c r="AI112" s="31">
        <v>10000</v>
      </c>
      <c r="BM112" s="66">
        <f t="shared" si="41"/>
        <v>3.5</v>
      </c>
      <c r="BN112" s="31">
        <v>500</v>
      </c>
      <c r="BO112" s="66">
        <v>3</v>
      </c>
      <c r="BP112" s="31">
        <v>500</v>
      </c>
      <c r="BQ112" s="31">
        <v>3</v>
      </c>
      <c r="BR112" s="31">
        <v>500</v>
      </c>
      <c r="BS112" s="31">
        <v>4</v>
      </c>
      <c r="BT112" s="31">
        <v>500</v>
      </c>
      <c r="BU112" s="31">
        <v>4</v>
      </c>
      <c r="BV112" s="66">
        <f t="shared" si="34"/>
        <v>1750</v>
      </c>
    </row>
    <row r="113" spans="1:75" x14ac:dyDescent="0.15">
      <c r="A113" s="66">
        <f t="shared" si="39"/>
        <v>100807</v>
      </c>
      <c r="B113" s="66" t="s">
        <v>231</v>
      </c>
      <c r="C113" s="67">
        <f t="shared" si="42"/>
        <v>4</v>
      </c>
      <c r="D113" s="66" t="str">
        <f>IF(E113="","",VLOOKUP(E113,引用表合并!$A:$B,2,FALSE))</f>
        <v>马仔经验药水</v>
      </c>
      <c r="E113" s="66">
        <f t="shared" si="26"/>
        <v>91100</v>
      </c>
      <c r="F113" s="66">
        <f t="shared" si="40"/>
        <v>3</v>
      </c>
      <c r="G113" s="66">
        <f t="shared" si="27"/>
        <v>2500</v>
      </c>
      <c r="H113" s="66" t="str">
        <f>IF(I113="","",VLOOKUP(I113,引用表合并!$A:$B,2,FALSE))</f>
        <v>马仔经验药水</v>
      </c>
      <c r="I113" s="66">
        <f t="shared" si="36"/>
        <v>91100</v>
      </c>
      <c r="J113" s="66">
        <f t="shared" si="28"/>
        <v>3</v>
      </c>
      <c r="K113" s="66">
        <f t="shared" si="29"/>
        <v>5000</v>
      </c>
      <c r="L113" s="66" t="str">
        <f>IF(M113="","",VLOOKUP(M113,引用表合并!$A:$B,2,FALSE))</f>
        <v>马仔经验药水</v>
      </c>
      <c r="M113" s="66">
        <f t="shared" si="37"/>
        <v>91100</v>
      </c>
      <c r="N113" s="66">
        <f t="shared" si="30"/>
        <v>4</v>
      </c>
      <c r="O113" s="66">
        <f t="shared" si="31"/>
        <v>7500</v>
      </c>
      <c r="P113" s="66" t="str">
        <f>IF(Q113="","",VLOOKUP(Q113,引用表合并!$A:$B,2,FALSE))</f>
        <v>马仔经验药水</v>
      </c>
      <c r="Q113" s="66">
        <f t="shared" si="38"/>
        <v>91100</v>
      </c>
      <c r="R113" s="66">
        <f t="shared" si="32"/>
        <v>4</v>
      </c>
      <c r="S113" s="66">
        <f t="shared" si="33"/>
        <v>10000</v>
      </c>
      <c r="BM113" s="66">
        <f t="shared" si="41"/>
        <v>3.5</v>
      </c>
      <c r="BN113" s="31">
        <v>100</v>
      </c>
      <c r="BO113" s="66">
        <v>3</v>
      </c>
      <c r="BP113" s="31">
        <v>100</v>
      </c>
      <c r="BQ113" s="31">
        <v>3</v>
      </c>
      <c r="BR113" s="31">
        <v>100</v>
      </c>
      <c r="BS113" s="31">
        <v>4</v>
      </c>
      <c r="BT113" s="31">
        <v>100</v>
      </c>
      <c r="BU113" s="31">
        <v>4</v>
      </c>
      <c r="BV113" s="66">
        <f t="shared" si="34"/>
        <v>350</v>
      </c>
    </row>
    <row r="114" spans="1:75" x14ac:dyDescent="0.15">
      <c r="A114" s="66">
        <f t="shared" si="39"/>
        <v>100808</v>
      </c>
      <c r="B114" s="66" t="s">
        <v>232</v>
      </c>
      <c r="C114" s="67">
        <f t="shared" si="42"/>
        <v>4</v>
      </c>
      <c r="D114" s="66" t="str">
        <f>IF(E114="","",VLOOKUP(E114,引用表合并!$A:$B,2,FALSE))</f>
        <v>马仔经验药水</v>
      </c>
      <c r="E114" s="66">
        <f t="shared" si="26"/>
        <v>91100</v>
      </c>
      <c r="F114" s="66">
        <f t="shared" si="40"/>
        <v>3</v>
      </c>
      <c r="G114" s="66">
        <f t="shared" si="27"/>
        <v>2500</v>
      </c>
      <c r="H114" s="66" t="str">
        <f>IF(I114="","",VLOOKUP(I114,引用表合并!$A:$B,2,FALSE))</f>
        <v>马仔经验药水</v>
      </c>
      <c r="I114" s="66">
        <f t="shared" si="36"/>
        <v>91100</v>
      </c>
      <c r="J114" s="66">
        <f t="shared" si="28"/>
        <v>4</v>
      </c>
      <c r="K114" s="66">
        <f t="shared" si="29"/>
        <v>5000</v>
      </c>
      <c r="L114" s="66" t="str">
        <f>IF(M114="","",VLOOKUP(M114,引用表合并!$A:$B,2,FALSE))</f>
        <v>马仔经验药水</v>
      </c>
      <c r="M114" s="66">
        <f t="shared" si="37"/>
        <v>91100</v>
      </c>
      <c r="N114" s="66">
        <f t="shared" si="30"/>
        <v>4</v>
      </c>
      <c r="O114" s="66">
        <f t="shared" si="31"/>
        <v>7500</v>
      </c>
      <c r="P114" s="66" t="str">
        <f>IF(Q114="","",VLOOKUP(Q114,引用表合并!$A:$B,2,FALSE))</f>
        <v>马仔经验药水</v>
      </c>
      <c r="Q114" s="66">
        <f t="shared" si="38"/>
        <v>91100</v>
      </c>
      <c r="R114" s="66">
        <f t="shared" si="32"/>
        <v>5</v>
      </c>
      <c r="S114" s="66">
        <f t="shared" si="33"/>
        <v>10000</v>
      </c>
      <c r="BM114" s="66">
        <f t="shared" si="41"/>
        <v>4</v>
      </c>
      <c r="BN114" s="31">
        <v>100</v>
      </c>
      <c r="BO114" s="66">
        <v>3</v>
      </c>
      <c r="BP114" s="31">
        <v>100</v>
      </c>
      <c r="BQ114" s="31">
        <v>4</v>
      </c>
      <c r="BR114" s="31">
        <v>100</v>
      </c>
      <c r="BS114" s="31">
        <v>4</v>
      </c>
      <c r="BT114" s="31">
        <v>100</v>
      </c>
      <c r="BU114" s="31">
        <v>5</v>
      </c>
      <c r="BV114" s="66">
        <f t="shared" si="34"/>
        <v>400</v>
      </c>
    </row>
    <row r="115" spans="1:75" x14ac:dyDescent="0.15">
      <c r="A115" s="66">
        <f t="shared" si="39"/>
        <v>100809</v>
      </c>
      <c r="B115" s="66" t="s">
        <v>233</v>
      </c>
      <c r="C115" s="67">
        <f t="shared" si="42"/>
        <v>8</v>
      </c>
      <c r="D115" s="66" t="str">
        <f>IF(E115="","",VLOOKUP(E115,引用表合并!$A:$B,2,FALSE))</f>
        <v>马仔经验合剂</v>
      </c>
      <c r="E115" s="66">
        <f t="shared" si="26"/>
        <v>91200</v>
      </c>
      <c r="F115" s="66">
        <f t="shared" si="40"/>
        <v>3</v>
      </c>
      <c r="G115" s="66">
        <f t="shared" si="27"/>
        <v>1500</v>
      </c>
      <c r="H115" s="66" t="str">
        <f>IF(I115="","",VLOOKUP(I115,引用表合并!$A:$B,2,FALSE))</f>
        <v>马仔经验合剂</v>
      </c>
      <c r="I115" s="66">
        <f t="shared" si="36"/>
        <v>91200</v>
      </c>
      <c r="J115" s="66">
        <f t="shared" si="28"/>
        <v>4</v>
      </c>
      <c r="K115" s="66">
        <f t="shared" si="29"/>
        <v>3000</v>
      </c>
      <c r="L115" s="66" t="str">
        <f>IF(M115="","",VLOOKUP(M115,引用表合并!$A:$B,2,FALSE))</f>
        <v>马仔经验合剂</v>
      </c>
      <c r="M115" s="66">
        <f t="shared" si="37"/>
        <v>91200</v>
      </c>
      <c r="N115" s="66">
        <f t="shared" si="30"/>
        <v>4</v>
      </c>
      <c r="O115" s="66">
        <f t="shared" si="31"/>
        <v>4500</v>
      </c>
      <c r="P115" s="66" t="str">
        <f>IF(Q115="","",VLOOKUP(Q115,引用表合并!$A:$B,2,FALSE))</f>
        <v>马仔经验合剂</v>
      </c>
      <c r="Q115" s="66">
        <f t="shared" si="38"/>
        <v>91200</v>
      </c>
      <c r="R115" s="66">
        <f t="shared" si="32"/>
        <v>5</v>
      </c>
      <c r="S115" s="66">
        <f t="shared" si="33"/>
        <v>6000</v>
      </c>
      <c r="T115" s="31" t="str">
        <f>IF(U115="","",VLOOKUP(U115,引用表合并!$A:$B,2,FALSE))</f>
        <v>马仔碎片(靓坤)</v>
      </c>
      <c r="U115" s="31">
        <v>78106</v>
      </c>
      <c r="V115" s="66">
        <v>3</v>
      </c>
      <c r="W115" s="66">
        <v>7000</v>
      </c>
      <c r="X115" s="31" t="str">
        <f>IF(Y115="","",VLOOKUP(Y115,引用表合并!$A:$B,2,FALSE))</f>
        <v>马仔碎片(雷复轰)</v>
      </c>
      <c r="Y115" s="66">
        <v>78107</v>
      </c>
      <c r="Z115" s="31">
        <v>3</v>
      </c>
      <c r="AA115" s="31">
        <v>8000</v>
      </c>
      <c r="AB115" s="31" t="str">
        <f>IF(AC115="","",VLOOKUP(AC115,引用表合并!$A:$B,2,FALSE))</f>
        <v>马仔碎片(肥仔)</v>
      </c>
      <c r="AC115" s="66">
        <v>78108</v>
      </c>
      <c r="AD115" s="31">
        <v>3</v>
      </c>
      <c r="AE115" s="31">
        <v>9000</v>
      </c>
      <c r="AF115" s="31" t="str">
        <f>IF(AG115="","",VLOOKUP(AG115,引用表合并!$A:$B,2,FALSE))</f>
        <v>马仔碎片(巴闭)</v>
      </c>
      <c r="AG115" s="66">
        <v>78117</v>
      </c>
      <c r="AH115" s="31">
        <v>3</v>
      </c>
      <c r="AI115" s="31">
        <v>10000</v>
      </c>
      <c r="BM115" s="66">
        <f t="shared" si="41"/>
        <v>4</v>
      </c>
      <c r="BN115" s="31">
        <v>500</v>
      </c>
      <c r="BO115" s="66">
        <v>3</v>
      </c>
      <c r="BP115" s="31">
        <v>500</v>
      </c>
      <c r="BQ115" s="31">
        <v>4</v>
      </c>
      <c r="BR115" s="31">
        <v>500</v>
      </c>
      <c r="BS115" s="31">
        <v>4</v>
      </c>
      <c r="BT115" s="31">
        <v>500</v>
      </c>
      <c r="BU115" s="31">
        <v>5</v>
      </c>
      <c r="BV115" s="66">
        <f t="shared" si="34"/>
        <v>2000</v>
      </c>
    </row>
    <row r="116" spans="1:75" x14ac:dyDescent="0.15">
      <c r="A116" s="66">
        <f t="shared" si="39"/>
        <v>100810</v>
      </c>
      <c r="B116" s="66" t="s">
        <v>234</v>
      </c>
      <c r="C116" s="67">
        <f t="shared" si="42"/>
        <v>4</v>
      </c>
      <c r="D116" s="66" t="str">
        <f>IF(E116="","",VLOOKUP(E116,引用表合并!$A:$B,2,FALSE))</f>
        <v>马仔经验药水</v>
      </c>
      <c r="E116" s="66">
        <f t="shared" si="26"/>
        <v>91100</v>
      </c>
      <c r="F116" s="66">
        <f t="shared" si="40"/>
        <v>4</v>
      </c>
      <c r="G116" s="66">
        <f t="shared" si="27"/>
        <v>2500</v>
      </c>
      <c r="H116" s="66" t="str">
        <f>IF(I116="","",VLOOKUP(I116,引用表合并!$A:$B,2,FALSE))</f>
        <v>马仔经验药水</v>
      </c>
      <c r="I116" s="66">
        <f t="shared" si="36"/>
        <v>91100</v>
      </c>
      <c r="J116" s="66">
        <f t="shared" si="28"/>
        <v>4</v>
      </c>
      <c r="K116" s="66">
        <f t="shared" si="29"/>
        <v>5000</v>
      </c>
      <c r="L116" s="66" t="str">
        <f>IF(M116="","",VLOOKUP(M116,引用表合并!$A:$B,2,FALSE))</f>
        <v>马仔经验药水</v>
      </c>
      <c r="M116" s="66">
        <f t="shared" si="37"/>
        <v>91100</v>
      </c>
      <c r="N116" s="66">
        <f t="shared" si="30"/>
        <v>5</v>
      </c>
      <c r="O116" s="66">
        <f t="shared" si="31"/>
        <v>7500</v>
      </c>
      <c r="P116" s="66" t="str">
        <f>IF(Q116="","",VLOOKUP(Q116,引用表合并!$A:$B,2,FALSE))</f>
        <v>马仔经验药水</v>
      </c>
      <c r="Q116" s="66">
        <f t="shared" si="38"/>
        <v>91100</v>
      </c>
      <c r="R116" s="66">
        <f t="shared" si="32"/>
        <v>5</v>
      </c>
      <c r="S116" s="66">
        <f t="shared" si="33"/>
        <v>10000</v>
      </c>
      <c r="BM116" s="66">
        <f t="shared" si="41"/>
        <v>4.5</v>
      </c>
      <c r="BN116" s="31">
        <v>100</v>
      </c>
      <c r="BO116" s="66">
        <v>4</v>
      </c>
      <c r="BP116" s="31">
        <v>100</v>
      </c>
      <c r="BQ116" s="31">
        <v>4</v>
      </c>
      <c r="BR116" s="31">
        <v>100</v>
      </c>
      <c r="BS116" s="31">
        <v>5</v>
      </c>
      <c r="BT116" s="31">
        <v>100</v>
      </c>
      <c r="BU116" s="31">
        <v>5</v>
      </c>
      <c r="BV116" s="66">
        <f t="shared" si="34"/>
        <v>450</v>
      </c>
    </row>
    <row r="117" spans="1:75" x14ac:dyDescent="0.15">
      <c r="A117" s="66">
        <f t="shared" si="39"/>
        <v>100811</v>
      </c>
      <c r="B117" s="66" t="s">
        <v>235</v>
      </c>
      <c r="C117" s="67">
        <f t="shared" si="42"/>
        <v>4</v>
      </c>
      <c r="D117" s="66" t="str">
        <f>IF(E117="","",VLOOKUP(E117,引用表合并!$A:$B,2,FALSE))</f>
        <v>马仔经验药水</v>
      </c>
      <c r="E117" s="66">
        <f t="shared" si="26"/>
        <v>91100</v>
      </c>
      <c r="F117" s="66">
        <f t="shared" si="40"/>
        <v>4</v>
      </c>
      <c r="G117" s="66">
        <f t="shared" si="27"/>
        <v>2500</v>
      </c>
      <c r="H117" s="66" t="str">
        <f>IF(I117="","",VLOOKUP(I117,引用表合并!$A:$B,2,FALSE))</f>
        <v>马仔经验药水</v>
      </c>
      <c r="I117" s="66">
        <f t="shared" si="36"/>
        <v>91100</v>
      </c>
      <c r="J117" s="66">
        <f t="shared" si="28"/>
        <v>5</v>
      </c>
      <c r="K117" s="66">
        <f t="shared" si="29"/>
        <v>5000</v>
      </c>
      <c r="L117" s="66" t="str">
        <f>IF(M117="","",VLOOKUP(M117,引用表合并!$A:$B,2,FALSE))</f>
        <v>马仔经验药水</v>
      </c>
      <c r="M117" s="66">
        <f t="shared" si="37"/>
        <v>91100</v>
      </c>
      <c r="N117" s="66">
        <f t="shared" si="30"/>
        <v>5</v>
      </c>
      <c r="O117" s="66">
        <f t="shared" si="31"/>
        <v>7500</v>
      </c>
      <c r="P117" s="66" t="str">
        <f>IF(Q117="","",VLOOKUP(Q117,引用表合并!$A:$B,2,FALSE))</f>
        <v>马仔经验药水</v>
      </c>
      <c r="Q117" s="66">
        <f t="shared" si="38"/>
        <v>91100</v>
      </c>
      <c r="R117" s="66">
        <f t="shared" si="32"/>
        <v>6</v>
      </c>
      <c r="S117" s="66">
        <f t="shared" si="33"/>
        <v>10000</v>
      </c>
      <c r="BM117" s="66">
        <f t="shared" si="41"/>
        <v>5</v>
      </c>
      <c r="BN117" s="31">
        <v>100</v>
      </c>
      <c r="BO117" s="66">
        <v>4</v>
      </c>
      <c r="BP117" s="31">
        <v>100</v>
      </c>
      <c r="BQ117" s="31">
        <v>5</v>
      </c>
      <c r="BR117" s="31">
        <v>100</v>
      </c>
      <c r="BS117" s="31">
        <v>5</v>
      </c>
      <c r="BT117" s="31">
        <v>100</v>
      </c>
      <c r="BU117" s="31">
        <v>6</v>
      </c>
      <c r="BV117" s="66">
        <f t="shared" si="34"/>
        <v>500</v>
      </c>
    </row>
    <row r="118" spans="1:75" x14ac:dyDescent="0.15">
      <c r="A118" s="66">
        <f t="shared" si="39"/>
        <v>100812</v>
      </c>
      <c r="B118" s="66" t="s">
        <v>236</v>
      </c>
      <c r="C118" s="67">
        <f t="shared" si="42"/>
        <v>8</v>
      </c>
      <c r="D118" s="66" t="str">
        <f>IF(E118="","",VLOOKUP(E118,引用表合并!$A:$B,2,FALSE))</f>
        <v>马仔经验甘露</v>
      </c>
      <c r="E118" s="66">
        <f t="shared" si="26"/>
        <v>91300</v>
      </c>
      <c r="F118" s="66">
        <f t="shared" si="40"/>
        <v>1</v>
      </c>
      <c r="G118" s="66">
        <f t="shared" si="27"/>
        <v>1500</v>
      </c>
      <c r="H118" s="66" t="str">
        <f>IF(I118="","",VLOOKUP(I118,引用表合并!$A:$B,2,FALSE))</f>
        <v>马仔经验甘露</v>
      </c>
      <c r="I118" s="66">
        <f t="shared" si="36"/>
        <v>91300</v>
      </c>
      <c r="J118" s="66">
        <f t="shared" si="28"/>
        <v>1</v>
      </c>
      <c r="K118" s="66">
        <f t="shared" si="29"/>
        <v>3000</v>
      </c>
      <c r="L118" s="66" t="str">
        <f>IF(M118="","",VLOOKUP(M118,引用表合并!$A:$B,2,FALSE))</f>
        <v>马仔经验甘露</v>
      </c>
      <c r="M118" s="66">
        <f t="shared" si="37"/>
        <v>91300</v>
      </c>
      <c r="N118" s="66">
        <f t="shared" si="30"/>
        <v>1</v>
      </c>
      <c r="O118" s="66">
        <f t="shared" si="31"/>
        <v>4500</v>
      </c>
      <c r="P118" s="66" t="str">
        <f>IF(Q118="","",VLOOKUP(Q118,引用表合并!$A:$B,2,FALSE))</f>
        <v>马仔经验甘露</v>
      </c>
      <c r="Q118" s="66">
        <f t="shared" si="38"/>
        <v>91300</v>
      </c>
      <c r="R118" s="66">
        <f t="shared" si="32"/>
        <v>1</v>
      </c>
      <c r="S118" s="66">
        <f t="shared" si="33"/>
        <v>6000</v>
      </c>
      <c r="T118" s="31" t="str">
        <f>IF(U118="","",VLOOKUP(U118,引用表合并!$A:$B,2,FALSE))</f>
        <v>马仔碎片(赌王)</v>
      </c>
      <c r="U118" s="31">
        <v>78111</v>
      </c>
      <c r="V118" s="66">
        <v>1</v>
      </c>
      <c r="W118" s="66">
        <v>7000</v>
      </c>
      <c r="X118" s="31" t="str">
        <f>IF(Y118="","",VLOOKUP(Y118,引用表合并!$A:$B,2,FALSE))</f>
        <v>马仔碎片(山下忠秀)</v>
      </c>
      <c r="Y118" s="31">
        <v>78112</v>
      </c>
      <c r="Z118" s="31">
        <v>1</v>
      </c>
      <c r="AA118" s="31">
        <v>8000</v>
      </c>
      <c r="AB118" s="31" t="str">
        <f>IF(AC118="","",VLOOKUP(AC118,引用表合并!$A:$B,2,FALSE))</f>
        <v>马仔碎片(宫本一)</v>
      </c>
      <c r="AC118" s="66">
        <v>78113</v>
      </c>
      <c r="AD118" s="31">
        <v>1</v>
      </c>
      <c r="AE118" s="31">
        <v>9000</v>
      </c>
      <c r="AF118" s="31" t="str">
        <f>IF(AG118="","",VLOOKUP(AG118,引用表合并!$A:$B,2,FALSE))</f>
        <v>马仔碎片(笑面虎)</v>
      </c>
      <c r="AG118" s="66">
        <v>78119</v>
      </c>
      <c r="AH118" s="31">
        <v>1</v>
      </c>
      <c r="AI118" s="31">
        <v>10000</v>
      </c>
      <c r="BM118" s="66">
        <f t="shared" si="41"/>
        <v>1</v>
      </c>
      <c r="BN118" s="31">
        <v>2500</v>
      </c>
      <c r="BO118" s="66">
        <v>1</v>
      </c>
      <c r="BP118" s="31">
        <v>2500</v>
      </c>
      <c r="BQ118" s="31">
        <v>1</v>
      </c>
      <c r="BR118" s="31">
        <v>2500</v>
      </c>
      <c r="BS118" s="31">
        <v>1</v>
      </c>
      <c r="BT118" s="31">
        <v>2500</v>
      </c>
      <c r="BU118" s="31">
        <v>1</v>
      </c>
      <c r="BV118" s="66">
        <f t="shared" si="34"/>
        <v>2500</v>
      </c>
    </row>
    <row r="119" spans="1:75" x14ac:dyDescent="0.15">
      <c r="A119" s="66">
        <f t="shared" si="39"/>
        <v>100813</v>
      </c>
      <c r="B119" s="66" t="s">
        <v>237</v>
      </c>
      <c r="C119" s="67">
        <f t="shared" si="42"/>
        <v>4</v>
      </c>
      <c r="D119" s="66" t="str">
        <f>IF(E119="","",VLOOKUP(E119,引用表合并!$A:$B,2,FALSE))</f>
        <v>马仔经验药水</v>
      </c>
      <c r="E119" s="66">
        <f t="shared" si="26"/>
        <v>91100</v>
      </c>
      <c r="F119" s="66">
        <f t="shared" si="40"/>
        <v>5</v>
      </c>
      <c r="G119" s="66">
        <f t="shared" si="27"/>
        <v>2500</v>
      </c>
      <c r="H119" s="66" t="str">
        <f>IF(I119="","",VLOOKUP(I119,引用表合并!$A:$B,2,FALSE))</f>
        <v>马仔经验药水</v>
      </c>
      <c r="I119" s="66">
        <f t="shared" si="36"/>
        <v>91100</v>
      </c>
      <c r="J119" s="66">
        <f t="shared" si="28"/>
        <v>5</v>
      </c>
      <c r="K119" s="66">
        <f t="shared" si="29"/>
        <v>5000</v>
      </c>
      <c r="L119" s="66" t="str">
        <f>IF(M119="","",VLOOKUP(M119,引用表合并!$A:$B,2,FALSE))</f>
        <v>马仔经验药水</v>
      </c>
      <c r="M119" s="66">
        <f t="shared" si="37"/>
        <v>91100</v>
      </c>
      <c r="N119" s="66">
        <f t="shared" si="30"/>
        <v>6</v>
      </c>
      <c r="O119" s="66">
        <f t="shared" si="31"/>
        <v>7500</v>
      </c>
      <c r="P119" s="66" t="str">
        <f>IF(Q119="","",VLOOKUP(Q119,引用表合并!$A:$B,2,FALSE))</f>
        <v>马仔经验药水</v>
      </c>
      <c r="Q119" s="66">
        <f t="shared" si="38"/>
        <v>91100</v>
      </c>
      <c r="R119" s="66">
        <f t="shared" si="32"/>
        <v>6</v>
      </c>
      <c r="S119" s="66">
        <f t="shared" si="33"/>
        <v>10000</v>
      </c>
      <c r="BM119" s="66">
        <f t="shared" si="41"/>
        <v>5.5</v>
      </c>
      <c r="BN119" s="31">
        <v>100</v>
      </c>
      <c r="BO119" s="66">
        <v>5</v>
      </c>
      <c r="BP119" s="31">
        <v>100</v>
      </c>
      <c r="BQ119" s="31">
        <v>5</v>
      </c>
      <c r="BR119" s="31">
        <v>100</v>
      </c>
      <c r="BS119" s="31">
        <v>6</v>
      </c>
      <c r="BT119" s="31">
        <v>100</v>
      </c>
      <c r="BU119" s="31">
        <v>6</v>
      </c>
      <c r="BV119" s="66">
        <f t="shared" si="34"/>
        <v>550</v>
      </c>
    </row>
    <row r="120" spans="1:75" x14ac:dyDescent="0.15">
      <c r="A120" s="66">
        <f t="shared" si="39"/>
        <v>100814</v>
      </c>
      <c r="B120" s="66" t="s">
        <v>238</v>
      </c>
      <c r="C120" s="67">
        <f t="shared" si="42"/>
        <v>4</v>
      </c>
      <c r="D120" s="66" t="str">
        <f>IF(E120="","",VLOOKUP(E120,引用表合并!$A:$B,2,FALSE))</f>
        <v>马仔经验药水</v>
      </c>
      <c r="E120" s="66">
        <f t="shared" si="26"/>
        <v>91100</v>
      </c>
      <c r="F120" s="66">
        <f t="shared" si="40"/>
        <v>5</v>
      </c>
      <c r="G120" s="66">
        <f t="shared" si="27"/>
        <v>2500</v>
      </c>
      <c r="H120" s="66" t="str">
        <f>IF(I120="","",VLOOKUP(I120,引用表合并!$A:$B,2,FALSE))</f>
        <v>马仔经验药水</v>
      </c>
      <c r="I120" s="66">
        <f t="shared" si="36"/>
        <v>91100</v>
      </c>
      <c r="J120" s="66">
        <f t="shared" si="28"/>
        <v>6</v>
      </c>
      <c r="K120" s="66">
        <f t="shared" si="29"/>
        <v>5000</v>
      </c>
      <c r="L120" s="66" t="str">
        <f>IF(M120="","",VLOOKUP(M120,引用表合并!$A:$B,2,FALSE))</f>
        <v>马仔经验药水</v>
      </c>
      <c r="M120" s="66">
        <f t="shared" si="37"/>
        <v>91100</v>
      </c>
      <c r="N120" s="66">
        <f t="shared" si="30"/>
        <v>6</v>
      </c>
      <c r="O120" s="66">
        <f t="shared" si="31"/>
        <v>7500</v>
      </c>
      <c r="P120" s="66" t="str">
        <f>IF(Q120="","",VLOOKUP(Q120,引用表合并!$A:$B,2,FALSE))</f>
        <v>马仔经验药水</v>
      </c>
      <c r="Q120" s="66">
        <f t="shared" si="38"/>
        <v>91100</v>
      </c>
      <c r="R120" s="66">
        <f t="shared" si="32"/>
        <v>7</v>
      </c>
      <c r="S120" s="66">
        <f t="shared" si="33"/>
        <v>10000</v>
      </c>
      <c r="BM120" s="66">
        <f t="shared" si="41"/>
        <v>6</v>
      </c>
      <c r="BN120" s="31">
        <v>100</v>
      </c>
      <c r="BO120" s="66">
        <v>5</v>
      </c>
      <c r="BP120" s="31">
        <v>100</v>
      </c>
      <c r="BQ120" s="31">
        <v>6</v>
      </c>
      <c r="BR120" s="31">
        <v>100</v>
      </c>
      <c r="BS120" s="31">
        <v>6</v>
      </c>
      <c r="BT120" s="31">
        <v>100</v>
      </c>
      <c r="BU120" s="31">
        <v>7</v>
      </c>
      <c r="BV120" s="66">
        <f t="shared" si="34"/>
        <v>600</v>
      </c>
    </row>
    <row r="121" spans="1:75" x14ac:dyDescent="0.15">
      <c r="A121" s="66">
        <f t="shared" si="39"/>
        <v>100815</v>
      </c>
      <c r="B121" s="66" t="s">
        <v>239</v>
      </c>
      <c r="C121" s="67">
        <f t="shared" si="42"/>
        <v>9</v>
      </c>
      <c r="D121" s="66" t="str">
        <f>IF(E121="","",VLOOKUP(E121,引用表合并!$A:$B,2,FALSE))</f>
        <v>马仔经验甘露</v>
      </c>
      <c r="E121" s="66">
        <f t="shared" si="26"/>
        <v>91300</v>
      </c>
      <c r="F121" s="66">
        <f t="shared" si="40"/>
        <v>2</v>
      </c>
      <c r="G121" s="66">
        <f t="shared" si="27"/>
        <v>500</v>
      </c>
      <c r="H121" s="66" t="str">
        <f>IF(I121="","",VLOOKUP(I121,引用表合并!$A:$B,2,FALSE))</f>
        <v>马仔经验甘露</v>
      </c>
      <c r="I121" s="66">
        <f t="shared" si="36"/>
        <v>91300</v>
      </c>
      <c r="J121" s="66">
        <f t="shared" si="28"/>
        <v>2</v>
      </c>
      <c r="K121" s="66">
        <f t="shared" si="29"/>
        <v>1000</v>
      </c>
      <c r="L121" s="66" t="str">
        <f>IF(M121="","",VLOOKUP(M121,引用表合并!$A:$B,2,FALSE))</f>
        <v>马仔经验甘露</v>
      </c>
      <c r="M121" s="66">
        <f t="shared" si="37"/>
        <v>91300</v>
      </c>
      <c r="N121" s="66">
        <f t="shared" si="30"/>
        <v>2</v>
      </c>
      <c r="O121" s="66">
        <f t="shared" si="31"/>
        <v>1500</v>
      </c>
      <c r="P121" s="66" t="str">
        <f>IF(Q121="","",VLOOKUP(Q121,引用表合并!$A:$B,2,FALSE))</f>
        <v>马仔经验甘露</v>
      </c>
      <c r="Q121" s="66">
        <f t="shared" si="38"/>
        <v>91300</v>
      </c>
      <c r="R121" s="66">
        <f t="shared" si="32"/>
        <v>2</v>
      </c>
      <c r="S121" s="66">
        <f t="shared" si="33"/>
        <v>2000</v>
      </c>
      <c r="T121" s="31" t="str">
        <f>IF(U121="","",VLOOKUP(U121,引用表合并!$A:$B,2,FALSE))</f>
        <v>猛龙过江(3天)</v>
      </c>
      <c r="U121" s="31">
        <v>83108</v>
      </c>
      <c r="V121" s="31">
        <v>1</v>
      </c>
      <c r="W121" s="31">
        <v>4000</v>
      </c>
      <c r="X121" s="31" t="str">
        <f>IF(Y121="","",VLOOKUP(Y121,引用表合并!$A:$B,2,FALSE))</f>
        <v>马仔碎片(山下忠秀)</v>
      </c>
      <c r="Y121" s="31">
        <v>78112</v>
      </c>
      <c r="Z121" s="31">
        <v>2</v>
      </c>
      <c r="AA121" s="31">
        <v>5500</v>
      </c>
      <c r="AB121" s="31" t="str">
        <f>IF(AC121="","",VLOOKUP(AC121,引用表合并!$A:$B,2,FALSE))</f>
        <v>马仔碎片(山下忠秀)</v>
      </c>
      <c r="AC121" s="66">
        <v>78112</v>
      </c>
      <c r="AD121" s="31">
        <v>2</v>
      </c>
      <c r="AE121" s="31">
        <v>7000</v>
      </c>
      <c r="AF121" s="31" t="str">
        <f>IF(AG121="","",VLOOKUP(AG121,引用表合并!$A:$B,2,FALSE))</f>
        <v>马仔碎片(宫本一)</v>
      </c>
      <c r="AG121" s="66">
        <v>78113</v>
      </c>
      <c r="AH121" s="31">
        <v>2</v>
      </c>
      <c r="AI121" s="31">
        <v>8500</v>
      </c>
      <c r="AJ121" s="31" t="str">
        <f>IF(AK121="","",VLOOKUP(AK121,引用表合并!$A:$B,2,FALSE))</f>
        <v>马仔碎片(笑面虎)</v>
      </c>
      <c r="AK121" s="31">
        <v>78119</v>
      </c>
      <c r="AL121" s="31">
        <v>2</v>
      </c>
      <c r="AM121" s="31">
        <v>10000</v>
      </c>
      <c r="AN121" s="66" t="str">
        <f>IF(AO121="","",VLOOKUP(AO121,引用表合并!$A:$B,2,FALSE))</f>
        <v/>
      </c>
      <c r="AR121" s="66" t="str">
        <f>IF(AS121="","",VLOOKUP(AS121,引用表合并!$A:$B,2,FALSE))</f>
        <v/>
      </c>
      <c r="AV121" s="66" t="str">
        <f>IF(AW121="","",VLOOKUP(AW121,引用表合并!$A:$B,2,FALSE))</f>
        <v/>
      </c>
      <c r="AZ121" s="66" t="str">
        <f>IF(BA121="","",VLOOKUP(BA121,引用表合并!$A:$B,2,FALSE))</f>
        <v/>
      </c>
      <c r="BM121" s="66">
        <f t="shared" si="41"/>
        <v>2</v>
      </c>
      <c r="BN121" s="31">
        <v>2500</v>
      </c>
      <c r="BO121" s="66">
        <v>2</v>
      </c>
      <c r="BP121" s="31">
        <v>2500</v>
      </c>
      <c r="BQ121" s="31">
        <v>2</v>
      </c>
      <c r="BR121" s="31">
        <v>2500</v>
      </c>
      <c r="BS121" s="31">
        <v>2</v>
      </c>
      <c r="BT121" s="31">
        <v>2500</v>
      </c>
      <c r="BU121" s="31">
        <v>2</v>
      </c>
      <c r="BV121" s="66">
        <f t="shared" si="34"/>
        <v>5000</v>
      </c>
      <c r="BW121" s="66">
        <f>SUM(BV107:BV121)</f>
        <v>16250</v>
      </c>
    </row>
    <row r="122" spans="1:75" x14ac:dyDescent="0.15">
      <c r="A122" s="66">
        <f t="shared" si="39"/>
        <v>100901</v>
      </c>
      <c r="B122" s="66" t="s">
        <v>240</v>
      </c>
      <c r="C122" s="67">
        <f t="shared" si="42"/>
        <v>4</v>
      </c>
      <c r="D122" s="66" t="str">
        <f>IF(E122="","",VLOOKUP(E122,引用表合并!$A:$B,2,FALSE))</f>
        <v>马仔经验药水</v>
      </c>
      <c r="E122" s="66">
        <f t="shared" si="26"/>
        <v>91100</v>
      </c>
      <c r="F122" s="66">
        <f t="shared" si="40"/>
        <v>1</v>
      </c>
      <c r="G122" s="66">
        <f t="shared" si="27"/>
        <v>2500</v>
      </c>
      <c r="H122" s="66" t="str">
        <f>IF(I122="","",VLOOKUP(I122,引用表合并!$A:$B,2,FALSE))</f>
        <v>马仔经验药水</v>
      </c>
      <c r="I122" s="66">
        <f t="shared" si="36"/>
        <v>91100</v>
      </c>
      <c r="J122" s="66">
        <f t="shared" si="28"/>
        <v>1</v>
      </c>
      <c r="K122" s="66">
        <f t="shared" si="29"/>
        <v>5000</v>
      </c>
      <c r="L122" s="66" t="str">
        <f>IF(M122="","",VLOOKUP(M122,引用表合并!$A:$B,2,FALSE))</f>
        <v>马仔经验药水</v>
      </c>
      <c r="M122" s="66">
        <f t="shared" si="37"/>
        <v>91100</v>
      </c>
      <c r="N122" s="66">
        <f t="shared" si="30"/>
        <v>2</v>
      </c>
      <c r="O122" s="66">
        <f t="shared" si="31"/>
        <v>7500</v>
      </c>
      <c r="P122" s="66" t="str">
        <f>IF(Q122="","",VLOOKUP(Q122,引用表合并!$A:$B,2,FALSE))</f>
        <v>马仔经验药水</v>
      </c>
      <c r="Q122" s="66">
        <f t="shared" si="38"/>
        <v>91100</v>
      </c>
      <c r="R122" s="66">
        <f t="shared" si="32"/>
        <v>2</v>
      </c>
      <c r="S122" s="66">
        <f t="shared" si="33"/>
        <v>10000</v>
      </c>
      <c r="T122" s="66" t="str">
        <f>IF(U122="","",VLOOKUP(U122,引用表合并!$A:$B,2,FALSE))</f>
        <v/>
      </c>
      <c r="U122" s="69"/>
      <c r="W122" s="31"/>
      <c r="X122" s="66" t="str">
        <f>IF(Y122="","",VLOOKUP(Y122,引用表合并!$A:$B,2,FALSE))</f>
        <v/>
      </c>
      <c r="AA122" s="31"/>
      <c r="AB122" s="66" t="str">
        <f>IF(AC122="","",VLOOKUP(AC122,引用表合并!$A:$B,2,FALSE))</f>
        <v/>
      </c>
      <c r="AC122" s="68"/>
      <c r="AE122" s="31"/>
      <c r="AF122" s="66" t="str">
        <f>IF(AG122="","",VLOOKUP(AG122,引用表合并!$A:$B,2,FALSE))</f>
        <v/>
      </c>
      <c r="AI122" s="31"/>
      <c r="AJ122" s="66" t="str">
        <f>IF(AK122="","",VLOOKUP(AK122,引用表合并!$A:$B,2,FALSE))</f>
        <v/>
      </c>
      <c r="AM122" s="31"/>
      <c r="BM122" s="66">
        <f t="shared" si="41"/>
        <v>1.5</v>
      </c>
      <c r="BN122" s="31">
        <v>100</v>
      </c>
      <c r="BO122" s="66">
        <v>1</v>
      </c>
      <c r="BP122" s="31">
        <v>100</v>
      </c>
      <c r="BQ122" s="31">
        <v>1</v>
      </c>
      <c r="BR122" s="31">
        <v>100</v>
      </c>
      <c r="BS122" s="31">
        <v>2</v>
      </c>
      <c r="BT122" s="31">
        <v>100</v>
      </c>
      <c r="BU122" s="31">
        <v>2</v>
      </c>
      <c r="BV122" s="66">
        <f t="shared" si="34"/>
        <v>150</v>
      </c>
    </row>
    <row r="123" spans="1:75" x14ac:dyDescent="0.15">
      <c r="A123" s="66">
        <f t="shared" si="39"/>
        <v>100902</v>
      </c>
      <c r="B123" s="66" t="s">
        <v>241</v>
      </c>
      <c r="C123" s="67">
        <f t="shared" si="42"/>
        <v>4</v>
      </c>
      <c r="D123" s="66" t="str">
        <f>IF(E123="","",VLOOKUP(E123,引用表合并!$A:$B,2,FALSE))</f>
        <v>马仔经验药水</v>
      </c>
      <c r="E123" s="66">
        <f t="shared" si="26"/>
        <v>91100</v>
      </c>
      <c r="F123" s="66">
        <f t="shared" si="40"/>
        <v>1</v>
      </c>
      <c r="G123" s="66">
        <f t="shared" si="27"/>
        <v>2500</v>
      </c>
      <c r="H123" s="66" t="str">
        <f>IF(I123="","",VLOOKUP(I123,引用表合并!$A:$B,2,FALSE))</f>
        <v>马仔经验药水</v>
      </c>
      <c r="I123" s="66">
        <f t="shared" si="36"/>
        <v>91100</v>
      </c>
      <c r="J123" s="66">
        <f t="shared" si="28"/>
        <v>2</v>
      </c>
      <c r="K123" s="66">
        <f t="shared" si="29"/>
        <v>5000</v>
      </c>
      <c r="L123" s="66" t="str">
        <f>IF(M123="","",VLOOKUP(M123,引用表合并!$A:$B,2,FALSE))</f>
        <v>马仔经验药水</v>
      </c>
      <c r="M123" s="66">
        <f t="shared" si="37"/>
        <v>91100</v>
      </c>
      <c r="N123" s="66">
        <f t="shared" si="30"/>
        <v>2</v>
      </c>
      <c r="O123" s="66">
        <f t="shared" si="31"/>
        <v>7500</v>
      </c>
      <c r="P123" s="66" t="str">
        <f>IF(Q123="","",VLOOKUP(Q123,引用表合并!$A:$B,2,FALSE))</f>
        <v>马仔经验药水</v>
      </c>
      <c r="Q123" s="66">
        <f t="shared" si="38"/>
        <v>91100</v>
      </c>
      <c r="R123" s="66">
        <f t="shared" si="32"/>
        <v>3</v>
      </c>
      <c r="S123" s="66">
        <f t="shared" si="33"/>
        <v>10000</v>
      </c>
      <c r="BM123" s="66">
        <f t="shared" si="41"/>
        <v>2</v>
      </c>
      <c r="BN123" s="31">
        <v>100</v>
      </c>
      <c r="BO123" s="66">
        <v>1</v>
      </c>
      <c r="BP123" s="31">
        <v>100</v>
      </c>
      <c r="BQ123" s="31">
        <v>2</v>
      </c>
      <c r="BR123" s="31">
        <v>100</v>
      </c>
      <c r="BS123" s="31">
        <v>2</v>
      </c>
      <c r="BT123" s="31">
        <v>100</v>
      </c>
      <c r="BU123" s="31">
        <v>3</v>
      </c>
      <c r="BV123" s="66">
        <f t="shared" si="34"/>
        <v>200</v>
      </c>
    </row>
    <row r="124" spans="1:75" x14ac:dyDescent="0.15">
      <c r="A124" s="66">
        <f t="shared" si="39"/>
        <v>100903</v>
      </c>
      <c r="B124" s="66" t="s">
        <v>242</v>
      </c>
      <c r="C124" s="67">
        <f t="shared" si="42"/>
        <v>8</v>
      </c>
      <c r="D124" s="66" t="str">
        <f>IF(E124="","",VLOOKUP(E124,引用表合并!$A:$B,2,FALSE))</f>
        <v>马仔经验合剂</v>
      </c>
      <c r="E124" s="66">
        <f t="shared" si="26"/>
        <v>91200</v>
      </c>
      <c r="F124" s="66">
        <f t="shared" si="40"/>
        <v>2</v>
      </c>
      <c r="G124" s="66">
        <f t="shared" si="27"/>
        <v>1500</v>
      </c>
      <c r="H124" s="66" t="str">
        <f>IF(I124="","",VLOOKUP(I124,引用表合并!$A:$B,2,FALSE))</f>
        <v>马仔经验合剂</v>
      </c>
      <c r="I124" s="66">
        <f t="shared" si="36"/>
        <v>91200</v>
      </c>
      <c r="J124" s="66">
        <f t="shared" si="28"/>
        <v>3</v>
      </c>
      <c r="K124" s="66">
        <f t="shared" si="29"/>
        <v>3000</v>
      </c>
      <c r="L124" s="66" t="str">
        <f>IF(M124="","",VLOOKUP(M124,引用表合并!$A:$B,2,FALSE))</f>
        <v>马仔经验合剂</v>
      </c>
      <c r="M124" s="66">
        <f t="shared" si="37"/>
        <v>91200</v>
      </c>
      <c r="N124" s="66">
        <f t="shared" si="30"/>
        <v>3</v>
      </c>
      <c r="O124" s="66">
        <f t="shared" si="31"/>
        <v>4500</v>
      </c>
      <c r="P124" s="66" t="str">
        <f>IF(Q124="","",VLOOKUP(Q124,引用表合并!$A:$B,2,FALSE))</f>
        <v>马仔经验合剂</v>
      </c>
      <c r="Q124" s="66">
        <f t="shared" si="38"/>
        <v>91200</v>
      </c>
      <c r="R124" s="66">
        <f t="shared" si="32"/>
        <v>3</v>
      </c>
      <c r="S124" s="66">
        <f t="shared" si="33"/>
        <v>6000</v>
      </c>
      <c r="T124" s="31" t="str">
        <f>IF(U124="","",VLOOKUP(U124,引用表合并!$A:$B,2,FALSE))</f>
        <v>马仔碎片(靓坤)</v>
      </c>
      <c r="U124" s="31">
        <v>78106</v>
      </c>
      <c r="V124" s="66">
        <v>1</v>
      </c>
      <c r="W124" s="66">
        <v>7000</v>
      </c>
      <c r="X124" s="31" t="str">
        <f>IF(Y124="","",VLOOKUP(Y124,引用表合并!$A:$B,2,FALSE))</f>
        <v>马仔碎片(雷复轰)</v>
      </c>
      <c r="Y124" s="66">
        <v>78107</v>
      </c>
      <c r="Z124" s="31">
        <v>1</v>
      </c>
      <c r="AA124" s="31">
        <v>8000</v>
      </c>
      <c r="AB124" s="31" t="str">
        <f>IF(AC124="","",VLOOKUP(AC124,引用表合并!$A:$B,2,FALSE))</f>
        <v>马仔碎片(肥仔)</v>
      </c>
      <c r="AC124" s="66">
        <v>78108</v>
      </c>
      <c r="AD124" s="31">
        <v>1</v>
      </c>
      <c r="AE124" s="31">
        <v>9000</v>
      </c>
      <c r="AF124" s="31" t="str">
        <f>IF(AG124="","",VLOOKUP(AG124,引用表合并!$A:$B,2,FALSE))</f>
        <v>马仔碎片(巴闭)</v>
      </c>
      <c r="AG124" s="66">
        <v>78117</v>
      </c>
      <c r="AH124" s="31">
        <v>1</v>
      </c>
      <c r="AI124" s="31">
        <v>10000</v>
      </c>
      <c r="BM124" s="66">
        <f t="shared" si="41"/>
        <v>2.75</v>
      </c>
      <c r="BN124" s="31">
        <v>500</v>
      </c>
      <c r="BO124" s="66">
        <v>2</v>
      </c>
      <c r="BP124" s="31">
        <v>500</v>
      </c>
      <c r="BQ124" s="31">
        <v>3</v>
      </c>
      <c r="BR124" s="31">
        <v>500</v>
      </c>
      <c r="BS124" s="31">
        <v>3</v>
      </c>
      <c r="BT124" s="31">
        <v>500</v>
      </c>
      <c r="BU124" s="31">
        <v>3</v>
      </c>
      <c r="BV124" s="66">
        <f t="shared" si="34"/>
        <v>1375</v>
      </c>
    </row>
    <row r="125" spans="1:75" x14ac:dyDescent="0.15">
      <c r="A125" s="66">
        <f t="shared" si="39"/>
        <v>100904</v>
      </c>
      <c r="B125" s="66" t="s">
        <v>243</v>
      </c>
      <c r="C125" s="67">
        <f t="shared" si="42"/>
        <v>4</v>
      </c>
      <c r="D125" s="66" t="str">
        <f>IF(E125="","",VLOOKUP(E125,引用表合并!$A:$B,2,FALSE))</f>
        <v>马仔经验药水</v>
      </c>
      <c r="E125" s="66">
        <f t="shared" si="26"/>
        <v>91100</v>
      </c>
      <c r="F125" s="66">
        <f t="shared" si="40"/>
        <v>2</v>
      </c>
      <c r="G125" s="66">
        <f t="shared" si="27"/>
        <v>2500</v>
      </c>
      <c r="H125" s="66" t="str">
        <f>IF(I125="","",VLOOKUP(I125,引用表合并!$A:$B,2,FALSE))</f>
        <v>马仔经验药水</v>
      </c>
      <c r="I125" s="66">
        <f t="shared" si="36"/>
        <v>91100</v>
      </c>
      <c r="J125" s="66">
        <f t="shared" si="28"/>
        <v>2</v>
      </c>
      <c r="K125" s="66">
        <f t="shared" si="29"/>
        <v>5000</v>
      </c>
      <c r="L125" s="66" t="str">
        <f>IF(M125="","",VLOOKUP(M125,引用表合并!$A:$B,2,FALSE))</f>
        <v>马仔经验药水</v>
      </c>
      <c r="M125" s="66">
        <f t="shared" si="37"/>
        <v>91100</v>
      </c>
      <c r="N125" s="66">
        <f t="shared" si="30"/>
        <v>3</v>
      </c>
      <c r="O125" s="66">
        <f t="shared" si="31"/>
        <v>7500</v>
      </c>
      <c r="P125" s="66" t="str">
        <f>IF(Q125="","",VLOOKUP(Q125,引用表合并!$A:$B,2,FALSE))</f>
        <v>马仔经验药水</v>
      </c>
      <c r="Q125" s="66">
        <f t="shared" si="38"/>
        <v>91100</v>
      </c>
      <c r="R125" s="66">
        <f t="shared" si="32"/>
        <v>3</v>
      </c>
      <c r="S125" s="66">
        <f t="shared" si="33"/>
        <v>10000</v>
      </c>
      <c r="BM125" s="66">
        <f t="shared" si="41"/>
        <v>2.5</v>
      </c>
      <c r="BN125" s="31">
        <v>100</v>
      </c>
      <c r="BO125" s="66">
        <v>2</v>
      </c>
      <c r="BP125" s="31">
        <v>100</v>
      </c>
      <c r="BQ125" s="31">
        <v>2</v>
      </c>
      <c r="BR125" s="31">
        <v>100</v>
      </c>
      <c r="BS125" s="31">
        <v>3</v>
      </c>
      <c r="BT125" s="31">
        <v>100</v>
      </c>
      <c r="BU125" s="31">
        <v>3</v>
      </c>
      <c r="BV125" s="66">
        <f t="shared" si="34"/>
        <v>250</v>
      </c>
    </row>
    <row r="126" spans="1:75" x14ac:dyDescent="0.15">
      <c r="A126" s="66">
        <f t="shared" si="39"/>
        <v>100905</v>
      </c>
      <c r="B126" s="66" t="s">
        <v>244</v>
      </c>
      <c r="C126" s="67">
        <f t="shared" si="42"/>
        <v>4</v>
      </c>
      <c r="D126" s="66" t="str">
        <f>IF(E126="","",VLOOKUP(E126,引用表合并!$A:$B,2,FALSE))</f>
        <v>马仔经验药水</v>
      </c>
      <c r="E126" s="66">
        <f t="shared" si="26"/>
        <v>91100</v>
      </c>
      <c r="F126" s="66">
        <f t="shared" si="40"/>
        <v>2</v>
      </c>
      <c r="G126" s="66">
        <f t="shared" si="27"/>
        <v>2500</v>
      </c>
      <c r="H126" s="66" t="str">
        <f>IF(I126="","",VLOOKUP(I126,引用表合并!$A:$B,2,FALSE))</f>
        <v>马仔经验药水</v>
      </c>
      <c r="I126" s="66">
        <f t="shared" si="36"/>
        <v>91100</v>
      </c>
      <c r="J126" s="66">
        <f t="shared" si="28"/>
        <v>3</v>
      </c>
      <c r="K126" s="66">
        <f t="shared" si="29"/>
        <v>5000</v>
      </c>
      <c r="L126" s="66" t="str">
        <f>IF(M126="","",VLOOKUP(M126,引用表合并!$A:$B,2,FALSE))</f>
        <v>马仔经验药水</v>
      </c>
      <c r="M126" s="66">
        <f t="shared" si="37"/>
        <v>91100</v>
      </c>
      <c r="N126" s="66">
        <f t="shared" si="30"/>
        <v>3</v>
      </c>
      <c r="O126" s="66">
        <f t="shared" si="31"/>
        <v>7500</v>
      </c>
      <c r="P126" s="66" t="str">
        <f>IF(Q126="","",VLOOKUP(Q126,引用表合并!$A:$B,2,FALSE))</f>
        <v>马仔经验药水</v>
      </c>
      <c r="Q126" s="66">
        <f t="shared" si="38"/>
        <v>91100</v>
      </c>
      <c r="R126" s="66">
        <f t="shared" si="32"/>
        <v>4</v>
      </c>
      <c r="S126" s="66">
        <f t="shared" si="33"/>
        <v>10000</v>
      </c>
      <c r="BM126" s="66">
        <f t="shared" si="41"/>
        <v>3</v>
      </c>
      <c r="BN126" s="31">
        <v>100</v>
      </c>
      <c r="BO126" s="66">
        <v>2</v>
      </c>
      <c r="BP126" s="31">
        <v>100</v>
      </c>
      <c r="BQ126" s="31">
        <v>3</v>
      </c>
      <c r="BR126" s="31">
        <v>100</v>
      </c>
      <c r="BS126" s="31">
        <v>3</v>
      </c>
      <c r="BT126" s="31">
        <v>100</v>
      </c>
      <c r="BU126" s="31">
        <v>4</v>
      </c>
      <c r="BV126" s="66">
        <f t="shared" si="34"/>
        <v>300</v>
      </c>
    </row>
    <row r="127" spans="1:75" x14ac:dyDescent="0.15">
      <c r="A127" s="66">
        <f t="shared" si="39"/>
        <v>100906</v>
      </c>
      <c r="B127" s="66" t="s">
        <v>245</v>
      </c>
      <c r="C127" s="67">
        <f t="shared" si="42"/>
        <v>8</v>
      </c>
      <c r="D127" s="66" t="str">
        <f>IF(E127="","",VLOOKUP(E127,引用表合并!$A:$B,2,FALSE))</f>
        <v>马仔经验合剂</v>
      </c>
      <c r="E127" s="66">
        <f t="shared" si="26"/>
        <v>91200</v>
      </c>
      <c r="F127" s="66">
        <f t="shared" si="40"/>
        <v>3</v>
      </c>
      <c r="G127" s="66">
        <f t="shared" si="27"/>
        <v>1500</v>
      </c>
      <c r="H127" s="66" t="str">
        <f>IF(I127="","",VLOOKUP(I127,引用表合并!$A:$B,2,FALSE))</f>
        <v>马仔经验合剂</v>
      </c>
      <c r="I127" s="66">
        <f t="shared" si="36"/>
        <v>91200</v>
      </c>
      <c r="J127" s="66">
        <f t="shared" si="28"/>
        <v>3</v>
      </c>
      <c r="K127" s="66">
        <f t="shared" si="29"/>
        <v>3000</v>
      </c>
      <c r="L127" s="66" t="str">
        <f>IF(M127="","",VLOOKUP(M127,引用表合并!$A:$B,2,FALSE))</f>
        <v>马仔经验合剂</v>
      </c>
      <c r="M127" s="66">
        <f t="shared" si="37"/>
        <v>91200</v>
      </c>
      <c r="N127" s="66">
        <f t="shared" si="30"/>
        <v>4</v>
      </c>
      <c r="O127" s="66">
        <f t="shared" si="31"/>
        <v>4500</v>
      </c>
      <c r="P127" s="66" t="str">
        <f>IF(Q127="","",VLOOKUP(Q127,引用表合并!$A:$B,2,FALSE))</f>
        <v>马仔经验合剂</v>
      </c>
      <c r="Q127" s="66">
        <f t="shared" si="38"/>
        <v>91200</v>
      </c>
      <c r="R127" s="66">
        <f t="shared" si="32"/>
        <v>4</v>
      </c>
      <c r="S127" s="66">
        <f t="shared" si="33"/>
        <v>6000</v>
      </c>
      <c r="T127" s="31" t="str">
        <f>IF(U127="","",VLOOKUP(U127,引用表合并!$A:$B,2,FALSE))</f>
        <v>马仔碎片(靓坤)</v>
      </c>
      <c r="U127" s="31">
        <v>78106</v>
      </c>
      <c r="V127" s="66">
        <v>2</v>
      </c>
      <c r="W127" s="66">
        <v>7000</v>
      </c>
      <c r="X127" s="31" t="str">
        <f>IF(Y127="","",VLOOKUP(Y127,引用表合并!$A:$B,2,FALSE))</f>
        <v>马仔碎片(雷复轰)</v>
      </c>
      <c r="Y127" s="66">
        <v>78107</v>
      </c>
      <c r="Z127" s="31">
        <v>2</v>
      </c>
      <c r="AA127" s="31">
        <v>8000</v>
      </c>
      <c r="AB127" s="31" t="str">
        <f>IF(AC127="","",VLOOKUP(AC127,引用表合并!$A:$B,2,FALSE))</f>
        <v>马仔碎片(肥仔)</v>
      </c>
      <c r="AC127" s="66">
        <v>78108</v>
      </c>
      <c r="AD127" s="31">
        <v>2</v>
      </c>
      <c r="AE127" s="31">
        <v>9000</v>
      </c>
      <c r="AF127" s="31" t="str">
        <f>IF(AG127="","",VLOOKUP(AG127,引用表合并!$A:$B,2,FALSE))</f>
        <v>马仔碎片(巴闭)</v>
      </c>
      <c r="AG127" s="66">
        <v>78117</v>
      </c>
      <c r="AH127" s="31">
        <v>2</v>
      </c>
      <c r="AI127" s="31">
        <v>10000</v>
      </c>
      <c r="BM127" s="66">
        <f t="shared" si="41"/>
        <v>3.5</v>
      </c>
      <c r="BN127" s="31">
        <v>500</v>
      </c>
      <c r="BO127" s="66">
        <v>3</v>
      </c>
      <c r="BP127" s="31">
        <v>500</v>
      </c>
      <c r="BQ127" s="31">
        <v>3</v>
      </c>
      <c r="BR127" s="31">
        <v>500</v>
      </c>
      <c r="BS127" s="31">
        <v>4</v>
      </c>
      <c r="BT127" s="31">
        <v>500</v>
      </c>
      <c r="BU127" s="31">
        <v>4</v>
      </c>
      <c r="BV127" s="66">
        <f t="shared" si="34"/>
        <v>1750</v>
      </c>
    </row>
    <row r="128" spans="1:75" x14ac:dyDescent="0.15">
      <c r="A128" s="66">
        <f t="shared" si="39"/>
        <v>100907</v>
      </c>
      <c r="B128" s="66" t="s">
        <v>246</v>
      </c>
      <c r="C128" s="67">
        <f t="shared" si="42"/>
        <v>4</v>
      </c>
      <c r="D128" s="66" t="str">
        <f>IF(E128="","",VLOOKUP(E128,引用表合并!$A:$B,2,FALSE))</f>
        <v>马仔经验药水</v>
      </c>
      <c r="E128" s="66">
        <f t="shared" si="26"/>
        <v>91100</v>
      </c>
      <c r="F128" s="66">
        <f t="shared" si="40"/>
        <v>3</v>
      </c>
      <c r="G128" s="66">
        <f t="shared" si="27"/>
        <v>2500</v>
      </c>
      <c r="H128" s="66" t="str">
        <f>IF(I128="","",VLOOKUP(I128,引用表合并!$A:$B,2,FALSE))</f>
        <v>马仔经验药水</v>
      </c>
      <c r="I128" s="66">
        <f t="shared" si="36"/>
        <v>91100</v>
      </c>
      <c r="J128" s="66">
        <f t="shared" si="28"/>
        <v>3</v>
      </c>
      <c r="K128" s="66">
        <f t="shared" si="29"/>
        <v>5000</v>
      </c>
      <c r="L128" s="66" t="str">
        <f>IF(M128="","",VLOOKUP(M128,引用表合并!$A:$B,2,FALSE))</f>
        <v>马仔经验药水</v>
      </c>
      <c r="M128" s="66">
        <f t="shared" si="37"/>
        <v>91100</v>
      </c>
      <c r="N128" s="66">
        <f t="shared" si="30"/>
        <v>4</v>
      </c>
      <c r="O128" s="66">
        <f t="shared" si="31"/>
        <v>7500</v>
      </c>
      <c r="P128" s="66" t="str">
        <f>IF(Q128="","",VLOOKUP(Q128,引用表合并!$A:$B,2,FALSE))</f>
        <v>马仔经验药水</v>
      </c>
      <c r="Q128" s="66">
        <f t="shared" si="38"/>
        <v>91100</v>
      </c>
      <c r="R128" s="66">
        <f t="shared" si="32"/>
        <v>4</v>
      </c>
      <c r="S128" s="66">
        <f t="shared" si="33"/>
        <v>10000</v>
      </c>
      <c r="BM128" s="66">
        <f t="shared" si="41"/>
        <v>3.5</v>
      </c>
      <c r="BN128" s="31">
        <v>100</v>
      </c>
      <c r="BO128" s="66">
        <v>3</v>
      </c>
      <c r="BP128" s="31">
        <v>100</v>
      </c>
      <c r="BQ128" s="31">
        <v>3</v>
      </c>
      <c r="BR128" s="31">
        <v>100</v>
      </c>
      <c r="BS128" s="31">
        <v>4</v>
      </c>
      <c r="BT128" s="31">
        <v>100</v>
      </c>
      <c r="BU128" s="31">
        <v>4</v>
      </c>
      <c r="BV128" s="66">
        <f t="shared" si="34"/>
        <v>350</v>
      </c>
    </row>
    <row r="129" spans="1:75" x14ac:dyDescent="0.15">
      <c r="A129" s="66">
        <f t="shared" si="39"/>
        <v>100908</v>
      </c>
      <c r="B129" s="66" t="s">
        <v>247</v>
      </c>
      <c r="C129" s="67">
        <f t="shared" si="42"/>
        <v>4</v>
      </c>
      <c r="D129" s="66" t="str">
        <f>IF(E129="","",VLOOKUP(E129,引用表合并!$A:$B,2,FALSE))</f>
        <v>马仔经验药水</v>
      </c>
      <c r="E129" s="66">
        <f t="shared" si="26"/>
        <v>91100</v>
      </c>
      <c r="F129" s="66">
        <f t="shared" si="40"/>
        <v>3</v>
      </c>
      <c r="G129" s="66">
        <f t="shared" si="27"/>
        <v>2500</v>
      </c>
      <c r="H129" s="66" t="str">
        <f>IF(I129="","",VLOOKUP(I129,引用表合并!$A:$B,2,FALSE))</f>
        <v>马仔经验药水</v>
      </c>
      <c r="I129" s="66">
        <f t="shared" si="36"/>
        <v>91100</v>
      </c>
      <c r="J129" s="66">
        <f t="shared" si="28"/>
        <v>4</v>
      </c>
      <c r="K129" s="66">
        <f t="shared" si="29"/>
        <v>5000</v>
      </c>
      <c r="L129" s="66" t="str">
        <f>IF(M129="","",VLOOKUP(M129,引用表合并!$A:$B,2,FALSE))</f>
        <v>马仔经验药水</v>
      </c>
      <c r="M129" s="66">
        <f t="shared" si="37"/>
        <v>91100</v>
      </c>
      <c r="N129" s="66">
        <f t="shared" si="30"/>
        <v>4</v>
      </c>
      <c r="O129" s="66">
        <f t="shared" si="31"/>
        <v>7500</v>
      </c>
      <c r="P129" s="66" t="str">
        <f>IF(Q129="","",VLOOKUP(Q129,引用表合并!$A:$B,2,FALSE))</f>
        <v>马仔经验药水</v>
      </c>
      <c r="Q129" s="66">
        <f t="shared" si="38"/>
        <v>91100</v>
      </c>
      <c r="R129" s="66">
        <f t="shared" si="32"/>
        <v>5</v>
      </c>
      <c r="S129" s="66">
        <f t="shared" si="33"/>
        <v>10000</v>
      </c>
      <c r="BM129" s="66">
        <f t="shared" si="41"/>
        <v>4</v>
      </c>
      <c r="BN129" s="31">
        <v>100</v>
      </c>
      <c r="BO129" s="66">
        <v>3</v>
      </c>
      <c r="BP129" s="31">
        <v>100</v>
      </c>
      <c r="BQ129" s="31">
        <v>4</v>
      </c>
      <c r="BR129" s="31">
        <v>100</v>
      </c>
      <c r="BS129" s="31">
        <v>4</v>
      </c>
      <c r="BT129" s="31">
        <v>100</v>
      </c>
      <c r="BU129" s="31">
        <v>5</v>
      </c>
      <c r="BV129" s="66">
        <f t="shared" si="34"/>
        <v>400</v>
      </c>
    </row>
    <row r="130" spans="1:75" x14ac:dyDescent="0.15">
      <c r="A130" s="66">
        <f t="shared" si="39"/>
        <v>100909</v>
      </c>
      <c r="B130" s="66" t="s">
        <v>248</v>
      </c>
      <c r="C130" s="67">
        <f t="shared" si="42"/>
        <v>8</v>
      </c>
      <c r="D130" s="66" t="str">
        <f>IF(E130="","",VLOOKUP(E130,引用表合并!$A:$B,2,FALSE))</f>
        <v>马仔经验合剂</v>
      </c>
      <c r="E130" s="66">
        <f t="shared" si="26"/>
        <v>91200</v>
      </c>
      <c r="F130" s="66">
        <f t="shared" ref="F130:F166" si="43">BO130</f>
        <v>4</v>
      </c>
      <c r="G130" s="66">
        <f t="shared" si="27"/>
        <v>1500</v>
      </c>
      <c r="H130" s="66" t="str">
        <f>IF(I130="","",VLOOKUP(I130,引用表合并!$A:$B,2,FALSE))</f>
        <v>马仔经验合剂</v>
      </c>
      <c r="I130" s="66">
        <f t="shared" si="36"/>
        <v>91200</v>
      </c>
      <c r="J130" s="66">
        <f t="shared" si="28"/>
        <v>4</v>
      </c>
      <c r="K130" s="66">
        <f t="shared" si="29"/>
        <v>3000</v>
      </c>
      <c r="L130" s="66" t="str">
        <f>IF(M130="","",VLOOKUP(M130,引用表合并!$A:$B,2,FALSE))</f>
        <v>马仔经验合剂</v>
      </c>
      <c r="M130" s="66">
        <f t="shared" si="37"/>
        <v>91200</v>
      </c>
      <c r="N130" s="66">
        <f t="shared" si="30"/>
        <v>5</v>
      </c>
      <c r="O130" s="66">
        <f t="shared" si="31"/>
        <v>4500</v>
      </c>
      <c r="P130" s="66" t="str">
        <f>IF(Q130="","",VLOOKUP(Q130,引用表合并!$A:$B,2,FALSE))</f>
        <v>马仔经验合剂</v>
      </c>
      <c r="Q130" s="66">
        <f t="shared" si="38"/>
        <v>91200</v>
      </c>
      <c r="R130" s="66">
        <f t="shared" si="32"/>
        <v>5</v>
      </c>
      <c r="S130" s="66">
        <f t="shared" si="33"/>
        <v>6000</v>
      </c>
      <c r="T130" s="31" t="str">
        <f>IF(U130="","",VLOOKUP(U130,引用表合并!$A:$B,2,FALSE))</f>
        <v>马仔碎片(靓坤)</v>
      </c>
      <c r="U130" s="31">
        <v>78106</v>
      </c>
      <c r="V130" s="66">
        <v>3</v>
      </c>
      <c r="W130" s="66">
        <v>7000</v>
      </c>
      <c r="X130" s="31" t="str">
        <f>IF(Y130="","",VLOOKUP(Y130,引用表合并!$A:$B,2,FALSE))</f>
        <v>马仔碎片(雷复轰)</v>
      </c>
      <c r="Y130" s="66">
        <v>78107</v>
      </c>
      <c r="Z130" s="31">
        <v>3</v>
      </c>
      <c r="AA130" s="31">
        <v>8000</v>
      </c>
      <c r="AB130" s="31" t="str">
        <f>IF(AC130="","",VLOOKUP(AC130,引用表合并!$A:$B,2,FALSE))</f>
        <v>马仔碎片(肥仔)</v>
      </c>
      <c r="AC130" s="66">
        <v>78108</v>
      </c>
      <c r="AD130" s="31">
        <v>3</v>
      </c>
      <c r="AE130" s="31">
        <v>9000</v>
      </c>
      <c r="AF130" s="31" t="str">
        <f>IF(AG130="","",VLOOKUP(AG130,引用表合并!$A:$B,2,FALSE))</f>
        <v>马仔碎片(巴闭)</v>
      </c>
      <c r="AG130" s="66">
        <v>78117</v>
      </c>
      <c r="AH130" s="31">
        <v>3</v>
      </c>
      <c r="AI130" s="31">
        <v>10000</v>
      </c>
      <c r="BM130" s="66">
        <f t="shared" ref="BM130:BM166" si="44">AVERAGE(F130,J130,N130,R130)</f>
        <v>4.5</v>
      </c>
      <c r="BN130" s="31">
        <v>500</v>
      </c>
      <c r="BO130" s="66">
        <v>4</v>
      </c>
      <c r="BP130" s="31">
        <v>500</v>
      </c>
      <c r="BQ130" s="31">
        <v>4</v>
      </c>
      <c r="BR130" s="31">
        <v>500</v>
      </c>
      <c r="BS130" s="31">
        <v>5</v>
      </c>
      <c r="BT130" s="31">
        <v>500</v>
      </c>
      <c r="BU130" s="31">
        <v>5</v>
      </c>
      <c r="BV130" s="66">
        <f t="shared" si="34"/>
        <v>2250</v>
      </c>
    </row>
    <row r="131" spans="1:75" x14ac:dyDescent="0.15">
      <c r="A131" s="66">
        <f t="shared" si="39"/>
        <v>100910</v>
      </c>
      <c r="B131" s="66" t="s">
        <v>249</v>
      </c>
      <c r="C131" s="67">
        <f t="shared" si="42"/>
        <v>4</v>
      </c>
      <c r="D131" s="66" t="str">
        <f>IF(E131="","",VLOOKUP(E131,引用表合并!$A:$B,2,FALSE))</f>
        <v>马仔经验药水</v>
      </c>
      <c r="E131" s="66">
        <f t="shared" ref="E131:E148" si="45">IF(BN131=100,91100,IF(BN131=500,91200,91300))</f>
        <v>91100</v>
      </c>
      <c r="F131" s="66">
        <f t="shared" si="43"/>
        <v>4</v>
      </c>
      <c r="G131" s="66">
        <f t="shared" ref="G131:G166" si="46">IF(MOD(MOD($A131,100),15)=0,500,IF(MOD(MOD($A131,100),3)=0,1500,2500))</f>
        <v>2500</v>
      </c>
      <c r="H131" s="66" t="str">
        <f>IF(I131="","",VLOOKUP(I131,引用表合并!$A:$B,2,FALSE))</f>
        <v>马仔经验药水</v>
      </c>
      <c r="I131" s="66">
        <f t="shared" si="36"/>
        <v>91100</v>
      </c>
      <c r="J131" s="66">
        <f t="shared" ref="J131:J166" si="47">BQ131</f>
        <v>4</v>
      </c>
      <c r="K131" s="66">
        <f t="shared" ref="K131:K166" si="48">IF(MOD(MOD($A131,100),15)=0,500,IF(MOD(MOD($A131,100),3)=0,1500,2500))+G131</f>
        <v>5000</v>
      </c>
      <c r="L131" s="66" t="str">
        <f>IF(M131="","",VLOOKUP(M131,引用表合并!$A:$B,2,FALSE))</f>
        <v>马仔经验药水</v>
      </c>
      <c r="M131" s="66">
        <f t="shared" si="37"/>
        <v>91100</v>
      </c>
      <c r="N131" s="66">
        <f t="shared" ref="N131:N166" si="49">BS131</f>
        <v>5</v>
      </c>
      <c r="O131" s="66">
        <f t="shared" ref="O131:O166" si="50">IF(MOD(MOD($A131,100),15)=0,500,IF(MOD(MOD($A131,100),3)=0,1500,2500))+K131</f>
        <v>7500</v>
      </c>
      <c r="P131" s="66" t="str">
        <f>IF(Q131="","",VLOOKUP(Q131,引用表合并!$A:$B,2,FALSE))</f>
        <v>马仔经验药水</v>
      </c>
      <c r="Q131" s="66">
        <f t="shared" si="38"/>
        <v>91100</v>
      </c>
      <c r="R131" s="66">
        <f t="shared" ref="R131:R166" si="51">BU131</f>
        <v>5</v>
      </c>
      <c r="S131" s="66">
        <f t="shared" ref="S131:S166" si="52">IF(MOD(MOD($A131,100),15)=0,500,IF(MOD(MOD($A131,100),3)=0,1500,2500))+O131</f>
        <v>10000</v>
      </c>
      <c r="BM131" s="66">
        <f t="shared" si="44"/>
        <v>4.5</v>
      </c>
      <c r="BN131" s="31">
        <v>100</v>
      </c>
      <c r="BO131" s="66">
        <v>4</v>
      </c>
      <c r="BP131" s="31">
        <v>100</v>
      </c>
      <c r="BQ131" s="31">
        <v>4</v>
      </c>
      <c r="BR131" s="31">
        <v>100</v>
      </c>
      <c r="BS131" s="31">
        <v>5</v>
      </c>
      <c r="BT131" s="31">
        <v>100</v>
      </c>
      <c r="BU131" s="31">
        <v>5</v>
      </c>
      <c r="BV131" s="66">
        <f t="shared" ref="BV131:BV166" si="53">(BN131*BO131+BP131*BQ131+BR131*BS131+BT131*BU131)/4</f>
        <v>450</v>
      </c>
    </row>
    <row r="132" spans="1:75" x14ac:dyDescent="0.15">
      <c r="A132" s="66">
        <f t="shared" si="39"/>
        <v>100911</v>
      </c>
      <c r="B132" s="66" t="s">
        <v>250</v>
      </c>
      <c r="C132" s="67">
        <f t="shared" si="42"/>
        <v>4</v>
      </c>
      <c r="D132" s="66" t="str">
        <f>IF(E132="","",VLOOKUP(E132,引用表合并!$A:$B,2,FALSE))</f>
        <v>马仔经验药水</v>
      </c>
      <c r="E132" s="66">
        <f t="shared" si="45"/>
        <v>91100</v>
      </c>
      <c r="F132" s="66">
        <f t="shared" si="43"/>
        <v>4</v>
      </c>
      <c r="G132" s="66">
        <f t="shared" si="46"/>
        <v>2500</v>
      </c>
      <c r="H132" s="66" t="str">
        <f>IF(I132="","",VLOOKUP(I132,引用表合并!$A:$B,2,FALSE))</f>
        <v>马仔经验药水</v>
      </c>
      <c r="I132" s="66">
        <f t="shared" si="36"/>
        <v>91100</v>
      </c>
      <c r="J132" s="66">
        <f t="shared" si="47"/>
        <v>5</v>
      </c>
      <c r="K132" s="66">
        <f t="shared" si="48"/>
        <v>5000</v>
      </c>
      <c r="L132" s="66" t="str">
        <f>IF(M132="","",VLOOKUP(M132,引用表合并!$A:$B,2,FALSE))</f>
        <v>马仔经验药水</v>
      </c>
      <c r="M132" s="66">
        <f t="shared" si="37"/>
        <v>91100</v>
      </c>
      <c r="N132" s="66">
        <f t="shared" si="49"/>
        <v>5</v>
      </c>
      <c r="O132" s="66">
        <f t="shared" si="50"/>
        <v>7500</v>
      </c>
      <c r="P132" s="66" t="str">
        <f>IF(Q132="","",VLOOKUP(Q132,引用表合并!$A:$B,2,FALSE))</f>
        <v>马仔经验药水</v>
      </c>
      <c r="Q132" s="66">
        <f t="shared" si="38"/>
        <v>91100</v>
      </c>
      <c r="R132" s="66">
        <f t="shared" si="51"/>
        <v>6</v>
      </c>
      <c r="S132" s="66">
        <f t="shared" si="52"/>
        <v>10000</v>
      </c>
      <c r="BM132" s="66">
        <f t="shared" si="44"/>
        <v>5</v>
      </c>
      <c r="BN132" s="31">
        <v>100</v>
      </c>
      <c r="BO132" s="66">
        <v>4</v>
      </c>
      <c r="BP132" s="31">
        <v>100</v>
      </c>
      <c r="BQ132" s="31">
        <v>5</v>
      </c>
      <c r="BR132" s="31">
        <v>100</v>
      </c>
      <c r="BS132" s="31">
        <v>5</v>
      </c>
      <c r="BT132" s="31">
        <v>100</v>
      </c>
      <c r="BU132" s="31">
        <v>6</v>
      </c>
      <c r="BV132" s="66">
        <f t="shared" si="53"/>
        <v>500</v>
      </c>
    </row>
    <row r="133" spans="1:75" x14ac:dyDescent="0.15">
      <c r="A133" s="66">
        <f t="shared" si="39"/>
        <v>100912</v>
      </c>
      <c r="B133" s="66" t="s">
        <v>251</v>
      </c>
      <c r="C133" s="67">
        <f t="shared" si="42"/>
        <v>8</v>
      </c>
      <c r="D133" s="66" t="str">
        <f>IF(E133="","",VLOOKUP(E133,引用表合并!$A:$B,2,FALSE))</f>
        <v>马仔经验甘露</v>
      </c>
      <c r="E133" s="66">
        <f t="shared" si="45"/>
        <v>91300</v>
      </c>
      <c r="F133" s="66">
        <f t="shared" si="43"/>
        <v>1</v>
      </c>
      <c r="G133" s="66">
        <f t="shared" si="46"/>
        <v>1500</v>
      </c>
      <c r="H133" s="66" t="str">
        <f>IF(I133="","",VLOOKUP(I133,引用表合并!$A:$B,2,FALSE))</f>
        <v>马仔经验甘露</v>
      </c>
      <c r="I133" s="66">
        <f t="shared" si="36"/>
        <v>91300</v>
      </c>
      <c r="J133" s="66">
        <f t="shared" si="47"/>
        <v>1</v>
      </c>
      <c r="K133" s="66">
        <f t="shared" si="48"/>
        <v>3000</v>
      </c>
      <c r="L133" s="66" t="str">
        <f>IF(M133="","",VLOOKUP(M133,引用表合并!$A:$B,2,FALSE))</f>
        <v>马仔经验甘露</v>
      </c>
      <c r="M133" s="66">
        <f t="shared" si="37"/>
        <v>91300</v>
      </c>
      <c r="N133" s="66">
        <f t="shared" si="49"/>
        <v>1</v>
      </c>
      <c r="O133" s="66">
        <f t="shared" si="50"/>
        <v>4500</v>
      </c>
      <c r="P133" s="66" t="str">
        <f>IF(Q133="","",VLOOKUP(Q133,引用表合并!$A:$B,2,FALSE))</f>
        <v>马仔经验甘露</v>
      </c>
      <c r="Q133" s="66">
        <f t="shared" si="38"/>
        <v>91300</v>
      </c>
      <c r="R133" s="66">
        <f t="shared" si="51"/>
        <v>1</v>
      </c>
      <c r="S133" s="66">
        <f t="shared" si="52"/>
        <v>6000</v>
      </c>
      <c r="T133" s="31" t="str">
        <f>IF(U133="","",VLOOKUP(U133,引用表合并!$A:$B,2,FALSE))</f>
        <v>马仔碎片(赌王)</v>
      </c>
      <c r="U133" s="31">
        <v>78111</v>
      </c>
      <c r="V133" s="66">
        <v>1</v>
      </c>
      <c r="W133" s="66">
        <v>7000</v>
      </c>
      <c r="X133" s="31" t="str">
        <f>IF(Y133="","",VLOOKUP(Y133,引用表合并!$A:$B,2,FALSE))</f>
        <v>马仔碎片(山下忠秀)</v>
      </c>
      <c r="Y133" s="31">
        <v>78112</v>
      </c>
      <c r="Z133" s="31">
        <v>1</v>
      </c>
      <c r="AA133" s="31">
        <v>8000</v>
      </c>
      <c r="AB133" s="31" t="str">
        <f>IF(AC133="","",VLOOKUP(AC133,引用表合并!$A:$B,2,FALSE))</f>
        <v>马仔碎片(宫本一)</v>
      </c>
      <c r="AC133" s="66">
        <v>78113</v>
      </c>
      <c r="AD133" s="31">
        <v>1</v>
      </c>
      <c r="AE133" s="31">
        <v>9000</v>
      </c>
      <c r="AF133" s="31" t="str">
        <f>IF(AG133="","",VLOOKUP(AG133,引用表合并!$A:$B,2,FALSE))</f>
        <v>马仔碎片(笑面虎)</v>
      </c>
      <c r="AG133" s="66">
        <v>78119</v>
      </c>
      <c r="AH133" s="31">
        <v>1</v>
      </c>
      <c r="AI133" s="31">
        <v>10000</v>
      </c>
      <c r="BM133" s="66">
        <f t="shared" si="44"/>
        <v>1</v>
      </c>
      <c r="BN133" s="31">
        <v>2500</v>
      </c>
      <c r="BO133" s="66">
        <v>1</v>
      </c>
      <c r="BP133" s="31">
        <v>2500</v>
      </c>
      <c r="BQ133" s="31">
        <v>1</v>
      </c>
      <c r="BR133" s="31">
        <v>2500</v>
      </c>
      <c r="BS133" s="31">
        <v>1</v>
      </c>
      <c r="BT133" s="31">
        <v>2500</v>
      </c>
      <c r="BU133" s="31">
        <v>1</v>
      </c>
      <c r="BV133" s="66">
        <f t="shared" si="53"/>
        <v>2500</v>
      </c>
    </row>
    <row r="134" spans="1:75" x14ac:dyDescent="0.15">
      <c r="A134" s="66">
        <f t="shared" si="39"/>
        <v>100913</v>
      </c>
      <c r="B134" s="66" t="s">
        <v>252</v>
      </c>
      <c r="C134" s="67">
        <f t="shared" si="42"/>
        <v>4</v>
      </c>
      <c r="D134" s="66" t="str">
        <f>IF(E134="","",VLOOKUP(E134,引用表合并!$A:$B,2,FALSE))</f>
        <v>马仔经验药水</v>
      </c>
      <c r="E134" s="66">
        <f t="shared" si="45"/>
        <v>91100</v>
      </c>
      <c r="F134" s="66">
        <f t="shared" si="43"/>
        <v>5</v>
      </c>
      <c r="G134" s="66">
        <f t="shared" si="46"/>
        <v>2500</v>
      </c>
      <c r="H134" s="66" t="str">
        <f>IF(I134="","",VLOOKUP(I134,引用表合并!$A:$B,2,FALSE))</f>
        <v>马仔经验药水</v>
      </c>
      <c r="I134" s="66">
        <f t="shared" si="36"/>
        <v>91100</v>
      </c>
      <c r="J134" s="66">
        <f t="shared" si="47"/>
        <v>5</v>
      </c>
      <c r="K134" s="66">
        <f t="shared" si="48"/>
        <v>5000</v>
      </c>
      <c r="L134" s="66" t="str">
        <f>IF(M134="","",VLOOKUP(M134,引用表合并!$A:$B,2,FALSE))</f>
        <v>马仔经验药水</v>
      </c>
      <c r="M134" s="66">
        <f t="shared" si="37"/>
        <v>91100</v>
      </c>
      <c r="N134" s="66">
        <f t="shared" si="49"/>
        <v>6</v>
      </c>
      <c r="O134" s="66">
        <f t="shared" si="50"/>
        <v>7500</v>
      </c>
      <c r="P134" s="66" t="str">
        <f>IF(Q134="","",VLOOKUP(Q134,引用表合并!$A:$B,2,FALSE))</f>
        <v>马仔经验药水</v>
      </c>
      <c r="Q134" s="66">
        <f t="shared" si="38"/>
        <v>91100</v>
      </c>
      <c r="R134" s="66">
        <f t="shared" si="51"/>
        <v>6</v>
      </c>
      <c r="S134" s="66">
        <f t="shared" si="52"/>
        <v>10000</v>
      </c>
      <c r="BM134" s="66">
        <f t="shared" si="44"/>
        <v>5.5</v>
      </c>
      <c r="BN134" s="31">
        <v>100</v>
      </c>
      <c r="BO134" s="66">
        <v>5</v>
      </c>
      <c r="BP134" s="31">
        <v>100</v>
      </c>
      <c r="BQ134" s="31">
        <v>5</v>
      </c>
      <c r="BR134" s="31">
        <v>100</v>
      </c>
      <c r="BS134" s="31">
        <v>6</v>
      </c>
      <c r="BT134" s="31">
        <v>100</v>
      </c>
      <c r="BU134" s="31">
        <v>6</v>
      </c>
      <c r="BV134" s="66">
        <f t="shared" si="53"/>
        <v>550</v>
      </c>
    </row>
    <row r="135" spans="1:75" x14ac:dyDescent="0.15">
      <c r="A135" s="66">
        <f t="shared" si="39"/>
        <v>100914</v>
      </c>
      <c r="B135" s="66" t="s">
        <v>253</v>
      </c>
      <c r="C135" s="67">
        <f t="shared" si="42"/>
        <v>4</v>
      </c>
      <c r="D135" s="66" t="str">
        <f>IF(E135="","",VLOOKUP(E135,引用表合并!$A:$B,2,FALSE))</f>
        <v>马仔经验药水</v>
      </c>
      <c r="E135" s="66">
        <f t="shared" si="45"/>
        <v>91100</v>
      </c>
      <c r="F135" s="66">
        <f t="shared" si="43"/>
        <v>5</v>
      </c>
      <c r="G135" s="66">
        <f t="shared" si="46"/>
        <v>2500</v>
      </c>
      <c r="H135" s="66" t="str">
        <f>IF(I135="","",VLOOKUP(I135,引用表合并!$A:$B,2,FALSE))</f>
        <v>马仔经验药水</v>
      </c>
      <c r="I135" s="66">
        <f t="shared" si="36"/>
        <v>91100</v>
      </c>
      <c r="J135" s="66">
        <f t="shared" si="47"/>
        <v>6</v>
      </c>
      <c r="K135" s="66">
        <f t="shared" si="48"/>
        <v>5000</v>
      </c>
      <c r="L135" s="66" t="str">
        <f>IF(M135="","",VLOOKUP(M135,引用表合并!$A:$B,2,FALSE))</f>
        <v>马仔经验药水</v>
      </c>
      <c r="M135" s="66">
        <f t="shared" si="37"/>
        <v>91100</v>
      </c>
      <c r="N135" s="66">
        <f t="shared" si="49"/>
        <v>6</v>
      </c>
      <c r="O135" s="66">
        <f t="shared" si="50"/>
        <v>7500</v>
      </c>
      <c r="P135" s="66" t="str">
        <f>IF(Q135="","",VLOOKUP(Q135,引用表合并!$A:$B,2,FALSE))</f>
        <v>马仔经验药水</v>
      </c>
      <c r="Q135" s="66">
        <f t="shared" si="38"/>
        <v>91100</v>
      </c>
      <c r="R135" s="66">
        <f t="shared" si="51"/>
        <v>7</v>
      </c>
      <c r="S135" s="66">
        <f t="shared" si="52"/>
        <v>10000</v>
      </c>
      <c r="BM135" s="66">
        <f t="shared" si="44"/>
        <v>6</v>
      </c>
      <c r="BN135" s="31">
        <v>100</v>
      </c>
      <c r="BO135" s="66">
        <v>5</v>
      </c>
      <c r="BP135" s="31">
        <v>100</v>
      </c>
      <c r="BQ135" s="31">
        <v>6</v>
      </c>
      <c r="BR135" s="31">
        <v>100</v>
      </c>
      <c r="BS135" s="31">
        <v>6</v>
      </c>
      <c r="BT135" s="31">
        <v>100</v>
      </c>
      <c r="BU135" s="31">
        <v>7</v>
      </c>
      <c r="BV135" s="66">
        <f t="shared" si="53"/>
        <v>600</v>
      </c>
    </row>
    <row r="136" spans="1:75" x14ac:dyDescent="0.15">
      <c r="A136" s="66">
        <f t="shared" si="39"/>
        <v>100915</v>
      </c>
      <c r="B136" s="66" t="s">
        <v>254</v>
      </c>
      <c r="C136" s="67">
        <f t="shared" si="42"/>
        <v>9</v>
      </c>
      <c r="D136" s="66" t="str">
        <f>IF(E136="","",VLOOKUP(E136,引用表合并!$A:$B,2,FALSE))</f>
        <v>马仔经验甘露</v>
      </c>
      <c r="E136" s="66">
        <f t="shared" si="45"/>
        <v>91300</v>
      </c>
      <c r="F136" s="66">
        <f t="shared" si="43"/>
        <v>2</v>
      </c>
      <c r="G136" s="66">
        <f t="shared" si="46"/>
        <v>500</v>
      </c>
      <c r="H136" s="66" t="str">
        <f>IF(I136="","",VLOOKUP(I136,引用表合并!$A:$B,2,FALSE))</f>
        <v>马仔经验甘露</v>
      </c>
      <c r="I136" s="66">
        <f t="shared" si="36"/>
        <v>91300</v>
      </c>
      <c r="J136" s="66">
        <f t="shared" si="47"/>
        <v>2</v>
      </c>
      <c r="K136" s="66">
        <f t="shared" si="48"/>
        <v>1000</v>
      </c>
      <c r="L136" s="66" t="str">
        <f>IF(M136="","",VLOOKUP(M136,引用表合并!$A:$B,2,FALSE))</f>
        <v>马仔经验甘露</v>
      </c>
      <c r="M136" s="66">
        <f t="shared" si="37"/>
        <v>91300</v>
      </c>
      <c r="N136" s="66">
        <f t="shared" si="49"/>
        <v>2</v>
      </c>
      <c r="O136" s="66">
        <f t="shared" si="50"/>
        <v>1500</v>
      </c>
      <c r="P136" s="66" t="str">
        <f>IF(Q136="","",VLOOKUP(Q136,引用表合并!$A:$B,2,FALSE))</f>
        <v>马仔经验甘露</v>
      </c>
      <c r="Q136" s="66">
        <f t="shared" si="38"/>
        <v>91300</v>
      </c>
      <c r="R136" s="66">
        <f t="shared" si="51"/>
        <v>3</v>
      </c>
      <c r="S136" s="66">
        <f t="shared" si="52"/>
        <v>2000</v>
      </c>
      <c r="T136" s="31" t="str">
        <f>IF(U136="","",VLOOKUP(U136,引用表合并!$A:$B,2,FALSE))</f>
        <v>猛龙过江(3天)</v>
      </c>
      <c r="U136" s="31">
        <v>83108</v>
      </c>
      <c r="V136" s="31">
        <v>1</v>
      </c>
      <c r="W136" s="31">
        <v>4000</v>
      </c>
      <c r="X136" s="31" t="str">
        <f>IF(Y136="","",VLOOKUP(Y136,引用表合并!$A:$B,2,FALSE))</f>
        <v>马仔碎片(山下忠秀)</v>
      </c>
      <c r="Y136" s="31">
        <v>78112</v>
      </c>
      <c r="Z136" s="31">
        <v>2</v>
      </c>
      <c r="AA136" s="31">
        <v>5500</v>
      </c>
      <c r="AB136" s="31" t="str">
        <f>IF(AC136="","",VLOOKUP(AC136,引用表合并!$A:$B,2,FALSE))</f>
        <v>马仔碎片(山下忠秀)</v>
      </c>
      <c r="AC136" s="66">
        <v>78112</v>
      </c>
      <c r="AD136" s="31">
        <v>2</v>
      </c>
      <c r="AE136" s="31">
        <v>7000</v>
      </c>
      <c r="AF136" s="31" t="str">
        <f>IF(AG136="","",VLOOKUP(AG136,引用表合并!$A:$B,2,FALSE))</f>
        <v>马仔碎片(宫本一)</v>
      </c>
      <c r="AG136" s="66">
        <v>78113</v>
      </c>
      <c r="AH136" s="31">
        <v>2</v>
      </c>
      <c r="AI136" s="31">
        <v>8500</v>
      </c>
      <c r="AJ136" s="31" t="str">
        <f>IF(AK136="","",VLOOKUP(AK136,引用表合并!$A:$B,2,FALSE))</f>
        <v>马仔碎片(笑面虎)</v>
      </c>
      <c r="AK136" s="31">
        <v>78119</v>
      </c>
      <c r="AL136" s="31">
        <v>2</v>
      </c>
      <c r="AM136" s="31">
        <v>10000</v>
      </c>
      <c r="AN136" s="66" t="str">
        <f>IF(AO136="","",VLOOKUP(AO136,引用表合并!$A:$B,2,FALSE))</f>
        <v/>
      </c>
      <c r="AR136" s="66" t="str">
        <f>IF(AS136="","",VLOOKUP(AS136,引用表合并!$A:$B,2,FALSE))</f>
        <v/>
      </c>
      <c r="AV136" s="66" t="str">
        <f>IF(AW136="","",VLOOKUP(AW136,引用表合并!$A:$B,2,FALSE))</f>
        <v/>
      </c>
      <c r="AZ136" s="66" t="str">
        <f>IF(BA136="","",VLOOKUP(BA136,引用表合并!$A:$B,2,FALSE))</f>
        <v/>
      </c>
      <c r="BM136" s="66">
        <f t="shared" si="44"/>
        <v>2.25</v>
      </c>
      <c r="BN136" s="31">
        <v>2500</v>
      </c>
      <c r="BO136" s="66">
        <v>2</v>
      </c>
      <c r="BP136" s="31">
        <v>2500</v>
      </c>
      <c r="BQ136" s="31">
        <v>2</v>
      </c>
      <c r="BR136" s="31">
        <v>2500</v>
      </c>
      <c r="BS136" s="31">
        <v>2</v>
      </c>
      <c r="BT136" s="31">
        <v>2500</v>
      </c>
      <c r="BU136" s="31">
        <v>3</v>
      </c>
      <c r="BV136" s="66">
        <f t="shared" si="53"/>
        <v>5625</v>
      </c>
      <c r="BW136" s="66">
        <f>SUM(BV122:BV136)</f>
        <v>17250</v>
      </c>
    </row>
    <row r="137" spans="1:75" x14ac:dyDescent="0.15">
      <c r="A137" s="66">
        <f t="shared" ref="A137:A166" si="54">A122+100</f>
        <v>101001</v>
      </c>
      <c r="B137" s="66" t="s">
        <v>255</v>
      </c>
      <c r="C137" s="67">
        <f t="shared" si="42"/>
        <v>4</v>
      </c>
      <c r="D137" s="66" t="str">
        <f>IF(E137="","",VLOOKUP(E137,引用表合并!$A:$B,2,FALSE))</f>
        <v>马仔经验药水</v>
      </c>
      <c r="E137" s="66">
        <f t="shared" si="45"/>
        <v>91100</v>
      </c>
      <c r="F137" s="66">
        <f t="shared" si="43"/>
        <v>1</v>
      </c>
      <c r="G137" s="66">
        <f t="shared" si="46"/>
        <v>2500</v>
      </c>
      <c r="H137" s="66" t="str">
        <f>IF(I137="","",VLOOKUP(I137,引用表合并!$A:$B,2,FALSE))</f>
        <v>马仔经验药水</v>
      </c>
      <c r="I137" s="66">
        <f t="shared" si="36"/>
        <v>91100</v>
      </c>
      <c r="J137" s="66">
        <f t="shared" si="47"/>
        <v>1</v>
      </c>
      <c r="K137" s="66">
        <f t="shared" si="48"/>
        <v>5000</v>
      </c>
      <c r="L137" s="66" t="str">
        <f>IF(M137="","",VLOOKUP(M137,引用表合并!$A:$B,2,FALSE))</f>
        <v>马仔经验药水</v>
      </c>
      <c r="M137" s="66">
        <f t="shared" si="37"/>
        <v>91100</v>
      </c>
      <c r="N137" s="66">
        <f t="shared" si="49"/>
        <v>2</v>
      </c>
      <c r="O137" s="66">
        <f t="shared" si="50"/>
        <v>7500</v>
      </c>
      <c r="P137" s="66" t="str">
        <f>IF(Q137="","",VLOOKUP(Q137,引用表合并!$A:$B,2,FALSE))</f>
        <v>马仔经验药水</v>
      </c>
      <c r="Q137" s="66">
        <f t="shared" si="38"/>
        <v>91100</v>
      </c>
      <c r="R137" s="66">
        <f t="shared" si="51"/>
        <v>2</v>
      </c>
      <c r="S137" s="66">
        <f t="shared" si="52"/>
        <v>10000</v>
      </c>
      <c r="T137" s="66" t="str">
        <f>IF(U137="","",VLOOKUP(U137,引用表合并!$A:$B,2,FALSE))</f>
        <v/>
      </c>
      <c r="U137" s="69"/>
      <c r="W137" s="31"/>
      <c r="X137" s="66" t="str">
        <f>IF(Y137="","",VLOOKUP(Y137,引用表合并!$A:$B,2,FALSE))</f>
        <v/>
      </c>
      <c r="AA137" s="31"/>
      <c r="AB137" s="66" t="str">
        <f>IF(AC137="","",VLOOKUP(AC137,引用表合并!$A:$B,2,FALSE))</f>
        <v/>
      </c>
      <c r="AC137" s="68"/>
      <c r="AE137" s="31"/>
      <c r="AF137" s="66" t="str">
        <f>IF(AG137="","",VLOOKUP(AG137,引用表合并!$A:$B,2,FALSE))</f>
        <v/>
      </c>
      <c r="AI137" s="31"/>
      <c r="AJ137" s="66" t="str">
        <f>IF(AK137="","",VLOOKUP(AK137,引用表合并!$A:$B,2,FALSE))</f>
        <v/>
      </c>
      <c r="AM137" s="31"/>
      <c r="BM137" s="66">
        <f t="shared" si="44"/>
        <v>1.5</v>
      </c>
      <c r="BN137" s="31">
        <v>100</v>
      </c>
      <c r="BO137" s="66">
        <v>1</v>
      </c>
      <c r="BP137" s="31">
        <v>100</v>
      </c>
      <c r="BQ137" s="31">
        <v>1</v>
      </c>
      <c r="BR137" s="31">
        <v>100</v>
      </c>
      <c r="BS137" s="31">
        <v>2</v>
      </c>
      <c r="BT137" s="31">
        <v>100</v>
      </c>
      <c r="BU137" s="31">
        <v>2</v>
      </c>
      <c r="BV137" s="66">
        <f t="shared" si="53"/>
        <v>150</v>
      </c>
    </row>
    <row r="138" spans="1:75" x14ac:dyDescent="0.15">
      <c r="A138" s="66">
        <f t="shared" si="54"/>
        <v>101002</v>
      </c>
      <c r="B138" s="66" t="s">
        <v>256</v>
      </c>
      <c r="C138" s="67">
        <f t="shared" si="42"/>
        <v>4</v>
      </c>
      <c r="D138" s="66" t="str">
        <f>IF(E138="","",VLOOKUP(E138,引用表合并!$A:$B,2,FALSE))</f>
        <v>马仔经验药水</v>
      </c>
      <c r="E138" s="66">
        <f t="shared" si="45"/>
        <v>91100</v>
      </c>
      <c r="F138" s="66">
        <f t="shared" si="43"/>
        <v>1</v>
      </c>
      <c r="G138" s="66">
        <f t="shared" si="46"/>
        <v>2500</v>
      </c>
      <c r="H138" s="66" t="str">
        <f>IF(I138="","",VLOOKUP(I138,引用表合并!$A:$B,2,FALSE))</f>
        <v>马仔经验药水</v>
      </c>
      <c r="I138" s="66">
        <f t="shared" si="36"/>
        <v>91100</v>
      </c>
      <c r="J138" s="66">
        <f t="shared" si="47"/>
        <v>2</v>
      </c>
      <c r="K138" s="66">
        <f t="shared" si="48"/>
        <v>5000</v>
      </c>
      <c r="L138" s="66" t="str">
        <f>IF(M138="","",VLOOKUP(M138,引用表合并!$A:$B,2,FALSE))</f>
        <v>马仔经验药水</v>
      </c>
      <c r="M138" s="66">
        <f t="shared" si="37"/>
        <v>91100</v>
      </c>
      <c r="N138" s="66">
        <f t="shared" si="49"/>
        <v>2</v>
      </c>
      <c r="O138" s="66">
        <f t="shared" si="50"/>
        <v>7500</v>
      </c>
      <c r="P138" s="66" t="str">
        <f>IF(Q138="","",VLOOKUP(Q138,引用表合并!$A:$B,2,FALSE))</f>
        <v>马仔经验药水</v>
      </c>
      <c r="Q138" s="66">
        <f t="shared" si="38"/>
        <v>91100</v>
      </c>
      <c r="R138" s="66">
        <f t="shared" si="51"/>
        <v>3</v>
      </c>
      <c r="S138" s="66">
        <f t="shared" si="52"/>
        <v>10000</v>
      </c>
      <c r="BM138" s="66">
        <f t="shared" si="44"/>
        <v>2</v>
      </c>
      <c r="BN138" s="31">
        <v>100</v>
      </c>
      <c r="BO138" s="66">
        <v>1</v>
      </c>
      <c r="BP138" s="31">
        <v>100</v>
      </c>
      <c r="BQ138" s="31">
        <v>2</v>
      </c>
      <c r="BR138" s="31">
        <v>100</v>
      </c>
      <c r="BS138" s="31">
        <v>2</v>
      </c>
      <c r="BT138" s="31">
        <v>100</v>
      </c>
      <c r="BU138" s="31">
        <v>3</v>
      </c>
      <c r="BV138" s="66">
        <f t="shared" si="53"/>
        <v>200</v>
      </c>
    </row>
    <row r="139" spans="1:75" x14ac:dyDescent="0.15">
      <c r="A139" s="66">
        <f t="shared" si="54"/>
        <v>101003</v>
      </c>
      <c r="B139" s="66" t="s">
        <v>257</v>
      </c>
      <c r="C139" s="67">
        <f t="shared" si="42"/>
        <v>8</v>
      </c>
      <c r="D139" s="66" t="str">
        <f>IF(E139="","",VLOOKUP(E139,引用表合并!$A:$B,2,FALSE))</f>
        <v>马仔经验合剂</v>
      </c>
      <c r="E139" s="66">
        <f t="shared" si="45"/>
        <v>91200</v>
      </c>
      <c r="F139" s="66">
        <f t="shared" si="43"/>
        <v>2</v>
      </c>
      <c r="G139" s="66">
        <f t="shared" si="46"/>
        <v>1500</v>
      </c>
      <c r="H139" s="66" t="str">
        <f>IF(I139="","",VLOOKUP(I139,引用表合并!$A:$B,2,FALSE))</f>
        <v>马仔经验合剂</v>
      </c>
      <c r="I139" s="66">
        <f t="shared" si="36"/>
        <v>91200</v>
      </c>
      <c r="J139" s="66">
        <f t="shared" si="47"/>
        <v>3</v>
      </c>
      <c r="K139" s="66">
        <f t="shared" si="48"/>
        <v>3000</v>
      </c>
      <c r="L139" s="66" t="str">
        <f>IF(M139="","",VLOOKUP(M139,引用表合并!$A:$B,2,FALSE))</f>
        <v>马仔经验合剂</v>
      </c>
      <c r="M139" s="66">
        <f t="shared" si="37"/>
        <v>91200</v>
      </c>
      <c r="N139" s="66">
        <f t="shared" si="49"/>
        <v>3</v>
      </c>
      <c r="O139" s="66">
        <f t="shared" si="50"/>
        <v>4500</v>
      </c>
      <c r="P139" s="66" t="str">
        <f>IF(Q139="","",VLOOKUP(Q139,引用表合并!$A:$B,2,FALSE))</f>
        <v>马仔经验合剂</v>
      </c>
      <c r="Q139" s="66">
        <f t="shared" si="38"/>
        <v>91200</v>
      </c>
      <c r="R139" s="66">
        <f t="shared" si="51"/>
        <v>4</v>
      </c>
      <c r="S139" s="66">
        <f t="shared" si="52"/>
        <v>6000</v>
      </c>
      <c r="T139" s="31" t="str">
        <f>IF(U139="","",VLOOKUP(U139,引用表合并!$A:$B,2,FALSE))</f>
        <v>马仔碎片(靓坤)</v>
      </c>
      <c r="U139" s="31">
        <v>78106</v>
      </c>
      <c r="V139" s="66">
        <v>1</v>
      </c>
      <c r="W139" s="66">
        <v>7000</v>
      </c>
      <c r="X139" s="31" t="str">
        <f>IF(Y139="","",VLOOKUP(Y139,引用表合并!$A:$B,2,FALSE))</f>
        <v>马仔碎片(雷复轰)</v>
      </c>
      <c r="Y139" s="66">
        <v>78107</v>
      </c>
      <c r="Z139" s="31">
        <v>1</v>
      </c>
      <c r="AA139" s="31">
        <v>8000</v>
      </c>
      <c r="AB139" s="31" t="str">
        <f>IF(AC139="","",VLOOKUP(AC139,引用表合并!$A:$B,2,FALSE))</f>
        <v>马仔碎片(肥仔)</v>
      </c>
      <c r="AC139" s="66">
        <v>78108</v>
      </c>
      <c r="AD139" s="31">
        <v>1</v>
      </c>
      <c r="AE139" s="31">
        <v>9000</v>
      </c>
      <c r="AF139" s="31" t="str">
        <f>IF(AG139="","",VLOOKUP(AG139,引用表合并!$A:$B,2,FALSE))</f>
        <v>马仔碎片(巴闭)</v>
      </c>
      <c r="AG139" s="66">
        <v>78117</v>
      </c>
      <c r="AH139" s="31">
        <v>1</v>
      </c>
      <c r="AI139" s="31">
        <v>10000</v>
      </c>
      <c r="BM139" s="66">
        <f t="shared" si="44"/>
        <v>3</v>
      </c>
      <c r="BN139" s="31">
        <v>500</v>
      </c>
      <c r="BO139" s="66">
        <v>2</v>
      </c>
      <c r="BP139" s="31">
        <v>500</v>
      </c>
      <c r="BQ139" s="31">
        <v>3</v>
      </c>
      <c r="BR139" s="31">
        <v>500</v>
      </c>
      <c r="BS139" s="31">
        <v>3</v>
      </c>
      <c r="BT139" s="31">
        <v>500</v>
      </c>
      <c r="BU139" s="31">
        <v>4</v>
      </c>
      <c r="BV139" s="66">
        <f t="shared" si="53"/>
        <v>1500</v>
      </c>
    </row>
    <row r="140" spans="1:75" x14ac:dyDescent="0.15">
      <c r="A140" s="66">
        <f t="shared" si="54"/>
        <v>101004</v>
      </c>
      <c r="B140" s="66" t="s">
        <v>258</v>
      </c>
      <c r="C140" s="67">
        <f t="shared" si="42"/>
        <v>4</v>
      </c>
      <c r="D140" s="66" t="str">
        <f>IF(E140="","",VLOOKUP(E140,引用表合并!$A:$B,2,FALSE))</f>
        <v>马仔经验药水</v>
      </c>
      <c r="E140" s="66">
        <f t="shared" si="45"/>
        <v>91100</v>
      </c>
      <c r="F140" s="66">
        <f t="shared" si="43"/>
        <v>2</v>
      </c>
      <c r="G140" s="66">
        <f t="shared" si="46"/>
        <v>2500</v>
      </c>
      <c r="H140" s="66" t="str">
        <f>IF(I140="","",VLOOKUP(I140,引用表合并!$A:$B,2,FALSE))</f>
        <v>马仔经验药水</v>
      </c>
      <c r="I140" s="66">
        <f t="shared" si="36"/>
        <v>91100</v>
      </c>
      <c r="J140" s="66">
        <f t="shared" si="47"/>
        <v>2</v>
      </c>
      <c r="K140" s="66">
        <f t="shared" si="48"/>
        <v>5000</v>
      </c>
      <c r="L140" s="66" t="str">
        <f>IF(M140="","",VLOOKUP(M140,引用表合并!$A:$B,2,FALSE))</f>
        <v>马仔经验药水</v>
      </c>
      <c r="M140" s="66">
        <f t="shared" si="37"/>
        <v>91100</v>
      </c>
      <c r="N140" s="66">
        <f t="shared" si="49"/>
        <v>3</v>
      </c>
      <c r="O140" s="66">
        <f t="shared" si="50"/>
        <v>7500</v>
      </c>
      <c r="P140" s="66" t="str">
        <f>IF(Q140="","",VLOOKUP(Q140,引用表合并!$A:$B,2,FALSE))</f>
        <v>马仔经验药水</v>
      </c>
      <c r="Q140" s="66">
        <f t="shared" si="38"/>
        <v>91100</v>
      </c>
      <c r="R140" s="66">
        <f t="shared" si="51"/>
        <v>3</v>
      </c>
      <c r="S140" s="66">
        <f t="shared" si="52"/>
        <v>10000</v>
      </c>
      <c r="BM140" s="66">
        <f t="shared" si="44"/>
        <v>2.5</v>
      </c>
      <c r="BN140" s="31">
        <v>100</v>
      </c>
      <c r="BO140" s="66">
        <v>2</v>
      </c>
      <c r="BP140" s="31">
        <v>100</v>
      </c>
      <c r="BQ140" s="31">
        <v>2</v>
      </c>
      <c r="BR140" s="31">
        <v>100</v>
      </c>
      <c r="BS140" s="31">
        <v>3</v>
      </c>
      <c r="BT140" s="31">
        <v>100</v>
      </c>
      <c r="BU140" s="31">
        <v>3</v>
      </c>
      <c r="BV140" s="66">
        <f t="shared" si="53"/>
        <v>250</v>
      </c>
    </row>
    <row r="141" spans="1:75" x14ac:dyDescent="0.15">
      <c r="A141" s="66">
        <f t="shared" si="54"/>
        <v>101005</v>
      </c>
      <c r="B141" s="66" t="s">
        <v>259</v>
      </c>
      <c r="C141" s="67">
        <f t="shared" si="42"/>
        <v>4</v>
      </c>
      <c r="D141" s="66" t="str">
        <f>IF(E141="","",VLOOKUP(E141,引用表合并!$A:$B,2,FALSE))</f>
        <v>马仔经验药水</v>
      </c>
      <c r="E141" s="66">
        <f t="shared" si="45"/>
        <v>91100</v>
      </c>
      <c r="F141" s="66">
        <f t="shared" si="43"/>
        <v>2</v>
      </c>
      <c r="G141" s="66">
        <f t="shared" si="46"/>
        <v>2500</v>
      </c>
      <c r="H141" s="66" t="str">
        <f>IF(I141="","",VLOOKUP(I141,引用表合并!$A:$B,2,FALSE))</f>
        <v>马仔经验药水</v>
      </c>
      <c r="I141" s="66">
        <f t="shared" si="36"/>
        <v>91100</v>
      </c>
      <c r="J141" s="66">
        <f t="shared" si="47"/>
        <v>3</v>
      </c>
      <c r="K141" s="66">
        <f t="shared" si="48"/>
        <v>5000</v>
      </c>
      <c r="L141" s="66" t="str">
        <f>IF(M141="","",VLOOKUP(M141,引用表合并!$A:$B,2,FALSE))</f>
        <v>马仔经验药水</v>
      </c>
      <c r="M141" s="66">
        <f t="shared" si="37"/>
        <v>91100</v>
      </c>
      <c r="N141" s="66">
        <f t="shared" si="49"/>
        <v>3</v>
      </c>
      <c r="O141" s="66">
        <f t="shared" si="50"/>
        <v>7500</v>
      </c>
      <c r="P141" s="66" t="str">
        <f>IF(Q141="","",VLOOKUP(Q141,引用表合并!$A:$B,2,FALSE))</f>
        <v>马仔经验药水</v>
      </c>
      <c r="Q141" s="66">
        <f t="shared" si="38"/>
        <v>91100</v>
      </c>
      <c r="R141" s="66">
        <f t="shared" si="51"/>
        <v>4</v>
      </c>
      <c r="S141" s="66">
        <f t="shared" si="52"/>
        <v>10000</v>
      </c>
      <c r="BM141" s="66">
        <f t="shared" si="44"/>
        <v>3</v>
      </c>
      <c r="BN141" s="31">
        <v>100</v>
      </c>
      <c r="BO141" s="66">
        <v>2</v>
      </c>
      <c r="BP141" s="31">
        <v>100</v>
      </c>
      <c r="BQ141" s="31">
        <v>3</v>
      </c>
      <c r="BR141" s="31">
        <v>100</v>
      </c>
      <c r="BS141" s="31">
        <v>3</v>
      </c>
      <c r="BT141" s="31">
        <v>100</v>
      </c>
      <c r="BU141" s="31">
        <v>4</v>
      </c>
      <c r="BV141" s="66">
        <f t="shared" si="53"/>
        <v>300</v>
      </c>
    </row>
    <row r="142" spans="1:75" x14ac:dyDescent="0.15">
      <c r="A142" s="66">
        <f t="shared" si="54"/>
        <v>101006</v>
      </c>
      <c r="B142" s="66" t="s">
        <v>260</v>
      </c>
      <c r="C142" s="67">
        <f t="shared" si="42"/>
        <v>8</v>
      </c>
      <c r="D142" s="66" t="str">
        <f>IF(E142="","",VLOOKUP(E142,引用表合并!$A:$B,2,FALSE))</f>
        <v>马仔经验合剂</v>
      </c>
      <c r="E142" s="66">
        <f t="shared" si="45"/>
        <v>91200</v>
      </c>
      <c r="F142" s="66">
        <f t="shared" si="43"/>
        <v>3</v>
      </c>
      <c r="G142" s="66">
        <f t="shared" si="46"/>
        <v>1500</v>
      </c>
      <c r="H142" s="66" t="str">
        <f>IF(I142="","",VLOOKUP(I142,引用表合并!$A:$B,2,FALSE))</f>
        <v>马仔经验合剂</v>
      </c>
      <c r="I142" s="66">
        <f t="shared" si="36"/>
        <v>91200</v>
      </c>
      <c r="J142" s="66">
        <f t="shared" si="47"/>
        <v>4</v>
      </c>
      <c r="K142" s="66">
        <f t="shared" si="48"/>
        <v>3000</v>
      </c>
      <c r="L142" s="66" t="str">
        <f>IF(M142="","",VLOOKUP(M142,引用表合并!$A:$B,2,FALSE))</f>
        <v>马仔经验合剂</v>
      </c>
      <c r="M142" s="66">
        <f t="shared" si="37"/>
        <v>91200</v>
      </c>
      <c r="N142" s="66">
        <f t="shared" si="49"/>
        <v>4</v>
      </c>
      <c r="O142" s="66">
        <f t="shared" si="50"/>
        <v>4500</v>
      </c>
      <c r="P142" s="66" t="str">
        <f>IF(Q142="","",VLOOKUP(Q142,引用表合并!$A:$B,2,FALSE))</f>
        <v>马仔经验合剂</v>
      </c>
      <c r="Q142" s="66">
        <f t="shared" si="38"/>
        <v>91200</v>
      </c>
      <c r="R142" s="66">
        <f t="shared" si="51"/>
        <v>5</v>
      </c>
      <c r="S142" s="66">
        <f t="shared" si="52"/>
        <v>6000</v>
      </c>
      <c r="T142" s="31" t="str">
        <f>IF(U142="","",VLOOKUP(U142,引用表合并!$A:$B,2,FALSE))</f>
        <v>马仔碎片(靓坤)</v>
      </c>
      <c r="U142" s="31">
        <v>78106</v>
      </c>
      <c r="V142" s="66">
        <v>2</v>
      </c>
      <c r="W142" s="66">
        <v>7000</v>
      </c>
      <c r="X142" s="31" t="str">
        <f>IF(Y142="","",VLOOKUP(Y142,引用表合并!$A:$B,2,FALSE))</f>
        <v>马仔碎片(雷复轰)</v>
      </c>
      <c r="Y142" s="66">
        <v>78107</v>
      </c>
      <c r="Z142" s="31">
        <v>2</v>
      </c>
      <c r="AA142" s="31">
        <v>8000</v>
      </c>
      <c r="AB142" s="31" t="str">
        <f>IF(AC142="","",VLOOKUP(AC142,引用表合并!$A:$B,2,FALSE))</f>
        <v>马仔碎片(肥仔)</v>
      </c>
      <c r="AC142" s="66">
        <v>78108</v>
      </c>
      <c r="AD142" s="31">
        <v>2</v>
      </c>
      <c r="AE142" s="31">
        <v>9000</v>
      </c>
      <c r="AF142" s="31" t="str">
        <f>IF(AG142="","",VLOOKUP(AG142,引用表合并!$A:$B,2,FALSE))</f>
        <v>马仔碎片(巴闭)</v>
      </c>
      <c r="AG142" s="66">
        <v>78117</v>
      </c>
      <c r="AH142" s="31">
        <v>2</v>
      </c>
      <c r="AI142" s="31">
        <v>10000</v>
      </c>
      <c r="BM142" s="66">
        <f t="shared" si="44"/>
        <v>4</v>
      </c>
      <c r="BN142" s="31">
        <v>500</v>
      </c>
      <c r="BO142" s="66">
        <v>3</v>
      </c>
      <c r="BP142" s="31">
        <v>500</v>
      </c>
      <c r="BQ142" s="31">
        <v>4</v>
      </c>
      <c r="BR142" s="31">
        <v>500</v>
      </c>
      <c r="BS142" s="31">
        <v>4</v>
      </c>
      <c r="BT142" s="31">
        <v>500</v>
      </c>
      <c r="BU142" s="31">
        <v>5</v>
      </c>
      <c r="BV142" s="66">
        <f t="shared" si="53"/>
        <v>2000</v>
      </c>
    </row>
    <row r="143" spans="1:75" x14ac:dyDescent="0.15">
      <c r="A143" s="66">
        <f t="shared" si="54"/>
        <v>101007</v>
      </c>
      <c r="B143" s="66" t="s">
        <v>261</v>
      </c>
      <c r="C143" s="67">
        <f t="shared" si="42"/>
        <v>4</v>
      </c>
      <c r="D143" s="66" t="str">
        <f>IF(E143="","",VLOOKUP(E143,引用表合并!$A:$B,2,FALSE))</f>
        <v>马仔经验药水</v>
      </c>
      <c r="E143" s="66">
        <f t="shared" si="45"/>
        <v>91100</v>
      </c>
      <c r="F143" s="66">
        <f t="shared" si="43"/>
        <v>3</v>
      </c>
      <c r="G143" s="66">
        <f t="shared" si="46"/>
        <v>2500</v>
      </c>
      <c r="H143" s="66" t="str">
        <f>IF(I143="","",VLOOKUP(I143,引用表合并!$A:$B,2,FALSE))</f>
        <v>马仔经验药水</v>
      </c>
      <c r="I143" s="66">
        <f t="shared" ref="I143:I166" si="55">IF(BP143=100,91100,IF(BP143=500,91200,91300))</f>
        <v>91100</v>
      </c>
      <c r="J143" s="66">
        <f t="shared" si="47"/>
        <v>3</v>
      </c>
      <c r="K143" s="66">
        <f t="shared" si="48"/>
        <v>5000</v>
      </c>
      <c r="L143" s="66" t="str">
        <f>IF(M143="","",VLOOKUP(M143,引用表合并!$A:$B,2,FALSE))</f>
        <v>马仔经验药水</v>
      </c>
      <c r="M143" s="66">
        <f t="shared" ref="M143:M166" si="56">IF(BR143=100,91100,IF(BR143=500,91200,91300))</f>
        <v>91100</v>
      </c>
      <c r="N143" s="66">
        <f t="shared" si="49"/>
        <v>4</v>
      </c>
      <c r="O143" s="66">
        <f t="shared" si="50"/>
        <v>7500</v>
      </c>
      <c r="P143" s="66" t="str">
        <f>IF(Q143="","",VLOOKUP(Q143,引用表合并!$A:$B,2,FALSE))</f>
        <v>马仔经验药水</v>
      </c>
      <c r="Q143" s="66">
        <f t="shared" ref="Q143:Q166" si="57">IF(BT143=100,91100,IF(BT143=500,91200,91300))</f>
        <v>91100</v>
      </c>
      <c r="R143" s="66">
        <f t="shared" si="51"/>
        <v>4</v>
      </c>
      <c r="S143" s="66">
        <f t="shared" si="52"/>
        <v>10000</v>
      </c>
      <c r="BM143" s="66">
        <f t="shared" si="44"/>
        <v>3.5</v>
      </c>
      <c r="BN143" s="31">
        <v>100</v>
      </c>
      <c r="BO143" s="66">
        <v>3</v>
      </c>
      <c r="BP143" s="31">
        <v>100</v>
      </c>
      <c r="BQ143" s="31">
        <v>3</v>
      </c>
      <c r="BR143" s="31">
        <v>100</v>
      </c>
      <c r="BS143" s="31">
        <v>4</v>
      </c>
      <c r="BT143" s="31">
        <v>100</v>
      </c>
      <c r="BU143" s="31">
        <v>4</v>
      </c>
      <c r="BV143" s="66">
        <f t="shared" si="53"/>
        <v>350</v>
      </c>
    </row>
    <row r="144" spans="1:75" x14ac:dyDescent="0.15">
      <c r="A144" s="66">
        <f t="shared" si="54"/>
        <v>101008</v>
      </c>
      <c r="B144" s="66" t="s">
        <v>262</v>
      </c>
      <c r="C144" s="67">
        <f t="shared" si="42"/>
        <v>4</v>
      </c>
      <c r="D144" s="66" t="str">
        <f>IF(E144="","",VLOOKUP(E144,引用表合并!$A:$B,2,FALSE))</f>
        <v>马仔经验药水</v>
      </c>
      <c r="E144" s="66">
        <f t="shared" si="45"/>
        <v>91100</v>
      </c>
      <c r="F144" s="66">
        <f t="shared" si="43"/>
        <v>3</v>
      </c>
      <c r="G144" s="66">
        <f t="shared" si="46"/>
        <v>2500</v>
      </c>
      <c r="H144" s="66" t="str">
        <f>IF(I144="","",VLOOKUP(I144,引用表合并!$A:$B,2,FALSE))</f>
        <v>马仔经验药水</v>
      </c>
      <c r="I144" s="66">
        <f t="shared" si="55"/>
        <v>91100</v>
      </c>
      <c r="J144" s="66">
        <f t="shared" si="47"/>
        <v>4</v>
      </c>
      <c r="K144" s="66">
        <f t="shared" si="48"/>
        <v>5000</v>
      </c>
      <c r="L144" s="66" t="str">
        <f>IF(M144="","",VLOOKUP(M144,引用表合并!$A:$B,2,FALSE))</f>
        <v>马仔经验药水</v>
      </c>
      <c r="M144" s="66">
        <f t="shared" si="56"/>
        <v>91100</v>
      </c>
      <c r="N144" s="66">
        <f t="shared" si="49"/>
        <v>4</v>
      </c>
      <c r="O144" s="66">
        <f t="shared" si="50"/>
        <v>7500</v>
      </c>
      <c r="P144" s="66" t="str">
        <f>IF(Q144="","",VLOOKUP(Q144,引用表合并!$A:$B,2,FALSE))</f>
        <v>马仔经验药水</v>
      </c>
      <c r="Q144" s="66">
        <f t="shared" si="57"/>
        <v>91100</v>
      </c>
      <c r="R144" s="66">
        <f t="shared" si="51"/>
        <v>5</v>
      </c>
      <c r="S144" s="66">
        <f t="shared" si="52"/>
        <v>10000</v>
      </c>
      <c r="BM144" s="66">
        <f t="shared" si="44"/>
        <v>4</v>
      </c>
      <c r="BN144" s="31">
        <v>100</v>
      </c>
      <c r="BO144" s="66">
        <v>3</v>
      </c>
      <c r="BP144" s="31">
        <v>100</v>
      </c>
      <c r="BQ144" s="31">
        <v>4</v>
      </c>
      <c r="BR144" s="31">
        <v>100</v>
      </c>
      <c r="BS144" s="31">
        <v>4</v>
      </c>
      <c r="BT144" s="31">
        <v>100</v>
      </c>
      <c r="BU144" s="31">
        <v>5</v>
      </c>
      <c r="BV144" s="66">
        <f t="shared" si="53"/>
        <v>400</v>
      </c>
    </row>
    <row r="145" spans="1:75" x14ac:dyDescent="0.15">
      <c r="A145" s="66">
        <f t="shared" si="54"/>
        <v>101009</v>
      </c>
      <c r="B145" s="66" t="s">
        <v>263</v>
      </c>
      <c r="C145" s="67">
        <f t="shared" si="42"/>
        <v>8</v>
      </c>
      <c r="D145" s="66" t="str">
        <f>IF(E145="","",VLOOKUP(E145,引用表合并!$A:$B,2,FALSE))</f>
        <v>马仔经验合剂</v>
      </c>
      <c r="E145" s="66">
        <f t="shared" si="45"/>
        <v>91200</v>
      </c>
      <c r="F145" s="66">
        <f t="shared" si="43"/>
        <v>4</v>
      </c>
      <c r="G145" s="66">
        <f t="shared" si="46"/>
        <v>1500</v>
      </c>
      <c r="H145" s="66" t="str">
        <f>IF(I145="","",VLOOKUP(I145,引用表合并!$A:$B,2,FALSE))</f>
        <v>马仔经验合剂</v>
      </c>
      <c r="I145" s="66">
        <f t="shared" si="55"/>
        <v>91200</v>
      </c>
      <c r="J145" s="66">
        <f t="shared" si="47"/>
        <v>5</v>
      </c>
      <c r="K145" s="66">
        <f t="shared" si="48"/>
        <v>3000</v>
      </c>
      <c r="L145" s="66" t="str">
        <f>IF(M145="","",VLOOKUP(M145,引用表合并!$A:$B,2,FALSE))</f>
        <v>马仔经验合剂</v>
      </c>
      <c r="M145" s="66">
        <f t="shared" si="56"/>
        <v>91200</v>
      </c>
      <c r="N145" s="66">
        <f t="shared" si="49"/>
        <v>5</v>
      </c>
      <c r="O145" s="66">
        <f t="shared" si="50"/>
        <v>4500</v>
      </c>
      <c r="P145" s="66" t="str">
        <f>IF(Q145="","",VLOOKUP(Q145,引用表合并!$A:$B,2,FALSE))</f>
        <v>马仔经验合剂</v>
      </c>
      <c r="Q145" s="66">
        <f t="shared" si="57"/>
        <v>91200</v>
      </c>
      <c r="R145" s="66">
        <f t="shared" si="51"/>
        <v>5</v>
      </c>
      <c r="S145" s="66">
        <f t="shared" si="52"/>
        <v>6000</v>
      </c>
      <c r="T145" s="31" t="str">
        <f>IF(U145="","",VLOOKUP(U145,引用表合并!$A:$B,2,FALSE))</f>
        <v>马仔碎片(靓坤)</v>
      </c>
      <c r="U145" s="31">
        <v>78106</v>
      </c>
      <c r="V145" s="66">
        <v>3</v>
      </c>
      <c r="W145" s="66">
        <v>7000</v>
      </c>
      <c r="X145" s="31" t="str">
        <f>IF(Y145="","",VLOOKUP(Y145,引用表合并!$A:$B,2,FALSE))</f>
        <v>马仔碎片(雷复轰)</v>
      </c>
      <c r="Y145" s="66">
        <v>78107</v>
      </c>
      <c r="Z145" s="31">
        <v>3</v>
      </c>
      <c r="AA145" s="31">
        <v>8000</v>
      </c>
      <c r="AB145" s="31" t="str">
        <f>IF(AC145="","",VLOOKUP(AC145,引用表合并!$A:$B,2,FALSE))</f>
        <v>马仔碎片(肥仔)</v>
      </c>
      <c r="AC145" s="66">
        <v>78108</v>
      </c>
      <c r="AD145" s="31">
        <v>3</v>
      </c>
      <c r="AE145" s="31">
        <v>9000</v>
      </c>
      <c r="AF145" s="31" t="str">
        <f>IF(AG145="","",VLOOKUP(AG145,引用表合并!$A:$B,2,FALSE))</f>
        <v>马仔碎片(巴闭)</v>
      </c>
      <c r="AG145" s="66">
        <v>78117</v>
      </c>
      <c r="AH145" s="31">
        <v>3</v>
      </c>
      <c r="AI145" s="31">
        <v>10000</v>
      </c>
      <c r="BM145" s="66">
        <f t="shared" si="44"/>
        <v>4.75</v>
      </c>
      <c r="BN145" s="31">
        <v>500</v>
      </c>
      <c r="BO145" s="66">
        <v>4</v>
      </c>
      <c r="BP145" s="31">
        <v>500</v>
      </c>
      <c r="BQ145" s="31">
        <v>5</v>
      </c>
      <c r="BR145" s="31">
        <v>500</v>
      </c>
      <c r="BS145" s="31">
        <v>5</v>
      </c>
      <c r="BT145" s="31">
        <v>500</v>
      </c>
      <c r="BU145" s="31">
        <v>5</v>
      </c>
      <c r="BV145" s="66">
        <f t="shared" si="53"/>
        <v>2375</v>
      </c>
    </row>
    <row r="146" spans="1:75" x14ac:dyDescent="0.15">
      <c r="A146" s="66">
        <f t="shared" si="54"/>
        <v>101010</v>
      </c>
      <c r="B146" s="66" t="s">
        <v>264</v>
      </c>
      <c r="C146" s="67">
        <f t="shared" si="42"/>
        <v>4</v>
      </c>
      <c r="D146" s="66" t="str">
        <f>IF(E146="","",VLOOKUP(E146,引用表合并!$A:$B,2,FALSE))</f>
        <v>马仔经验药水</v>
      </c>
      <c r="E146" s="66">
        <f t="shared" si="45"/>
        <v>91100</v>
      </c>
      <c r="F146" s="66">
        <f t="shared" si="43"/>
        <v>4</v>
      </c>
      <c r="G146" s="66">
        <f t="shared" si="46"/>
        <v>2500</v>
      </c>
      <c r="H146" s="66" t="str">
        <f>IF(I146="","",VLOOKUP(I146,引用表合并!$A:$B,2,FALSE))</f>
        <v>马仔经验药水</v>
      </c>
      <c r="I146" s="66">
        <f t="shared" si="55"/>
        <v>91100</v>
      </c>
      <c r="J146" s="66">
        <f t="shared" si="47"/>
        <v>4</v>
      </c>
      <c r="K146" s="66">
        <f t="shared" si="48"/>
        <v>5000</v>
      </c>
      <c r="L146" s="66" t="str">
        <f>IF(M146="","",VLOOKUP(M146,引用表合并!$A:$B,2,FALSE))</f>
        <v>马仔经验药水</v>
      </c>
      <c r="M146" s="66">
        <f t="shared" si="56"/>
        <v>91100</v>
      </c>
      <c r="N146" s="66">
        <f t="shared" si="49"/>
        <v>5</v>
      </c>
      <c r="O146" s="66">
        <f t="shared" si="50"/>
        <v>7500</v>
      </c>
      <c r="P146" s="66" t="str">
        <f>IF(Q146="","",VLOOKUP(Q146,引用表合并!$A:$B,2,FALSE))</f>
        <v>马仔经验药水</v>
      </c>
      <c r="Q146" s="66">
        <f t="shared" si="57"/>
        <v>91100</v>
      </c>
      <c r="R146" s="66">
        <f t="shared" si="51"/>
        <v>5</v>
      </c>
      <c r="S146" s="66">
        <f t="shared" si="52"/>
        <v>10000</v>
      </c>
      <c r="BM146" s="66">
        <f t="shared" si="44"/>
        <v>4.5</v>
      </c>
      <c r="BN146" s="31">
        <v>100</v>
      </c>
      <c r="BO146" s="66">
        <v>4</v>
      </c>
      <c r="BP146" s="31">
        <v>100</v>
      </c>
      <c r="BQ146" s="31">
        <v>4</v>
      </c>
      <c r="BR146" s="31">
        <v>100</v>
      </c>
      <c r="BS146" s="31">
        <v>5</v>
      </c>
      <c r="BT146" s="31">
        <v>100</v>
      </c>
      <c r="BU146" s="31">
        <v>5</v>
      </c>
      <c r="BV146" s="66">
        <f t="shared" si="53"/>
        <v>450</v>
      </c>
    </row>
    <row r="147" spans="1:75" x14ac:dyDescent="0.15">
      <c r="A147" s="66">
        <f t="shared" si="54"/>
        <v>101011</v>
      </c>
      <c r="B147" s="66" t="s">
        <v>265</v>
      </c>
      <c r="C147" s="67">
        <f t="shared" si="42"/>
        <v>4</v>
      </c>
      <c r="D147" s="66" t="str">
        <f>IF(E147="","",VLOOKUP(E147,引用表合并!$A:$B,2,FALSE))</f>
        <v>马仔经验药水</v>
      </c>
      <c r="E147" s="66">
        <f t="shared" si="45"/>
        <v>91100</v>
      </c>
      <c r="F147" s="66">
        <f t="shared" si="43"/>
        <v>4</v>
      </c>
      <c r="G147" s="66">
        <f t="shared" si="46"/>
        <v>2500</v>
      </c>
      <c r="H147" s="66" t="str">
        <f>IF(I147="","",VLOOKUP(I147,引用表合并!$A:$B,2,FALSE))</f>
        <v>马仔经验药水</v>
      </c>
      <c r="I147" s="66">
        <f t="shared" si="55"/>
        <v>91100</v>
      </c>
      <c r="J147" s="66">
        <f t="shared" si="47"/>
        <v>5</v>
      </c>
      <c r="K147" s="66">
        <f t="shared" si="48"/>
        <v>5000</v>
      </c>
      <c r="L147" s="66" t="str">
        <f>IF(M147="","",VLOOKUP(M147,引用表合并!$A:$B,2,FALSE))</f>
        <v>马仔经验药水</v>
      </c>
      <c r="M147" s="66">
        <f t="shared" si="56"/>
        <v>91100</v>
      </c>
      <c r="N147" s="66">
        <f t="shared" si="49"/>
        <v>5</v>
      </c>
      <c r="O147" s="66">
        <f t="shared" si="50"/>
        <v>7500</v>
      </c>
      <c r="P147" s="66" t="str">
        <f>IF(Q147="","",VLOOKUP(Q147,引用表合并!$A:$B,2,FALSE))</f>
        <v>马仔经验药水</v>
      </c>
      <c r="Q147" s="66">
        <f t="shared" si="57"/>
        <v>91100</v>
      </c>
      <c r="R147" s="66">
        <f t="shared" si="51"/>
        <v>6</v>
      </c>
      <c r="S147" s="66">
        <f t="shared" si="52"/>
        <v>10000</v>
      </c>
      <c r="BM147" s="66">
        <f t="shared" si="44"/>
        <v>5</v>
      </c>
      <c r="BN147" s="31">
        <v>100</v>
      </c>
      <c r="BO147" s="66">
        <v>4</v>
      </c>
      <c r="BP147" s="31">
        <v>100</v>
      </c>
      <c r="BQ147" s="31">
        <v>5</v>
      </c>
      <c r="BR147" s="31">
        <v>100</v>
      </c>
      <c r="BS147" s="31">
        <v>5</v>
      </c>
      <c r="BT147" s="31">
        <v>100</v>
      </c>
      <c r="BU147" s="31">
        <v>6</v>
      </c>
      <c r="BV147" s="66">
        <f t="shared" si="53"/>
        <v>500</v>
      </c>
    </row>
    <row r="148" spans="1:75" x14ac:dyDescent="0.15">
      <c r="A148" s="66">
        <f t="shared" si="54"/>
        <v>101012</v>
      </c>
      <c r="B148" s="66" t="s">
        <v>266</v>
      </c>
      <c r="C148" s="67">
        <f t="shared" si="42"/>
        <v>8</v>
      </c>
      <c r="D148" s="66" t="str">
        <f>IF(E148="","",VLOOKUP(E148,引用表合并!$A:$B,2,FALSE))</f>
        <v>马仔经验甘露</v>
      </c>
      <c r="E148" s="66">
        <f t="shared" si="45"/>
        <v>91300</v>
      </c>
      <c r="F148" s="66">
        <f t="shared" si="43"/>
        <v>1</v>
      </c>
      <c r="G148" s="66">
        <f t="shared" si="46"/>
        <v>1500</v>
      </c>
      <c r="H148" s="66" t="str">
        <f>IF(I148="","",VLOOKUP(I148,引用表合并!$A:$B,2,FALSE))</f>
        <v>马仔经验甘露</v>
      </c>
      <c r="I148" s="66">
        <f t="shared" si="55"/>
        <v>91300</v>
      </c>
      <c r="J148" s="66">
        <f t="shared" si="47"/>
        <v>1</v>
      </c>
      <c r="K148" s="66">
        <f t="shared" si="48"/>
        <v>3000</v>
      </c>
      <c r="L148" s="66" t="str">
        <f>IF(M148="","",VLOOKUP(M148,引用表合并!$A:$B,2,FALSE))</f>
        <v>马仔经验甘露</v>
      </c>
      <c r="M148" s="66">
        <f t="shared" si="56"/>
        <v>91300</v>
      </c>
      <c r="N148" s="66">
        <f t="shared" si="49"/>
        <v>1</v>
      </c>
      <c r="O148" s="66">
        <f t="shared" si="50"/>
        <v>4500</v>
      </c>
      <c r="P148" s="66" t="str">
        <f>IF(Q148="","",VLOOKUP(Q148,引用表合并!$A:$B,2,FALSE))</f>
        <v>马仔经验甘露</v>
      </c>
      <c r="Q148" s="66">
        <f t="shared" si="57"/>
        <v>91300</v>
      </c>
      <c r="R148" s="66">
        <f t="shared" si="51"/>
        <v>2</v>
      </c>
      <c r="S148" s="66">
        <f t="shared" si="52"/>
        <v>6000</v>
      </c>
      <c r="T148" s="31" t="str">
        <f>IF(U148="","",VLOOKUP(U148,引用表合并!$A:$B,2,FALSE))</f>
        <v>马仔碎片(赌王)</v>
      </c>
      <c r="U148" s="31">
        <v>78111</v>
      </c>
      <c r="V148" s="66">
        <v>1</v>
      </c>
      <c r="W148" s="66">
        <v>7000</v>
      </c>
      <c r="X148" s="31" t="str">
        <f>IF(Y148="","",VLOOKUP(Y148,引用表合并!$A:$B,2,FALSE))</f>
        <v>马仔碎片(山下忠秀)</v>
      </c>
      <c r="Y148" s="31">
        <v>78112</v>
      </c>
      <c r="Z148" s="31">
        <v>1</v>
      </c>
      <c r="AA148" s="31">
        <v>8000</v>
      </c>
      <c r="AB148" s="31" t="str">
        <f>IF(AC148="","",VLOOKUP(AC148,引用表合并!$A:$B,2,FALSE))</f>
        <v>马仔碎片(宫本一)</v>
      </c>
      <c r="AC148" s="66">
        <v>78113</v>
      </c>
      <c r="AD148" s="31">
        <v>1</v>
      </c>
      <c r="AE148" s="31">
        <v>9000</v>
      </c>
      <c r="AF148" s="31" t="str">
        <f>IF(AG148="","",VLOOKUP(AG148,引用表合并!$A:$B,2,FALSE))</f>
        <v>马仔碎片(笑面虎)</v>
      </c>
      <c r="AG148" s="66">
        <v>78119</v>
      </c>
      <c r="AH148" s="31">
        <v>1</v>
      </c>
      <c r="AI148" s="31">
        <v>10000</v>
      </c>
      <c r="BM148" s="66">
        <f t="shared" si="44"/>
        <v>1.25</v>
      </c>
      <c r="BN148" s="31">
        <v>2500</v>
      </c>
      <c r="BO148" s="66">
        <v>1</v>
      </c>
      <c r="BP148" s="31">
        <v>2500</v>
      </c>
      <c r="BQ148" s="31">
        <v>1</v>
      </c>
      <c r="BR148" s="31">
        <v>2500</v>
      </c>
      <c r="BS148" s="31">
        <v>1</v>
      </c>
      <c r="BT148" s="31">
        <v>2500</v>
      </c>
      <c r="BU148" s="31">
        <v>2</v>
      </c>
      <c r="BV148" s="66">
        <f t="shared" si="53"/>
        <v>3125</v>
      </c>
    </row>
    <row r="149" spans="1:75" x14ac:dyDescent="0.15">
      <c r="A149" s="66">
        <f t="shared" si="54"/>
        <v>101013</v>
      </c>
      <c r="B149" s="66" t="s">
        <v>267</v>
      </c>
      <c r="C149" s="67">
        <f t="shared" si="42"/>
        <v>4</v>
      </c>
      <c r="D149" s="66" t="str">
        <f>IF(E149="","",VLOOKUP(E149,引用表合并!$A:$B,2,FALSE))</f>
        <v>马仔经验药水</v>
      </c>
      <c r="E149" s="66">
        <f t="shared" ref="E149:E166" si="58">IF(BN149=100,91100,IF(BN149=500,91200,91300))</f>
        <v>91100</v>
      </c>
      <c r="F149" s="66">
        <f t="shared" si="43"/>
        <v>5</v>
      </c>
      <c r="G149" s="66">
        <f t="shared" si="46"/>
        <v>2500</v>
      </c>
      <c r="H149" s="66" t="str">
        <f>IF(I149="","",VLOOKUP(I149,引用表合并!$A:$B,2,FALSE))</f>
        <v>马仔经验药水</v>
      </c>
      <c r="I149" s="66">
        <f t="shared" si="55"/>
        <v>91100</v>
      </c>
      <c r="J149" s="66">
        <f t="shared" si="47"/>
        <v>5</v>
      </c>
      <c r="K149" s="66">
        <f t="shared" si="48"/>
        <v>5000</v>
      </c>
      <c r="L149" s="66" t="str">
        <f>IF(M149="","",VLOOKUP(M149,引用表合并!$A:$B,2,FALSE))</f>
        <v>马仔经验药水</v>
      </c>
      <c r="M149" s="66">
        <f t="shared" si="56"/>
        <v>91100</v>
      </c>
      <c r="N149" s="66">
        <f t="shared" si="49"/>
        <v>6</v>
      </c>
      <c r="O149" s="66">
        <f t="shared" si="50"/>
        <v>7500</v>
      </c>
      <c r="P149" s="66" t="str">
        <f>IF(Q149="","",VLOOKUP(Q149,引用表合并!$A:$B,2,FALSE))</f>
        <v>马仔经验药水</v>
      </c>
      <c r="Q149" s="66">
        <f t="shared" si="57"/>
        <v>91100</v>
      </c>
      <c r="R149" s="66">
        <f t="shared" si="51"/>
        <v>6</v>
      </c>
      <c r="S149" s="66">
        <f t="shared" si="52"/>
        <v>10000</v>
      </c>
      <c r="BM149" s="66">
        <f t="shared" si="44"/>
        <v>5.5</v>
      </c>
      <c r="BN149" s="31">
        <v>100</v>
      </c>
      <c r="BO149" s="66">
        <v>5</v>
      </c>
      <c r="BP149" s="31">
        <v>100</v>
      </c>
      <c r="BQ149" s="31">
        <v>5</v>
      </c>
      <c r="BR149" s="31">
        <v>100</v>
      </c>
      <c r="BS149" s="31">
        <v>6</v>
      </c>
      <c r="BT149" s="31">
        <v>100</v>
      </c>
      <c r="BU149" s="31">
        <v>6</v>
      </c>
      <c r="BV149" s="66">
        <f t="shared" si="53"/>
        <v>550</v>
      </c>
    </row>
    <row r="150" spans="1:75" x14ac:dyDescent="0.15">
      <c r="A150" s="66">
        <f t="shared" si="54"/>
        <v>101014</v>
      </c>
      <c r="B150" s="66" t="s">
        <v>268</v>
      </c>
      <c r="C150" s="67">
        <f t="shared" si="42"/>
        <v>4</v>
      </c>
      <c r="D150" s="66" t="str">
        <f>IF(E150="","",VLOOKUP(E150,引用表合并!$A:$B,2,FALSE))</f>
        <v>马仔经验药水</v>
      </c>
      <c r="E150" s="66">
        <f t="shared" si="58"/>
        <v>91100</v>
      </c>
      <c r="F150" s="66">
        <f t="shared" si="43"/>
        <v>5</v>
      </c>
      <c r="G150" s="66">
        <f t="shared" si="46"/>
        <v>2500</v>
      </c>
      <c r="H150" s="66" t="str">
        <f>IF(I150="","",VLOOKUP(I150,引用表合并!$A:$B,2,FALSE))</f>
        <v>马仔经验药水</v>
      </c>
      <c r="I150" s="66">
        <f t="shared" si="55"/>
        <v>91100</v>
      </c>
      <c r="J150" s="66">
        <f t="shared" si="47"/>
        <v>6</v>
      </c>
      <c r="K150" s="66">
        <f t="shared" si="48"/>
        <v>5000</v>
      </c>
      <c r="L150" s="66" t="str">
        <f>IF(M150="","",VLOOKUP(M150,引用表合并!$A:$B,2,FALSE))</f>
        <v>马仔经验药水</v>
      </c>
      <c r="M150" s="66">
        <f t="shared" si="56"/>
        <v>91100</v>
      </c>
      <c r="N150" s="66">
        <f t="shared" si="49"/>
        <v>6</v>
      </c>
      <c r="O150" s="66">
        <f t="shared" si="50"/>
        <v>7500</v>
      </c>
      <c r="P150" s="66" t="str">
        <f>IF(Q150="","",VLOOKUP(Q150,引用表合并!$A:$B,2,FALSE))</f>
        <v>马仔经验药水</v>
      </c>
      <c r="Q150" s="66">
        <f t="shared" si="57"/>
        <v>91100</v>
      </c>
      <c r="R150" s="66">
        <f t="shared" si="51"/>
        <v>7</v>
      </c>
      <c r="S150" s="66">
        <f t="shared" si="52"/>
        <v>10000</v>
      </c>
      <c r="BM150" s="66">
        <f t="shared" si="44"/>
        <v>6</v>
      </c>
      <c r="BN150" s="31">
        <v>100</v>
      </c>
      <c r="BO150" s="66">
        <v>5</v>
      </c>
      <c r="BP150" s="31">
        <v>100</v>
      </c>
      <c r="BQ150" s="31">
        <v>6</v>
      </c>
      <c r="BR150" s="31">
        <v>100</v>
      </c>
      <c r="BS150" s="31">
        <v>6</v>
      </c>
      <c r="BT150" s="31">
        <v>100</v>
      </c>
      <c r="BU150" s="31">
        <v>7</v>
      </c>
      <c r="BV150" s="66">
        <f t="shared" si="53"/>
        <v>600</v>
      </c>
    </row>
    <row r="151" spans="1:75" x14ac:dyDescent="0.15">
      <c r="A151" s="66">
        <f t="shared" si="54"/>
        <v>101015</v>
      </c>
      <c r="B151" s="66" t="s">
        <v>269</v>
      </c>
      <c r="C151" s="67">
        <f t="shared" si="42"/>
        <v>9</v>
      </c>
      <c r="D151" s="66" t="str">
        <f>IF(E151="","",VLOOKUP(E151,引用表合并!$A:$B,2,FALSE))</f>
        <v>马仔经验甘露</v>
      </c>
      <c r="E151" s="66">
        <f t="shared" si="58"/>
        <v>91300</v>
      </c>
      <c r="F151" s="66">
        <f t="shared" si="43"/>
        <v>2</v>
      </c>
      <c r="G151" s="66">
        <f t="shared" si="46"/>
        <v>500</v>
      </c>
      <c r="H151" s="66" t="str">
        <f>IF(I151="","",VLOOKUP(I151,引用表合并!$A:$B,2,FALSE))</f>
        <v>马仔经验甘露</v>
      </c>
      <c r="I151" s="66">
        <f t="shared" si="55"/>
        <v>91300</v>
      </c>
      <c r="J151" s="66">
        <f t="shared" si="47"/>
        <v>2</v>
      </c>
      <c r="K151" s="66">
        <f t="shared" si="48"/>
        <v>1000</v>
      </c>
      <c r="L151" s="66" t="str">
        <f>IF(M151="","",VLOOKUP(M151,引用表合并!$A:$B,2,FALSE))</f>
        <v>马仔经验甘露</v>
      </c>
      <c r="M151" s="66">
        <f t="shared" si="56"/>
        <v>91300</v>
      </c>
      <c r="N151" s="66">
        <f t="shared" si="49"/>
        <v>3</v>
      </c>
      <c r="O151" s="66">
        <f t="shared" si="50"/>
        <v>1500</v>
      </c>
      <c r="P151" s="66" t="str">
        <f>IF(Q151="","",VLOOKUP(Q151,引用表合并!$A:$B,2,FALSE))</f>
        <v>马仔经验甘露</v>
      </c>
      <c r="Q151" s="66">
        <f t="shared" si="57"/>
        <v>91300</v>
      </c>
      <c r="R151" s="66">
        <f t="shared" si="51"/>
        <v>3</v>
      </c>
      <c r="S151" s="66">
        <f t="shared" si="52"/>
        <v>2000</v>
      </c>
      <c r="T151" s="31" t="str">
        <f>IF(U151="","",VLOOKUP(U151,引用表合并!$A:$B,2,FALSE))</f>
        <v>猛龙过江(3天)</v>
      </c>
      <c r="U151" s="31">
        <v>83108</v>
      </c>
      <c r="V151" s="31">
        <v>1</v>
      </c>
      <c r="W151" s="31">
        <v>4000</v>
      </c>
      <c r="X151" s="31" t="str">
        <f>IF(Y151="","",VLOOKUP(Y151,引用表合并!$A:$B,2,FALSE))</f>
        <v>马仔碎片(山下忠秀)</v>
      </c>
      <c r="Y151" s="31">
        <v>78112</v>
      </c>
      <c r="Z151" s="31">
        <v>2</v>
      </c>
      <c r="AA151" s="31">
        <v>5500</v>
      </c>
      <c r="AB151" s="31" t="str">
        <f>IF(AC151="","",VLOOKUP(AC151,引用表合并!$A:$B,2,FALSE))</f>
        <v>马仔碎片(山下忠秀)</v>
      </c>
      <c r="AC151" s="66">
        <v>78112</v>
      </c>
      <c r="AD151" s="31">
        <v>2</v>
      </c>
      <c r="AE151" s="31">
        <v>7000</v>
      </c>
      <c r="AF151" s="31" t="str">
        <f>IF(AG151="","",VLOOKUP(AG151,引用表合并!$A:$B,2,FALSE))</f>
        <v>马仔碎片(宫本一)</v>
      </c>
      <c r="AG151" s="66">
        <v>78113</v>
      </c>
      <c r="AH151" s="31">
        <v>2</v>
      </c>
      <c r="AI151" s="31">
        <v>8500</v>
      </c>
      <c r="AJ151" s="31" t="str">
        <f>IF(AK151="","",VLOOKUP(AK151,引用表合并!$A:$B,2,FALSE))</f>
        <v>马仔碎片(笑面虎)</v>
      </c>
      <c r="AK151" s="31">
        <v>78119</v>
      </c>
      <c r="AL151" s="31">
        <v>2</v>
      </c>
      <c r="AM151" s="31">
        <v>10000</v>
      </c>
      <c r="AN151" s="66" t="str">
        <f>IF(AO151="","",VLOOKUP(AO151,引用表合并!$A:$B,2,FALSE))</f>
        <v/>
      </c>
      <c r="AR151" s="66" t="str">
        <f>IF(AS151="","",VLOOKUP(AS151,引用表合并!$A:$B,2,FALSE))</f>
        <v/>
      </c>
      <c r="AV151" s="66" t="str">
        <f>IF(AW151="","",VLOOKUP(AW151,引用表合并!$A:$B,2,FALSE))</f>
        <v/>
      </c>
      <c r="AZ151" s="66" t="str">
        <f>IF(BA151="","",VLOOKUP(BA151,引用表合并!$A:$B,2,FALSE))</f>
        <v/>
      </c>
      <c r="BM151" s="66">
        <f t="shared" si="44"/>
        <v>2.5</v>
      </c>
      <c r="BN151" s="31">
        <v>2500</v>
      </c>
      <c r="BO151" s="66">
        <v>2</v>
      </c>
      <c r="BP151" s="31">
        <v>2500</v>
      </c>
      <c r="BQ151" s="31">
        <v>2</v>
      </c>
      <c r="BR151" s="31">
        <v>2500</v>
      </c>
      <c r="BS151" s="31">
        <v>3</v>
      </c>
      <c r="BT151" s="31">
        <v>2500</v>
      </c>
      <c r="BU151" s="31">
        <v>3</v>
      </c>
      <c r="BV151" s="66">
        <f t="shared" si="53"/>
        <v>6250</v>
      </c>
      <c r="BW151" s="66">
        <f>SUM(BV137:BV151)</f>
        <v>19000</v>
      </c>
    </row>
    <row r="152" spans="1:75" x14ac:dyDescent="0.15">
      <c r="A152" s="66">
        <f t="shared" si="54"/>
        <v>101101</v>
      </c>
      <c r="B152" s="66" t="s">
        <v>270</v>
      </c>
      <c r="C152" s="67">
        <f t="shared" si="42"/>
        <v>4</v>
      </c>
      <c r="D152" s="66" t="str">
        <f>IF(E152="","",VLOOKUP(E152,引用表合并!$A:$B,2,FALSE))</f>
        <v>马仔经验药水</v>
      </c>
      <c r="E152" s="66">
        <f t="shared" si="58"/>
        <v>91100</v>
      </c>
      <c r="F152" s="66">
        <f t="shared" si="43"/>
        <v>1</v>
      </c>
      <c r="G152" s="66">
        <f t="shared" si="46"/>
        <v>2500</v>
      </c>
      <c r="H152" s="66" t="str">
        <f>IF(I152="","",VLOOKUP(I152,引用表合并!$A:$B,2,FALSE))</f>
        <v>马仔经验药水</v>
      </c>
      <c r="I152" s="66">
        <f t="shared" si="55"/>
        <v>91100</v>
      </c>
      <c r="J152" s="66">
        <f t="shared" si="47"/>
        <v>1</v>
      </c>
      <c r="K152" s="66">
        <f t="shared" si="48"/>
        <v>5000</v>
      </c>
      <c r="L152" s="66" t="str">
        <f>IF(M152="","",VLOOKUP(M152,引用表合并!$A:$B,2,FALSE))</f>
        <v>马仔经验药水</v>
      </c>
      <c r="M152" s="66">
        <f t="shared" si="56"/>
        <v>91100</v>
      </c>
      <c r="N152" s="66">
        <f t="shared" si="49"/>
        <v>2</v>
      </c>
      <c r="O152" s="66">
        <f t="shared" si="50"/>
        <v>7500</v>
      </c>
      <c r="P152" s="66" t="str">
        <f>IF(Q152="","",VLOOKUP(Q152,引用表合并!$A:$B,2,FALSE))</f>
        <v>马仔经验药水</v>
      </c>
      <c r="Q152" s="66">
        <f t="shared" si="57"/>
        <v>91100</v>
      </c>
      <c r="R152" s="66">
        <f t="shared" si="51"/>
        <v>2</v>
      </c>
      <c r="S152" s="66">
        <f t="shared" si="52"/>
        <v>10000</v>
      </c>
      <c r="T152" s="66" t="str">
        <f>IF(U152="","",VLOOKUP(U152,引用表合并!$A:$B,2,FALSE))</f>
        <v/>
      </c>
      <c r="U152" s="69"/>
      <c r="W152" s="31"/>
      <c r="X152" s="66" t="str">
        <f>IF(Y152="","",VLOOKUP(Y152,引用表合并!$A:$B,2,FALSE))</f>
        <v/>
      </c>
      <c r="AA152" s="31"/>
      <c r="AB152" s="66" t="str">
        <f>IF(AC152="","",VLOOKUP(AC152,引用表合并!$A:$B,2,FALSE))</f>
        <v/>
      </c>
      <c r="AC152" s="68"/>
      <c r="AE152" s="31"/>
      <c r="AF152" s="66" t="str">
        <f>IF(AG152="","",VLOOKUP(AG152,引用表合并!$A:$B,2,FALSE))</f>
        <v/>
      </c>
      <c r="AI152" s="31"/>
      <c r="AJ152" s="66" t="str">
        <f>IF(AK152="","",VLOOKUP(AK152,引用表合并!$A:$B,2,FALSE))</f>
        <v/>
      </c>
      <c r="AM152" s="31"/>
      <c r="BM152" s="66">
        <f t="shared" si="44"/>
        <v>1.5</v>
      </c>
      <c r="BN152" s="31">
        <v>100</v>
      </c>
      <c r="BO152" s="66">
        <v>1</v>
      </c>
      <c r="BP152" s="31">
        <v>100</v>
      </c>
      <c r="BQ152" s="31">
        <v>1</v>
      </c>
      <c r="BR152" s="31">
        <v>100</v>
      </c>
      <c r="BS152" s="31">
        <v>2</v>
      </c>
      <c r="BT152" s="31">
        <v>100</v>
      </c>
      <c r="BU152" s="31">
        <v>2</v>
      </c>
      <c r="BV152" s="66">
        <f t="shared" si="53"/>
        <v>150</v>
      </c>
    </row>
    <row r="153" spans="1:75" x14ac:dyDescent="0.15">
      <c r="A153" s="66">
        <f t="shared" si="54"/>
        <v>101102</v>
      </c>
      <c r="B153" s="66" t="s">
        <v>271</v>
      </c>
      <c r="C153" s="67">
        <f t="shared" si="42"/>
        <v>4</v>
      </c>
      <c r="D153" s="66" t="str">
        <f>IF(E153="","",VLOOKUP(E153,引用表合并!$A:$B,2,FALSE))</f>
        <v>马仔经验药水</v>
      </c>
      <c r="E153" s="66">
        <f t="shared" si="58"/>
        <v>91100</v>
      </c>
      <c r="F153" s="66">
        <f t="shared" si="43"/>
        <v>1</v>
      </c>
      <c r="G153" s="66">
        <f t="shared" si="46"/>
        <v>2500</v>
      </c>
      <c r="H153" s="66" t="str">
        <f>IF(I153="","",VLOOKUP(I153,引用表合并!$A:$B,2,FALSE))</f>
        <v>马仔经验药水</v>
      </c>
      <c r="I153" s="66">
        <f t="shared" si="55"/>
        <v>91100</v>
      </c>
      <c r="J153" s="66">
        <f t="shared" si="47"/>
        <v>2</v>
      </c>
      <c r="K153" s="66">
        <f t="shared" si="48"/>
        <v>5000</v>
      </c>
      <c r="L153" s="66" t="str">
        <f>IF(M153="","",VLOOKUP(M153,引用表合并!$A:$B,2,FALSE))</f>
        <v>马仔经验药水</v>
      </c>
      <c r="M153" s="66">
        <f t="shared" si="56"/>
        <v>91100</v>
      </c>
      <c r="N153" s="66">
        <f t="shared" si="49"/>
        <v>2</v>
      </c>
      <c r="O153" s="66">
        <f t="shared" si="50"/>
        <v>7500</v>
      </c>
      <c r="P153" s="66" t="str">
        <f>IF(Q153="","",VLOOKUP(Q153,引用表合并!$A:$B,2,FALSE))</f>
        <v>马仔经验药水</v>
      </c>
      <c r="Q153" s="66">
        <f t="shared" si="57"/>
        <v>91100</v>
      </c>
      <c r="R153" s="66">
        <f t="shared" si="51"/>
        <v>3</v>
      </c>
      <c r="S153" s="66">
        <f t="shared" si="52"/>
        <v>10000</v>
      </c>
      <c r="BM153" s="66">
        <f t="shared" si="44"/>
        <v>2</v>
      </c>
      <c r="BN153" s="31">
        <v>100</v>
      </c>
      <c r="BO153" s="66">
        <v>1</v>
      </c>
      <c r="BP153" s="31">
        <v>100</v>
      </c>
      <c r="BQ153" s="31">
        <v>2</v>
      </c>
      <c r="BR153" s="31">
        <v>100</v>
      </c>
      <c r="BS153" s="31">
        <v>2</v>
      </c>
      <c r="BT153" s="31">
        <v>100</v>
      </c>
      <c r="BU153" s="31">
        <v>3</v>
      </c>
      <c r="BV153" s="66">
        <f t="shared" si="53"/>
        <v>200</v>
      </c>
    </row>
    <row r="154" spans="1:75" x14ac:dyDescent="0.15">
      <c r="A154" s="66">
        <f t="shared" si="54"/>
        <v>101103</v>
      </c>
      <c r="B154" s="66" t="s">
        <v>272</v>
      </c>
      <c r="C154" s="67">
        <f t="shared" si="42"/>
        <v>8</v>
      </c>
      <c r="D154" s="66" t="str">
        <f>IF(E154="","",VLOOKUP(E154,引用表合并!$A:$B,2,FALSE))</f>
        <v>马仔经验合剂</v>
      </c>
      <c r="E154" s="66">
        <f t="shared" si="58"/>
        <v>91200</v>
      </c>
      <c r="F154" s="66">
        <f t="shared" si="43"/>
        <v>2</v>
      </c>
      <c r="G154" s="66">
        <f t="shared" si="46"/>
        <v>1500</v>
      </c>
      <c r="H154" s="66" t="str">
        <f>IF(I154="","",VLOOKUP(I154,引用表合并!$A:$B,2,FALSE))</f>
        <v>马仔经验合剂</v>
      </c>
      <c r="I154" s="66">
        <f t="shared" si="55"/>
        <v>91200</v>
      </c>
      <c r="J154" s="66">
        <f t="shared" si="47"/>
        <v>3</v>
      </c>
      <c r="K154" s="66">
        <f t="shared" si="48"/>
        <v>3000</v>
      </c>
      <c r="L154" s="66" t="str">
        <f>IF(M154="","",VLOOKUP(M154,引用表合并!$A:$B,2,FALSE))</f>
        <v>马仔经验合剂</v>
      </c>
      <c r="M154" s="66">
        <f t="shared" si="56"/>
        <v>91200</v>
      </c>
      <c r="N154" s="66">
        <f t="shared" si="49"/>
        <v>3</v>
      </c>
      <c r="O154" s="66">
        <f t="shared" si="50"/>
        <v>4500</v>
      </c>
      <c r="P154" s="66" t="str">
        <f>IF(Q154="","",VLOOKUP(Q154,引用表合并!$A:$B,2,FALSE))</f>
        <v>马仔经验合剂</v>
      </c>
      <c r="Q154" s="66">
        <f t="shared" si="57"/>
        <v>91200</v>
      </c>
      <c r="R154" s="66">
        <f t="shared" si="51"/>
        <v>4</v>
      </c>
      <c r="S154" s="66">
        <f t="shared" si="52"/>
        <v>6000</v>
      </c>
      <c r="T154" s="31" t="str">
        <f>IF(U154="","",VLOOKUP(U154,引用表合并!$A:$B,2,FALSE))</f>
        <v>马仔碎片(靓坤)</v>
      </c>
      <c r="U154" s="31">
        <v>78106</v>
      </c>
      <c r="V154" s="66">
        <v>1</v>
      </c>
      <c r="W154" s="66">
        <v>7000</v>
      </c>
      <c r="X154" s="31" t="str">
        <f>IF(Y154="","",VLOOKUP(Y154,引用表合并!$A:$B,2,FALSE))</f>
        <v>马仔碎片(雷复轰)</v>
      </c>
      <c r="Y154" s="66">
        <v>78107</v>
      </c>
      <c r="Z154" s="31">
        <v>1</v>
      </c>
      <c r="AA154" s="31">
        <v>8000</v>
      </c>
      <c r="AB154" s="31" t="str">
        <f>IF(AC154="","",VLOOKUP(AC154,引用表合并!$A:$B,2,FALSE))</f>
        <v>马仔碎片(肥仔)</v>
      </c>
      <c r="AC154" s="66">
        <v>78108</v>
      </c>
      <c r="AD154" s="31">
        <v>1</v>
      </c>
      <c r="AE154" s="31">
        <v>9000</v>
      </c>
      <c r="AF154" s="31" t="str">
        <f>IF(AG154="","",VLOOKUP(AG154,引用表合并!$A:$B,2,FALSE))</f>
        <v>马仔碎片(巴闭)</v>
      </c>
      <c r="AG154" s="66">
        <v>78117</v>
      </c>
      <c r="AH154" s="31">
        <v>1</v>
      </c>
      <c r="AI154" s="31">
        <v>10000</v>
      </c>
      <c r="BM154" s="66">
        <f t="shared" si="44"/>
        <v>3</v>
      </c>
      <c r="BN154" s="31">
        <v>500</v>
      </c>
      <c r="BO154" s="66">
        <v>2</v>
      </c>
      <c r="BP154" s="31">
        <v>500</v>
      </c>
      <c r="BQ154" s="31">
        <v>3</v>
      </c>
      <c r="BR154" s="31">
        <v>500</v>
      </c>
      <c r="BS154" s="31">
        <v>3</v>
      </c>
      <c r="BT154" s="31">
        <v>500</v>
      </c>
      <c r="BU154" s="31">
        <v>4</v>
      </c>
      <c r="BV154" s="66">
        <f t="shared" si="53"/>
        <v>1500</v>
      </c>
    </row>
    <row r="155" spans="1:75" x14ac:dyDescent="0.15">
      <c r="A155" s="66">
        <f t="shared" si="54"/>
        <v>101104</v>
      </c>
      <c r="B155" s="66" t="s">
        <v>273</v>
      </c>
      <c r="C155" s="67">
        <f t="shared" si="42"/>
        <v>4</v>
      </c>
      <c r="D155" s="66" t="str">
        <f>IF(E155="","",VLOOKUP(E155,引用表合并!$A:$B,2,FALSE))</f>
        <v>马仔经验药水</v>
      </c>
      <c r="E155" s="66">
        <f t="shared" si="58"/>
        <v>91100</v>
      </c>
      <c r="F155" s="66">
        <f t="shared" si="43"/>
        <v>2</v>
      </c>
      <c r="G155" s="66">
        <f t="shared" si="46"/>
        <v>2500</v>
      </c>
      <c r="H155" s="66" t="str">
        <f>IF(I155="","",VLOOKUP(I155,引用表合并!$A:$B,2,FALSE))</f>
        <v>马仔经验药水</v>
      </c>
      <c r="I155" s="66">
        <f t="shared" si="55"/>
        <v>91100</v>
      </c>
      <c r="J155" s="66">
        <f t="shared" si="47"/>
        <v>2</v>
      </c>
      <c r="K155" s="66">
        <f t="shared" si="48"/>
        <v>5000</v>
      </c>
      <c r="L155" s="66" t="str">
        <f>IF(M155="","",VLOOKUP(M155,引用表合并!$A:$B,2,FALSE))</f>
        <v>马仔经验药水</v>
      </c>
      <c r="M155" s="66">
        <f t="shared" si="56"/>
        <v>91100</v>
      </c>
      <c r="N155" s="66">
        <f t="shared" si="49"/>
        <v>3</v>
      </c>
      <c r="O155" s="66">
        <f t="shared" si="50"/>
        <v>7500</v>
      </c>
      <c r="P155" s="66" t="str">
        <f>IF(Q155="","",VLOOKUP(Q155,引用表合并!$A:$B,2,FALSE))</f>
        <v>马仔经验药水</v>
      </c>
      <c r="Q155" s="66">
        <f t="shared" si="57"/>
        <v>91100</v>
      </c>
      <c r="R155" s="66">
        <f t="shared" si="51"/>
        <v>3</v>
      </c>
      <c r="S155" s="66">
        <f t="shared" si="52"/>
        <v>10000</v>
      </c>
      <c r="BM155" s="66">
        <f t="shared" si="44"/>
        <v>2.5</v>
      </c>
      <c r="BN155" s="31">
        <v>100</v>
      </c>
      <c r="BO155" s="66">
        <v>2</v>
      </c>
      <c r="BP155" s="31">
        <v>100</v>
      </c>
      <c r="BQ155" s="31">
        <v>2</v>
      </c>
      <c r="BR155" s="31">
        <v>100</v>
      </c>
      <c r="BS155" s="31">
        <v>3</v>
      </c>
      <c r="BT155" s="31">
        <v>100</v>
      </c>
      <c r="BU155" s="31">
        <v>3</v>
      </c>
      <c r="BV155" s="66">
        <f t="shared" si="53"/>
        <v>250</v>
      </c>
    </row>
    <row r="156" spans="1:75" x14ac:dyDescent="0.15">
      <c r="A156" s="66">
        <f t="shared" si="54"/>
        <v>101105</v>
      </c>
      <c r="B156" s="66" t="s">
        <v>274</v>
      </c>
      <c r="C156" s="67">
        <f t="shared" si="42"/>
        <v>4</v>
      </c>
      <c r="D156" s="66" t="str">
        <f>IF(E156="","",VLOOKUP(E156,引用表合并!$A:$B,2,FALSE))</f>
        <v>马仔经验药水</v>
      </c>
      <c r="E156" s="66">
        <f t="shared" si="58"/>
        <v>91100</v>
      </c>
      <c r="F156" s="66">
        <f t="shared" si="43"/>
        <v>2</v>
      </c>
      <c r="G156" s="66">
        <f t="shared" si="46"/>
        <v>2500</v>
      </c>
      <c r="H156" s="66" t="str">
        <f>IF(I156="","",VLOOKUP(I156,引用表合并!$A:$B,2,FALSE))</f>
        <v>马仔经验药水</v>
      </c>
      <c r="I156" s="66">
        <f t="shared" si="55"/>
        <v>91100</v>
      </c>
      <c r="J156" s="66">
        <f t="shared" si="47"/>
        <v>3</v>
      </c>
      <c r="K156" s="66">
        <f t="shared" si="48"/>
        <v>5000</v>
      </c>
      <c r="L156" s="66" t="str">
        <f>IF(M156="","",VLOOKUP(M156,引用表合并!$A:$B,2,FALSE))</f>
        <v>马仔经验药水</v>
      </c>
      <c r="M156" s="66">
        <f t="shared" si="56"/>
        <v>91100</v>
      </c>
      <c r="N156" s="66">
        <f t="shared" si="49"/>
        <v>3</v>
      </c>
      <c r="O156" s="66">
        <f t="shared" si="50"/>
        <v>7500</v>
      </c>
      <c r="P156" s="66" t="str">
        <f>IF(Q156="","",VLOOKUP(Q156,引用表合并!$A:$B,2,FALSE))</f>
        <v>马仔经验药水</v>
      </c>
      <c r="Q156" s="66">
        <f t="shared" si="57"/>
        <v>91100</v>
      </c>
      <c r="R156" s="66">
        <f t="shared" si="51"/>
        <v>4</v>
      </c>
      <c r="S156" s="66">
        <f t="shared" si="52"/>
        <v>10000</v>
      </c>
      <c r="BM156" s="66">
        <f t="shared" si="44"/>
        <v>3</v>
      </c>
      <c r="BN156" s="31">
        <v>100</v>
      </c>
      <c r="BO156" s="66">
        <v>2</v>
      </c>
      <c r="BP156" s="31">
        <v>100</v>
      </c>
      <c r="BQ156" s="31">
        <v>3</v>
      </c>
      <c r="BR156" s="31">
        <v>100</v>
      </c>
      <c r="BS156" s="31">
        <v>3</v>
      </c>
      <c r="BT156" s="31">
        <v>100</v>
      </c>
      <c r="BU156" s="31">
        <v>4</v>
      </c>
      <c r="BV156" s="66">
        <f t="shared" si="53"/>
        <v>300</v>
      </c>
    </row>
    <row r="157" spans="1:75" x14ac:dyDescent="0.15">
      <c r="A157" s="66">
        <f t="shared" si="54"/>
        <v>101106</v>
      </c>
      <c r="B157" s="66" t="s">
        <v>275</v>
      </c>
      <c r="C157" s="67">
        <f t="shared" si="42"/>
        <v>8</v>
      </c>
      <c r="D157" s="66" t="str">
        <f>IF(E157="","",VLOOKUP(E157,引用表合并!$A:$B,2,FALSE))</f>
        <v>马仔经验合剂</v>
      </c>
      <c r="E157" s="66">
        <f t="shared" si="58"/>
        <v>91200</v>
      </c>
      <c r="F157" s="66">
        <f t="shared" si="43"/>
        <v>3</v>
      </c>
      <c r="G157" s="66">
        <f t="shared" si="46"/>
        <v>1500</v>
      </c>
      <c r="H157" s="66" t="str">
        <f>IF(I157="","",VLOOKUP(I157,引用表合并!$A:$B,2,FALSE))</f>
        <v>马仔经验合剂</v>
      </c>
      <c r="I157" s="66">
        <f t="shared" si="55"/>
        <v>91200</v>
      </c>
      <c r="J157" s="66">
        <f t="shared" si="47"/>
        <v>4</v>
      </c>
      <c r="K157" s="66">
        <f t="shared" si="48"/>
        <v>3000</v>
      </c>
      <c r="L157" s="66" t="str">
        <f>IF(M157="","",VLOOKUP(M157,引用表合并!$A:$B,2,FALSE))</f>
        <v>马仔经验合剂</v>
      </c>
      <c r="M157" s="66">
        <f t="shared" si="56"/>
        <v>91200</v>
      </c>
      <c r="N157" s="66">
        <f t="shared" si="49"/>
        <v>4</v>
      </c>
      <c r="O157" s="66">
        <f t="shared" si="50"/>
        <v>4500</v>
      </c>
      <c r="P157" s="66" t="str">
        <f>IF(Q157="","",VLOOKUP(Q157,引用表合并!$A:$B,2,FALSE))</f>
        <v>马仔经验合剂</v>
      </c>
      <c r="Q157" s="66">
        <f t="shared" si="57"/>
        <v>91200</v>
      </c>
      <c r="R157" s="66">
        <f t="shared" si="51"/>
        <v>5</v>
      </c>
      <c r="S157" s="66">
        <f t="shared" si="52"/>
        <v>6000</v>
      </c>
      <c r="T157" s="31" t="str">
        <f>IF(U157="","",VLOOKUP(U157,引用表合并!$A:$B,2,FALSE))</f>
        <v>马仔碎片(靓坤)</v>
      </c>
      <c r="U157" s="31">
        <v>78106</v>
      </c>
      <c r="V157" s="66">
        <v>2</v>
      </c>
      <c r="W157" s="66">
        <v>7000</v>
      </c>
      <c r="X157" s="31" t="str">
        <f>IF(Y157="","",VLOOKUP(Y157,引用表合并!$A:$B,2,FALSE))</f>
        <v>马仔碎片(雷复轰)</v>
      </c>
      <c r="Y157" s="66">
        <v>78107</v>
      </c>
      <c r="Z157" s="31">
        <v>2</v>
      </c>
      <c r="AA157" s="31">
        <v>8000</v>
      </c>
      <c r="AB157" s="31" t="str">
        <f>IF(AC157="","",VLOOKUP(AC157,引用表合并!$A:$B,2,FALSE))</f>
        <v>马仔碎片(肥仔)</v>
      </c>
      <c r="AC157" s="66">
        <v>78108</v>
      </c>
      <c r="AD157" s="31">
        <v>2</v>
      </c>
      <c r="AE157" s="31">
        <v>9000</v>
      </c>
      <c r="AF157" s="31" t="str">
        <f>IF(AG157="","",VLOOKUP(AG157,引用表合并!$A:$B,2,FALSE))</f>
        <v>马仔碎片(巴闭)</v>
      </c>
      <c r="AG157" s="66">
        <v>78117</v>
      </c>
      <c r="AH157" s="31">
        <v>2</v>
      </c>
      <c r="AI157" s="31">
        <v>10000</v>
      </c>
      <c r="BM157" s="66">
        <f t="shared" si="44"/>
        <v>4</v>
      </c>
      <c r="BN157" s="31">
        <v>500</v>
      </c>
      <c r="BO157" s="66">
        <v>3</v>
      </c>
      <c r="BP157" s="31">
        <v>500</v>
      </c>
      <c r="BQ157" s="31">
        <v>4</v>
      </c>
      <c r="BR157" s="31">
        <v>500</v>
      </c>
      <c r="BS157" s="31">
        <v>4</v>
      </c>
      <c r="BT157" s="31">
        <v>500</v>
      </c>
      <c r="BU157" s="31">
        <v>5</v>
      </c>
      <c r="BV157" s="66">
        <f t="shared" si="53"/>
        <v>2000</v>
      </c>
    </row>
    <row r="158" spans="1:75" x14ac:dyDescent="0.15">
      <c r="A158" s="66">
        <f t="shared" si="54"/>
        <v>101107</v>
      </c>
      <c r="B158" s="66" t="s">
        <v>276</v>
      </c>
      <c r="C158" s="67">
        <f t="shared" si="42"/>
        <v>4</v>
      </c>
      <c r="D158" s="66" t="str">
        <f>IF(E158="","",VLOOKUP(E158,引用表合并!$A:$B,2,FALSE))</f>
        <v>马仔经验药水</v>
      </c>
      <c r="E158" s="66">
        <f t="shared" si="58"/>
        <v>91100</v>
      </c>
      <c r="F158" s="66">
        <f t="shared" si="43"/>
        <v>3</v>
      </c>
      <c r="G158" s="66">
        <f t="shared" si="46"/>
        <v>2500</v>
      </c>
      <c r="H158" s="66" t="str">
        <f>IF(I158="","",VLOOKUP(I158,引用表合并!$A:$B,2,FALSE))</f>
        <v>马仔经验药水</v>
      </c>
      <c r="I158" s="66">
        <f t="shared" si="55"/>
        <v>91100</v>
      </c>
      <c r="J158" s="66">
        <f t="shared" si="47"/>
        <v>3</v>
      </c>
      <c r="K158" s="66">
        <f t="shared" si="48"/>
        <v>5000</v>
      </c>
      <c r="L158" s="66" t="str">
        <f>IF(M158="","",VLOOKUP(M158,引用表合并!$A:$B,2,FALSE))</f>
        <v>马仔经验药水</v>
      </c>
      <c r="M158" s="66">
        <f t="shared" si="56"/>
        <v>91100</v>
      </c>
      <c r="N158" s="66">
        <f t="shared" si="49"/>
        <v>4</v>
      </c>
      <c r="O158" s="66">
        <f t="shared" si="50"/>
        <v>7500</v>
      </c>
      <c r="P158" s="66" t="str">
        <f>IF(Q158="","",VLOOKUP(Q158,引用表合并!$A:$B,2,FALSE))</f>
        <v>马仔经验药水</v>
      </c>
      <c r="Q158" s="66">
        <f t="shared" si="57"/>
        <v>91100</v>
      </c>
      <c r="R158" s="66">
        <f t="shared" si="51"/>
        <v>4</v>
      </c>
      <c r="S158" s="66">
        <f t="shared" si="52"/>
        <v>10000</v>
      </c>
      <c r="BM158" s="66">
        <f t="shared" si="44"/>
        <v>3.5</v>
      </c>
      <c r="BN158" s="31">
        <v>100</v>
      </c>
      <c r="BO158" s="66">
        <v>3</v>
      </c>
      <c r="BP158" s="31">
        <v>100</v>
      </c>
      <c r="BQ158" s="31">
        <v>3</v>
      </c>
      <c r="BR158" s="31">
        <v>100</v>
      </c>
      <c r="BS158" s="31">
        <v>4</v>
      </c>
      <c r="BT158" s="31">
        <v>100</v>
      </c>
      <c r="BU158" s="31">
        <v>4</v>
      </c>
      <c r="BV158" s="66">
        <f t="shared" si="53"/>
        <v>350</v>
      </c>
    </row>
    <row r="159" spans="1:75" x14ac:dyDescent="0.15">
      <c r="A159" s="66">
        <f t="shared" si="54"/>
        <v>101108</v>
      </c>
      <c r="B159" s="66" t="s">
        <v>277</v>
      </c>
      <c r="C159" s="67">
        <f t="shared" si="42"/>
        <v>4</v>
      </c>
      <c r="D159" s="66" t="str">
        <f>IF(E159="","",VLOOKUP(E159,引用表合并!$A:$B,2,FALSE))</f>
        <v>马仔经验药水</v>
      </c>
      <c r="E159" s="66">
        <f t="shared" si="58"/>
        <v>91100</v>
      </c>
      <c r="F159" s="66">
        <f t="shared" si="43"/>
        <v>3</v>
      </c>
      <c r="G159" s="66">
        <f t="shared" si="46"/>
        <v>2500</v>
      </c>
      <c r="H159" s="66" t="str">
        <f>IF(I159="","",VLOOKUP(I159,引用表合并!$A:$B,2,FALSE))</f>
        <v>马仔经验药水</v>
      </c>
      <c r="I159" s="66">
        <f t="shared" si="55"/>
        <v>91100</v>
      </c>
      <c r="J159" s="66">
        <f t="shared" si="47"/>
        <v>4</v>
      </c>
      <c r="K159" s="66">
        <f t="shared" si="48"/>
        <v>5000</v>
      </c>
      <c r="L159" s="66" t="str">
        <f>IF(M159="","",VLOOKUP(M159,引用表合并!$A:$B,2,FALSE))</f>
        <v>马仔经验药水</v>
      </c>
      <c r="M159" s="66">
        <f t="shared" si="56"/>
        <v>91100</v>
      </c>
      <c r="N159" s="66">
        <f t="shared" si="49"/>
        <v>4</v>
      </c>
      <c r="O159" s="66">
        <f t="shared" si="50"/>
        <v>7500</v>
      </c>
      <c r="P159" s="66" t="str">
        <f>IF(Q159="","",VLOOKUP(Q159,引用表合并!$A:$B,2,FALSE))</f>
        <v>马仔经验药水</v>
      </c>
      <c r="Q159" s="66">
        <f t="shared" si="57"/>
        <v>91100</v>
      </c>
      <c r="R159" s="66">
        <f t="shared" si="51"/>
        <v>5</v>
      </c>
      <c r="S159" s="66">
        <f t="shared" si="52"/>
        <v>10000</v>
      </c>
      <c r="BM159" s="66">
        <f t="shared" si="44"/>
        <v>4</v>
      </c>
      <c r="BN159" s="31">
        <v>100</v>
      </c>
      <c r="BO159" s="66">
        <v>3</v>
      </c>
      <c r="BP159" s="31">
        <v>100</v>
      </c>
      <c r="BQ159" s="31">
        <v>4</v>
      </c>
      <c r="BR159" s="31">
        <v>100</v>
      </c>
      <c r="BS159" s="31">
        <v>4</v>
      </c>
      <c r="BT159" s="31">
        <v>100</v>
      </c>
      <c r="BU159" s="31">
        <v>5</v>
      </c>
      <c r="BV159" s="66">
        <f t="shared" si="53"/>
        <v>400</v>
      </c>
    </row>
    <row r="160" spans="1:75" x14ac:dyDescent="0.15">
      <c r="A160" s="66">
        <f t="shared" si="54"/>
        <v>101109</v>
      </c>
      <c r="B160" s="66" t="s">
        <v>278</v>
      </c>
      <c r="C160" s="67">
        <f t="shared" si="42"/>
        <v>8</v>
      </c>
      <c r="D160" s="66" t="str">
        <f>IF(E160="","",VLOOKUP(E160,引用表合并!$A:$B,2,FALSE))</f>
        <v>马仔经验合剂</v>
      </c>
      <c r="E160" s="66">
        <f t="shared" si="58"/>
        <v>91200</v>
      </c>
      <c r="F160" s="66">
        <f t="shared" si="43"/>
        <v>4</v>
      </c>
      <c r="G160" s="66">
        <f t="shared" si="46"/>
        <v>1500</v>
      </c>
      <c r="H160" s="66" t="str">
        <f>IF(I160="","",VLOOKUP(I160,引用表合并!$A:$B,2,FALSE))</f>
        <v>马仔经验合剂</v>
      </c>
      <c r="I160" s="66">
        <f t="shared" si="55"/>
        <v>91200</v>
      </c>
      <c r="J160" s="66">
        <f t="shared" si="47"/>
        <v>5</v>
      </c>
      <c r="K160" s="66">
        <f t="shared" si="48"/>
        <v>3000</v>
      </c>
      <c r="L160" s="66" t="str">
        <f>IF(M160="","",VLOOKUP(M160,引用表合并!$A:$B,2,FALSE))</f>
        <v>马仔经验合剂</v>
      </c>
      <c r="M160" s="66">
        <f t="shared" si="56"/>
        <v>91200</v>
      </c>
      <c r="N160" s="66">
        <f t="shared" si="49"/>
        <v>5</v>
      </c>
      <c r="O160" s="66">
        <f t="shared" si="50"/>
        <v>4500</v>
      </c>
      <c r="P160" s="66" t="str">
        <f>IF(Q160="","",VLOOKUP(Q160,引用表合并!$A:$B,2,FALSE))</f>
        <v>马仔经验合剂</v>
      </c>
      <c r="Q160" s="66">
        <f t="shared" si="57"/>
        <v>91200</v>
      </c>
      <c r="R160" s="66">
        <f t="shared" si="51"/>
        <v>5</v>
      </c>
      <c r="S160" s="66">
        <f t="shared" si="52"/>
        <v>6000</v>
      </c>
      <c r="T160" s="31" t="str">
        <f>IF(U160="","",VLOOKUP(U160,引用表合并!$A:$B,2,FALSE))</f>
        <v>马仔碎片(靓坤)</v>
      </c>
      <c r="U160" s="31">
        <v>78106</v>
      </c>
      <c r="V160" s="66">
        <v>3</v>
      </c>
      <c r="W160" s="66">
        <v>7000</v>
      </c>
      <c r="X160" s="31" t="str">
        <f>IF(Y160="","",VLOOKUP(Y160,引用表合并!$A:$B,2,FALSE))</f>
        <v>马仔碎片(雷复轰)</v>
      </c>
      <c r="Y160" s="66">
        <v>78107</v>
      </c>
      <c r="Z160" s="31">
        <v>3</v>
      </c>
      <c r="AA160" s="31">
        <v>8000</v>
      </c>
      <c r="AB160" s="31" t="str">
        <f>IF(AC160="","",VLOOKUP(AC160,引用表合并!$A:$B,2,FALSE))</f>
        <v>马仔碎片(肥仔)</v>
      </c>
      <c r="AC160" s="66">
        <v>78108</v>
      </c>
      <c r="AD160" s="31">
        <v>3</v>
      </c>
      <c r="AE160" s="31">
        <v>9000</v>
      </c>
      <c r="AF160" s="31" t="str">
        <f>IF(AG160="","",VLOOKUP(AG160,引用表合并!$A:$B,2,FALSE))</f>
        <v>马仔碎片(巴闭)</v>
      </c>
      <c r="AG160" s="66">
        <v>78117</v>
      </c>
      <c r="AH160" s="31">
        <v>3</v>
      </c>
      <c r="AI160" s="31">
        <v>10000</v>
      </c>
      <c r="BM160" s="66">
        <f t="shared" si="44"/>
        <v>4.75</v>
      </c>
      <c r="BN160" s="31">
        <v>500</v>
      </c>
      <c r="BO160" s="66">
        <v>4</v>
      </c>
      <c r="BP160" s="31">
        <v>500</v>
      </c>
      <c r="BQ160" s="31">
        <v>5</v>
      </c>
      <c r="BR160" s="31">
        <v>500</v>
      </c>
      <c r="BS160" s="31">
        <v>5</v>
      </c>
      <c r="BT160" s="31">
        <v>500</v>
      </c>
      <c r="BU160" s="31">
        <v>5</v>
      </c>
      <c r="BV160" s="66">
        <f t="shared" si="53"/>
        <v>2375</v>
      </c>
    </row>
    <row r="161" spans="1:75" x14ac:dyDescent="0.15">
      <c r="A161" s="66">
        <f t="shared" si="54"/>
        <v>101110</v>
      </c>
      <c r="B161" s="66" t="s">
        <v>279</v>
      </c>
      <c r="C161" s="67">
        <f t="shared" si="42"/>
        <v>4</v>
      </c>
      <c r="D161" s="66" t="str">
        <f>IF(E161="","",VLOOKUP(E161,引用表合并!$A:$B,2,FALSE))</f>
        <v>马仔经验药水</v>
      </c>
      <c r="E161" s="66">
        <f t="shared" si="58"/>
        <v>91100</v>
      </c>
      <c r="F161" s="66">
        <f t="shared" si="43"/>
        <v>4</v>
      </c>
      <c r="G161" s="66">
        <f t="shared" si="46"/>
        <v>2500</v>
      </c>
      <c r="H161" s="66" t="str">
        <f>IF(I161="","",VLOOKUP(I161,引用表合并!$A:$B,2,FALSE))</f>
        <v>马仔经验药水</v>
      </c>
      <c r="I161" s="66">
        <f t="shared" si="55"/>
        <v>91100</v>
      </c>
      <c r="J161" s="66">
        <f t="shared" si="47"/>
        <v>4</v>
      </c>
      <c r="K161" s="66">
        <f t="shared" si="48"/>
        <v>5000</v>
      </c>
      <c r="L161" s="66" t="str">
        <f>IF(M161="","",VLOOKUP(M161,引用表合并!$A:$B,2,FALSE))</f>
        <v>马仔经验药水</v>
      </c>
      <c r="M161" s="66">
        <f t="shared" si="56"/>
        <v>91100</v>
      </c>
      <c r="N161" s="66">
        <f t="shared" si="49"/>
        <v>5</v>
      </c>
      <c r="O161" s="66">
        <f t="shared" si="50"/>
        <v>7500</v>
      </c>
      <c r="P161" s="66" t="str">
        <f>IF(Q161="","",VLOOKUP(Q161,引用表合并!$A:$B,2,FALSE))</f>
        <v>马仔经验药水</v>
      </c>
      <c r="Q161" s="66">
        <f t="shared" si="57"/>
        <v>91100</v>
      </c>
      <c r="R161" s="66">
        <f t="shared" si="51"/>
        <v>5</v>
      </c>
      <c r="S161" s="66">
        <f t="shared" si="52"/>
        <v>10000</v>
      </c>
      <c r="BM161" s="66">
        <f t="shared" si="44"/>
        <v>4.5</v>
      </c>
      <c r="BN161" s="31">
        <v>100</v>
      </c>
      <c r="BO161" s="66">
        <v>4</v>
      </c>
      <c r="BP161" s="31">
        <v>100</v>
      </c>
      <c r="BQ161" s="31">
        <v>4</v>
      </c>
      <c r="BR161" s="31">
        <v>100</v>
      </c>
      <c r="BS161" s="31">
        <v>5</v>
      </c>
      <c r="BT161" s="31">
        <v>100</v>
      </c>
      <c r="BU161" s="31">
        <v>5</v>
      </c>
      <c r="BV161" s="66">
        <f t="shared" si="53"/>
        <v>450</v>
      </c>
    </row>
    <row r="162" spans="1:75" x14ac:dyDescent="0.15">
      <c r="A162" s="66">
        <f t="shared" si="54"/>
        <v>101111</v>
      </c>
      <c r="B162" s="66" t="s">
        <v>280</v>
      </c>
      <c r="C162" s="67">
        <f t="shared" si="42"/>
        <v>4</v>
      </c>
      <c r="D162" s="66" t="str">
        <f>IF(E162="","",VLOOKUP(E162,引用表合并!$A:$B,2,FALSE))</f>
        <v>马仔经验药水</v>
      </c>
      <c r="E162" s="66">
        <f t="shared" si="58"/>
        <v>91100</v>
      </c>
      <c r="F162" s="66">
        <f t="shared" si="43"/>
        <v>4</v>
      </c>
      <c r="G162" s="66">
        <f t="shared" si="46"/>
        <v>2500</v>
      </c>
      <c r="H162" s="66" t="str">
        <f>IF(I162="","",VLOOKUP(I162,引用表合并!$A:$B,2,FALSE))</f>
        <v>马仔经验药水</v>
      </c>
      <c r="I162" s="66">
        <f t="shared" si="55"/>
        <v>91100</v>
      </c>
      <c r="J162" s="66">
        <f t="shared" si="47"/>
        <v>5</v>
      </c>
      <c r="K162" s="66">
        <f t="shared" si="48"/>
        <v>5000</v>
      </c>
      <c r="L162" s="66" t="str">
        <f>IF(M162="","",VLOOKUP(M162,引用表合并!$A:$B,2,FALSE))</f>
        <v>马仔经验药水</v>
      </c>
      <c r="M162" s="66">
        <f t="shared" si="56"/>
        <v>91100</v>
      </c>
      <c r="N162" s="66">
        <f t="shared" si="49"/>
        <v>5</v>
      </c>
      <c r="O162" s="66">
        <f t="shared" si="50"/>
        <v>7500</v>
      </c>
      <c r="P162" s="66" t="str">
        <f>IF(Q162="","",VLOOKUP(Q162,引用表合并!$A:$B,2,FALSE))</f>
        <v>马仔经验药水</v>
      </c>
      <c r="Q162" s="66">
        <f t="shared" si="57"/>
        <v>91100</v>
      </c>
      <c r="R162" s="66">
        <f t="shared" si="51"/>
        <v>6</v>
      </c>
      <c r="S162" s="66">
        <f t="shared" si="52"/>
        <v>10000</v>
      </c>
      <c r="BM162" s="66">
        <f t="shared" si="44"/>
        <v>5</v>
      </c>
      <c r="BN162" s="31">
        <v>100</v>
      </c>
      <c r="BO162" s="66">
        <v>4</v>
      </c>
      <c r="BP162" s="31">
        <v>100</v>
      </c>
      <c r="BQ162" s="31">
        <v>5</v>
      </c>
      <c r="BR162" s="31">
        <v>100</v>
      </c>
      <c r="BS162" s="31">
        <v>5</v>
      </c>
      <c r="BT162" s="31">
        <v>100</v>
      </c>
      <c r="BU162" s="31">
        <v>6</v>
      </c>
      <c r="BV162" s="66">
        <f t="shared" si="53"/>
        <v>500</v>
      </c>
    </row>
    <row r="163" spans="1:75" x14ac:dyDescent="0.15">
      <c r="A163" s="66">
        <f t="shared" si="54"/>
        <v>101112</v>
      </c>
      <c r="B163" s="66" t="s">
        <v>281</v>
      </c>
      <c r="C163" s="67">
        <f t="shared" si="42"/>
        <v>8</v>
      </c>
      <c r="D163" s="66" t="str">
        <f>IF(E163="","",VLOOKUP(E163,引用表合并!$A:$B,2,FALSE))</f>
        <v>马仔经验甘露</v>
      </c>
      <c r="E163" s="66">
        <f t="shared" si="58"/>
        <v>91300</v>
      </c>
      <c r="F163" s="66">
        <f t="shared" si="43"/>
        <v>1</v>
      </c>
      <c r="G163" s="66">
        <f t="shared" si="46"/>
        <v>1500</v>
      </c>
      <c r="H163" s="66" t="str">
        <f>IF(I163="","",VLOOKUP(I163,引用表合并!$A:$B,2,FALSE))</f>
        <v>马仔经验甘露</v>
      </c>
      <c r="I163" s="66">
        <f t="shared" si="55"/>
        <v>91300</v>
      </c>
      <c r="J163" s="66">
        <f t="shared" si="47"/>
        <v>1</v>
      </c>
      <c r="K163" s="66">
        <f t="shared" si="48"/>
        <v>3000</v>
      </c>
      <c r="L163" s="66" t="str">
        <f>IF(M163="","",VLOOKUP(M163,引用表合并!$A:$B,2,FALSE))</f>
        <v>马仔经验甘露</v>
      </c>
      <c r="M163" s="66">
        <f t="shared" si="56"/>
        <v>91300</v>
      </c>
      <c r="N163" s="66">
        <f t="shared" si="49"/>
        <v>2</v>
      </c>
      <c r="O163" s="66">
        <f t="shared" si="50"/>
        <v>4500</v>
      </c>
      <c r="P163" s="66" t="str">
        <f>IF(Q163="","",VLOOKUP(Q163,引用表合并!$A:$B,2,FALSE))</f>
        <v>马仔经验甘露</v>
      </c>
      <c r="Q163" s="66">
        <f t="shared" si="57"/>
        <v>91300</v>
      </c>
      <c r="R163" s="66">
        <f t="shared" si="51"/>
        <v>2</v>
      </c>
      <c r="S163" s="66">
        <f t="shared" si="52"/>
        <v>6000</v>
      </c>
      <c r="T163" s="31" t="str">
        <f>IF(U163="","",VLOOKUP(U163,引用表合并!$A:$B,2,FALSE))</f>
        <v>马仔碎片(赌王)</v>
      </c>
      <c r="U163" s="31">
        <v>78111</v>
      </c>
      <c r="V163" s="66">
        <v>1</v>
      </c>
      <c r="W163" s="66">
        <v>7000</v>
      </c>
      <c r="X163" s="31" t="str">
        <f>IF(Y163="","",VLOOKUP(Y163,引用表合并!$A:$B,2,FALSE))</f>
        <v>马仔碎片(山下忠秀)</v>
      </c>
      <c r="Y163" s="31">
        <v>78112</v>
      </c>
      <c r="Z163" s="31">
        <v>1</v>
      </c>
      <c r="AA163" s="31">
        <v>8000</v>
      </c>
      <c r="AB163" s="31" t="str">
        <f>IF(AC163="","",VLOOKUP(AC163,引用表合并!$A:$B,2,FALSE))</f>
        <v>马仔碎片(宫本一)</v>
      </c>
      <c r="AC163" s="66">
        <v>78113</v>
      </c>
      <c r="AD163" s="31">
        <v>1</v>
      </c>
      <c r="AE163" s="31">
        <v>9000</v>
      </c>
      <c r="AF163" s="31" t="str">
        <f>IF(AG163="","",VLOOKUP(AG163,引用表合并!$A:$B,2,FALSE))</f>
        <v>马仔碎片(笑面虎)</v>
      </c>
      <c r="AG163" s="66">
        <v>78119</v>
      </c>
      <c r="AH163" s="31">
        <v>1</v>
      </c>
      <c r="AI163" s="31">
        <v>10000</v>
      </c>
      <c r="BM163" s="66">
        <f t="shared" si="44"/>
        <v>1.5</v>
      </c>
      <c r="BN163" s="31">
        <v>2500</v>
      </c>
      <c r="BO163" s="66">
        <v>1</v>
      </c>
      <c r="BP163" s="31">
        <v>2500</v>
      </c>
      <c r="BQ163" s="31">
        <v>1</v>
      </c>
      <c r="BR163" s="31">
        <v>2500</v>
      </c>
      <c r="BS163" s="31">
        <v>2</v>
      </c>
      <c r="BT163" s="31">
        <v>2500</v>
      </c>
      <c r="BU163" s="31">
        <v>2</v>
      </c>
      <c r="BV163" s="66">
        <f t="shared" si="53"/>
        <v>3750</v>
      </c>
    </row>
    <row r="164" spans="1:75" x14ac:dyDescent="0.15">
      <c r="A164" s="66">
        <f t="shared" si="54"/>
        <v>101113</v>
      </c>
      <c r="B164" s="66" t="s">
        <v>282</v>
      </c>
      <c r="C164" s="67">
        <f t="shared" si="42"/>
        <v>4</v>
      </c>
      <c r="D164" s="66" t="str">
        <f>IF(E164="","",VLOOKUP(E164,引用表合并!$A:$B,2,FALSE))</f>
        <v>马仔经验药水</v>
      </c>
      <c r="E164" s="66">
        <f t="shared" si="58"/>
        <v>91100</v>
      </c>
      <c r="F164" s="66">
        <f t="shared" si="43"/>
        <v>5</v>
      </c>
      <c r="G164" s="66">
        <f t="shared" si="46"/>
        <v>2500</v>
      </c>
      <c r="H164" s="66" t="str">
        <f>IF(I164="","",VLOOKUP(I164,引用表合并!$A:$B,2,FALSE))</f>
        <v>马仔经验药水</v>
      </c>
      <c r="I164" s="66">
        <f t="shared" si="55"/>
        <v>91100</v>
      </c>
      <c r="J164" s="66">
        <f t="shared" si="47"/>
        <v>5</v>
      </c>
      <c r="K164" s="66">
        <f t="shared" si="48"/>
        <v>5000</v>
      </c>
      <c r="L164" s="66" t="str">
        <f>IF(M164="","",VLOOKUP(M164,引用表合并!$A:$B,2,FALSE))</f>
        <v>马仔经验药水</v>
      </c>
      <c r="M164" s="66">
        <f t="shared" si="56"/>
        <v>91100</v>
      </c>
      <c r="N164" s="66">
        <f t="shared" si="49"/>
        <v>6</v>
      </c>
      <c r="O164" s="66">
        <f t="shared" si="50"/>
        <v>7500</v>
      </c>
      <c r="P164" s="66" t="str">
        <f>IF(Q164="","",VLOOKUP(Q164,引用表合并!$A:$B,2,FALSE))</f>
        <v>马仔经验药水</v>
      </c>
      <c r="Q164" s="66">
        <f t="shared" si="57"/>
        <v>91100</v>
      </c>
      <c r="R164" s="66">
        <f t="shared" si="51"/>
        <v>6</v>
      </c>
      <c r="S164" s="66">
        <f t="shared" si="52"/>
        <v>10000</v>
      </c>
      <c r="BM164" s="66">
        <f t="shared" si="44"/>
        <v>5.5</v>
      </c>
      <c r="BN164" s="31">
        <v>100</v>
      </c>
      <c r="BO164" s="66">
        <v>5</v>
      </c>
      <c r="BP164" s="31">
        <v>100</v>
      </c>
      <c r="BQ164" s="31">
        <v>5</v>
      </c>
      <c r="BR164" s="31">
        <v>100</v>
      </c>
      <c r="BS164" s="31">
        <v>6</v>
      </c>
      <c r="BT164" s="31">
        <v>100</v>
      </c>
      <c r="BU164" s="31">
        <v>6</v>
      </c>
      <c r="BV164" s="66">
        <f t="shared" si="53"/>
        <v>550</v>
      </c>
    </row>
    <row r="165" spans="1:75" x14ac:dyDescent="0.15">
      <c r="A165" s="66">
        <f t="shared" si="54"/>
        <v>101114</v>
      </c>
      <c r="B165" s="66" t="s">
        <v>283</v>
      </c>
      <c r="C165" s="67">
        <f t="shared" si="42"/>
        <v>4</v>
      </c>
      <c r="D165" s="66" t="str">
        <f>IF(E165="","",VLOOKUP(E165,引用表合并!$A:$B,2,FALSE))</f>
        <v>马仔经验药水</v>
      </c>
      <c r="E165" s="66">
        <f t="shared" si="58"/>
        <v>91100</v>
      </c>
      <c r="F165" s="66">
        <f t="shared" si="43"/>
        <v>5</v>
      </c>
      <c r="G165" s="66">
        <f t="shared" si="46"/>
        <v>2500</v>
      </c>
      <c r="H165" s="66" t="str">
        <f>IF(I165="","",VLOOKUP(I165,引用表合并!$A:$B,2,FALSE))</f>
        <v>马仔经验药水</v>
      </c>
      <c r="I165" s="66">
        <f t="shared" si="55"/>
        <v>91100</v>
      </c>
      <c r="J165" s="66">
        <f t="shared" si="47"/>
        <v>6</v>
      </c>
      <c r="K165" s="66">
        <f t="shared" si="48"/>
        <v>5000</v>
      </c>
      <c r="L165" s="66" t="str">
        <f>IF(M165="","",VLOOKUP(M165,引用表合并!$A:$B,2,FALSE))</f>
        <v>马仔经验药水</v>
      </c>
      <c r="M165" s="66">
        <f t="shared" si="56"/>
        <v>91100</v>
      </c>
      <c r="N165" s="66">
        <f t="shared" si="49"/>
        <v>6</v>
      </c>
      <c r="O165" s="66">
        <f t="shared" si="50"/>
        <v>7500</v>
      </c>
      <c r="P165" s="66" t="str">
        <f>IF(Q165="","",VLOOKUP(Q165,引用表合并!$A:$B,2,FALSE))</f>
        <v>马仔经验药水</v>
      </c>
      <c r="Q165" s="66">
        <f t="shared" si="57"/>
        <v>91100</v>
      </c>
      <c r="R165" s="66">
        <f t="shared" si="51"/>
        <v>7</v>
      </c>
      <c r="S165" s="66">
        <f t="shared" si="52"/>
        <v>10000</v>
      </c>
      <c r="BM165" s="66">
        <f t="shared" si="44"/>
        <v>6</v>
      </c>
      <c r="BN165" s="31">
        <v>100</v>
      </c>
      <c r="BO165" s="66">
        <v>5</v>
      </c>
      <c r="BP165" s="31">
        <v>100</v>
      </c>
      <c r="BQ165" s="31">
        <v>6</v>
      </c>
      <c r="BR165" s="31">
        <v>100</v>
      </c>
      <c r="BS165" s="31">
        <v>6</v>
      </c>
      <c r="BT165" s="31">
        <v>100</v>
      </c>
      <c r="BU165" s="31">
        <v>7</v>
      </c>
      <c r="BV165" s="66">
        <f t="shared" si="53"/>
        <v>600</v>
      </c>
    </row>
    <row r="166" spans="1:75" x14ac:dyDescent="0.15">
      <c r="A166" s="66">
        <f t="shared" si="54"/>
        <v>101115</v>
      </c>
      <c r="B166" s="66" t="s">
        <v>284</v>
      </c>
      <c r="C166" s="67">
        <f t="shared" si="42"/>
        <v>9</v>
      </c>
      <c r="D166" s="66" t="str">
        <f>IF(E166="","",VLOOKUP(E166,引用表合并!$A:$B,2,FALSE))</f>
        <v>马仔经验甘露</v>
      </c>
      <c r="E166" s="66">
        <f t="shared" si="58"/>
        <v>91300</v>
      </c>
      <c r="F166" s="66">
        <f t="shared" si="43"/>
        <v>2</v>
      </c>
      <c r="G166" s="66">
        <f t="shared" si="46"/>
        <v>500</v>
      </c>
      <c r="H166" s="66" t="str">
        <f>IF(I166="","",VLOOKUP(I166,引用表合并!$A:$B,2,FALSE))</f>
        <v>马仔经验甘露</v>
      </c>
      <c r="I166" s="66">
        <f t="shared" si="55"/>
        <v>91300</v>
      </c>
      <c r="J166" s="66">
        <f t="shared" si="47"/>
        <v>2</v>
      </c>
      <c r="K166" s="66">
        <f t="shared" si="48"/>
        <v>1000</v>
      </c>
      <c r="L166" s="66" t="str">
        <f>IF(M166="","",VLOOKUP(M166,引用表合并!$A:$B,2,FALSE))</f>
        <v>马仔经验甘露</v>
      </c>
      <c r="M166" s="66">
        <f t="shared" si="56"/>
        <v>91300</v>
      </c>
      <c r="N166" s="66">
        <f t="shared" si="49"/>
        <v>3</v>
      </c>
      <c r="O166" s="66">
        <f t="shared" si="50"/>
        <v>1500</v>
      </c>
      <c r="P166" s="66" t="str">
        <f>IF(Q166="","",VLOOKUP(Q166,引用表合并!$A:$B,2,FALSE))</f>
        <v>马仔经验甘露</v>
      </c>
      <c r="Q166" s="66">
        <f t="shared" si="57"/>
        <v>91300</v>
      </c>
      <c r="R166" s="66">
        <f t="shared" si="51"/>
        <v>4</v>
      </c>
      <c r="S166" s="66">
        <f t="shared" si="52"/>
        <v>2000</v>
      </c>
      <c r="T166" s="31" t="str">
        <f>IF(U166="","",VLOOKUP(U166,引用表合并!$A:$B,2,FALSE))</f>
        <v>猛龙过江(3天)</v>
      </c>
      <c r="U166" s="31">
        <v>83108</v>
      </c>
      <c r="V166" s="31">
        <v>1</v>
      </c>
      <c r="W166" s="31">
        <v>4000</v>
      </c>
      <c r="X166" s="31" t="str">
        <f>IF(Y166="","",VLOOKUP(Y166,引用表合并!$A:$B,2,FALSE))</f>
        <v>马仔碎片(山下忠秀)</v>
      </c>
      <c r="Y166" s="31">
        <v>78112</v>
      </c>
      <c r="Z166" s="31">
        <v>2</v>
      </c>
      <c r="AA166" s="31">
        <v>5500</v>
      </c>
      <c r="AB166" s="31" t="str">
        <f>IF(AC166="","",VLOOKUP(AC166,引用表合并!$A:$B,2,FALSE))</f>
        <v>马仔碎片(山下忠秀)</v>
      </c>
      <c r="AC166" s="66">
        <v>78112</v>
      </c>
      <c r="AD166" s="31">
        <v>2</v>
      </c>
      <c r="AE166" s="31">
        <v>7000</v>
      </c>
      <c r="AF166" s="31" t="str">
        <f>IF(AG166="","",VLOOKUP(AG166,引用表合并!$A:$B,2,FALSE))</f>
        <v>马仔碎片(宫本一)</v>
      </c>
      <c r="AG166" s="66">
        <v>78113</v>
      </c>
      <c r="AH166" s="31">
        <v>2</v>
      </c>
      <c r="AI166" s="31">
        <v>8500</v>
      </c>
      <c r="AJ166" s="31" t="str">
        <f>IF(AK166="","",VLOOKUP(AK166,引用表合并!$A:$B,2,FALSE))</f>
        <v>马仔碎片(笑面虎)</v>
      </c>
      <c r="AK166" s="31">
        <v>78119</v>
      </c>
      <c r="AL166" s="31">
        <v>2</v>
      </c>
      <c r="AM166" s="31">
        <v>10000</v>
      </c>
      <c r="AN166" s="66" t="str">
        <f>IF(AO166="","",VLOOKUP(AO166,引用表合并!$A:$B,2,FALSE))</f>
        <v/>
      </c>
      <c r="AR166" s="66" t="str">
        <f>IF(AS166="","",VLOOKUP(AS166,引用表合并!$A:$B,2,FALSE))</f>
        <v/>
      </c>
      <c r="AV166" s="66" t="str">
        <f>IF(AW166="","",VLOOKUP(AW166,引用表合并!$A:$B,2,FALSE))</f>
        <v/>
      </c>
      <c r="AZ166" s="66" t="str">
        <f>IF(BA166="","",VLOOKUP(BA166,引用表合并!$A:$B,2,FALSE))</f>
        <v/>
      </c>
      <c r="BM166" s="66">
        <f t="shared" si="44"/>
        <v>2.75</v>
      </c>
      <c r="BN166" s="31">
        <v>2500</v>
      </c>
      <c r="BO166" s="66">
        <v>2</v>
      </c>
      <c r="BP166" s="31">
        <v>2500</v>
      </c>
      <c r="BQ166" s="31">
        <v>2</v>
      </c>
      <c r="BR166" s="31">
        <v>2500</v>
      </c>
      <c r="BS166" s="31">
        <v>3</v>
      </c>
      <c r="BT166" s="31">
        <v>2500</v>
      </c>
      <c r="BU166" s="31">
        <v>4</v>
      </c>
      <c r="BV166" s="66">
        <f t="shared" si="53"/>
        <v>6875</v>
      </c>
      <c r="BW166" s="66">
        <f>SUM(BV152:BV166)</f>
        <v>20250</v>
      </c>
    </row>
    <row r="167" spans="1:75" s="72" customFormat="1" x14ac:dyDescent="0.15">
      <c r="A167" s="72">
        <v>104999</v>
      </c>
      <c r="B167" s="72" t="s">
        <v>1024</v>
      </c>
      <c r="C167" s="67">
        <f t="shared" si="42"/>
        <v>0</v>
      </c>
    </row>
    <row r="168" spans="1:75" x14ac:dyDescent="0.15">
      <c r="A168">
        <v>115010</v>
      </c>
      <c r="B168" s="66" t="str">
        <f>D_奖励表!B159</f>
        <v>挑战Boss-制服太妹</v>
      </c>
      <c r="C168" s="67">
        <f t="shared" si="42"/>
        <v>1</v>
      </c>
      <c r="D168" s="66" t="str">
        <f>IF(E168="","",VLOOKUP(E168,引用表合并!$A:$B,2,FALSE))</f>
        <v>马仔碎片(制服太妹)</v>
      </c>
      <c r="E168" s="66">
        <v>78101</v>
      </c>
      <c r="F168" s="31">
        <v>4</v>
      </c>
      <c r="G168" s="66">
        <v>10000</v>
      </c>
      <c r="H168" s="66" t="str">
        <f>IF(I168="","",VLOOKUP(I168,引用表合并!$A:$B,2,FALSE))</f>
        <v/>
      </c>
      <c r="J168" s="31"/>
      <c r="L168" s="66" t="str">
        <f>IF(M168="","",VLOOKUP(M168,引用表合并!$A:$B,2,FALSE))</f>
        <v/>
      </c>
      <c r="P168" s="66" t="str">
        <f>IF(Q168="","",VLOOKUP(Q168,引用表合并!$A:$B,2,FALSE))</f>
        <v/>
      </c>
      <c r="R168" s="31"/>
    </row>
    <row r="169" spans="1:75" x14ac:dyDescent="0.15">
      <c r="A169">
        <v>115011</v>
      </c>
      <c r="B169" s="66" t="str">
        <f>D_奖励表!B160</f>
        <v>挑战Boss-制服太妹</v>
      </c>
      <c r="C169" s="67">
        <f t="shared" si="42"/>
        <v>2</v>
      </c>
      <c r="D169" s="66" t="str">
        <f>IF(E169="","",VLOOKUP(E169,引用表合并!$A:$B,2,FALSE))</f>
        <v>马仔碎片(制服太妹)</v>
      </c>
      <c r="E169" s="66">
        <v>78101</v>
      </c>
      <c r="F169" s="31">
        <v>7</v>
      </c>
      <c r="G169" s="66">
        <v>5000</v>
      </c>
      <c r="H169" s="66" t="str">
        <f>IF(I169="","",VLOOKUP(I169,引用表合并!$A:$B,2,FALSE))</f>
        <v>马仔碎片(制服太妹)</v>
      </c>
      <c r="I169" s="66">
        <v>78101</v>
      </c>
      <c r="J169" s="31">
        <v>6</v>
      </c>
      <c r="K169" s="66">
        <v>10000</v>
      </c>
      <c r="L169" s="66" t="str">
        <f>IF(M169="","",VLOOKUP(M169,引用表合并!$A:$B,2,FALSE))</f>
        <v/>
      </c>
      <c r="P169" s="66" t="str">
        <f>IF(Q169="","",VLOOKUP(Q169,引用表合并!$A:$B,2,FALSE))</f>
        <v/>
      </c>
      <c r="S169" s="66" t="s">
        <v>1023</v>
      </c>
    </row>
    <row r="170" spans="1:75" x14ac:dyDescent="0.15">
      <c r="A170">
        <v>115012</v>
      </c>
      <c r="B170" s="66" t="str">
        <f>D_奖励表!B161</f>
        <v>挑战Boss-制服太妹</v>
      </c>
      <c r="C170" s="67">
        <f t="shared" si="42"/>
        <v>3</v>
      </c>
      <c r="D170" s="66" t="str">
        <f>IF(E170="","",VLOOKUP(E170,引用表合并!$A:$B,2,FALSE))</f>
        <v>马仔碎片(制服太妹)</v>
      </c>
      <c r="E170" s="66">
        <v>78101</v>
      </c>
      <c r="F170" s="31">
        <v>7</v>
      </c>
      <c r="G170" s="66">
        <v>5000</v>
      </c>
      <c r="H170" s="66" t="str">
        <f>IF(I170="","",VLOOKUP(I170,引用表合并!$A:$B,2,FALSE))</f>
        <v>马仔碎片(制服太妹)</v>
      </c>
      <c r="I170" s="66">
        <v>78101</v>
      </c>
      <c r="J170" s="31">
        <v>6</v>
      </c>
      <c r="K170" s="66">
        <v>8000</v>
      </c>
      <c r="L170" s="66" t="str">
        <f>IF(M170="","",VLOOKUP(M170,引用表合并!$A:$B,2,FALSE))</f>
        <v>马仔碎片(制服太妹)</v>
      </c>
      <c r="M170" s="66">
        <v>78101</v>
      </c>
      <c r="N170" s="66">
        <v>8</v>
      </c>
      <c r="O170" s="66">
        <v>10000</v>
      </c>
      <c r="P170" s="66" t="str">
        <f>IF(Q170="","",VLOOKUP(Q170,引用表合并!$A:$B,2,FALSE))</f>
        <v/>
      </c>
      <c r="S170" s="66" t="s">
        <v>1023</v>
      </c>
    </row>
    <row r="171" spans="1:75" x14ac:dyDescent="0.15">
      <c r="A171">
        <v>115013</v>
      </c>
      <c r="B171" s="66" t="str">
        <f>D_奖励表!B162</f>
        <v>挑战Boss-制服太妹</v>
      </c>
      <c r="C171" s="67">
        <f t="shared" si="42"/>
        <v>3</v>
      </c>
      <c r="D171" s="66" t="str">
        <f>IF(E171="","",VLOOKUP(E171,引用表合并!$A:$B,2,FALSE))</f>
        <v>马仔碎片(制服太妹)</v>
      </c>
      <c r="E171" s="66">
        <v>78101</v>
      </c>
      <c r="F171" s="31">
        <v>7</v>
      </c>
      <c r="G171" s="66">
        <v>5000</v>
      </c>
      <c r="H171" s="66" t="str">
        <f>IF(I171="","",VLOOKUP(I171,引用表合并!$A:$B,2,FALSE))</f>
        <v>马仔碎片(制服太妹)</v>
      </c>
      <c r="I171" s="66">
        <v>78101</v>
      </c>
      <c r="J171" s="31">
        <v>6</v>
      </c>
      <c r="K171" s="66">
        <v>7000</v>
      </c>
      <c r="L171" s="66" t="str">
        <f>IF(M171="","",VLOOKUP(M171,引用表合并!$A:$B,2,FALSE))</f>
        <v>马仔碎片(制服太妹)</v>
      </c>
      <c r="M171" s="66">
        <v>78101</v>
      </c>
      <c r="N171" s="66">
        <v>8</v>
      </c>
      <c r="O171" s="66">
        <v>10000</v>
      </c>
      <c r="P171" s="66" t="str">
        <f>IF(Q171="","",VLOOKUP(Q171,引用表合并!$A:$B,2,FALSE))</f>
        <v/>
      </c>
      <c r="S171" s="66" t="s">
        <v>1023</v>
      </c>
    </row>
    <row r="172" spans="1:75" x14ac:dyDescent="0.15">
      <c r="A172">
        <v>115014</v>
      </c>
      <c r="B172" s="66" t="str">
        <f>D_奖励表!B163</f>
        <v>挑战Boss-制服太妹</v>
      </c>
      <c r="C172" s="67">
        <f t="shared" ref="C172:C235" si="59">CHOOSE(2,1,COUNT(F172,J172,N172,R172,V172,Z172,AD172,AH172,AL172,AP172,AT172,AX172,BB172,BF172,BJ172))</f>
        <v>2</v>
      </c>
      <c r="D172" s="66" t="str">
        <f>IF(E172="","",VLOOKUP(E172,引用表合并!$A:$B,2,FALSE))</f>
        <v>马仔碎片(制服太妹)</v>
      </c>
      <c r="E172" s="66">
        <v>78101</v>
      </c>
      <c r="F172" s="31">
        <v>7</v>
      </c>
      <c r="G172" s="66">
        <v>4000</v>
      </c>
      <c r="H172" s="66" t="str">
        <f>IF(I172="","",VLOOKUP(I172,引用表合并!$A:$B,2,FALSE))</f>
        <v>马仔碎片(制服太妹)</v>
      </c>
      <c r="I172" s="66">
        <v>78101</v>
      </c>
      <c r="J172" s="31">
        <v>8</v>
      </c>
      <c r="K172" s="66">
        <v>10000</v>
      </c>
      <c r="L172" s="66" t="str">
        <f>IF(M172="","",VLOOKUP(M172,引用表合并!$A:$B,2,FALSE))</f>
        <v/>
      </c>
      <c r="P172" s="66" t="str">
        <f>IF(Q172="","",VLOOKUP(Q172,引用表合并!$A:$B,2,FALSE))</f>
        <v/>
      </c>
      <c r="S172" s="66" t="s">
        <v>1023</v>
      </c>
    </row>
    <row r="173" spans="1:75" x14ac:dyDescent="0.15">
      <c r="A173">
        <v>115015</v>
      </c>
      <c r="B173" s="66" t="str">
        <f>D_奖励表!B164</f>
        <v>挑战Boss-制服太妹</v>
      </c>
      <c r="C173" s="67">
        <f t="shared" si="59"/>
        <v>3</v>
      </c>
      <c r="D173" s="66" t="str">
        <f>IF(E173="","",VLOOKUP(E173,引用表合并!$A:$B,2,FALSE))</f>
        <v>马仔碎片(制服太妹)</v>
      </c>
      <c r="E173" s="66">
        <v>78101</v>
      </c>
      <c r="F173" s="31">
        <v>8</v>
      </c>
      <c r="G173" s="66">
        <v>5000</v>
      </c>
      <c r="H173" s="66" t="str">
        <f>IF(I173="","",VLOOKUP(I173,引用表合并!$A:$B,2,FALSE))</f>
        <v>马仔碎片(制服太妹)</v>
      </c>
      <c r="I173" s="66">
        <v>78101</v>
      </c>
      <c r="J173" s="31">
        <v>7</v>
      </c>
      <c r="K173" s="66">
        <v>7000</v>
      </c>
      <c r="L173" s="66" t="str">
        <f>IF(M173="","",VLOOKUP(M173,引用表合并!$A:$B,2,FALSE))</f>
        <v>马仔碎片(制服太妹)</v>
      </c>
      <c r="M173" s="66">
        <v>78101</v>
      </c>
      <c r="N173" s="31">
        <v>9</v>
      </c>
      <c r="O173" s="66">
        <v>10000</v>
      </c>
      <c r="P173" s="66" t="str">
        <f>IF(Q173="","",VLOOKUP(Q173,引用表合并!$A:$B,2,FALSE))</f>
        <v/>
      </c>
      <c r="S173" s="66" t="s">
        <v>1023</v>
      </c>
    </row>
    <row r="174" spans="1:75" x14ac:dyDescent="0.15">
      <c r="A174">
        <v>115016</v>
      </c>
      <c r="B174" s="66" t="str">
        <f>D_奖励表!B165</f>
        <v>挑战Boss-制服太妹</v>
      </c>
      <c r="C174" s="67">
        <f t="shared" si="59"/>
        <v>3</v>
      </c>
      <c r="D174" s="66" t="str">
        <f>IF(E174="","",VLOOKUP(E174,引用表合并!$A:$B,2,FALSE))</f>
        <v>马仔碎片(制服太妹)</v>
      </c>
      <c r="E174" s="66">
        <v>78101</v>
      </c>
      <c r="F174" s="31">
        <v>9</v>
      </c>
      <c r="G174" s="66">
        <v>4000</v>
      </c>
      <c r="H174" s="66" t="str">
        <f>IF(I174="","",VLOOKUP(I174,引用表合并!$A:$B,2,FALSE))</f>
        <v>马仔碎片(制服太妹)</v>
      </c>
      <c r="I174" s="66">
        <v>78101</v>
      </c>
      <c r="J174" s="31">
        <v>8</v>
      </c>
      <c r="K174" s="66">
        <v>7000</v>
      </c>
      <c r="L174" s="66" t="str">
        <f>IF(M174="","",VLOOKUP(M174,引用表合并!$A:$B,2,FALSE))</f>
        <v>马仔碎片(制服太妹)</v>
      </c>
      <c r="M174" s="66">
        <v>78101</v>
      </c>
      <c r="N174" s="66">
        <v>10</v>
      </c>
      <c r="O174" s="66">
        <v>10000</v>
      </c>
      <c r="P174" s="66" t="str">
        <f>IF(Q174="","",VLOOKUP(Q174,引用表合并!$A:$B,2,FALSE))</f>
        <v/>
      </c>
      <c r="S174" s="66" t="s">
        <v>1023</v>
      </c>
    </row>
    <row r="175" spans="1:75" x14ac:dyDescent="0.15">
      <c r="A175">
        <v>115017</v>
      </c>
      <c r="B175" s="66" t="str">
        <f>D_奖励表!B166</f>
        <v>挑战Boss-制服太妹</v>
      </c>
      <c r="C175" s="67">
        <f t="shared" si="59"/>
        <v>4</v>
      </c>
      <c r="D175" s="66" t="str">
        <f>IF(E175="","",VLOOKUP(E175,引用表合并!$A:$B,2,FALSE))</f>
        <v>马仔碎片(制服太妹)</v>
      </c>
      <c r="E175" s="66">
        <v>78101</v>
      </c>
      <c r="F175" s="31">
        <v>10</v>
      </c>
      <c r="G175" s="66">
        <v>4000</v>
      </c>
      <c r="H175" s="66" t="str">
        <f>IF(I175="","",VLOOKUP(I175,引用表合并!$A:$B,2,FALSE))</f>
        <v>马仔碎片(制服太妹)</v>
      </c>
      <c r="I175" s="66">
        <v>78101</v>
      </c>
      <c r="J175" s="31">
        <v>8</v>
      </c>
      <c r="K175" s="66">
        <v>6000</v>
      </c>
      <c r="L175" s="66" t="str">
        <f>IF(M175="","",VLOOKUP(M175,引用表合并!$A:$B,2,FALSE))</f>
        <v>马仔碎片(制服太妹)</v>
      </c>
      <c r="M175" s="66">
        <v>78101</v>
      </c>
      <c r="N175" s="31">
        <v>9</v>
      </c>
      <c r="O175" s="66">
        <v>8000</v>
      </c>
      <c r="P175" s="66" t="str">
        <f>IF(Q175="","",VLOOKUP(Q175,引用表合并!$A:$B,2,FALSE))</f>
        <v>马仔碎片(制服太妹)</v>
      </c>
      <c r="Q175" s="66">
        <v>78101</v>
      </c>
      <c r="R175" s="31">
        <v>11</v>
      </c>
      <c r="S175" s="66">
        <v>10000</v>
      </c>
    </row>
    <row r="176" spans="1:75" x14ac:dyDescent="0.15">
      <c r="A176">
        <v>115018</v>
      </c>
      <c r="B176" s="66" t="str">
        <f>D_奖励表!B167</f>
        <v>挑战Boss-制服太妹</v>
      </c>
      <c r="C176" s="67">
        <f t="shared" si="59"/>
        <v>4</v>
      </c>
      <c r="D176" s="66" t="str">
        <f>IF(E176="","",VLOOKUP(E176,引用表合并!$A:$B,2,FALSE))</f>
        <v>马仔碎片(制服太妹)</v>
      </c>
      <c r="E176" s="66">
        <v>78101</v>
      </c>
      <c r="F176" s="31">
        <v>11</v>
      </c>
      <c r="G176" s="66">
        <v>4000</v>
      </c>
      <c r="H176" s="66" t="str">
        <f>IF(I176="","",VLOOKUP(I176,引用表合并!$A:$B,2,FALSE))</f>
        <v>马仔碎片(制服太妹)</v>
      </c>
      <c r="I176" s="66">
        <v>78101</v>
      </c>
      <c r="J176" s="31">
        <v>9</v>
      </c>
      <c r="K176" s="66">
        <v>6000</v>
      </c>
      <c r="L176" s="66" t="str">
        <f>IF(M176="","",VLOOKUP(M176,引用表合并!$A:$B,2,FALSE))</f>
        <v>马仔碎片(制服太妹)</v>
      </c>
      <c r="M176" s="66">
        <v>78101</v>
      </c>
      <c r="N176" s="31">
        <v>10</v>
      </c>
      <c r="O176" s="66">
        <v>8000</v>
      </c>
      <c r="P176" s="66" t="str">
        <f>IF(Q176="","",VLOOKUP(Q176,引用表合并!$A:$B,2,FALSE))</f>
        <v>马仔碎片(制服太妹)</v>
      </c>
      <c r="Q176" s="66">
        <v>78101</v>
      </c>
      <c r="R176" s="31">
        <v>12</v>
      </c>
      <c r="S176" s="66">
        <v>10000</v>
      </c>
    </row>
    <row r="177" spans="1:19" x14ac:dyDescent="0.15">
      <c r="A177">
        <v>115019</v>
      </c>
      <c r="B177" s="66" t="str">
        <f>D_奖励表!B168</f>
        <v>挑战Boss-制服太妹</v>
      </c>
      <c r="C177" s="67">
        <f t="shared" si="59"/>
        <v>4</v>
      </c>
      <c r="D177" s="66" t="str">
        <f>IF(E177="","",VLOOKUP(E177,引用表合并!$A:$B,2,FALSE))</f>
        <v>马仔碎片(制服太妹)</v>
      </c>
      <c r="E177" s="66">
        <v>78101</v>
      </c>
      <c r="F177" s="31">
        <v>12</v>
      </c>
      <c r="G177" s="66">
        <v>4000</v>
      </c>
      <c r="H177" s="66" t="str">
        <f>IF(I177="","",VLOOKUP(I177,引用表合并!$A:$B,2,FALSE))</f>
        <v>马仔碎片(制服太妹)</v>
      </c>
      <c r="I177" s="66">
        <v>78101</v>
      </c>
      <c r="J177" s="31">
        <v>10</v>
      </c>
      <c r="K177" s="66">
        <v>6000</v>
      </c>
      <c r="L177" s="66" t="str">
        <f>IF(M177="","",VLOOKUP(M177,引用表合并!$A:$B,2,FALSE))</f>
        <v>马仔碎片(制服太妹)</v>
      </c>
      <c r="M177" s="66">
        <v>78101</v>
      </c>
      <c r="N177" s="31">
        <v>11</v>
      </c>
      <c r="O177" s="66">
        <v>8000</v>
      </c>
      <c r="P177" s="66" t="str">
        <f>IF(Q177="","",VLOOKUP(Q177,引用表合并!$A:$B,2,FALSE))</f>
        <v>马仔碎片(制服太妹)</v>
      </c>
      <c r="Q177" s="66">
        <v>78101</v>
      </c>
      <c r="R177" s="31">
        <v>12</v>
      </c>
      <c r="S177" s="66">
        <v>10000</v>
      </c>
    </row>
    <row r="178" spans="1:19" x14ac:dyDescent="0.15">
      <c r="A178">
        <v>115020</v>
      </c>
      <c r="B178" s="66" t="str">
        <f>D_奖励表!B169</f>
        <v>挑战Boss-比利</v>
      </c>
      <c r="C178" s="67">
        <f t="shared" si="59"/>
        <v>1</v>
      </c>
      <c r="D178" s="66" t="str">
        <f>IF(E178="","",VLOOKUP(E178,引用表合并!$A:$B,2,FALSE))</f>
        <v>马仔碎片(比利)</v>
      </c>
      <c r="E178" s="31">
        <v>78103</v>
      </c>
      <c r="F178" s="31">
        <v>4</v>
      </c>
      <c r="G178" s="66">
        <v>10000</v>
      </c>
      <c r="H178" s="66" t="str">
        <f>IF(I178="","",VLOOKUP(I178,引用表合并!$A:$B,2,FALSE))</f>
        <v/>
      </c>
      <c r="I178" s="31"/>
      <c r="J178" s="31"/>
      <c r="L178" s="66" t="str">
        <f>IF(M178="","",VLOOKUP(M178,引用表合并!$A:$B,2,FALSE))</f>
        <v/>
      </c>
      <c r="M178" s="31"/>
      <c r="P178" s="66" t="str">
        <f>IF(Q178="","",VLOOKUP(Q178,引用表合并!$A:$B,2,FALSE))</f>
        <v/>
      </c>
      <c r="Q178" s="31"/>
      <c r="R178" s="31"/>
      <c r="S178" s="66" t="s">
        <v>1023</v>
      </c>
    </row>
    <row r="179" spans="1:19" x14ac:dyDescent="0.15">
      <c r="A179">
        <v>115021</v>
      </c>
      <c r="B179" s="66" t="str">
        <f>D_奖励表!B170</f>
        <v>挑战Boss-比利</v>
      </c>
      <c r="C179" s="67">
        <f t="shared" si="59"/>
        <v>2</v>
      </c>
      <c r="D179" s="66" t="str">
        <f>IF(E179="","",VLOOKUP(E179,引用表合并!$A:$B,2,FALSE))</f>
        <v>马仔碎片(比利)</v>
      </c>
      <c r="E179" s="31">
        <v>78103</v>
      </c>
      <c r="F179" s="31">
        <v>7</v>
      </c>
      <c r="G179" s="66">
        <v>5000</v>
      </c>
      <c r="H179" s="66" t="str">
        <f>IF(I179="","",VLOOKUP(I179,引用表合并!$A:$B,2,FALSE))</f>
        <v>马仔碎片(比利)</v>
      </c>
      <c r="I179" s="31">
        <v>78103</v>
      </c>
      <c r="J179" s="31">
        <v>6</v>
      </c>
      <c r="K179" s="66">
        <v>10000</v>
      </c>
      <c r="L179" s="66" t="str">
        <f>IF(M179="","",VLOOKUP(M179,引用表合并!$A:$B,2,FALSE))</f>
        <v/>
      </c>
      <c r="M179" s="31"/>
      <c r="P179" s="66" t="str">
        <f>IF(Q179="","",VLOOKUP(Q179,引用表合并!$A:$B,2,FALSE))</f>
        <v/>
      </c>
      <c r="Q179" s="31"/>
      <c r="S179" s="66" t="s">
        <v>1023</v>
      </c>
    </row>
    <row r="180" spans="1:19" x14ac:dyDescent="0.15">
      <c r="A180">
        <v>115022</v>
      </c>
      <c r="B180" s="66" t="str">
        <f>D_奖励表!B171</f>
        <v>挑战Boss-比利</v>
      </c>
      <c r="C180" s="67">
        <f t="shared" si="59"/>
        <v>3</v>
      </c>
      <c r="D180" s="66" t="str">
        <f>IF(E180="","",VLOOKUP(E180,引用表合并!$A:$B,2,FALSE))</f>
        <v>马仔碎片(比利)</v>
      </c>
      <c r="E180" s="31">
        <v>78103</v>
      </c>
      <c r="F180" s="31">
        <v>7</v>
      </c>
      <c r="G180" s="66">
        <v>5000</v>
      </c>
      <c r="H180" s="66" t="str">
        <f>IF(I180="","",VLOOKUP(I180,引用表合并!$A:$B,2,FALSE))</f>
        <v>马仔碎片(比利)</v>
      </c>
      <c r="I180" s="31">
        <v>78103</v>
      </c>
      <c r="J180" s="31">
        <v>6</v>
      </c>
      <c r="K180" s="66">
        <v>8000</v>
      </c>
      <c r="L180" s="66" t="str">
        <f>IF(M180="","",VLOOKUP(M180,引用表合并!$A:$B,2,FALSE))</f>
        <v>马仔碎片(比利)</v>
      </c>
      <c r="M180" s="31">
        <v>78103</v>
      </c>
      <c r="N180" s="66">
        <v>8</v>
      </c>
      <c r="O180" s="66">
        <v>10000</v>
      </c>
      <c r="P180" s="66" t="str">
        <f>IF(Q180="","",VLOOKUP(Q180,引用表合并!$A:$B,2,FALSE))</f>
        <v/>
      </c>
      <c r="Q180" s="31"/>
      <c r="S180" s="66" t="s">
        <v>1023</v>
      </c>
    </row>
    <row r="181" spans="1:19" x14ac:dyDescent="0.15">
      <c r="A181">
        <v>115023</v>
      </c>
      <c r="B181" s="66" t="str">
        <f>D_奖励表!B172</f>
        <v>挑战Boss-比利</v>
      </c>
      <c r="C181" s="67">
        <f t="shared" si="59"/>
        <v>3</v>
      </c>
      <c r="D181" s="66" t="str">
        <f>IF(E181="","",VLOOKUP(E181,引用表合并!$A:$B,2,FALSE))</f>
        <v>马仔碎片(比利)</v>
      </c>
      <c r="E181" s="31">
        <v>78103</v>
      </c>
      <c r="F181" s="31">
        <v>7</v>
      </c>
      <c r="G181" s="66">
        <v>5000</v>
      </c>
      <c r="H181" s="66" t="str">
        <f>IF(I181="","",VLOOKUP(I181,引用表合并!$A:$B,2,FALSE))</f>
        <v>马仔碎片(比利)</v>
      </c>
      <c r="I181" s="31">
        <v>78103</v>
      </c>
      <c r="J181" s="31">
        <v>6</v>
      </c>
      <c r="K181" s="66">
        <v>7000</v>
      </c>
      <c r="L181" s="66" t="str">
        <f>IF(M181="","",VLOOKUP(M181,引用表合并!$A:$B,2,FALSE))</f>
        <v>马仔碎片(比利)</v>
      </c>
      <c r="M181" s="31">
        <v>78103</v>
      </c>
      <c r="N181" s="66">
        <v>8</v>
      </c>
      <c r="O181" s="66">
        <v>10000</v>
      </c>
      <c r="P181" s="66" t="str">
        <f>IF(Q181="","",VLOOKUP(Q181,引用表合并!$A:$B,2,FALSE))</f>
        <v/>
      </c>
      <c r="Q181" s="31"/>
      <c r="S181" s="66" t="s">
        <v>1023</v>
      </c>
    </row>
    <row r="182" spans="1:19" x14ac:dyDescent="0.15">
      <c r="A182">
        <v>115024</v>
      </c>
      <c r="B182" s="66" t="str">
        <f>D_奖励表!B173</f>
        <v>挑战Boss-比利</v>
      </c>
      <c r="C182" s="67">
        <f t="shared" si="59"/>
        <v>2</v>
      </c>
      <c r="D182" s="66" t="str">
        <f>IF(E182="","",VLOOKUP(E182,引用表合并!$A:$B,2,FALSE))</f>
        <v>马仔碎片(比利)</v>
      </c>
      <c r="E182" s="31">
        <v>78103</v>
      </c>
      <c r="F182" s="31">
        <v>7</v>
      </c>
      <c r="G182" s="66">
        <v>4000</v>
      </c>
      <c r="H182" s="66" t="str">
        <f>IF(I182="","",VLOOKUP(I182,引用表合并!$A:$B,2,FALSE))</f>
        <v>马仔碎片(比利)</v>
      </c>
      <c r="I182" s="31">
        <v>78103</v>
      </c>
      <c r="J182" s="31">
        <v>8</v>
      </c>
      <c r="K182" s="66">
        <v>10000</v>
      </c>
      <c r="L182" s="66" t="str">
        <f>IF(M182="","",VLOOKUP(M182,引用表合并!$A:$B,2,FALSE))</f>
        <v/>
      </c>
      <c r="M182" s="31"/>
      <c r="P182" s="66" t="str">
        <f>IF(Q182="","",VLOOKUP(Q182,引用表合并!$A:$B,2,FALSE))</f>
        <v/>
      </c>
      <c r="Q182" s="31"/>
      <c r="S182" s="66" t="s">
        <v>1023</v>
      </c>
    </row>
    <row r="183" spans="1:19" x14ac:dyDescent="0.15">
      <c r="A183">
        <v>115025</v>
      </c>
      <c r="B183" s="66" t="str">
        <f>D_奖励表!B174</f>
        <v>挑战Boss-比利</v>
      </c>
      <c r="C183" s="67">
        <f t="shared" si="59"/>
        <v>3</v>
      </c>
      <c r="D183" s="66" t="str">
        <f>IF(E183="","",VLOOKUP(E183,引用表合并!$A:$B,2,FALSE))</f>
        <v>马仔碎片(比利)</v>
      </c>
      <c r="E183" s="31">
        <v>78103</v>
      </c>
      <c r="F183" s="31">
        <v>8</v>
      </c>
      <c r="G183" s="66">
        <v>5000</v>
      </c>
      <c r="H183" s="66" t="str">
        <f>IF(I183="","",VLOOKUP(I183,引用表合并!$A:$B,2,FALSE))</f>
        <v>马仔碎片(比利)</v>
      </c>
      <c r="I183" s="31">
        <v>78103</v>
      </c>
      <c r="J183" s="31">
        <v>7</v>
      </c>
      <c r="K183" s="66">
        <v>7000</v>
      </c>
      <c r="L183" s="66" t="str">
        <f>IF(M183="","",VLOOKUP(M183,引用表合并!$A:$B,2,FALSE))</f>
        <v>马仔碎片(比利)</v>
      </c>
      <c r="M183" s="31">
        <v>78103</v>
      </c>
      <c r="N183" s="31">
        <v>9</v>
      </c>
      <c r="O183" s="66">
        <v>10000</v>
      </c>
      <c r="P183" s="66" t="str">
        <f>IF(Q183="","",VLOOKUP(Q183,引用表合并!$A:$B,2,FALSE))</f>
        <v/>
      </c>
      <c r="Q183" s="31"/>
      <c r="S183" s="66" t="s">
        <v>1023</v>
      </c>
    </row>
    <row r="184" spans="1:19" x14ac:dyDescent="0.15">
      <c r="A184">
        <v>115026</v>
      </c>
      <c r="B184" s="66" t="str">
        <f>D_奖励表!B175</f>
        <v>挑战Boss-比利</v>
      </c>
      <c r="C184" s="67">
        <f t="shared" si="59"/>
        <v>3</v>
      </c>
      <c r="D184" s="66" t="str">
        <f>IF(E184="","",VLOOKUP(E184,引用表合并!$A:$B,2,FALSE))</f>
        <v>马仔碎片(比利)</v>
      </c>
      <c r="E184" s="31">
        <v>78103</v>
      </c>
      <c r="F184" s="31">
        <v>9</v>
      </c>
      <c r="G184" s="66">
        <v>4000</v>
      </c>
      <c r="H184" s="66" t="str">
        <f>IF(I184="","",VLOOKUP(I184,引用表合并!$A:$B,2,FALSE))</f>
        <v>马仔碎片(比利)</v>
      </c>
      <c r="I184" s="31">
        <v>78103</v>
      </c>
      <c r="J184" s="31">
        <v>8</v>
      </c>
      <c r="K184" s="66">
        <v>7000</v>
      </c>
      <c r="L184" s="66" t="str">
        <f>IF(M184="","",VLOOKUP(M184,引用表合并!$A:$B,2,FALSE))</f>
        <v>马仔碎片(比利)</v>
      </c>
      <c r="M184" s="31">
        <v>78103</v>
      </c>
      <c r="N184" s="66">
        <v>10</v>
      </c>
      <c r="O184" s="66">
        <v>10000</v>
      </c>
      <c r="P184" s="66" t="str">
        <f>IF(Q184="","",VLOOKUP(Q184,引用表合并!$A:$B,2,FALSE))</f>
        <v/>
      </c>
      <c r="Q184" s="31"/>
      <c r="S184" s="66" t="s">
        <v>1023</v>
      </c>
    </row>
    <row r="185" spans="1:19" x14ac:dyDescent="0.15">
      <c r="A185">
        <v>115027</v>
      </c>
      <c r="B185" s="66" t="str">
        <f>D_奖励表!B176</f>
        <v>挑战Boss-比利</v>
      </c>
      <c r="C185" s="67">
        <f t="shared" si="59"/>
        <v>4</v>
      </c>
      <c r="D185" s="66" t="str">
        <f>IF(E185="","",VLOOKUP(E185,引用表合并!$A:$B,2,FALSE))</f>
        <v>马仔碎片(比利)</v>
      </c>
      <c r="E185" s="31">
        <v>78103</v>
      </c>
      <c r="F185" s="31">
        <v>10</v>
      </c>
      <c r="G185" s="66">
        <v>4000</v>
      </c>
      <c r="H185" s="66" t="str">
        <f>IF(I185="","",VLOOKUP(I185,引用表合并!$A:$B,2,FALSE))</f>
        <v>马仔碎片(比利)</v>
      </c>
      <c r="I185" s="31">
        <v>78103</v>
      </c>
      <c r="J185" s="31">
        <v>8</v>
      </c>
      <c r="K185" s="66">
        <v>6000</v>
      </c>
      <c r="L185" s="66" t="str">
        <f>IF(M185="","",VLOOKUP(M185,引用表合并!$A:$B,2,FALSE))</f>
        <v>马仔碎片(比利)</v>
      </c>
      <c r="M185" s="31">
        <v>78103</v>
      </c>
      <c r="N185" s="31">
        <v>9</v>
      </c>
      <c r="O185" s="66">
        <v>8000</v>
      </c>
      <c r="P185" s="66" t="str">
        <f>IF(Q185="","",VLOOKUP(Q185,引用表合并!$A:$B,2,FALSE))</f>
        <v>马仔碎片(比利)</v>
      </c>
      <c r="Q185" s="31">
        <v>78103</v>
      </c>
      <c r="R185" s="31">
        <v>11</v>
      </c>
      <c r="S185" s="66">
        <v>10000</v>
      </c>
    </row>
    <row r="186" spans="1:19" x14ac:dyDescent="0.15">
      <c r="A186">
        <v>115028</v>
      </c>
      <c r="B186" s="66" t="str">
        <f>D_奖励表!B177</f>
        <v>挑战Boss-比利</v>
      </c>
      <c r="C186" s="67">
        <f t="shared" si="59"/>
        <v>4</v>
      </c>
      <c r="D186" s="66" t="str">
        <f>IF(E186="","",VLOOKUP(E186,引用表合并!$A:$B,2,FALSE))</f>
        <v>马仔碎片(比利)</v>
      </c>
      <c r="E186" s="31">
        <v>78103</v>
      </c>
      <c r="F186" s="31">
        <v>11</v>
      </c>
      <c r="G186" s="66">
        <v>4000</v>
      </c>
      <c r="H186" s="66" t="str">
        <f>IF(I186="","",VLOOKUP(I186,引用表合并!$A:$B,2,FALSE))</f>
        <v>马仔碎片(比利)</v>
      </c>
      <c r="I186" s="31">
        <v>78103</v>
      </c>
      <c r="J186" s="31">
        <v>9</v>
      </c>
      <c r="K186" s="66">
        <v>6000</v>
      </c>
      <c r="L186" s="66" t="str">
        <f>IF(M186="","",VLOOKUP(M186,引用表合并!$A:$B,2,FALSE))</f>
        <v>马仔碎片(比利)</v>
      </c>
      <c r="M186" s="31">
        <v>78103</v>
      </c>
      <c r="N186" s="31">
        <v>10</v>
      </c>
      <c r="O186" s="66">
        <v>8000</v>
      </c>
      <c r="P186" s="66" t="str">
        <f>IF(Q186="","",VLOOKUP(Q186,引用表合并!$A:$B,2,FALSE))</f>
        <v>马仔碎片(比利)</v>
      </c>
      <c r="Q186" s="31">
        <v>78103</v>
      </c>
      <c r="R186" s="31">
        <v>12</v>
      </c>
      <c r="S186" s="66">
        <v>10000</v>
      </c>
    </row>
    <row r="187" spans="1:19" x14ac:dyDescent="0.15">
      <c r="A187">
        <v>115029</v>
      </c>
      <c r="B187" s="66" t="str">
        <f>D_奖励表!B178</f>
        <v>挑战Boss-比利</v>
      </c>
      <c r="C187" s="67">
        <f t="shared" si="59"/>
        <v>4</v>
      </c>
      <c r="D187" s="66" t="str">
        <f>IF(E187="","",VLOOKUP(E187,引用表合并!$A:$B,2,FALSE))</f>
        <v>马仔碎片(比利)</v>
      </c>
      <c r="E187" s="31">
        <v>78103</v>
      </c>
      <c r="F187" s="31">
        <v>12</v>
      </c>
      <c r="G187" s="66">
        <v>4000</v>
      </c>
      <c r="H187" s="66" t="str">
        <f>IF(I187="","",VLOOKUP(I187,引用表合并!$A:$B,2,FALSE))</f>
        <v>马仔碎片(比利)</v>
      </c>
      <c r="I187" s="31">
        <v>78103</v>
      </c>
      <c r="J187" s="31">
        <v>10</v>
      </c>
      <c r="K187" s="66">
        <v>6000</v>
      </c>
      <c r="L187" s="66" t="str">
        <f>IF(M187="","",VLOOKUP(M187,引用表合并!$A:$B,2,FALSE))</f>
        <v>马仔碎片(比利)</v>
      </c>
      <c r="M187" s="31">
        <v>78103</v>
      </c>
      <c r="N187" s="31">
        <v>11</v>
      </c>
      <c r="O187" s="66">
        <v>8000</v>
      </c>
      <c r="P187" s="66" t="str">
        <f>IF(Q187="","",VLOOKUP(Q187,引用表合并!$A:$B,2,FALSE))</f>
        <v>马仔碎片(比利)</v>
      </c>
      <c r="Q187" s="31">
        <v>78103</v>
      </c>
      <c r="R187" s="31">
        <v>12</v>
      </c>
      <c r="S187" s="66">
        <v>10000</v>
      </c>
    </row>
    <row r="188" spans="1:19" x14ac:dyDescent="0.15">
      <c r="A188">
        <v>115030</v>
      </c>
      <c r="B188" s="66" t="str">
        <f>D_奖励表!B179</f>
        <v>挑战Boss-靓坤</v>
      </c>
      <c r="C188" s="67">
        <f t="shared" si="59"/>
        <v>1</v>
      </c>
      <c r="D188" s="66" t="str">
        <f>IF(E188="","",VLOOKUP(E188,引用表合并!$A:$B,2,FALSE))</f>
        <v>马仔碎片(靓坤)</v>
      </c>
      <c r="E188" s="31">
        <v>78106</v>
      </c>
      <c r="F188" s="31">
        <v>4</v>
      </c>
      <c r="G188" s="66">
        <v>10000</v>
      </c>
      <c r="H188" s="66" t="str">
        <f>IF(I188="","",VLOOKUP(I188,引用表合并!$A:$B,2,FALSE))</f>
        <v/>
      </c>
      <c r="I188" s="31"/>
      <c r="J188" s="31"/>
      <c r="L188" s="66" t="str">
        <f>IF(M188="","",VLOOKUP(M188,引用表合并!$A:$B,2,FALSE))</f>
        <v/>
      </c>
      <c r="M188" s="31"/>
      <c r="P188" s="66" t="str">
        <f>IF(Q188="","",VLOOKUP(Q188,引用表合并!$A:$B,2,FALSE))</f>
        <v/>
      </c>
      <c r="Q188" s="31"/>
      <c r="R188" s="31"/>
      <c r="S188" s="66" t="s">
        <v>1023</v>
      </c>
    </row>
    <row r="189" spans="1:19" x14ac:dyDescent="0.15">
      <c r="A189">
        <v>115031</v>
      </c>
      <c r="B189" s="66" t="str">
        <f>D_奖励表!B180</f>
        <v>挑战Boss-靓坤</v>
      </c>
      <c r="C189" s="67">
        <f t="shared" si="59"/>
        <v>2</v>
      </c>
      <c r="D189" s="66" t="str">
        <f>IF(E189="","",VLOOKUP(E189,引用表合并!$A:$B,2,FALSE))</f>
        <v>马仔碎片(靓坤)</v>
      </c>
      <c r="E189" s="31">
        <v>78106</v>
      </c>
      <c r="F189" s="31">
        <v>7</v>
      </c>
      <c r="G189" s="66">
        <v>5000</v>
      </c>
      <c r="H189" s="66" t="str">
        <f>IF(I189="","",VLOOKUP(I189,引用表合并!$A:$B,2,FALSE))</f>
        <v>马仔碎片(靓坤)</v>
      </c>
      <c r="I189" s="31">
        <v>78106</v>
      </c>
      <c r="J189" s="31">
        <v>6</v>
      </c>
      <c r="K189" s="66">
        <v>10000</v>
      </c>
      <c r="L189" s="66" t="str">
        <f>IF(M189="","",VLOOKUP(M189,引用表合并!$A:$B,2,FALSE))</f>
        <v/>
      </c>
      <c r="M189" s="31"/>
      <c r="P189" s="66" t="str">
        <f>IF(Q189="","",VLOOKUP(Q189,引用表合并!$A:$B,2,FALSE))</f>
        <v/>
      </c>
      <c r="Q189" s="31"/>
      <c r="S189" s="66" t="s">
        <v>1023</v>
      </c>
    </row>
    <row r="190" spans="1:19" x14ac:dyDescent="0.15">
      <c r="A190">
        <v>115032</v>
      </c>
      <c r="B190" s="66" t="str">
        <f>D_奖励表!B181</f>
        <v>挑战Boss-靓坤</v>
      </c>
      <c r="C190" s="67">
        <f t="shared" si="59"/>
        <v>3</v>
      </c>
      <c r="D190" s="66" t="str">
        <f>IF(E190="","",VLOOKUP(E190,引用表合并!$A:$B,2,FALSE))</f>
        <v>马仔碎片(靓坤)</v>
      </c>
      <c r="E190" s="31">
        <v>78106</v>
      </c>
      <c r="F190" s="31">
        <v>7</v>
      </c>
      <c r="G190" s="66">
        <v>5000</v>
      </c>
      <c r="H190" s="66" t="str">
        <f>IF(I190="","",VLOOKUP(I190,引用表合并!$A:$B,2,FALSE))</f>
        <v>马仔碎片(靓坤)</v>
      </c>
      <c r="I190" s="31">
        <v>78106</v>
      </c>
      <c r="J190" s="31">
        <v>6</v>
      </c>
      <c r="K190" s="66">
        <v>8000</v>
      </c>
      <c r="L190" s="66" t="str">
        <f>IF(M190="","",VLOOKUP(M190,引用表合并!$A:$B,2,FALSE))</f>
        <v>马仔碎片(靓坤)</v>
      </c>
      <c r="M190" s="31">
        <v>78106</v>
      </c>
      <c r="N190" s="66">
        <v>8</v>
      </c>
      <c r="O190" s="66">
        <v>10000</v>
      </c>
      <c r="P190" s="66" t="str">
        <f>IF(Q190="","",VLOOKUP(Q190,引用表合并!$A:$B,2,FALSE))</f>
        <v/>
      </c>
      <c r="Q190" s="31"/>
      <c r="S190" s="66" t="s">
        <v>1023</v>
      </c>
    </row>
    <row r="191" spans="1:19" x14ac:dyDescent="0.15">
      <c r="A191">
        <v>115033</v>
      </c>
      <c r="B191" s="66" t="str">
        <f>D_奖励表!B182</f>
        <v>挑战Boss-靓坤</v>
      </c>
      <c r="C191" s="67">
        <f t="shared" si="59"/>
        <v>3</v>
      </c>
      <c r="D191" s="66" t="str">
        <f>IF(E191="","",VLOOKUP(E191,引用表合并!$A:$B,2,FALSE))</f>
        <v>马仔碎片(靓坤)</v>
      </c>
      <c r="E191" s="31">
        <v>78106</v>
      </c>
      <c r="F191" s="31">
        <v>7</v>
      </c>
      <c r="G191" s="66">
        <v>5000</v>
      </c>
      <c r="H191" s="66" t="str">
        <f>IF(I191="","",VLOOKUP(I191,引用表合并!$A:$B,2,FALSE))</f>
        <v>马仔碎片(靓坤)</v>
      </c>
      <c r="I191" s="31">
        <v>78106</v>
      </c>
      <c r="J191" s="31">
        <v>6</v>
      </c>
      <c r="K191" s="66">
        <v>7000</v>
      </c>
      <c r="L191" s="66" t="str">
        <f>IF(M191="","",VLOOKUP(M191,引用表合并!$A:$B,2,FALSE))</f>
        <v>马仔碎片(靓坤)</v>
      </c>
      <c r="M191" s="31">
        <v>78106</v>
      </c>
      <c r="N191" s="66">
        <v>8</v>
      </c>
      <c r="O191" s="66">
        <v>10000</v>
      </c>
      <c r="P191" s="66" t="str">
        <f>IF(Q191="","",VLOOKUP(Q191,引用表合并!$A:$B,2,FALSE))</f>
        <v/>
      </c>
      <c r="Q191" s="31"/>
      <c r="S191" s="66" t="s">
        <v>1023</v>
      </c>
    </row>
    <row r="192" spans="1:19" x14ac:dyDescent="0.15">
      <c r="A192">
        <v>115034</v>
      </c>
      <c r="B192" s="66" t="str">
        <f>D_奖励表!B183</f>
        <v>挑战Boss-靓坤</v>
      </c>
      <c r="C192" s="67">
        <f t="shared" si="59"/>
        <v>2</v>
      </c>
      <c r="D192" s="66" t="str">
        <f>IF(E192="","",VLOOKUP(E192,引用表合并!$A:$B,2,FALSE))</f>
        <v>马仔碎片(靓坤)</v>
      </c>
      <c r="E192" s="31">
        <v>78106</v>
      </c>
      <c r="F192" s="31">
        <v>7</v>
      </c>
      <c r="G192" s="66">
        <v>4000</v>
      </c>
      <c r="H192" s="66" t="str">
        <f>IF(I192="","",VLOOKUP(I192,引用表合并!$A:$B,2,FALSE))</f>
        <v>马仔碎片(靓坤)</v>
      </c>
      <c r="I192" s="31">
        <v>78106</v>
      </c>
      <c r="J192" s="31">
        <v>8</v>
      </c>
      <c r="K192" s="66">
        <v>10000</v>
      </c>
      <c r="L192" s="66" t="str">
        <f>IF(M192="","",VLOOKUP(M192,引用表合并!$A:$B,2,FALSE))</f>
        <v/>
      </c>
      <c r="M192" s="31"/>
      <c r="P192" s="66" t="str">
        <f>IF(Q192="","",VLOOKUP(Q192,引用表合并!$A:$B,2,FALSE))</f>
        <v/>
      </c>
      <c r="Q192" s="31"/>
      <c r="S192" s="66" t="s">
        <v>1023</v>
      </c>
    </row>
    <row r="193" spans="1:19" x14ac:dyDescent="0.15">
      <c r="A193">
        <v>115035</v>
      </c>
      <c r="B193" s="66" t="str">
        <f>D_奖励表!B184</f>
        <v>挑战Boss-靓坤</v>
      </c>
      <c r="C193" s="67">
        <f t="shared" si="59"/>
        <v>3</v>
      </c>
      <c r="D193" s="66" t="str">
        <f>IF(E193="","",VLOOKUP(E193,引用表合并!$A:$B,2,FALSE))</f>
        <v>马仔碎片(靓坤)</v>
      </c>
      <c r="E193" s="31">
        <v>78106</v>
      </c>
      <c r="F193" s="31">
        <v>8</v>
      </c>
      <c r="G193" s="66">
        <v>5000</v>
      </c>
      <c r="H193" s="66" t="str">
        <f>IF(I193="","",VLOOKUP(I193,引用表合并!$A:$B,2,FALSE))</f>
        <v>马仔碎片(靓坤)</v>
      </c>
      <c r="I193" s="31">
        <v>78106</v>
      </c>
      <c r="J193" s="31">
        <v>7</v>
      </c>
      <c r="K193" s="66">
        <v>7000</v>
      </c>
      <c r="L193" s="66" t="str">
        <f>IF(M193="","",VLOOKUP(M193,引用表合并!$A:$B,2,FALSE))</f>
        <v>马仔碎片(靓坤)</v>
      </c>
      <c r="M193" s="31">
        <v>78106</v>
      </c>
      <c r="N193" s="31">
        <v>9</v>
      </c>
      <c r="O193" s="66">
        <v>10000</v>
      </c>
      <c r="P193" s="66" t="str">
        <f>IF(Q193="","",VLOOKUP(Q193,引用表合并!$A:$B,2,FALSE))</f>
        <v/>
      </c>
      <c r="Q193" s="31"/>
      <c r="S193" s="66" t="s">
        <v>1023</v>
      </c>
    </row>
    <row r="194" spans="1:19" x14ac:dyDescent="0.15">
      <c r="A194">
        <v>115036</v>
      </c>
      <c r="B194" s="66" t="str">
        <f>D_奖励表!B185</f>
        <v>挑战Boss-靓坤</v>
      </c>
      <c r="C194" s="67">
        <f t="shared" si="59"/>
        <v>3</v>
      </c>
      <c r="D194" s="66" t="str">
        <f>IF(E194="","",VLOOKUP(E194,引用表合并!$A:$B,2,FALSE))</f>
        <v>马仔碎片(靓坤)</v>
      </c>
      <c r="E194" s="31">
        <v>78106</v>
      </c>
      <c r="F194" s="31">
        <v>9</v>
      </c>
      <c r="G194" s="66">
        <v>4000</v>
      </c>
      <c r="H194" s="66" t="str">
        <f>IF(I194="","",VLOOKUP(I194,引用表合并!$A:$B,2,FALSE))</f>
        <v>马仔碎片(靓坤)</v>
      </c>
      <c r="I194" s="31">
        <v>78106</v>
      </c>
      <c r="J194" s="31">
        <v>8</v>
      </c>
      <c r="K194" s="66">
        <v>7000</v>
      </c>
      <c r="L194" s="66" t="str">
        <f>IF(M194="","",VLOOKUP(M194,引用表合并!$A:$B,2,FALSE))</f>
        <v>马仔碎片(靓坤)</v>
      </c>
      <c r="M194" s="31">
        <v>78106</v>
      </c>
      <c r="N194" s="66">
        <v>10</v>
      </c>
      <c r="O194" s="66">
        <v>10000</v>
      </c>
      <c r="P194" s="66" t="str">
        <f>IF(Q194="","",VLOOKUP(Q194,引用表合并!$A:$B,2,FALSE))</f>
        <v/>
      </c>
      <c r="Q194" s="31"/>
      <c r="S194" s="66" t="s">
        <v>1023</v>
      </c>
    </row>
    <row r="195" spans="1:19" x14ac:dyDescent="0.15">
      <c r="A195">
        <v>115037</v>
      </c>
      <c r="B195" s="66" t="str">
        <f>D_奖励表!B186</f>
        <v>挑战Boss-靓坤</v>
      </c>
      <c r="C195" s="67">
        <f t="shared" si="59"/>
        <v>4</v>
      </c>
      <c r="D195" s="66" t="str">
        <f>IF(E195="","",VLOOKUP(E195,引用表合并!$A:$B,2,FALSE))</f>
        <v>马仔碎片(靓坤)</v>
      </c>
      <c r="E195" s="31">
        <v>78106</v>
      </c>
      <c r="F195" s="31">
        <v>10</v>
      </c>
      <c r="G195" s="66">
        <v>4000</v>
      </c>
      <c r="H195" s="66" t="str">
        <f>IF(I195="","",VLOOKUP(I195,引用表合并!$A:$B,2,FALSE))</f>
        <v>马仔碎片(靓坤)</v>
      </c>
      <c r="I195" s="31">
        <v>78106</v>
      </c>
      <c r="J195" s="31">
        <v>8</v>
      </c>
      <c r="K195" s="66">
        <v>6000</v>
      </c>
      <c r="L195" s="66" t="str">
        <f>IF(M195="","",VLOOKUP(M195,引用表合并!$A:$B,2,FALSE))</f>
        <v>马仔碎片(靓坤)</v>
      </c>
      <c r="M195" s="31">
        <v>78106</v>
      </c>
      <c r="N195" s="31">
        <v>9</v>
      </c>
      <c r="O195" s="66">
        <v>8000</v>
      </c>
      <c r="P195" s="66" t="str">
        <f>IF(Q195="","",VLOOKUP(Q195,引用表合并!$A:$B,2,FALSE))</f>
        <v>马仔碎片(靓坤)</v>
      </c>
      <c r="Q195" s="31">
        <v>78106</v>
      </c>
      <c r="R195" s="31">
        <v>11</v>
      </c>
      <c r="S195" s="66">
        <v>10000</v>
      </c>
    </row>
    <row r="196" spans="1:19" x14ac:dyDescent="0.15">
      <c r="A196">
        <v>115038</v>
      </c>
      <c r="B196" s="66" t="str">
        <f>D_奖励表!B187</f>
        <v>挑战Boss-靓坤</v>
      </c>
      <c r="C196" s="67">
        <f t="shared" si="59"/>
        <v>4</v>
      </c>
      <c r="D196" s="66" t="str">
        <f>IF(E196="","",VLOOKUP(E196,引用表合并!$A:$B,2,FALSE))</f>
        <v>马仔碎片(靓坤)</v>
      </c>
      <c r="E196" s="31">
        <v>78106</v>
      </c>
      <c r="F196" s="31">
        <v>11</v>
      </c>
      <c r="G196" s="66">
        <v>4000</v>
      </c>
      <c r="H196" s="66" t="str">
        <f>IF(I196="","",VLOOKUP(I196,引用表合并!$A:$B,2,FALSE))</f>
        <v>马仔碎片(靓坤)</v>
      </c>
      <c r="I196" s="31">
        <v>78106</v>
      </c>
      <c r="J196" s="31">
        <v>9</v>
      </c>
      <c r="K196" s="66">
        <v>6000</v>
      </c>
      <c r="L196" s="66" t="str">
        <f>IF(M196="","",VLOOKUP(M196,引用表合并!$A:$B,2,FALSE))</f>
        <v>马仔碎片(靓坤)</v>
      </c>
      <c r="M196" s="31">
        <v>78106</v>
      </c>
      <c r="N196" s="31">
        <v>10</v>
      </c>
      <c r="O196" s="66">
        <v>8000</v>
      </c>
      <c r="P196" s="66" t="str">
        <f>IF(Q196="","",VLOOKUP(Q196,引用表合并!$A:$B,2,FALSE))</f>
        <v>马仔碎片(靓坤)</v>
      </c>
      <c r="Q196" s="31">
        <v>78106</v>
      </c>
      <c r="R196" s="31">
        <v>12</v>
      </c>
      <c r="S196" s="66">
        <v>10000</v>
      </c>
    </row>
    <row r="197" spans="1:19" x14ac:dyDescent="0.15">
      <c r="A197">
        <v>115039</v>
      </c>
      <c r="B197" s="66" t="str">
        <f>D_奖励表!B188</f>
        <v>挑战Boss-靓坤</v>
      </c>
      <c r="C197" s="67">
        <f t="shared" si="59"/>
        <v>4</v>
      </c>
      <c r="D197" s="66" t="str">
        <f>IF(E197="","",VLOOKUP(E197,引用表合并!$A:$B,2,FALSE))</f>
        <v>马仔碎片(靓坤)</v>
      </c>
      <c r="E197" s="31">
        <v>78106</v>
      </c>
      <c r="F197" s="31">
        <v>12</v>
      </c>
      <c r="G197" s="66">
        <v>4000</v>
      </c>
      <c r="H197" s="66" t="str">
        <f>IF(I197="","",VLOOKUP(I197,引用表合并!$A:$B,2,FALSE))</f>
        <v>马仔碎片(靓坤)</v>
      </c>
      <c r="I197" s="31">
        <v>78106</v>
      </c>
      <c r="J197" s="31">
        <v>10</v>
      </c>
      <c r="K197" s="66">
        <v>6000</v>
      </c>
      <c r="L197" s="66" t="str">
        <f>IF(M197="","",VLOOKUP(M197,引用表合并!$A:$B,2,FALSE))</f>
        <v>马仔碎片(靓坤)</v>
      </c>
      <c r="M197" s="31">
        <v>78106</v>
      </c>
      <c r="N197" s="31">
        <v>11</v>
      </c>
      <c r="O197" s="66">
        <v>8000</v>
      </c>
      <c r="P197" s="66" t="str">
        <f>IF(Q197="","",VLOOKUP(Q197,引用表合并!$A:$B,2,FALSE))</f>
        <v>马仔碎片(靓坤)</v>
      </c>
      <c r="Q197" s="31">
        <v>78106</v>
      </c>
      <c r="R197" s="31">
        <v>12</v>
      </c>
      <c r="S197" s="66">
        <v>10000</v>
      </c>
    </row>
    <row r="198" spans="1:19" x14ac:dyDescent="0.15">
      <c r="A198">
        <v>115040</v>
      </c>
      <c r="B198" s="66" t="str">
        <f>D_奖励表!B189</f>
        <v>挑战Boss-雷复轰</v>
      </c>
      <c r="C198" s="67">
        <f t="shared" si="59"/>
        <v>1</v>
      </c>
      <c r="D198" s="66" t="str">
        <f>IF(E198="","",VLOOKUP(E198,引用表合并!$A:$B,2,FALSE))</f>
        <v>马仔碎片(雷复轰)</v>
      </c>
      <c r="E198" s="31">
        <v>78107</v>
      </c>
      <c r="F198" s="31">
        <v>4</v>
      </c>
      <c r="G198" s="66">
        <v>10000</v>
      </c>
      <c r="H198" s="66" t="str">
        <f>IF(I198="","",VLOOKUP(I198,引用表合并!$A:$B,2,FALSE))</f>
        <v/>
      </c>
      <c r="I198" s="31"/>
      <c r="J198" s="31"/>
      <c r="L198" s="66" t="str">
        <f>IF(M198="","",VLOOKUP(M198,引用表合并!$A:$B,2,FALSE))</f>
        <v/>
      </c>
      <c r="M198" s="31"/>
      <c r="P198" s="66" t="str">
        <f>IF(Q198="","",VLOOKUP(Q198,引用表合并!$A:$B,2,FALSE))</f>
        <v/>
      </c>
      <c r="Q198" s="31"/>
      <c r="R198" s="31"/>
      <c r="S198" s="66" t="s">
        <v>1023</v>
      </c>
    </row>
    <row r="199" spans="1:19" x14ac:dyDescent="0.15">
      <c r="A199">
        <v>115041</v>
      </c>
      <c r="B199" s="66" t="str">
        <f>D_奖励表!B190</f>
        <v>挑战Boss-雷复轰</v>
      </c>
      <c r="C199" s="67">
        <f t="shared" si="59"/>
        <v>2</v>
      </c>
      <c r="D199" s="66" t="str">
        <f>IF(E199="","",VLOOKUP(E199,引用表合并!$A:$B,2,FALSE))</f>
        <v>马仔碎片(雷复轰)</v>
      </c>
      <c r="E199" s="31">
        <v>78107</v>
      </c>
      <c r="F199" s="31">
        <v>7</v>
      </c>
      <c r="G199" s="66">
        <v>5000</v>
      </c>
      <c r="H199" s="66" t="str">
        <f>IF(I199="","",VLOOKUP(I199,引用表合并!$A:$B,2,FALSE))</f>
        <v>马仔碎片(雷复轰)</v>
      </c>
      <c r="I199" s="31">
        <v>78107</v>
      </c>
      <c r="J199" s="31">
        <v>6</v>
      </c>
      <c r="K199" s="66">
        <v>10000</v>
      </c>
      <c r="L199" s="66" t="str">
        <f>IF(M199="","",VLOOKUP(M199,引用表合并!$A:$B,2,FALSE))</f>
        <v/>
      </c>
      <c r="M199" s="31"/>
      <c r="P199" s="66" t="str">
        <f>IF(Q199="","",VLOOKUP(Q199,引用表合并!$A:$B,2,FALSE))</f>
        <v/>
      </c>
      <c r="Q199" s="31"/>
      <c r="S199" s="66" t="s">
        <v>1023</v>
      </c>
    </row>
    <row r="200" spans="1:19" x14ac:dyDescent="0.15">
      <c r="A200">
        <v>115042</v>
      </c>
      <c r="B200" s="66" t="str">
        <f>D_奖励表!B191</f>
        <v>挑战Boss-雷复轰</v>
      </c>
      <c r="C200" s="67">
        <f t="shared" si="59"/>
        <v>3</v>
      </c>
      <c r="D200" s="66" t="str">
        <f>IF(E200="","",VLOOKUP(E200,引用表合并!$A:$B,2,FALSE))</f>
        <v>马仔碎片(雷复轰)</v>
      </c>
      <c r="E200" s="31">
        <v>78107</v>
      </c>
      <c r="F200" s="31">
        <v>7</v>
      </c>
      <c r="G200" s="66">
        <v>5000</v>
      </c>
      <c r="H200" s="66" t="str">
        <f>IF(I200="","",VLOOKUP(I200,引用表合并!$A:$B,2,FALSE))</f>
        <v>马仔碎片(雷复轰)</v>
      </c>
      <c r="I200" s="31">
        <v>78107</v>
      </c>
      <c r="J200" s="31">
        <v>6</v>
      </c>
      <c r="K200" s="66">
        <v>8000</v>
      </c>
      <c r="L200" s="66" t="str">
        <f>IF(M200="","",VLOOKUP(M200,引用表合并!$A:$B,2,FALSE))</f>
        <v>马仔碎片(雷复轰)</v>
      </c>
      <c r="M200" s="31">
        <v>78107</v>
      </c>
      <c r="N200" s="66">
        <v>8</v>
      </c>
      <c r="O200" s="66">
        <v>10000</v>
      </c>
      <c r="P200" s="66" t="str">
        <f>IF(Q200="","",VLOOKUP(Q200,引用表合并!$A:$B,2,FALSE))</f>
        <v/>
      </c>
      <c r="Q200" s="31"/>
      <c r="S200" s="66" t="s">
        <v>1023</v>
      </c>
    </row>
    <row r="201" spans="1:19" x14ac:dyDescent="0.15">
      <c r="A201">
        <v>115043</v>
      </c>
      <c r="B201" s="66" t="str">
        <f>D_奖励表!B192</f>
        <v>挑战Boss-雷复轰</v>
      </c>
      <c r="C201" s="67">
        <f t="shared" si="59"/>
        <v>3</v>
      </c>
      <c r="D201" s="66" t="str">
        <f>IF(E201="","",VLOOKUP(E201,引用表合并!$A:$B,2,FALSE))</f>
        <v>马仔碎片(雷复轰)</v>
      </c>
      <c r="E201" s="31">
        <v>78107</v>
      </c>
      <c r="F201" s="31">
        <v>7</v>
      </c>
      <c r="G201" s="66">
        <v>5000</v>
      </c>
      <c r="H201" s="66" t="str">
        <f>IF(I201="","",VLOOKUP(I201,引用表合并!$A:$B,2,FALSE))</f>
        <v>马仔碎片(雷复轰)</v>
      </c>
      <c r="I201" s="31">
        <v>78107</v>
      </c>
      <c r="J201" s="31">
        <v>6</v>
      </c>
      <c r="K201" s="66">
        <v>7000</v>
      </c>
      <c r="L201" s="66" t="str">
        <f>IF(M201="","",VLOOKUP(M201,引用表合并!$A:$B,2,FALSE))</f>
        <v>马仔碎片(雷复轰)</v>
      </c>
      <c r="M201" s="31">
        <v>78107</v>
      </c>
      <c r="N201" s="66">
        <v>8</v>
      </c>
      <c r="O201" s="66">
        <v>10000</v>
      </c>
      <c r="P201" s="66" t="str">
        <f>IF(Q201="","",VLOOKUP(Q201,引用表合并!$A:$B,2,FALSE))</f>
        <v/>
      </c>
      <c r="Q201" s="31"/>
      <c r="S201" s="66" t="s">
        <v>1023</v>
      </c>
    </row>
    <row r="202" spans="1:19" x14ac:dyDescent="0.15">
      <c r="A202">
        <v>115044</v>
      </c>
      <c r="B202" s="66" t="str">
        <f>D_奖励表!B193</f>
        <v>挑战Boss-雷复轰</v>
      </c>
      <c r="C202" s="67">
        <f t="shared" si="59"/>
        <v>2</v>
      </c>
      <c r="D202" s="66" t="str">
        <f>IF(E202="","",VLOOKUP(E202,引用表合并!$A:$B,2,FALSE))</f>
        <v>马仔碎片(雷复轰)</v>
      </c>
      <c r="E202" s="31">
        <v>78107</v>
      </c>
      <c r="F202" s="31">
        <v>7</v>
      </c>
      <c r="G202" s="66">
        <v>4000</v>
      </c>
      <c r="H202" s="66" t="str">
        <f>IF(I202="","",VLOOKUP(I202,引用表合并!$A:$B,2,FALSE))</f>
        <v>马仔碎片(雷复轰)</v>
      </c>
      <c r="I202" s="31">
        <v>78107</v>
      </c>
      <c r="J202" s="31">
        <v>8</v>
      </c>
      <c r="K202" s="66">
        <v>10000</v>
      </c>
      <c r="L202" s="66" t="str">
        <f>IF(M202="","",VLOOKUP(M202,引用表合并!$A:$B,2,FALSE))</f>
        <v/>
      </c>
      <c r="M202" s="31"/>
      <c r="P202" s="66" t="str">
        <f>IF(Q202="","",VLOOKUP(Q202,引用表合并!$A:$B,2,FALSE))</f>
        <v/>
      </c>
      <c r="Q202" s="31"/>
      <c r="S202" s="66" t="s">
        <v>1023</v>
      </c>
    </row>
    <row r="203" spans="1:19" x14ac:dyDescent="0.15">
      <c r="A203">
        <v>115045</v>
      </c>
      <c r="B203" s="66" t="str">
        <f>D_奖励表!B194</f>
        <v>挑战Boss-雷复轰</v>
      </c>
      <c r="C203" s="67">
        <f t="shared" si="59"/>
        <v>3</v>
      </c>
      <c r="D203" s="66" t="str">
        <f>IF(E203="","",VLOOKUP(E203,引用表合并!$A:$B,2,FALSE))</f>
        <v>马仔碎片(雷复轰)</v>
      </c>
      <c r="E203" s="31">
        <v>78107</v>
      </c>
      <c r="F203" s="31">
        <v>8</v>
      </c>
      <c r="G203" s="66">
        <v>5000</v>
      </c>
      <c r="H203" s="66" t="str">
        <f>IF(I203="","",VLOOKUP(I203,引用表合并!$A:$B,2,FALSE))</f>
        <v>马仔碎片(雷复轰)</v>
      </c>
      <c r="I203" s="31">
        <v>78107</v>
      </c>
      <c r="J203" s="31">
        <v>7</v>
      </c>
      <c r="K203" s="66">
        <v>7000</v>
      </c>
      <c r="L203" s="66" t="str">
        <f>IF(M203="","",VLOOKUP(M203,引用表合并!$A:$B,2,FALSE))</f>
        <v>马仔碎片(雷复轰)</v>
      </c>
      <c r="M203" s="31">
        <v>78107</v>
      </c>
      <c r="N203" s="31">
        <v>9</v>
      </c>
      <c r="O203" s="66">
        <v>10000</v>
      </c>
      <c r="P203" s="66" t="str">
        <f>IF(Q203="","",VLOOKUP(Q203,引用表合并!$A:$B,2,FALSE))</f>
        <v/>
      </c>
      <c r="Q203" s="31"/>
      <c r="S203" s="66" t="s">
        <v>1023</v>
      </c>
    </row>
    <row r="204" spans="1:19" x14ac:dyDescent="0.15">
      <c r="A204">
        <v>115046</v>
      </c>
      <c r="B204" s="66" t="str">
        <f>D_奖励表!B195</f>
        <v>挑战Boss-雷复轰</v>
      </c>
      <c r="C204" s="67">
        <f t="shared" si="59"/>
        <v>3</v>
      </c>
      <c r="D204" s="66" t="str">
        <f>IF(E204="","",VLOOKUP(E204,引用表合并!$A:$B,2,FALSE))</f>
        <v>马仔碎片(雷复轰)</v>
      </c>
      <c r="E204" s="31">
        <v>78107</v>
      </c>
      <c r="F204" s="31">
        <v>9</v>
      </c>
      <c r="G204" s="66">
        <v>4000</v>
      </c>
      <c r="H204" s="66" t="str">
        <f>IF(I204="","",VLOOKUP(I204,引用表合并!$A:$B,2,FALSE))</f>
        <v>马仔碎片(雷复轰)</v>
      </c>
      <c r="I204" s="31">
        <v>78107</v>
      </c>
      <c r="J204" s="31">
        <v>8</v>
      </c>
      <c r="K204" s="66">
        <v>7000</v>
      </c>
      <c r="L204" s="66" t="str">
        <f>IF(M204="","",VLOOKUP(M204,引用表合并!$A:$B,2,FALSE))</f>
        <v>马仔碎片(雷复轰)</v>
      </c>
      <c r="M204" s="31">
        <v>78107</v>
      </c>
      <c r="N204" s="66">
        <v>10</v>
      </c>
      <c r="O204" s="66">
        <v>10000</v>
      </c>
      <c r="P204" s="66" t="str">
        <f>IF(Q204="","",VLOOKUP(Q204,引用表合并!$A:$B,2,FALSE))</f>
        <v/>
      </c>
      <c r="Q204" s="31"/>
      <c r="S204" s="66" t="s">
        <v>1023</v>
      </c>
    </row>
    <row r="205" spans="1:19" x14ac:dyDescent="0.15">
      <c r="A205">
        <v>115047</v>
      </c>
      <c r="B205" s="66" t="str">
        <f>D_奖励表!B196</f>
        <v>挑战Boss-雷复轰</v>
      </c>
      <c r="C205" s="67">
        <f t="shared" si="59"/>
        <v>4</v>
      </c>
      <c r="D205" s="66" t="str">
        <f>IF(E205="","",VLOOKUP(E205,引用表合并!$A:$B,2,FALSE))</f>
        <v>马仔碎片(雷复轰)</v>
      </c>
      <c r="E205" s="31">
        <v>78107</v>
      </c>
      <c r="F205" s="31">
        <v>10</v>
      </c>
      <c r="G205" s="66">
        <v>4000</v>
      </c>
      <c r="H205" s="66" t="str">
        <f>IF(I205="","",VLOOKUP(I205,引用表合并!$A:$B,2,FALSE))</f>
        <v>马仔碎片(雷复轰)</v>
      </c>
      <c r="I205" s="31">
        <v>78107</v>
      </c>
      <c r="J205" s="31">
        <v>8</v>
      </c>
      <c r="K205" s="66">
        <v>6000</v>
      </c>
      <c r="L205" s="66" t="str">
        <f>IF(M205="","",VLOOKUP(M205,引用表合并!$A:$B,2,FALSE))</f>
        <v>马仔碎片(雷复轰)</v>
      </c>
      <c r="M205" s="31">
        <v>78107</v>
      </c>
      <c r="N205" s="31">
        <v>9</v>
      </c>
      <c r="O205" s="66">
        <v>8000</v>
      </c>
      <c r="P205" s="66" t="str">
        <f>IF(Q205="","",VLOOKUP(Q205,引用表合并!$A:$B,2,FALSE))</f>
        <v>马仔碎片(雷复轰)</v>
      </c>
      <c r="Q205" s="31">
        <v>78107</v>
      </c>
      <c r="R205" s="31">
        <v>11</v>
      </c>
      <c r="S205" s="66">
        <v>10000</v>
      </c>
    </row>
    <row r="206" spans="1:19" x14ac:dyDescent="0.15">
      <c r="A206">
        <v>115048</v>
      </c>
      <c r="B206" s="66" t="str">
        <f>D_奖励表!B197</f>
        <v>挑战Boss-雷复轰</v>
      </c>
      <c r="C206" s="67">
        <f t="shared" si="59"/>
        <v>4</v>
      </c>
      <c r="D206" s="66" t="str">
        <f>IF(E206="","",VLOOKUP(E206,引用表合并!$A:$B,2,FALSE))</f>
        <v>马仔碎片(雷复轰)</v>
      </c>
      <c r="E206" s="31">
        <v>78107</v>
      </c>
      <c r="F206" s="31">
        <v>11</v>
      </c>
      <c r="G206" s="66">
        <v>4000</v>
      </c>
      <c r="H206" s="66" t="str">
        <f>IF(I206="","",VLOOKUP(I206,引用表合并!$A:$B,2,FALSE))</f>
        <v>马仔碎片(雷复轰)</v>
      </c>
      <c r="I206" s="31">
        <v>78107</v>
      </c>
      <c r="J206" s="31">
        <v>9</v>
      </c>
      <c r="K206" s="66">
        <v>6000</v>
      </c>
      <c r="L206" s="66" t="str">
        <f>IF(M206="","",VLOOKUP(M206,引用表合并!$A:$B,2,FALSE))</f>
        <v>马仔碎片(雷复轰)</v>
      </c>
      <c r="M206" s="31">
        <v>78107</v>
      </c>
      <c r="N206" s="31">
        <v>10</v>
      </c>
      <c r="O206" s="66">
        <v>8000</v>
      </c>
      <c r="P206" s="66" t="str">
        <f>IF(Q206="","",VLOOKUP(Q206,引用表合并!$A:$B,2,FALSE))</f>
        <v>马仔碎片(雷复轰)</v>
      </c>
      <c r="Q206" s="31">
        <v>78107</v>
      </c>
      <c r="R206" s="31">
        <v>12</v>
      </c>
      <c r="S206" s="66">
        <v>10000</v>
      </c>
    </row>
    <row r="207" spans="1:19" x14ac:dyDescent="0.15">
      <c r="A207">
        <v>115049</v>
      </c>
      <c r="B207" s="66" t="str">
        <f>D_奖励表!B198</f>
        <v>挑战Boss-雷复轰</v>
      </c>
      <c r="C207" s="67">
        <f t="shared" si="59"/>
        <v>4</v>
      </c>
      <c r="D207" s="66" t="str">
        <f>IF(E207="","",VLOOKUP(E207,引用表合并!$A:$B,2,FALSE))</f>
        <v>马仔碎片(雷复轰)</v>
      </c>
      <c r="E207" s="31">
        <v>78107</v>
      </c>
      <c r="F207" s="31">
        <v>12</v>
      </c>
      <c r="G207" s="66">
        <v>4000</v>
      </c>
      <c r="H207" s="66" t="str">
        <f>IF(I207="","",VLOOKUP(I207,引用表合并!$A:$B,2,FALSE))</f>
        <v>马仔碎片(雷复轰)</v>
      </c>
      <c r="I207" s="31">
        <v>78107</v>
      </c>
      <c r="J207" s="31">
        <v>10</v>
      </c>
      <c r="K207" s="66">
        <v>6000</v>
      </c>
      <c r="L207" s="66" t="str">
        <f>IF(M207="","",VLOOKUP(M207,引用表合并!$A:$B,2,FALSE))</f>
        <v>马仔碎片(雷复轰)</v>
      </c>
      <c r="M207" s="31">
        <v>78107</v>
      </c>
      <c r="N207" s="31">
        <v>11</v>
      </c>
      <c r="O207" s="66">
        <v>8000</v>
      </c>
      <c r="P207" s="66" t="str">
        <f>IF(Q207="","",VLOOKUP(Q207,引用表合并!$A:$B,2,FALSE))</f>
        <v>马仔碎片(雷复轰)</v>
      </c>
      <c r="Q207" s="31">
        <v>78107</v>
      </c>
      <c r="R207" s="31">
        <v>12</v>
      </c>
      <c r="S207" s="66">
        <v>10000</v>
      </c>
    </row>
    <row r="208" spans="1:19" x14ac:dyDescent="0.15">
      <c r="A208">
        <v>115050</v>
      </c>
      <c r="B208" s="66" t="str">
        <f>D_奖励表!B199</f>
        <v>挑战Boss-肥仔</v>
      </c>
      <c r="C208" s="67">
        <f t="shared" si="59"/>
        <v>1</v>
      </c>
      <c r="D208" s="66" t="str">
        <f>IF(E208="","",VLOOKUP(E208,引用表合并!$A:$B,2,FALSE))</f>
        <v>马仔碎片(肥仔)</v>
      </c>
      <c r="E208" s="31">
        <v>78108</v>
      </c>
      <c r="F208" s="31">
        <v>4</v>
      </c>
      <c r="G208" s="66">
        <v>10000</v>
      </c>
      <c r="H208" s="66" t="str">
        <f>IF(I208="","",VLOOKUP(I208,引用表合并!$A:$B,2,FALSE))</f>
        <v/>
      </c>
      <c r="I208" s="31"/>
      <c r="J208" s="31"/>
      <c r="L208" s="66" t="str">
        <f>IF(M208="","",VLOOKUP(M208,引用表合并!$A:$B,2,FALSE))</f>
        <v/>
      </c>
      <c r="M208" s="31"/>
      <c r="P208" s="66" t="str">
        <f>IF(Q208="","",VLOOKUP(Q208,引用表合并!$A:$B,2,FALSE))</f>
        <v/>
      </c>
      <c r="Q208" s="31"/>
      <c r="R208" s="31"/>
      <c r="S208" s="66" t="s">
        <v>1023</v>
      </c>
    </row>
    <row r="209" spans="1:19" x14ac:dyDescent="0.15">
      <c r="A209">
        <v>115051</v>
      </c>
      <c r="B209" s="66" t="str">
        <f>D_奖励表!B200</f>
        <v>挑战Boss-肥仔</v>
      </c>
      <c r="C209" s="67">
        <f t="shared" si="59"/>
        <v>2</v>
      </c>
      <c r="D209" s="66" t="str">
        <f>IF(E209="","",VLOOKUP(E209,引用表合并!$A:$B,2,FALSE))</f>
        <v>马仔碎片(肥仔)</v>
      </c>
      <c r="E209" s="31">
        <v>78108</v>
      </c>
      <c r="F209" s="31">
        <v>7</v>
      </c>
      <c r="G209" s="66">
        <v>5000</v>
      </c>
      <c r="H209" s="66" t="str">
        <f>IF(I209="","",VLOOKUP(I209,引用表合并!$A:$B,2,FALSE))</f>
        <v>马仔碎片(肥仔)</v>
      </c>
      <c r="I209" s="31">
        <v>78108</v>
      </c>
      <c r="J209" s="31">
        <v>6</v>
      </c>
      <c r="K209" s="66">
        <v>10000</v>
      </c>
      <c r="L209" s="66" t="str">
        <f>IF(M209="","",VLOOKUP(M209,引用表合并!$A:$B,2,FALSE))</f>
        <v/>
      </c>
      <c r="M209" s="31"/>
      <c r="P209" s="66" t="str">
        <f>IF(Q209="","",VLOOKUP(Q209,引用表合并!$A:$B,2,FALSE))</f>
        <v/>
      </c>
      <c r="Q209" s="31"/>
      <c r="S209" s="66" t="s">
        <v>1023</v>
      </c>
    </row>
    <row r="210" spans="1:19" x14ac:dyDescent="0.15">
      <c r="A210">
        <v>115052</v>
      </c>
      <c r="B210" s="66" t="str">
        <f>D_奖励表!B201</f>
        <v>挑战Boss-肥仔</v>
      </c>
      <c r="C210" s="67">
        <f t="shared" si="59"/>
        <v>3</v>
      </c>
      <c r="D210" s="66" t="str">
        <f>IF(E210="","",VLOOKUP(E210,引用表合并!$A:$B,2,FALSE))</f>
        <v>马仔碎片(肥仔)</v>
      </c>
      <c r="E210" s="31">
        <v>78108</v>
      </c>
      <c r="F210" s="31">
        <v>7</v>
      </c>
      <c r="G210" s="66">
        <v>5000</v>
      </c>
      <c r="H210" s="66" t="str">
        <f>IF(I210="","",VLOOKUP(I210,引用表合并!$A:$B,2,FALSE))</f>
        <v>马仔碎片(肥仔)</v>
      </c>
      <c r="I210" s="31">
        <v>78108</v>
      </c>
      <c r="J210" s="31">
        <v>6</v>
      </c>
      <c r="K210" s="66">
        <v>8000</v>
      </c>
      <c r="L210" s="66" t="str">
        <f>IF(M210="","",VLOOKUP(M210,引用表合并!$A:$B,2,FALSE))</f>
        <v>马仔碎片(肥仔)</v>
      </c>
      <c r="M210" s="31">
        <v>78108</v>
      </c>
      <c r="N210" s="66">
        <v>8</v>
      </c>
      <c r="O210" s="66">
        <v>10000</v>
      </c>
      <c r="P210" s="66" t="str">
        <f>IF(Q210="","",VLOOKUP(Q210,引用表合并!$A:$B,2,FALSE))</f>
        <v/>
      </c>
      <c r="Q210" s="31"/>
      <c r="S210" s="66" t="s">
        <v>1023</v>
      </c>
    </row>
    <row r="211" spans="1:19" x14ac:dyDescent="0.15">
      <c r="A211">
        <v>115053</v>
      </c>
      <c r="B211" s="66" t="str">
        <f>D_奖励表!B202</f>
        <v>挑战Boss-肥仔</v>
      </c>
      <c r="C211" s="67">
        <f t="shared" si="59"/>
        <v>3</v>
      </c>
      <c r="D211" s="66" t="str">
        <f>IF(E211="","",VLOOKUP(E211,引用表合并!$A:$B,2,FALSE))</f>
        <v>马仔碎片(肥仔)</v>
      </c>
      <c r="E211" s="31">
        <v>78108</v>
      </c>
      <c r="F211" s="31">
        <v>7</v>
      </c>
      <c r="G211" s="66">
        <v>5000</v>
      </c>
      <c r="H211" s="66" t="str">
        <f>IF(I211="","",VLOOKUP(I211,引用表合并!$A:$B,2,FALSE))</f>
        <v>马仔碎片(肥仔)</v>
      </c>
      <c r="I211" s="31">
        <v>78108</v>
      </c>
      <c r="J211" s="31">
        <v>6</v>
      </c>
      <c r="K211" s="66">
        <v>7000</v>
      </c>
      <c r="L211" s="66" t="str">
        <f>IF(M211="","",VLOOKUP(M211,引用表合并!$A:$B,2,FALSE))</f>
        <v>马仔碎片(肥仔)</v>
      </c>
      <c r="M211" s="31">
        <v>78108</v>
      </c>
      <c r="N211" s="66">
        <v>8</v>
      </c>
      <c r="O211" s="66">
        <v>10000</v>
      </c>
      <c r="P211" s="66" t="str">
        <f>IF(Q211="","",VLOOKUP(Q211,引用表合并!$A:$B,2,FALSE))</f>
        <v/>
      </c>
      <c r="Q211" s="31"/>
      <c r="S211" s="66" t="s">
        <v>1023</v>
      </c>
    </row>
    <row r="212" spans="1:19" x14ac:dyDescent="0.15">
      <c r="A212">
        <v>115054</v>
      </c>
      <c r="B212" s="66" t="str">
        <f>D_奖励表!B203</f>
        <v>挑战Boss-肥仔</v>
      </c>
      <c r="C212" s="67">
        <f t="shared" si="59"/>
        <v>2</v>
      </c>
      <c r="D212" s="66" t="str">
        <f>IF(E212="","",VLOOKUP(E212,引用表合并!$A:$B,2,FALSE))</f>
        <v>马仔碎片(肥仔)</v>
      </c>
      <c r="E212" s="31">
        <v>78108</v>
      </c>
      <c r="F212" s="31">
        <v>7</v>
      </c>
      <c r="G212" s="66">
        <v>4000</v>
      </c>
      <c r="H212" s="66" t="str">
        <f>IF(I212="","",VLOOKUP(I212,引用表合并!$A:$B,2,FALSE))</f>
        <v>马仔碎片(肥仔)</v>
      </c>
      <c r="I212" s="31">
        <v>78108</v>
      </c>
      <c r="J212" s="31">
        <v>8</v>
      </c>
      <c r="K212" s="66">
        <v>10000</v>
      </c>
      <c r="L212" s="66" t="str">
        <f>IF(M212="","",VLOOKUP(M212,引用表合并!$A:$B,2,FALSE))</f>
        <v/>
      </c>
      <c r="M212" s="31"/>
      <c r="P212" s="66" t="str">
        <f>IF(Q212="","",VLOOKUP(Q212,引用表合并!$A:$B,2,FALSE))</f>
        <v/>
      </c>
      <c r="Q212" s="31"/>
      <c r="S212" s="66" t="s">
        <v>1023</v>
      </c>
    </row>
    <row r="213" spans="1:19" x14ac:dyDescent="0.15">
      <c r="A213">
        <v>115055</v>
      </c>
      <c r="B213" s="66" t="str">
        <f>D_奖励表!B204</f>
        <v>挑战Boss-肥仔</v>
      </c>
      <c r="C213" s="67">
        <f t="shared" si="59"/>
        <v>3</v>
      </c>
      <c r="D213" s="66" t="str">
        <f>IF(E213="","",VLOOKUP(E213,引用表合并!$A:$B,2,FALSE))</f>
        <v>马仔碎片(肥仔)</v>
      </c>
      <c r="E213" s="31">
        <v>78108</v>
      </c>
      <c r="F213" s="31">
        <v>8</v>
      </c>
      <c r="G213" s="66">
        <v>5000</v>
      </c>
      <c r="H213" s="66" t="str">
        <f>IF(I213="","",VLOOKUP(I213,引用表合并!$A:$B,2,FALSE))</f>
        <v>马仔碎片(肥仔)</v>
      </c>
      <c r="I213" s="31">
        <v>78108</v>
      </c>
      <c r="J213" s="31">
        <v>7</v>
      </c>
      <c r="K213" s="66">
        <v>7000</v>
      </c>
      <c r="L213" s="66" t="str">
        <f>IF(M213="","",VLOOKUP(M213,引用表合并!$A:$B,2,FALSE))</f>
        <v>马仔碎片(肥仔)</v>
      </c>
      <c r="M213" s="31">
        <v>78108</v>
      </c>
      <c r="N213" s="31">
        <v>9</v>
      </c>
      <c r="O213" s="66">
        <v>10000</v>
      </c>
      <c r="P213" s="66" t="str">
        <f>IF(Q213="","",VLOOKUP(Q213,引用表合并!$A:$B,2,FALSE))</f>
        <v/>
      </c>
      <c r="Q213" s="31"/>
      <c r="S213" s="66" t="s">
        <v>1023</v>
      </c>
    </row>
    <row r="214" spans="1:19" x14ac:dyDescent="0.15">
      <c r="A214">
        <v>115056</v>
      </c>
      <c r="B214" s="66" t="str">
        <f>D_奖励表!B205</f>
        <v>挑战Boss-肥仔</v>
      </c>
      <c r="C214" s="67">
        <f t="shared" si="59"/>
        <v>3</v>
      </c>
      <c r="D214" s="66" t="str">
        <f>IF(E214="","",VLOOKUP(E214,引用表合并!$A:$B,2,FALSE))</f>
        <v>马仔碎片(肥仔)</v>
      </c>
      <c r="E214" s="31">
        <v>78108</v>
      </c>
      <c r="F214" s="31">
        <v>9</v>
      </c>
      <c r="G214" s="66">
        <v>4000</v>
      </c>
      <c r="H214" s="66" t="str">
        <f>IF(I214="","",VLOOKUP(I214,引用表合并!$A:$B,2,FALSE))</f>
        <v>马仔碎片(肥仔)</v>
      </c>
      <c r="I214" s="31">
        <v>78108</v>
      </c>
      <c r="J214" s="31">
        <v>8</v>
      </c>
      <c r="K214" s="66">
        <v>7000</v>
      </c>
      <c r="L214" s="66" t="str">
        <f>IF(M214="","",VLOOKUP(M214,引用表合并!$A:$B,2,FALSE))</f>
        <v>马仔碎片(肥仔)</v>
      </c>
      <c r="M214" s="31">
        <v>78108</v>
      </c>
      <c r="N214" s="66">
        <v>10</v>
      </c>
      <c r="O214" s="66">
        <v>10000</v>
      </c>
      <c r="P214" s="66" t="str">
        <f>IF(Q214="","",VLOOKUP(Q214,引用表合并!$A:$B,2,FALSE))</f>
        <v/>
      </c>
      <c r="Q214" s="31"/>
      <c r="S214" s="66" t="s">
        <v>1023</v>
      </c>
    </row>
    <row r="215" spans="1:19" x14ac:dyDescent="0.15">
      <c r="A215">
        <v>115057</v>
      </c>
      <c r="B215" s="66" t="str">
        <f>D_奖励表!B206</f>
        <v>挑战Boss-肥仔</v>
      </c>
      <c r="C215" s="67">
        <f t="shared" si="59"/>
        <v>4</v>
      </c>
      <c r="D215" s="66" t="str">
        <f>IF(E215="","",VLOOKUP(E215,引用表合并!$A:$B,2,FALSE))</f>
        <v>马仔碎片(肥仔)</v>
      </c>
      <c r="E215" s="31">
        <v>78108</v>
      </c>
      <c r="F215" s="31">
        <v>10</v>
      </c>
      <c r="G215" s="66">
        <v>4000</v>
      </c>
      <c r="H215" s="66" t="str">
        <f>IF(I215="","",VLOOKUP(I215,引用表合并!$A:$B,2,FALSE))</f>
        <v>马仔碎片(肥仔)</v>
      </c>
      <c r="I215" s="31">
        <v>78108</v>
      </c>
      <c r="J215" s="31">
        <v>8</v>
      </c>
      <c r="K215" s="66">
        <v>6000</v>
      </c>
      <c r="L215" s="66" t="str">
        <f>IF(M215="","",VLOOKUP(M215,引用表合并!$A:$B,2,FALSE))</f>
        <v>马仔碎片(肥仔)</v>
      </c>
      <c r="M215" s="31">
        <v>78108</v>
      </c>
      <c r="N215" s="31">
        <v>9</v>
      </c>
      <c r="O215" s="66">
        <v>8000</v>
      </c>
      <c r="P215" s="66" t="str">
        <f>IF(Q215="","",VLOOKUP(Q215,引用表合并!$A:$B,2,FALSE))</f>
        <v>马仔碎片(肥仔)</v>
      </c>
      <c r="Q215" s="31">
        <v>78108</v>
      </c>
      <c r="R215" s="31">
        <v>11</v>
      </c>
      <c r="S215" s="66">
        <v>10000</v>
      </c>
    </row>
    <row r="216" spans="1:19" x14ac:dyDescent="0.15">
      <c r="A216">
        <v>115058</v>
      </c>
      <c r="B216" s="66" t="str">
        <f>D_奖励表!B207</f>
        <v>挑战Boss-肥仔</v>
      </c>
      <c r="C216" s="67">
        <f t="shared" si="59"/>
        <v>4</v>
      </c>
      <c r="D216" s="66" t="str">
        <f>IF(E216="","",VLOOKUP(E216,引用表合并!$A:$B,2,FALSE))</f>
        <v>马仔碎片(肥仔)</v>
      </c>
      <c r="E216" s="31">
        <v>78108</v>
      </c>
      <c r="F216" s="31">
        <v>11</v>
      </c>
      <c r="G216" s="66">
        <v>4000</v>
      </c>
      <c r="H216" s="66" t="str">
        <f>IF(I216="","",VLOOKUP(I216,引用表合并!$A:$B,2,FALSE))</f>
        <v>马仔碎片(肥仔)</v>
      </c>
      <c r="I216" s="31">
        <v>78108</v>
      </c>
      <c r="J216" s="31">
        <v>9</v>
      </c>
      <c r="K216" s="66">
        <v>6000</v>
      </c>
      <c r="L216" s="66" t="str">
        <f>IF(M216="","",VLOOKUP(M216,引用表合并!$A:$B,2,FALSE))</f>
        <v>马仔碎片(肥仔)</v>
      </c>
      <c r="M216" s="31">
        <v>78108</v>
      </c>
      <c r="N216" s="31">
        <v>10</v>
      </c>
      <c r="O216" s="66">
        <v>8000</v>
      </c>
      <c r="P216" s="66" t="str">
        <f>IF(Q216="","",VLOOKUP(Q216,引用表合并!$A:$B,2,FALSE))</f>
        <v>马仔碎片(肥仔)</v>
      </c>
      <c r="Q216" s="31">
        <v>78108</v>
      </c>
      <c r="R216" s="31">
        <v>12</v>
      </c>
      <c r="S216" s="66">
        <v>10000</v>
      </c>
    </row>
    <row r="217" spans="1:19" x14ac:dyDescent="0.15">
      <c r="A217">
        <v>115059</v>
      </c>
      <c r="B217" s="66" t="str">
        <f>D_奖励表!B208</f>
        <v>挑战Boss-肥仔</v>
      </c>
      <c r="C217" s="67">
        <f t="shared" si="59"/>
        <v>4</v>
      </c>
      <c r="D217" s="66" t="str">
        <f>IF(E217="","",VLOOKUP(E217,引用表合并!$A:$B,2,FALSE))</f>
        <v>马仔碎片(肥仔)</v>
      </c>
      <c r="E217" s="31">
        <v>78108</v>
      </c>
      <c r="F217" s="31">
        <v>12</v>
      </c>
      <c r="G217" s="66">
        <v>4000</v>
      </c>
      <c r="H217" s="66" t="str">
        <f>IF(I217="","",VLOOKUP(I217,引用表合并!$A:$B,2,FALSE))</f>
        <v>马仔碎片(肥仔)</v>
      </c>
      <c r="I217" s="31">
        <v>78108</v>
      </c>
      <c r="J217" s="31">
        <v>10</v>
      </c>
      <c r="K217" s="66">
        <v>6000</v>
      </c>
      <c r="L217" s="66" t="str">
        <f>IF(M217="","",VLOOKUP(M217,引用表合并!$A:$B,2,FALSE))</f>
        <v>马仔碎片(肥仔)</v>
      </c>
      <c r="M217" s="31">
        <v>78108</v>
      </c>
      <c r="N217" s="31">
        <v>11</v>
      </c>
      <c r="O217" s="66">
        <v>8000</v>
      </c>
      <c r="P217" s="66" t="str">
        <f>IF(Q217="","",VLOOKUP(Q217,引用表合并!$A:$B,2,FALSE))</f>
        <v>马仔碎片(肥仔)</v>
      </c>
      <c r="Q217" s="31">
        <v>78108</v>
      </c>
      <c r="R217" s="31">
        <v>12</v>
      </c>
      <c r="S217" s="66">
        <v>10000</v>
      </c>
    </row>
    <row r="218" spans="1:19" x14ac:dyDescent="0.15">
      <c r="A218">
        <v>115060</v>
      </c>
      <c r="B218" s="66" t="str">
        <f>D_奖励表!B209</f>
        <v>挑战Boss-巴闭</v>
      </c>
      <c r="C218" s="67">
        <f t="shared" si="59"/>
        <v>1</v>
      </c>
      <c r="D218" s="66" t="str">
        <f>IF(E218="","",VLOOKUP(E218,引用表合并!$A:$B,2,FALSE))</f>
        <v>马仔碎片(巴闭)</v>
      </c>
      <c r="E218" s="31">
        <v>78117</v>
      </c>
      <c r="F218" s="31">
        <v>4</v>
      </c>
      <c r="G218" s="66">
        <v>10000</v>
      </c>
      <c r="H218" s="66" t="str">
        <f>IF(I218="","",VLOOKUP(I218,引用表合并!$A:$B,2,FALSE))</f>
        <v/>
      </c>
      <c r="I218" s="31"/>
      <c r="J218" s="31"/>
      <c r="L218" s="66" t="str">
        <f>IF(M218="","",VLOOKUP(M218,引用表合并!$A:$B,2,FALSE))</f>
        <v/>
      </c>
      <c r="M218" s="31"/>
      <c r="P218" s="66" t="str">
        <f>IF(Q218="","",VLOOKUP(Q218,引用表合并!$A:$B,2,FALSE))</f>
        <v/>
      </c>
      <c r="Q218" s="31"/>
      <c r="R218" s="31"/>
      <c r="S218" s="66" t="s">
        <v>1023</v>
      </c>
    </row>
    <row r="219" spans="1:19" x14ac:dyDescent="0.15">
      <c r="A219">
        <v>115061</v>
      </c>
      <c r="B219" s="66" t="str">
        <f>D_奖励表!B210</f>
        <v>挑战Boss-巴闭</v>
      </c>
      <c r="C219" s="67">
        <f t="shared" si="59"/>
        <v>2</v>
      </c>
      <c r="D219" s="66" t="str">
        <f>IF(E219="","",VLOOKUP(E219,引用表合并!$A:$B,2,FALSE))</f>
        <v>马仔碎片(巴闭)</v>
      </c>
      <c r="E219" s="31">
        <v>78117</v>
      </c>
      <c r="F219" s="31">
        <v>7</v>
      </c>
      <c r="G219" s="66">
        <v>5000</v>
      </c>
      <c r="H219" s="66" t="str">
        <f>IF(I219="","",VLOOKUP(I219,引用表合并!$A:$B,2,FALSE))</f>
        <v>马仔碎片(巴闭)</v>
      </c>
      <c r="I219" s="31">
        <v>78117</v>
      </c>
      <c r="J219" s="31">
        <v>6</v>
      </c>
      <c r="K219" s="66">
        <v>10000</v>
      </c>
      <c r="L219" s="66" t="str">
        <f>IF(M219="","",VLOOKUP(M219,引用表合并!$A:$B,2,FALSE))</f>
        <v/>
      </c>
      <c r="M219" s="31"/>
      <c r="P219" s="66" t="str">
        <f>IF(Q219="","",VLOOKUP(Q219,引用表合并!$A:$B,2,FALSE))</f>
        <v/>
      </c>
      <c r="Q219" s="31"/>
      <c r="S219" s="66" t="s">
        <v>1023</v>
      </c>
    </row>
    <row r="220" spans="1:19" x14ac:dyDescent="0.15">
      <c r="A220">
        <v>115062</v>
      </c>
      <c r="B220" s="66" t="str">
        <f>D_奖励表!B211</f>
        <v>挑战Boss-巴闭</v>
      </c>
      <c r="C220" s="67">
        <f t="shared" si="59"/>
        <v>3</v>
      </c>
      <c r="D220" s="66" t="str">
        <f>IF(E220="","",VLOOKUP(E220,引用表合并!$A:$B,2,FALSE))</f>
        <v>马仔碎片(巴闭)</v>
      </c>
      <c r="E220" s="31">
        <v>78117</v>
      </c>
      <c r="F220" s="31">
        <v>7</v>
      </c>
      <c r="G220" s="66">
        <v>5000</v>
      </c>
      <c r="H220" s="66" t="str">
        <f>IF(I220="","",VLOOKUP(I220,引用表合并!$A:$B,2,FALSE))</f>
        <v>马仔碎片(巴闭)</v>
      </c>
      <c r="I220" s="31">
        <v>78117</v>
      </c>
      <c r="J220" s="31">
        <v>6</v>
      </c>
      <c r="K220" s="66">
        <v>8000</v>
      </c>
      <c r="L220" s="66" t="str">
        <f>IF(M220="","",VLOOKUP(M220,引用表合并!$A:$B,2,FALSE))</f>
        <v>马仔碎片(巴闭)</v>
      </c>
      <c r="M220" s="31">
        <v>78117</v>
      </c>
      <c r="N220" s="66">
        <v>8</v>
      </c>
      <c r="O220" s="66">
        <v>10000</v>
      </c>
      <c r="P220" s="66" t="str">
        <f>IF(Q220="","",VLOOKUP(Q220,引用表合并!$A:$B,2,FALSE))</f>
        <v/>
      </c>
      <c r="Q220" s="31"/>
      <c r="S220" s="66" t="s">
        <v>1023</v>
      </c>
    </row>
    <row r="221" spans="1:19" x14ac:dyDescent="0.15">
      <c r="A221">
        <v>115063</v>
      </c>
      <c r="B221" s="66" t="str">
        <f>D_奖励表!B212</f>
        <v>挑战Boss-巴闭</v>
      </c>
      <c r="C221" s="67">
        <f t="shared" si="59"/>
        <v>3</v>
      </c>
      <c r="D221" s="66" t="str">
        <f>IF(E221="","",VLOOKUP(E221,引用表合并!$A:$B,2,FALSE))</f>
        <v>马仔碎片(巴闭)</v>
      </c>
      <c r="E221" s="31">
        <v>78117</v>
      </c>
      <c r="F221" s="31">
        <v>7</v>
      </c>
      <c r="G221" s="66">
        <v>5000</v>
      </c>
      <c r="H221" s="66" t="str">
        <f>IF(I221="","",VLOOKUP(I221,引用表合并!$A:$B,2,FALSE))</f>
        <v>马仔碎片(巴闭)</v>
      </c>
      <c r="I221" s="31">
        <v>78117</v>
      </c>
      <c r="J221" s="31">
        <v>6</v>
      </c>
      <c r="K221" s="66">
        <v>7000</v>
      </c>
      <c r="L221" s="66" t="str">
        <f>IF(M221="","",VLOOKUP(M221,引用表合并!$A:$B,2,FALSE))</f>
        <v>马仔碎片(巴闭)</v>
      </c>
      <c r="M221" s="31">
        <v>78117</v>
      </c>
      <c r="N221" s="66">
        <v>8</v>
      </c>
      <c r="O221" s="66">
        <v>10000</v>
      </c>
      <c r="P221" s="66" t="str">
        <f>IF(Q221="","",VLOOKUP(Q221,引用表合并!$A:$B,2,FALSE))</f>
        <v/>
      </c>
      <c r="Q221" s="31"/>
      <c r="S221" s="66" t="s">
        <v>1023</v>
      </c>
    </row>
    <row r="222" spans="1:19" x14ac:dyDescent="0.15">
      <c r="A222">
        <v>115064</v>
      </c>
      <c r="B222" s="66" t="str">
        <f>D_奖励表!B213</f>
        <v>挑战Boss-巴闭</v>
      </c>
      <c r="C222" s="67">
        <f t="shared" si="59"/>
        <v>2</v>
      </c>
      <c r="D222" s="66" t="str">
        <f>IF(E222="","",VLOOKUP(E222,引用表合并!$A:$B,2,FALSE))</f>
        <v>马仔碎片(巴闭)</v>
      </c>
      <c r="E222" s="31">
        <v>78117</v>
      </c>
      <c r="F222" s="31">
        <v>7</v>
      </c>
      <c r="G222" s="66">
        <v>4000</v>
      </c>
      <c r="H222" s="66" t="str">
        <f>IF(I222="","",VLOOKUP(I222,引用表合并!$A:$B,2,FALSE))</f>
        <v>马仔碎片(巴闭)</v>
      </c>
      <c r="I222" s="31">
        <v>78117</v>
      </c>
      <c r="J222" s="31">
        <v>8</v>
      </c>
      <c r="K222" s="66">
        <v>10000</v>
      </c>
      <c r="L222" s="66" t="str">
        <f>IF(M222="","",VLOOKUP(M222,引用表合并!$A:$B,2,FALSE))</f>
        <v/>
      </c>
      <c r="M222" s="31"/>
      <c r="P222" s="66" t="str">
        <f>IF(Q222="","",VLOOKUP(Q222,引用表合并!$A:$B,2,FALSE))</f>
        <v/>
      </c>
      <c r="Q222" s="31"/>
      <c r="S222" s="66" t="s">
        <v>1023</v>
      </c>
    </row>
    <row r="223" spans="1:19" x14ac:dyDescent="0.15">
      <c r="A223">
        <v>115065</v>
      </c>
      <c r="B223" s="66" t="str">
        <f>D_奖励表!B214</f>
        <v>挑战Boss-巴闭</v>
      </c>
      <c r="C223" s="67">
        <f t="shared" si="59"/>
        <v>3</v>
      </c>
      <c r="D223" s="66" t="str">
        <f>IF(E223="","",VLOOKUP(E223,引用表合并!$A:$B,2,FALSE))</f>
        <v>马仔碎片(巴闭)</v>
      </c>
      <c r="E223" s="31">
        <v>78117</v>
      </c>
      <c r="F223" s="31">
        <v>8</v>
      </c>
      <c r="G223" s="66">
        <v>5000</v>
      </c>
      <c r="H223" s="66" t="str">
        <f>IF(I223="","",VLOOKUP(I223,引用表合并!$A:$B,2,FALSE))</f>
        <v>马仔碎片(巴闭)</v>
      </c>
      <c r="I223" s="31">
        <v>78117</v>
      </c>
      <c r="J223" s="31">
        <v>7</v>
      </c>
      <c r="K223" s="66">
        <v>7000</v>
      </c>
      <c r="L223" s="66" t="str">
        <f>IF(M223="","",VLOOKUP(M223,引用表合并!$A:$B,2,FALSE))</f>
        <v>马仔碎片(巴闭)</v>
      </c>
      <c r="M223" s="31">
        <v>78117</v>
      </c>
      <c r="N223" s="31">
        <v>9</v>
      </c>
      <c r="O223" s="66">
        <v>10000</v>
      </c>
      <c r="P223" s="66" t="str">
        <f>IF(Q223="","",VLOOKUP(Q223,引用表合并!$A:$B,2,FALSE))</f>
        <v/>
      </c>
      <c r="Q223" s="31"/>
      <c r="S223" s="66" t="s">
        <v>1023</v>
      </c>
    </row>
    <row r="224" spans="1:19" x14ac:dyDescent="0.15">
      <c r="A224">
        <v>115066</v>
      </c>
      <c r="B224" s="66" t="str">
        <f>D_奖励表!B215</f>
        <v>挑战Boss-巴闭</v>
      </c>
      <c r="C224" s="67">
        <f t="shared" si="59"/>
        <v>3</v>
      </c>
      <c r="D224" s="66" t="str">
        <f>IF(E224="","",VLOOKUP(E224,引用表合并!$A:$B,2,FALSE))</f>
        <v>马仔碎片(巴闭)</v>
      </c>
      <c r="E224" s="31">
        <v>78117</v>
      </c>
      <c r="F224" s="31">
        <v>9</v>
      </c>
      <c r="G224" s="66">
        <v>4000</v>
      </c>
      <c r="H224" s="66" t="str">
        <f>IF(I224="","",VLOOKUP(I224,引用表合并!$A:$B,2,FALSE))</f>
        <v>马仔碎片(巴闭)</v>
      </c>
      <c r="I224" s="31">
        <v>78117</v>
      </c>
      <c r="J224" s="31">
        <v>8</v>
      </c>
      <c r="K224" s="66">
        <v>7000</v>
      </c>
      <c r="L224" s="66" t="str">
        <f>IF(M224="","",VLOOKUP(M224,引用表合并!$A:$B,2,FALSE))</f>
        <v>马仔碎片(巴闭)</v>
      </c>
      <c r="M224" s="31">
        <v>78117</v>
      </c>
      <c r="N224" s="66">
        <v>10</v>
      </c>
      <c r="O224" s="66">
        <v>10000</v>
      </c>
      <c r="P224" s="66" t="str">
        <f>IF(Q224="","",VLOOKUP(Q224,引用表合并!$A:$B,2,FALSE))</f>
        <v/>
      </c>
      <c r="Q224" s="31"/>
      <c r="S224" s="66" t="s">
        <v>1023</v>
      </c>
    </row>
    <row r="225" spans="1:19" x14ac:dyDescent="0.15">
      <c r="A225">
        <v>115067</v>
      </c>
      <c r="B225" s="66" t="str">
        <f>D_奖励表!B216</f>
        <v>挑战Boss-巴闭</v>
      </c>
      <c r="C225" s="67">
        <f t="shared" si="59"/>
        <v>4</v>
      </c>
      <c r="D225" s="66" t="str">
        <f>IF(E225="","",VLOOKUP(E225,引用表合并!$A:$B,2,FALSE))</f>
        <v>马仔碎片(巴闭)</v>
      </c>
      <c r="E225" s="31">
        <v>78117</v>
      </c>
      <c r="F225" s="31">
        <v>10</v>
      </c>
      <c r="G225" s="66">
        <v>4000</v>
      </c>
      <c r="H225" s="66" t="str">
        <f>IF(I225="","",VLOOKUP(I225,引用表合并!$A:$B,2,FALSE))</f>
        <v>马仔碎片(巴闭)</v>
      </c>
      <c r="I225" s="31">
        <v>78117</v>
      </c>
      <c r="J225" s="31">
        <v>8</v>
      </c>
      <c r="K225" s="66">
        <v>6000</v>
      </c>
      <c r="L225" s="66" t="str">
        <f>IF(M225="","",VLOOKUP(M225,引用表合并!$A:$B,2,FALSE))</f>
        <v>马仔碎片(巴闭)</v>
      </c>
      <c r="M225" s="31">
        <v>78117</v>
      </c>
      <c r="N225" s="31">
        <v>9</v>
      </c>
      <c r="O225" s="66">
        <v>8000</v>
      </c>
      <c r="P225" s="66" t="str">
        <f>IF(Q225="","",VLOOKUP(Q225,引用表合并!$A:$B,2,FALSE))</f>
        <v>马仔碎片(巴闭)</v>
      </c>
      <c r="Q225" s="31">
        <v>78117</v>
      </c>
      <c r="R225" s="31">
        <v>11</v>
      </c>
      <c r="S225" s="66">
        <v>10000</v>
      </c>
    </row>
    <row r="226" spans="1:19" x14ac:dyDescent="0.15">
      <c r="A226">
        <v>115068</v>
      </c>
      <c r="B226" s="66" t="str">
        <f>D_奖励表!B217</f>
        <v>挑战Boss-巴闭</v>
      </c>
      <c r="C226" s="67">
        <f t="shared" si="59"/>
        <v>4</v>
      </c>
      <c r="D226" s="66" t="str">
        <f>IF(E226="","",VLOOKUP(E226,引用表合并!$A:$B,2,FALSE))</f>
        <v>马仔碎片(巴闭)</v>
      </c>
      <c r="E226" s="31">
        <v>78117</v>
      </c>
      <c r="F226" s="31">
        <v>11</v>
      </c>
      <c r="G226" s="66">
        <v>4000</v>
      </c>
      <c r="H226" s="66" t="str">
        <f>IF(I226="","",VLOOKUP(I226,引用表合并!$A:$B,2,FALSE))</f>
        <v>马仔碎片(巴闭)</v>
      </c>
      <c r="I226" s="31">
        <v>78117</v>
      </c>
      <c r="J226" s="31">
        <v>9</v>
      </c>
      <c r="K226" s="66">
        <v>6000</v>
      </c>
      <c r="L226" s="66" t="str">
        <f>IF(M226="","",VLOOKUP(M226,引用表合并!$A:$B,2,FALSE))</f>
        <v>马仔碎片(巴闭)</v>
      </c>
      <c r="M226" s="31">
        <v>78117</v>
      </c>
      <c r="N226" s="31">
        <v>10</v>
      </c>
      <c r="O226" s="66">
        <v>8000</v>
      </c>
      <c r="P226" s="66" t="str">
        <f>IF(Q226="","",VLOOKUP(Q226,引用表合并!$A:$B,2,FALSE))</f>
        <v>马仔碎片(巴闭)</v>
      </c>
      <c r="Q226" s="31">
        <v>78117</v>
      </c>
      <c r="R226" s="31">
        <v>12</v>
      </c>
      <c r="S226" s="66">
        <v>10000</v>
      </c>
    </row>
    <row r="227" spans="1:19" x14ac:dyDescent="0.15">
      <c r="A227">
        <v>115069</v>
      </c>
      <c r="B227" s="66" t="str">
        <f>D_奖励表!B218</f>
        <v>挑战Boss-巴闭</v>
      </c>
      <c r="C227" s="67">
        <f t="shared" si="59"/>
        <v>4</v>
      </c>
      <c r="D227" s="66" t="str">
        <f>IF(E227="","",VLOOKUP(E227,引用表合并!$A:$B,2,FALSE))</f>
        <v>马仔碎片(巴闭)</v>
      </c>
      <c r="E227" s="31">
        <v>78117</v>
      </c>
      <c r="F227" s="31">
        <v>12</v>
      </c>
      <c r="G227" s="66">
        <v>4000</v>
      </c>
      <c r="H227" s="66" t="str">
        <f>IF(I227="","",VLOOKUP(I227,引用表合并!$A:$B,2,FALSE))</f>
        <v>马仔碎片(巴闭)</v>
      </c>
      <c r="I227" s="31">
        <v>78117</v>
      </c>
      <c r="J227" s="31">
        <v>10</v>
      </c>
      <c r="K227" s="66">
        <v>6000</v>
      </c>
      <c r="L227" s="66" t="str">
        <f>IF(M227="","",VLOOKUP(M227,引用表合并!$A:$B,2,FALSE))</f>
        <v>马仔碎片(巴闭)</v>
      </c>
      <c r="M227" s="31">
        <v>78117</v>
      </c>
      <c r="N227" s="31">
        <v>11</v>
      </c>
      <c r="O227" s="66">
        <v>8000</v>
      </c>
      <c r="P227" s="66" t="str">
        <f>IF(Q227="","",VLOOKUP(Q227,引用表合并!$A:$B,2,FALSE))</f>
        <v>马仔碎片(巴闭)</v>
      </c>
      <c r="Q227" s="31">
        <v>78117</v>
      </c>
      <c r="R227" s="31">
        <v>12</v>
      </c>
      <c r="S227" s="66">
        <v>10000</v>
      </c>
    </row>
    <row r="228" spans="1:19" x14ac:dyDescent="0.15">
      <c r="A228">
        <v>115070</v>
      </c>
      <c r="B228" s="66" t="str">
        <f>D_奖励表!B219</f>
        <v>挑战Boss-赌王</v>
      </c>
      <c r="C228" s="67">
        <f t="shared" si="59"/>
        <v>1</v>
      </c>
      <c r="D228" s="66" t="str">
        <f>IF(E228="","",VLOOKUP(E228,引用表合并!$A:$B,2,FALSE))</f>
        <v>马仔碎片(赌王)</v>
      </c>
      <c r="E228" s="31">
        <v>78111</v>
      </c>
      <c r="F228" s="31">
        <v>2</v>
      </c>
      <c r="G228" s="66">
        <v>10000</v>
      </c>
      <c r="H228" s="66" t="str">
        <f>IF(I228="","",VLOOKUP(I228,引用表合并!$A:$B,2,FALSE))</f>
        <v/>
      </c>
      <c r="I228" s="31"/>
      <c r="L228" s="66" t="str">
        <f>IF(M228="","",VLOOKUP(M228,引用表合并!$A:$B,2,FALSE))</f>
        <v/>
      </c>
      <c r="M228" s="31"/>
      <c r="P228" s="66" t="str">
        <f>IF(Q228="","",VLOOKUP(Q228,引用表合并!$A:$B,2,FALSE))</f>
        <v/>
      </c>
      <c r="Q228" s="31"/>
      <c r="S228" s="66" t="s">
        <v>1023</v>
      </c>
    </row>
    <row r="229" spans="1:19" x14ac:dyDescent="0.15">
      <c r="A229">
        <v>115071</v>
      </c>
      <c r="B229" s="66" t="str">
        <f>D_奖励表!B220</f>
        <v>挑战Boss-赌王</v>
      </c>
      <c r="C229" s="67">
        <f t="shared" si="59"/>
        <v>2</v>
      </c>
      <c r="D229" s="66" t="str">
        <f>IF(E229="","",VLOOKUP(E229,引用表合并!$A:$B,2,FALSE))</f>
        <v>马仔碎片(赌王)</v>
      </c>
      <c r="E229" s="31">
        <v>78111</v>
      </c>
      <c r="F229" s="31">
        <v>3</v>
      </c>
      <c r="G229" s="66">
        <v>5000</v>
      </c>
      <c r="H229" s="66" t="str">
        <f>IF(I229="","",VLOOKUP(I229,引用表合并!$A:$B,2,FALSE))</f>
        <v>马仔碎片(赌王)</v>
      </c>
      <c r="I229" s="31">
        <v>78111</v>
      </c>
      <c r="J229" s="31">
        <v>2</v>
      </c>
      <c r="K229" s="66">
        <v>10000</v>
      </c>
      <c r="L229" s="66" t="str">
        <f>IF(M229="","",VLOOKUP(M229,引用表合并!$A:$B,2,FALSE))</f>
        <v/>
      </c>
      <c r="M229" s="31"/>
      <c r="P229" s="66" t="str">
        <f>IF(Q229="","",VLOOKUP(Q229,引用表合并!$A:$B,2,FALSE))</f>
        <v/>
      </c>
      <c r="Q229" s="31"/>
      <c r="S229" s="66" t="s">
        <v>1023</v>
      </c>
    </row>
    <row r="230" spans="1:19" x14ac:dyDescent="0.15">
      <c r="A230">
        <v>115072</v>
      </c>
      <c r="B230" s="66" t="str">
        <f>D_奖励表!B221</f>
        <v>挑战Boss-赌王</v>
      </c>
      <c r="C230" s="67">
        <f t="shared" si="59"/>
        <v>3</v>
      </c>
      <c r="D230" s="66" t="str">
        <f>IF(E230="","",VLOOKUP(E230,引用表合并!$A:$B,2,FALSE))</f>
        <v>马仔碎片(赌王)</v>
      </c>
      <c r="E230" s="31">
        <v>78111</v>
      </c>
      <c r="F230" s="31">
        <v>3</v>
      </c>
      <c r="G230" s="66">
        <v>5000</v>
      </c>
      <c r="H230" s="66" t="str">
        <f>IF(I230="","",VLOOKUP(I230,引用表合并!$A:$B,2,FALSE))</f>
        <v>马仔碎片(赌王)</v>
      </c>
      <c r="I230" s="31">
        <v>78111</v>
      </c>
      <c r="J230" s="31">
        <v>2</v>
      </c>
      <c r="K230" s="66">
        <v>8000</v>
      </c>
      <c r="L230" s="66" t="str">
        <f>IF(M230="","",VLOOKUP(M230,引用表合并!$A:$B,2,FALSE))</f>
        <v>马仔碎片(赌王)</v>
      </c>
      <c r="M230" s="31">
        <v>78111</v>
      </c>
      <c r="N230" s="31">
        <v>4</v>
      </c>
      <c r="O230" s="66">
        <v>10000</v>
      </c>
      <c r="P230" s="66" t="str">
        <f>IF(Q230="","",VLOOKUP(Q230,引用表合并!$A:$B,2,FALSE))</f>
        <v/>
      </c>
      <c r="Q230" s="31"/>
      <c r="S230" s="66" t="s">
        <v>1023</v>
      </c>
    </row>
    <row r="231" spans="1:19" x14ac:dyDescent="0.15">
      <c r="A231">
        <v>115073</v>
      </c>
      <c r="B231" s="66" t="str">
        <f>D_奖励表!B222</f>
        <v>挑战Boss-赌王</v>
      </c>
      <c r="C231" s="67">
        <f t="shared" si="59"/>
        <v>3</v>
      </c>
      <c r="D231" s="66" t="str">
        <f>IF(E231="","",VLOOKUP(E231,引用表合并!$A:$B,2,FALSE))</f>
        <v>马仔碎片(赌王)</v>
      </c>
      <c r="E231" s="31">
        <v>78111</v>
      </c>
      <c r="F231" s="31">
        <v>3</v>
      </c>
      <c r="G231" s="66">
        <v>5000</v>
      </c>
      <c r="H231" s="66" t="str">
        <f>IF(I231="","",VLOOKUP(I231,引用表合并!$A:$B,2,FALSE))</f>
        <v>马仔碎片(赌王)</v>
      </c>
      <c r="I231" s="31">
        <v>78111</v>
      </c>
      <c r="J231" s="31">
        <v>2</v>
      </c>
      <c r="K231" s="66">
        <v>7000</v>
      </c>
      <c r="L231" s="66" t="str">
        <f>IF(M231="","",VLOOKUP(M231,引用表合并!$A:$B,2,FALSE))</f>
        <v>马仔碎片(赌王)</v>
      </c>
      <c r="M231" s="31">
        <v>78111</v>
      </c>
      <c r="N231" s="31">
        <v>4</v>
      </c>
      <c r="O231" s="66">
        <v>10000</v>
      </c>
      <c r="P231" s="66" t="str">
        <f>IF(Q231="","",VLOOKUP(Q231,引用表合并!$A:$B,2,FALSE))</f>
        <v/>
      </c>
      <c r="Q231" s="31"/>
      <c r="S231" s="66" t="s">
        <v>1023</v>
      </c>
    </row>
    <row r="232" spans="1:19" x14ac:dyDescent="0.15">
      <c r="A232">
        <v>115074</v>
      </c>
      <c r="B232" s="66" t="str">
        <f>D_奖励表!B223</f>
        <v>挑战Boss-赌王</v>
      </c>
      <c r="C232" s="67">
        <f t="shared" si="59"/>
        <v>2</v>
      </c>
      <c r="D232" s="66" t="str">
        <f>IF(E232="","",VLOOKUP(E232,引用表合并!$A:$B,2,FALSE))</f>
        <v>马仔碎片(赌王)</v>
      </c>
      <c r="E232" s="31">
        <v>78111</v>
      </c>
      <c r="F232" s="31">
        <v>4</v>
      </c>
      <c r="G232" s="66">
        <v>5000</v>
      </c>
      <c r="H232" s="66" t="str">
        <f>IF(I232="","",VLOOKUP(I232,引用表合并!$A:$B,2,FALSE))</f>
        <v>马仔碎片(赌王)</v>
      </c>
      <c r="I232" s="31">
        <v>78111</v>
      </c>
      <c r="J232" s="31">
        <v>3</v>
      </c>
      <c r="K232" s="66">
        <v>10000</v>
      </c>
      <c r="L232" s="66" t="str">
        <f>IF(M232="","",VLOOKUP(M232,引用表合并!$A:$B,2,FALSE))</f>
        <v/>
      </c>
      <c r="M232" s="31"/>
      <c r="P232" s="66" t="str">
        <f>IF(Q232="","",VLOOKUP(Q232,引用表合并!$A:$B,2,FALSE))</f>
        <v/>
      </c>
      <c r="Q232" s="31"/>
      <c r="S232" s="66" t="s">
        <v>1023</v>
      </c>
    </row>
    <row r="233" spans="1:19" x14ac:dyDescent="0.15">
      <c r="A233">
        <v>115075</v>
      </c>
      <c r="B233" s="66" t="str">
        <f>D_奖励表!B224</f>
        <v>挑战Boss-赌王</v>
      </c>
      <c r="C233" s="67">
        <f t="shared" si="59"/>
        <v>2</v>
      </c>
      <c r="D233" s="66" t="str">
        <f>IF(E233="","",VLOOKUP(E233,引用表合并!$A:$B,2,FALSE))</f>
        <v>马仔碎片(赌王)</v>
      </c>
      <c r="E233" s="31">
        <v>78111</v>
      </c>
      <c r="F233" s="31">
        <v>4</v>
      </c>
      <c r="G233" s="66">
        <v>6500</v>
      </c>
      <c r="H233" s="66" t="str">
        <f>IF(I233="","",VLOOKUP(I233,引用表合并!$A:$B,2,FALSE))</f>
        <v>马仔碎片(赌王)</v>
      </c>
      <c r="I233" s="31">
        <v>78111</v>
      </c>
      <c r="J233" s="31">
        <v>3</v>
      </c>
      <c r="K233" s="66">
        <v>10000</v>
      </c>
      <c r="L233" s="66" t="str">
        <f>IF(M233="","",VLOOKUP(M233,引用表合并!$A:$B,2,FALSE))</f>
        <v/>
      </c>
      <c r="M233" s="31"/>
      <c r="P233" s="66" t="str">
        <f>IF(Q233="","",VLOOKUP(Q233,引用表合并!$A:$B,2,FALSE))</f>
        <v/>
      </c>
      <c r="Q233" s="31"/>
      <c r="S233" s="66" t="s">
        <v>1023</v>
      </c>
    </row>
    <row r="234" spans="1:19" x14ac:dyDescent="0.15">
      <c r="A234">
        <v>115076</v>
      </c>
      <c r="B234" s="66" t="str">
        <f>D_奖励表!B225</f>
        <v>挑战Boss-赌王</v>
      </c>
      <c r="C234" s="67">
        <f t="shared" si="59"/>
        <v>3</v>
      </c>
      <c r="D234" s="66" t="str">
        <f>IF(E234="","",VLOOKUP(E234,引用表合并!$A:$B,2,FALSE))</f>
        <v>马仔碎片(赌王)</v>
      </c>
      <c r="E234" s="31">
        <v>78111</v>
      </c>
      <c r="F234" s="31">
        <v>4</v>
      </c>
      <c r="G234" s="66">
        <v>6000</v>
      </c>
      <c r="H234" s="66" t="str">
        <f>IF(I234="","",VLOOKUP(I234,引用表合并!$A:$B,2,FALSE))</f>
        <v>马仔碎片(赌王)</v>
      </c>
      <c r="I234" s="31">
        <v>78111</v>
      </c>
      <c r="J234" s="31">
        <v>3</v>
      </c>
      <c r="K234" s="66">
        <v>8000</v>
      </c>
      <c r="L234" s="66" t="str">
        <f>IF(M234="","",VLOOKUP(M234,引用表合并!$A:$B,2,FALSE))</f>
        <v>马仔碎片(赌王)</v>
      </c>
      <c r="M234" s="31">
        <v>78111</v>
      </c>
      <c r="N234" s="31">
        <v>5</v>
      </c>
      <c r="O234" s="66">
        <v>10000</v>
      </c>
      <c r="P234" s="66" t="str">
        <f>IF(Q234="","",VLOOKUP(Q234,引用表合并!$A:$B,2,FALSE))</f>
        <v/>
      </c>
      <c r="Q234" s="31"/>
      <c r="S234" s="66" t="s">
        <v>1023</v>
      </c>
    </row>
    <row r="235" spans="1:19" x14ac:dyDescent="0.15">
      <c r="A235">
        <v>115077</v>
      </c>
      <c r="B235" s="66" t="str">
        <f>D_奖励表!B226</f>
        <v>挑战Boss-赌王</v>
      </c>
      <c r="C235" s="67">
        <f t="shared" si="59"/>
        <v>2</v>
      </c>
      <c r="D235" s="66" t="str">
        <f>IF(E235="","",VLOOKUP(E235,引用表合并!$A:$B,2,FALSE))</f>
        <v>马仔碎片(赌王)</v>
      </c>
      <c r="E235" s="31">
        <v>78111</v>
      </c>
      <c r="F235" s="31">
        <v>5</v>
      </c>
      <c r="G235" s="66">
        <v>5000</v>
      </c>
      <c r="H235" s="66" t="str">
        <f>IF(I235="","",VLOOKUP(I235,引用表合并!$A:$B,2,FALSE))</f>
        <v>马仔碎片(赌王)</v>
      </c>
      <c r="I235" s="31">
        <v>78111</v>
      </c>
      <c r="J235" s="31">
        <v>4</v>
      </c>
      <c r="K235" s="66">
        <v>10000</v>
      </c>
      <c r="L235" s="66" t="str">
        <f>IF(M235="","",VLOOKUP(M235,引用表合并!$A:$B,2,FALSE))</f>
        <v/>
      </c>
      <c r="M235" s="31"/>
      <c r="P235" s="66" t="str">
        <f>IF(Q235="","",VLOOKUP(Q235,引用表合并!$A:$B,2,FALSE))</f>
        <v/>
      </c>
      <c r="Q235" s="31"/>
      <c r="S235" s="66" t="s">
        <v>1023</v>
      </c>
    </row>
    <row r="236" spans="1:19" x14ac:dyDescent="0.15">
      <c r="A236">
        <v>115078</v>
      </c>
      <c r="B236" s="66" t="str">
        <f>D_奖励表!B227</f>
        <v>挑战Boss-赌王</v>
      </c>
      <c r="C236" s="67">
        <f t="shared" ref="C236:C299" si="60">CHOOSE(2,1,COUNT(F236,J236,N236,R236,V236,Z236,AD236,AH236,AL236,AP236,AT236,AX236,BB236,BF236,BJ236))</f>
        <v>3</v>
      </c>
      <c r="D236" s="66" t="str">
        <f>IF(E236="","",VLOOKUP(E236,引用表合并!$A:$B,2,FALSE))</f>
        <v>马仔碎片(赌王)</v>
      </c>
      <c r="E236" s="31">
        <v>78111</v>
      </c>
      <c r="F236" s="31">
        <v>5</v>
      </c>
      <c r="G236" s="66">
        <v>5000</v>
      </c>
      <c r="H236" s="66" t="str">
        <f>IF(I236="","",VLOOKUP(I236,引用表合并!$A:$B,2,FALSE))</f>
        <v>马仔碎片(赌王)</v>
      </c>
      <c r="I236" s="31">
        <v>78111</v>
      </c>
      <c r="J236" s="31">
        <v>4</v>
      </c>
      <c r="K236" s="66">
        <v>7000</v>
      </c>
      <c r="L236" s="66" t="str">
        <f>IF(M236="","",VLOOKUP(M236,引用表合并!$A:$B,2,FALSE))</f>
        <v>马仔碎片(赌王)</v>
      </c>
      <c r="M236" s="31">
        <v>78111</v>
      </c>
      <c r="N236" s="31">
        <v>6</v>
      </c>
      <c r="O236" s="66">
        <v>10000</v>
      </c>
      <c r="P236" s="66" t="str">
        <f>IF(Q236="","",VLOOKUP(Q236,引用表合并!$A:$B,2,FALSE))</f>
        <v/>
      </c>
      <c r="Q236" s="31"/>
      <c r="S236" s="66" t="s">
        <v>1023</v>
      </c>
    </row>
    <row r="237" spans="1:19" x14ac:dyDescent="0.15">
      <c r="A237">
        <v>115079</v>
      </c>
      <c r="B237" s="66" t="str">
        <f>D_奖励表!B228</f>
        <v>挑战Boss-赌王</v>
      </c>
      <c r="C237" s="67">
        <f t="shared" si="60"/>
        <v>2</v>
      </c>
      <c r="D237" s="66" t="str">
        <f>IF(E237="","",VLOOKUP(E237,引用表合并!$A:$B,2,FALSE))</f>
        <v>马仔碎片(赌王)</v>
      </c>
      <c r="E237" s="31">
        <v>78111</v>
      </c>
      <c r="F237" s="31">
        <v>6</v>
      </c>
      <c r="G237" s="66">
        <v>6000</v>
      </c>
      <c r="H237" s="66" t="str">
        <f>IF(I237="","",VLOOKUP(I237,引用表合并!$A:$B,2,FALSE))</f>
        <v>马仔碎片(赌王)</v>
      </c>
      <c r="I237" s="31">
        <v>78111</v>
      </c>
      <c r="J237" s="31">
        <v>5</v>
      </c>
      <c r="K237" s="66">
        <v>10000</v>
      </c>
      <c r="L237" s="66" t="str">
        <f>IF(M237="","",VLOOKUP(M237,引用表合并!$A:$B,2,FALSE))</f>
        <v/>
      </c>
      <c r="M237" s="31"/>
      <c r="P237" s="66" t="str">
        <f>IF(Q237="","",VLOOKUP(Q237,引用表合并!$A:$B,2,FALSE))</f>
        <v/>
      </c>
      <c r="Q237" s="31"/>
      <c r="S237" s="66" t="s">
        <v>1023</v>
      </c>
    </row>
    <row r="238" spans="1:19" x14ac:dyDescent="0.15">
      <c r="A238">
        <v>115080</v>
      </c>
      <c r="B238" s="66" t="str">
        <f>D_奖励表!B229</f>
        <v>挑战Boss-乌鸦</v>
      </c>
      <c r="C238" s="67">
        <f t="shared" si="60"/>
        <v>1</v>
      </c>
      <c r="D238" s="66" t="str">
        <f>IF(E238="","",VLOOKUP(E238,引用表合并!$A:$B,2,FALSE))</f>
        <v>马仔碎片(乌鸦)</v>
      </c>
      <c r="E238" s="31">
        <v>78110</v>
      </c>
      <c r="F238" s="31">
        <v>2</v>
      </c>
      <c r="G238" s="66">
        <v>10000</v>
      </c>
      <c r="H238" s="66" t="str">
        <f>IF(I238="","",VLOOKUP(I238,引用表合并!$A:$B,2,FALSE))</f>
        <v/>
      </c>
      <c r="I238" s="31"/>
      <c r="L238" s="66" t="str">
        <f>IF(M238="","",VLOOKUP(M238,引用表合并!$A:$B,2,FALSE))</f>
        <v/>
      </c>
      <c r="M238" s="31"/>
      <c r="P238" s="66" t="str">
        <f>IF(Q238="","",VLOOKUP(Q238,引用表合并!$A:$B,2,FALSE))</f>
        <v/>
      </c>
      <c r="Q238" s="31"/>
      <c r="S238" s="66" t="s">
        <v>1023</v>
      </c>
    </row>
    <row r="239" spans="1:19" x14ac:dyDescent="0.15">
      <c r="A239">
        <v>115081</v>
      </c>
      <c r="B239" s="66" t="str">
        <f>D_奖励表!B230</f>
        <v>挑战Boss-乌鸦</v>
      </c>
      <c r="C239" s="67">
        <f t="shared" si="60"/>
        <v>2</v>
      </c>
      <c r="D239" s="66" t="str">
        <f>IF(E239="","",VLOOKUP(E239,引用表合并!$A:$B,2,FALSE))</f>
        <v>马仔碎片(乌鸦)</v>
      </c>
      <c r="E239" s="31">
        <v>78110</v>
      </c>
      <c r="F239" s="31">
        <v>3</v>
      </c>
      <c r="G239" s="66">
        <v>5000</v>
      </c>
      <c r="H239" s="66" t="str">
        <f>IF(I239="","",VLOOKUP(I239,引用表合并!$A:$B,2,FALSE))</f>
        <v>马仔碎片(乌鸦)</v>
      </c>
      <c r="I239" s="31">
        <v>78110</v>
      </c>
      <c r="J239" s="31">
        <v>2</v>
      </c>
      <c r="K239" s="66">
        <v>10000</v>
      </c>
      <c r="L239" s="66" t="str">
        <f>IF(M239="","",VLOOKUP(M239,引用表合并!$A:$B,2,FALSE))</f>
        <v/>
      </c>
      <c r="M239" s="31"/>
      <c r="P239" s="66" t="str">
        <f>IF(Q239="","",VLOOKUP(Q239,引用表合并!$A:$B,2,FALSE))</f>
        <v/>
      </c>
      <c r="Q239" s="31"/>
      <c r="S239" s="66" t="s">
        <v>1023</v>
      </c>
    </row>
    <row r="240" spans="1:19" x14ac:dyDescent="0.15">
      <c r="A240">
        <v>115082</v>
      </c>
      <c r="B240" s="66" t="str">
        <f>D_奖励表!B231</f>
        <v>挑战Boss-乌鸦</v>
      </c>
      <c r="C240" s="67">
        <f t="shared" si="60"/>
        <v>3</v>
      </c>
      <c r="D240" s="66" t="str">
        <f>IF(E240="","",VLOOKUP(E240,引用表合并!$A:$B,2,FALSE))</f>
        <v>马仔碎片(乌鸦)</v>
      </c>
      <c r="E240" s="31">
        <v>78110</v>
      </c>
      <c r="F240" s="31">
        <v>3</v>
      </c>
      <c r="G240" s="66">
        <v>5000</v>
      </c>
      <c r="H240" s="66" t="str">
        <f>IF(I240="","",VLOOKUP(I240,引用表合并!$A:$B,2,FALSE))</f>
        <v>马仔碎片(乌鸦)</v>
      </c>
      <c r="I240" s="31">
        <v>78110</v>
      </c>
      <c r="J240" s="31">
        <v>2</v>
      </c>
      <c r="K240" s="66">
        <v>8000</v>
      </c>
      <c r="L240" s="66" t="str">
        <f>IF(M240="","",VLOOKUP(M240,引用表合并!$A:$B,2,FALSE))</f>
        <v>马仔碎片(乌鸦)</v>
      </c>
      <c r="M240" s="31">
        <v>78110</v>
      </c>
      <c r="N240" s="31">
        <v>4</v>
      </c>
      <c r="O240" s="66">
        <v>10000</v>
      </c>
      <c r="P240" s="66" t="str">
        <f>IF(Q240="","",VLOOKUP(Q240,引用表合并!$A:$B,2,FALSE))</f>
        <v/>
      </c>
      <c r="Q240" s="31"/>
      <c r="S240" s="66" t="s">
        <v>1023</v>
      </c>
    </row>
    <row r="241" spans="1:19" x14ac:dyDescent="0.15">
      <c r="A241">
        <v>115083</v>
      </c>
      <c r="B241" s="66" t="str">
        <f>D_奖励表!B232</f>
        <v>挑战Boss-乌鸦</v>
      </c>
      <c r="C241" s="67">
        <f t="shared" si="60"/>
        <v>3</v>
      </c>
      <c r="D241" s="66" t="str">
        <f>IF(E241="","",VLOOKUP(E241,引用表合并!$A:$B,2,FALSE))</f>
        <v>马仔碎片(乌鸦)</v>
      </c>
      <c r="E241" s="31">
        <v>78110</v>
      </c>
      <c r="F241" s="31">
        <v>3</v>
      </c>
      <c r="G241" s="66">
        <v>5000</v>
      </c>
      <c r="H241" s="66" t="str">
        <f>IF(I241="","",VLOOKUP(I241,引用表合并!$A:$B,2,FALSE))</f>
        <v>马仔碎片(乌鸦)</v>
      </c>
      <c r="I241" s="31">
        <v>78110</v>
      </c>
      <c r="J241" s="31">
        <v>2</v>
      </c>
      <c r="K241" s="66">
        <v>7000</v>
      </c>
      <c r="L241" s="66" t="str">
        <f>IF(M241="","",VLOOKUP(M241,引用表合并!$A:$B,2,FALSE))</f>
        <v>马仔碎片(乌鸦)</v>
      </c>
      <c r="M241" s="31">
        <v>78110</v>
      </c>
      <c r="N241" s="31">
        <v>4</v>
      </c>
      <c r="O241" s="66">
        <v>10000</v>
      </c>
      <c r="P241" s="66" t="str">
        <f>IF(Q241="","",VLOOKUP(Q241,引用表合并!$A:$B,2,FALSE))</f>
        <v/>
      </c>
      <c r="Q241" s="31"/>
      <c r="S241" s="66" t="s">
        <v>1023</v>
      </c>
    </row>
    <row r="242" spans="1:19" x14ac:dyDescent="0.15">
      <c r="A242">
        <v>115084</v>
      </c>
      <c r="B242" s="66" t="str">
        <f>D_奖励表!B233</f>
        <v>挑战Boss-乌鸦</v>
      </c>
      <c r="C242" s="67">
        <f t="shared" si="60"/>
        <v>2</v>
      </c>
      <c r="D242" s="66" t="str">
        <f>IF(E242="","",VLOOKUP(E242,引用表合并!$A:$B,2,FALSE))</f>
        <v>马仔碎片(乌鸦)</v>
      </c>
      <c r="E242" s="31">
        <v>78110</v>
      </c>
      <c r="F242" s="31">
        <v>4</v>
      </c>
      <c r="G242" s="66">
        <v>5000</v>
      </c>
      <c r="H242" s="66" t="str">
        <f>IF(I242="","",VLOOKUP(I242,引用表合并!$A:$B,2,FALSE))</f>
        <v>马仔碎片(乌鸦)</v>
      </c>
      <c r="I242" s="31">
        <v>78110</v>
      </c>
      <c r="J242" s="31">
        <v>3</v>
      </c>
      <c r="K242" s="66">
        <v>10000</v>
      </c>
      <c r="L242" s="66" t="str">
        <f>IF(M242="","",VLOOKUP(M242,引用表合并!$A:$B,2,FALSE))</f>
        <v/>
      </c>
      <c r="M242" s="31"/>
      <c r="P242" s="66" t="str">
        <f>IF(Q242="","",VLOOKUP(Q242,引用表合并!$A:$B,2,FALSE))</f>
        <v/>
      </c>
      <c r="Q242" s="31"/>
      <c r="S242" s="66" t="s">
        <v>1023</v>
      </c>
    </row>
    <row r="243" spans="1:19" x14ac:dyDescent="0.15">
      <c r="A243">
        <v>115085</v>
      </c>
      <c r="B243" s="66" t="str">
        <f>D_奖励表!B234</f>
        <v>挑战Boss-乌鸦</v>
      </c>
      <c r="C243" s="67">
        <f t="shared" si="60"/>
        <v>2</v>
      </c>
      <c r="D243" s="66" t="str">
        <f>IF(E243="","",VLOOKUP(E243,引用表合并!$A:$B,2,FALSE))</f>
        <v>马仔碎片(乌鸦)</v>
      </c>
      <c r="E243" s="31">
        <v>78110</v>
      </c>
      <c r="F243" s="31">
        <v>4</v>
      </c>
      <c r="G243" s="66">
        <v>6500</v>
      </c>
      <c r="H243" s="66" t="str">
        <f>IF(I243="","",VLOOKUP(I243,引用表合并!$A:$B,2,FALSE))</f>
        <v>马仔碎片(乌鸦)</v>
      </c>
      <c r="I243" s="31">
        <v>78110</v>
      </c>
      <c r="J243" s="31">
        <v>3</v>
      </c>
      <c r="K243" s="66">
        <v>10000</v>
      </c>
      <c r="L243" s="66" t="str">
        <f>IF(M243="","",VLOOKUP(M243,引用表合并!$A:$B,2,FALSE))</f>
        <v/>
      </c>
      <c r="M243" s="31"/>
      <c r="P243" s="66" t="str">
        <f>IF(Q243="","",VLOOKUP(Q243,引用表合并!$A:$B,2,FALSE))</f>
        <v/>
      </c>
      <c r="Q243" s="31"/>
      <c r="S243" s="66" t="s">
        <v>1023</v>
      </c>
    </row>
    <row r="244" spans="1:19" x14ac:dyDescent="0.15">
      <c r="A244">
        <v>115086</v>
      </c>
      <c r="B244" s="66" t="str">
        <f>D_奖励表!B235</f>
        <v>挑战Boss-乌鸦</v>
      </c>
      <c r="C244" s="67">
        <f t="shared" si="60"/>
        <v>3</v>
      </c>
      <c r="D244" s="66" t="str">
        <f>IF(E244="","",VLOOKUP(E244,引用表合并!$A:$B,2,FALSE))</f>
        <v>马仔碎片(乌鸦)</v>
      </c>
      <c r="E244" s="31">
        <v>78110</v>
      </c>
      <c r="F244" s="31">
        <v>4</v>
      </c>
      <c r="G244" s="66">
        <v>6000</v>
      </c>
      <c r="H244" s="66" t="str">
        <f>IF(I244="","",VLOOKUP(I244,引用表合并!$A:$B,2,FALSE))</f>
        <v>马仔碎片(乌鸦)</v>
      </c>
      <c r="I244" s="31">
        <v>78110</v>
      </c>
      <c r="J244" s="31">
        <v>3</v>
      </c>
      <c r="K244" s="66">
        <v>8000</v>
      </c>
      <c r="L244" s="66" t="str">
        <f>IF(M244="","",VLOOKUP(M244,引用表合并!$A:$B,2,FALSE))</f>
        <v>马仔碎片(乌鸦)</v>
      </c>
      <c r="M244" s="31">
        <v>78110</v>
      </c>
      <c r="N244" s="31">
        <v>5</v>
      </c>
      <c r="O244" s="66">
        <v>10000</v>
      </c>
      <c r="P244" s="66" t="str">
        <f>IF(Q244="","",VLOOKUP(Q244,引用表合并!$A:$B,2,FALSE))</f>
        <v/>
      </c>
      <c r="Q244" s="31"/>
      <c r="S244" s="66" t="s">
        <v>1023</v>
      </c>
    </row>
    <row r="245" spans="1:19" x14ac:dyDescent="0.15">
      <c r="A245">
        <v>115087</v>
      </c>
      <c r="B245" s="66" t="str">
        <f>D_奖励表!B236</f>
        <v>挑战Boss-乌鸦</v>
      </c>
      <c r="C245" s="67">
        <f t="shared" si="60"/>
        <v>2</v>
      </c>
      <c r="D245" s="66" t="str">
        <f>IF(E245="","",VLOOKUP(E245,引用表合并!$A:$B,2,FALSE))</f>
        <v>马仔碎片(乌鸦)</v>
      </c>
      <c r="E245" s="31">
        <v>78110</v>
      </c>
      <c r="F245" s="31">
        <v>5</v>
      </c>
      <c r="G245" s="66">
        <v>5000</v>
      </c>
      <c r="H245" s="66" t="str">
        <f>IF(I245="","",VLOOKUP(I245,引用表合并!$A:$B,2,FALSE))</f>
        <v>马仔碎片(乌鸦)</v>
      </c>
      <c r="I245" s="31">
        <v>78110</v>
      </c>
      <c r="J245" s="31">
        <v>4</v>
      </c>
      <c r="K245" s="66">
        <v>10000</v>
      </c>
      <c r="L245" s="66" t="str">
        <f>IF(M245="","",VLOOKUP(M245,引用表合并!$A:$B,2,FALSE))</f>
        <v/>
      </c>
      <c r="M245" s="31"/>
      <c r="P245" s="66" t="str">
        <f>IF(Q245="","",VLOOKUP(Q245,引用表合并!$A:$B,2,FALSE))</f>
        <v/>
      </c>
      <c r="Q245" s="31"/>
      <c r="S245" s="66" t="s">
        <v>1023</v>
      </c>
    </row>
    <row r="246" spans="1:19" x14ac:dyDescent="0.15">
      <c r="A246">
        <v>115088</v>
      </c>
      <c r="B246" s="66" t="str">
        <f>D_奖励表!B237</f>
        <v>挑战Boss-乌鸦</v>
      </c>
      <c r="C246" s="67">
        <f t="shared" si="60"/>
        <v>3</v>
      </c>
      <c r="D246" s="66" t="str">
        <f>IF(E246="","",VLOOKUP(E246,引用表合并!$A:$B,2,FALSE))</f>
        <v>马仔碎片(乌鸦)</v>
      </c>
      <c r="E246" s="31">
        <v>78110</v>
      </c>
      <c r="F246" s="31">
        <v>5</v>
      </c>
      <c r="G246" s="66">
        <v>5000</v>
      </c>
      <c r="H246" s="66" t="str">
        <f>IF(I246="","",VLOOKUP(I246,引用表合并!$A:$B,2,FALSE))</f>
        <v>马仔碎片(乌鸦)</v>
      </c>
      <c r="I246" s="31">
        <v>78110</v>
      </c>
      <c r="J246" s="31">
        <v>4</v>
      </c>
      <c r="K246" s="66">
        <v>7000</v>
      </c>
      <c r="L246" s="66" t="str">
        <f>IF(M246="","",VLOOKUP(M246,引用表合并!$A:$B,2,FALSE))</f>
        <v>马仔碎片(乌鸦)</v>
      </c>
      <c r="M246" s="31">
        <v>78110</v>
      </c>
      <c r="N246" s="31">
        <v>6</v>
      </c>
      <c r="O246" s="66">
        <v>10000</v>
      </c>
      <c r="P246" s="66" t="str">
        <f>IF(Q246="","",VLOOKUP(Q246,引用表合并!$A:$B,2,FALSE))</f>
        <v/>
      </c>
      <c r="Q246" s="31"/>
      <c r="S246" s="66" t="s">
        <v>1023</v>
      </c>
    </row>
    <row r="247" spans="1:19" x14ac:dyDescent="0.15">
      <c r="A247">
        <v>115089</v>
      </c>
      <c r="B247" s="66" t="str">
        <f>D_奖励表!B238</f>
        <v>挑战Boss-乌鸦</v>
      </c>
      <c r="C247" s="67">
        <f t="shared" si="60"/>
        <v>2</v>
      </c>
      <c r="D247" s="66" t="str">
        <f>IF(E247="","",VLOOKUP(E247,引用表合并!$A:$B,2,FALSE))</f>
        <v>马仔碎片(乌鸦)</v>
      </c>
      <c r="E247" s="31">
        <v>78110</v>
      </c>
      <c r="F247" s="31">
        <v>6</v>
      </c>
      <c r="G247" s="66">
        <v>6000</v>
      </c>
      <c r="H247" s="66" t="str">
        <f>IF(I247="","",VLOOKUP(I247,引用表合并!$A:$B,2,FALSE))</f>
        <v>马仔碎片(乌鸦)</v>
      </c>
      <c r="I247" s="31">
        <v>78110</v>
      </c>
      <c r="J247" s="31">
        <v>5</v>
      </c>
      <c r="K247" s="66">
        <v>10000</v>
      </c>
      <c r="L247" s="66" t="str">
        <f>IF(M247="","",VLOOKUP(M247,引用表合并!$A:$B,2,FALSE))</f>
        <v/>
      </c>
      <c r="M247" s="31"/>
      <c r="P247" s="66" t="str">
        <f>IF(Q247="","",VLOOKUP(Q247,引用表合并!$A:$B,2,FALSE))</f>
        <v/>
      </c>
      <c r="Q247" s="31"/>
      <c r="S247" s="66" t="s">
        <v>1023</v>
      </c>
    </row>
    <row r="248" spans="1:19" x14ac:dyDescent="0.15">
      <c r="A248">
        <v>115090</v>
      </c>
      <c r="B248" s="66" t="str">
        <f>D_奖励表!B239</f>
        <v>挑战Boss-山下忠秀</v>
      </c>
      <c r="C248" s="67">
        <f t="shared" si="60"/>
        <v>1</v>
      </c>
      <c r="D248" s="66" t="str">
        <f>IF(E248="","",VLOOKUP(E248,引用表合并!$A:$B,2,FALSE))</f>
        <v>马仔碎片(山下忠秀)</v>
      </c>
      <c r="E248" s="31">
        <v>78112</v>
      </c>
      <c r="F248" s="31">
        <v>2</v>
      </c>
      <c r="G248" s="66">
        <v>10000</v>
      </c>
      <c r="H248" s="66" t="str">
        <f>IF(I248="","",VLOOKUP(I248,引用表合并!$A:$B,2,FALSE))</f>
        <v/>
      </c>
      <c r="I248" s="31"/>
      <c r="L248" s="66" t="str">
        <f>IF(M248="","",VLOOKUP(M248,引用表合并!$A:$B,2,FALSE))</f>
        <v/>
      </c>
      <c r="M248" s="31"/>
      <c r="P248" s="66" t="str">
        <f>IF(Q248="","",VLOOKUP(Q248,引用表合并!$A:$B,2,FALSE))</f>
        <v/>
      </c>
      <c r="Q248" s="31"/>
      <c r="S248" s="66" t="s">
        <v>1023</v>
      </c>
    </row>
    <row r="249" spans="1:19" x14ac:dyDescent="0.15">
      <c r="A249">
        <v>115091</v>
      </c>
      <c r="B249" s="66" t="str">
        <f>D_奖励表!B240</f>
        <v>挑战Boss-山下忠秀</v>
      </c>
      <c r="C249" s="67">
        <f t="shared" si="60"/>
        <v>2</v>
      </c>
      <c r="D249" s="66" t="str">
        <f>IF(E249="","",VLOOKUP(E249,引用表合并!$A:$B,2,FALSE))</f>
        <v>马仔碎片(山下忠秀)</v>
      </c>
      <c r="E249" s="31">
        <v>78112</v>
      </c>
      <c r="F249" s="31">
        <v>3</v>
      </c>
      <c r="G249" s="66">
        <v>5000</v>
      </c>
      <c r="H249" s="66" t="str">
        <f>IF(I249="","",VLOOKUP(I249,引用表合并!$A:$B,2,FALSE))</f>
        <v>马仔碎片(山下忠秀)</v>
      </c>
      <c r="I249" s="31">
        <v>78112</v>
      </c>
      <c r="J249" s="31">
        <v>2</v>
      </c>
      <c r="K249" s="66">
        <v>10000</v>
      </c>
      <c r="L249" s="66" t="str">
        <f>IF(M249="","",VLOOKUP(M249,引用表合并!$A:$B,2,FALSE))</f>
        <v/>
      </c>
      <c r="M249" s="31"/>
      <c r="P249" s="66" t="str">
        <f>IF(Q249="","",VLOOKUP(Q249,引用表合并!$A:$B,2,FALSE))</f>
        <v/>
      </c>
      <c r="Q249" s="31"/>
      <c r="S249" s="66" t="s">
        <v>1023</v>
      </c>
    </row>
    <row r="250" spans="1:19" x14ac:dyDescent="0.15">
      <c r="A250">
        <v>115092</v>
      </c>
      <c r="B250" s="66" t="str">
        <f>D_奖励表!B241</f>
        <v>挑战Boss-山下忠秀</v>
      </c>
      <c r="C250" s="67">
        <f t="shared" si="60"/>
        <v>3</v>
      </c>
      <c r="D250" s="66" t="str">
        <f>IF(E250="","",VLOOKUP(E250,引用表合并!$A:$B,2,FALSE))</f>
        <v>马仔碎片(山下忠秀)</v>
      </c>
      <c r="E250" s="31">
        <v>78112</v>
      </c>
      <c r="F250" s="31">
        <v>3</v>
      </c>
      <c r="G250" s="66">
        <v>5000</v>
      </c>
      <c r="H250" s="66" t="str">
        <f>IF(I250="","",VLOOKUP(I250,引用表合并!$A:$B,2,FALSE))</f>
        <v>马仔碎片(山下忠秀)</v>
      </c>
      <c r="I250" s="31">
        <v>78112</v>
      </c>
      <c r="J250" s="31">
        <v>2</v>
      </c>
      <c r="K250" s="66">
        <v>8000</v>
      </c>
      <c r="L250" s="66" t="str">
        <f>IF(M250="","",VLOOKUP(M250,引用表合并!$A:$B,2,FALSE))</f>
        <v>马仔碎片(山下忠秀)</v>
      </c>
      <c r="M250" s="31">
        <v>78112</v>
      </c>
      <c r="N250" s="31">
        <v>4</v>
      </c>
      <c r="O250" s="66">
        <v>10000</v>
      </c>
      <c r="P250" s="66" t="str">
        <f>IF(Q250="","",VLOOKUP(Q250,引用表合并!$A:$B,2,FALSE))</f>
        <v/>
      </c>
      <c r="Q250" s="31"/>
      <c r="S250" s="66" t="s">
        <v>1023</v>
      </c>
    </row>
    <row r="251" spans="1:19" x14ac:dyDescent="0.15">
      <c r="A251">
        <v>115093</v>
      </c>
      <c r="B251" s="66" t="str">
        <f>D_奖励表!B242</f>
        <v>挑战Boss-山下忠秀</v>
      </c>
      <c r="C251" s="67">
        <f t="shared" si="60"/>
        <v>3</v>
      </c>
      <c r="D251" s="66" t="str">
        <f>IF(E251="","",VLOOKUP(E251,引用表合并!$A:$B,2,FALSE))</f>
        <v>马仔碎片(山下忠秀)</v>
      </c>
      <c r="E251" s="31">
        <v>78112</v>
      </c>
      <c r="F251" s="31">
        <v>3</v>
      </c>
      <c r="G251" s="66">
        <v>5000</v>
      </c>
      <c r="H251" s="66" t="str">
        <f>IF(I251="","",VLOOKUP(I251,引用表合并!$A:$B,2,FALSE))</f>
        <v>马仔碎片(山下忠秀)</v>
      </c>
      <c r="I251" s="31">
        <v>78112</v>
      </c>
      <c r="J251" s="31">
        <v>2</v>
      </c>
      <c r="K251" s="66">
        <v>7000</v>
      </c>
      <c r="L251" s="66" t="str">
        <f>IF(M251="","",VLOOKUP(M251,引用表合并!$A:$B,2,FALSE))</f>
        <v>马仔碎片(山下忠秀)</v>
      </c>
      <c r="M251" s="31">
        <v>78112</v>
      </c>
      <c r="N251" s="31">
        <v>4</v>
      </c>
      <c r="O251" s="66">
        <v>10000</v>
      </c>
      <c r="P251" s="66" t="str">
        <f>IF(Q251="","",VLOOKUP(Q251,引用表合并!$A:$B,2,FALSE))</f>
        <v/>
      </c>
      <c r="Q251" s="31"/>
      <c r="S251" s="66" t="s">
        <v>1023</v>
      </c>
    </row>
    <row r="252" spans="1:19" x14ac:dyDescent="0.15">
      <c r="A252">
        <v>115094</v>
      </c>
      <c r="B252" s="66" t="str">
        <f>D_奖励表!B243</f>
        <v>挑战Boss-山下忠秀</v>
      </c>
      <c r="C252" s="67">
        <f t="shared" si="60"/>
        <v>2</v>
      </c>
      <c r="D252" s="66" t="str">
        <f>IF(E252="","",VLOOKUP(E252,引用表合并!$A:$B,2,FALSE))</f>
        <v>马仔碎片(山下忠秀)</v>
      </c>
      <c r="E252" s="31">
        <v>78112</v>
      </c>
      <c r="F252" s="31">
        <v>4</v>
      </c>
      <c r="G252" s="66">
        <v>5000</v>
      </c>
      <c r="H252" s="66" t="str">
        <f>IF(I252="","",VLOOKUP(I252,引用表合并!$A:$B,2,FALSE))</f>
        <v>马仔碎片(山下忠秀)</v>
      </c>
      <c r="I252" s="31">
        <v>78112</v>
      </c>
      <c r="J252" s="31">
        <v>3</v>
      </c>
      <c r="K252" s="66">
        <v>10000</v>
      </c>
      <c r="L252" s="66" t="str">
        <f>IF(M252="","",VLOOKUP(M252,引用表合并!$A:$B,2,FALSE))</f>
        <v/>
      </c>
      <c r="M252" s="31"/>
      <c r="P252" s="66" t="str">
        <f>IF(Q252="","",VLOOKUP(Q252,引用表合并!$A:$B,2,FALSE))</f>
        <v/>
      </c>
      <c r="Q252" s="31"/>
      <c r="S252" s="66" t="s">
        <v>1023</v>
      </c>
    </row>
    <row r="253" spans="1:19" x14ac:dyDescent="0.15">
      <c r="A253">
        <v>115095</v>
      </c>
      <c r="B253" s="66" t="str">
        <f>D_奖励表!B244</f>
        <v>挑战Boss-山下忠秀</v>
      </c>
      <c r="C253" s="67">
        <f t="shared" si="60"/>
        <v>2</v>
      </c>
      <c r="D253" s="66" t="str">
        <f>IF(E253="","",VLOOKUP(E253,引用表合并!$A:$B,2,FALSE))</f>
        <v>马仔碎片(山下忠秀)</v>
      </c>
      <c r="E253" s="31">
        <v>78112</v>
      </c>
      <c r="F253" s="31">
        <v>4</v>
      </c>
      <c r="G253" s="66">
        <v>6500</v>
      </c>
      <c r="H253" s="66" t="str">
        <f>IF(I253="","",VLOOKUP(I253,引用表合并!$A:$B,2,FALSE))</f>
        <v>马仔碎片(山下忠秀)</v>
      </c>
      <c r="I253" s="31">
        <v>78112</v>
      </c>
      <c r="J253" s="31">
        <v>3</v>
      </c>
      <c r="K253" s="66">
        <v>10000</v>
      </c>
      <c r="L253" s="66" t="str">
        <f>IF(M253="","",VLOOKUP(M253,引用表合并!$A:$B,2,FALSE))</f>
        <v/>
      </c>
      <c r="M253" s="31"/>
      <c r="P253" s="66" t="str">
        <f>IF(Q253="","",VLOOKUP(Q253,引用表合并!$A:$B,2,FALSE))</f>
        <v/>
      </c>
      <c r="Q253" s="31"/>
      <c r="S253" s="66" t="s">
        <v>1023</v>
      </c>
    </row>
    <row r="254" spans="1:19" x14ac:dyDescent="0.15">
      <c r="A254">
        <v>115096</v>
      </c>
      <c r="B254" s="66" t="str">
        <f>D_奖励表!B245</f>
        <v>挑战Boss-山下忠秀</v>
      </c>
      <c r="C254" s="67">
        <f t="shared" si="60"/>
        <v>3</v>
      </c>
      <c r="D254" s="66" t="str">
        <f>IF(E254="","",VLOOKUP(E254,引用表合并!$A:$B,2,FALSE))</f>
        <v>马仔碎片(山下忠秀)</v>
      </c>
      <c r="E254" s="31">
        <v>78112</v>
      </c>
      <c r="F254" s="31">
        <v>4</v>
      </c>
      <c r="G254" s="66">
        <v>6000</v>
      </c>
      <c r="H254" s="66" t="str">
        <f>IF(I254="","",VLOOKUP(I254,引用表合并!$A:$B,2,FALSE))</f>
        <v>马仔碎片(山下忠秀)</v>
      </c>
      <c r="I254" s="31">
        <v>78112</v>
      </c>
      <c r="J254" s="31">
        <v>3</v>
      </c>
      <c r="K254" s="66">
        <v>8000</v>
      </c>
      <c r="L254" s="66" t="str">
        <f>IF(M254="","",VLOOKUP(M254,引用表合并!$A:$B,2,FALSE))</f>
        <v>马仔碎片(山下忠秀)</v>
      </c>
      <c r="M254" s="31">
        <v>78112</v>
      </c>
      <c r="N254" s="31">
        <v>5</v>
      </c>
      <c r="O254" s="66">
        <v>10000</v>
      </c>
      <c r="P254" s="66" t="str">
        <f>IF(Q254="","",VLOOKUP(Q254,引用表合并!$A:$B,2,FALSE))</f>
        <v/>
      </c>
      <c r="Q254" s="31"/>
      <c r="S254" s="66" t="s">
        <v>1023</v>
      </c>
    </row>
    <row r="255" spans="1:19" x14ac:dyDescent="0.15">
      <c r="A255">
        <v>115097</v>
      </c>
      <c r="B255" s="66" t="str">
        <f>D_奖励表!B246</f>
        <v>挑战Boss-山下忠秀</v>
      </c>
      <c r="C255" s="67">
        <f t="shared" si="60"/>
        <v>2</v>
      </c>
      <c r="D255" s="66" t="str">
        <f>IF(E255="","",VLOOKUP(E255,引用表合并!$A:$B,2,FALSE))</f>
        <v>马仔碎片(山下忠秀)</v>
      </c>
      <c r="E255" s="31">
        <v>78112</v>
      </c>
      <c r="F255" s="31">
        <v>5</v>
      </c>
      <c r="G255" s="66">
        <v>5000</v>
      </c>
      <c r="H255" s="66" t="str">
        <f>IF(I255="","",VLOOKUP(I255,引用表合并!$A:$B,2,FALSE))</f>
        <v>马仔碎片(山下忠秀)</v>
      </c>
      <c r="I255" s="31">
        <v>78112</v>
      </c>
      <c r="J255" s="31">
        <v>4</v>
      </c>
      <c r="K255" s="66">
        <v>10000</v>
      </c>
      <c r="L255" s="66" t="str">
        <f>IF(M255="","",VLOOKUP(M255,引用表合并!$A:$B,2,FALSE))</f>
        <v/>
      </c>
      <c r="M255" s="31"/>
      <c r="P255" s="66" t="str">
        <f>IF(Q255="","",VLOOKUP(Q255,引用表合并!$A:$B,2,FALSE))</f>
        <v/>
      </c>
      <c r="Q255" s="31"/>
      <c r="S255" s="66" t="s">
        <v>1023</v>
      </c>
    </row>
    <row r="256" spans="1:19" x14ac:dyDescent="0.15">
      <c r="A256">
        <v>115098</v>
      </c>
      <c r="B256" s="66" t="str">
        <f>D_奖励表!B247</f>
        <v>挑战Boss-山下忠秀</v>
      </c>
      <c r="C256" s="67">
        <f t="shared" si="60"/>
        <v>3</v>
      </c>
      <c r="D256" s="66" t="str">
        <f>IF(E256="","",VLOOKUP(E256,引用表合并!$A:$B,2,FALSE))</f>
        <v>马仔碎片(山下忠秀)</v>
      </c>
      <c r="E256" s="31">
        <v>78112</v>
      </c>
      <c r="F256" s="31">
        <v>5</v>
      </c>
      <c r="G256" s="66">
        <v>5000</v>
      </c>
      <c r="H256" s="66" t="str">
        <f>IF(I256="","",VLOOKUP(I256,引用表合并!$A:$B,2,FALSE))</f>
        <v>马仔碎片(山下忠秀)</v>
      </c>
      <c r="I256" s="31">
        <v>78112</v>
      </c>
      <c r="J256" s="31">
        <v>4</v>
      </c>
      <c r="K256" s="66">
        <v>7000</v>
      </c>
      <c r="L256" s="66" t="str">
        <f>IF(M256="","",VLOOKUP(M256,引用表合并!$A:$B,2,FALSE))</f>
        <v>马仔碎片(山下忠秀)</v>
      </c>
      <c r="M256" s="31">
        <v>78112</v>
      </c>
      <c r="N256" s="31">
        <v>6</v>
      </c>
      <c r="O256" s="66">
        <v>10000</v>
      </c>
      <c r="P256" s="66" t="str">
        <f>IF(Q256="","",VLOOKUP(Q256,引用表合并!$A:$B,2,FALSE))</f>
        <v/>
      </c>
      <c r="Q256" s="31"/>
      <c r="S256" s="66" t="s">
        <v>1023</v>
      </c>
    </row>
    <row r="257" spans="1:19" x14ac:dyDescent="0.15">
      <c r="A257">
        <v>115099</v>
      </c>
      <c r="B257" s="66" t="str">
        <f>D_奖励表!B248</f>
        <v>挑战Boss-山下忠秀</v>
      </c>
      <c r="C257" s="67">
        <f t="shared" si="60"/>
        <v>2</v>
      </c>
      <c r="D257" s="66" t="str">
        <f>IF(E257="","",VLOOKUP(E257,引用表合并!$A:$B,2,FALSE))</f>
        <v>马仔碎片(山下忠秀)</v>
      </c>
      <c r="E257" s="31">
        <v>78112</v>
      </c>
      <c r="F257" s="31">
        <v>6</v>
      </c>
      <c r="G257" s="66">
        <v>6000</v>
      </c>
      <c r="H257" s="66" t="str">
        <f>IF(I257="","",VLOOKUP(I257,引用表合并!$A:$B,2,FALSE))</f>
        <v>马仔碎片(山下忠秀)</v>
      </c>
      <c r="I257" s="31">
        <v>78112</v>
      </c>
      <c r="J257" s="31">
        <v>5</v>
      </c>
      <c r="K257" s="66">
        <v>10000</v>
      </c>
      <c r="L257" s="66" t="str">
        <f>IF(M257="","",VLOOKUP(M257,引用表合并!$A:$B,2,FALSE))</f>
        <v/>
      </c>
      <c r="M257" s="31"/>
      <c r="P257" s="66" t="str">
        <f>IF(Q257="","",VLOOKUP(Q257,引用表合并!$A:$B,2,FALSE))</f>
        <v/>
      </c>
      <c r="Q257" s="31"/>
      <c r="S257" s="66" t="s">
        <v>1023</v>
      </c>
    </row>
    <row r="258" spans="1:19" x14ac:dyDescent="0.15">
      <c r="A258">
        <v>115100</v>
      </c>
      <c r="B258" s="66" t="str">
        <f>D_奖励表!B249</f>
        <v>挑战Boss-宫本一</v>
      </c>
      <c r="C258" s="67">
        <f t="shared" si="60"/>
        <v>1</v>
      </c>
      <c r="D258" s="66" t="str">
        <f>IF(E258="","",VLOOKUP(E258,引用表合并!$A:$B,2,FALSE))</f>
        <v>马仔碎片(宫本一)</v>
      </c>
      <c r="E258" s="31">
        <v>78113</v>
      </c>
      <c r="F258" s="31">
        <v>2</v>
      </c>
      <c r="G258" s="66">
        <v>10000</v>
      </c>
      <c r="H258" s="66" t="str">
        <f>IF(I258="","",VLOOKUP(I258,引用表合并!$A:$B,2,FALSE))</f>
        <v/>
      </c>
      <c r="I258" s="31"/>
      <c r="L258" s="66" t="str">
        <f>IF(M258="","",VLOOKUP(M258,引用表合并!$A:$B,2,FALSE))</f>
        <v/>
      </c>
      <c r="M258" s="31"/>
      <c r="P258" s="66" t="str">
        <f>IF(Q258="","",VLOOKUP(Q258,引用表合并!$A:$B,2,FALSE))</f>
        <v/>
      </c>
      <c r="Q258" s="31"/>
      <c r="S258" s="66" t="s">
        <v>1023</v>
      </c>
    </row>
    <row r="259" spans="1:19" x14ac:dyDescent="0.15">
      <c r="A259">
        <v>115101</v>
      </c>
      <c r="B259" s="66" t="str">
        <f>D_奖励表!B250</f>
        <v>挑战Boss-宫本一</v>
      </c>
      <c r="C259" s="67">
        <f t="shared" si="60"/>
        <v>2</v>
      </c>
      <c r="D259" s="66" t="str">
        <f>IF(E259="","",VLOOKUP(E259,引用表合并!$A:$B,2,FALSE))</f>
        <v>马仔碎片(宫本一)</v>
      </c>
      <c r="E259" s="31">
        <v>78113</v>
      </c>
      <c r="F259" s="31">
        <v>3</v>
      </c>
      <c r="G259" s="66">
        <v>5000</v>
      </c>
      <c r="H259" s="66" t="str">
        <f>IF(I259="","",VLOOKUP(I259,引用表合并!$A:$B,2,FALSE))</f>
        <v>马仔碎片(宫本一)</v>
      </c>
      <c r="I259" s="31">
        <v>78113</v>
      </c>
      <c r="J259" s="31">
        <v>2</v>
      </c>
      <c r="K259" s="66">
        <v>10000</v>
      </c>
      <c r="L259" s="66" t="str">
        <f>IF(M259="","",VLOOKUP(M259,引用表合并!$A:$B,2,FALSE))</f>
        <v/>
      </c>
      <c r="M259" s="31"/>
      <c r="P259" s="66" t="str">
        <f>IF(Q259="","",VLOOKUP(Q259,引用表合并!$A:$B,2,FALSE))</f>
        <v/>
      </c>
      <c r="Q259" s="31"/>
      <c r="S259" s="66" t="s">
        <v>1023</v>
      </c>
    </row>
    <row r="260" spans="1:19" x14ac:dyDescent="0.15">
      <c r="A260">
        <v>115102</v>
      </c>
      <c r="B260" s="66" t="str">
        <f>D_奖励表!B251</f>
        <v>挑战Boss-宫本一</v>
      </c>
      <c r="C260" s="67">
        <f t="shared" si="60"/>
        <v>3</v>
      </c>
      <c r="D260" s="66" t="str">
        <f>IF(E260="","",VLOOKUP(E260,引用表合并!$A:$B,2,FALSE))</f>
        <v>马仔碎片(宫本一)</v>
      </c>
      <c r="E260" s="31">
        <v>78113</v>
      </c>
      <c r="F260" s="31">
        <v>3</v>
      </c>
      <c r="G260" s="66">
        <v>5000</v>
      </c>
      <c r="H260" s="66" t="str">
        <f>IF(I260="","",VLOOKUP(I260,引用表合并!$A:$B,2,FALSE))</f>
        <v>马仔碎片(宫本一)</v>
      </c>
      <c r="I260" s="31">
        <v>78113</v>
      </c>
      <c r="J260" s="31">
        <v>2</v>
      </c>
      <c r="K260" s="66">
        <v>8000</v>
      </c>
      <c r="L260" s="66" t="str">
        <f>IF(M260="","",VLOOKUP(M260,引用表合并!$A:$B,2,FALSE))</f>
        <v>马仔碎片(宫本一)</v>
      </c>
      <c r="M260" s="31">
        <v>78113</v>
      </c>
      <c r="N260" s="31">
        <v>4</v>
      </c>
      <c r="O260" s="66">
        <v>10000</v>
      </c>
      <c r="P260" s="66" t="str">
        <f>IF(Q260="","",VLOOKUP(Q260,引用表合并!$A:$B,2,FALSE))</f>
        <v/>
      </c>
      <c r="Q260" s="31"/>
      <c r="S260" s="66" t="s">
        <v>1023</v>
      </c>
    </row>
    <row r="261" spans="1:19" x14ac:dyDescent="0.15">
      <c r="A261">
        <v>115103</v>
      </c>
      <c r="B261" s="66" t="str">
        <f>D_奖励表!B252</f>
        <v>挑战Boss-宫本一</v>
      </c>
      <c r="C261" s="67">
        <f t="shared" si="60"/>
        <v>3</v>
      </c>
      <c r="D261" s="66" t="str">
        <f>IF(E261="","",VLOOKUP(E261,引用表合并!$A:$B,2,FALSE))</f>
        <v>马仔碎片(宫本一)</v>
      </c>
      <c r="E261" s="31">
        <v>78113</v>
      </c>
      <c r="F261" s="31">
        <v>3</v>
      </c>
      <c r="G261" s="66">
        <v>5000</v>
      </c>
      <c r="H261" s="66" t="str">
        <f>IF(I261="","",VLOOKUP(I261,引用表合并!$A:$B,2,FALSE))</f>
        <v>马仔碎片(宫本一)</v>
      </c>
      <c r="I261" s="31">
        <v>78113</v>
      </c>
      <c r="J261" s="31">
        <v>2</v>
      </c>
      <c r="K261" s="66">
        <v>7000</v>
      </c>
      <c r="L261" s="66" t="str">
        <f>IF(M261="","",VLOOKUP(M261,引用表合并!$A:$B,2,FALSE))</f>
        <v>马仔碎片(宫本一)</v>
      </c>
      <c r="M261" s="31">
        <v>78113</v>
      </c>
      <c r="N261" s="31">
        <v>4</v>
      </c>
      <c r="O261" s="66">
        <v>10000</v>
      </c>
      <c r="P261" s="66" t="str">
        <f>IF(Q261="","",VLOOKUP(Q261,引用表合并!$A:$B,2,FALSE))</f>
        <v/>
      </c>
      <c r="Q261" s="31"/>
      <c r="S261" s="66" t="s">
        <v>1023</v>
      </c>
    </row>
    <row r="262" spans="1:19" x14ac:dyDescent="0.15">
      <c r="A262">
        <v>115104</v>
      </c>
      <c r="B262" s="66" t="str">
        <f>D_奖励表!B253</f>
        <v>挑战Boss-宫本一</v>
      </c>
      <c r="C262" s="67">
        <f t="shared" si="60"/>
        <v>2</v>
      </c>
      <c r="D262" s="66" t="str">
        <f>IF(E262="","",VLOOKUP(E262,引用表合并!$A:$B,2,FALSE))</f>
        <v>马仔碎片(宫本一)</v>
      </c>
      <c r="E262" s="31">
        <v>78113</v>
      </c>
      <c r="F262" s="31">
        <v>4</v>
      </c>
      <c r="G262" s="66">
        <v>5000</v>
      </c>
      <c r="H262" s="66" t="str">
        <f>IF(I262="","",VLOOKUP(I262,引用表合并!$A:$B,2,FALSE))</f>
        <v>马仔碎片(宫本一)</v>
      </c>
      <c r="I262" s="31">
        <v>78113</v>
      </c>
      <c r="J262" s="31">
        <v>3</v>
      </c>
      <c r="K262" s="66">
        <v>10000</v>
      </c>
      <c r="L262" s="66" t="str">
        <f>IF(M262="","",VLOOKUP(M262,引用表合并!$A:$B,2,FALSE))</f>
        <v/>
      </c>
      <c r="M262" s="31"/>
      <c r="P262" s="66" t="str">
        <f>IF(Q262="","",VLOOKUP(Q262,引用表合并!$A:$B,2,FALSE))</f>
        <v/>
      </c>
      <c r="Q262" s="31"/>
      <c r="S262" s="66" t="s">
        <v>1023</v>
      </c>
    </row>
    <row r="263" spans="1:19" x14ac:dyDescent="0.15">
      <c r="A263">
        <v>115105</v>
      </c>
      <c r="B263" s="66" t="str">
        <f>D_奖励表!B254</f>
        <v>挑战Boss-宫本一</v>
      </c>
      <c r="C263" s="67">
        <f t="shared" si="60"/>
        <v>2</v>
      </c>
      <c r="D263" s="66" t="str">
        <f>IF(E263="","",VLOOKUP(E263,引用表合并!$A:$B,2,FALSE))</f>
        <v>马仔碎片(宫本一)</v>
      </c>
      <c r="E263" s="31">
        <v>78113</v>
      </c>
      <c r="F263" s="31">
        <v>4</v>
      </c>
      <c r="G263" s="66">
        <v>6500</v>
      </c>
      <c r="H263" s="66" t="str">
        <f>IF(I263="","",VLOOKUP(I263,引用表合并!$A:$B,2,FALSE))</f>
        <v>马仔碎片(宫本一)</v>
      </c>
      <c r="I263" s="31">
        <v>78113</v>
      </c>
      <c r="J263" s="31">
        <v>3</v>
      </c>
      <c r="K263" s="66">
        <v>10000</v>
      </c>
      <c r="L263" s="66" t="str">
        <f>IF(M263="","",VLOOKUP(M263,引用表合并!$A:$B,2,FALSE))</f>
        <v/>
      </c>
      <c r="M263" s="31"/>
      <c r="P263" s="66" t="str">
        <f>IF(Q263="","",VLOOKUP(Q263,引用表合并!$A:$B,2,FALSE))</f>
        <v/>
      </c>
      <c r="Q263" s="31"/>
      <c r="S263" s="66" t="s">
        <v>1023</v>
      </c>
    </row>
    <row r="264" spans="1:19" x14ac:dyDescent="0.15">
      <c r="A264">
        <v>115106</v>
      </c>
      <c r="B264" s="66" t="str">
        <f>D_奖励表!B255</f>
        <v>挑战Boss-宫本一</v>
      </c>
      <c r="C264" s="67">
        <f t="shared" si="60"/>
        <v>3</v>
      </c>
      <c r="D264" s="66" t="str">
        <f>IF(E264="","",VLOOKUP(E264,引用表合并!$A:$B,2,FALSE))</f>
        <v>马仔碎片(宫本一)</v>
      </c>
      <c r="E264" s="31">
        <v>78113</v>
      </c>
      <c r="F264" s="31">
        <v>4</v>
      </c>
      <c r="G264" s="66">
        <v>6000</v>
      </c>
      <c r="H264" s="66" t="str">
        <f>IF(I264="","",VLOOKUP(I264,引用表合并!$A:$B,2,FALSE))</f>
        <v>马仔碎片(宫本一)</v>
      </c>
      <c r="I264" s="31">
        <v>78113</v>
      </c>
      <c r="J264" s="31">
        <v>3</v>
      </c>
      <c r="K264" s="66">
        <v>8000</v>
      </c>
      <c r="L264" s="66" t="str">
        <f>IF(M264="","",VLOOKUP(M264,引用表合并!$A:$B,2,FALSE))</f>
        <v>马仔碎片(宫本一)</v>
      </c>
      <c r="M264" s="31">
        <v>78113</v>
      </c>
      <c r="N264" s="31">
        <v>5</v>
      </c>
      <c r="O264" s="66">
        <v>10000</v>
      </c>
      <c r="P264" s="66" t="str">
        <f>IF(Q264="","",VLOOKUP(Q264,引用表合并!$A:$B,2,FALSE))</f>
        <v/>
      </c>
      <c r="Q264" s="31"/>
      <c r="S264" s="66" t="s">
        <v>1023</v>
      </c>
    </row>
    <row r="265" spans="1:19" x14ac:dyDescent="0.15">
      <c r="A265">
        <v>115107</v>
      </c>
      <c r="B265" s="66" t="str">
        <f>D_奖励表!B256</f>
        <v>挑战Boss-宫本一</v>
      </c>
      <c r="C265" s="67">
        <f t="shared" si="60"/>
        <v>2</v>
      </c>
      <c r="D265" s="66" t="str">
        <f>IF(E265="","",VLOOKUP(E265,引用表合并!$A:$B,2,FALSE))</f>
        <v>马仔碎片(宫本一)</v>
      </c>
      <c r="E265" s="31">
        <v>78113</v>
      </c>
      <c r="F265" s="31">
        <v>5</v>
      </c>
      <c r="G265" s="66">
        <v>5000</v>
      </c>
      <c r="H265" s="66" t="str">
        <f>IF(I265="","",VLOOKUP(I265,引用表合并!$A:$B,2,FALSE))</f>
        <v>马仔碎片(宫本一)</v>
      </c>
      <c r="I265" s="31">
        <v>78113</v>
      </c>
      <c r="J265" s="31">
        <v>4</v>
      </c>
      <c r="K265" s="66">
        <v>10000</v>
      </c>
      <c r="L265" s="66" t="str">
        <f>IF(M265="","",VLOOKUP(M265,引用表合并!$A:$B,2,FALSE))</f>
        <v/>
      </c>
      <c r="M265" s="31"/>
      <c r="P265" s="66" t="str">
        <f>IF(Q265="","",VLOOKUP(Q265,引用表合并!$A:$B,2,FALSE))</f>
        <v/>
      </c>
      <c r="Q265" s="31"/>
      <c r="S265" s="66" t="s">
        <v>1023</v>
      </c>
    </row>
    <row r="266" spans="1:19" x14ac:dyDescent="0.15">
      <c r="A266">
        <v>115108</v>
      </c>
      <c r="B266" s="66" t="str">
        <f>D_奖励表!B257</f>
        <v>挑战Boss-宫本一</v>
      </c>
      <c r="C266" s="67">
        <f t="shared" si="60"/>
        <v>3</v>
      </c>
      <c r="D266" s="66" t="str">
        <f>IF(E266="","",VLOOKUP(E266,引用表合并!$A:$B,2,FALSE))</f>
        <v>马仔碎片(宫本一)</v>
      </c>
      <c r="E266" s="31">
        <v>78113</v>
      </c>
      <c r="F266" s="31">
        <v>5</v>
      </c>
      <c r="G266" s="66">
        <v>5000</v>
      </c>
      <c r="H266" s="66" t="str">
        <f>IF(I266="","",VLOOKUP(I266,引用表合并!$A:$B,2,FALSE))</f>
        <v>马仔碎片(宫本一)</v>
      </c>
      <c r="I266" s="31">
        <v>78113</v>
      </c>
      <c r="J266" s="31">
        <v>4</v>
      </c>
      <c r="K266" s="66">
        <v>7000</v>
      </c>
      <c r="L266" s="66" t="str">
        <f>IF(M266="","",VLOOKUP(M266,引用表合并!$A:$B,2,FALSE))</f>
        <v>马仔碎片(宫本一)</v>
      </c>
      <c r="M266" s="31">
        <v>78113</v>
      </c>
      <c r="N266" s="31">
        <v>6</v>
      </c>
      <c r="O266" s="66">
        <v>10000</v>
      </c>
      <c r="P266" s="66" t="str">
        <f>IF(Q266="","",VLOOKUP(Q266,引用表合并!$A:$B,2,FALSE))</f>
        <v/>
      </c>
      <c r="Q266" s="31"/>
      <c r="S266" s="66" t="s">
        <v>1023</v>
      </c>
    </row>
    <row r="267" spans="1:19" x14ac:dyDescent="0.15">
      <c r="A267">
        <v>115109</v>
      </c>
      <c r="B267" s="66" t="str">
        <f>D_奖励表!B258</f>
        <v>挑战Boss-宫本一</v>
      </c>
      <c r="C267" s="67">
        <f t="shared" si="60"/>
        <v>2</v>
      </c>
      <c r="D267" s="66" t="str">
        <f>IF(E267="","",VLOOKUP(E267,引用表合并!$A:$B,2,FALSE))</f>
        <v>马仔碎片(宫本一)</v>
      </c>
      <c r="E267" s="31">
        <v>78113</v>
      </c>
      <c r="F267" s="31">
        <v>6</v>
      </c>
      <c r="G267" s="66">
        <v>6000</v>
      </c>
      <c r="H267" s="66" t="str">
        <f>IF(I267="","",VLOOKUP(I267,引用表合并!$A:$B,2,FALSE))</f>
        <v>马仔碎片(宫本一)</v>
      </c>
      <c r="I267" s="31">
        <v>78113</v>
      </c>
      <c r="J267" s="31">
        <v>5</v>
      </c>
      <c r="K267" s="66">
        <v>10000</v>
      </c>
      <c r="L267" s="66" t="str">
        <f>IF(M267="","",VLOOKUP(M267,引用表合并!$A:$B,2,FALSE))</f>
        <v/>
      </c>
      <c r="M267" s="31"/>
      <c r="P267" s="66" t="str">
        <f>IF(Q267="","",VLOOKUP(Q267,引用表合并!$A:$B,2,FALSE))</f>
        <v/>
      </c>
      <c r="Q267" s="31"/>
      <c r="S267" s="66" t="s">
        <v>1023</v>
      </c>
    </row>
    <row r="268" spans="1:19" x14ac:dyDescent="0.15">
      <c r="A268">
        <v>115110</v>
      </c>
      <c r="B268" s="66" t="str">
        <f>D_奖励表!B259</f>
        <v>挑战Boss-笑面虎</v>
      </c>
      <c r="C268" s="67">
        <f t="shared" si="60"/>
        <v>1</v>
      </c>
      <c r="D268" s="66" t="str">
        <f>IF(E268="","",VLOOKUP(E268,引用表合并!$A:$B,2,FALSE))</f>
        <v>马仔碎片(笑面虎)</v>
      </c>
      <c r="E268" s="31">
        <v>78119</v>
      </c>
      <c r="F268" s="31">
        <v>2</v>
      </c>
      <c r="G268" s="66">
        <v>10000</v>
      </c>
      <c r="H268" s="66" t="str">
        <f>IF(I268="","",VLOOKUP(I268,引用表合并!$A:$B,2,FALSE))</f>
        <v/>
      </c>
      <c r="I268" s="31"/>
      <c r="L268" s="66" t="str">
        <f>IF(M268="","",VLOOKUP(M268,引用表合并!$A:$B,2,FALSE))</f>
        <v/>
      </c>
      <c r="M268" s="31"/>
      <c r="P268" s="66" t="str">
        <f>IF(Q268="","",VLOOKUP(Q268,引用表合并!$A:$B,2,FALSE))</f>
        <v/>
      </c>
      <c r="Q268" s="31"/>
      <c r="S268" s="66" t="s">
        <v>1023</v>
      </c>
    </row>
    <row r="269" spans="1:19" x14ac:dyDescent="0.15">
      <c r="A269">
        <v>115111</v>
      </c>
      <c r="B269" s="66" t="str">
        <f>D_奖励表!B260</f>
        <v>挑战Boss-笑面虎</v>
      </c>
      <c r="C269" s="67">
        <f t="shared" si="60"/>
        <v>2</v>
      </c>
      <c r="D269" s="66" t="str">
        <f>IF(E269="","",VLOOKUP(E269,引用表合并!$A:$B,2,FALSE))</f>
        <v>马仔碎片(笑面虎)</v>
      </c>
      <c r="E269" s="31">
        <v>78119</v>
      </c>
      <c r="F269" s="31">
        <v>3</v>
      </c>
      <c r="G269" s="66">
        <v>5000</v>
      </c>
      <c r="H269" s="66" t="str">
        <f>IF(I269="","",VLOOKUP(I269,引用表合并!$A:$B,2,FALSE))</f>
        <v>马仔碎片(笑面虎)</v>
      </c>
      <c r="I269" s="31">
        <v>78119</v>
      </c>
      <c r="J269" s="31">
        <v>2</v>
      </c>
      <c r="K269" s="66">
        <v>10000</v>
      </c>
      <c r="L269" s="66" t="str">
        <f>IF(M269="","",VLOOKUP(M269,引用表合并!$A:$B,2,FALSE))</f>
        <v/>
      </c>
      <c r="M269" s="31"/>
      <c r="P269" s="66" t="str">
        <f>IF(Q269="","",VLOOKUP(Q269,引用表合并!$A:$B,2,FALSE))</f>
        <v/>
      </c>
      <c r="Q269" s="31"/>
      <c r="S269" s="66" t="s">
        <v>1023</v>
      </c>
    </row>
    <row r="270" spans="1:19" x14ac:dyDescent="0.15">
      <c r="A270">
        <v>115112</v>
      </c>
      <c r="B270" s="66" t="str">
        <f>D_奖励表!B261</f>
        <v>挑战Boss-笑面虎</v>
      </c>
      <c r="C270" s="67">
        <f t="shared" si="60"/>
        <v>3</v>
      </c>
      <c r="D270" s="66" t="str">
        <f>IF(E270="","",VLOOKUP(E270,引用表合并!$A:$B,2,FALSE))</f>
        <v>马仔碎片(笑面虎)</v>
      </c>
      <c r="E270" s="31">
        <v>78119</v>
      </c>
      <c r="F270" s="31">
        <v>3</v>
      </c>
      <c r="G270" s="66">
        <v>5000</v>
      </c>
      <c r="H270" s="66" t="str">
        <f>IF(I270="","",VLOOKUP(I270,引用表合并!$A:$B,2,FALSE))</f>
        <v>马仔碎片(笑面虎)</v>
      </c>
      <c r="I270" s="31">
        <v>78119</v>
      </c>
      <c r="J270" s="31">
        <v>2</v>
      </c>
      <c r="K270" s="66">
        <v>8000</v>
      </c>
      <c r="L270" s="66" t="str">
        <f>IF(M270="","",VLOOKUP(M270,引用表合并!$A:$B,2,FALSE))</f>
        <v>马仔碎片(笑面虎)</v>
      </c>
      <c r="M270" s="31">
        <v>78119</v>
      </c>
      <c r="N270" s="31">
        <v>4</v>
      </c>
      <c r="O270" s="66">
        <v>10000</v>
      </c>
      <c r="P270" s="66" t="str">
        <f>IF(Q270="","",VLOOKUP(Q270,引用表合并!$A:$B,2,FALSE))</f>
        <v/>
      </c>
      <c r="Q270" s="31"/>
      <c r="S270" s="66" t="s">
        <v>1023</v>
      </c>
    </row>
    <row r="271" spans="1:19" x14ac:dyDescent="0.15">
      <c r="A271">
        <v>115113</v>
      </c>
      <c r="B271" s="66" t="str">
        <f>D_奖励表!B262</f>
        <v>挑战Boss-笑面虎</v>
      </c>
      <c r="C271" s="67">
        <f t="shared" si="60"/>
        <v>3</v>
      </c>
      <c r="D271" s="66" t="str">
        <f>IF(E271="","",VLOOKUP(E271,引用表合并!$A:$B,2,FALSE))</f>
        <v>马仔碎片(笑面虎)</v>
      </c>
      <c r="E271" s="31">
        <v>78119</v>
      </c>
      <c r="F271" s="31">
        <v>3</v>
      </c>
      <c r="G271" s="66">
        <v>5000</v>
      </c>
      <c r="H271" s="66" t="str">
        <f>IF(I271="","",VLOOKUP(I271,引用表合并!$A:$B,2,FALSE))</f>
        <v>马仔碎片(笑面虎)</v>
      </c>
      <c r="I271" s="31">
        <v>78119</v>
      </c>
      <c r="J271" s="31">
        <v>2</v>
      </c>
      <c r="K271" s="66">
        <v>7000</v>
      </c>
      <c r="L271" s="66" t="str">
        <f>IF(M271="","",VLOOKUP(M271,引用表合并!$A:$B,2,FALSE))</f>
        <v>马仔碎片(笑面虎)</v>
      </c>
      <c r="M271" s="31">
        <v>78119</v>
      </c>
      <c r="N271" s="31">
        <v>4</v>
      </c>
      <c r="O271" s="66">
        <v>10000</v>
      </c>
      <c r="P271" s="66" t="str">
        <f>IF(Q271="","",VLOOKUP(Q271,引用表合并!$A:$B,2,FALSE))</f>
        <v/>
      </c>
      <c r="Q271" s="31"/>
      <c r="S271" s="66" t="s">
        <v>1023</v>
      </c>
    </row>
    <row r="272" spans="1:19" x14ac:dyDescent="0.15">
      <c r="A272">
        <v>115114</v>
      </c>
      <c r="B272" s="66" t="str">
        <f>D_奖励表!B263</f>
        <v>挑战Boss-笑面虎</v>
      </c>
      <c r="C272" s="67">
        <f t="shared" si="60"/>
        <v>2</v>
      </c>
      <c r="D272" s="66" t="str">
        <f>IF(E272="","",VLOOKUP(E272,引用表合并!$A:$B,2,FALSE))</f>
        <v>马仔碎片(笑面虎)</v>
      </c>
      <c r="E272" s="31">
        <v>78119</v>
      </c>
      <c r="F272" s="31">
        <v>4</v>
      </c>
      <c r="G272" s="66">
        <v>5000</v>
      </c>
      <c r="H272" s="66" t="str">
        <f>IF(I272="","",VLOOKUP(I272,引用表合并!$A:$B,2,FALSE))</f>
        <v>马仔碎片(笑面虎)</v>
      </c>
      <c r="I272" s="31">
        <v>78119</v>
      </c>
      <c r="J272" s="31">
        <v>3</v>
      </c>
      <c r="K272" s="66">
        <v>10000</v>
      </c>
      <c r="L272" s="66" t="str">
        <f>IF(M272="","",VLOOKUP(M272,引用表合并!$A:$B,2,FALSE))</f>
        <v/>
      </c>
      <c r="M272" s="31"/>
      <c r="P272" s="66" t="str">
        <f>IF(Q272="","",VLOOKUP(Q272,引用表合并!$A:$B,2,FALSE))</f>
        <v/>
      </c>
      <c r="Q272" s="31"/>
      <c r="S272" s="66" t="s">
        <v>1023</v>
      </c>
    </row>
    <row r="273" spans="1:19" x14ac:dyDescent="0.15">
      <c r="A273">
        <v>115115</v>
      </c>
      <c r="B273" s="66" t="str">
        <f>D_奖励表!B264</f>
        <v>挑战Boss-笑面虎</v>
      </c>
      <c r="C273" s="67">
        <f t="shared" si="60"/>
        <v>2</v>
      </c>
      <c r="D273" s="66" t="str">
        <f>IF(E273="","",VLOOKUP(E273,引用表合并!$A:$B,2,FALSE))</f>
        <v>马仔碎片(笑面虎)</v>
      </c>
      <c r="E273" s="31">
        <v>78119</v>
      </c>
      <c r="F273" s="31">
        <v>4</v>
      </c>
      <c r="G273" s="66">
        <v>6500</v>
      </c>
      <c r="H273" s="66" t="str">
        <f>IF(I273="","",VLOOKUP(I273,引用表合并!$A:$B,2,FALSE))</f>
        <v>马仔碎片(笑面虎)</v>
      </c>
      <c r="I273" s="31">
        <v>78119</v>
      </c>
      <c r="J273" s="31">
        <v>3</v>
      </c>
      <c r="K273" s="66">
        <v>10000</v>
      </c>
      <c r="L273" s="66" t="str">
        <f>IF(M273="","",VLOOKUP(M273,引用表合并!$A:$B,2,FALSE))</f>
        <v/>
      </c>
      <c r="M273" s="31"/>
      <c r="P273" s="66" t="str">
        <f>IF(Q273="","",VLOOKUP(Q273,引用表合并!$A:$B,2,FALSE))</f>
        <v/>
      </c>
      <c r="Q273" s="31"/>
      <c r="S273" s="66" t="s">
        <v>1023</v>
      </c>
    </row>
    <row r="274" spans="1:19" x14ac:dyDescent="0.15">
      <c r="A274">
        <v>115116</v>
      </c>
      <c r="B274" s="66" t="str">
        <f>D_奖励表!B265</f>
        <v>挑战Boss-笑面虎</v>
      </c>
      <c r="C274" s="67">
        <f t="shared" si="60"/>
        <v>3</v>
      </c>
      <c r="D274" s="66" t="str">
        <f>IF(E274="","",VLOOKUP(E274,引用表合并!$A:$B,2,FALSE))</f>
        <v>马仔碎片(笑面虎)</v>
      </c>
      <c r="E274" s="31">
        <v>78119</v>
      </c>
      <c r="F274" s="31">
        <v>4</v>
      </c>
      <c r="G274" s="66">
        <v>6000</v>
      </c>
      <c r="H274" s="66" t="str">
        <f>IF(I274="","",VLOOKUP(I274,引用表合并!$A:$B,2,FALSE))</f>
        <v>马仔碎片(笑面虎)</v>
      </c>
      <c r="I274" s="31">
        <v>78119</v>
      </c>
      <c r="J274" s="31">
        <v>3</v>
      </c>
      <c r="K274" s="66">
        <v>8000</v>
      </c>
      <c r="L274" s="66" t="str">
        <f>IF(M274="","",VLOOKUP(M274,引用表合并!$A:$B,2,FALSE))</f>
        <v>马仔碎片(笑面虎)</v>
      </c>
      <c r="M274" s="31">
        <v>78119</v>
      </c>
      <c r="N274" s="31">
        <v>5</v>
      </c>
      <c r="O274" s="66">
        <v>10000</v>
      </c>
      <c r="P274" s="66" t="str">
        <f>IF(Q274="","",VLOOKUP(Q274,引用表合并!$A:$B,2,FALSE))</f>
        <v/>
      </c>
      <c r="Q274" s="31"/>
      <c r="S274" s="66" t="s">
        <v>1023</v>
      </c>
    </row>
    <row r="275" spans="1:19" x14ac:dyDescent="0.15">
      <c r="A275">
        <v>115117</v>
      </c>
      <c r="B275" s="66" t="str">
        <f>D_奖励表!B266</f>
        <v>挑战Boss-笑面虎</v>
      </c>
      <c r="C275" s="67">
        <f t="shared" si="60"/>
        <v>2</v>
      </c>
      <c r="D275" s="66" t="str">
        <f>IF(E275="","",VLOOKUP(E275,引用表合并!$A:$B,2,FALSE))</f>
        <v>马仔碎片(笑面虎)</v>
      </c>
      <c r="E275" s="31">
        <v>78119</v>
      </c>
      <c r="F275" s="31">
        <v>5</v>
      </c>
      <c r="G275" s="66">
        <v>5000</v>
      </c>
      <c r="H275" s="66" t="str">
        <f>IF(I275="","",VLOOKUP(I275,引用表合并!$A:$B,2,FALSE))</f>
        <v>马仔碎片(笑面虎)</v>
      </c>
      <c r="I275" s="31">
        <v>78119</v>
      </c>
      <c r="J275" s="31">
        <v>4</v>
      </c>
      <c r="K275" s="66">
        <v>10000</v>
      </c>
      <c r="L275" s="66" t="str">
        <f>IF(M275="","",VLOOKUP(M275,引用表合并!$A:$B,2,FALSE))</f>
        <v/>
      </c>
      <c r="M275" s="31"/>
      <c r="P275" s="66" t="str">
        <f>IF(Q275="","",VLOOKUP(Q275,引用表合并!$A:$B,2,FALSE))</f>
        <v/>
      </c>
      <c r="Q275" s="31"/>
      <c r="S275" s="66" t="s">
        <v>1023</v>
      </c>
    </row>
    <row r="276" spans="1:19" x14ac:dyDescent="0.15">
      <c r="A276">
        <v>115118</v>
      </c>
      <c r="B276" s="66" t="str">
        <f>D_奖励表!B267</f>
        <v>挑战Boss-笑面虎</v>
      </c>
      <c r="C276" s="67">
        <f t="shared" si="60"/>
        <v>3</v>
      </c>
      <c r="D276" s="66" t="str">
        <f>IF(E276="","",VLOOKUP(E276,引用表合并!$A:$B,2,FALSE))</f>
        <v>马仔碎片(笑面虎)</v>
      </c>
      <c r="E276" s="31">
        <v>78119</v>
      </c>
      <c r="F276" s="31">
        <v>5</v>
      </c>
      <c r="G276" s="66">
        <v>5000</v>
      </c>
      <c r="H276" s="66" t="str">
        <f>IF(I276="","",VLOOKUP(I276,引用表合并!$A:$B,2,FALSE))</f>
        <v>马仔碎片(笑面虎)</v>
      </c>
      <c r="I276" s="31">
        <v>78119</v>
      </c>
      <c r="J276" s="31">
        <v>4</v>
      </c>
      <c r="K276" s="66">
        <v>7000</v>
      </c>
      <c r="L276" s="66" t="str">
        <f>IF(M276="","",VLOOKUP(M276,引用表合并!$A:$B,2,FALSE))</f>
        <v>马仔碎片(笑面虎)</v>
      </c>
      <c r="M276" s="31">
        <v>78119</v>
      </c>
      <c r="N276" s="31">
        <v>6</v>
      </c>
      <c r="O276" s="66">
        <v>10000</v>
      </c>
      <c r="P276" s="66" t="str">
        <f>IF(Q276="","",VLOOKUP(Q276,引用表合并!$A:$B,2,FALSE))</f>
        <v/>
      </c>
      <c r="Q276" s="31"/>
      <c r="S276" s="66" t="s">
        <v>1023</v>
      </c>
    </row>
    <row r="277" spans="1:19" x14ac:dyDescent="0.15">
      <c r="A277">
        <v>115119</v>
      </c>
      <c r="B277" s="66" t="str">
        <f>D_奖励表!B268</f>
        <v>挑战Boss-笑面虎</v>
      </c>
      <c r="C277" s="67">
        <f t="shared" si="60"/>
        <v>2</v>
      </c>
      <c r="D277" s="66" t="str">
        <f>IF(E277="","",VLOOKUP(E277,引用表合并!$A:$B,2,FALSE))</f>
        <v>马仔碎片(笑面虎)</v>
      </c>
      <c r="E277" s="31">
        <v>78119</v>
      </c>
      <c r="F277" s="31">
        <v>6</v>
      </c>
      <c r="G277" s="66">
        <v>6000</v>
      </c>
      <c r="H277" s="66" t="str">
        <f>IF(I277="","",VLOOKUP(I277,引用表合并!$A:$B,2,FALSE))</f>
        <v>马仔碎片(笑面虎)</v>
      </c>
      <c r="I277" s="31">
        <v>78119</v>
      </c>
      <c r="J277" s="31">
        <v>5</v>
      </c>
      <c r="K277" s="66">
        <v>10000</v>
      </c>
      <c r="L277" s="66" t="str">
        <f>IF(M277="","",VLOOKUP(M277,引用表合并!$A:$B,2,FALSE))</f>
        <v/>
      </c>
      <c r="M277" s="31"/>
      <c r="P277" s="66" t="str">
        <f>IF(Q277="","",VLOOKUP(Q277,引用表合并!$A:$B,2,FALSE))</f>
        <v/>
      </c>
      <c r="Q277" s="31"/>
      <c r="S277" s="66" t="s">
        <v>1023</v>
      </c>
    </row>
    <row r="278" spans="1:19" x14ac:dyDescent="0.15">
      <c r="A278">
        <v>115120</v>
      </c>
      <c r="B278" s="66" t="str">
        <f>D_奖励表!B269</f>
        <v>挑战Boss-陈浩南</v>
      </c>
      <c r="C278" s="67">
        <f t="shared" si="60"/>
        <v>1</v>
      </c>
      <c r="D278" s="66" t="str">
        <f>IF(E278="","",VLOOKUP(E278,引用表合并!$A:$B,2,FALSE))</f>
        <v>马仔碎片(陈浩南)</v>
      </c>
      <c r="E278" s="31">
        <v>78114</v>
      </c>
      <c r="F278" s="31">
        <v>1</v>
      </c>
      <c r="G278" s="66">
        <v>10000</v>
      </c>
      <c r="H278" s="66" t="str">
        <f>IF(I278="","",VLOOKUP(I278,引用表合并!$A:$B,2,FALSE))</f>
        <v/>
      </c>
      <c r="I278" s="31"/>
      <c r="L278" s="66" t="str">
        <f>IF(M278="","",VLOOKUP(M278,引用表合并!$A:$B,2,FALSE))</f>
        <v/>
      </c>
      <c r="M278" s="31"/>
      <c r="P278" s="66" t="str">
        <f>IF(Q278="","",VLOOKUP(Q278,引用表合并!$A:$B,2,FALSE))</f>
        <v/>
      </c>
      <c r="Q278" s="31"/>
      <c r="S278" s="66" t="s">
        <v>1023</v>
      </c>
    </row>
    <row r="279" spans="1:19" x14ac:dyDescent="0.15">
      <c r="A279">
        <v>115121</v>
      </c>
      <c r="B279" s="66" t="str">
        <f>D_奖励表!B270</f>
        <v>挑战Boss-陈浩南</v>
      </c>
      <c r="C279" s="67">
        <f t="shared" si="60"/>
        <v>2</v>
      </c>
      <c r="D279" s="66" t="str">
        <f>IF(E279="","",VLOOKUP(E279,引用表合并!$A:$B,2,FALSE))</f>
        <v>马仔碎片(陈浩南)</v>
      </c>
      <c r="E279" s="31">
        <v>78114</v>
      </c>
      <c r="F279" s="31">
        <v>1</v>
      </c>
      <c r="G279" s="66">
        <v>5000</v>
      </c>
      <c r="H279" s="66" t="str">
        <f>IF(I279="","",VLOOKUP(I279,引用表合并!$A:$B,2,FALSE))</f>
        <v>马仔碎片(陈浩南)</v>
      </c>
      <c r="I279" s="31">
        <v>78114</v>
      </c>
      <c r="J279" s="31">
        <v>2</v>
      </c>
      <c r="K279" s="66">
        <v>10000</v>
      </c>
      <c r="L279" s="66" t="str">
        <f>IF(M279="","",VLOOKUP(M279,引用表合并!$A:$B,2,FALSE))</f>
        <v/>
      </c>
      <c r="M279" s="31"/>
      <c r="P279" s="66" t="str">
        <f>IF(Q279="","",VLOOKUP(Q279,引用表合并!$A:$B,2,FALSE))</f>
        <v/>
      </c>
      <c r="Q279" s="31"/>
      <c r="S279" s="66" t="s">
        <v>1023</v>
      </c>
    </row>
    <row r="280" spans="1:19" x14ac:dyDescent="0.15">
      <c r="A280">
        <v>115122</v>
      </c>
      <c r="B280" s="66" t="str">
        <f>D_奖励表!B271</f>
        <v>挑战Boss-陈浩南</v>
      </c>
      <c r="C280" s="67">
        <f t="shared" si="60"/>
        <v>3</v>
      </c>
      <c r="D280" s="66" t="str">
        <f>IF(E280="","",VLOOKUP(E280,引用表合并!$A:$B,2,FALSE))</f>
        <v>马仔碎片(陈浩南)</v>
      </c>
      <c r="E280" s="31">
        <v>78114</v>
      </c>
      <c r="F280" s="31">
        <v>2</v>
      </c>
      <c r="G280" s="66">
        <v>6000</v>
      </c>
      <c r="H280" s="66" t="str">
        <f>IF(I280="","",VLOOKUP(I280,引用表合并!$A:$B,2,FALSE))</f>
        <v>马仔碎片(陈浩南)</v>
      </c>
      <c r="I280" s="31">
        <v>78114</v>
      </c>
      <c r="J280" s="31">
        <v>1</v>
      </c>
      <c r="K280" s="66">
        <v>8000</v>
      </c>
      <c r="L280" s="66" t="str">
        <f>IF(M280="","",VLOOKUP(M280,引用表合并!$A:$B,2,FALSE))</f>
        <v>马仔碎片(陈浩南)</v>
      </c>
      <c r="M280" s="31">
        <v>78114</v>
      </c>
      <c r="N280" s="31">
        <v>3</v>
      </c>
      <c r="O280" s="66">
        <v>10000</v>
      </c>
      <c r="P280" s="66" t="str">
        <f>IF(Q280="","",VLOOKUP(Q280,引用表合并!$A:$B,2,FALSE))</f>
        <v/>
      </c>
      <c r="Q280" s="31"/>
      <c r="S280" s="66" t="s">
        <v>1023</v>
      </c>
    </row>
    <row r="281" spans="1:19" x14ac:dyDescent="0.15">
      <c r="A281">
        <v>115123</v>
      </c>
      <c r="B281" s="66" t="str">
        <f>D_奖励表!B272</f>
        <v>挑战Boss-陈浩南</v>
      </c>
      <c r="C281" s="67">
        <f t="shared" si="60"/>
        <v>2</v>
      </c>
      <c r="D281" s="66" t="str">
        <f>IF(E281="","",VLOOKUP(E281,引用表合并!$A:$B,2,FALSE))</f>
        <v>马仔碎片(陈浩南)</v>
      </c>
      <c r="E281" s="31">
        <v>78114</v>
      </c>
      <c r="F281" s="31">
        <v>2</v>
      </c>
      <c r="G281" s="66">
        <v>7000</v>
      </c>
      <c r="H281" s="66" t="str">
        <f>IF(I281="","",VLOOKUP(I281,引用表合并!$A:$B,2,FALSE))</f>
        <v>马仔碎片(陈浩南)</v>
      </c>
      <c r="I281" s="31">
        <v>78114</v>
      </c>
      <c r="J281" s="31">
        <v>3</v>
      </c>
      <c r="K281" s="66">
        <v>10000</v>
      </c>
      <c r="L281" s="66" t="str">
        <f>IF(M281="","",VLOOKUP(M281,引用表合并!$A:$B,2,FALSE))</f>
        <v/>
      </c>
      <c r="M281" s="31"/>
      <c r="P281" s="66" t="str">
        <f>IF(Q281="","",VLOOKUP(Q281,引用表合并!$A:$B,2,FALSE))</f>
        <v/>
      </c>
      <c r="Q281" s="31"/>
      <c r="S281" s="66" t="s">
        <v>1023</v>
      </c>
    </row>
    <row r="282" spans="1:19" x14ac:dyDescent="0.15">
      <c r="A282">
        <v>115124</v>
      </c>
      <c r="B282" s="66" t="str">
        <f>D_奖励表!B273</f>
        <v>挑战Boss-陈浩南</v>
      </c>
      <c r="C282" s="67">
        <f t="shared" si="60"/>
        <v>2</v>
      </c>
      <c r="D282" s="66" t="str">
        <f>IF(E282="","",VLOOKUP(E282,引用表合并!$A:$B,2,FALSE))</f>
        <v>马仔碎片(陈浩南)</v>
      </c>
      <c r="E282" s="31">
        <v>78114</v>
      </c>
      <c r="F282" s="31">
        <v>2</v>
      </c>
      <c r="G282" s="66">
        <v>5000</v>
      </c>
      <c r="H282" s="66" t="str">
        <f>IF(I282="","",VLOOKUP(I282,引用表合并!$A:$B,2,FALSE))</f>
        <v>马仔碎片(陈浩南)</v>
      </c>
      <c r="I282" s="31">
        <v>78114</v>
      </c>
      <c r="J282" s="31">
        <v>3</v>
      </c>
      <c r="K282" s="66">
        <v>10000</v>
      </c>
      <c r="L282" s="66" t="str">
        <f>IF(M282="","",VLOOKUP(M282,引用表合并!$A:$B,2,FALSE))</f>
        <v/>
      </c>
      <c r="M282" s="31"/>
      <c r="P282" s="66" t="str">
        <f>IF(Q282="","",VLOOKUP(Q282,引用表合并!$A:$B,2,FALSE))</f>
        <v/>
      </c>
      <c r="Q282" s="31"/>
      <c r="S282" s="66" t="s">
        <v>1023</v>
      </c>
    </row>
    <row r="283" spans="1:19" x14ac:dyDescent="0.15">
      <c r="A283">
        <v>115125</v>
      </c>
      <c r="B283" s="66" t="str">
        <f>D_奖励表!B274</f>
        <v>挑战Boss-陈浩南</v>
      </c>
      <c r="C283" s="67">
        <f t="shared" si="60"/>
        <v>2</v>
      </c>
      <c r="D283" s="66" t="str">
        <f>IF(E283="","",VLOOKUP(E283,引用表合并!$A:$B,2,FALSE))</f>
        <v>马仔碎片(陈浩南)</v>
      </c>
      <c r="E283" s="31">
        <v>78114</v>
      </c>
      <c r="F283" s="31">
        <v>2</v>
      </c>
      <c r="G283" s="66">
        <v>3000</v>
      </c>
      <c r="H283" s="66" t="str">
        <f>IF(I283="","",VLOOKUP(I283,引用表合并!$A:$B,2,FALSE))</f>
        <v>马仔碎片(陈浩南)</v>
      </c>
      <c r="I283" s="31">
        <v>78114</v>
      </c>
      <c r="J283" s="31">
        <v>3</v>
      </c>
      <c r="K283" s="66">
        <v>10000</v>
      </c>
      <c r="L283" s="66" t="str">
        <f>IF(M283="","",VLOOKUP(M283,引用表合并!$A:$B,2,FALSE))</f>
        <v/>
      </c>
      <c r="M283" s="31"/>
      <c r="P283" s="66" t="str">
        <f>IF(Q283="","",VLOOKUP(Q283,引用表合并!$A:$B,2,FALSE))</f>
        <v/>
      </c>
      <c r="Q283" s="31"/>
      <c r="S283" s="66" t="s">
        <v>1023</v>
      </c>
    </row>
    <row r="284" spans="1:19" x14ac:dyDescent="0.15">
      <c r="A284">
        <v>115126</v>
      </c>
      <c r="B284" s="66" t="str">
        <f>D_奖励表!B275</f>
        <v>挑战Boss-陈浩南</v>
      </c>
      <c r="C284" s="67">
        <f t="shared" si="60"/>
        <v>3</v>
      </c>
      <c r="D284" s="66" t="str">
        <f>IF(E284="","",VLOOKUP(E284,引用表合并!$A:$B,2,FALSE))</f>
        <v>马仔碎片(陈浩南)</v>
      </c>
      <c r="E284" s="31">
        <v>78114</v>
      </c>
      <c r="F284" s="31">
        <v>3</v>
      </c>
      <c r="G284" s="66">
        <v>6000</v>
      </c>
      <c r="H284" s="66" t="str">
        <f>IF(I284="","",VLOOKUP(I284,引用表合并!$A:$B,2,FALSE))</f>
        <v>马仔碎片(陈浩南)</v>
      </c>
      <c r="I284" s="31">
        <v>78114</v>
      </c>
      <c r="J284" s="31">
        <v>2</v>
      </c>
      <c r="K284" s="66">
        <v>8000</v>
      </c>
      <c r="L284" s="66" t="str">
        <f>IF(M284="","",VLOOKUP(M284,引用表合并!$A:$B,2,FALSE))</f>
        <v>马仔碎片(陈浩南)</v>
      </c>
      <c r="M284" s="31">
        <v>78114</v>
      </c>
      <c r="N284" s="31">
        <v>4</v>
      </c>
      <c r="O284" s="66">
        <v>10000</v>
      </c>
      <c r="P284" s="66" t="str">
        <f>IF(Q284="","",VLOOKUP(Q284,引用表合并!$A:$B,2,FALSE))</f>
        <v/>
      </c>
      <c r="Q284" s="31"/>
      <c r="S284" s="66" t="s">
        <v>1023</v>
      </c>
    </row>
    <row r="285" spans="1:19" x14ac:dyDescent="0.15">
      <c r="A285">
        <v>115127</v>
      </c>
      <c r="B285" s="66" t="str">
        <f>D_奖励表!B276</f>
        <v>挑战Boss-陈浩南</v>
      </c>
      <c r="C285" s="67">
        <f t="shared" si="60"/>
        <v>3</v>
      </c>
      <c r="D285" s="66" t="str">
        <f>IF(E285="","",VLOOKUP(E285,引用表合并!$A:$B,2,FALSE))</f>
        <v>马仔碎片(陈浩南)</v>
      </c>
      <c r="E285" s="31">
        <v>78114</v>
      </c>
      <c r="F285" s="31">
        <v>3</v>
      </c>
      <c r="G285" s="66">
        <v>4500</v>
      </c>
      <c r="H285" s="66" t="str">
        <f>IF(I285="","",VLOOKUP(I285,引用表合并!$A:$B,2,FALSE))</f>
        <v>马仔碎片(陈浩南)</v>
      </c>
      <c r="I285" s="31">
        <v>78114</v>
      </c>
      <c r="J285" s="31">
        <v>2</v>
      </c>
      <c r="K285" s="66">
        <v>6000</v>
      </c>
      <c r="L285" s="66" t="str">
        <f>IF(M285="","",VLOOKUP(M285,引用表合并!$A:$B,2,FALSE))</f>
        <v>马仔碎片(陈浩南)</v>
      </c>
      <c r="M285" s="31">
        <v>78114</v>
      </c>
      <c r="N285" s="31">
        <v>4</v>
      </c>
      <c r="O285" s="66">
        <v>10000</v>
      </c>
      <c r="P285" s="66" t="str">
        <f>IF(Q285="","",VLOOKUP(Q285,引用表合并!$A:$B,2,FALSE))</f>
        <v/>
      </c>
      <c r="Q285" s="31"/>
      <c r="S285" s="66" t="s">
        <v>1023</v>
      </c>
    </row>
    <row r="286" spans="1:19" x14ac:dyDescent="0.15">
      <c r="A286">
        <v>115128</v>
      </c>
      <c r="B286" s="66" t="str">
        <f>D_奖励表!B277</f>
        <v>挑战Boss-陈浩南</v>
      </c>
      <c r="C286" s="67">
        <f t="shared" si="60"/>
        <v>3</v>
      </c>
      <c r="D286" s="66" t="str">
        <f>IF(E286="","",VLOOKUP(E286,引用表合并!$A:$B,2,FALSE))</f>
        <v>马仔碎片(陈浩南)</v>
      </c>
      <c r="E286" s="31">
        <v>78114</v>
      </c>
      <c r="F286" s="31">
        <v>3</v>
      </c>
      <c r="G286" s="66">
        <v>3000</v>
      </c>
      <c r="H286" s="66" t="str">
        <f>IF(I286="","",VLOOKUP(I286,引用表合并!$A:$B,2,FALSE))</f>
        <v>马仔碎片(陈浩南)</v>
      </c>
      <c r="I286" s="31">
        <v>78114</v>
      </c>
      <c r="J286" s="31">
        <v>2</v>
      </c>
      <c r="K286" s="66">
        <v>4000</v>
      </c>
      <c r="L286" s="66" t="str">
        <f>IF(M286="","",VLOOKUP(M286,引用表合并!$A:$B,2,FALSE))</f>
        <v>马仔碎片(陈浩南)</v>
      </c>
      <c r="M286" s="31">
        <v>78114</v>
      </c>
      <c r="N286" s="31">
        <v>4</v>
      </c>
      <c r="O286" s="66">
        <v>10000</v>
      </c>
      <c r="P286" s="66" t="str">
        <f>IF(Q286="","",VLOOKUP(Q286,引用表合并!$A:$B,2,FALSE))</f>
        <v/>
      </c>
      <c r="Q286" s="31"/>
      <c r="S286" s="66" t="s">
        <v>1023</v>
      </c>
    </row>
    <row r="287" spans="1:19" x14ac:dyDescent="0.15">
      <c r="A287">
        <v>115129</v>
      </c>
      <c r="B287" s="66" t="str">
        <f>D_奖励表!B278</f>
        <v>挑战Boss-陈浩南</v>
      </c>
      <c r="C287" s="67">
        <f t="shared" si="60"/>
        <v>2</v>
      </c>
      <c r="D287" s="66" t="str">
        <f>IF(E287="","",VLOOKUP(E287,引用表合并!$A:$B,2,FALSE))</f>
        <v>马仔碎片(陈浩南)</v>
      </c>
      <c r="E287" s="31">
        <v>78114</v>
      </c>
      <c r="F287" s="31">
        <v>3</v>
      </c>
      <c r="G287" s="66">
        <v>2000</v>
      </c>
      <c r="H287" s="66" t="str">
        <f>IF(I287="","",VLOOKUP(I287,引用表合并!$A:$B,2,FALSE))</f>
        <v>马仔碎片(陈浩南)</v>
      </c>
      <c r="I287" s="31">
        <v>78114</v>
      </c>
      <c r="J287" s="31">
        <v>4</v>
      </c>
      <c r="K287" s="66">
        <v>10000</v>
      </c>
      <c r="L287" s="66" t="str">
        <f>IF(M287="","",VLOOKUP(M287,引用表合并!$A:$B,2,FALSE))</f>
        <v/>
      </c>
      <c r="M287" s="31"/>
      <c r="N287" s="31"/>
      <c r="P287" s="66" t="str">
        <f>IF(Q287="","",VLOOKUP(Q287,引用表合并!$A:$B,2,FALSE))</f>
        <v/>
      </c>
      <c r="Q287" s="31"/>
      <c r="S287" s="66" t="s">
        <v>1023</v>
      </c>
    </row>
    <row r="288" spans="1:19" x14ac:dyDescent="0.15">
      <c r="A288">
        <v>115130</v>
      </c>
      <c r="B288" s="66" t="str">
        <f>D_奖励表!B279</f>
        <v>挑战Boss-山鸡</v>
      </c>
      <c r="C288" s="67">
        <f t="shared" si="60"/>
        <v>1</v>
      </c>
      <c r="D288" s="66" t="str">
        <f>IF(E288="","",VLOOKUP(E288,引用表合并!$A:$B,2,FALSE))</f>
        <v>马仔碎片(山鸡)</v>
      </c>
      <c r="E288" s="31">
        <v>78115</v>
      </c>
      <c r="F288" s="31">
        <v>1</v>
      </c>
      <c r="G288" s="66">
        <v>10000</v>
      </c>
      <c r="H288" s="66" t="str">
        <f>IF(I288="","",VLOOKUP(I288,引用表合并!$A:$B,2,FALSE))</f>
        <v/>
      </c>
      <c r="I288" s="31"/>
      <c r="L288" s="66" t="str">
        <f>IF(M288="","",VLOOKUP(M288,引用表合并!$A:$B,2,FALSE))</f>
        <v/>
      </c>
      <c r="M288" s="31"/>
      <c r="P288" s="66" t="str">
        <f>IF(Q288="","",VLOOKUP(Q288,引用表合并!$A:$B,2,FALSE))</f>
        <v/>
      </c>
      <c r="Q288" s="31"/>
      <c r="S288" s="66" t="s">
        <v>1023</v>
      </c>
    </row>
    <row r="289" spans="1:19" x14ac:dyDescent="0.15">
      <c r="A289">
        <v>115131</v>
      </c>
      <c r="B289" s="66" t="str">
        <f>D_奖励表!B280</f>
        <v>挑战Boss-山鸡</v>
      </c>
      <c r="C289" s="67">
        <f t="shared" si="60"/>
        <v>2</v>
      </c>
      <c r="D289" s="66" t="str">
        <f>IF(E289="","",VLOOKUP(E289,引用表合并!$A:$B,2,FALSE))</f>
        <v>马仔碎片(山鸡)</v>
      </c>
      <c r="E289" s="31">
        <v>78115</v>
      </c>
      <c r="F289" s="31">
        <v>1</v>
      </c>
      <c r="G289" s="66">
        <v>5000</v>
      </c>
      <c r="H289" s="66" t="str">
        <f>IF(I289="","",VLOOKUP(I289,引用表合并!$A:$B,2,FALSE))</f>
        <v>马仔碎片(山鸡)</v>
      </c>
      <c r="I289" s="31">
        <v>78115</v>
      </c>
      <c r="J289" s="31">
        <v>2</v>
      </c>
      <c r="K289" s="66">
        <v>10000</v>
      </c>
      <c r="L289" s="66" t="str">
        <f>IF(M289="","",VLOOKUP(M289,引用表合并!$A:$B,2,FALSE))</f>
        <v/>
      </c>
      <c r="M289" s="31"/>
      <c r="P289" s="66" t="str">
        <f>IF(Q289="","",VLOOKUP(Q289,引用表合并!$A:$B,2,FALSE))</f>
        <v/>
      </c>
      <c r="Q289" s="31"/>
      <c r="S289" s="66" t="s">
        <v>1023</v>
      </c>
    </row>
    <row r="290" spans="1:19" x14ac:dyDescent="0.15">
      <c r="A290">
        <v>115132</v>
      </c>
      <c r="B290" s="66" t="str">
        <f>D_奖励表!B281</f>
        <v>挑战Boss-山鸡</v>
      </c>
      <c r="C290" s="67">
        <f t="shared" si="60"/>
        <v>3</v>
      </c>
      <c r="D290" s="66" t="str">
        <f>IF(E290="","",VLOOKUP(E290,引用表合并!$A:$B,2,FALSE))</f>
        <v>马仔碎片(山鸡)</v>
      </c>
      <c r="E290" s="31">
        <v>78115</v>
      </c>
      <c r="F290" s="31">
        <v>2</v>
      </c>
      <c r="G290" s="66">
        <v>6000</v>
      </c>
      <c r="H290" s="66" t="str">
        <f>IF(I290="","",VLOOKUP(I290,引用表合并!$A:$B,2,FALSE))</f>
        <v>马仔碎片(山鸡)</v>
      </c>
      <c r="I290" s="31">
        <v>78115</v>
      </c>
      <c r="J290" s="31">
        <v>1</v>
      </c>
      <c r="K290" s="66">
        <v>8000</v>
      </c>
      <c r="L290" s="66" t="str">
        <f>IF(M290="","",VLOOKUP(M290,引用表合并!$A:$B,2,FALSE))</f>
        <v>马仔碎片(山鸡)</v>
      </c>
      <c r="M290" s="31">
        <v>78115</v>
      </c>
      <c r="N290" s="31">
        <v>3</v>
      </c>
      <c r="O290" s="66">
        <v>10000</v>
      </c>
      <c r="P290" s="66" t="str">
        <f>IF(Q290="","",VLOOKUP(Q290,引用表合并!$A:$B,2,FALSE))</f>
        <v/>
      </c>
      <c r="Q290" s="31"/>
      <c r="S290" s="66" t="s">
        <v>1023</v>
      </c>
    </row>
    <row r="291" spans="1:19" x14ac:dyDescent="0.15">
      <c r="A291">
        <v>115133</v>
      </c>
      <c r="B291" s="66" t="str">
        <f>D_奖励表!B282</f>
        <v>挑战Boss-山鸡</v>
      </c>
      <c r="C291" s="67">
        <f t="shared" si="60"/>
        <v>2</v>
      </c>
      <c r="D291" s="66" t="str">
        <f>IF(E291="","",VLOOKUP(E291,引用表合并!$A:$B,2,FALSE))</f>
        <v>马仔碎片(山鸡)</v>
      </c>
      <c r="E291" s="31">
        <v>78115</v>
      </c>
      <c r="F291" s="31">
        <v>2</v>
      </c>
      <c r="G291" s="66">
        <v>7000</v>
      </c>
      <c r="H291" s="66" t="str">
        <f>IF(I291="","",VLOOKUP(I291,引用表合并!$A:$B,2,FALSE))</f>
        <v>马仔碎片(山鸡)</v>
      </c>
      <c r="I291" s="31">
        <v>78115</v>
      </c>
      <c r="J291" s="31">
        <v>3</v>
      </c>
      <c r="K291" s="66">
        <v>10000</v>
      </c>
      <c r="L291" s="66" t="str">
        <f>IF(M291="","",VLOOKUP(M291,引用表合并!$A:$B,2,FALSE))</f>
        <v/>
      </c>
      <c r="M291" s="31"/>
      <c r="P291" s="66" t="str">
        <f>IF(Q291="","",VLOOKUP(Q291,引用表合并!$A:$B,2,FALSE))</f>
        <v/>
      </c>
      <c r="Q291" s="31"/>
      <c r="S291" s="66" t="s">
        <v>1023</v>
      </c>
    </row>
    <row r="292" spans="1:19" x14ac:dyDescent="0.15">
      <c r="A292">
        <v>115134</v>
      </c>
      <c r="B292" s="66" t="str">
        <f>D_奖励表!B283</f>
        <v>挑战Boss-山鸡</v>
      </c>
      <c r="C292" s="67">
        <f t="shared" si="60"/>
        <v>2</v>
      </c>
      <c r="D292" s="66" t="str">
        <f>IF(E292="","",VLOOKUP(E292,引用表合并!$A:$B,2,FALSE))</f>
        <v>马仔碎片(山鸡)</v>
      </c>
      <c r="E292" s="31">
        <v>78115</v>
      </c>
      <c r="F292" s="31">
        <v>2</v>
      </c>
      <c r="G292" s="66">
        <v>5000</v>
      </c>
      <c r="H292" s="66" t="str">
        <f>IF(I292="","",VLOOKUP(I292,引用表合并!$A:$B,2,FALSE))</f>
        <v>马仔碎片(山鸡)</v>
      </c>
      <c r="I292" s="31">
        <v>78115</v>
      </c>
      <c r="J292" s="31">
        <v>3</v>
      </c>
      <c r="K292" s="66">
        <v>10000</v>
      </c>
      <c r="L292" s="66" t="str">
        <f>IF(M292="","",VLOOKUP(M292,引用表合并!$A:$B,2,FALSE))</f>
        <v/>
      </c>
      <c r="M292" s="31"/>
      <c r="P292" s="66" t="str">
        <f>IF(Q292="","",VLOOKUP(Q292,引用表合并!$A:$B,2,FALSE))</f>
        <v/>
      </c>
      <c r="Q292" s="31"/>
      <c r="S292" s="66" t="s">
        <v>1023</v>
      </c>
    </row>
    <row r="293" spans="1:19" x14ac:dyDescent="0.15">
      <c r="A293">
        <v>115135</v>
      </c>
      <c r="B293" s="66" t="str">
        <f>D_奖励表!B284</f>
        <v>挑战Boss-山鸡</v>
      </c>
      <c r="C293" s="67">
        <f t="shared" si="60"/>
        <v>2</v>
      </c>
      <c r="D293" s="66" t="str">
        <f>IF(E293="","",VLOOKUP(E293,引用表合并!$A:$B,2,FALSE))</f>
        <v>马仔碎片(山鸡)</v>
      </c>
      <c r="E293" s="31">
        <v>78115</v>
      </c>
      <c r="F293" s="31">
        <v>2</v>
      </c>
      <c r="G293" s="66">
        <v>3000</v>
      </c>
      <c r="H293" s="66" t="str">
        <f>IF(I293="","",VLOOKUP(I293,引用表合并!$A:$B,2,FALSE))</f>
        <v>马仔碎片(山鸡)</v>
      </c>
      <c r="I293" s="31">
        <v>78115</v>
      </c>
      <c r="J293" s="31">
        <v>3</v>
      </c>
      <c r="K293" s="66">
        <v>10000</v>
      </c>
      <c r="L293" s="66" t="str">
        <f>IF(M293="","",VLOOKUP(M293,引用表合并!$A:$B,2,FALSE))</f>
        <v/>
      </c>
      <c r="M293" s="31"/>
      <c r="P293" s="66" t="str">
        <f>IF(Q293="","",VLOOKUP(Q293,引用表合并!$A:$B,2,FALSE))</f>
        <v/>
      </c>
      <c r="Q293" s="31"/>
      <c r="S293" s="66" t="s">
        <v>1023</v>
      </c>
    </row>
    <row r="294" spans="1:19" x14ac:dyDescent="0.15">
      <c r="A294">
        <v>115136</v>
      </c>
      <c r="B294" s="66" t="str">
        <f>D_奖励表!B285</f>
        <v>挑战Boss-山鸡</v>
      </c>
      <c r="C294" s="67">
        <f t="shared" si="60"/>
        <v>3</v>
      </c>
      <c r="D294" s="66" t="str">
        <f>IF(E294="","",VLOOKUP(E294,引用表合并!$A:$B,2,FALSE))</f>
        <v>马仔碎片(山鸡)</v>
      </c>
      <c r="E294" s="31">
        <v>78115</v>
      </c>
      <c r="F294" s="31">
        <v>3</v>
      </c>
      <c r="G294" s="66">
        <v>6000</v>
      </c>
      <c r="H294" s="66" t="str">
        <f>IF(I294="","",VLOOKUP(I294,引用表合并!$A:$B,2,FALSE))</f>
        <v>马仔碎片(山鸡)</v>
      </c>
      <c r="I294" s="31">
        <v>78115</v>
      </c>
      <c r="J294" s="31">
        <v>2</v>
      </c>
      <c r="K294" s="66">
        <v>8000</v>
      </c>
      <c r="L294" s="66" t="str">
        <f>IF(M294="","",VLOOKUP(M294,引用表合并!$A:$B,2,FALSE))</f>
        <v>马仔碎片(山鸡)</v>
      </c>
      <c r="M294" s="31">
        <v>78115</v>
      </c>
      <c r="N294" s="31">
        <v>4</v>
      </c>
      <c r="O294" s="66">
        <v>10000</v>
      </c>
      <c r="P294" s="66" t="str">
        <f>IF(Q294="","",VLOOKUP(Q294,引用表合并!$A:$B,2,FALSE))</f>
        <v/>
      </c>
      <c r="Q294" s="31"/>
      <c r="S294" s="66" t="s">
        <v>1023</v>
      </c>
    </row>
    <row r="295" spans="1:19" x14ac:dyDescent="0.15">
      <c r="A295">
        <v>115137</v>
      </c>
      <c r="B295" s="66" t="str">
        <f>D_奖励表!B286</f>
        <v>挑战Boss-山鸡</v>
      </c>
      <c r="C295" s="67">
        <f t="shared" si="60"/>
        <v>3</v>
      </c>
      <c r="D295" s="66" t="str">
        <f>IF(E295="","",VLOOKUP(E295,引用表合并!$A:$B,2,FALSE))</f>
        <v>马仔碎片(山鸡)</v>
      </c>
      <c r="E295" s="31">
        <v>78115</v>
      </c>
      <c r="F295" s="31">
        <v>3</v>
      </c>
      <c r="G295" s="66">
        <v>4500</v>
      </c>
      <c r="H295" s="66" t="str">
        <f>IF(I295="","",VLOOKUP(I295,引用表合并!$A:$B,2,FALSE))</f>
        <v>马仔碎片(山鸡)</v>
      </c>
      <c r="I295" s="31">
        <v>78115</v>
      </c>
      <c r="J295" s="31">
        <v>2</v>
      </c>
      <c r="K295" s="66">
        <v>6000</v>
      </c>
      <c r="L295" s="66" t="str">
        <f>IF(M295="","",VLOOKUP(M295,引用表合并!$A:$B,2,FALSE))</f>
        <v>马仔碎片(山鸡)</v>
      </c>
      <c r="M295" s="31">
        <v>78115</v>
      </c>
      <c r="N295" s="31">
        <v>4</v>
      </c>
      <c r="O295" s="66">
        <v>10000</v>
      </c>
      <c r="P295" s="66" t="str">
        <f>IF(Q295="","",VLOOKUP(Q295,引用表合并!$A:$B,2,FALSE))</f>
        <v/>
      </c>
      <c r="Q295" s="31"/>
      <c r="S295" s="66" t="s">
        <v>1023</v>
      </c>
    </row>
    <row r="296" spans="1:19" x14ac:dyDescent="0.15">
      <c r="A296">
        <v>115138</v>
      </c>
      <c r="B296" s="66" t="str">
        <f>D_奖励表!B287</f>
        <v>挑战Boss-山鸡</v>
      </c>
      <c r="C296" s="67">
        <f t="shared" si="60"/>
        <v>3</v>
      </c>
      <c r="D296" s="66" t="str">
        <f>IF(E296="","",VLOOKUP(E296,引用表合并!$A:$B,2,FALSE))</f>
        <v>马仔碎片(山鸡)</v>
      </c>
      <c r="E296" s="31">
        <v>78115</v>
      </c>
      <c r="F296" s="31">
        <v>3</v>
      </c>
      <c r="G296" s="66">
        <v>3000</v>
      </c>
      <c r="H296" s="66" t="str">
        <f>IF(I296="","",VLOOKUP(I296,引用表合并!$A:$B,2,FALSE))</f>
        <v>马仔碎片(山鸡)</v>
      </c>
      <c r="I296" s="31">
        <v>78115</v>
      </c>
      <c r="J296" s="31">
        <v>2</v>
      </c>
      <c r="K296" s="66">
        <v>4000</v>
      </c>
      <c r="L296" s="66" t="str">
        <f>IF(M296="","",VLOOKUP(M296,引用表合并!$A:$B,2,FALSE))</f>
        <v>马仔碎片(山鸡)</v>
      </c>
      <c r="M296" s="31">
        <v>78115</v>
      </c>
      <c r="N296" s="31">
        <v>4</v>
      </c>
      <c r="O296" s="66">
        <v>10000</v>
      </c>
      <c r="P296" s="66" t="str">
        <f>IF(Q296="","",VLOOKUP(Q296,引用表合并!$A:$B,2,FALSE))</f>
        <v/>
      </c>
      <c r="Q296" s="31"/>
      <c r="S296" s="66" t="s">
        <v>1023</v>
      </c>
    </row>
    <row r="297" spans="1:19" x14ac:dyDescent="0.15">
      <c r="A297">
        <v>115139</v>
      </c>
      <c r="B297" s="66" t="str">
        <f>D_奖励表!B288</f>
        <v>挑战Boss-山鸡</v>
      </c>
      <c r="C297" s="67">
        <f t="shared" si="60"/>
        <v>2</v>
      </c>
      <c r="D297" s="66" t="str">
        <f>IF(E297="","",VLOOKUP(E297,引用表合并!$A:$B,2,FALSE))</f>
        <v>马仔碎片(山鸡)</v>
      </c>
      <c r="E297" s="31">
        <v>78115</v>
      </c>
      <c r="F297" s="31">
        <v>3</v>
      </c>
      <c r="G297" s="66">
        <v>2000</v>
      </c>
      <c r="H297" s="66" t="str">
        <f>IF(I297="","",VLOOKUP(I297,引用表合并!$A:$B,2,FALSE))</f>
        <v>马仔碎片(山鸡)</v>
      </c>
      <c r="I297" s="31">
        <v>78115</v>
      </c>
      <c r="J297" s="31">
        <v>4</v>
      </c>
      <c r="K297" s="66">
        <v>10000</v>
      </c>
      <c r="L297" s="66" t="str">
        <f>IF(M297="","",VLOOKUP(M297,引用表合并!$A:$B,2,FALSE))</f>
        <v/>
      </c>
      <c r="M297" s="31"/>
      <c r="N297" s="31"/>
      <c r="P297" s="66" t="str">
        <f>IF(Q297="","",VLOOKUP(Q297,引用表合并!$A:$B,2,FALSE))</f>
        <v/>
      </c>
      <c r="Q297" s="31"/>
      <c r="S297" s="66" t="s">
        <v>1023</v>
      </c>
    </row>
    <row r="298" spans="1:19" x14ac:dyDescent="0.15">
      <c r="A298">
        <v>115140</v>
      </c>
      <c r="B298" s="66" t="str">
        <f>D_奖励表!B289</f>
        <v>挑战Boss-大天二</v>
      </c>
      <c r="C298" s="67">
        <f t="shared" si="60"/>
        <v>1</v>
      </c>
      <c r="D298" s="66" t="str">
        <f>IF(E298="","",VLOOKUP(E298,引用表合并!$A:$B,2,FALSE))</f>
        <v>马仔碎片(大天二)</v>
      </c>
      <c r="E298" s="31">
        <v>78116</v>
      </c>
      <c r="F298" s="31">
        <v>1</v>
      </c>
      <c r="G298" s="66">
        <v>10000</v>
      </c>
      <c r="H298" s="66" t="str">
        <f>IF(I298="","",VLOOKUP(I298,引用表合并!$A:$B,2,FALSE))</f>
        <v/>
      </c>
      <c r="I298" s="31"/>
      <c r="L298" s="66" t="str">
        <f>IF(M298="","",VLOOKUP(M298,引用表合并!$A:$B,2,FALSE))</f>
        <v/>
      </c>
      <c r="M298" s="31"/>
      <c r="P298" s="66" t="str">
        <f>IF(Q298="","",VLOOKUP(Q298,引用表合并!$A:$B,2,FALSE))</f>
        <v/>
      </c>
      <c r="Q298" s="31"/>
      <c r="S298" s="66" t="s">
        <v>1023</v>
      </c>
    </row>
    <row r="299" spans="1:19" x14ac:dyDescent="0.15">
      <c r="A299">
        <v>115141</v>
      </c>
      <c r="B299" s="66" t="str">
        <f>D_奖励表!B290</f>
        <v>挑战Boss-大天二</v>
      </c>
      <c r="C299" s="67">
        <f t="shared" si="60"/>
        <v>2</v>
      </c>
      <c r="D299" s="66" t="str">
        <f>IF(E299="","",VLOOKUP(E299,引用表合并!$A:$B,2,FALSE))</f>
        <v>马仔碎片(大天二)</v>
      </c>
      <c r="E299" s="31">
        <v>78116</v>
      </c>
      <c r="F299" s="31">
        <v>1</v>
      </c>
      <c r="G299" s="66">
        <v>5000</v>
      </c>
      <c r="H299" s="66" t="str">
        <f>IF(I299="","",VLOOKUP(I299,引用表合并!$A:$B,2,FALSE))</f>
        <v>马仔碎片(大天二)</v>
      </c>
      <c r="I299" s="31">
        <v>78116</v>
      </c>
      <c r="J299" s="31">
        <v>2</v>
      </c>
      <c r="K299" s="66">
        <v>10000</v>
      </c>
      <c r="L299" s="66" t="str">
        <f>IF(M299="","",VLOOKUP(M299,引用表合并!$A:$B,2,FALSE))</f>
        <v/>
      </c>
      <c r="M299" s="31"/>
      <c r="P299" s="66" t="str">
        <f>IF(Q299="","",VLOOKUP(Q299,引用表合并!$A:$B,2,FALSE))</f>
        <v/>
      </c>
      <c r="Q299" s="31"/>
      <c r="S299" s="66" t="s">
        <v>1023</v>
      </c>
    </row>
    <row r="300" spans="1:19" x14ac:dyDescent="0.15">
      <c r="A300">
        <v>115142</v>
      </c>
      <c r="B300" s="66" t="str">
        <f>D_奖励表!B291</f>
        <v>挑战Boss-大天二</v>
      </c>
      <c r="C300" s="67">
        <f t="shared" ref="C300:C307" si="61">CHOOSE(2,1,COUNT(F300,J300,N300,R300,V300,Z300,AD300,AH300,AL300,AP300,AT300,AX300,BB300,BF300,BJ300))</f>
        <v>3</v>
      </c>
      <c r="D300" s="66" t="str">
        <f>IF(E300="","",VLOOKUP(E300,引用表合并!$A:$B,2,FALSE))</f>
        <v>马仔碎片(大天二)</v>
      </c>
      <c r="E300" s="31">
        <v>78116</v>
      </c>
      <c r="F300" s="31">
        <v>2</v>
      </c>
      <c r="G300" s="66">
        <v>6000</v>
      </c>
      <c r="H300" s="66" t="str">
        <f>IF(I300="","",VLOOKUP(I300,引用表合并!$A:$B,2,FALSE))</f>
        <v>马仔碎片(大天二)</v>
      </c>
      <c r="I300" s="31">
        <v>78116</v>
      </c>
      <c r="J300" s="31">
        <v>1</v>
      </c>
      <c r="K300" s="66">
        <v>8000</v>
      </c>
      <c r="L300" s="66" t="str">
        <f>IF(M300="","",VLOOKUP(M300,引用表合并!$A:$B,2,FALSE))</f>
        <v>马仔碎片(大天二)</v>
      </c>
      <c r="M300" s="31">
        <v>78116</v>
      </c>
      <c r="N300" s="31">
        <v>3</v>
      </c>
      <c r="O300" s="66">
        <v>10000</v>
      </c>
      <c r="P300" s="66" t="str">
        <f>IF(Q300="","",VLOOKUP(Q300,引用表合并!$A:$B,2,FALSE))</f>
        <v/>
      </c>
      <c r="Q300" s="31"/>
      <c r="S300" s="66" t="s">
        <v>1023</v>
      </c>
    </row>
    <row r="301" spans="1:19" x14ac:dyDescent="0.15">
      <c r="A301">
        <v>115143</v>
      </c>
      <c r="B301" s="66" t="str">
        <f>D_奖励表!B292</f>
        <v>挑战Boss-大天二</v>
      </c>
      <c r="C301" s="67">
        <f t="shared" si="61"/>
        <v>2</v>
      </c>
      <c r="D301" s="66" t="str">
        <f>IF(E301="","",VLOOKUP(E301,引用表合并!$A:$B,2,FALSE))</f>
        <v>马仔碎片(大天二)</v>
      </c>
      <c r="E301" s="31">
        <v>78116</v>
      </c>
      <c r="F301" s="31">
        <v>2</v>
      </c>
      <c r="G301" s="66">
        <v>7000</v>
      </c>
      <c r="H301" s="66" t="str">
        <f>IF(I301="","",VLOOKUP(I301,引用表合并!$A:$B,2,FALSE))</f>
        <v>马仔碎片(大天二)</v>
      </c>
      <c r="I301" s="31">
        <v>78116</v>
      </c>
      <c r="J301" s="31">
        <v>3</v>
      </c>
      <c r="K301" s="66">
        <v>10000</v>
      </c>
      <c r="L301" s="66" t="str">
        <f>IF(M301="","",VLOOKUP(M301,引用表合并!$A:$B,2,FALSE))</f>
        <v/>
      </c>
      <c r="M301" s="31"/>
      <c r="P301" s="66" t="str">
        <f>IF(Q301="","",VLOOKUP(Q301,引用表合并!$A:$B,2,FALSE))</f>
        <v/>
      </c>
      <c r="Q301" s="31"/>
      <c r="S301" s="66" t="s">
        <v>1023</v>
      </c>
    </row>
    <row r="302" spans="1:19" x14ac:dyDescent="0.15">
      <c r="A302">
        <v>115144</v>
      </c>
      <c r="B302" s="66" t="str">
        <f>D_奖励表!B293</f>
        <v>挑战Boss-大天二</v>
      </c>
      <c r="C302" s="67">
        <f t="shared" si="61"/>
        <v>2</v>
      </c>
      <c r="D302" s="66" t="str">
        <f>IF(E302="","",VLOOKUP(E302,引用表合并!$A:$B,2,FALSE))</f>
        <v>马仔碎片(大天二)</v>
      </c>
      <c r="E302" s="31">
        <v>78116</v>
      </c>
      <c r="F302" s="31">
        <v>2</v>
      </c>
      <c r="G302" s="66">
        <v>5000</v>
      </c>
      <c r="H302" s="66" t="str">
        <f>IF(I302="","",VLOOKUP(I302,引用表合并!$A:$B,2,FALSE))</f>
        <v>马仔碎片(大天二)</v>
      </c>
      <c r="I302" s="31">
        <v>78116</v>
      </c>
      <c r="J302" s="31">
        <v>3</v>
      </c>
      <c r="K302" s="66">
        <v>10000</v>
      </c>
      <c r="L302" s="66" t="str">
        <f>IF(M302="","",VLOOKUP(M302,引用表合并!$A:$B,2,FALSE))</f>
        <v/>
      </c>
      <c r="M302" s="31"/>
      <c r="P302" s="66" t="str">
        <f>IF(Q302="","",VLOOKUP(Q302,引用表合并!$A:$B,2,FALSE))</f>
        <v/>
      </c>
      <c r="Q302" s="31"/>
      <c r="S302" s="66" t="s">
        <v>1023</v>
      </c>
    </row>
    <row r="303" spans="1:19" x14ac:dyDescent="0.15">
      <c r="A303">
        <v>115145</v>
      </c>
      <c r="B303" s="66" t="str">
        <f>D_奖励表!B294</f>
        <v>挑战Boss-大天二</v>
      </c>
      <c r="C303" s="67">
        <f t="shared" si="61"/>
        <v>2</v>
      </c>
      <c r="D303" s="66" t="str">
        <f>IF(E303="","",VLOOKUP(E303,引用表合并!$A:$B,2,FALSE))</f>
        <v>马仔碎片(大天二)</v>
      </c>
      <c r="E303" s="31">
        <v>78116</v>
      </c>
      <c r="F303" s="31">
        <v>2</v>
      </c>
      <c r="G303" s="66">
        <v>3000</v>
      </c>
      <c r="H303" s="66" t="str">
        <f>IF(I303="","",VLOOKUP(I303,引用表合并!$A:$B,2,FALSE))</f>
        <v>马仔碎片(大天二)</v>
      </c>
      <c r="I303" s="31">
        <v>78116</v>
      </c>
      <c r="J303" s="31">
        <v>3</v>
      </c>
      <c r="K303" s="66">
        <v>10000</v>
      </c>
      <c r="L303" s="66" t="str">
        <f>IF(M303="","",VLOOKUP(M303,引用表合并!$A:$B,2,FALSE))</f>
        <v/>
      </c>
      <c r="M303" s="31"/>
      <c r="P303" s="66" t="str">
        <f>IF(Q303="","",VLOOKUP(Q303,引用表合并!$A:$B,2,FALSE))</f>
        <v/>
      </c>
      <c r="Q303" s="31"/>
      <c r="S303" s="66" t="s">
        <v>1023</v>
      </c>
    </row>
    <row r="304" spans="1:19" x14ac:dyDescent="0.15">
      <c r="A304">
        <v>115146</v>
      </c>
      <c r="B304" s="66" t="str">
        <f>D_奖励表!B295</f>
        <v>挑战Boss-大天二</v>
      </c>
      <c r="C304" s="67">
        <f t="shared" si="61"/>
        <v>3</v>
      </c>
      <c r="D304" s="66" t="str">
        <f>IF(E304="","",VLOOKUP(E304,引用表合并!$A:$B,2,FALSE))</f>
        <v>马仔碎片(大天二)</v>
      </c>
      <c r="E304" s="31">
        <v>78116</v>
      </c>
      <c r="F304" s="31">
        <v>3</v>
      </c>
      <c r="G304" s="66">
        <v>6000</v>
      </c>
      <c r="H304" s="66" t="str">
        <f>IF(I304="","",VLOOKUP(I304,引用表合并!$A:$B,2,FALSE))</f>
        <v>马仔碎片(大天二)</v>
      </c>
      <c r="I304" s="31">
        <v>78116</v>
      </c>
      <c r="J304" s="31">
        <v>2</v>
      </c>
      <c r="K304" s="66">
        <v>8000</v>
      </c>
      <c r="L304" s="66" t="str">
        <f>IF(M304="","",VLOOKUP(M304,引用表合并!$A:$B,2,FALSE))</f>
        <v>马仔碎片(大天二)</v>
      </c>
      <c r="M304" s="31">
        <v>78116</v>
      </c>
      <c r="N304" s="31">
        <v>4</v>
      </c>
      <c r="O304" s="66">
        <v>10000</v>
      </c>
      <c r="P304" s="66" t="str">
        <f>IF(Q304="","",VLOOKUP(Q304,引用表合并!$A:$B,2,FALSE))</f>
        <v/>
      </c>
      <c r="Q304" s="31"/>
      <c r="S304" s="66" t="s">
        <v>1023</v>
      </c>
    </row>
    <row r="305" spans="1:19" x14ac:dyDescent="0.15">
      <c r="A305">
        <v>115147</v>
      </c>
      <c r="B305" s="66" t="str">
        <f>D_奖励表!B296</f>
        <v>挑战Boss-大天二</v>
      </c>
      <c r="C305" s="67">
        <f t="shared" si="61"/>
        <v>3</v>
      </c>
      <c r="D305" s="66" t="str">
        <f>IF(E305="","",VLOOKUP(E305,引用表合并!$A:$B,2,FALSE))</f>
        <v>马仔碎片(大天二)</v>
      </c>
      <c r="E305" s="31">
        <v>78116</v>
      </c>
      <c r="F305" s="31">
        <v>3</v>
      </c>
      <c r="G305" s="66">
        <v>4500</v>
      </c>
      <c r="H305" s="66" t="str">
        <f>IF(I305="","",VLOOKUP(I305,引用表合并!$A:$B,2,FALSE))</f>
        <v>马仔碎片(大天二)</v>
      </c>
      <c r="I305" s="31">
        <v>78116</v>
      </c>
      <c r="J305" s="31">
        <v>2</v>
      </c>
      <c r="K305" s="66">
        <v>6000</v>
      </c>
      <c r="L305" s="66" t="str">
        <f>IF(M305="","",VLOOKUP(M305,引用表合并!$A:$B,2,FALSE))</f>
        <v>马仔碎片(大天二)</v>
      </c>
      <c r="M305" s="31">
        <v>78116</v>
      </c>
      <c r="N305" s="31">
        <v>4</v>
      </c>
      <c r="O305" s="66">
        <v>10000</v>
      </c>
      <c r="P305" s="66" t="str">
        <f>IF(Q305="","",VLOOKUP(Q305,引用表合并!$A:$B,2,FALSE))</f>
        <v/>
      </c>
      <c r="Q305" s="31"/>
      <c r="S305" s="66" t="s">
        <v>1023</v>
      </c>
    </row>
    <row r="306" spans="1:19" x14ac:dyDescent="0.15">
      <c r="A306">
        <v>115148</v>
      </c>
      <c r="B306" s="66" t="str">
        <f>D_奖励表!B297</f>
        <v>挑战Boss-大天二</v>
      </c>
      <c r="C306" s="67">
        <f t="shared" si="61"/>
        <v>3</v>
      </c>
      <c r="D306" s="66" t="str">
        <f>IF(E306="","",VLOOKUP(E306,引用表合并!$A:$B,2,FALSE))</f>
        <v>马仔碎片(大天二)</v>
      </c>
      <c r="E306" s="31">
        <v>78116</v>
      </c>
      <c r="F306" s="31">
        <v>3</v>
      </c>
      <c r="G306" s="66">
        <v>3000</v>
      </c>
      <c r="H306" s="66" t="str">
        <f>IF(I306="","",VLOOKUP(I306,引用表合并!$A:$B,2,FALSE))</f>
        <v>马仔碎片(大天二)</v>
      </c>
      <c r="I306" s="31">
        <v>78116</v>
      </c>
      <c r="J306" s="31">
        <v>2</v>
      </c>
      <c r="K306" s="66">
        <v>4000</v>
      </c>
      <c r="L306" s="66" t="str">
        <f>IF(M306="","",VLOOKUP(M306,引用表合并!$A:$B,2,FALSE))</f>
        <v>马仔碎片(大天二)</v>
      </c>
      <c r="M306" s="31">
        <v>78116</v>
      </c>
      <c r="N306" s="31">
        <v>4</v>
      </c>
      <c r="O306" s="66">
        <v>10000</v>
      </c>
      <c r="P306" s="66" t="str">
        <f>IF(Q306="","",VLOOKUP(Q306,引用表合并!$A:$B,2,FALSE))</f>
        <v/>
      </c>
      <c r="Q306" s="31"/>
      <c r="S306" s="66" t="s">
        <v>1023</v>
      </c>
    </row>
    <row r="307" spans="1:19" x14ac:dyDescent="0.15">
      <c r="A307">
        <v>115149</v>
      </c>
      <c r="B307" s="66" t="str">
        <f>D_奖励表!B298</f>
        <v>挑战Boss-大天二</v>
      </c>
      <c r="C307" s="67">
        <f t="shared" si="61"/>
        <v>2</v>
      </c>
      <c r="D307" s="66" t="str">
        <f>IF(E307="","",VLOOKUP(E307,引用表合并!$A:$B,2,FALSE))</f>
        <v>马仔碎片(大天二)</v>
      </c>
      <c r="E307" s="31">
        <v>78116</v>
      </c>
      <c r="F307" s="31">
        <v>3</v>
      </c>
      <c r="G307" s="66">
        <v>2000</v>
      </c>
      <c r="H307" s="66" t="str">
        <f>IF(I307="","",VLOOKUP(I307,引用表合并!$A:$B,2,FALSE))</f>
        <v>马仔碎片(大天二)</v>
      </c>
      <c r="I307" s="31">
        <v>78116</v>
      </c>
      <c r="J307" s="31">
        <v>4</v>
      </c>
      <c r="K307" s="66">
        <v>10000</v>
      </c>
      <c r="L307" s="66" t="str">
        <f>IF(M307="","",VLOOKUP(M307,引用表合并!$A:$B,2,FALSE))</f>
        <v/>
      </c>
      <c r="M307" s="31"/>
      <c r="N307" s="31"/>
      <c r="P307" s="66" t="str">
        <f>IF(Q307="","",VLOOKUP(Q307,引用表合并!$A:$B,2,FALSE))</f>
        <v/>
      </c>
      <c r="Q307" s="31"/>
      <c r="S307" s="66" t="s">
        <v>1023</v>
      </c>
    </row>
    <row r="308" spans="1:19" x14ac:dyDescent="0.15">
      <c r="A308" s="66">
        <v>114010</v>
      </c>
      <c r="B308" s="66" t="s">
        <v>1176</v>
      </c>
      <c r="C308" s="66">
        <v>1</v>
      </c>
      <c r="D308" s="66" t="str">
        <f>IF(E308="","",VLOOKUP(E308,引用表合并!$A:$B,2,FALSE))</f>
        <v>初级升星石</v>
      </c>
      <c r="E308" s="66">
        <v>70101</v>
      </c>
      <c r="F308" s="66">
        <v>10</v>
      </c>
      <c r="G308" s="66">
        <v>10000</v>
      </c>
    </row>
    <row r="309" spans="1:19" x14ac:dyDescent="0.15">
      <c r="A309" s="66">
        <v>114020</v>
      </c>
      <c r="B309" s="66" t="s">
        <v>1177</v>
      </c>
      <c r="C309" s="66">
        <v>1</v>
      </c>
      <c r="D309" s="66" t="str">
        <f>IF(E309="","",VLOOKUP(E309,引用表合并!$A:$B,2,FALSE))</f>
        <v>初级升星石</v>
      </c>
      <c r="E309" s="66">
        <v>70101</v>
      </c>
      <c r="F309" s="66">
        <v>20</v>
      </c>
      <c r="G309" s="66">
        <v>10000</v>
      </c>
    </row>
    <row r="310" spans="1:19" x14ac:dyDescent="0.15">
      <c r="A310" s="66">
        <v>114030</v>
      </c>
      <c r="B310" s="66" t="s">
        <v>1178</v>
      </c>
      <c r="C310" s="66">
        <v>1</v>
      </c>
      <c r="D310" s="66" t="str">
        <f>IF(E310="","",VLOOKUP(E310,引用表合并!$A:$B,2,FALSE))</f>
        <v>中级升星石</v>
      </c>
      <c r="E310" s="66">
        <v>70201</v>
      </c>
      <c r="F310" s="66">
        <v>3</v>
      </c>
      <c r="G310" s="66">
        <v>10000</v>
      </c>
    </row>
    <row r="311" spans="1:19" x14ac:dyDescent="0.15">
      <c r="A311" s="66">
        <v>114040</v>
      </c>
      <c r="B311" s="66" t="s">
        <v>1179</v>
      </c>
      <c r="C311" s="66">
        <v>1</v>
      </c>
      <c r="D311" s="66" t="str">
        <f>IF(E311="","",VLOOKUP(E311,引用表合并!$A:$B,2,FALSE))</f>
        <v>中级升星石</v>
      </c>
      <c r="E311" s="66">
        <v>70201</v>
      </c>
      <c r="F311" s="66">
        <v>5</v>
      </c>
      <c r="G311" s="66">
        <v>10000</v>
      </c>
    </row>
    <row r="312" spans="1:19" x14ac:dyDescent="0.15">
      <c r="A312" s="66">
        <v>114050</v>
      </c>
      <c r="B312" s="66" t="s">
        <v>1180</v>
      </c>
      <c r="C312" s="66">
        <v>1</v>
      </c>
      <c r="D312" s="66" t="str">
        <f>IF(E312="","",VLOOKUP(E312,引用表合并!$A:$B,2,FALSE))</f>
        <v>中级升星石</v>
      </c>
      <c r="E312" s="66">
        <v>70201</v>
      </c>
      <c r="F312" s="66">
        <v>8</v>
      </c>
      <c r="G312" s="66">
        <v>10000</v>
      </c>
    </row>
    <row r="313" spans="1:19" x14ac:dyDescent="0.15">
      <c r="A313" s="66">
        <v>114060</v>
      </c>
      <c r="B313" s="66" t="s">
        <v>1181</v>
      </c>
      <c r="C313" s="66">
        <v>1</v>
      </c>
      <c r="D313" s="66" t="str">
        <f>IF(E313="","",VLOOKUP(E313,引用表合并!$A:$B,2,FALSE))</f>
        <v>高级升星石</v>
      </c>
      <c r="E313" s="66">
        <v>70301</v>
      </c>
      <c r="F313" s="66">
        <v>1</v>
      </c>
      <c r="G313" s="66">
        <v>10000</v>
      </c>
    </row>
  </sheetData>
  <autoFilter ref="A1:BK166"/>
  <phoneticPr fontId="1" type="noConversion"/>
  <conditionalFormatting sqref="BK1 AM1 AQ1 AU1 AY1 BC1 BG1">
    <cfRule type="expression" dxfId="28062" priority="16974">
      <formula>AND(AL1=0,AM1&gt;0)</formula>
    </cfRule>
  </conditionalFormatting>
  <conditionalFormatting sqref="AK1 AO1 AS1 AW1 BA1 BE1 BI1">
    <cfRule type="expression" dxfId="28061" priority="25376">
      <formula>AND(AI1=0,AK1&gt;0)</formula>
    </cfRule>
  </conditionalFormatting>
  <conditionalFormatting sqref="BI32:BK32 BE32 AW32">
    <cfRule type="colorScale" priority="16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">
    <cfRule type="colorScale" priority="169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32">
    <cfRule type="colorScale" priority="16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32:BG32">
    <cfRule type="colorScale" priority="16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43">
    <cfRule type="colorScale" priority="16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">
    <cfRule type="colorScale" priority="169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2">
    <cfRule type="colorScale" priority="16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2">
    <cfRule type="expression" dxfId="28060" priority="16896">
      <formula>AND(AW32&gt;=79001,AW32&lt;79900)</formula>
    </cfRule>
    <cfRule type="expression" dxfId="28059" priority="16897" stopIfTrue="1">
      <formula>AND(AW32&gt;=70101,AW32&lt;=70301)</formula>
    </cfRule>
    <cfRule type="expression" dxfId="28058" priority="16898" stopIfTrue="1">
      <formula>AND(AW32&gt;70000,AW32&lt;70004)</formula>
    </cfRule>
    <cfRule type="expression" dxfId="28057" priority="16899" stopIfTrue="1">
      <formula>AND(AW32&gt;=70010,AW32&lt;=76000)</formula>
    </cfRule>
    <cfRule type="expression" dxfId="28056" priority="16900">
      <formula>AND(AW32&gt;70000,AW32&lt;70004)</formula>
    </cfRule>
    <cfRule type="expression" dxfId="28055" priority="16901" stopIfTrue="1">
      <formula>OR(AND(AW32&gt;=10000,AW32&lt;=56999),AND(AW32&gt;=57000,AW32&lt;=57999))</formula>
    </cfRule>
    <cfRule type="expression" dxfId="28054" priority="16902" stopIfTrue="1">
      <formula>AND(AW32&gt;=8000,AW32&lt;=9999)</formula>
    </cfRule>
    <cfRule type="expression" dxfId="28053" priority="16903" stopIfTrue="1">
      <formula>AND(AW32&gt;=78100,AW32&lt;=78199)</formula>
    </cfRule>
    <cfRule type="expression" dxfId="28052" priority="16904" stopIfTrue="1">
      <formula>AND(AW32&gt;=92000,AW32&lt;=98999)</formula>
    </cfRule>
    <cfRule type="expression" dxfId="28051" priority="16905" stopIfTrue="1">
      <formula>AND(AW32&gt;=78100,AW32&lt;=78199)</formula>
    </cfRule>
    <cfRule type="expression" dxfId="28050" priority="16906" stopIfTrue="1">
      <formula>AND(AW32&gt;=91000,AW32&lt;=91999)</formula>
    </cfRule>
  </conditionalFormatting>
  <conditionalFormatting sqref="AZ32">
    <cfRule type="expression" dxfId="28049" priority="16885">
      <formula>AND(BA32&gt;=79001,BA32&lt;79900)</formula>
    </cfRule>
    <cfRule type="expression" dxfId="28048" priority="16886" stopIfTrue="1">
      <formula>AND(BA32&gt;=70101,BA32&lt;=70301)</formula>
    </cfRule>
    <cfRule type="expression" dxfId="28047" priority="16887" stopIfTrue="1">
      <formula>AND(BA32&gt;70000,BA32&lt;70004)</formula>
    </cfRule>
    <cfRule type="expression" dxfId="28046" priority="16888" stopIfTrue="1">
      <formula>AND(BA32&gt;=70010,BA32&lt;=76000)</formula>
    </cfRule>
    <cfRule type="expression" dxfId="28045" priority="16889">
      <formula>AND(BA32&gt;70000,BA32&lt;70004)</formula>
    </cfRule>
    <cfRule type="expression" dxfId="28044" priority="16890" stopIfTrue="1">
      <formula>OR(AND(BA32&gt;=10000,BA32&lt;=56999),AND(BA32&gt;=57000,BA32&lt;=57999))</formula>
    </cfRule>
    <cfRule type="expression" dxfId="28043" priority="16891" stopIfTrue="1">
      <formula>AND(BA32&gt;=8000,BA32&lt;=9999)</formula>
    </cfRule>
    <cfRule type="expression" dxfId="28042" priority="16892" stopIfTrue="1">
      <formula>AND(BA32&gt;=78100,BA32&lt;=78199)</formula>
    </cfRule>
    <cfRule type="expression" dxfId="28041" priority="16893" stopIfTrue="1">
      <formula>AND(BA32&gt;=92000,BA32&lt;=98999)</formula>
    </cfRule>
    <cfRule type="expression" dxfId="28040" priority="16894" stopIfTrue="1">
      <formula>AND(BA32&gt;=78100,BA32&lt;=78199)</formula>
    </cfRule>
    <cfRule type="expression" dxfId="28039" priority="16895" stopIfTrue="1">
      <formula>AND(BA32&gt;=91000,BA32&lt;=91999)</formula>
    </cfRule>
  </conditionalFormatting>
  <conditionalFormatting sqref="BD32">
    <cfRule type="expression" dxfId="28038" priority="16874">
      <formula>AND(BE32&gt;=79001,BE32&lt;79900)</formula>
    </cfRule>
    <cfRule type="expression" dxfId="28037" priority="16875" stopIfTrue="1">
      <formula>AND(BE32&gt;=70101,BE32&lt;=70301)</formula>
    </cfRule>
    <cfRule type="expression" dxfId="28036" priority="16876" stopIfTrue="1">
      <formula>AND(BE32&gt;70000,BE32&lt;70004)</formula>
    </cfRule>
    <cfRule type="expression" dxfId="28035" priority="16877" stopIfTrue="1">
      <formula>AND(BE32&gt;=70010,BE32&lt;=76000)</formula>
    </cfRule>
    <cfRule type="expression" dxfId="28034" priority="16878">
      <formula>AND(BE32&gt;70000,BE32&lt;70004)</formula>
    </cfRule>
    <cfRule type="expression" dxfId="28033" priority="16879" stopIfTrue="1">
      <formula>OR(AND(BE32&gt;=10000,BE32&lt;=56999),AND(BE32&gt;=57000,BE32&lt;=57999))</formula>
    </cfRule>
    <cfRule type="expression" dxfId="28032" priority="16880" stopIfTrue="1">
      <formula>AND(BE32&gt;=8000,BE32&lt;=9999)</formula>
    </cfRule>
    <cfRule type="expression" dxfId="28031" priority="16881" stopIfTrue="1">
      <formula>AND(BE32&gt;=78100,BE32&lt;=78199)</formula>
    </cfRule>
    <cfRule type="expression" dxfId="28030" priority="16882" stopIfTrue="1">
      <formula>AND(BE32&gt;=92000,BE32&lt;=98999)</formula>
    </cfRule>
    <cfRule type="expression" dxfId="28029" priority="16883" stopIfTrue="1">
      <formula>AND(BE32&gt;=78100,BE32&lt;=78199)</formula>
    </cfRule>
    <cfRule type="expression" dxfId="28028" priority="16884" stopIfTrue="1">
      <formula>AND(BE32&gt;=91000,BE32&lt;=91999)</formula>
    </cfRule>
  </conditionalFormatting>
  <conditionalFormatting sqref="BH32">
    <cfRule type="expression" dxfId="28027" priority="16863">
      <formula>AND(BI32&gt;=79001,BI32&lt;79900)</formula>
    </cfRule>
    <cfRule type="expression" dxfId="28026" priority="16864" stopIfTrue="1">
      <formula>AND(BI32&gt;=70101,BI32&lt;=70301)</formula>
    </cfRule>
    <cfRule type="expression" dxfId="28025" priority="16865" stopIfTrue="1">
      <formula>AND(BI32&gt;70000,BI32&lt;70004)</formula>
    </cfRule>
    <cfRule type="expression" dxfId="28024" priority="16866" stopIfTrue="1">
      <formula>AND(BI32&gt;=70010,BI32&lt;=76000)</formula>
    </cfRule>
    <cfRule type="expression" dxfId="28023" priority="16867">
      <formula>AND(BI32&gt;70000,BI32&lt;70004)</formula>
    </cfRule>
    <cfRule type="expression" dxfId="28022" priority="16868" stopIfTrue="1">
      <formula>OR(AND(BI32&gt;=10000,BI32&lt;=56999),AND(BI32&gt;=57000,BI32&lt;=57999))</formula>
    </cfRule>
    <cfRule type="expression" dxfId="28021" priority="16869" stopIfTrue="1">
      <formula>AND(BI32&gt;=8000,BI32&lt;=9999)</formula>
    </cfRule>
    <cfRule type="expression" dxfId="28020" priority="16870" stopIfTrue="1">
      <formula>AND(BI32&gt;=78100,BI32&lt;=78199)</formula>
    </cfRule>
    <cfRule type="expression" dxfId="28019" priority="16871" stopIfTrue="1">
      <formula>AND(BI32&gt;=92000,BI32&lt;=98999)</formula>
    </cfRule>
    <cfRule type="expression" dxfId="28018" priority="16872" stopIfTrue="1">
      <formula>AND(BI32&gt;=78100,BI32&lt;=78199)</formula>
    </cfRule>
    <cfRule type="expression" dxfId="28017" priority="16873" stopIfTrue="1">
      <formula>AND(BI32&gt;=91000,BI32&lt;=91999)</formula>
    </cfRule>
  </conditionalFormatting>
  <conditionalFormatting sqref="AW32">
    <cfRule type="colorScale" priority="16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2">
    <cfRule type="colorScale" priority="16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2">
    <cfRule type="expression" dxfId="28016" priority="16768">
      <formula>AND(AW32&gt;=79001,AW32&lt;79900)</formula>
    </cfRule>
    <cfRule type="expression" dxfId="28015" priority="16769" stopIfTrue="1">
      <formula>AND(AW32&gt;=70101,AW32&lt;=70301)</formula>
    </cfRule>
    <cfRule type="expression" dxfId="28014" priority="16770" stopIfTrue="1">
      <formula>AND(AW32&gt;70000,AW32&lt;70004)</formula>
    </cfRule>
    <cfRule type="expression" dxfId="28013" priority="16771" stopIfTrue="1">
      <formula>AND(AW32&gt;=70010,AW32&lt;=76000)</formula>
    </cfRule>
    <cfRule type="expression" dxfId="28012" priority="16772">
      <formula>AND(AW32&gt;70000,AW32&lt;70004)</formula>
    </cfRule>
    <cfRule type="expression" dxfId="28011" priority="16773" stopIfTrue="1">
      <formula>OR(AND(AW32&gt;=10000,AW32&lt;=56999),AND(AW32&gt;=57000,AW32&lt;=57999))</formula>
    </cfRule>
    <cfRule type="expression" dxfId="28010" priority="16774" stopIfTrue="1">
      <formula>AND(AW32&gt;=8000,AW32&lt;=9999)</formula>
    </cfRule>
    <cfRule type="expression" dxfId="28009" priority="16775" stopIfTrue="1">
      <formula>AND(AW32&gt;=78100,AW32&lt;=78199)</formula>
    </cfRule>
    <cfRule type="expression" dxfId="28008" priority="16776" stopIfTrue="1">
      <formula>AND(AW32&gt;=92000,AW32&lt;=98999)</formula>
    </cfRule>
    <cfRule type="expression" dxfId="28007" priority="16777" stopIfTrue="1">
      <formula>AND(AW32&gt;=78100,AW32&lt;=78199)</formula>
    </cfRule>
    <cfRule type="expression" dxfId="28006" priority="16778" stopIfTrue="1">
      <formula>AND(AW32&gt;=91000,AW32&lt;=91999)</formula>
    </cfRule>
  </conditionalFormatting>
  <conditionalFormatting sqref="AZ32">
    <cfRule type="expression" dxfId="28005" priority="16757">
      <formula>AND(BA32&gt;=79001,BA32&lt;79900)</formula>
    </cfRule>
    <cfRule type="expression" dxfId="28004" priority="16758" stopIfTrue="1">
      <formula>AND(BA32&gt;=70101,BA32&lt;=70301)</formula>
    </cfRule>
    <cfRule type="expression" dxfId="28003" priority="16759" stopIfTrue="1">
      <formula>AND(BA32&gt;70000,BA32&lt;70004)</formula>
    </cfRule>
    <cfRule type="expression" dxfId="28002" priority="16760" stopIfTrue="1">
      <formula>AND(BA32&gt;=70010,BA32&lt;=76000)</formula>
    </cfRule>
    <cfRule type="expression" dxfId="28001" priority="16761">
      <formula>AND(BA32&gt;70000,BA32&lt;70004)</formula>
    </cfRule>
    <cfRule type="expression" dxfId="28000" priority="16762" stopIfTrue="1">
      <formula>OR(AND(BA32&gt;=10000,BA32&lt;=56999),AND(BA32&gt;=57000,BA32&lt;=57999))</formula>
    </cfRule>
    <cfRule type="expression" dxfId="27999" priority="16763" stopIfTrue="1">
      <formula>AND(BA32&gt;=8000,BA32&lt;=9999)</formula>
    </cfRule>
    <cfRule type="expression" dxfId="27998" priority="16764" stopIfTrue="1">
      <formula>AND(BA32&gt;=78100,BA32&lt;=78199)</formula>
    </cfRule>
    <cfRule type="expression" dxfId="27997" priority="16765" stopIfTrue="1">
      <formula>AND(BA32&gt;=92000,BA32&lt;=98999)</formula>
    </cfRule>
    <cfRule type="expression" dxfId="27996" priority="16766" stopIfTrue="1">
      <formula>AND(BA32&gt;=78100,BA32&lt;=78199)</formula>
    </cfRule>
    <cfRule type="expression" dxfId="27995" priority="16767" stopIfTrue="1">
      <formula>AND(BA32&gt;=91000,BA32&lt;=91999)</formula>
    </cfRule>
  </conditionalFormatting>
  <conditionalFormatting sqref="AS32 AO32">
    <cfRule type="colorScale" priority="16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2">
    <cfRule type="colorScale" priority="167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32">
    <cfRule type="colorScale" priority="16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2">
    <cfRule type="colorScale" priority="167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32">
    <cfRule type="colorScale" priority="167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32">
    <cfRule type="colorScale" priority="16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2">
    <cfRule type="expression" dxfId="27994" priority="16689">
      <formula>AND(AO32&gt;=79001,AO32&lt;79900)</formula>
    </cfRule>
    <cfRule type="expression" dxfId="27993" priority="16690" stopIfTrue="1">
      <formula>AND(AO32&gt;=70101,AO32&lt;=70301)</formula>
    </cfRule>
    <cfRule type="expression" dxfId="27992" priority="16691" stopIfTrue="1">
      <formula>AND(AO32&gt;70000,AO32&lt;70004)</formula>
    </cfRule>
    <cfRule type="expression" dxfId="27991" priority="16692" stopIfTrue="1">
      <formula>AND(AO32&gt;=70010,AO32&lt;=76000)</formula>
    </cfRule>
    <cfRule type="expression" dxfId="27990" priority="16693">
      <formula>AND(AO32&gt;70000,AO32&lt;70004)</formula>
    </cfRule>
    <cfRule type="expression" dxfId="27989" priority="16694" stopIfTrue="1">
      <formula>OR(AND(AO32&gt;=10000,AO32&lt;=56999),AND(AO32&gt;=57000,AO32&lt;=57999))</formula>
    </cfRule>
    <cfRule type="expression" dxfId="27988" priority="16695" stopIfTrue="1">
      <formula>AND(AO32&gt;=8000,AO32&lt;=9999)</formula>
    </cfRule>
    <cfRule type="expression" dxfId="27987" priority="16696" stopIfTrue="1">
      <formula>AND(AO32&gt;=78100,AO32&lt;=78199)</formula>
    </cfRule>
    <cfRule type="expression" dxfId="27986" priority="16697" stopIfTrue="1">
      <formula>AND(AO32&gt;=92000,AO32&lt;=98999)</formula>
    </cfRule>
    <cfRule type="expression" dxfId="27985" priority="16698" stopIfTrue="1">
      <formula>AND(AO32&gt;=78100,AO32&lt;=78199)</formula>
    </cfRule>
    <cfRule type="expression" dxfId="27984" priority="16699" stopIfTrue="1">
      <formula>AND(AO32&gt;=91000,AO32&lt;=91999)</formula>
    </cfRule>
  </conditionalFormatting>
  <conditionalFormatting sqref="AR32">
    <cfRule type="expression" dxfId="27983" priority="16678">
      <formula>AND(AS32&gt;=79001,AS32&lt;79900)</formula>
    </cfRule>
    <cfRule type="expression" dxfId="27982" priority="16679" stopIfTrue="1">
      <formula>AND(AS32&gt;=70101,AS32&lt;=70301)</formula>
    </cfRule>
    <cfRule type="expression" dxfId="27981" priority="16680" stopIfTrue="1">
      <formula>AND(AS32&gt;70000,AS32&lt;70004)</formula>
    </cfRule>
    <cfRule type="expression" dxfId="27980" priority="16681" stopIfTrue="1">
      <formula>AND(AS32&gt;=70010,AS32&lt;=76000)</formula>
    </cfRule>
    <cfRule type="expression" dxfId="27979" priority="16682">
      <formula>AND(AS32&gt;70000,AS32&lt;70004)</formula>
    </cfRule>
    <cfRule type="expression" dxfId="27978" priority="16683" stopIfTrue="1">
      <formula>OR(AND(AS32&gt;=10000,AS32&lt;=56999),AND(AS32&gt;=57000,AS32&lt;=57999))</formula>
    </cfRule>
    <cfRule type="expression" dxfId="27977" priority="16684" stopIfTrue="1">
      <formula>AND(AS32&gt;=8000,AS32&lt;=9999)</formula>
    </cfRule>
    <cfRule type="expression" dxfId="27976" priority="16685" stopIfTrue="1">
      <formula>AND(AS32&gt;=78100,AS32&lt;=78199)</formula>
    </cfRule>
    <cfRule type="expression" dxfId="27975" priority="16686" stopIfTrue="1">
      <formula>AND(AS32&gt;=92000,AS32&lt;=98999)</formula>
    </cfRule>
    <cfRule type="expression" dxfId="27974" priority="16687" stopIfTrue="1">
      <formula>AND(AS32&gt;=78100,AS32&lt;=78199)</formula>
    </cfRule>
    <cfRule type="expression" dxfId="27973" priority="16688" stopIfTrue="1">
      <formula>AND(AS32&gt;=91000,AS32&lt;=91999)</formula>
    </cfRule>
  </conditionalFormatting>
  <conditionalFormatting sqref="AQ32">
    <cfRule type="colorScale" priority="16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">
    <cfRule type="colorScale" priority="16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2">
    <cfRule type="colorScale" priority="166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32">
    <cfRule type="colorScale" priority="16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32">
    <cfRule type="colorScale" priority="166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2">
    <cfRule type="expression" dxfId="27972" priority="16660">
      <formula>AND(AO32&gt;=79001,AO32&lt;79900)</formula>
    </cfRule>
    <cfRule type="expression" dxfId="27971" priority="16661" stopIfTrue="1">
      <formula>AND(AO32&gt;=70101,AO32&lt;=70301)</formula>
    </cfRule>
    <cfRule type="expression" dxfId="27970" priority="16662" stopIfTrue="1">
      <formula>AND(AO32&gt;70000,AO32&lt;70004)</formula>
    </cfRule>
    <cfRule type="expression" dxfId="27969" priority="16663" stopIfTrue="1">
      <formula>AND(AO32&gt;=70010,AO32&lt;=76000)</formula>
    </cfRule>
    <cfRule type="expression" dxfId="27968" priority="16664">
      <formula>AND(AO32&gt;70000,AO32&lt;70004)</formula>
    </cfRule>
    <cfRule type="expression" dxfId="27967" priority="16665" stopIfTrue="1">
      <formula>OR(AND(AO32&gt;=10000,AO32&lt;=56999),AND(AO32&gt;=57000,AO32&lt;=57999))</formula>
    </cfRule>
    <cfRule type="expression" dxfId="27966" priority="16666" stopIfTrue="1">
      <formula>AND(AO32&gt;=8000,AO32&lt;=9999)</formula>
    </cfRule>
    <cfRule type="expression" dxfId="27965" priority="16667" stopIfTrue="1">
      <formula>AND(AO32&gt;=78100,AO32&lt;=78199)</formula>
    </cfRule>
    <cfRule type="expression" dxfId="27964" priority="16668" stopIfTrue="1">
      <formula>AND(AO32&gt;=92000,AO32&lt;=98999)</formula>
    </cfRule>
    <cfRule type="expression" dxfId="27963" priority="16669" stopIfTrue="1">
      <formula>AND(AO32&gt;=78100,AO32&lt;=78199)</formula>
    </cfRule>
    <cfRule type="expression" dxfId="27962" priority="16670" stopIfTrue="1">
      <formula>AND(AO32&gt;=91000,AO32&lt;=91999)</formula>
    </cfRule>
  </conditionalFormatting>
  <conditionalFormatting sqref="AR32">
    <cfRule type="expression" dxfId="27961" priority="16649">
      <formula>AND(AS32&gt;=79001,AS32&lt;79900)</formula>
    </cfRule>
    <cfRule type="expression" dxfId="27960" priority="16650" stopIfTrue="1">
      <formula>AND(AS32&gt;=70101,AS32&lt;=70301)</formula>
    </cfRule>
    <cfRule type="expression" dxfId="27959" priority="16651" stopIfTrue="1">
      <formula>AND(AS32&gt;70000,AS32&lt;70004)</formula>
    </cfRule>
    <cfRule type="expression" dxfId="27958" priority="16652" stopIfTrue="1">
      <formula>AND(AS32&gt;=70010,AS32&lt;=76000)</formula>
    </cfRule>
    <cfRule type="expression" dxfId="27957" priority="16653">
      <formula>AND(AS32&gt;70000,AS32&lt;70004)</formula>
    </cfRule>
    <cfRule type="expression" dxfId="27956" priority="16654" stopIfTrue="1">
      <formula>OR(AND(AS32&gt;=10000,AS32&lt;=56999),AND(AS32&gt;=57000,AS32&lt;=57999))</formula>
    </cfRule>
    <cfRule type="expression" dxfId="27955" priority="16655" stopIfTrue="1">
      <formula>AND(AS32&gt;=8000,AS32&lt;=9999)</formula>
    </cfRule>
    <cfRule type="expression" dxfId="27954" priority="16656" stopIfTrue="1">
      <formula>AND(AS32&gt;=78100,AS32&lt;=78199)</formula>
    </cfRule>
    <cfRule type="expression" dxfId="27953" priority="16657" stopIfTrue="1">
      <formula>AND(AS32&gt;=92000,AS32&lt;=98999)</formula>
    </cfRule>
    <cfRule type="expression" dxfId="27952" priority="16658" stopIfTrue="1">
      <formula>AND(AS32&gt;=78100,AS32&lt;=78199)</formula>
    </cfRule>
    <cfRule type="expression" dxfId="27951" priority="16659" stopIfTrue="1">
      <formula>AND(AS32&gt;=91000,AS32&lt;=91999)</formula>
    </cfRule>
  </conditionalFormatting>
  <conditionalFormatting sqref="AQ32">
    <cfRule type="colorScale" priority="16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">
    <cfRule type="colorScale" priority="16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2">
    <cfRule type="colorScale" priority="16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2">
    <cfRule type="colorScale" priority="16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2">
    <cfRule type="colorScale" priority="16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2">
    <cfRule type="colorScale" priority="16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">
    <cfRule type="colorScale" priority="16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2">
    <cfRule type="colorScale" priority="166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2">
    <cfRule type="colorScale" priority="16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32">
    <cfRule type="colorScale" priority="166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58">
    <cfRule type="colorScale" priority="16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73">
    <cfRule type="colorScale" priority="16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88">
    <cfRule type="colorScale" priority="16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03">
    <cfRule type="colorScale" priority="16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18">
    <cfRule type="colorScale" priority="16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33">
    <cfRule type="colorScale" priority="16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48">
    <cfRule type="colorScale" priority="16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2:BK2 BE2 AW2">
    <cfRule type="colorScale" priority="16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">
    <cfRule type="colorScale" priority="16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">
    <cfRule type="colorScale" priority="16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2:BG2">
    <cfRule type="colorScale" priority="16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2">
    <cfRule type="colorScale" priority="16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">
    <cfRule type="colorScale" priority="16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">
    <cfRule type="colorScale" priority="16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">
    <cfRule type="expression" dxfId="27950" priority="16161">
      <formula>AND(Y2&gt;=79001,Y2&lt;79900)</formula>
    </cfRule>
    <cfRule type="expression" dxfId="27949" priority="16162" stopIfTrue="1">
      <formula>AND(Y2&gt;=70101,Y2&lt;=70301)</formula>
    </cfRule>
    <cfRule type="expression" dxfId="27948" priority="16163" stopIfTrue="1">
      <formula>AND(Y2&gt;70000,Y2&lt;70004)</formula>
    </cfRule>
    <cfRule type="expression" dxfId="27947" priority="16164" stopIfTrue="1">
      <formula>AND(Y2&gt;=70010,Y2&lt;=76000)</formula>
    </cfRule>
    <cfRule type="expression" dxfId="27946" priority="16165">
      <formula>AND(Y2&gt;70000,Y2&lt;70004)</formula>
    </cfRule>
    <cfRule type="expression" dxfId="27945" priority="16166" stopIfTrue="1">
      <formula>OR(AND(Y2&gt;=10000,Y2&lt;=56999),AND(Y2&gt;=57000,Y2&lt;=57999))</formula>
    </cfRule>
    <cfRule type="expression" dxfId="27944" priority="16167" stopIfTrue="1">
      <formula>AND(Y2&gt;=8000,Y2&lt;=9999)</formula>
    </cfRule>
    <cfRule type="expression" dxfId="27943" priority="16168" stopIfTrue="1">
      <formula>AND(Y2&gt;=78100,Y2&lt;=78199)</formula>
    </cfRule>
    <cfRule type="expression" dxfId="27942" priority="16169" stopIfTrue="1">
      <formula>AND(Y2&gt;=92000,Y2&lt;=98999)</formula>
    </cfRule>
    <cfRule type="expression" dxfId="27941" priority="16170" stopIfTrue="1">
      <formula>AND(Y2&gt;=78100,Y2&lt;=78199)</formula>
    </cfRule>
    <cfRule type="expression" dxfId="27940" priority="16171" stopIfTrue="1">
      <formula>AND(Y2&gt;=91000,Y2&lt;=91999)</formula>
    </cfRule>
  </conditionalFormatting>
  <conditionalFormatting sqref="AV2">
    <cfRule type="expression" dxfId="27939" priority="16150">
      <formula>AND(AW2&gt;=79001,AW2&lt;79900)</formula>
    </cfRule>
    <cfRule type="expression" dxfId="27938" priority="16151" stopIfTrue="1">
      <formula>AND(AW2&gt;=70101,AW2&lt;=70301)</formula>
    </cfRule>
    <cfRule type="expression" dxfId="27937" priority="16152" stopIfTrue="1">
      <formula>AND(AW2&gt;70000,AW2&lt;70004)</formula>
    </cfRule>
    <cfRule type="expression" dxfId="27936" priority="16153" stopIfTrue="1">
      <formula>AND(AW2&gt;=70010,AW2&lt;=76000)</formula>
    </cfRule>
    <cfRule type="expression" dxfId="27935" priority="16154">
      <formula>AND(AW2&gt;70000,AW2&lt;70004)</formula>
    </cfRule>
    <cfRule type="expression" dxfId="27934" priority="16155" stopIfTrue="1">
      <formula>OR(AND(AW2&gt;=10000,AW2&lt;=56999),AND(AW2&gt;=57000,AW2&lt;=57999))</formula>
    </cfRule>
    <cfRule type="expression" dxfId="27933" priority="16156" stopIfTrue="1">
      <formula>AND(AW2&gt;=8000,AW2&lt;=9999)</formula>
    </cfRule>
    <cfRule type="expression" dxfId="27932" priority="16157" stopIfTrue="1">
      <formula>AND(AW2&gt;=78100,AW2&lt;=78199)</formula>
    </cfRule>
    <cfRule type="expression" dxfId="27931" priority="16158" stopIfTrue="1">
      <formula>AND(AW2&gt;=92000,AW2&lt;=98999)</formula>
    </cfRule>
    <cfRule type="expression" dxfId="27930" priority="16159" stopIfTrue="1">
      <formula>AND(AW2&gt;=78100,AW2&lt;=78199)</formula>
    </cfRule>
    <cfRule type="expression" dxfId="27929" priority="16160" stopIfTrue="1">
      <formula>AND(AW2&gt;=91000,AW2&lt;=91999)</formula>
    </cfRule>
  </conditionalFormatting>
  <conditionalFormatting sqref="AZ2">
    <cfRule type="expression" dxfId="27928" priority="16139">
      <formula>AND(BA2&gt;=79001,BA2&lt;79900)</formula>
    </cfRule>
    <cfRule type="expression" dxfId="27927" priority="16140" stopIfTrue="1">
      <formula>AND(BA2&gt;=70101,BA2&lt;=70301)</formula>
    </cfRule>
    <cfRule type="expression" dxfId="27926" priority="16141" stopIfTrue="1">
      <formula>AND(BA2&gt;70000,BA2&lt;70004)</formula>
    </cfRule>
    <cfRule type="expression" dxfId="27925" priority="16142" stopIfTrue="1">
      <formula>AND(BA2&gt;=70010,BA2&lt;=76000)</formula>
    </cfRule>
    <cfRule type="expression" dxfId="27924" priority="16143">
      <formula>AND(BA2&gt;70000,BA2&lt;70004)</formula>
    </cfRule>
    <cfRule type="expression" dxfId="27923" priority="16144" stopIfTrue="1">
      <formula>OR(AND(BA2&gt;=10000,BA2&lt;=56999),AND(BA2&gt;=57000,BA2&lt;=57999))</formula>
    </cfRule>
    <cfRule type="expression" dxfId="27922" priority="16145" stopIfTrue="1">
      <formula>AND(BA2&gt;=8000,BA2&lt;=9999)</formula>
    </cfRule>
    <cfRule type="expression" dxfId="27921" priority="16146" stopIfTrue="1">
      <formula>AND(BA2&gt;=78100,BA2&lt;=78199)</formula>
    </cfRule>
    <cfRule type="expression" dxfId="27920" priority="16147" stopIfTrue="1">
      <formula>AND(BA2&gt;=92000,BA2&lt;=98999)</formula>
    </cfRule>
    <cfRule type="expression" dxfId="27919" priority="16148" stopIfTrue="1">
      <formula>AND(BA2&gt;=78100,BA2&lt;=78199)</formula>
    </cfRule>
    <cfRule type="expression" dxfId="27918" priority="16149" stopIfTrue="1">
      <formula>AND(BA2&gt;=91000,BA2&lt;=91999)</formula>
    </cfRule>
  </conditionalFormatting>
  <conditionalFormatting sqref="BD2">
    <cfRule type="expression" dxfId="27917" priority="16128">
      <formula>AND(BE2&gt;=79001,BE2&lt;79900)</formula>
    </cfRule>
    <cfRule type="expression" dxfId="27916" priority="16129" stopIfTrue="1">
      <formula>AND(BE2&gt;=70101,BE2&lt;=70301)</formula>
    </cfRule>
    <cfRule type="expression" dxfId="27915" priority="16130" stopIfTrue="1">
      <formula>AND(BE2&gt;70000,BE2&lt;70004)</formula>
    </cfRule>
    <cfRule type="expression" dxfId="27914" priority="16131" stopIfTrue="1">
      <formula>AND(BE2&gt;=70010,BE2&lt;=76000)</formula>
    </cfRule>
    <cfRule type="expression" dxfId="27913" priority="16132">
      <formula>AND(BE2&gt;70000,BE2&lt;70004)</formula>
    </cfRule>
    <cfRule type="expression" dxfId="27912" priority="16133" stopIfTrue="1">
      <formula>OR(AND(BE2&gt;=10000,BE2&lt;=56999),AND(BE2&gt;=57000,BE2&lt;=57999))</formula>
    </cfRule>
    <cfRule type="expression" dxfId="27911" priority="16134" stopIfTrue="1">
      <formula>AND(BE2&gt;=8000,BE2&lt;=9999)</formula>
    </cfRule>
    <cfRule type="expression" dxfId="27910" priority="16135" stopIfTrue="1">
      <formula>AND(BE2&gt;=78100,BE2&lt;=78199)</formula>
    </cfRule>
    <cfRule type="expression" dxfId="27909" priority="16136" stopIfTrue="1">
      <formula>AND(BE2&gt;=92000,BE2&lt;=98999)</formula>
    </cfRule>
    <cfRule type="expression" dxfId="27908" priority="16137" stopIfTrue="1">
      <formula>AND(BE2&gt;=78100,BE2&lt;=78199)</formula>
    </cfRule>
    <cfRule type="expression" dxfId="27907" priority="16138" stopIfTrue="1">
      <formula>AND(BE2&gt;=91000,BE2&lt;=91999)</formula>
    </cfRule>
  </conditionalFormatting>
  <conditionalFormatting sqref="BH2">
    <cfRule type="expression" dxfId="27906" priority="16117">
      <formula>AND(BI2&gt;=79001,BI2&lt;79900)</formula>
    </cfRule>
    <cfRule type="expression" dxfId="27905" priority="16118" stopIfTrue="1">
      <formula>AND(BI2&gt;=70101,BI2&lt;=70301)</formula>
    </cfRule>
    <cfRule type="expression" dxfId="27904" priority="16119" stopIfTrue="1">
      <formula>AND(BI2&gt;70000,BI2&lt;70004)</formula>
    </cfRule>
    <cfRule type="expression" dxfId="27903" priority="16120" stopIfTrue="1">
      <formula>AND(BI2&gt;=70010,BI2&lt;=76000)</formula>
    </cfRule>
    <cfRule type="expression" dxfId="27902" priority="16121">
      <formula>AND(BI2&gt;70000,BI2&lt;70004)</formula>
    </cfRule>
    <cfRule type="expression" dxfId="27901" priority="16122" stopIfTrue="1">
      <formula>OR(AND(BI2&gt;=10000,BI2&lt;=56999),AND(BI2&gt;=57000,BI2&lt;=57999))</formula>
    </cfRule>
    <cfRule type="expression" dxfId="27900" priority="16123" stopIfTrue="1">
      <formula>AND(BI2&gt;=8000,BI2&lt;=9999)</formula>
    </cfRule>
    <cfRule type="expression" dxfId="27899" priority="16124" stopIfTrue="1">
      <formula>AND(BI2&gt;=78100,BI2&lt;=78199)</formula>
    </cfRule>
    <cfRule type="expression" dxfId="27898" priority="16125" stopIfTrue="1">
      <formula>AND(BI2&gt;=92000,BI2&lt;=98999)</formula>
    </cfRule>
    <cfRule type="expression" dxfId="27897" priority="16126" stopIfTrue="1">
      <formula>AND(BI2&gt;=78100,BI2&lt;=78199)</formula>
    </cfRule>
    <cfRule type="expression" dxfId="27896" priority="16127" stopIfTrue="1">
      <formula>AND(BI2&gt;=91000,BI2&lt;=91999)</formula>
    </cfRule>
  </conditionalFormatting>
  <conditionalFormatting sqref="X2">
    <cfRule type="expression" dxfId="27895" priority="16095">
      <formula>AND(Y2&gt;=79001,Y2&lt;79900)</formula>
    </cfRule>
    <cfRule type="expression" dxfId="27894" priority="16096" stopIfTrue="1">
      <formula>AND(Y2&gt;=70101,Y2&lt;=70301)</formula>
    </cfRule>
    <cfRule type="expression" dxfId="27893" priority="16097" stopIfTrue="1">
      <formula>AND(Y2&gt;70000,Y2&lt;70004)</formula>
    </cfRule>
    <cfRule type="expression" dxfId="27892" priority="16098" stopIfTrue="1">
      <formula>AND(Y2&gt;=70010,Y2&lt;=76000)</formula>
    </cfRule>
    <cfRule type="expression" dxfId="27891" priority="16099">
      <formula>AND(Y2&gt;70000,Y2&lt;70004)</formula>
    </cfRule>
    <cfRule type="expression" dxfId="27890" priority="16100" stopIfTrue="1">
      <formula>OR(AND(Y2&gt;=10000,Y2&lt;=56999),AND(Y2&gt;=57000,Y2&lt;=57999))</formula>
    </cfRule>
    <cfRule type="expression" dxfId="27889" priority="16101" stopIfTrue="1">
      <formula>AND(Y2&gt;=8000,Y2&lt;=9999)</formula>
    </cfRule>
    <cfRule type="expression" dxfId="27888" priority="16102" stopIfTrue="1">
      <formula>AND(Y2&gt;=78100,Y2&lt;=78199)</formula>
    </cfRule>
    <cfRule type="expression" dxfId="27887" priority="16103" stopIfTrue="1">
      <formula>AND(Y2&gt;=92000,Y2&lt;=98999)</formula>
    </cfRule>
    <cfRule type="expression" dxfId="27886" priority="16104" stopIfTrue="1">
      <formula>AND(Y2&gt;=78100,Y2&lt;=78199)</formula>
    </cfRule>
    <cfRule type="expression" dxfId="27885" priority="16105" stopIfTrue="1">
      <formula>AND(Y2&gt;=91000,Y2&lt;=91999)</formula>
    </cfRule>
  </conditionalFormatting>
  <conditionalFormatting sqref="AW2">
    <cfRule type="colorScale" priority="160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">
    <cfRule type="colorScale" priority="16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">
    <cfRule type="expression" dxfId="27884" priority="16069">
      <formula>AND(Y2&gt;=79001,Y2&lt;79900)</formula>
    </cfRule>
    <cfRule type="expression" dxfId="27883" priority="16070" stopIfTrue="1">
      <formula>AND(Y2&gt;=70101,Y2&lt;=70301)</formula>
    </cfRule>
    <cfRule type="expression" dxfId="27882" priority="16071" stopIfTrue="1">
      <formula>AND(Y2&gt;70000,Y2&lt;70004)</formula>
    </cfRule>
    <cfRule type="expression" dxfId="27881" priority="16072" stopIfTrue="1">
      <formula>AND(Y2&gt;=70010,Y2&lt;=76000)</formula>
    </cfRule>
    <cfRule type="expression" dxfId="27880" priority="16073">
      <formula>AND(Y2&gt;70000,Y2&lt;70004)</formula>
    </cfRule>
    <cfRule type="expression" dxfId="27879" priority="16074" stopIfTrue="1">
      <formula>OR(AND(Y2&gt;=10000,Y2&lt;=56999),AND(Y2&gt;=57000,Y2&lt;=57999))</formula>
    </cfRule>
    <cfRule type="expression" dxfId="27878" priority="16075" stopIfTrue="1">
      <formula>AND(Y2&gt;=8000,Y2&lt;=9999)</formula>
    </cfRule>
    <cfRule type="expression" dxfId="27877" priority="16076" stopIfTrue="1">
      <formula>AND(Y2&gt;=78100,Y2&lt;=78199)</formula>
    </cfRule>
    <cfRule type="expression" dxfId="27876" priority="16077" stopIfTrue="1">
      <formula>AND(Y2&gt;=92000,Y2&lt;=98999)</formula>
    </cfRule>
    <cfRule type="expression" dxfId="27875" priority="16078" stopIfTrue="1">
      <formula>AND(Y2&gt;=78100,Y2&lt;=78199)</formula>
    </cfRule>
    <cfRule type="expression" dxfId="27874" priority="16079" stopIfTrue="1">
      <formula>AND(Y2&gt;=91000,Y2&lt;=91999)</formula>
    </cfRule>
  </conditionalFormatting>
  <conditionalFormatting sqref="AV2">
    <cfRule type="expression" dxfId="27873" priority="16058">
      <formula>AND(AW2&gt;=79001,AW2&lt;79900)</formula>
    </cfRule>
    <cfRule type="expression" dxfId="27872" priority="16059" stopIfTrue="1">
      <formula>AND(AW2&gt;=70101,AW2&lt;=70301)</formula>
    </cfRule>
    <cfRule type="expression" dxfId="27871" priority="16060" stopIfTrue="1">
      <formula>AND(AW2&gt;70000,AW2&lt;70004)</formula>
    </cfRule>
    <cfRule type="expression" dxfId="27870" priority="16061" stopIfTrue="1">
      <formula>AND(AW2&gt;=70010,AW2&lt;=76000)</formula>
    </cfRule>
    <cfRule type="expression" dxfId="27869" priority="16062">
      <formula>AND(AW2&gt;70000,AW2&lt;70004)</formula>
    </cfRule>
    <cfRule type="expression" dxfId="27868" priority="16063" stopIfTrue="1">
      <formula>OR(AND(AW2&gt;=10000,AW2&lt;=56999),AND(AW2&gt;=57000,AW2&lt;=57999))</formula>
    </cfRule>
    <cfRule type="expression" dxfId="27867" priority="16064" stopIfTrue="1">
      <formula>AND(AW2&gt;=8000,AW2&lt;=9999)</formula>
    </cfRule>
    <cfRule type="expression" dxfId="27866" priority="16065" stopIfTrue="1">
      <formula>AND(AW2&gt;=78100,AW2&lt;=78199)</formula>
    </cfRule>
    <cfRule type="expression" dxfId="27865" priority="16066" stopIfTrue="1">
      <formula>AND(AW2&gt;=92000,AW2&lt;=98999)</formula>
    </cfRule>
    <cfRule type="expression" dxfId="27864" priority="16067" stopIfTrue="1">
      <formula>AND(AW2&gt;=78100,AW2&lt;=78199)</formula>
    </cfRule>
    <cfRule type="expression" dxfId="27863" priority="16068" stopIfTrue="1">
      <formula>AND(AW2&gt;=91000,AW2&lt;=91999)</formula>
    </cfRule>
  </conditionalFormatting>
  <conditionalFormatting sqref="AZ2">
    <cfRule type="expression" dxfId="27862" priority="16047">
      <formula>AND(BA2&gt;=79001,BA2&lt;79900)</formula>
    </cfRule>
    <cfRule type="expression" dxfId="27861" priority="16048" stopIfTrue="1">
      <formula>AND(BA2&gt;=70101,BA2&lt;=70301)</formula>
    </cfRule>
    <cfRule type="expression" dxfId="27860" priority="16049" stopIfTrue="1">
      <formula>AND(BA2&gt;70000,BA2&lt;70004)</formula>
    </cfRule>
    <cfRule type="expression" dxfId="27859" priority="16050" stopIfTrue="1">
      <formula>AND(BA2&gt;=70010,BA2&lt;=76000)</formula>
    </cfRule>
    <cfRule type="expression" dxfId="27858" priority="16051">
      <formula>AND(BA2&gt;70000,BA2&lt;70004)</formula>
    </cfRule>
    <cfRule type="expression" dxfId="27857" priority="16052" stopIfTrue="1">
      <formula>OR(AND(BA2&gt;=10000,BA2&lt;=56999),AND(BA2&gt;=57000,BA2&lt;=57999))</formula>
    </cfRule>
    <cfRule type="expression" dxfId="27856" priority="16053" stopIfTrue="1">
      <formula>AND(BA2&gt;=8000,BA2&lt;=9999)</formula>
    </cfRule>
    <cfRule type="expression" dxfId="27855" priority="16054" stopIfTrue="1">
      <formula>AND(BA2&gt;=78100,BA2&lt;=78199)</formula>
    </cfRule>
    <cfRule type="expression" dxfId="27854" priority="16055" stopIfTrue="1">
      <formula>AND(BA2&gt;=92000,BA2&lt;=98999)</formula>
    </cfRule>
    <cfRule type="expression" dxfId="27853" priority="16056" stopIfTrue="1">
      <formula>AND(BA2&gt;=78100,BA2&lt;=78199)</formula>
    </cfRule>
    <cfRule type="expression" dxfId="27852" priority="16057" stopIfTrue="1">
      <formula>AND(BA2&gt;=91000,BA2&lt;=91999)</formula>
    </cfRule>
  </conditionalFormatting>
  <conditionalFormatting sqref="X2">
    <cfRule type="expression" dxfId="27851" priority="16030">
      <formula>AND(Y2&gt;=79001,Y2&lt;79900)</formula>
    </cfRule>
    <cfRule type="expression" dxfId="27850" priority="16031" stopIfTrue="1">
      <formula>AND(Y2&gt;=70101,Y2&lt;=70301)</formula>
    </cfRule>
    <cfRule type="expression" dxfId="27849" priority="16032" stopIfTrue="1">
      <formula>AND(Y2&gt;70000,Y2&lt;70004)</formula>
    </cfRule>
    <cfRule type="expression" dxfId="27848" priority="16033" stopIfTrue="1">
      <formula>AND(Y2&gt;=70010,Y2&lt;=76000)</formula>
    </cfRule>
    <cfRule type="expression" dxfId="27847" priority="16034">
      <formula>AND(Y2&gt;70000,Y2&lt;70004)</formula>
    </cfRule>
    <cfRule type="expression" dxfId="27846" priority="16035" stopIfTrue="1">
      <formula>OR(AND(Y2&gt;=10000,Y2&lt;=56999),AND(Y2&gt;=57000,Y2&lt;=57999))</formula>
    </cfRule>
    <cfRule type="expression" dxfId="27845" priority="16036" stopIfTrue="1">
      <formula>AND(Y2&gt;=8000,Y2&lt;=9999)</formula>
    </cfRule>
    <cfRule type="expression" dxfId="27844" priority="16037" stopIfTrue="1">
      <formula>AND(Y2&gt;=78100,Y2&lt;=78199)</formula>
    </cfRule>
    <cfRule type="expression" dxfId="27843" priority="16038" stopIfTrue="1">
      <formula>AND(Y2&gt;=92000,Y2&lt;=98999)</formula>
    </cfRule>
    <cfRule type="expression" dxfId="27842" priority="16039" stopIfTrue="1">
      <formula>AND(Y2&gt;=78100,Y2&lt;=78199)</formula>
    </cfRule>
    <cfRule type="expression" dxfId="27841" priority="16040" stopIfTrue="1">
      <formula>AND(Y2&gt;=91000,Y2&lt;=91999)</formula>
    </cfRule>
  </conditionalFormatting>
  <conditionalFormatting sqref="AO2 AS2">
    <cfRule type="colorScale" priority="16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">
    <cfRule type="colorScale" priority="160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">
    <cfRule type="colorScale" priority="160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">
    <cfRule type="colorScale" priority="160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">
    <cfRule type="colorScale" priority="160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">
    <cfRule type="colorScale" priority="160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">
    <cfRule type="expression" dxfId="27840" priority="16009">
      <formula>AND(AO2&gt;=79001,AO2&lt;79900)</formula>
    </cfRule>
    <cfRule type="expression" dxfId="27839" priority="16010" stopIfTrue="1">
      <formula>AND(AO2&gt;=70101,AO2&lt;=70301)</formula>
    </cfRule>
    <cfRule type="expression" dxfId="27838" priority="16011" stopIfTrue="1">
      <formula>AND(AO2&gt;70000,AO2&lt;70004)</formula>
    </cfRule>
    <cfRule type="expression" dxfId="27837" priority="16012" stopIfTrue="1">
      <formula>AND(AO2&gt;=70010,AO2&lt;=76000)</formula>
    </cfRule>
    <cfRule type="expression" dxfId="27836" priority="16013">
      <formula>AND(AO2&gt;70000,AO2&lt;70004)</formula>
    </cfRule>
    <cfRule type="expression" dxfId="27835" priority="16014" stopIfTrue="1">
      <formula>OR(AND(AO2&gt;=10000,AO2&lt;=56999),AND(AO2&gt;=57000,AO2&lt;=57999))</formula>
    </cfRule>
    <cfRule type="expression" dxfId="27834" priority="16015" stopIfTrue="1">
      <formula>AND(AO2&gt;=8000,AO2&lt;=9999)</formula>
    </cfRule>
    <cfRule type="expression" dxfId="27833" priority="16016" stopIfTrue="1">
      <formula>AND(AO2&gt;=78100,AO2&lt;=78199)</formula>
    </cfRule>
    <cfRule type="expression" dxfId="27832" priority="16017" stopIfTrue="1">
      <formula>AND(AO2&gt;=92000,AO2&lt;=98999)</formula>
    </cfRule>
    <cfRule type="expression" dxfId="27831" priority="16018" stopIfTrue="1">
      <formula>AND(AO2&gt;=78100,AO2&lt;=78199)</formula>
    </cfRule>
    <cfRule type="expression" dxfId="27830" priority="16019" stopIfTrue="1">
      <formula>AND(AO2&gt;=91000,AO2&lt;=91999)</formula>
    </cfRule>
  </conditionalFormatting>
  <conditionalFormatting sqref="AR2">
    <cfRule type="expression" dxfId="27829" priority="15998">
      <formula>AND(AS2&gt;=79001,AS2&lt;79900)</formula>
    </cfRule>
    <cfRule type="expression" dxfId="27828" priority="15999" stopIfTrue="1">
      <formula>AND(AS2&gt;=70101,AS2&lt;=70301)</formula>
    </cfRule>
    <cfRule type="expression" dxfId="27827" priority="16000" stopIfTrue="1">
      <formula>AND(AS2&gt;70000,AS2&lt;70004)</formula>
    </cfRule>
    <cfRule type="expression" dxfId="27826" priority="16001" stopIfTrue="1">
      <formula>AND(AS2&gt;=70010,AS2&lt;=76000)</formula>
    </cfRule>
    <cfRule type="expression" dxfId="27825" priority="16002">
      <formula>AND(AS2&gt;70000,AS2&lt;70004)</formula>
    </cfRule>
    <cfRule type="expression" dxfId="27824" priority="16003" stopIfTrue="1">
      <formula>OR(AND(AS2&gt;=10000,AS2&lt;=56999),AND(AS2&gt;=57000,AS2&lt;=57999))</formula>
    </cfRule>
    <cfRule type="expression" dxfId="27823" priority="16004" stopIfTrue="1">
      <formula>AND(AS2&gt;=8000,AS2&lt;=9999)</formula>
    </cfRule>
    <cfRule type="expression" dxfId="27822" priority="16005" stopIfTrue="1">
      <formula>AND(AS2&gt;=78100,AS2&lt;=78199)</formula>
    </cfRule>
    <cfRule type="expression" dxfId="27821" priority="16006" stopIfTrue="1">
      <formula>AND(AS2&gt;=92000,AS2&lt;=98999)</formula>
    </cfRule>
    <cfRule type="expression" dxfId="27820" priority="16007" stopIfTrue="1">
      <formula>AND(AS2&gt;=78100,AS2&lt;=78199)</formula>
    </cfRule>
    <cfRule type="expression" dxfId="27819" priority="16008" stopIfTrue="1">
      <formula>AND(AS2&gt;=91000,AS2&lt;=91999)</formula>
    </cfRule>
  </conditionalFormatting>
  <conditionalFormatting sqref="AQ2">
    <cfRule type="colorScale" priority="15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">
    <cfRule type="colorScale" priority="15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">
    <cfRule type="colorScale" priority="159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">
    <cfRule type="colorScale" priority="159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">
    <cfRule type="colorScale" priority="159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">
    <cfRule type="expression" dxfId="27818" priority="15980">
      <formula>AND(AO2&gt;=79001,AO2&lt;79900)</formula>
    </cfRule>
    <cfRule type="expression" dxfId="27817" priority="15981" stopIfTrue="1">
      <formula>AND(AO2&gt;=70101,AO2&lt;=70301)</formula>
    </cfRule>
    <cfRule type="expression" dxfId="27816" priority="15982" stopIfTrue="1">
      <formula>AND(AO2&gt;70000,AO2&lt;70004)</formula>
    </cfRule>
    <cfRule type="expression" dxfId="27815" priority="15983" stopIfTrue="1">
      <formula>AND(AO2&gt;=70010,AO2&lt;=76000)</formula>
    </cfRule>
    <cfRule type="expression" dxfId="27814" priority="15984">
      <formula>AND(AO2&gt;70000,AO2&lt;70004)</formula>
    </cfRule>
    <cfRule type="expression" dxfId="27813" priority="15985" stopIfTrue="1">
      <formula>OR(AND(AO2&gt;=10000,AO2&lt;=56999),AND(AO2&gt;=57000,AO2&lt;=57999))</formula>
    </cfRule>
    <cfRule type="expression" dxfId="27812" priority="15986" stopIfTrue="1">
      <formula>AND(AO2&gt;=8000,AO2&lt;=9999)</formula>
    </cfRule>
    <cfRule type="expression" dxfId="27811" priority="15987" stopIfTrue="1">
      <formula>AND(AO2&gt;=78100,AO2&lt;=78199)</formula>
    </cfRule>
    <cfRule type="expression" dxfId="27810" priority="15988" stopIfTrue="1">
      <formula>AND(AO2&gt;=92000,AO2&lt;=98999)</formula>
    </cfRule>
    <cfRule type="expression" dxfId="27809" priority="15989" stopIfTrue="1">
      <formula>AND(AO2&gt;=78100,AO2&lt;=78199)</formula>
    </cfRule>
    <cfRule type="expression" dxfId="27808" priority="15990" stopIfTrue="1">
      <formula>AND(AO2&gt;=91000,AO2&lt;=91999)</formula>
    </cfRule>
  </conditionalFormatting>
  <conditionalFormatting sqref="AR2">
    <cfRule type="expression" dxfId="27807" priority="15969">
      <formula>AND(AS2&gt;=79001,AS2&lt;79900)</formula>
    </cfRule>
    <cfRule type="expression" dxfId="27806" priority="15970" stopIfTrue="1">
      <formula>AND(AS2&gt;=70101,AS2&lt;=70301)</formula>
    </cfRule>
    <cfRule type="expression" dxfId="27805" priority="15971" stopIfTrue="1">
      <formula>AND(AS2&gt;70000,AS2&lt;70004)</formula>
    </cfRule>
    <cfRule type="expression" dxfId="27804" priority="15972" stopIfTrue="1">
      <formula>AND(AS2&gt;=70010,AS2&lt;=76000)</formula>
    </cfRule>
    <cfRule type="expression" dxfId="27803" priority="15973">
      <formula>AND(AS2&gt;70000,AS2&lt;70004)</formula>
    </cfRule>
    <cfRule type="expression" dxfId="27802" priority="15974" stopIfTrue="1">
      <formula>OR(AND(AS2&gt;=10000,AS2&lt;=56999),AND(AS2&gt;=57000,AS2&lt;=57999))</formula>
    </cfRule>
    <cfRule type="expression" dxfId="27801" priority="15975" stopIfTrue="1">
      <formula>AND(AS2&gt;=8000,AS2&lt;=9999)</formula>
    </cfRule>
    <cfRule type="expression" dxfId="27800" priority="15976" stopIfTrue="1">
      <formula>AND(AS2&gt;=78100,AS2&lt;=78199)</formula>
    </cfRule>
    <cfRule type="expression" dxfId="27799" priority="15977" stopIfTrue="1">
      <formula>AND(AS2&gt;=92000,AS2&lt;=98999)</formula>
    </cfRule>
    <cfRule type="expression" dxfId="27798" priority="15978" stopIfTrue="1">
      <formula>AND(AS2&gt;=78100,AS2&lt;=78199)</formula>
    </cfRule>
    <cfRule type="expression" dxfId="27797" priority="15979" stopIfTrue="1">
      <formula>AND(AS2&gt;=91000,AS2&lt;=91999)</formula>
    </cfRule>
  </conditionalFormatting>
  <conditionalFormatting sqref="AQ2">
    <cfRule type="colorScale" priority="15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">
    <cfRule type="colorScale" priority="15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">
    <cfRule type="colorScale" priority="15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">
    <cfRule type="colorScale" priority="15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">
    <cfRule type="colorScale" priority="15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">
    <cfRule type="colorScale" priority="15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">
    <cfRule type="colorScale" priority="15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">
    <cfRule type="colorScale" priority="159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">
    <cfRule type="colorScale" priority="159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">
    <cfRule type="colorScale" priority="159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">
    <cfRule type="expression" dxfId="27796" priority="15948">
      <formula>AND(AC2&gt;=79001,AC2&lt;79900)</formula>
    </cfRule>
    <cfRule type="expression" dxfId="27795" priority="15949" stopIfTrue="1">
      <formula>AND(AC2&gt;=70101,AC2&lt;=70301)</formula>
    </cfRule>
    <cfRule type="expression" dxfId="27794" priority="15950" stopIfTrue="1">
      <formula>AND(AC2&gt;70000,AC2&lt;70004)</formula>
    </cfRule>
    <cfRule type="expression" dxfId="27793" priority="15951" stopIfTrue="1">
      <formula>AND(AC2&gt;=70010,AC2&lt;=76000)</formula>
    </cfRule>
    <cfRule type="expression" dxfId="27792" priority="15952">
      <formula>AND(AC2&gt;70000,AC2&lt;70004)</formula>
    </cfRule>
    <cfRule type="expression" dxfId="27791" priority="15953" stopIfTrue="1">
      <formula>OR(AND(AC2&gt;=10000,AC2&lt;=56999),AND(AC2&gt;=57000,AC2&lt;=57999))</formula>
    </cfRule>
    <cfRule type="expression" dxfId="27790" priority="15954" stopIfTrue="1">
      <formula>AND(AC2&gt;=8000,AC2&lt;=9999)</formula>
    </cfRule>
    <cfRule type="expression" dxfId="27789" priority="15955" stopIfTrue="1">
      <formula>AND(AC2&gt;=78100,AC2&lt;=78199)</formula>
    </cfRule>
    <cfRule type="expression" dxfId="27788" priority="15956" stopIfTrue="1">
      <formula>AND(AC2&gt;=92000,AC2&lt;=98999)</formula>
    </cfRule>
    <cfRule type="expression" dxfId="27787" priority="15957" stopIfTrue="1">
      <formula>AND(AC2&gt;=78100,AC2&lt;=78199)</formula>
    </cfRule>
    <cfRule type="expression" dxfId="27786" priority="15958" stopIfTrue="1">
      <formula>AND(AC2&gt;=91000,AC2&lt;=91999)</formula>
    </cfRule>
  </conditionalFormatting>
  <conditionalFormatting sqref="AB2">
    <cfRule type="expression" dxfId="27785" priority="15937">
      <formula>AND(AC2&gt;=79001,AC2&lt;79900)</formula>
    </cfRule>
    <cfRule type="expression" dxfId="27784" priority="15938" stopIfTrue="1">
      <formula>AND(AC2&gt;=70101,AC2&lt;=70301)</formula>
    </cfRule>
    <cfRule type="expression" dxfId="27783" priority="15939" stopIfTrue="1">
      <formula>AND(AC2&gt;70000,AC2&lt;70004)</formula>
    </cfRule>
    <cfRule type="expression" dxfId="27782" priority="15940" stopIfTrue="1">
      <formula>AND(AC2&gt;=70010,AC2&lt;=76000)</formula>
    </cfRule>
    <cfRule type="expression" dxfId="27781" priority="15941">
      <formula>AND(AC2&gt;70000,AC2&lt;70004)</formula>
    </cfRule>
    <cfRule type="expression" dxfId="27780" priority="15942" stopIfTrue="1">
      <formula>OR(AND(AC2&gt;=10000,AC2&lt;=56999),AND(AC2&gt;=57000,AC2&lt;=57999))</formula>
    </cfRule>
    <cfRule type="expression" dxfId="27779" priority="15943" stopIfTrue="1">
      <formula>AND(AC2&gt;=8000,AC2&lt;=9999)</formula>
    </cfRule>
    <cfRule type="expression" dxfId="27778" priority="15944" stopIfTrue="1">
      <formula>AND(AC2&gt;=78100,AC2&lt;=78199)</formula>
    </cfRule>
    <cfRule type="expression" dxfId="27777" priority="15945" stopIfTrue="1">
      <formula>AND(AC2&gt;=92000,AC2&lt;=98999)</formula>
    </cfRule>
    <cfRule type="expression" dxfId="27776" priority="15946" stopIfTrue="1">
      <formula>AND(AC2&gt;=78100,AC2&lt;=78199)</formula>
    </cfRule>
    <cfRule type="expression" dxfId="27775" priority="15947" stopIfTrue="1">
      <formula>AND(AC2&gt;=91000,AC2&lt;=91999)</formula>
    </cfRule>
  </conditionalFormatting>
  <conditionalFormatting sqref="AF2">
    <cfRule type="expression" dxfId="27774" priority="15906">
      <formula>AND(AG2&gt;=79001,AG2&lt;79900)</formula>
    </cfRule>
    <cfRule type="expression" dxfId="27773" priority="15907" stopIfTrue="1">
      <formula>AND(AG2&gt;=70101,AG2&lt;=70301)</formula>
    </cfRule>
    <cfRule type="expression" dxfId="27772" priority="15908" stopIfTrue="1">
      <formula>AND(AG2&gt;70000,AG2&lt;70004)</formula>
    </cfRule>
    <cfRule type="expression" dxfId="27771" priority="15909" stopIfTrue="1">
      <formula>AND(AG2&gt;=70010,AG2&lt;=76000)</formula>
    </cfRule>
    <cfRule type="expression" dxfId="27770" priority="15910">
      <formula>AND(AG2&gt;70000,AG2&lt;70004)</formula>
    </cfRule>
    <cfRule type="expression" dxfId="27769" priority="15911" stopIfTrue="1">
      <formula>OR(AND(AG2&gt;=10000,AG2&lt;=56999),AND(AG2&gt;=57000,AG2&lt;=57999))</formula>
    </cfRule>
    <cfRule type="expression" dxfId="27768" priority="15912" stopIfTrue="1">
      <formula>AND(AG2&gt;=8000,AG2&lt;=9999)</formula>
    </cfRule>
    <cfRule type="expression" dxfId="27767" priority="15913" stopIfTrue="1">
      <formula>AND(AG2&gt;=78100,AG2&lt;=78199)</formula>
    </cfRule>
    <cfRule type="expression" dxfId="27766" priority="15914" stopIfTrue="1">
      <formula>AND(AG2&gt;=92000,AG2&lt;=98999)</formula>
    </cfRule>
    <cfRule type="expression" dxfId="27765" priority="15915" stopIfTrue="1">
      <formula>AND(AG2&gt;=78100,AG2&lt;=78199)</formula>
    </cfRule>
    <cfRule type="expression" dxfId="27764" priority="15916" stopIfTrue="1">
      <formula>AND(AG2&gt;=91000,AG2&lt;=91999)</formula>
    </cfRule>
  </conditionalFormatting>
  <conditionalFormatting sqref="AJ2">
    <cfRule type="expression" dxfId="27763" priority="15895">
      <formula>AND(AK2&gt;=79001,AK2&lt;79900)</formula>
    </cfRule>
    <cfRule type="expression" dxfId="27762" priority="15896" stopIfTrue="1">
      <formula>AND(AK2&gt;=70101,AK2&lt;=70301)</formula>
    </cfRule>
    <cfRule type="expression" dxfId="27761" priority="15897" stopIfTrue="1">
      <formula>AND(AK2&gt;70000,AK2&lt;70004)</formula>
    </cfRule>
    <cfRule type="expression" dxfId="27760" priority="15898" stopIfTrue="1">
      <formula>AND(AK2&gt;=70010,AK2&lt;=76000)</formula>
    </cfRule>
    <cfRule type="expression" dxfId="27759" priority="15899">
      <formula>AND(AK2&gt;70000,AK2&lt;70004)</formula>
    </cfRule>
    <cfRule type="expression" dxfId="27758" priority="15900" stopIfTrue="1">
      <formula>OR(AND(AK2&gt;=10000,AK2&lt;=56999),AND(AK2&gt;=57000,AK2&lt;=57999))</formula>
    </cfRule>
    <cfRule type="expression" dxfId="27757" priority="15901" stopIfTrue="1">
      <formula>AND(AK2&gt;=8000,AK2&lt;=9999)</formula>
    </cfRule>
    <cfRule type="expression" dxfId="27756" priority="15902" stopIfTrue="1">
      <formula>AND(AK2&gt;=78100,AK2&lt;=78199)</formula>
    </cfRule>
    <cfRule type="expression" dxfId="27755" priority="15903" stopIfTrue="1">
      <formula>AND(AK2&gt;=92000,AK2&lt;=98999)</formula>
    </cfRule>
    <cfRule type="expression" dxfId="27754" priority="15904" stopIfTrue="1">
      <formula>AND(AK2&gt;=78100,AK2&lt;=78199)</formula>
    </cfRule>
    <cfRule type="expression" dxfId="27753" priority="15905" stopIfTrue="1">
      <formula>AND(AK2&gt;=91000,AK2&lt;=91999)</formula>
    </cfRule>
  </conditionalFormatting>
  <conditionalFormatting sqref="AF2">
    <cfRule type="expression" dxfId="27752" priority="15881">
      <formula>AND(AG2&gt;=79001,AG2&lt;79900)</formula>
    </cfRule>
    <cfRule type="expression" dxfId="27751" priority="15882" stopIfTrue="1">
      <formula>AND(AG2&gt;=70101,AG2&lt;=70301)</formula>
    </cfRule>
    <cfRule type="expression" dxfId="27750" priority="15883" stopIfTrue="1">
      <formula>AND(AG2&gt;70000,AG2&lt;70004)</formula>
    </cfRule>
    <cfRule type="expression" dxfId="27749" priority="15884" stopIfTrue="1">
      <formula>AND(AG2&gt;=70010,AG2&lt;=76000)</formula>
    </cfRule>
    <cfRule type="expression" dxfId="27748" priority="15885">
      <formula>AND(AG2&gt;70000,AG2&lt;70004)</formula>
    </cfRule>
    <cfRule type="expression" dxfId="27747" priority="15886" stopIfTrue="1">
      <formula>OR(AND(AG2&gt;=10000,AG2&lt;=56999),AND(AG2&gt;=57000,AG2&lt;=57999))</formula>
    </cfRule>
    <cfRule type="expression" dxfId="27746" priority="15887" stopIfTrue="1">
      <formula>AND(AG2&gt;=8000,AG2&lt;=9999)</formula>
    </cfRule>
    <cfRule type="expression" dxfId="27745" priority="15888" stopIfTrue="1">
      <formula>AND(AG2&gt;=78100,AG2&lt;=78199)</formula>
    </cfRule>
    <cfRule type="expression" dxfId="27744" priority="15889" stopIfTrue="1">
      <formula>AND(AG2&gt;=92000,AG2&lt;=98999)</formula>
    </cfRule>
    <cfRule type="expression" dxfId="27743" priority="15890" stopIfTrue="1">
      <formula>AND(AG2&gt;=78100,AG2&lt;=78199)</formula>
    </cfRule>
    <cfRule type="expression" dxfId="27742" priority="15891" stopIfTrue="1">
      <formula>AND(AG2&gt;=91000,AG2&lt;=91999)</formula>
    </cfRule>
  </conditionalFormatting>
  <conditionalFormatting sqref="AJ2">
    <cfRule type="expression" dxfId="27741" priority="15870">
      <formula>AND(AK2&gt;=79001,AK2&lt;79900)</formula>
    </cfRule>
    <cfRule type="expression" dxfId="27740" priority="15871" stopIfTrue="1">
      <formula>AND(AK2&gt;=70101,AK2&lt;=70301)</formula>
    </cfRule>
    <cfRule type="expression" dxfId="27739" priority="15872" stopIfTrue="1">
      <formula>AND(AK2&gt;70000,AK2&lt;70004)</formula>
    </cfRule>
    <cfRule type="expression" dxfId="27738" priority="15873" stopIfTrue="1">
      <formula>AND(AK2&gt;=70010,AK2&lt;=76000)</formula>
    </cfRule>
    <cfRule type="expression" dxfId="27737" priority="15874">
      <formula>AND(AK2&gt;70000,AK2&lt;70004)</formula>
    </cfRule>
    <cfRule type="expression" dxfId="27736" priority="15875" stopIfTrue="1">
      <formula>OR(AND(AK2&gt;=10000,AK2&lt;=56999),AND(AK2&gt;=57000,AK2&lt;=57999))</formula>
    </cfRule>
    <cfRule type="expression" dxfId="27735" priority="15876" stopIfTrue="1">
      <formula>AND(AK2&gt;=8000,AK2&lt;=9999)</formula>
    </cfRule>
    <cfRule type="expression" dxfId="27734" priority="15877" stopIfTrue="1">
      <formula>AND(AK2&gt;=78100,AK2&lt;=78199)</formula>
    </cfRule>
    <cfRule type="expression" dxfId="27733" priority="15878" stopIfTrue="1">
      <formula>AND(AK2&gt;=92000,AK2&lt;=98999)</formula>
    </cfRule>
    <cfRule type="expression" dxfId="27732" priority="15879" stopIfTrue="1">
      <formula>AND(AK2&gt;=78100,AK2&lt;=78199)</formula>
    </cfRule>
    <cfRule type="expression" dxfId="27731" priority="15880" stopIfTrue="1">
      <formula>AND(AK2&gt;=91000,AK2&lt;=91999)</formula>
    </cfRule>
  </conditionalFormatting>
  <conditionalFormatting sqref="AM2">
    <cfRule type="colorScale" priority="15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">
    <cfRule type="colorScale" priority="15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">
    <cfRule type="colorScale" priority="15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">
    <cfRule type="colorScale" priority="15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">
    <cfRule type="colorScale" priority="158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">
    <cfRule type="colorScale" priority="158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8">
    <cfRule type="colorScale" priority="15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">
    <cfRule type="expression" dxfId="27730" priority="15849">
      <formula>AND(U2&gt;=79001,U2&lt;79900)</formula>
    </cfRule>
    <cfRule type="expression" dxfId="27729" priority="15850" stopIfTrue="1">
      <formula>AND(U2&gt;=70101,U2&lt;=70301)</formula>
    </cfRule>
    <cfRule type="expression" dxfId="27728" priority="15851" stopIfTrue="1">
      <formula>AND(U2&gt;70000,U2&lt;70004)</formula>
    </cfRule>
    <cfRule type="expression" dxfId="27727" priority="15852" stopIfTrue="1">
      <formula>AND(U2&gt;=70010,U2&lt;=76000)</formula>
    </cfRule>
    <cfRule type="expression" dxfId="27726" priority="15853">
      <formula>AND(U2&gt;70000,U2&lt;70004)</formula>
    </cfRule>
    <cfRule type="expression" dxfId="27725" priority="15854" stopIfTrue="1">
      <formula>OR(AND(U2&gt;=10000,U2&lt;=56999),AND(U2&gt;=57000,U2&lt;=57999))</formula>
    </cfRule>
    <cfRule type="expression" dxfId="27724" priority="15855" stopIfTrue="1">
      <formula>AND(U2&gt;=8000,U2&lt;=9999)</formula>
    </cfRule>
    <cfRule type="expression" dxfId="27723" priority="15856" stopIfTrue="1">
      <formula>AND(U2&gt;=78100,U2&lt;=78199)</formula>
    </cfRule>
    <cfRule type="expression" dxfId="27722" priority="15857" stopIfTrue="1">
      <formula>AND(U2&gt;=92000,U2&lt;=98999)</formula>
    </cfRule>
    <cfRule type="expression" dxfId="27721" priority="15858" stopIfTrue="1">
      <formula>AND(U2&gt;=78100,U2&lt;=78199)</formula>
    </cfRule>
    <cfRule type="expression" dxfId="27720" priority="15859" stopIfTrue="1">
      <formula>AND(U2&gt;=91000,U2&lt;=91999)</formula>
    </cfRule>
  </conditionalFormatting>
  <conditionalFormatting sqref="T2">
    <cfRule type="expression" dxfId="27719" priority="15838">
      <formula>AND(U2&gt;=79001,U2&lt;79900)</formula>
    </cfRule>
    <cfRule type="expression" dxfId="27718" priority="15839" stopIfTrue="1">
      <formula>AND(U2&gt;=70101,U2&lt;=70301)</formula>
    </cfRule>
    <cfRule type="expression" dxfId="27717" priority="15840" stopIfTrue="1">
      <formula>AND(U2&gt;70000,U2&lt;70004)</formula>
    </cfRule>
    <cfRule type="expression" dxfId="27716" priority="15841" stopIfTrue="1">
      <formula>AND(U2&gt;=70010,U2&lt;=76000)</formula>
    </cfRule>
    <cfRule type="expression" dxfId="27715" priority="15842">
      <formula>AND(U2&gt;70000,U2&lt;70004)</formula>
    </cfRule>
    <cfRule type="expression" dxfId="27714" priority="15843" stopIfTrue="1">
      <formula>OR(AND(U2&gt;=10000,U2&lt;=56999),AND(U2&gt;=57000,U2&lt;=57999))</formula>
    </cfRule>
    <cfRule type="expression" dxfId="27713" priority="15844" stopIfTrue="1">
      <formula>AND(U2&gt;=8000,U2&lt;=9999)</formula>
    </cfRule>
    <cfRule type="expression" dxfId="27712" priority="15845" stopIfTrue="1">
      <formula>AND(U2&gt;=78100,U2&lt;=78199)</formula>
    </cfRule>
    <cfRule type="expression" dxfId="27711" priority="15846" stopIfTrue="1">
      <formula>AND(U2&gt;=92000,U2&lt;=98999)</formula>
    </cfRule>
    <cfRule type="expression" dxfId="27710" priority="15847" stopIfTrue="1">
      <formula>AND(U2&gt;=78100,U2&lt;=78199)</formula>
    </cfRule>
    <cfRule type="expression" dxfId="27709" priority="15848" stopIfTrue="1">
      <formula>AND(U2&gt;=91000,U2&lt;=91999)</formula>
    </cfRule>
  </conditionalFormatting>
  <conditionalFormatting sqref="T2">
    <cfRule type="expression" dxfId="27708" priority="15827">
      <formula>AND(U2&gt;=79001,U2&lt;79900)</formula>
    </cfRule>
    <cfRule type="expression" dxfId="27707" priority="15828" stopIfTrue="1">
      <formula>AND(U2&gt;=70101,U2&lt;=70301)</formula>
    </cfRule>
    <cfRule type="expression" dxfId="27706" priority="15829" stopIfTrue="1">
      <formula>AND(U2&gt;70000,U2&lt;70004)</formula>
    </cfRule>
    <cfRule type="expression" dxfId="27705" priority="15830" stopIfTrue="1">
      <formula>AND(U2&gt;=70010,U2&lt;=76000)</formula>
    </cfRule>
    <cfRule type="expression" dxfId="27704" priority="15831">
      <formula>AND(U2&gt;70000,U2&lt;70004)</formula>
    </cfRule>
    <cfRule type="expression" dxfId="27703" priority="15832" stopIfTrue="1">
      <formula>OR(AND(U2&gt;=10000,U2&lt;=56999),AND(U2&gt;=57000,U2&lt;=57999))</formula>
    </cfRule>
    <cfRule type="expression" dxfId="27702" priority="15833" stopIfTrue="1">
      <formula>AND(U2&gt;=8000,U2&lt;=9999)</formula>
    </cfRule>
    <cfRule type="expression" dxfId="27701" priority="15834" stopIfTrue="1">
      <formula>AND(U2&gt;=78100,U2&lt;=78199)</formula>
    </cfRule>
    <cfRule type="expression" dxfId="27700" priority="15835" stopIfTrue="1">
      <formula>AND(U2&gt;=92000,U2&lt;=98999)</formula>
    </cfRule>
    <cfRule type="expression" dxfId="27699" priority="15836" stopIfTrue="1">
      <formula>AND(U2&gt;=78100,U2&lt;=78199)</formula>
    </cfRule>
    <cfRule type="expression" dxfId="27698" priority="15837" stopIfTrue="1">
      <formula>AND(U2&gt;=91000,U2&lt;=91999)</formula>
    </cfRule>
  </conditionalFormatting>
  <conditionalFormatting sqref="T2">
    <cfRule type="expression" dxfId="27697" priority="15816">
      <formula>AND(U2&gt;=79001,U2&lt;79900)</formula>
    </cfRule>
    <cfRule type="expression" dxfId="27696" priority="15817" stopIfTrue="1">
      <formula>AND(U2&gt;=70101,U2&lt;=70301)</formula>
    </cfRule>
    <cfRule type="expression" dxfId="27695" priority="15818" stopIfTrue="1">
      <formula>AND(U2&gt;70000,U2&lt;70004)</formula>
    </cfRule>
    <cfRule type="expression" dxfId="27694" priority="15819" stopIfTrue="1">
      <formula>AND(U2&gt;=70010,U2&lt;=76000)</formula>
    </cfRule>
    <cfRule type="expression" dxfId="27693" priority="15820">
      <formula>AND(U2&gt;70000,U2&lt;70004)</formula>
    </cfRule>
    <cfRule type="expression" dxfId="27692" priority="15821" stopIfTrue="1">
      <formula>OR(AND(U2&gt;=10000,U2&lt;=56999),AND(U2&gt;=57000,U2&lt;=57999))</formula>
    </cfRule>
    <cfRule type="expression" dxfId="27691" priority="15822" stopIfTrue="1">
      <formula>AND(U2&gt;=8000,U2&lt;=9999)</formula>
    </cfRule>
    <cfRule type="expression" dxfId="27690" priority="15823" stopIfTrue="1">
      <formula>AND(U2&gt;=78100,U2&lt;=78199)</formula>
    </cfRule>
    <cfRule type="expression" dxfId="27689" priority="15824" stopIfTrue="1">
      <formula>AND(U2&gt;=92000,U2&lt;=98999)</formula>
    </cfRule>
    <cfRule type="expression" dxfId="27688" priority="15825" stopIfTrue="1">
      <formula>AND(U2&gt;=78100,U2&lt;=78199)</formula>
    </cfRule>
    <cfRule type="expression" dxfId="27687" priority="15826" stopIfTrue="1">
      <formula>AND(U2&gt;=91000,U2&lt;=91999)</formula>
    </cfRule>
  </conditionalFormatting>
  <conditionalFormatting sqref="J308:J1048576 J1">
    <cfRule type="colorScale" priority="15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08:N1048576 N1">
    <cfRule type="colorScale" priority="15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8:R177 R1 R228:R1048576">
    <cfRule type="colorScale" priority="15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K16 AM16">
    <cfRule type="expression" dxfId="27686" priority="15625">
      <formula>AND(AK16&gt;=79001,AK16&lt;79900)</formula>
    </cfRule>
    <cfRule type="expression" dxfId="27685" priority="15626" stopIfTrue="1">
      <formula>AND(AK16&gt;=70101,AK16&lt;=70301)</formula>
    </cfRule>
    <cfRule type="expression" dxfId="27684" priority="15627" stopIfTrue="1">
      <formula>AND(AK16&gt;70000,AK16&lt;70004)</formula>
    </cfRule>
    <cfRule type="expression" dxfId="27683" priority="15628" stopIfTrue="1">
      <formula>AND(AK16&gt;=70010,AK16&lt;=76000)</formula>
    </cfRule>
    <cfRule type="expression" dxfId="27682" priority="15629">
      <formula>AND(AK16&gt;70000,AK16&lt;70004)</formula>
    </cfRule>
    <cfRule type="expression" dxfId="27681" priority="15630" stopIfTrue="1">
      <formula>OR(AND(AK16&gt;=10000,AK16&lt;=56999),AND(AK16&gt;=57000,AK16&lt;=57999))</formula>
    </cfRule>
    <cfRule type="expression" dxfId="27680" priority="15631" stopIfTrue="1">
      <formula>AND(AK16&gt;=8000,AK16&lt;=9999)</formula>
    </cfRule>
    <cfRule type="expression" dxfId="27679" priority="15632" stopIfTrue="1">
      <formula>AND(AK16&gt;=78100,AK16&lt;=78199)</formula>
    </cfRule>
    <cfRule type="expression" dxfId="27678" priority="15633" stopIfTrue="1">
      <formula>AND(AK16&gt;=92000,AK16&lt;=98999)</formula>
    </cfRule>
    <cfRule type="expression" dxfId="27677" priority="15634" stopIfTrue="1">
      <formula>AND(AK16&gt;=78100,AK16&lt;=78199)</formula>
    </cfRule>
    <cfRule type="expression" dxfId="27676" priority="15635" stopIfTrue="1">
      <formula>AND(AK16&gt;=91000,AK16&lt;=91999)</formula>
    </cfRule>
  </conditionalFormatting>
  <conditionalFormatting sqref="AJ16:AK16 AM16">
    <cfRule type="expression" dxfId="27675" priority="15614">
      <formula>AND(AK16&gt;=79001,AK16&lt;79900)</formula>
    </cfRule>
    <cfRule type="expression" dxfId="27674" priority="15615" stopIfTrue="1">
      <formula>AND(AK16&gt;=70101,AK16&lt;=70301)</formula>
    </cfRule>
    <cfRule type="expression" dxfId="27673" priority="15616" stopIfTrue="1">
      <formula>AND(AK16&gt;70000,AK16&lt;70004)</formula>
    </cfRule>
    <cfRule type="expression" dxfId="27672" priority="15617" stopIfTrue="1">
      <formula>AND(AK16&gt;=70010,AK16&lt;=76000)</formula>
    </cfRule>
    <cfRule type="expression" dxfId="27671" priority="15618">
      <formula>AND(AK16&gt;70000,AK16&lt;70004)</formula>
    </cfRule>
    <cfRule type="expression" dxfId="27670" priority="15619" stopIfTrue="1">
      <formula>OR(AND(AK16&gt;=10000,AK16&lt;=56999),AND(AK16&gt;=57000,AK16&lt;=57999))</formula>
    </cfRule>
    <cfRule type="expression" dxfId="27669" priority="15620" stopIfTrue="1">
      <formula>AND(AK16&gt;=8000,AK16&lt;=9999)</formula>
    </cfRule>
    <cfRule type="expression" dxfId="27668" priority="15621" stopIfTrue="1">
      <formula>AND(AK16&gt;=78100,AK16&lt;=78199)</formula>
    </cfRule>
    <cfRule type="expression" dxfId="27667" priority="15622" stopIfTrue="1">
      <formula>AND(AK16&gt;=92000,AK16&lt;=98999)</formula>
    </cfRule>
    <cfRule type="expression" dxfId="27666" priority="15623" stopIfTrue="1">
      <formula>AND(AK16&gt;=78100,AK16&lt;=78199)</formula>
    </cfRule>
    <cfRule type="expression" dxfId="27665" priority="15624" stopIfTrue="1">
      <formula>AND(AK16&gt;=91000,AK16&lt;=91999)</formula>
    </cfRule>
  </conditionalFormatting>
  <conditionalFormatting sqref="AJ16:AK16 AM16">
    <cfRule type="expression" dxfId="27664" priority="15603">
      <formula>AND(AK16&gt;=79001,AK16&lt;79900)</formula>
    </cfRule>
    <cfRule type="expression" dxfId="27663" priority="15604" stopIfTrue="1">
      <formula>AND(AK16&gt;=70101,AK16&lt;=70301)</formula>
    </cfRule>
    <cfRule type="expression" dxfId="27662" priority="15605" stopIfTrue="1">
      <formula>AND(AK16&gt;70000,AK16&lt;70004)</formula>
    </cfRule>
    <cfRule type="expression" dxfId="27661" priority="15606" stopIfTrue="1">
      <formula>AND(AK16&gt;=70010,AK16&lt;=76000)</formula>
    </cfRule>
    <cfRule type="expression" dxfId="27660" priority="15607">
      <formula>AND(AK16&gt;70000,AK16&lt;70004)</formula>
    </cfRule>
    <cfRule type="expression" dxfId="27659" priority="15608" stopIfTrue="1">
      <formula>OR(AND(AK16&gt;=10000,AK16&lt;=56999),AND(AK16&gt;=57000,AK16&lt;=57999))</formula>
    </cfRule>
    <cfRule type="expression" dxfId="27658" priority="15609" stopIfTrue="1">
      <formula>AND(AK16&gt;=8000,AK16&lt;=9999)</formula>
    </cfRule>
    <cfRule type="expression" dxfId="27657" priority="15610" stopIfTrue="1">
      <formula>AND(AK16&gt;=78100,AK16&lt;=78199)</formula>
    </cfRule>
    <cfRule type="expression" dxfId="27656" priority="15611" stopIfTrue="1">
      <formula>AND(AK16&gt;=92000,AK16&lt;=98999)</formula>
    </cfRule>
    <cfRule type="expression" dxfId="27655" priority="15612" stopIfTrue="1">
      <formula>AND(AK16&gt;=78100,AK16&lt;=78199)</formula>
    </cfRule>
    <cfRule type="expression" dxfId="27654" priority="15613" stopIfTrue="1">
      <formula>AND(AK16&gt;=91000,AK16&lt;=91999)</formula>
    </cfRule>
  </conditionalFormatting>
  <conditionalFormatting sqref="AJ16:AK16 AM16">
    <cfRule type="expression" dxfId="27653" priority="15592">
      <formula>AND(AK16&gt;=79001,AK16&lt;79900)</formula>
    </cfRule>
    <cfRule type="expression" dxfId="27652" priority="15593" stopIfTrue="1">
      <formula>AND(AK16&gt;=70101,AK16&lt;=70301)</formula>
    </cfRule>
    <cfRule type="expression" dxfId="27651" priority="15594" stopIfTrue="1">
      <formula>AND(AK16&gt;70000,AK16&lt;70004)</formula>
    </cfRule>
    <cfRule type="expression" dxfId="27650" priority="15595" stopIfTrue="1">
      <formula>AND(AK16&gt;=70010,AK16&lt;=76000)</formula>
    </cfRule>
    <cfRule type="expression" dxfId="27649" priority="15596">
      <formula>AND(AK16&gt;70000,AK16&lt;70004)</formula>
    </cfRule>
    <cfRule type="expression" dxfId="27648" priority="15597" stopIfTrue="1">
      <formula>OR(AND(AK16&gt;=10000,AK16&lt;=56999),AND(AK16&gt;=57000,AK16&lt;=57999))</formula>
    </cfRule>
    <cfRule type="expression" dxfId="27647" priority="15598" stopIfTrue="1">
      <formula>AND(AK16&gt;=8000,AK16&lt;=9999)</formula>
    </cfRule>
    <cfRule type="expression" dxfId="27646" priority="15599" stopIfTrue="1">
      <formula>AND(AK16&gt;=78100,AK16&lt;=78199)</formula>
    </cfRule>
    <cfRule type="expression" dxfId="27645" priority="15600" stopIfTrue="1">
      <formula>AND(AK16&gt;=92000,AK16&lt;=98999)</formula>
    </cfRule>
    <cfRule type="expression" dxfId="27644" priority="15601" stopIfTrue="1">
      <formula>AND(AK16&gt;=78100,AK16&lt;=78199)</formula>
    </cfRule>
    <cfRule type="expression" dxfId="27643" priority="15602" stopIfTrue="1">
      <formula>AND(AK16&gt;=91000,AK16&lt;=91999)</formula>
    </cfRule>
  </conditionalFormatting>
  <conditionalFormatting sqref="AN16">
    <cfRule type="expression" dxfId="27642" priority="15581">
      <formula>AND(AO16&gt;=79001,AO16&lt;79900)</formula>
    </cfRule>
    <cfRule type="expression" dxfId="27641" priority="15582" stopIfTrue="1">
      <formula>AND(AO16&gt;=70101,AO16&lt;=70301)</formula>
    </cfRule>
    <cfRule type="expression" dxfId="27640" priority="15583" stopIfTrue="1">
      <formula>AND(AO16&gt;70000,AO16&lt;70004)</formula>
    </cfRule>
    <cfRule type="expression" dxfId="27639" priority="15584" stopIfTrue="1">
      <formula>AND(AO16&gt;=70010,AO16&lt;=76000)</formula>
    </cfRule>
    <cfRule type="expression" dxfId="27638" priority="15585">
      <formula>AND(AO16&gt;70000,AO16&lt;70004)</formula>
    </cfRule>
    <cfRule type="expression" dxfId="27637" priority="15586" stopIfTrue="1">
      <formula>OR(AND(AO16&gt;=10000,AO16&lt;=56999),AND(AO16&gt;=57000,AO16&lt;=57999))</formula>
    </cfRule>
    <cfRule type="expression" dxfId="27636" priority="15587" stopIfTrue="1">
      <formula>AND(AO16&gt;=8000,AO16&lt;=9999)</formula>
    </cfRule>
    <cfRule type="expression" dxfId="27635" priority="15588" stopIfTrue="1">
      <formula>AND(AO16&gt;=78100,AO16&lt;=78199)</formula>
    </cfRule>
    <cfRule type="expression" dxfId="27634" priority="15589" stopIfTrue="1">
      <formula>AND(AO16&gt;=92000,AO16&lt;=98999)</formula>
    </cfRule>
    <cfRule type="expression" dxfId="27633" priority="15590" stopIfTrue="1">
      <formula>AND(AO16&gt;=78100,AO16&lt;=78199)</formula>
    </cfRule>
    <cfRule type="expression" dxfId="27632" priority="15591" stopIfTrue="1">
      <formula>AND(AO16&gt;=91000,AO16&lt;=91999)</formula>
    </cfRule>
  </conditionalFormatting>
  <conditionalFormatting sqref="AN16">
    <cfRule type="expression" dxfId="27631" priority="15570">
      <formula>AND(AO16&gt;=79001,AO16&lt;79900)</formula>
    </cfRule>
    <cfRule type="expression" dxfId="27630" priority="15571" stopIfTrue="1">
      <formula>AND(AO16&gt;=70101,AO16&lt;=70301)</formula>
    </cfRule>
    <cfRule type="expression" dxfId="27629" priority="15572" stopIfTrue="1">
      <formula>AND(AO16&gt;70000,AO16&lt;70004)</formula>
    </cfRule>
    <cfRule type="expression" dxfId="27628" priority="15573" stopIfTrue="1">
      <formula>AND(AO16&gt;=70010,AO16&lt;=76000)</formula>
    </cfRule>
    <cfRule type="expression" dxfId="27627" priority="15574">
      <formula>AND(AO16&gt;70000,AO16&lt;70004)</formula>
    </cfRule>
    <cfRule type="expression" dxfId="27626" priority="15575" stopIfTrue="1">
      <formula>OR(AND(AO16&gt;=10000,AO16&lt;=56999),AND(AO16&gt;=57000,AO16&lt;=57999))</formula>
    </cfRule>
    <cfRule type="expression" dxfId="27625" priority="15576" stopIfTrue="1">
      <formula>AND(AO16&gt;=8000,AO16&lt;=9999)</formula>
    </cfRule>
    <cfRule type="expression" dxfId="27624" priority="15577" stopIfTrue="1">
      <formula>AND(AO16&gt;=78100,AO16&lt;=78199)</formula>
    </cfRule>
    <cfRule type="expression" dxfId="27623" priority="15578" stopIfTrue="1">
      <formula>AND(AO16&gt;=92000,AO16&lt;=98999)</formula>
    </cfRule>
    <cfRule type="expression" dxfId="27622" priority="15579" stopIfTrue="1">
      <formula>AND(AO16&gt;=78100,AO16&lt;=78199)</formula>
    </cfRule>
    <cfRule type="expression" dxfId="27621" priority="15580" stopIfTrue="1">
      <formula>AND(AO16&gt;=91000,AO16&lt;=91999)</formula>
    </cfRule>
  </conditionalFormatting>
  <conditionalFormatting sqref="AN16">
    <cfRule type="expression" dxfId="27620" priority="15559">
      <formula>AND(AO16&gt;=79001,AO16&lt;79900)</formula>
    </cfRule>
    <cfRule type="expression" dxfId="27619" priority="15560" stopIfTrue="1">
      <formula>AND(AO16&gt;=70101,AO16&lt;=70301)</formula>
    </cfRule>
    <cfRule type="expression" dxfId="27618" priority="15561" stopIfTrue="1">
      <formula>AND(AO16&gt;70000,AO16&lt;70004)</formula>
    </cfRule>
    <cfRule type="expression" dxfId="27617" priority="15562" stopIfTrue="1">
      <formula>AND(AO16&gt;=70010,AO16&lt;=76000)</formula>
    </cfRule>
    <cfRule type="expression" dxfId="27616" priority="15563">
      <formula>AND(AO16&gt;70000,AO16&lt;70004)</formula>
    </cfRule>
    <cfRule type="expression" dxfId="27615" priority="15564" stopIfTrue="1">
      <formula>OR(AND(AO16&gt;=10000,AO16&lt;=56999),AND(AO16&gt;=57000,AO16&lt;=57999))</formula>
    </cfRule>
    <cfRule type="expression" dxfId="27614" priority="15565" stopIfTrue="1">
      <formula>AND(AO16&gt;=8000,AO16&lt;=9999)</formula>
    </cfRule>
    <cfRule type="expression" dxfId="27613" priority="15566" stopIfTrue="1">
      <formula>AND(AO16&gt;=78100,AO16&lt;=78199)</formula>
    </cfRule>
    <cfRule type="expression" dxfId="27612" priority="15567" stopIfTrue="1">
      <formula>AND(AO16&gt;=92000,AO16&lt;=98999)</formula>
    </cfRule>
    <cfRule type="expression" dxfId="27611" priority="15568" stopIfTrue="1">
      <formula>AND(AO16&gt;=78100,AO16&lt;=78199)</formula>
    </cfRule>
    <cfRule type="expression" dxfId="27610" priority="15569" stopIfTrue="1">
      <formula>AND(AO16&gt;=91000,AO16&lt;=91999)</formula>
    </cfRule>
  </conditionalFormatting>
  <conditionalFormatting sqref="AN16">
    <cfRule type="expression" dxfId="27609" priority="15548">
      <formula>AND(AO16&gt;=79001,AO16&lt;79900)</formula>
    </cfRule>
    <cfRule type="expression" dxfId="27608" priority="15549" stopIfTrue="1">
      <formula>AND(AO16&gt;=70101,AO16&lt;=70301)</formula>
    </cfRule>
    <cfRule type="expression" dxfId="27607" priority="15550" stopIfTrue="1">
      <formula>AND(AO16&gt;70000,AO16&lt;70004)</formula>
    </cfRule>
    <cfRule type="expression" dxfId="27606" priority="15551" stopIfTrue="1">
      <formula>AND(AO16&gt;=70010,AO16&lt;=76000)</formula>
    </cfRule>
    <cfRule type="expression" dxfId="27605" priority="15552">
      <formula>AND(AO16&gt;70000,AO16&lt;70004)</formula>
    </cfRule>
    <cfRule type="expression" dxfId="27604" priority="15553" stopIfTrue="1">
      <formula>OR(AND(AO16&gt;=10000,AO16&lt;=56999),AND(AO16&gt;=57000,AO16&lt;=57999))</formula>
    </cfRule>
    <cfRule type="expression" dxfId="27603" priority="15554" stopIfTrue="1">
      <formula>AND(AO16&gt;=8000,AO16&lt;=9999)</formula>
    </cfRule>
    <cfRule type="expression" dxfId="27602" priority="15555" stopIfTrue="1">
      <formula>AND(AO16&gt;=78100,AO16&lt;=78199)</formula>
    </cfRule>
    <cfRule type="expression" dxfId="27601" priority="15556" stopIfTrue="1">
      <formula>AND(AO16&gt;=92000,AO16&lt;=98999)</formula>
    </cfRule>
    <cfRule type="expression" dxfId="27600" priority="15557" stopIfTrue="1">
      <formula>AND(AO16&gt;=78100,AO16&lt;=78199)</formula>
    </cfRule>
    <cfRule type="expression" dxfId="27599" priority="15558" stopIfTrue="1">
      <formula>AND(AO16&gt;=91000,AO16&lt;=91999)</formula>
    </cfRule>
  </conditionalFormatting>
  <conditionalFormatting sqref="AR16">
    <cfRule type="expression" dxfId="27598" priority="15537">
      <formula>AND(AS16&gt;=79001,AS16&lt;79900)</formula>
    </cfRule>
    <cfRule type="expression" dxfId="27597" priority="15538" stopIfTrue="1">
      <formula>AND(AS16&gt;=70101,AS16&lt;=70301)</formula>
    </cfRule>
    <cfRule type="expression" dxfId="27596" priority="15539" stopIfTrue="1">
      <formula>AND(AS16&gt;70000,AS16&lt;70004)</formula>
    </cfRule>
    <cfRule type="expression" dxfId="27595" priority="15540" stopIfTrue="1">
      <formula>AND(AS16&gt;=70010,AS16&lt;=76000)</formula>
    </cfRule>
    <cfRule type="expression" dxfId="27594" priority="15541">
      <formula>AND(AS16&gt;70000,AS16&lt;70004)</formula>
    </cfRule>
    <cfRule type="expression" dxfId="27593" priority="15542" stopIfTrue="1">
      <formula>OR(AND(AS16&gt;=10000,AS16&lt;=56999),AND(AS16&gt;=57000,AS16&lt;=57999))</formula>
    </cfRule>
    <cfRule type="expression" dxfId="27592" priority="15543" stopIfTrue="1">
      <formula>AND(AS16&gt;=8000,AS16&lt;=9999)</formula>
    </cfRule>
    <cfRule type="expression" dxfId="27591" priority="15544" stopIfTrue="1">
      <formula>AND(AS16&gt;=78100,AS16&lt;=78199)</formula>
    </cfRule>
    <cfRule type="expression" dxfId="27590" priority="15545" stopIfTrue="1">
      <formula>AND(AS16&gt;=92000,AS16&lt;=98999)</formula>
    </cfRule>
    <cfRule type="expression" dxfId="27589" priority="15546" stopIfTrue="1">
      <formula>AND(AS16&gt;=78100,AS16&lt;=78199)</formula>
    </cfRule>
    <cfRule type="expression" dxfId="27588" priority="15547" stopIfTrue="1">
      <formula>AND(AS16&gt;=91000,AS16&lt;=91999)</formula>
    </cfRule>
  </conditionalFormatting>
  <conditionalFormatting sqref="AR16">
    <cfRule type="expression" dxfId="27587" priority="15526">
      <formula>AND(AS16&gt;=79001,AS16&lt;79900)</formula>
    </cfRule>
    <cfRule type="expression" dxfId="27586" priority="15527" stopIfTrue="1">
      <formula>AND(AS16&gt;=70101,AS16&lt;=70301)</formula>
    </cfRule>
    <cfRule type="expression" dxfId="27585" priority="15528" stopIfTrue="1">
      <formula>AND(AS16&gt;70000,AS16&lt;70004)</formula>
    </cfRule>
    <cfRule type="expression" dxfId="27584" priority="15529" stopIfTrue="1">
      <formula>AND(AS16&gt;=70010,AS16&lt;=76000)</formula>
    </cfRule>
    <cfRule type="expression" dxfId="27583" priority="15530">
      <formula>AND(AS16&gt;70000,AS16&lt;70004)</formula>
    </cfRule>
    <cfRule type="expression" dxfId="27582" priority="15531" stopIfTrue="1">
      <formula>OR(AND(AS16&gt;=10000,AS16&lt;=56999),AND(AS16&gt;=57000,AS16&lt;=57999))</formula>
    </cfRule>
    <cfRule type="expression" dxfId="27581" priority="15532" stopIfTrue="1">
      <formula>AND(AS16&gt;=8000,AS16&lt;=9999)</formula>
    </cfRule>
    <cfRule type="expression" dxfId="27580" priority="15533" stopIfTrue="1">
      <formula>AND(AS16&gt;=78100,AS16&lt;=78199)</formula>
    </cfRule>
    <cfRule type="expression" dxfId="27579" priority="15534" stopIfTrue="1">
      <formula>AND(AS16&gt;=92000,AS16&lt;=98999)</formula>
    </cfRule>
    <cfRule type="expression" dxfId="27578" priority="15535" stopIfTrue="1">
      <formula>AND(AS16&gt;=78100,AS16&lt;=78199)</formula>
    </cfRule>
    <cfRule type="expression" dxfId="27577" priority="15536" stopIfTrue="1">
      <formula>AND(AS16&gt;=91000,AS16&lt;=91999)</formula>
    </cfRule>
  </conditionalFormatting>
  <conditionalFormatting sqref="AR16">
    <cfRule type="expression" dxfId="27576" priority="15515">
      <formula>AND(AS16&gt;=79001,AS16&lt;79900)</formula>
    </cfRule>
    <cfRule type="expression" dxfId="27575" priority="15516" stopIfTrue="1">
      <formula>AND(AS16&gt;=70101,AS16&lt;=70301)</formula>
    </cfRule>
    <cfRule type="expression" dxfId="27574" priority="15517" stopIfTrue="1">
      <formula>AND(AS16&gt;70000,AS16&lt;70004)</formula>
    </cfRule>
    <cfRule type="expression" dxfId="27573" priority="15518" stopIfTrue="1">
      <formula>AND(AS16&gt;=70010,AS16&lt;=76000)</formula>
    </cfRule>
    <cfRule type="expression" dxfId="27572" priority="15519">
      <formula>AND(AS16&gt;70000,AS16&lt;70004)</formula>
    </cfRule>
    <cfRule type="expression" dxfId="27571" priority="15520" stopIfTrue="1">
      <formula>OR(AND(AS16&gt;=10000,AS16&lt;=56999),AND(AS16&gt;=57000,AS16&lt;=57999))</formula>
    </cfRule>
    <cfRule type="expression" dxfId="27570" priority="15521" stopIfTrue="1">
      <formula>AND(AS16&gt;=8000,AS16&lt;=9999)</formula>
    </cfRule>
    <cfRule type="expression" dxfId="27569" priority="15522" stopIfTrue="1">
      <formula>AND(AS16&gt;=78100,AS16&lt;=78199)</formula>
    </cfRule>
    <cfRule type="expression" dxfId="27568" priority="15523" stopIfTrue="1">
      <formula>AND(AS16&gt;=92000,AS16&lt;=98999)</formula>
    </cfRule>
    <cfRule type="expression" dxfId="27567" priority="15524" stopIfTrue="1">
      <formula>AND(AS16&gt;=78100,AS16&lt;=78199)</formula>
    </cfRule>
    <cfRule type="expression" dxfId="27566" priority="15525" stopIfTrue="1">
      <formula>AND(AS16&gt;=91000,AS16&lt;=91999)</formula>
    </cfRule>
  </conditionalFormatting>
  <conditionalFormatting sqref="AR16">
    <cfRule type="expression" dxfId="27565" priority="15504">
      <formula>AND(AS16&gt;=79001,AS16&lt;79900)</formula>
    </cfRule>
    <cfRule type="expression" dxfId="27564" priority="15505" stopIfTrue="1">
      <formula>AND(AS16&gt;=70101,AS16&lt;=70301)</formula>
    </cfRule>
    <cfRule type="expression" dxfId="27563" priority="15506" stopIfTrue="1">
      <formula>AND(AS16&gt;70000,AS16&lt;70004)</formula>
    </cfRule>
    <cfRule type="expression" dxfId="27562" priority="15507" stopIfTrue="1">
      <formula>AND(AS16&gt;=70010,AS16&lt;=76000)</formula>
    </cfRule>
    <cfRule type="expression" dxfId="27561" priority="15508">
      <formula>AND(AS16&gt;70000,AS16&lt;70004)</formula>
    </cfRule>
    <cfRule type="expression" dxfId="27560" priority="15509" stopIfTrue="1">
      <formula>OR(AND(AS16&gt;=10000,AS16&lt;=56999),AND(AS16&gt;=57000,AS16&lt;=57999))</formula>
    </cfRule>
    <cfRule type="expression" dxfId="27559" priority="15510" stopIfTrue="1">
      <formula>AND(AS16&gt;=8000,AS16&lt;=9999)</formula>
    </cfRule>
    <cfRule type="expression" dxfId="27558" priority="15511" stopIfTrue="1">
      <formula>AND(AS16&gt;=78100,AS16&lt;=78199)</formula>
    </cfRule>
    <cfRule type="expression" dxfId="27557" priority="15512" stopIfTrue="1">
      <formula>AND(AS16&gt;=92000,AS16&lt;=98999)</formula>
    </cfRule>
    <cfRule type="expression" dxfId="27556" priority="15513" stopIfTrue="1">
      <formula>AND(AS16&gt;=78100,AS16&lt;=78199)</formula>
    </cfRule>
    <cfRule type="expression" dxfId="27555" priority="15514" stopIfTrue="1">
      <formula>AND(AS16&gt;=91000,AS16&lt;=91999)</formula>
    </cfRule>
  </conditionalFormatting>
  <conditionalFormatting sqref="AV16">
    <cfRule type="expression" dxfId="27554" priority="15493">
      <formula>AND(AW16&gt;=79001,AW16&lt;79900)</formula>
    </cfRule>
    <cfRule type="expression" dxfId="27553" priority="15494" stopIfTrue="1">
      <formula>AND(AW16&gt;=70101,AW16&lt;=70301)</formula>
    </cfRule>
    <cfRule type="expression" dxfId="27552" priority="15495" stopIfTrue="1">
      <formula>AND(AW16&gt;70000,AW16&lt;70004)</formula>
    </cfRule>
    <cfRule type="expression" dxfId="27551" priority="15496" stopIfTrue="1">
      <formula>AND(AW16&gt;=70010,AW16&lt;=76000)</formula>
    </cfRule>
    <cfRule type="expression" dxfId="27550" priority="15497">
      <formula>AND(AW16&gt;70000,AW16&lt;70004)</formula>
    </cfRule>
    <cfRule type="expression" dxfId="27549" priority="15498" stopIfTrue="1">
      <formula>OR(AND(AW16&gt;=10000,AW16&lt;=56999),AND(AW16&gt;=57000,AW16&lt;=57999))</formula>
    </cfRule>
    <cfRule type="expression" dxfId="27548" priority="15499" stopIfTrue="1">
      <formula>AND(AW16&gt;=8000,AW16&lt;=9999)</formula>
    </cfRule>
    <cfRule type="expression" dxfId="27547" priority="15500" stopIfTrue="1">
      <formula>AND(AW16&gt;=78100,AW16&lt;=78199)</formula>
    </cfRule>
    <cfRule type="expression" dxfId="27546" priority="15501" stopIfTrue="1">
      <formula>AND(AW16&gt;=92000,AW16&lt;=98999)</formula>
    </cfRule>
    <cfRule type="expression" dxfId="27545" priority="15502" stopIfTrue="1">
      <formula>AND(AW16&gt;=78100,AW16&lt;=78199)</formula>
    </cfRule>
    <cfRule type="expression" dxfId="27544" priority="15503" stopIfTrue="1">
      <formula>AND(AW16&gt;=91000,AW16&lt;=91999)</formula>
    </cfRule>
  </conditionalFormatting>
  <conditionalFormatting sqref="AV16">
    <cfRule type="expression" dxfId="27543" priority="15482">
      <formula>AND(AW16&gt;=79001,AW16&lt;79900)</formula>
    </cfRule>
    <cfRule type="expression" dxfId="27542" priority="15483" stopIfTrue="1">
      <formula>AND(AW16&gt;=70101,AW16&lt;=70301)</formula>
    </cfRule>
    <cfRule type="expression" dxfId="27541" priority="15484" stopIfTrue="1">
      <formula>AND(AW16&gt;70000,AW16&lt;70004)</formula>
    </cfRule>
    <cfRule type="expression" dxfId="27540" priority="15485" stopIfTrue="1">
      <formula>AND(AW16&gt;=70010,AW16&lt;=76000)</formula>
    </cfRule>
    <cfRule type="expression" dxfId="27539" priority="15486">
      <formula>AND(AW16&gt;70000,AW16&lt;70004)</formula>
    </cfRule>
    <cfRule type="expression" dxfId="27538" priority="15487" stopIfTrue="1">
      <formula>OR(AND(AW16&gt;=10000,AW16&lt;=56999),AND(AW16&gt;=57000,AW16&lt;=57999))</formula>
    </cfRule>
    <cfRule type="expression" dxfId="27537" priority="15488" stopIfTrue="1">
      <formula>AND(AW16&gt;=8000,AW16&lt;=9999)</formula>
    </cfRule>
    <cfRule type="expression" dxfId="27536" priority="15489" stopIfTrue="1">
      <formula>AND(AW16&gt;=78100,AW16&lt;=78199)</formula>
    </cfRule>
    <cfRule type="expression" dxfId="27535" priority="15490" stopIfTrue="1">
      <formula>AND(AW16&gt;=92000,AW16&lt;=98999)</formula>
    </cfRule>
    <cfRule type="expression" dxfId="27534" priority="15491" stopIfTrue="1">
      <formula>AND(AW16&gt;=78100,AW16&lt;=78199)</formula>
    </cfRule>
    <cfRule type="expression" dxfId="27533" priority="15492" stopIfTrue="1">
      <formula>AND(AW16&gt;=91000,AW16&lt;=91999)</formula>
    </cfRule>
  </conditionalFormatting>
  <conditionalFormatting sqref="AV16">
    <cfRule type="expression" dxfId="27532" priority="15471">
      <formula>AND(AW16&gt;=79001,AW16&lt;79900)</formula>
    </cfRule>
    <cfRule type="expression" dxfId="27531" priority="15472" stopIfTrue="1">
      <formula>AND(AW16&gt;=70101,AW16&lt;=70301)</formula>
    </cfRule>
    <cfRule type="expression" dxfId="27530" priority="15473" stopIfTrue="1">
      <formula>AND(AW16&gt;70000,AW16&lt;70004)</formula>
    </cfRule>
    <cfRule type="expression" dxfId="27529" priority="15474" stopIfTrue="1">
      <formula>AND(AW16&gt;=70010,AW16&lt;=76000)</formula>
    </cfRule>
    <cfRule type="expression" dxfId="27528" priority="15475">
      <formula>AND(AW16&gt;70000,AW16&lt;70004)</formula>
    </cfRule>
    <cfRule type="expression" dxfId="27527" priority="15476" stopIfTrue="1">
      <formula>OR(AND(AW16&gt;=10000,AW16&lt;=56999),AND(AW16&gt;=57000,AW16&lt;=57999))</formula>
    </cfRule>
    <cfRule type="expression" dxfId="27526" priority="15477" stopIfTrue="1">
      <formula>AND(AW16&gt;=8000,AW16&lt;=9999)</formula>
    </cfRule>
    <cfRule type="expression" dxfId="27525" priority="15478" stopIfTrue="1">
      <formula>AND(AW16&gt;=78100,AW16&lt;=78199)</formula>
    </cfRule>
    <cfRule type="expression" dxfId="27524" priority="15479" stopIfTrue="1">
      <formula>AND(AW16&gt;=92000,AW16&lt;=98999)</formula>
    </cfRule>
    <cfRule type="expression" dxfId="27523" priority="15480" stopIfTrue="1">
      <formula>AND(AW16&gt;=78100,AW16&lt;=78199)</formula>
    </cfRule>
    <cfRule type="expression" dxfId="27522" priority="15481" stopIfTrue="1">
      <formula>AND(AW16&gt;=91000,AW16&lt;=91999)</formula>
    </cfRule>
  </conditionalFormatting>
  <conditionalFormatting sqref="AV16">
    <cfRule type="expression" dxfId="27521" priority="15460">
      <formula>AND(AW16&gt;=79001,AW16&lt;79900)</formula>
    </cfRule>
    <cfRule type="expression" dxfId="27520" priority="15461" stopIfTrue="1">
      <formula>AND(AW16&gt;=70101,AW16&lt;=70301)</formula>
    </cfRule>
    <cfRule type="expression" dxfId="27519" priority="15462" stopIfTrue="1">
      <formula>AND(AW16&gt;70000,AW16&lt;70004)</formula>
    </cfRule>
    <cfRule type="expression" dxfId="27518" priority="15463" stopIfTrue="1">
      <formula>AND(AW16&gt;=70010,AW16&lt;=76000)</formula>
    </cfRule>
    <cfRule type="expression" dxfId="27517" priority="15464">
      <formula>AND(AW16&gt;70000,AW16&lt;70004)</formula>
    </cfRule>
    <cfRule type="expression" dxfId="27516" priority="15465" stopIfTrue="1">
      <formula>OR(AND(AW16&gt;=10000,AW16&lt;=56999),AND(AW16&gt;=57000,AW16&lt;=57999))</formula>
    </cfRule>
    <cfRule type="expression" dxfId="27515" priority="15466" stopIfTrue="1">
      <formula>AND(AW16&gt;=8000,AW16&lt;=9999)</formula>
    </cfRule>
    <cfRule type="expression" dxfId="27514" priority="15467" stopIfTrue="1">
      <formula>AND(AW16&gt;=78100,AW16&lt;=78199)</formula>
    </cfRule>
    <cfRule type="expression" dxfId="27513" priority="15468" stopIfTrue="1">
      <formula>AND(AW16&gt;=92000,AW16&lt;=98999)</formula>
    </cfRule>
    <cfRule type="expression" dxfId="27512" priority="15469" stopIfTrue="1">
      <formula>AND(AW16&gt;=78100,AW16&lt;=78199)</formula>
    </cfRule>
    <cfRule type="expression" dxfId="27511" priority="15470" stopIfTrue="1">
      <formula>AND(AW16&gt;=91000,AW16&lt;=91999)</formula>
    </cfRule>
  </conditionalFormatting>
  <conditionalFormatting sqref="AZ16">
    <cfRule type="expression" dxfId="27510" priority="15449">
      <formula>AND(BA16&gt;=79001,BA16&lt;79900)</formula>
    </cfRule>
    <cfRule type="expression" dxfId="27509" priority="15450" stopIfTrue="1">
      <formula>AND(BA16&gt;=70101,BA16&lt;=70301)</formula>
    </cfRule>
    <cfRule type="expression" dxfId="27508" priority="15451" stopIfTrue="1">
      <formula>AND(BA16&gt;70000,BA16&lt;70004)</formula>
    </cfRule>
    <cfRule type="expression" dxfId="27507" priority="15452" stopIfTrue="1">
      <formula>AND(BA16&gt;=70010,BA16&lt;=76000)</formula>
    </cfRule>
    <cfRule type="expression" dxfId="27506" priority="15453">
      <formula>AND(BA16&gt;70000,BA16&lt;70004)</formula>
    </cfRule>
    <cfRule type="expression" dxfId="27505" priority="15454" stopIfTrue="1">
      <formula>OR(AND(BA16&gt;=10000,BA16&lt;=56999),AND(BA16&gt;=57000,BA16&lt;=57999))</formula>
    </cfRule>
    <cfRule type="expression" dxfId="27504" priority="15455" stopIfTrue="1">
      <formula>AND(BA16&gt;=8000,BA16&lt;=9999)</formula>
    </cfRule>
    <cfRule type="expression" dxfId="27503" priority="15456" stopIfTrue="1">
      <formula>AND(BA16&gt;=78100,BA16&lt;=78199)</formula>
    </cfRule>
    <cfRule type="expression" dxfId="27502" priority="15457" stopIfTrue="1">
      <formula>AND(BA16&gt;=92000,BA16&lt;=98999)</formula>
    </cfRule>
    <cfRule type="expression" dxfId="27501" priority="15458" stopIfTrue="1">
      <formula>AND(BA16&gt;=78100,BA16&lt;=78199)</formula>
    </cfRule>
    <cfRule type="expression" dxfId="27500" priority="15459" stopIfTrue="1">
      <formula>AND(BA16&gt;=91000,BA16&lt;=91999)</formula>
    </cfRule>
  </conditionalFormatting>
  <conditionalFormatting sqref="AZ16">
    <cfRule type="expression" dxfId="27499" priority="15438">
      <formula>AND(BA16&gt;=79001,BA16&lt;79900)</formula>
    </cfRule>
    <cfRule type="expression" dxfId="27498" priority="15439" stopIfTrue="1">
      <formula>AND(BA16&gt;=70101,BA16&lt;=70301)</formula>
    </cfRule>
    <cfRule type="expression" dxfId="27497" priority="15440" stopIfTrue="1">
      <formula>AND(BA16&gt;70000,BA16&lt;70004)</formula>
    </cfRule>
    <cfRule type="expression" dxfId="27496" priority="15441" stopIfTrue="1">
      <formula>AND(BA16&gt;=70010,BA16&lt;=76000)</formula>
    </cfRule>
    <cfRule type="expression" dxfId="27495" priority="15442">
      <formula>AND(BA16&gt;70000,BA16&lt;70004)</formula>
    </cfRule>
    <cfRule type="expression" dxfId="27494" priority="15443" stopIfTrue="1">
      <formula>OR(AND(BA16&gt;=10000,BA16&lt;=56999),AND(BA16&gt;=57000,BA16&lt;=57999))</formula>
    </cfRule>
    <cfRule type="expression" dxfId="27493" priority="15444" stopIfTrue="1">
      <formula>AND(BA16&gt;=8000,BA16&lt;=9999)</formula>
    </cfRule>
    <cfRule type="expression" dxfId="27492" priority="15445" stopIfTrue="1">
      <formula>AND(BA16&gt;=78100,BA16&lt;=78199)</formula>
    </cfRule>
    <cfRule type="expression" dxfId="27491" priority="15446" stopIfTrue="1">
      <formula>AND(BA16&gt;=92000,BA16&lt;=98999)</formula>
    </cfRule>
    <cfRule type="expression" dxfId="27490" priority="15447" stopIfTrue="1">
      <formula>AND(BA16&gt;=78100,BA16&lt;=78199)</formula>
    </cfRule>
    <cfRule type="expression" dxfId="27489" priority="15448" stopIfTrue="1">
      <formula>AND(BA16&gt;=91000,BA16&lt;=91999)</formula>
    </cfRule>
  </conditionalFormatting>
  <conditionalFormatting sqref="AZ16">
    <cfRule type="expression" dxfId="27488" priority="15427">
      <formula>AND(BA16&gt;=79001,BA16&lt;79900)</formula>
    </cfRule>
    <cfRule type="expression" dxfId="27487" priority="15428" stopIfTrue="1">
      <formula>AND(BA16&gt;=70101,BA16&lt;=70301)</formula>
    </cfRule>
    <cfRule type="expression" dxfId="27486" priority="15429" stopIfTrue="1">
      <formula>AND(BA16&gt;70000,BA16&lt;70004)</formula>
    </cfRule>
    <cfRule type="expression" dxfId="27485" priority="15430" stopIfTrue="1">
      <formula>AND(BA16&gt;=70010,BA16&lt;=76000)</formula>
    </cfRule>
    <cfRule type="expression" dxfId="27484" priority="15431">
      <formula>AND(BA16&gt;70000,BA16&lt;70004)</formula>
    </cfRule>
    <cfRule type="expression" dxfId="27483" priority="15432" stopIfTrue="1">
      <formula>OR(AND(BA16&gt;=10000,BA16&lt;=56999),AND(BA16&gt;=57000,BA16&lt;=57999))</formula>
    </cfRule>
    <cfRule type="expression" dxfId="27482" priority="15433" stopIfTrue="1">
      <formula>AND(BA16&gt;=8000,BA16&lt;=9999)</formula>
    </cfRule>
    <cfRule type="expression" dxfId="27481" priority="15434" stopIfTrue="1">
      <formula>AND(BA16&gt;=78100,BA16&lt;=78199)</formula>
    </cfRule>
    <cfRule type="expression" dxfId="27480" priority="15435" stopIfTrue="1">
      <formula>AND(BA16&gt;=92000,BA16&lt;=98999)</formula>
    </cfRule>
    <cfRule type="expression" dxfId="27479" priority="15436" stopIfTrue="1">
      <formula>AND(BA16&gt;=78100,BA16&lt;=78199)</formula>
    </cfRule>
    <cfRule type="expression" dxfId="27478" priority="15437" stopIfTrue="1">
      <formula>AND(BA16&gt;=91000,BA16&lt;=91999)</formula>
    </cfRule>
  </conditionalFormatting>
  <conditionalFormatting sqref="AZ16">
    <cfRule type="expression" dxfId="27477" priority="15416">
      <formula>AND(BA16&gt;=79001,BA16&lt;79900)</formula>
    </cfRule>
    <cfRule type="expression" dxfId="27476" priority="15417" stopIfTrue="1">
      <formula>AND(BA16&gt;=70101,BA16&lt;=70301)</formula>
    </cfRule>
    <cfRule type="expression" dxfId="27475" priority="15418" stopIfTrue="1">
      <formula>AND(BA16&gt;70000,BA16&lt;70004)</formula>
    </cfRule>
    <cfRule type="expression" dxfId="27474" priority="15419" stopIfTrue="1">
      <formula>AND(BA16&gt;=70010,BA16&lt;=76000)</formula>
    </cfRule>
    <cfRule type="expression" dxfId="27473" priority="15420">
      <formula>AND(BA16&gt;70000,BA16&lt;70004)</formula>
    </cfRule>
    <cfRule type="expression" dxfId="27472" priority="15421" stopIfTrue="1">
      <formula>OR(AND(BA16&gt;=10000,BA16&lt;=56999),AND(BA16&gt;=57000,BA16&lt;=57999))</formula>
    </cfRule>
    <cfRule type="expression" dxfId="27471" priority="15422" stopIfTrue="1">
      <formula>AND(BA16&gt;=8000,BA16&lt;=9999)</formula>
    </cfRule>
    <cfRule type="expression" dxfId="27470" priority="15423" stopIfTrue="1">
      <formula>AND(BA16&gt;=78100,BA16&lt;=78199)</formula>
    </cfRule>
    <cfRule type="expression" dxfId="27469" priority="15424" stopIfTrue="1">
      <formula>AND(BA16&gt;=92000,BA16&lt;=98999)</formula>
    </cfRule>
    <cfRule type="expression" dxfId="27468" priority="15425" stopIfTrue="1">
      <formula>AND(BA16&gt;=78100,BA16&lt;=78199)</formula>
    </cfRule>
    <cfRule type="expression" dxfId="27467" priority="15426" stopIfTrue="1">
      <formula>AND(BA16&gt;=91000,BA16&lt;=91999)</formula>
    </cfRule>
  </conditionalFormatting>
  <conditionalFormatting sqref="AN31">
    <cfRule type="expression" dxfId="27466" priority="15229">
      <formula>AND(AO31&gt;=79001,AO31&lt;79900)</formula>
    </cfRule>
    <cfRule type="expression" dxfId="27465" priority="15230" stopIfTrue="1">
      <formula>AND(AO31&gt;=70101,AO31&lt;=70301)</formula>
    </cfRule>
    <cfRule type="expression" dxfId="27464" priority="15231" stopIfTrue="1">
      <formula>AND(AO31&gt;70000,AO31&lt;70004)</formula>
    </cfRule>
    <cfRule type="expression" dxfId="27463" priority="15232" stopIfTrue="1">
      <formula>AND(AO31&gt;=70010,AO31&lt;=76000)</formula>
    </cfRule>
    <cfRule type="expression" dxfId="27462" priority="15233">
      <formula>AND(AO31&gt;70000,AO31&lt;70004)</formula>
    </cfRule>
    <cfRule type="expression" dxfId="27461" priority="15234" stopIfTrue="1">
      <formula>OR(AND(AO31&gt;=10000,AO31&lt;=56999),AND(AO31&gt;=57000,AO31&lt;=57999))</formula>
    </cfRule>
    <cfRule type="expression" dxfId="27460" priority="15235" stopIfTrue="1">
      <formula>AND(AO31&gt;=8000,AO31&lt;=9999)</formula>
    </cfRule>
    <cfRule type="expression" dxfId="27459" priority="15236" stopIfTrue="1">
      <formula>AND(AO31&gt;=78100,AO31&lt;=78199)</formula>
    </cfRule>
    <cfRule type="expression" dxfId="27458" priority="15237" stopIfTrue="1">
      <formula>AND(AO31&gt;=92000,AO31&lt;=98999)</formula>
    </cfRule>
    <cfRule type="expression" dxfId="27457" priority="15238" stopIfTrue="1">
      <formula>AND(AO31&gt;=78100,AO31&lt;=78199)</formula>
    </cfRule>
    <cfRule type="expression" dxfId="27456" priority="15239" stopIfTrue="1">
      <formula>AND(AO31&gt;=91000,AO31&lt;=91999)</formula>
    </cfRule>
  </conditionalFormatting>
  <conditionalFormatting sqref="AN31">
    <cfRule type="expression" dxfId="27455" priority="15218">
      <formula>AND(AO31&gt;=79001,AO31&lt;79900)</formula>
    </cfRule>
    <cfRule type="expression" dxfId="27454" priority="15219" stopIfTrue="1">
      <formula>AND(AO31&gt;=70101,AO31&lt;=70301)</formula>
    </cfRule>
    <cfRule type="expression" dxfId="27453" priority="15220" stopIfTrue="1">
      <formula>AND(AO31&gt;70000,AO31&lt;70004)</formula>
    </cfRule>
    <cfRule type="expression" dxfId="27452" priority="15221" stopIfTrue="1">
      <formula>AND(AO31&gt;=70010,AO31&lt;=76000)</formula>
    </cfRule>
    <cfRule type="expression" dxfId="27451" priority="15222">
      <formula>AND(AO31&gt;70000,AO31&lt;70004)</formula>
    </cfRule>
    <cfRule type="expression" dxfId="27450" priority="15223" stopIfTrue="1">
      <formula>OR(AND(AO31&gt;=10000,AO31&lt;=56999),AND(AO31&gt;=57000,AO31&lt;=57999))</formula>
    </cfRule>
    <cfRule type="expression" dxfId="27449" priority="15224" stopIfTrue="1">
      <formula>AND(AO31&gt;=8000,AO31&lt;=9999)</formula>
    </cfRule>
    <cfRule type="expression" dxfId="27448" priority="15225" stopIfTrue="1">
      <formula>AND(AO31&gt;=78100,AO31&lt;=78199)</formula>
    </cfRule>
    <cfRule type="expression" dxfId="27447" priority="15226" stopIfTrue="1">
      <formula>AND(AO31&gt;=92000,AO31&lt;=98999)</formula>
    </cfRule>
    <cfRule type="expression" dxfId="27446" priority="15227" stopIfTrue="1">
      <formula>AND(AO31&gt;=78100,AO31&lt;=78199)</formula>
    </cfRule>
    <cfRule type="expression" dxfId="27445" priority="15228" stopIfTrue="1">
      <formula>AND(AO31&gt;=91000,AO31&lt;=91999)</formula>
    </cfRule>
  </conditionalFormatting>
  <conditionalFormatting sqref="AN31">
    <cfRule type="expression" dxfId="27444" priority="15207">
      <formula>AND(AO31&gt;=79001,AO31&lt;79900)</formula>
    </cfRule>
    <cfRule type="expression" dxfId="27443" priority="15208" stopIfTrue="1">
      <formula>AND(AO31&gt;=70101,AO31&lt;=70301)</formula>
    </cfRule>
    <cfRule type="expression" dxfId="27442" priority="15209" stopIfTrue="1">
      <formula>AND(AO31&gt;70000,AO31&lt;70004)</formula>
    </cfRule>
    <cfRule type="expression" dxfId="27441" priority="15210" stopIfTrue="1">
      <formula>AND(AO31&gt;=70010,AO31&lt;=76000)</formula>
    </cfRule>
    <cfRule type="expression" dxfId="27440" priority="15211">
      <formula>AND(AO31&gt;70000,AO31&lt;70004)</formula>
    </cfRule>
    <cfRule type="expression" dxfId="27439" priority="15212" stopIfTrue="1">
      <formula>OR(AND(AO31&gt;=10000,AO31&lt;=56999),AND(AO31&gt;=57000,AO31&lt;=57999))</formula>
    </cfRule>
    <cfRule type="expression" dxfId="27438" priority="15213" stopIfTrue="1">
      <formula>AND(AO31&gt;=8000,AO31&lt;=9999)</formula>
    </cfRule>
    <cfRule type="expression" dxfId="27437" priority="15214" stopIfTrue="1">
      <formula>AND(AO31&gt;=78100,AO31&lt;=78199)</formula>
    </cfRule>
    <cfRule type="expression" dxfId="27436" priority="15215" stopIfTrue="1">
      <formula>AND(AO31&gt;=92000,AO31&lt;=98999)</formula>
    </cfRule>
    <cfRule type="expression" dxfId="27435" priority="15216" stopIfTrue="1">
      <formula>AND(AO31&gt;=78100,AO31&lt;=78199)</formula>
    </cfRule>
    <cfRule type="expression" dxfId="27434" priority="15217" stopIfTrue="1">
      <formula>AND(AO31&gt;=91000,AO31&lt;=91999)</formula>
    </cfRule>
  </conditionalFormatting>
  <conditionalFormatting sqref="AN31">
    <cfRule type="expression" dxfId="27433" priority="15196">
      <formula>AND(AO31&gt;=79001,AO31&lt;79900)</formula>
    </cfRule>
    <cfRule type="expression" dxfId="27432" priority="15197" stopIfTrue="1">
      <formula>AND(AO31&gt;=70101,AO31&lt;=70301)</formula>
    </cfRule>
    <cfRule type="expression" dxfId="27431" priority="15198" stopIfTrue="1">
      <formula>AND(AO31&gt;70000,AO31&lt;70004)</formula>
    </cfRule>
    <cfRule type="expression" dxfId="27430" priority="15199" stopIfTrue="1">
      <formula>AND(AO31&gt;=70010,AO31&lt;=76000)</formula>
    </cfRule>
    <cfRule type="expression" dxfId="27429" priority="15200">
      <formula>AND(AO31&gt;70000,AO31&lt;70004)</formula>
    </cfRule>
    <cfRule type="expression" dxfId="27428" priority="15201" stopIfTrue="1">
      <formula>OR(AND(AO31&gt;=10000,AO31&lt;=56999),AND(AO31&gt;=57000,AO31&lt;=57999))</formula>
    </cfRule>
    <cfRule type="expression" dxfId="27427" priority="15202" stopIfTrue="1">
      <formula>AND(AO31&gt;=8000,AO31&lt;=9999)</formula>
    </cfRule>
    <cfRule type="expression" dxfId="27426" priority="15203" stopIfTrue="1">
      <formula>AND(AO31&gt;=78100,AO31&lt;=78199)</formula>
    </cfRule>
    <cfRule type="expression" dxfId="27425" priority="15204" stopIfTrue="1">
      <formula>AND(AO31&gt;=92000,AO31&lt;=98999)</formula>
    </cfRule>
    <cfRule type="expression" dxfId="27424" priority="15205" stopIfTrue="1">
      <formula>AND(AO31&gt;=78100,AO31&lt;=78199)</formula>
    </cfRule>
    <cfRule type="expression" dxfId="27423" priority="15206" stopIfTrue="1">
      <formula>AND(AO31&gt;=91000,AO31&lt;=91999)</formula>
    </cfRule>
  </conditionalFormatting>
  <conditionalFormatting sqref="AR31">
    <cfRule type="expression" dxfId="27422" priority="15185">
      <formula>AND(AS31&gt;=79001,AS31&lt;79900)</formula>
    </cfRule>
    <cfRule type="expression" dxfId="27421" priority="15186" stopIfTrue="1">
      <formula>AND(AS31&gt;=70101,AS31&lt;=70301)</formula>
    </cfRule>
    <cfRule type="expression" dxfId="27420" priority="15187" stopIfTrue="1">
      <formula>AND(AS31&gt;70000,AS31&lt;70004)</formula>
    </cfRule>
    <cfRule type="expression" dxfId="27419" priority="15188" stopIfTrue="1">
      <formula>AND(AS31&gt;=70010,AS31&lt;=76000)</formula>
    </cfRule>
    <cfRule type="expression" dxfId="27418" priority="15189">
      <formula>AND(AS31&gt;70000,AS31&lt;70004)</formula>
    </cfRule>
    <cfRule type="expression" dxfId="27417" priority="15190" stopIfTrue="1">
      <formula>OR(AND(AS31&gt;=10000,AS31&lt;=56999),AND(AS31&gt;=57000,AS31&lt;=57999))</formula>
    </cfRule>
    <cfRule type="expression" dxfId="27416" priority="15191" stopIfTrue="1">
      <formula>AND(AS31&gt;=8000,AS31&lt;=9999)</formula>
    </cfRule>
    <cfRule type="expression" dxfId="27415" priority="15192" stopIfTrue="1">
      <formula>AND(AS31&gt;=78100,AS31&lt;=78199)</formula>
    </cfRule>
    <cfRule type="expression" dxfId="27414" priority="15193" stopIfTrue="1">
      <formula>AND(AS31&gt;=92000,AS31&lt;=98999)</formula>
    </cfRule>
    <cfRule type="expression" dxfId="27413" priority="15194" stopIfTrue="1">
      <formula>AND(AS31&gt;=78100,AS31&lt;=78199)</formula>
    </cfRule>
    <cfRule type="expression" dxfId="27412" priority="15195" stopIfTrue="1">
      <formula>AND(AS31&gt;=91000,AS31&lt;=91999)</formula>
    </cfRule>
  </conditionalFormatting>
  <conditionalFormatting sqref="AR31">
    <cfRule type="expression" dxfId="27411" priority="15174">
      <formula>AND(AS31&gt;=79001,AS31&lt;79900)</formula>
    </cfRule>
    <cfRule type="expression" dxfId="27410" priority="15175" stopIfTrue="1">
      <formula>AND(AS31&gt;=70101,AS31&lt;=70301)</formula>
    </cfRule>
    <cfRule type="expression" dxfId="27409" priority="15176" stopIfTrue="1">
      <formula>AND(AS31&gt;70000,AS31&lt;70004)</formula>
    </cfRule>
    <cfRule type="expression" dxfId="27408" priority="15177" stopIfTrue="1">
      <formula>AND(AS31&gt;=70010,AS31&lt;=76000)</formula>
    </cfRule>
    <cfRule type="expression" dxfId="27407" priority="15178">
      <formula>AND(AS31&gt;70000,AS31&lt;70004)</formula>
    </cfRule>
    <cfRule type="expression" dxfId="27406" priority="15179" stopIfTrue="1">
      <formula>OR(AND(AS31&gt;=10000,AS31&lt;=56999),AND(AS31&gt;=57000,AS31&lt;=57999))</formula>
    </cfRule>
    <cfRule type="expression" dxfId="27405" priority="15180" stopIfTrue="1">
      <formula>AND(AS31&gt;=8000,AS31&lt;=9999)</formula>
    </cfRule>
    <cfRule type="expression" dxfId="27404" priority="15181" stopIfTrue="1">
      <formula>AND(AS31&gt;=78100,AS31&lt;=78199)</formula>
    </cfRule>
    <cfRule type="expression" dxfId="27403" priority="15182" stopIfTrue="1">
      <formula>AND(AS31&gt;=92000,AS31&lt;=98999)</formula>
    </cfRule>
    <cfRule type="expression" dxfId="27402" priority="15183" stopIfTrue="1">
      <formula>AND(AS31&gt;=78100,AS31&lt;=78199)</formula>
    </cfRule>
    <cfRule type="expression" dxfId="27401" priority="15184" stopIfTrue="1">
      <formula>AND(AS31&gt;=91000,AS31&lt;=91999)</formula>
    </cfRule>
  </conditionalFormatting>
  <conditionalFormatting sqref="AR31">
    <cfRule type="expression" dxfId="27400" priority="15163">
      <formula>AND(AS31&gt;=79001,AS31&lt;79900)</formula>
    </cfRule>
    <cfRule type="expression" dxfId="27399" priority="15164" stopIfTrue="1">
      <formula>AND(AS31&gt;=70101,AS31&lt;=70301)</formula>
    </cfRule>
    <cfRule type="expression" dxfId="27398" priority="15165" stopIfTrue="1">
      <formula>AND(AS31&gt;70000,AS31&lt;70004)</formula>
    </cfRule>
    <cfRule type="expression" dxfId="27397" priority="15166" stopIfTrue="1">
      <formula>AND(AS31&gt;=70010,AS31&lt;=76000)</formula>
    </cfRule>
    <cfRule type="expression" dxfId="27396" priority="15167">
      <formula>AND(AS31&gt;70000,AS31&lt;70004)</formula>
    </cfRule>
    <cfRule type="expression" dxfId="27395" priority="15168" stopIfTrue="1">
      <formula>OR(AND(AS31&gt;=10000,AS31&lt;=56999),AND(AS31&gt;=57000,AS31&lt;=57999))</formula>
    </cfRule>
    <cfRule type="expression" dxfId="27394" priority="15169" stopIfTrue="1">
      <formula>AND(AS31&gt;=8000,AS31&lt;=9999)</formula>
    </cfRule>
    <cfRule type="expression" dxfId="27393" priority="15170" stopIfTrue="1">
      <formula>AND(AS31&gt;=78100,AS31&lt;=78199)</formula>
    </cfRule>
    <cfRule type="expression" dxfId="27392" priority="15171" stopIfTrue="1">
      <formula>AND(AS31&gt;=92000,AS31&lt;=98999)</formula>
    </cfRule>
    <cfRule type="expression" dxfId="27391" priority="15172" stopIfTrue="1">
      <formula>AND(AS31&gt;=78100,AS31&lt;=78199)</formula>
    </cfRule>
    <cfRule type="expression" dxfId="27390" priority="15173" stopIfTrue="1">
      <formula>AND(AS31&gt;=91000,AS31&lt;=91999)</formula>
    </cfRule>
  </conditionalFormatting>
  <conditionalFormatting sqref="AR31">
    <cfRule type="expression" dxfId="27389" priority="15152">
      <formula>AND(AS31&gt;=79001,AS31&lt;79900)</formula>
    </cfRule>
    <cfRule type="expression" dxfId="27388" priority="15153" stopIfTrue="1">
      <formula>AND(AS31&gt;=70101,AS31&lt;=70301)</formula>
    </cfRule>
    <cfRule type="expression" dxfId="27387" priority="15154" stopIfTrue="1">
      <formula>AND(AS31&gt;70000,AS31&lt;70004)</formula>
    </cfRule>
    <cfRule type="expression" dxfId="27386" priority="15155" stopIfTrue="1">
      <formula>AND(AS31&gt;=70010,AS31&lt;=76000)</formula>
    </cfRule>
    <cfRule type="expression" dxfId="27385" priority="15156">
      <formula>AND(AS31&gt;70000,AS31&lt;70004)</formula>
    </cfRule>
    <cfRule type="expression" dxfId="27384" priority="15157" stopIfTrue="1">
      <formula>OR(AND(AS31&gt;=10000,AS31&lt;=56999),AND(AS31&gt;=57000,AS31&lt;=57999))</formula>
    </cfRule>
    <cfRule type="expression" dxfId="27383" priority="15158" stopIfTrue="1">
      <formula>AND(AS31&gt;=8000,AS31&lt;=9999)</formula>
    </cfRule>
    <cfRule type="expression" dxfId="27382" priority="15159" stopIfTrue="1">
      <formula>AND(AS31&gt;=78100,AS31&lt;=78199)</formula>
    </cfRule>
    <cfRule type="expression" dxfId="27381" priority="15160" stopIfTrue="1">
      <formula>AND(AS31&gt;=92000,AS31&lt;=98999)</formula>
    </cfRule>
    <cfRule type="expression" dxfId="27380" priority="15161" stopIfTrue="1">
      <formula>AND(AS31&gt;=78100,AS31&lt;=78199)</formula>
    </cfRule>
    <cfRule type="expression" dxfId="27379" priority="15162" stopIfTrue="1">
      <formula>AND(AS31&gt;=91000,AS31&lt;=91999)</formula>
    </cfRule>
  </conditionalFormatting>
  <conditionalFormatting sqref="AV31">
    <cfRule type="expression" dxfId="27378" priority="15141">
      <formula>AND(AW31&gt;=79001,AW31&lt;79900)</formula>
    </cfRule>
    <cfRule type="expression" dxfId="27377" priority="15142" stopIfTrue="1">
      <formula>AND(AW31&gt;=70101,AW31&lt;=70301)</formula>
    </cfRule>
    <cfRule type="expression" dxfId="27376" priority="15143" stopIfTrue="1">
      <formula>AND(AW31&gt;70000,AW31&lt;70004)</formula>
    </cfRule>
    <cfRule type="expression" dxfId="27375" priority="15144" stopIfTrue="1">
      <formula>AND(AW31&gt;=70010,AW31&lt;=76000)</formula>
    </cfRule>
    <cfRule type="expression" dxfId="27374" priority="15145">
      <formula>AND(AW31&gt;70000,AW31&lt;70004)</formula>
    </cfRule>
    <cfRule type="expression" dxfId="27373" priority="15146" stopIfTrue="1">
      <formula>OR(AND(AW31&gt;=10000,AW31&lt;=56999),AND(AW31&gt;=57000,AW31&lt;=57999))</formula>
    </cfRule>
    <cfRule type="expression" dxfId="27372" priority="15147" stopIfTrue="1">
      <formula>AND(AW31&gt;=8000,AW31&lt;=9999)</formula>
    </cfRule>
    <cfRule type="expression" dxfId="27371" priority="15148" stopIfTrue="1">
      <formula>AND(AW31&gt;=78100,AW31&lt;=78199)</formula>
    </cfRule>
    <cfRule type="expression" dxfId="27370" priority="15149" stopIfTrue="1">
      <formula>AND(AW31&gt;=92000,AW31&lt;=98999)</formula>
    </cfRule>
    <cfRule type="expression" dxfId="27369" priority="15150" stopIfTrue="1">
      <formula>AND(AW31&gt;=78100,AW31&lt;=78199)</formula>
    </cfRule>
    <cfRule type="expression" dxfId="27368" priority="15151" stopIfTrue="1">
      <formula>AND(AW31&gt;=91000,AW31&lt;=91999)</formula>
    </cfRule>
  </conditionalFormatting>
  <conditionalFormatting sqref="AV31">
    <cfRule type="expression" dxfId="27367" priority="15130">
      <formula>AND(AW31&gt;=79001,AW31&lt;79900)</formula>
    </cfRule>
    <cfRule type="expression" dxfId="27366" priority="15131" stopIfTrue="1">
      <formula>AND(AW31&gt;=70101,AW31&lt;=70301)</formula>
    </cfRule>
    <cfRule type="expression" dxfId="27365" priority="15132" stopIfTrue="1">
      <formula>AND(AW31&gt;70000,AW31&lt;70004)</formula>
    </cfRule>
    <cfRule type="expression" dxfId="27364" priority="15133" stopIfTrue="1">
      <formula>AND(AW31&gt;=70010,AW31&lt;=76000)</formula>
    </cfRule>
    <cfRule type="expression" dxfId="27363" priority="15134">
      <formula>AND(AW31&gt;70000,AW31&lt;70004)</formula>
    </cfRule>
    <cfRule type="expression" dxfId="27362" priority="15135" stopIfTrue="1">
      <formula>OR(AND(AW31&gt;=10000,AW31&lt;=56999),AND(AW31&gt;=57000,AW31&lt;=57999))</formula>
    </cfRule>
    <cfRule type="expression" dxfId="27361" priority="15136" stopIfTrue="1">
      <formula>AND(AW31&gt;=8000,AW31&lt;=9999)</formula>
    </cfRule>
    <cfRule type="expression" dxfId="27360" priority="15137" stopIfTrue="1">
      <formula>AND(AW31&gt;=78100,AW31&lt;=78199)</formula>
    </cfRule>
    <cfRule type="expression" dxfId="27359" priority="15138" stopIfTrue="1">
      <formula>AND(AW31&gt;=92000,AW31&lt;=98999)</formula>
    </cfRule>
    <cfRule type="expression" dxfId="27358" priority="15139" stopIfTrue="1">
      <formula>AND(AW31&gt;=78100,AW31&lt;=78199)</formula>
    </cfRule>
    <cfRule type="expression" dxfId="27357" priority="15140" stopIfTrue="1">
      <formula>AND(AW31&gt;=91000,AW31&lt;=91999)</formula>
    </cfRule>
  </conditionalFormatting>
  <conditionalFormatting sqref="AV31">
    <cfRule type="expression" dxfId="27356" priority="15119">
      <formula>AND(AW31&gt;=79001,AW31&lt;79900)</formula>
    </cfRule>
    <cfRule type="expression" dxfId="27355" priority="15120" stopIfTrue="1">
      <formula>AND(AW31&gt;=70101,AW31&lt;=70301)</formula>
    </cfRule>
    <cfRule type="expression" dxfId="27354" priority="15121" stopIfTrue="1">
      <formula>AND(AW31&gt;70000,AW31&lt;70004)</formula>
    </cfRule>
    <cfRule type="expression" dxfId="27353" priority="15122" stopIfTrue="1">
      <formula>AND(AW31&gt;=70010,AW31&lt;=76000)</formula>
    </cfRule>
    <cfRule type="expression" dxfId="27352" priority="15123">
      <formula>AND(AW31&gt;70000,AW31&lt;70004)</formula>
    </cfRule>
    <cfRule type="expression" dxfId="27351" priority="15124" stopIfTrue="1">
      <formula>OR(AND(AW31&gt;=10000,AW31&lt;=56999),AND(AW31&gt;=57000,AW31&lt;=57999))</formula>
    </cfRule>
    <cfRule type="expression" dxfId="27350" priority="15125" stopIfTrue="1">
      <formula>AND(AW31&gt;=8000,AW31&lt;=9999)</formula>
    </cfRule>
    <cfRule type="expression" dxfId="27349" priority="15126" stopIfTrue="1">
      <formula>AND(AW31&gt;=78100,AW31&lt;=78199)</formula>
    </cfRule>
    <cfRule type="expression" dxfId="27348" priority="15127" stopIfTrue="1">
      <formula>AND(AW31&gt;=92000,AW31&lt;=98999)</formula>
    </cfRule>
    <cfRule type="expression" dxfId="27347" priority="15128" stopIfTrue="1">
      <formula>AND(AW31&gt;=78100,AW31&lt;=78199)</formula>
    </cfRule>
    <cfRule type="expression" dxfId="27346" priority="15129" stopIfTrue="1">
      <formula>AND(AW31&gt;=91000,AW31&lt;=91999)</formula>
    </cfRule>
  </conditionalFormatting>
  <conditionalFormatting sqref="AV31">
    <cfRule type="expression" dxfId="27345" priority="15108">
      <formula>AND(AW31&gt;=79001,AW31&lt;79900)</formula>
    </cfRule>
    <cfRule type="expression" dxfId="27344" priority="15109" stopIfTrue="1">
      <formula>AND(AW31&gt;=70101,AW31&lt;=70301)</formula>
    </cfRule>
    <cfRule type="expression" dxfId="27343" priority="15110" stopIfTrue="1">
      <formula>AND(AW31&gt;70000,AW31&lt;70004)</formula>
    </cfRule>
    <cfRule type="expression" dxfId="27342" priority="15111" stopIfTrue="1">
      <formula>AND(AW31&gt;=70010,AW31&lt;=76000)</formula>
    </cfRule>
    <cfRule type="expression" dxfId="27341" priority="15112">
      <formula>AND(AW31&gt;70000,AW31&lt;70004)</formula>
    </cfRule>
    <cfRule type="expression" dxfId="27340" priority="15113" stopIfTrue="1">
      <formula>OR(AND(AW31&gt;=10000,AW31&lt;=56999),AND(AW31&gt;=57000,AW31&lt;=57999))</formula>
    </cfRule>
    <cfRule type="expression" dxfId="27339" priority="15114" stopIfTrue="1">
      <formula>AND(AW31&gt;=8000,AW31&lt;=9999)</formula>
    </cfRule>
    <cfRule type="expression" dxfId="27338" priority="15115" stopIfTrue="1">
      <formula>AND(AW31&gt;=78100,AW31&lt;=78199)</formula>
    </cfRule>
    <cfRule type="expression" dxfId="27337" priority="15116" stopIfTrue="1">
      <formula>AND(AW31&gt;=92000,AW31&lt;=98999)</formula>
    </cfRule>
    <cfRule type="expression" dxfId="27336" priority="15117" stopIfTrue="1">
      <formula>AND(AW31&gt;=78100,AW31&lt;=78199)</formula>
    </cfRule>
    <cfRule type="expression" dxfId="27335" priority="15118" stopIfTrue="1">
      <formula>AND(AW31&gt;=91000,AW31&lt;=91999)</formula>
    </cfRule>
  </conditionalFormatting>
  <conditionalFormatting sqref="AZ31">
    <cfRule type="expression" dxfId="27334" priority="15097">
      <formula>AND(BA31&gt;=79001,BA31&lt;79900)</formula>
    </cfRule>
    <cfRule type="expression" dxfId="27333" priority="15098" stopIfTrue="1">
      <formula>AND(BA31&gt;=70101,BA31&lt;=70301)</formula>
    </cfRule>
    <cfRule type="expression" dxfId="27332" priority="15099" stopIfTrue="1">
      <formula>AND(BA31&gt;70000,BA31&lt;70004)</formula>
    </cfRule>
    <cfRule type="expression" dxfId="27331" priority="15100" stopIfTrue="1">
      <formula>AND(BA31&gt;=70010,BA31&lt;=76000)</formula>
    </cfRule>
    <cfRule type="expression" dxfId="27330" priority="15101">
      <formula>AND(BA31&gt;70000,BA31&lt;70004)</formula>
    </cfRule>
    <cfRule type="expression" dxfId="27329" priority="15102" stopIfTrue="1">
      <formula>OR(AND(BA31&gt;=10000,BA31&lt;=56999),AND(BA31&gt;=57000,BA31&lt;=57999))</formula>
    </cfRule>
    <cfRule type="expression" dxfId="27328" priority="15103" stopIfTrue="1">
      <formula>AND(BA31&gt;=8000,BA31&lt;=9999)</formula>
    </cfRule>
    <cfRule type="expression" dxfId="27327" priority="15104" stopIfTrue="1">
      <formula>AND(BA31&gt;=78100,BA31&lt;=78199)</formula>
    </cfRule>
    <cfRule type="expression" dxfId="27326" priority="15105" stopIfTrue="1">
      <formula>AND(BA31&gt;=92000,BA31&lt;=98999)</formula>
    </cfRule>
    <cfRule type="expression" dxfId="27325" priority="15106" stopIfTrue="1">
      <formula>AND(BA31&gt;=78100,BA31&lt;=78199)</formula>
    </cfRule>
    <cfRule type="expression" dxfId="27324" priority="15107" stopIfTrue="1">
      <formula>AND(BA31&gt;=91000,BA31&lt;=91999)</formula>
    </cfRule>
  </conditionalFormatting>
  <conditionalFormatting sqref="AZ31">
    <cfRule type="expression" dxfId="27323" priority="15086">
      <formula>AND(BA31&gt;=79001,BA31&lt;79900)</formula>
    </cfRule>
    <cfRule type="expression" dxfId="27322" priority="15087" stopIfTrue="1">
      <formula>AND(BA31&gt;=70101,BA31&lt;=70301)</formula>
    </cfRule>
    <cfRule type="expression" dxfId="27321" priority="15088" stopIfTrue="1">
      <formula>AND(BA31&gt;70000,BA31&lt;70004)</formula>
    </cfRule>
    <cfRule type="expression" dxfId="27320" priority="15089" stopIfTrue="1">
      <formula>AND(BA31&gt;=70010,BA31&lt;=76000)</formula>
    </cfRule>
    <cfRule type="expression" dxfId="27319" priority="15090">
      <formula>AND(BA31&gt;70000,BA31&lt;70004)</formula>
    </cfRule>
    <cfRule type="expression" dxfId="27318" priority="15091" stopIfTrue="1">
      <formula>OR(AND(BA31&gt;=10000,BA31&lt;=56999),AND(BA31&gt;=57000,BA31&lt;=57999))</formula>
    </cfRule>
    <cfRule type="expression" dxfId="27317" priority="15092" stopIfTrue="1">
      <formula>AND(BA31&gt;=8000,BA31&lt;=9999)</formula>
    </cfRule>
    <cfRule type="expression" dxfId="27316" priority="15093" stopIfTrue="1">
      <formula>AND(BA31&gt;=78100,BA31&lt;=78199)</formula>
    </cfRule>
    <cfRule type="expression" dxfId="27315" priority="15094" stopIfTrue="1">
      <formula>AND(BA31&gt;=92000,BA31&lt;=98999)</formula>
    </cfRule>
    <cfRule type="expression" dxfId="27314" priority="15095" stopIfTrue="1">
      <formula>AND(BA31&gt;=78100,BA31&lt;=78199)</formula>
    </cfRule>
    <cfRule type="expression" dxfId="27313" priority="15096" stopIfTrue="1">
      <formula>AND(BA31&gt;=91000,BA31&lt;=91999)</formula>
    </cfRule>
  </conditionalFormatting>
  <conditionalFormatting sqref="AZ31">
    <cfRule type="expression" dxfId="27312" priority="15075">
      <formula>AND(BA31&gt;=79001,BA31&lt;79900)</formula>
    </cfRule>
    <cfRule type="expression" dxfId="27311" priority="15076" stopIfTrue="1">
      <formula>AND(BA31&gt;=70101,BA31&lt;=70301)</formula>
    </cfRule>
    <cfRule type="expression" dxfId="27310" priority="15077" stopIfTrue="1">
      <formula>AND(BA31&gt;70000,BA31&lt;70004)</formula>
    </cfRule>
    <cfRule type="expression" dxfId="27309" priority="15078" stopIfTrue="1">
      <formula>AND(BA31&gt;=70010,BA31&lt;=76000)</formula>
    </cfRule>
    <cfRule type="expression" dxfId="27308" priority="15079">
      <formula>AND(BA31&gt;70000,BA31&lt;70004)</formula>
    </cfRule>
    <cfRule type="expression" dxfId="27307" priority="15080" stopIfTrue="1">
      <formula>OR(AND(BA31&gt;=10000,BA31&lt;=56999),AND(BA31&gt;=57000,BA31&lt;=57999))</formula>
    </cfRule>
    <cfRule type="expression" dxfId="27306" priority="15081" stopIfTrue="1">
      <formula>AND(BA31&gt;=8000,BA31&lt;=9999)</formula>
    </cfRule>
    <cfRule type="expression" dxfId="27305" priority="15082" stopIfTrue="1">
      <formula>AND(BA31&gt;=78100,BA31&lt;=78199)</formula>
    </cfRule>
    <cfRule type="expression" dxfId="27304" priority="15083" stopIfTrue="1">
      <formula>AND(BA31&gt;=92000,BA31&lt;=98999)</formula>
    </cfRule>
    <cfRule type="expression" dxfId="27303" priority="15084" stopIfTrue="1">
      <formula>AND(BA31&gt;=78100,BA31&lt;=78199)</formula>
    </cfRule>
    <cfRule type="expression" dxfId="27302" priority="15085" stopIfTrue="1">
      <formula>AND(BA31&gt;=91000,BA31&lt;=91999)</formula>
    </cfRule>
  </conditionalFormatting>
  <conditionalFormatting sqref="AZ31">
    <cfRule type="expression" dxfId="27301" priority="15064">
      <formula>AND(BA31&gt;=79001,BA31&lt;79900)</formula>
    </cfRule>
    <cfRule type="expression" dxfId="27300" priority="15065" stopIfTrue="1">
      <formula>AND(BA31&gt;=70101,BA31&lt;=70301)</formula>
    </cfRule>
    <cfRule type="expression" dxfId="27299" priority="15066" stopIfTrue="1">
      <formula>AND(BA31&gt;70000,BA31&lt;70004)</formula>
    </cfRule>
    <cfRule type="expression" dxfId="27298" priority="15067" stopIfTrue="1">
      <formula>AND(BA31&gt;=70010,BA31&lt;=76000)</formula>
    </cfRule>
    <cfRule type="expression" dxfId="27297" priority="15068">
      <formula>AND(BA31&gt;70000,BA31&lt;70004)</formula>
    </cfRule>
    <cfRule type="expression" dxfId="27296" priority="15069" stopIfTrue="1">
      <formula>OR(AND(BA31&gt;=10000,BA31&lt;=56999),AND(BA31&gt;=57000,BA31&lt;=57999))</formula>
    </cfRule>
    <cfRule type="expression" dxfId="27295" priority="15070" stopIfTrue="1">
      <formula>AND(BA31&gt;=8000,BA31&lt;=9999)</formula>
    </cfRule>
    <cfRule type="expression" dxfId="27294" priority="15071" stopIfTrue="1">
      <formula>AND(BA31&gt;=78100,BA31&lt;=78199)</formula>
    </cfRule>
    <cfRule type="expression" dxfId="27293" priority="15072" stopIfTrue="1">
      <formula>AND(BA31&gt;=92000,BA31&lt;=98999)</formula>
    </cfRule>
    <cfRule type="expression" dxfId="27292" priority="15073" stopIfTrue="1">
      <formula>AND(BA31&gt;=78100,BA31&lt;=78199)</formula>
    </cfRule>
    <cfRule type="expression" dxfId="27291" priority="15074" stopIfTrue="1">
      <formula>AND(BA31&gt;=91000,BA31&lt;=91999)</formula>
    </cfRule>
  </conditionalFormatting>
  <conditionalFormatting sqref="AN46">
    <cfRule type="expression" dxfId="27290" priority="14877">
      <formula>AND(AO46&gt;=79001,AO46&lt;79900)</formula>
    </cfRule>
    <cfRule type="expression" dxfId="27289" priority="14878" stopIfTrue="1">
      <formula>AND(AO46&gt;=70101,AO46&lt;=70301)</formula>
    </cfRule>
    <cfRule type="expression" dxfId="27288" priority="14879" stopIfTrue="1">
      <formula>AND(AO46&gt;70000,AO46&lt;70004)</formula>
    </cfRule>
    <cfRule type="expression" dxfId="27287" priority="14880" stopIfTrue="1">
      <formula>AND(AO46&gt;=70010,AO46&lt;=76000)</formula>
    </cfRule>
    <cfRule type="expression" dxfId="27286" priority="14881">
      <formula>AND(AO46&gt;70000,AO46&lt;70004)</formula>
    </cfRule>
    <cfRule type="expression" dxfId="27285" priority="14882" stopIfTrue="1">
      <formula>OR(AND(AO46&gt;=10000,AO46&lt;=56999),AND(AO46&gt;=57000,AO46&lt;=57999))</formula>
    </cfRule>
    <cfRule type="expression" dxfId="27284" priority="14883" stopIfTrue="1">
      <formula>AND(AO46&gt;=8000,AO46&lt;=9999)</formula>
    </cfRule>
    <cfRule type="expression" dxfId="27283" priority="14884" stopIfTrue="1">
      <formula>AND(AO46&gt;=78100,AO46&lt;=78199)</formula>
    </cfRule>
    <cfRule type="expression" dxfId="27282" priority="14885" stopIfTrue="1">
      <formula>AND(AO46&gt;=92000,AO46&lt;=98999)</formula>
    </cfRule>
    <cfRule type="expression" dxfId="27281" priority="14886" stopIfTrue="1">
      <formula>AND(AO46&gt;=78100,AO46&lt;=78199)</formula>
    </cfRule>
    <cfRule type="expression" dxfId="27280" priority="14887" stopIfTrue="1">
      <formula>AND(AO46&gt;=91000,AO46&lt;=91999)</formula>
    </cfRule>
  </conditionalFormatting>
  <conditionalFormatting sqref="AN46">
    <cfRule type="expression" dxfId="27279" priority="14866">
      <formula>AND(AO46&gt;=79001,AO46&lt;79900)</formula>
    </cfRule>
    <cfRule type="expression" dxfId="27278" priority="14867" stopIfTrue="1">
      <formula>AND(AO46&gt;=70101,AO46&lt;=70301)</formula>
    </cfRule>
    <cfRule type="expression" dxfId="27277" priority="14868" stopIfTrue="1">
      <formula>AND(AO46&gt;70000,AO46&lt;70004)</formula>
    </cfRule>
    <cfRule type="expression" dxfId="27276" priority="14869" stopIfTrue="1">
      <formula>AND(AO46&gt;=70010,AO46&lt;=76000)</formula>
    </cfRule>
    <cfRule type="expression" dxfId="27275" priority="14870">
      <formula>AND(AO46&gt;70000,AO46&lt;70004)</formula>
    </cfRule>
    <cfRule type="expression" dxfId="27274" priority="14871" stopIfTrue="1">
      <formula>OR(AND(AO46&gt;=10000,AO46&lt;=56999),AND(AO46&gt;=57000,AO46&lt;=57999))</formula>
    </cfRule>
    <cfRule type="expression" dxfId="27273" priority="14872" stopIfTrue="1">
      <formula>AND(AO46&gt;=8000,AO46&lt;=9999)</formula>
    </cfRule>
    <cfRule type="expression" dxfId="27272" priority="14873" stopIfTrue="1">
      <formula>AND(AO46&gt;=78100,AO46&lt;=78199)</formula>
    </cfRule>
    <cfRule type="expression" dxfId="27271" priority="14874" stopIfTrue="1">
      <formula>AND(AO46&gt;=92000,AO46&lt;=98999)</formula>
    </cfRule>
    <cfRule type="expression" dxfId="27270" priority="14875" stopIfTrue="1">
      <formula>AND(AO46&gt;=78100,AO46&lt;=78199)</formula>
    </cfRule>
    <cfRule type="expression" dxfId="27269" priority="14876" stopIfTrue="1">
      <formula>AND(AO46&gt;=91000,AO46&lt;=91999)</formula>
    </cfRule>
  </conditionalFormatting>
  <conditionalFormatting sqref="AN46">
    <cfRule type="expression" dxfId="27268" priority="14855">
      <formula>AND(AO46&gt;=79001,AO46&lt;79900)</formula>
    </cfRule>
    <cfRule type="expression" dxfId="27267" priority="14856" stopIfTrue="1">
      <formula>AND(AO46&gt;=70101,AO46&lt;=70301)</formula>
    </cfRule>
    <cfRule type="expression" dxfId="27266" priority="14857" stopIfTrue="1">
      <formula>AND(AO46&gt;70000,AO46&lt;70004)</formula>
    </cfRule>
    <cfRule type="expression" dxfId="27265" priority="14858" stopIfTrue="1">
      <formula>AND(AO46&gt;=70010,AO46&lt;=76000)</formula>
    </cfRule>
    <cfRule type="expression" dxfId="27264" priority="14859">
      <formula>AND(AO46&gt;70000,AO46&lt;70004)</formula>
    </cfRule>
    <cfRule type="expression" dxfId="27263" priority="14860" stopIfTrue="1">
      <formula>OR(AND(AO46&gt;=10000,AO46&lt;=56999),AND(AO46&gt;=57000,AO46&lt;=57999))</formula>
    </cfRule>
    <cfRule type="expression" dxfId="27262" priority="14861" stopIfTrue="1">
      <formula>AND(AO46&gt;=8000,AO46&lt;=9999)</formula>
    </cfRule>
    <cfRule type="expression" dxfId="27261" priority="14862" stopIfTrue="1">
      <formula>AND(AO46&gt;=78100,AO46&lt;=78199)</formula>
    </cfRule>
    <cfRule type="expression" dxfId="27260" priority="14863" stopIfTrue="1">
      <formula>AND(AO46&gt;=92000,AO46&lt;=98999)</formula>
    </cfRule>
    <cfRule type="expression" dxfId="27259" priority="14864" stopIfTrue="1">
      <formula>AND(AO46&gt;=78100,AO46&lt;=78199)</formula>
    </cfRule>
    <cfRule type="expression" dxfId="27258" priority="14865" stopIfTrue="1">
      <formula>AND(AO46&gt;=91000,AO46&lt;=91999)</formula>
    </cfRule>
  </conditionalFormatting>
  <conditionalFormatting sqref="AN46">
    <cfRule type="expression" dxfId="27257" priority="14844">
      <formula>AND(AO46&gt;=79001,AO46&lt;79900)</formula>
    </cfRule>
    <cfRule type="expression" dxfId="27256" priority="14845" stopIfTrue="1">
      <formula>AND(AO46&gt;=70101,AO46&lt;=70301)</formula>
    </cfRule>
    <cfRule type="expression" dxfId="27255" priority="14846" stopIfTrue="1">
      <formula>AND(AO46&gt;70000,AO46&lt;70004)</formula>
    </cfRule>
    <cfRule type="expression" dxfId="27254" priority="14847" stopIfTrue="1">
      <formula>AND(AO46&gt;=70010,AO46&lt;=76000)</formula>
    </cfRule>
    <cfRule type="expression" dxfId="27253" priority="14848">
      <formula>AND(AO46&gt;70000,AO46&lt;70004)</formula>
    </cfRule>
    <cfRule type="expression" dxfId="27252" priority="14849" stopIfTrue="1">
      <formula>OR(AND(AO46&gt;=10000,AO46&lt;=56999),AND(AO46&gt;=57000,AO46&lt;=57999))</formula>
    </cfRule>
    <cfRule type="expression" dxfId="27251" priority="14850" stopIfTrue="1">
      <formula>AND(AO46&gt;=8000,AO46&lt;=9999)</formula>
    </cfRule>
    <cfRule type="expression" dxfId="27250" priority="14851" stopIfTrue="1">
      <formula>AND(AO46&gt;=78100,AO46&lt;=78199)</formula>
    </cfRule>
    <cfRule type="expression" dxfId="27249" priority="14852" stopIfTrue="1">
      <formula>AND(AO46&gt;=92000,AO46&lt;=98999)</formula>
    </cfRule>
    <cfRule type="expression" dxfId="27248" priority="14853" stopIfTrue="1">
      <formula>AND(AO46&gt;=78100,AO46&lt;=78199)</formula>
    </cfRule>
    <cfRule type="expression" dxfId="27247" priority="14854" stopIfTrue="1">
      <formula>AND(AO46&gt;=91000,AO46&lt;=91999)</formula>
    </cfRule>
  </conditionalFormatting>
  <conditionalFormatting sqref="AR46">
    <cfRule type="expression" dxfId="27246" priority="14833">
      <formula>AND(AS46&gt;=79001,AS46&lt;79900)</formula>
    </cfRule>
    <cfRule type="expression" dxfId="27245" priority="14834" stopIfTrue="1">
      <formula>AND(AS46&gt;=70101,AS46&lt;=70301)</formula>
    </cfRule>
    <cfRule type="expression" dxfId="27244" priority="14835" stopIfTrue="1">
      <formula>AND(AS46&gt;70000,AS46&lt;70004)</formula>
    </cfRule>
    <cfRule type="expression" dxfId="27243" priority="14836" stopIfTrue="1">
      <formula>AND(AS46&gt;=70010,AS46&lt;=76000)</formula>
    </cfRule>
    <cfRule type="expression" dxfId="27242" priority="14837">
      <formula>AND(AS46&gt;70000,AS46&lt;70004)</formula>
    </cfRule>
    <cfRule type="expression" dxfId="27241" priority="14838" stopIfTrue="1">
      <formula>OR(AND(AS46&gt;=10000,AS46&lt;=56999),AND(AS46&gt;=57000,AS46&lt;=57999))</formula>
    </cfRule>
    <cfRule type="expression" dxfId="27240" priority="14839" stopIfTrue="1">
      <formula>AND(AS46&gt;=8000,AS46&lt;=9999)</formula>
    </cfRule>
    <cfRule type="expression" dxfId="27239" priority="14840" stopIfTrue="1">
      <formula>AND(AS46&gt;=78100,AS46&lt;=78199)</formula>
    </cfRule>
    <cfRule type="expression" dxfId="27238" priority="14841" stopIfTrue="1">
      <formula>AND(AS46&gt;=92000,AS46&lt;=98999)</formula>
    </cfRule>
    <cfRule type="expression" dxfId="27237" priority="14842" stopIfTrue="1">
      <formula>AND(AS46&gt;=78100,AS46&lt;=78199)</formula>
    </cfRule>
    <cfRule type="expression" dxfId="27236" priority="14843" stopIfTrue="1">
      <formula>AND(AS46&gt;=91000,AS46&lt;=91999)</formula>
    </cfRule>
  </conditionalFormatting>
  <conditionalFormatting sqref="AR46">
    <cfRule type="expression" dxfId="27235" priority="14822">
      <formula>AND(AS46&gt;=79001,AS46&lt;79900)</formula>
    </cfRule>
    <cfRule type="expression" dxfId="27234" priority="14823" stopIfTrue="1">
      <formula>AND(AS46&gt;=70101,AS46&lt;=70301)</formula>
    </cfRule>
    <cfRule type="expression" dxfId="27233" priority="14824" stopIfTrue="1">
      <formula>AND(AS46&gt;70000,AS46&lt;70004)</formula>
    </cfRule>
    <cfRule type="expression" dxfId="27232" priority="14825" stopIfTrue="1">
      <formula>AND(AS46&gt;=70010,AS46&lt;=76000)</formula>
    </cfRule>
    <cfRule type="expression" dxfId="27231" priority="14826">
      <formula>AND(AS46&gt;70000,AS46&lt;70004)</formula>
    </cfRule>
    <cfRule type="expression" dxfId="27230" priority="14827" stopIfTrue="1">
      <formula>OR(AND(AS46&gt;=10000,AS46&lt;=56999),AND(AS46&gt;=57000,AS46&lt;=57999))</formula>
    </cfRule>
    <cfRule type="expression" dxfId="27229" priority="14828" stopIfTrue="1">
      <formula>AND(AS46&gt;=8000,AS46&lt;=9999)</formula>
    </cfRule>
    <cfRule type="expression" dxfId="27228" priority="14829" stopIfTrue="1">
      <formula>AND(AS46&gt;=78100,AS46&lt;=78199)</formula>
    </cfRule>
    <cfRule type="expression" dxfId="27227" priority="14830" stopIfTrue="1">
      <formula>AND(AS46&gt;=92000,AS46&lt;=98999)</formula>
    </cfRule>
    <cfRule type="expression" dxfId="27226" priority="14831" stopIfTrue="1">
      <formula>AND(AS46&gt;=78100,AS46&lt;=78199)</formula>
    </cfRule>
    <cfRule type="expression" dxfId="27225" priority="14832" stopIfTrue="1">
      <formula>AND(AS46&gt;=91000,AS46&lt;=91999)</formula>
    </cfRule>
  </conditionalFormatting>
  <conditionalFormatting sqref="AR46">
    <cfRule type="expression" dxfId="27224" priority="14811">
      <formula>AND(AS46&gt;=79001,AS46&lt;79900)</formula>
    </cfRule>
    <cfRule type="expression" dxfId="27223" priority="14812" stopIfTrue="1">
      <formula>AND(AS46&gt;=70101,AS46&lt;=70301)</formula>
    </cfRule>
    <cfRule type="expression" dxfId="27222" priority="14813" stopIfTrue="1">
      <formula>AND(AS46&gt;70000,AS46&lt;70004)</formula>
    </cfRule>
    <cfRule type="expression" dxfId="27221" priority="14814" stopIfTrue="1">
      <formula>AND(AS46&gt;=70010,AS46&lt;=76000)</formula>
    </cfRule>
    <cfRule type="expression" dxfId="27220" priority="14815">
      <formula>AND(AS46&gt;70000,AS46&lt;70004)</formula>
    </cfRule>
    <cfRule type="expression" dxfId="27219" priority="14816" stopIfTrue="1">
      <formula>OR(AND(AS46&gt;=10000,AS46&lt;=56999),AND(AS46&gt;=57000,AS46&lt;=57999))</formula>
    </cfRule>
    <cfRule type="expression" dxfId="27218" priority="14817" stopIfTrue="1">
      <formula>AND(AS46&gt;=8000,AS46&lt;=9999)</formula>
    </cfRule>
    <cfRule type="expression" dxfId="27217" priority="14818" stopIfTrue="1">
      <formula>AND(AS46&gt;=78100,AS46&lt;=78199)</formula>
    </cfRule>
    <cfRule type="expression" dxfId="27216" priority="14819" stopIfTrue="1">
      <formula>AND(AS46&gt;=92000,AS46&lt;=98999)</formula>
    </cfRule>
    <cfRule type="expression" dxfId="27215" priority="14820" stopIfTrue="1">
      <formula>AND(AS46&gt;=78100,AS46&lt;=78199)</formula>
    </cfRule>
    <cfRule type="expression" dxfId="27214" priority="14821" stopIfTrue="1">
      <formula>AND(AS46&gt;=91000,AS46&lt;=91999)</formula>
    </cfRule>
  </conditionalFormatting>
  <conditionalFormatting sqref="AR46">
    <cfRule type="expression" dxfId="27213" priority="14800">
      <formula>AND(AS46&gt;=79001,AS46&lt;79900)</formula>
    </cfRule>
    <cfRule type="expression" dxfId="27212" priority="14801" stopIfTrue="1">
      <formula>AND(AS46&gt;=70101,AS46&lt;=70301)</formula>
    </cfRule>
    <cfRule type="expression" dxfId="27211" priority="14802" stopIfTrue="1">
      <formula>AND(AS46&gt;70000,AS46&lt;70004)</formula>
    </cfRule>
    <cfRule type="expression" dxfId="27210" priority="14803" stopIfTrue="1">
      <formula>AND(AS46&gt;=70010,AS46&lt;=76000)</formula>
    </cfRule>
    <cfRule type="expression" dxfId="27209" priority="14804">
      <formula>AND(AS46&gt;70000,AS46&lt;70004)</formula>
    </cfRule>
    <cfRule type="expression" dxfId="27208" priority="14805" stopIfTrue="1">
      <formula>OR(AND(AS46&gt;=10000,AS46&lt;=56999),AND(AS46&gt;=57000,AS46&lt;=57999))</formula>
    </cfRule>
    <cfRule type="expression" dxfId="27207" priority="14806" stopIfTrue="1">
      <formula>AND(AS46&gt;=8000,AS46&lt;=9999)</formula>
    </cfRule>
    <cfRule type="expression" dxfId="27206" priority="14807" stopIfTrue="1">
      <formula>AND(AS46&gt;=78100,AS46&lt;=78199)</formula>
    </cfRule>
    <cfRule type="expression" dxfId="27205" priority="14808" stopIfTrue="1">
      <formula>AND(AS46&gt;=92000,AS46&lt;=98999)</formula>
    </cfRule>
    <cfRule type="expression" dxfId="27204" priority="14809" stopIfTrue="1">
      <formula>AND(AS46&gt;=78100,AS46&lt;=78199)</formula>
    </cfRule>
    <cfRule type="expression" dxfId="27203" priority="14810" stopIfTrue="1">
      <formula>AND(AS46&gt;=91000,AS46&lt;=91999)</formula>
    </cfRule>
  </conditionalFormatting>
  <conditionalFormatting sqref="AV46">
    <cfRule type="expression" dxfId="27202" priority="14789">
      <formula>AND(AW46&gt;=79001,AW46&lt;79900)</formula>
    </cfRule>
    <cfRule type="expression" dxfId="27201" priority="14790" stopIfTrue="1">
      <formula>AND(AW46&gt;=70101,AW46&lt;=70301)</formula>
    </cfRule>
    <cfRule type="expression" dxfId="27200" priority="14791" stopIfTrue="1">
      <formula>AND(AW46&gt;70000,AW46&lt;70004)</formula>
    </cfRule>
    <cfRule type="expression" dxfId="27199" priority="14792" stopIfTrue="1">
      <formula>AND(AW46&gt;=70010,AW46&lt;=76000)</formula>
    </cfRule>
    <cfRule type="expression" dxfId="27198" priority="14793">
      <formula>AND(AW46&gt;70000,AW46&lt;70004)</formula>
    </cfRule>
    <cfRule type="expression" dxfId="27197" priority="14794" stopIfTrue="1">
      <formula>OR(AND(AW46&gt;=10000,AW46&lt;=56999),AND(AW46&gt;=57000,AW46&lt;=57999))</formula>
    </cfRule>
    <cfRule type="expression" dxfId="27196" priority="14795" stopIfTrue="1">
      <formula>AND(AW46&gt;=8000,AW46&lt;=9999)</formula>
    </cfRule>
    <cfRule type="expression" dxfId="27195" priority="14796" stopIfTrue="1">
      <formula>AND(AW46&gt;=78100,AW46&lt;=78199)</formula>
    </cfRule>
    <cfRule type="expression" dxfId="27194" priority="14797" stopIfTrue="1">
      <formula>AND(AW46&gt;=92000,AW46&lt;=98999)</formula>
    </cfRule>
    <cfRule type="expression" dxfId="27193" priority="14798" stopIfTrue="1">
      <formula>AND(AW46&gt;=78100,AW46&lt;=78199)</formula>
    </cfRule>
    <cfRule type="expression" dxfId="27192" priority="14799" stopIfTrue="1">
      <formula>AND(AW46&gt;=91000,AW46&lt;=91999)</formula>
    </cfRule>
  </conditionalFormatting>
  <conditionalFormatting sqref="AV46">
    <cfRule type="expression" dxfId="27191" priority="14778">
      <formula>AND(AW46&gt;=79001,AW46&lt;79900)</formula>
    </cfRule>
    <cfRule type="expression" dxfId="27190" priority="14779" stopIfTrue="1">
      <formula>AND(AW46&gt;=70101,AW46&lt;=70301)</formula>
    </cfRule>
    <cfRule type="expression" dxfId="27189" priority="14780" stopIfTrue="1">
      <formula>AND(AW46&gt;70000,AW46&lt;70004)</formula>
    </cfRule>
    <cfRule type="expression" dxfId="27188" priority="14781" stopIfTrue="1">
      <formula>AND(AW46&gt;=70010,AW46&lt;=76000)</formula>
    </cfRule>
    <cfRule type="expression" dxfId="27187" priority="14782">
      <formula>AND(AW46&gt;70000,AW46&lt;70004)</formula>
    </cfRule>
    <cfRule type="expression" dxfId="27186" priority="14783" stopIfTrue="1">
      <formula>OR(AND(AW46&gt;=10000,AW46&lt;=56999),AND(AW46&gt;=57000,AW46&lt;=57999))</formula>
    </cfRule>
    <cfRule type="expression" dxfId="27185" priority="14784" stopIfTrue="1">
      <formula>AND(AW46&gt;=8000,AW46&lt;=9999)</formula>
    </cfRule>
    <cfRule type="expression" dxfId="27184" priority="14785" stopIfTrue="1">
      <formula>AND(AW46&gt;=78100,AW46&lt;=78199)</formula>
    </cfRule>
    <cfRule type="expression" dxfId="27183" priority="14786" stopIfTrue="1">
      <formula>AND(AW46&gt;=92000,AW46&lt;=98999)</formula>
    </cfRule>
    <cfRule type="expression" dxfId="27182" priority="14787" stopIfTrue="1">
      <formula>AND(AW46&gt;=78100,AW46&lt;=78199)</formula>
    </cfRule>
    <cfRule type="expression" dxfId="27181" priority="14788" stopIfTrue="1">
      <formula>AND(AW46&gt;=91000,AW46&lt;=91999)</formula>
    </cfRule>
  </conditionalFormatting>
  <conditionalFormatting sqref="AV46">
    <cfRule type="expression" dxfId="27180" priority="14767">
      <formula>AND(AW46&gt;=79001,AW46&lt;79900)</formula>
    </cfRule>
    <cfRule type="expression" dxfId="27179" priority="14768" stopIfTrue="1">
      <formula>AND(AW46&gt;=70101,AW46&lt;=70301)</formula>
    </cfRule>
    <cfRule type="expression" dxfId="27178" priority="14769" stopIfTrue="1">
      <formula>AND(AW46&gt;70000,AW46&lt;70004)</formula>
    </cfRule>
    <cfRule type="expression" dxfId="27177" priority="14770" stopIfTrue="1">
      <formula>AND(AW46&gt;=70010,AW46&lt;=76000)</formula>
    </cfRule>
    <cfRule type="expression" dxfId="27176" priority="14771">
      <formula>AND(AW46&gt;70000,AW46&lt;70004)</formula>
    </cfRule>
    <cfRule type="expression" dxfId="27175" priority="14772" stopIfTrue="1">
      <formula>OR(AND(AW46&gt;=10000,AW46&lt;=56999),AND(AW46&gt;=57000,AW46&lt;=57999))</formula>
    </cfRule>
    <cfRule type="expression" dxfId="27174" priority="14773" stopIfTrue="1">
      <formula>AND(AW46&gt;=8000,AW46&lt;=9999)</formula>
    </cfRule>
    <cfRule type="expression" dxfId="27173" priority="14774" stopIfTrue="1">
      <formula>AND(AW46&gt;=78100,AW46&lt;=78199)</formula>
    </cfRule>
    <cfRule type="expression" dxfId="27172" priority="14775" stopIfTrue="1">
      <formula>AND(AW46&gt;=92000,AW46&lt;=98999)</formula>
    </cfRule>
    <cfRule type="expression" dxfId="27171" priority="14776" stopIfTrue="1">
      <formula>AND(AW46&gt;=78100,AW46&lt;=78199)</formula>
    </cfRule>
    <cfRule type="expression" dxfId="27170" priority="14777" stopIfTrue="1">
      <formula>AND(AW46&gt;=91000,AW46&lt;=91999)</formula>
    </cfRule>
  </conditionalFormatting>
  <conditionalFormatting sqref="AV46">
    <cfRule type="expression" dxfId="27169" priority="14756">
      <formula>AND(AW46&gt;=79001,AW46&lt;79900)</formula>
    </cfRule>
    <cfRule type="expression" dxfId="27168" priority="14757" stopIfTrue="1">
      <formula>AND(AW46&gt;=70101,AW46&lt;=70301)</formula>
    </cfRule>
    <cfRule type="expression" dxfId="27167" priority="14758" stopIfTrue="1">
      <formula>AND(AW46&gt;70000,AW46&lt;70004)</formula>
    </cfRule>
    <cfRule type="expression" dxfId="27166" priority="14759" stopIfTrue="1">
      <formula>AND(AW46&gt;=70010,AW46&lt;=76000)</formula>
    </cfRule>
    <cfRule type="expression" dxfId="27165" priority="14760">
      <formula>AND(AW46&gt;70000,AW46&lt;70004)</formula>
    </cfRule>
    <cfRule type="expression" dxfId="27164" priority="14761" stopIfTrue="1">
      <formula>OR(AND(AW46&gt;=10000,AW46&lt;=56999),AND(AW46&gt;=57000,AW46&lt;=57999))</formula>
    </cfRule>
    <cfRule type="expression" dxfId="27163" priority="14762" stopIfTrue="1">
      <formula>AND(AW46&gt;=8000,AW46&lt;=9999)</formula>
    </cfRule>
    <cfRule type="expression" dxfId="27162" priority="14763" stopIfTrue="1">
      <formula>AND(AW46&gt;=78100,AW46&lt;=78199)</formula>
    </cfRule>
    <cfRule type="expression" dxfId="27161" priority="14764" stopIfTrue="1">
      <formula>AND(AW46&gt;=92000,AW46&lt;=98999)</formula>
    </cfRule>
    <cfRule type="expression" dxfId="27160" priority="14765" stopIfTrue="1">
      <formula>AND(AW46&gt;=78100,AW46&lt;=78199)</formula>
    </cfRule>
    <cfRule type="expression" dxfId="27159" priority="14766" stopIfTrue="1">
      <formula>AND(AW46&gt;=91000,AW46&lt;=91999)</formula>
    </cfRule>
  </conditionalFormatting>
  <conditionalFormatting sqref="AZ46">
    <cfRule type="expression" dxfId="27158" priority="14745">
      <formula>AND(BA46&gt;=79001,BA46&lt;79900)</formula>
    </cfRule>
    <cfRule type="expression" dxfId="27157" priority="14746" stopIfTrue="1">
      <formula>AND(BA46&gt;=70101,BA46&lt;=70301)</formula>
    </cfRule>
    <cfRule type="expression" dxfId="27156" priority="14747" stopIfTrue="1">
      <formula>AND(BA46&gt;70000,BA46&lt;70004)</formula>
    </cfRule>
    <cfRule type="expression" dxfId="27155" priority="14748" stopIfTrue="1">
      <formula>AND(BA46&gt;=70010,BA46&lt;=76000)</formula>
    </cfRule>
    <cfRule type="expression" dxfId="27154" priority="14749">
      <formula>AND(BA46&gt;70000,BA46&lt;70004)</formula>
    </cfRule>
    <cfRule type="expression" dxfId="27153" priority="14750" stopIfTrue="1">
      <formula>OR(AND(BA46&gt;=10000,BA46&lt;=56999),AND(BA46&gt;=57000,BA46&lt;=57999))</formula>
    </cfRule>
    <cfRule type="expression" dxfId="27152" priority="14751" stopIfTrue="1">
      <formula>AND(BA46&gt;=8000,BA46&lt;=9999)</formula>
    </cfRule>
    <cfRule type="expression" dxfId="27151" priority="14752" stopIfTrue="1">
      <formula>AND(BA46&gt;=78100,BA46&lt;=78199)</formula>
    </cfRule>
    <cfRule type="expression" dxfId="27150" priority="14753" stopIfTrue="1">
      <formula>AND(BA46&gt;=92000,BA46&lt;=98999)</formula>
    </cfRule>
    <cfRule type="expression" dxfId="27149" priority="14754" stopIfTrue="1">
      <formula>AND(BA46&gt;=78100,BA46&lt;=78199)</formula>
    </cfRule>
    <cfRule type="expression" dxfId="27148" priority="14755" stopIfTrue="1">
      <formula>AND(BA46&gt;=91000,BA46&lt;=91999)</formula>
    </cfRule>
  </conditionalFormatting>
  <conditionalFormatting sqref="AZ46">
    <cfRule type="expression" dxfId="27147" priority="14734">
      <formula>AND(BA46&gt;=79001,BA46&lt;79900)</formula>
    </cfRule>
    <cfRule type="expression" dxfId="27146" priority="14735" stopIfTrue="1">
      <formula>AND(BA46&gt;=70101,BA46&lt;=70301)</formula>
    </cfRule>
    <cfRule type="expression" dxfId="27145" priority="14736" stopIfTrue="1">
      <formula>AND(BA46&gt;70000,BA46&lt;70004)</formula>
    </cfRule>
    <cfRule type="expression" dxfId="27144" priority="14737" stopIfTrue="1">
      <formula>AND(BA46&gt;=70010,BA46&lt;=76000)</formula>
    </cfRule>
    <cfRule type="expression" dxfId="27143" priority="14738">
      <formula>AND(BA46&gt;70000,BA46&lt;70004)</formula>
    </cfRule>
    <cfRule type="expression" dxfId="27142" priority="14739" stopIfTrue="1">
      <formula>OR(AND(BA46&gt;=10000,BA46&lt;=56999),AND(BA46&gt;=57000,BA46&lt;=57999))</formula>
    </cfRule>
    <cfRule type="expression" dxfId="27141" priority="14740" stopIfTrue="1">
      <formula>AND(BA46&gt;=8000,BA46&lt;=9999)</formula>
    </cfRule>
    <cfRule type="expression" dxfId="27140" priority="14741" stopIfTrue="1">
      <formula>AND(BA46&gt;=78100,BA46&lt;=78199)</formula>
    </cfRule>
    <cfRule type="expression" dxfId="27139" priority="14742" stopIfTrue="1">
      <formula>AND(BA46&gt;=92000,BA46&lt;=98999)</formula>
    </cfRule>
    <cfRule type="expression" dxfId="27138" priority="14743" stopIfTrue="1">
      <formula>AND(BA46&gt;=78100,BA46&lt;=78199)</formula>
    </cfRule>
    <cfRule type="expression" dxfId="27137" priority="14744" stopIfTrue="1">
      <formula>AND(BA46&gt;=91000,BA46&lt;=91999)</formula>
    </cfRule>
  </conditionalFormatting>
  <conditionalFormatting sqref="AZ46">
    <cfRule type="expression" dxfId="27136" priority="14723">
      <formula>AND(BA46&gt;=79001,BA46&lt;79900)</formula>
    </cfRule>
    <cfRule type="expression" dxfId="27135" priority="14724" stopIfTrue="1">
      <formula>AND(BA46&gt;=70101,BA46&lt;=70301)</formula>
    </cfRule>
    <cfRule type="expression" dxfId="27134" priority="14725" stopIfTrue="1">
      <formula>AND(BA46&gt;70000,BA46&lt;70004)</formula>
    </cfRule>
    <cfRule type="expression" dxfId="27133" priority="14726" stopIfTrue="1">
      <formula>AND(BA46&gt;=70010,BA46&lt;=76000)</formula>
    </cfRule>
    <cfRule type="expression" dxfId="27132" priority="14727">
      <formula>AND(BA46&gt;70000,BA46&lt;70004)</formula>
    </cfRule>
    <cfRule type="expression" dxfId="27131" priority="14728" stopIfTrue="1">
      <formula>OR(AND(BA46&gt;=10000,BA46&lt;=56999),AND(BA46&gt;=57000,BA46&lt;=57999))</formula>
    </cfRule>
    <cfRule type="expression" dxfId="27130" priority="14729" stopIfTrue="1">
      <formula>AND(BA46&gt;=8000,BA46&lt;=9999)</formula>
    </cfRule>
    <cfRule type="expression" dxfId="27129" priority="14730" stopIfTrue="1">
      <formula>AND(BA46&gt;=78100,BA46&lt;=78199)</formula>
    </cfRule>
    <cfRule type="expression" dxfId="27128" priority="14731" stopIfTrue="1">
      <formula>AND(BA46&gt;=92000,BA46&lt;=98999)</formula>
    </cfRule>
    <cfRule type="expression" dxfId="27127" priority="14732" stopIfTrue="1">
      <formula>AND(BA46&gt;=78100,BA46&lt;=78199)</formula>
    </cfRule>
    <cfRule type="expression" dxfId="27126" priority="14733" stopIfTrue="1">
      <formula>AND(BA46&gt;=91000,BA46&lt;=91999)</formula>
    </cfRule>
  </conditionalFormatting>
  <conditionalFormatting sqref="AZ46">
    <cfRule type="expression" dxfId="27125" priority="14712">
      <formula>AND(BA46&gt;=79001,BA46&lt;79900)</formula>
    </cfRule>
    <cfRule type="expression" dxfId="27124" priority="14713" stopIfTrue="1">
      <formula>AND(BA46&gt;=70101,BA46&lt;=70301)</formula>
    </cfRule>
    <cfRule type="expression" dxfId="27123" priority="14714" stopIfTrue="1">
      <formula>AND(BA46&gt;70000,BA46&lt;70004)</formula>
    </cfRule>
    <cfRule type="expression" dxfId="27122" priority="14715" stopIfTrue="1">
      <formula>AND(BA46&gt;=70010,BA46&lt;=76000)</formula>
    </cfRule>
    <cfRule type="expression" dxfId="27121" priority="14716">
      <formula>AND(BA46&gt;70000,BA46&lt;70004)</formula>
    </cfRule>
    <cfRule type="expression" dxfId="27120" priority="14717" stopIfTrue="1">
      <formula>OR(AND(BA46&gt;=10000,BA46&lt;=56999),AND(BA46&gt;=57000,BA46&lt;=57999))</formula>
    </cfRule>
    <cfRule type="expression" dxfId="27119" priority="14718" stopIfTrue="1">
      <formula>AND(BA46&gt;=8000,BA46&lt;=9999)</formula>
    </cfRule>
    <cfRule type="expression" dxfId="27118" priority="14719" stopIfTrue="1">
      <formula>AND(BA46&gt;=78100,BA46&lt;=78199)</formula>
    </cfRule>
    <cfRule type="expression" dxfId="27117" priority="14720" stopIfTrue="1">
      <formula>AND(BA46&gt;=92000,BA46&lt;=98999)</formula>
    </cfRule>
    <cfRule type="expression" dxfId="27116" priority="14721" stopIfTrue="1">
      <formula>AND(BA46&gt;=78100,BA46&lt;=78199)</formula>
    </cfRule>
    <cfRule type="expression" dxfId="27115" priority="14722" stopIfTrue="1">
      <formula>AND(BA46&gt;=91000,BA46&lt;=91999)</formula>
    </cfRule>
  </conditionalFormatting>
  <conditionalFormatting sqref="AN61">
    <cfRule type="expression" dxfId="27114" priority="14525">
      <formula>AND(AO61&gt;=79001,AO61&lt;79900)</formula>
    </cfRule>
    <cfRule type="expression" dxfId="27113" priority="14526" stopIfTrue="1">
      <formula>AND(AO61&gt;=70101,AO61&lt;=70301)</formula>
    </cfRule>
    <cfRule type="expression" dxfId="27112" priority="14527" stopIfTrue="1">
      <formula>AND(AO61&gt;70000,AO61&lt;70004)</formula>
    </cfRule>
    <cfRule type="expression" dxfId="27111" priority="14528" stopIfTrue="1">
      <formula>AND(AO61&gt;=70010,AO61&lt;=76000)</formula>
    </cfRule>
    <cfRule type="expression" dxfId="27110" priority="14529">
      <formula>AND(AO61&gt;70000,AO61&lt;70004)</formula>
    </cfRule>
    <cfRule type="expression" dxfId="27109" priority="14530" stopIfTrue="1">
      <formula>OR(AND(AO61&gt;=10000,AO61&lt;=56999),AND(AO61&gt;=57000,AO61&lt;=57999))</formula>
    </cfRule>
    <cfRule type="expression" dxfId="27108" priority="14531" stopIfTrue="1">
      <formula>AND(AO61&gt;=8000,AO61&lt;=9999)</formula>
    </cfRule>
    <cfRule type="expression" dxfId="27107" priority="14532" stopIfTrue="1">
      <formula>AND(AO61&gt;=78100,AO61&lt;=78199)</formula>
    </cfRule>
    <cfRule type="expression" dxfId="27106" priority="14533" stopIfTrue="1">
      <formula>AND(AO61&gt;=92000,AO61&lt;=98999)</formula>
    </cfRule>
    <cfRule type="expression" dxfId="27105" priority="14534" stopIfTrue="1">
      <formula>AND(AO61&gt;=78100,AO61&lt;=78199)</formula>
    </cfRule>
    <cfRule type="expression" dxfId="27104" priority="14535" stopIfTrue="1">
      <formula>AND(AO61&gt;=91000,AO61&lt;=91999)</formula>
    </cfRule>
  </conditionalFormatting>
  <conditionalFormatting sqref="AN61">
    <cfRule type="expression" dxfId="27103" priority="14514">
      <formula>AND(AO61&gt;=79001,AO61&lt;79900)</formula>
    </cfRule>
    <cfRule type="expression" dxfId="27102" priority="14515" stopIfTrue="1">
      <formula>AND(AO61&gt;=70101,AO61&lt;=70301)</formula>
    </cfRule>
    <cfRule type="expression" dxfId="27101" priority="14516" stopIfTrue="1">
      <formula>AND(AO61&gt;70000,AO61&lt;70004)</formula>
    </cfRule>
    <cfRule type="expression" dxfId="27100" priority="14517" stopIfTrue="1">
      <formula>AND(AO61&gt;=70010,AO61&lt;=76000)</formula>
    </cfRule>
    <cfRule type="expression" dxfId="27099" priority="14518">
      <formula>AND(AO61&gt;70000,AO61&lt;70004)</formula>
    </cfRule>
    <cfRule type="expression" dxfId="27098" priority="14519" stopIfTrue="1">
      <formula>OR(AND(AO61&gt;=10000,AO61&lt;=56999),AND(AO61&gt;=57000,AO61&lt;=57999))</formula>
    </cfRule>
    <cfRule type="expression" dxfId="27097" priority="14520" stopIfTrue="1">
      <formula>AND(AO61&gt;=8000,AO61&lt;=9999)</formula>
    </cfRule>
    <cfRule type="expression" dxfId="27096" priority="14521" stopIfTrue="1">
      <formula>AND(AO61&gt;=78100,AO61&lt;=78199)</formula>
    </cfRule>
    <cfRule type="expression" dxfId="27095" priority="14522" stopIfTrue="1">
      <formula>AND(AO61&gt;=92000,AO61&lt;=98999)</formula>
    </cfRule>
    <cfRule type="expression" dxfId="27094" priority="14523" stopIfTrue="1">
      <formula>AND(AO61&gt;=78100,AO61&lt;=78199)</formula>
    </cfRule>
    <cfRule type="expression" dxfId="27093" priority="14524" stopIfTrue="1">
      <formula>AND(AO61&gt;=91000,AO61&lt;=91999)</formula>
    </cfRule>
  </conditionalFormatting>
  <conditionalFormatting sqref="AN61">
    <cfRule type="expression" dxfId="27092" priority="14503">
      <formula>AND(AO61&gt;=79001,AO61&lt;79900)</formula>
    </cfRule>
    <cfRule type="expression" dxfId="27091" priority="14504" stopIfTrue="1">
      <formula>AND(AO61&gt;=70101,AO61&lt;=70301)</formula>
    </cfRule>
    <cfRule type="expression" dxfId="27090" priority="14505" stopIfTrue="1">
      <formula>AND(AO61&gt;70000,AO61&lt;70004)</formula>
    </cfRule>
    <cfRule type="expression" dxfId="27089" priority="14506" stopIfTrue="1">
      <formula>AND(AO61&gt;=70010,AO61&lt;=76000)</formula>
    </cfRule>
    <cfRule type="expression" dxfId="27088" priority="14507">
      <formula>AND(AO61&gt;70000,AO61&lt;70004)</formula>
    </cfRule>
    <cfRule type="expression" dxfId="27087" priority="14508" stopIfTrue="1">
      <formula>OR(AND(AO61&gt;=10000,AO61&lt;=56999),AND(AO61&gt;=57000,AO61&lt;=57999))</formula>
    </cfRule>
    <cfRule type="expression" dxfId="27086" priority="14509" stopIfTrue="1">
      <formula>AND(AO61&gt;=8000,AO61&lt;=9999)</formula>
    </cfRule>
    <cfRule type="expression" dxfId="27085" priority="14510" stopIfTrue="1">
      <formula>AND(AO61&gt;=78100,AO61&lt;=78199)</formula>
    </cfRule>
    <cfRule type="expression" dxfId="27084" priority="14511" stopIfTrue="1">
      <formula>AND(AO61&gt;=92000,AO61&lt;=98999)</formula>
    </cfRule>
    <cfRule type="expression" dxfId="27083" priority="14512" stopIfTrue="1">
      <formula>AND(AO61&gt;=78100,AO61&lt;=78199)</formula>
    </cfRule>
    <cfRule type="expression" dxfId="27082" priority="14513" stopIfTrue="1">
      <formula>AND(AO61&gt;=91000,AO61&lt;=91999)</formula>
    </cfRule>
  </conditionalFormatting>
  <conditionalFormatting sqref="AN61">
    <cfRule type="expression" dxfId="27081" priority="14492">
      <formula>AND(AO61&gt;=79001,AO61&lt;79900)</formula>
    </cfRule>
    <cfRule type="expression" dxfId="27080" priority="14493" stopIfTrue="1">
      <formula>AND(AO61&gt;=70101,AO61&lt;=70301)</formula>
    </cfRule>
    <cfRule type="expression" dxfId="27079" priority="14494" stopIfTrue="1">
      <formula>AND(AO61&gt;70000,AO61&lt;70004)</formula>
    </cfRule>
    <cfRule type="expression" dxfId="27078" priority="14495" stopIfTrue="1">
      <formula>AND(AO61&gt;=70010,AO61&lt;=76000)</formula>
    </cfRule>
    <cfRule type="expression" dxfId="27077" priority="14496">
      <formula>AND(AO61&gt;70000,AO61&lt;70004)</formula>
    </cfRule>
    <cfRule type="expression" dxfId="27076" priority="14497" stopIfTrue="1">
      <formula>OR(AND(AO61&gt;=10000,AO61&lt;=56999),AND(AO61&gt;=57000,AO61&lt;=57999))</formula>
    </cfRule>
    <cfRule type="expression" dxfId="27075" priority="14498" stopIfTrue="1">
      <formula>AND(AO61&gt;=8000,AO61&lt;=9999)</formula>
    </cfRule>
    <cfRule type="expression" dxfId="27074" priority="14499" stopIfTrue="1">
      <formula>AND(AO61&gt;=78100,AO61&lt;=78199)</formula>
    </cfRule>
    <cfRule type="expression" dxfId="27073" priority="14500" stopIfTrue="1">
      <formula>AND(AO61&gt;=92000,AO61&lt;=98999)</formula>
    </cfRule>
    <cfRule type="expression" dxfId="27072" priority="14501" stopIfTrue="1">
      <formula>AND(AO61&gt;=78100,AO61&lt;=78199)</formula>
    </cfRule>
    <cfRule type="expression" dxfId="27071" priority="14502" stopIfTrue="1">
      <formula>AND(AO61&gt;=91000,AO61&lt;=91999)</formula>
    </cfRule>
  </conditionalFormatting>
  <conditionalFormatting sqref="AR61">
    <cfRule type="expression" dxfId="27070" priority="14481">
      <formula>AND(AS61&gt;=79001,AS61&lt;79900)</formula>
    </cfRule>
    <cfRule type="expression" dxfId="27069" priority="14482" stopIfTrue="1">
      <formula>AND(AS61&gt;=70101,AS61&lt;=70301)</formula>
    </cfRule>
    <cfRule type="expression" dxfId="27068" priority="14483" stopIfTrue="1">
      <formula>AND(AS61&gt;70000,AS61&lt;70004)</formula>
    </cfRule>
    <cfRule type="expression" dxfId="27067" priority="14484" stopIfTrue="1">
      <formula>AND(AS61&gt;=70010,AS61&lt;=76000)</formula>
    </cfRule>
    <cfRule type="expression" dxfId="27066" priority="14485">
      <formula>AND(AS61&gt;70000,AS61&lt;70004)</formula>
    </cfRule>
    <cfRule type="expression" dxfId="27065" priority="14486" stopIfTrue="1">
      <formula>OR(AND(AS61&gt;=10000,AS61&lt;=56999),AND(AS61&gt;=57000,AS61&lt;=57999))</formula>
    </cfRule>
    <cfRule type="expression" dxfId="27064" priority="14487" stopIfTrue="1">
      <formula>AND(AS61&gt;=8000,AS61&lt;=9999)</formula>
    </cfRule>
    <cfRule type="expression" dxfId="27063" priority="14488" stopIfTrue="1">
      <formula>AND(AS61&gt;=78100,AS61&lt;=78199)</formula>
    </cfRule>
    <cfRule type="expression" dxfId="27062" priority="14489" stopIfTrue="1">
      <formula>AND(AS61&gt;=92000,AS61&lt;=98999)</formula>
    </cfRule>
    <cfRule type="expression" dxfId="27061" priority="14490" stopIfTrue="1">
      <formula>AND(AS61&gt;=78100,AS61&lt;=78199)</formula>
    </cfRule>
    <cfRule type="expression" dxfId="27060" priority="14491" stopIfTrue="1">
      <formula>AND(AS61&gt;=91000,AS61&lt;=91999)</formula>
    </cfRule>
  </conditionalFormatting>
  <conditionalFormatting sqref="AR61">
    <cfRule type="expression" dxfId="27059" priority="14470">
      <formula>AND(AS61&gt;=79001,AS61&lt;79900)</formula>
    </cfRule>
    <cfRule type="expression" dxfId="27058" priority="14471" stopIfTrue="1">
      <formula>AND(AS61&gt;=70101,AS61&lt;=70301)</formula>
    </cfRule>
    <cfRule type="expression" dxfId="27057" priority="14472" stopIfTrue="1">
      <formula>AND(AS61&gt;70000,AS61&lt;70004)</formula>
    </cfRule>
    <cfRule type="expression" dxfId="27056" priority="14473" stopIfTrue="1">
      <formula>AND(AS61&gt;=70010,AS61&lt;=76000)</formula>
    </cfRule>
    <cfRule type="expression" dxfId="27055" priority="14474">
      <formula>AND(AS61&gt;70000,AS61&lt;70004)</formula>
    </cfRule>
    <cfRule type="expression" dxfId="27054" priority="14475" stopIfTrue="1">
      <formula>OR(AND(AS61&gt;=10000,AS61&lt;=56999),AND(AS61&gt;=57000,AS61&lt;=57999))</formula>
    </cfRule>
    <cfRule type="expression" dxfId="27053" priority="14476" stopIfTrue="1">
      <formula>AND(AS61&gt;=8000,AS61&lt;=9999)</formula>
    </cfRule>
    <cfRule type="expression" dxfId="27052" priority="14477" stopIfTrue="1">
      <formula>AND(AS61&gt;=78100,AS61&lt;=78199)</formula>
    </cfRule>
    <cfRule type="expression" dxfId="27051" priority="14478" stopIfTrue="1">
      <formula>AND(AS61&gt;=92000,AS61&lt;=98999)</formula>
    </cfRule>
    <cfRule type="expression" dxfId="27050" priority="14479" stopIfTrue="1">
      <formula>AND(AS61&gt;=78100,AS61&lt;=78199)</formula>
    </cfRule>
    <cfRule type="expression" dxfId="27049" priority="14480" stopIfTrue="1">
      <formula>AND(AS61&gt;=91000,AS61&lt;=91999)</formula>
    </cfRule>
  </conditionalFormatting>
  <conditionalFormatting sqref="AR61">
    <cfRule type="expression" dxfId="27048" priority="14459">
      <formula>AND(AS61&gt;=79001,AS61&lt;79900)</formula>
    </cfRule>
    <cfRule type="expression" dxfId="27047" priority="14460" stopIfTrue="1">
      <formula>AND(AS61&gt;=70101,AS61&lt;=70301)</formula>
    </cfRule>
    <cfRule type="expression" dxfId="27046" priority="14461" stopIfTrue="1">
      <formula>AND(AS61&gt;70000,AS61&lt;70004)</formula>
    </cfRule>
    <cfRule type="expression" dxfId="27045" priority="14462" stopIfTrue="1">
      <formula>AND(AS61&gt;=70010,AS61&lt;=76000)</formula>
    </cfRule>
    <cfRule type="expression" dxfId="27044" priority="14463">
      <formula>AND(AS61&gt;70000,AS61&lt;70004)</formula>
    </cfRule>
    <cfRule type="expression" dxfId="27043" priority="14464" stopIfTrue="1">
      <formula>OR(AND(AS61&gt;=10000,AS61&lt;=56999),AND(AS61&gt;=57000,AS61&lt;=57999))</formula>
    </cfRule>
    <cfRule type="expression" dxfId="27042" priority="14465" stopIfTrue="1">
      <formula>AND(AS61&gt;=8000,AS61&lt;=9999)</formula>
    </cfRule>
    <cfRule type="expression" dxfId="27041" priority="14466" stopIfTrue="1">
      <formula>AND(AS61&gt;=78100,AS61&lt;=78199)</formula>
    </cfRule>
    <cfRule type="expression" dxfId="27040" priority="14467" stopIfTrue="1">
      <formula>AND(AS61&gt;=92000,AS61&lt;=98999)</formula>
    </cfRule>
    <cfRule type="expression" dxfId="27039" priority="14468" stopIfTrue="1">
      <formula>AND(AS61&gt;=78100,AS61&lt;=78199)</formula>
    </cfRule>
    <cfRule type="expression" dxfId="27038" priority="14469" stopIfTrue="1">
      <formula>AND(AS61&gt;=91000,AS61&lt;=91999)</formula>
    </cfRule>
  </conditionalFormatting>
  <conditionalFormatting sqref="AR61">
    <cfRule type="expression" dxfId="27037" priority="14448">
      <formula>AND(AS61&gt;=79001,AS61&lt;79900)</formula>
    </cfRule>
    <cfRule type="expression" dxfId="27036" priority="14449" stopIfTrue="1">
      <formula>AND(AS61&gt;=70101,AS61&lt;=70301)</formula>
    </cfRule>
    <cfRule type="expression" dxfId="27035" priority="14450" stopIfTrue="1">
      <formula>AND(AS61&gt;70000,AS61&lt;70004)</formula>
    </cfRule>
    <cfRule type="expression" dxfId="27034" priority="14451" stopIfTrue="1">
      <formula>AND(AS61&gt;=70010,AS61&lt;=76000)</formula>
    </cfRule>
    <cfRule type="expression" dxfId="27033" priority="14452">
      <formula>AND(AS61&gt;70000,AS61&lt;70004)</formula>
    </cfRule>
    <cfRule type="expression" dxfId="27032" priority="14453" stopIfTrue="1">
      <formula>OR(AND(AS61&gt;=10000,AS61&lt;=56999),AND(AS61&gt;=57000,AS61&lt;=57999))</formula>
    </cfRule>
    <cfRule type="expression" dxfId="27031" priority="14454" stopIfTrue="1">
      <formula>AND(AS61&gt;=8000,AS61&lt;=9999)</formula>
    </cfRule>
    <cfRule type="expression" dxfId="27030" priority="14455" stopIfTrue="1">
      <formula>AND(AS61&gt;=78100,AS61&lt;=78199)</formula>
    </cfRule>
    <cfRule type="expression" dxfId="27029" priority="14456" stopIfTrue="1">
      <formula>AND(AS61&gt;=92000,AS61&lt;=98999)</formula>
    </cfRule>
    <cfRule type="expression" dxfId="27028" priority="14457" stopIfTrue="1">
      <formula>AND(AS61&gt;=78100,AS61&lt;=78199)</formula>
    </cfRule>
    <cfRule type="expression" dxfId="27027" priority="14458" stopIfTrue="1">
      <formula>AND(AS61&gt;=91000,AS61&lt;=91999)</formula>
    </cfRule>
  </conditionalFormatting>
  <conditionalFormatting sqref="AV61">
    <cfRule type="expression" dxfId="27026" priority="14437">
      <formula>AND(AW61&gt;=79001,AW61&lt;79900)</formula>
    </cfRule>
    <cfRule type="expression" dxfId="27025" priority="14438" stopIfTrue="1">
      <formula>AND(AW61&gt;=70101,AW61&lt;=70301)</formula>
    </cfRule>
    <cfRule type="expression" dxfId="27024" priority="14439" stopIfTrue="1">
      <formula>AND(AW61&gt;70000,AW61&lt;70004)</formula>
    </cfRule>
    <cfRule type="expression" dxfId="27023" priority="14440" stopIfTrue="1">
      <formula>AND(AW61&gt;=70010,AW61&lt;=76000)</formula>
    </cfRule>
    <cfRule type="expression" dxfId="27022" priority="14441">
      <formula>AND(AW61&gt;70000,AW61&lt;70004)</formula>
    </cfRule>
    <cfRule type="expression" dxfId="27021" priority="14442" stopIfTrue="1">
      <formula>OR(AND(AW61&gt;=10000,AW61&lt;=56999),AND(AW61&gt;=57000,AW61&lt;=57999))</formula>
    </cfRule>
    <cfRule type="expression" dxfId="27020" priority="14443" stopIfTrue="1">
      <formula>AND(AW61&gt;=8000,AW61&lt;=9999)</formula>
    </cfRule>
    <cfRule type="expression" dxfId="27019" priority="14444" stopIfTrue="1">
      <formula>AND(AW61&gt;=78100,AW61&lt;=78199)</formula>
    </cfRule>
    <cfRule type="expression" dxfId="27018" priority="14445" stopIfTrue="1">
      <formula>AND(AW61&gt;=92000,AW61&lt;=98999)</formula>
    </cfRule>
    <cfRule type="expression" dxfId="27017" priority="14446" stopIfTrue="1">
      <formula>AND(AW61&gt;=78100,AW61&lt;=78199)</formula>
    </cfRule>
    <cfRule type="expression" dxfId="27016" priority="14447" stopIfTrue="1">
      <formula>AND(AW61&gt;=91000,AW61&lt;=91999)</formula>
    </cfRule>
  </conditionalFormatting>
  <conditionalFormatting sqref="AV61">
    <cfRule type="expression" dxfId="27015" priority="14426">
      <formula>AND(AW61&gt;=79001,AW61&lt;79900)</formula>
    </cfRule>
    <cfRule type="expression" dxfId="27014" priority="14427" stopIfTrue="1">
      <formula>AND(AW61&gt;=70101,AW61&lt;=70301)</formula>
    </cfRule>
    <cfRule type="expression" dxfId="27013" priority="14428" stopIfTrue="1">
      <formula>AND(AW61&gt;70000,AW61&lt;70004)</formula>
    </cfRule>
    <cfRule type="expression" dxfId="27012" priority="14429" stopIfTrue="1">
      <formula>AND(AW61&gt;=70010,AW61&lt;=76000)</formula>
    </cfRule>
    <cfRule type="expression" dxfId="27011" priority="14430">
      <formula>AND(AW61&gt;70000,AW61&lt;70004)</formula>
    </cfRule>
    <cfRule type="expression" dxfId="27010" priority="14431" stopIfTrue="1">
      <formula>OR(AND(AW61&gt;=10000,AW61&lt;=56999),AND(AW61&gt;=57000,AW61&lt;=57999))</formula>
    </cfRule>
    <cfRule type="expression" dxfId="27009" priority="14432" stopIfTrue="1">
      <formula>AND(AW61&gt;=8000,AW61&lt;=9999)</formula>
    </cfRule>
    <cfRule type="expression" dxfId="27008" priority="14433" stopIfTrue="1">
      <formula>AND(AW61&gt;=78100,AW61&lt;=78199)</formula>
    </cfRule>
    <cfRule type="expression" dxfId="27007" priority="14434" stopIfTrue="1">
      <formula>AND(AW61&gt;=92000,AW61&lt;=98999)</formula>
    </cfRule>
    <cfRule type="expression" dxfId="27006" priority="14435" stopIfTrue="1">
      <formula>AND(AW61&gt;=78100,AW61&lt;=78199)</formula>
    </cfRule>
    <cfRule type="expression" dxfId="27005" priority="14436" stopIfTrue="1">
      <formula>AND(AW61&gt;=91000,AW61&lt;=91999)</formula>
    </cfRule>
  </conditionalFormatting>
  <conditionalFormatting sqref="AV61">
    <cfRule type="expression" dxfId="27004" priority="14415">
      <formula>AND(AW61&gt;=79001,AW61&lt;79900)</formula>
    </cfRule>
    <cfRule type="expression" dxfId="27003" priority="14416" stopIfTrue="1">
      <formula>AND(AW61&gt;=70101,AW61&lt;=70301)</formula>
    </cfRule>
    <cfRule type="expression" dxfId="27002" priority="14417" stopIfTrue="1">
      <formula>AND(AW61&gt;70000,AW61&lt;70004)</formula>
    </cfRule>
    <cfRule type="expression" dxfId="27001" priority="14418" stopIfTrue="1">
      <formula>AND(AW61&gt;=70010,AW61&lt;=76000)</formula>
    </cfRule>
    <cfRule type="expression" dxfId="27000" priority="14419">
      <formula>AND(AW61&gt;70000,AW61&lt;70004)</formula>
    </cfRule>
    <cfRule type="expression" dxfId="26999" priority="14420" stopIfTrue="1">
      <formula>OR(AND(AW61&gt;=10000,AW61&lt;=56999),AND(AW61&gt;=57000,AW61&lt;=57999))</formula>
    </cfRule>
    <cfRule type="expression" dxfId="26998" priority="14421" stopIfTrue="1">
      <formula>AND(AW61&gt;=8000,AW61&lt;=9999)</formula>
    </cfRule>
    <cfRule type="expression" dxfId="26997" priority="14422" stopIfTrue="1">
      <formula>AND(AW61&gt;=78100,AW61&lt;=78199)</formula>
    </cfRule>
    <cfRule type="expression" dxfId="26996" priority="14423" stopIfTrue="1">
      <formula>AND(AW61&gt;=92000,AW61&lt;=98999)</formula>
    </cfRule>
    <cfRule type="expression" dxfId="26995" priority="14424" stopIfTrue="1">
      <formula>AND(AW61&gt;=78100,AW61&lt;=78199)</formula>
    </cfRule>
    <cfRule type="expression" dxfId="26994" priority="14425" stopIfTrue="1">
      <formula>AND(AW61&gt;=91000,AW61&lt;=91999)</formula>
    </cfRule>
  </conditionalFormatting>
  <conditionalFormatting sqref="AV61">
    <cfRule type="expression" dxfId="26993" priority="14404">
      <formula>AND(AW61&gt;=79001,AW61&lt;79900)</formula>
    </cfRule>
    <cfRule type="expression" dxfId="26992" priority="14405" stopIfTrue="1">
      <formula>AND(AW61&gt;=70101,AW61&lt;=70301)</formula>
    </cfRule>
    <cfRule type="expression" dxfId="26991" priority="14406" stopIfTrue="1">
      <formula>AND(AW61&gt;70000,AW61&lt;70004)</formula>
    </cfRule>
    <cfRule type="expression" dxfId="26990" priority="14407" stopIfTrue="1">
      <formula>AND(AW61&gt;=70010,AW61&lt;=76000)</formula>
    </cfRule>
    <cfRule type="expression" dxfId="26989" priority="14408">
      <formula>AND(AW61&gt;70000,AW61&lt;70004)</formula>
    </cfRule>
    <cfRule type="expression" dxfId="26988" priority="14409" stopIfTrue="1">
      <formula>OR(AND(AW61&gt;=10000,AW61&lt;=56999),AND(AW61&gt;=57000,AW61&lt;=57999))</formula>
    </cfRule>
    <cfRule type="expression" dxfId="26987" priority="14410" stopIfTrue="1">
      <formula>AND(AW61&gt;=8000,AW61&lt;=9999)</formula>
    </cfRule>
    <cfRule type="expression" dxfId="26986" priority="14411" stopIfTrue="1">
      <formula>AND(AW61&gt;=78100,AW61&lt;=78199)</formula>
    </cfRule>
    <cfRule type="expression" dxfId="26985" priority="14412" stopIfTrue="1">
      <formula>AND(AW61&gt;=92000,AW61&lt;=98999)</formula>
    </cfRule>
    <cfRule type="expression" dxfId="26984" priority="14413" stopIfTrue="1">
      <formula>AND(AW61&gt;=78100,AW61&lt;=78199)</formula>
    </cfRule>
    <cfRule type="expression" dxfId="26983" priority="14414" stopIfTrue="1">
      <formula>AND(AW61&gt;=91000,AW61&lt;=91999)</formula>
    </cfRule>
  </conditionalFormatting>
  <conditionalFormatting sqref="AZ61">
    <cfRule type="expression" dxfId="26982" priority="14393">
      <formula>AND(BA61&gt;=79001,BA61&lt;79900)</formula>
    </cfRule>
    <cfRule type="expression" dxfId="26981" priority="14394" stopIfTrue="1">
      <formula>AND(BA61&gt;=70101,BA61&lt;=70301)</formula>
    </cfRule>
    <cfRule type="expression" dxfId="26980" priority="14395" stopIfTrue="1">
      <formula>AND(BA61&gt;70000,BA61&lt;70004)</formula>
    </cfRule>
    <cfRule type="expression" dxfId="26979" priority="14396" stopIfTrue="1">
      <formula>AND(BA61&gt;=70010,BA61&lt;=76000)</formula>
    </cfRule>
    <cfRule type="expression" dxfId="26978" priority="14397">
      <formula>AND(BA61&gt;70000,BA61&lt;70004)</formula>
    </cfRule>
    <cfRule type="expression" dxfId="26977" priority="14398" stopIfTrue="1">
      <formula>OR(AND(BA61&gt;=10000,BA61&lt;=56999),AND(BA61&gt;=57000,BA61&lt;=57999))</formula>
    </cfRule>
    <cfRule type="expression" dxfId="26976" priority="14399" stopIfTrue="1">
      <formula>AND(BA61&gt;=8000,BA61&lt;=9999)</formula>
    </cfRule>
    <cfRule type="expression" dxfId="26975" priority="14400" stopIfTrue="1">
      <formula>AND(BA61&gt;=78100,BA61&lt;=78199)</formula>
    </cfRule>
    <cfRule type="expression" dxfId="26974" priority="14401" stopIfTrue="1">
      <formula>AND(BA61&gt;=92000,BA61&lt;=98999)</formula>
    </cfRule>
    <cfRule type="expression" dxfId="26973" priority="14402" stopIfTrue="1">
      <formula>AND(BA61&gt;=78100,BA61&lt;=78199)</formula>
    </cfRule>
    <cfRule type="expression" dxfId="26972" priority="14403" stopIfTrue="1">
      <formula>AND(BA61&gt;=91000,BA61&lt;=91999)</formula>
    </cfRule>
  </conditionalFormatting>
  <conditionalFormatting sqref="AZ61">
    <cfRule type="expression" dxfId="26971" priority="14382">
      <formula>AND(BA61&gt;=79001,BA61&lt;79900)</formula>
    </cfRule>
    <cfRule type="expression" dxfId="26970" priority="14383" stopIfTrue="1">
      <formula>AND(BA61&gt;=70101,BA61&lt;=70301)</formula>
    </cfRule>
    <cfRule type="expression" dxfId="26969" priority="14384" stopIfTrue="1">
      <formula>AND(BA61&gt;70000,BA61&lt;70004)</formula>
    </cfRule>
    <cfRule type="expression" dxfId="26968" priority="14385" stopIfTrue="1">
      <formula>AND(BA61&gt;=70010,BA61&lt;=76000)</formula>
    </cfRule>
    <cfRule type="expression" dxfId="26967" priority="14386">
      <formula>AND(BA61&gt;70000,BA61&lt;70004)</formula>
    </cfRule>
    <cfRule type="expression" dxfId="26966" priority="14387" stopIfTrue="1">
      <formula>OR(AND(BA61&gt;=10000,BA61&lt;=56999),AND(BA61&gt;=57000,BA61&lt;=57999))</formula>
    </cfRule>
    <cfRule type="expression" dxfId="26965" priority="14388" stopIfTrue="1">
      <formula>AND(BA61&gt;=8000,BA61&lt;=9999)</formula>
    </cfRule>
    <cfRule type="expression" dxfId="26964" priority="14389" stopIfTrue="1">
      <formula>AND(BA61&gt;=78100,BA61&lt;=78199)</formula>
    </cfRule>
    <cfRule type="expression" dxfId="26963" priority="14390" stopIfTrue="1">
      <formula>AND(BA61&gt;=92000,BA61&lt;=98999)</formula>
    </cfRule>
    <cfRule type="expression" dxfId="26962" priority="14391" stopIfTrue="1">
      <formula>AND(BA61&gt;=78100,BA61&lt;=78199)</formula>
    </cfRule>
    <cfRule type="expression" dxfId="26961" priority="14392" stopIfTrue="1">
      <formula>AND(BA61&gt;=91000,BA61&lt;=91999)</formula>
    </cfRule>
  </conditionalFormatting>
  <conditionalFormatting sqref="AZ61">
    <cfRule type="expression" dxfId="26960" priority="14371">
      <formula>AND(BA61&gt;=79001,BA61&lt;79900)</formula>
    </cfRule>
    <cfRule type="expression" dxfId="26959" priority="14372" stopIfTrue="1">
      <formula>AND(BA61&gt;=70101,BA61&lt;=70301)</formula>
    </cfRule>
    <cfRule type="expression" dxfId="26958" priority="14373" stopIfTrue="1">
      <formula>AND(BA61&gt;70000,BA61&lt;70004)</formula>
    </cfRule>
    <cfRule type="expression" dxfId="26957" priority="14374" stopIfTrue="1">
      <formula>AND(BA61&gt;=70010,BA61&lt;=76000)</formula>
    </cfRule>
    <cfRule type="expression" dxfId="26956" priority="14375">
      <formula>AND(BA61&gt;70000,BA61&lt;70004)</formula>
    </cfRule>
    <cfRule type="expression" dxfId="26955" priority="14376" stopIfTrue="1">
      <formula>OR(AND(BA61&gt;=10000,BA61&lt;=56999),AND(BA61&gt;=57000,BA61&lt;=57999))</formula>
    </cfRule>
    <cfRule type="expression" dxfId="26954" priority="14377" stopIfTrue="1">
      <formula>AND(BA61&gt;=8000,BA61&lt;=9999)</formula>
    </cfRule>
    <cfRule type="expression" dxfId="26953" priority="14378" stopIfTrue="1">
      <formula>AND(BA61&gt;=78100,BA61&lt;=78199)</formula>
    </cfRule>
    <cfRule type="expression" dxfId="26952" priority="14379" stopIfTrue="1">
      <formula>AND(BA61&gt;=92000,BA61&lt;=98999)</formula>
    </cfRule>
    <cfRule type="expression" dxfId="26951" priority="14380" stopIfTrue="1">
      <formula>AND(BA61&gt;=78100,BA61&lt;=78199)</formula>
    </cfRule>
    <cfRule type="expression" dxfId="26950" priority="14381" stopIfTrue="1">
      <formula>AND(BA61&gt;=91000,BA61&lt;=91999)</formula>
    </cfRule>
  </conditionalFormatting>
  <conditionalFormatting sqref="AZ61">
    <cfRule type="expression" dxfId="26949" priority="14360">
      <formula>AND(BA61&gt;=79001,BA61&lt;79900)</formula>
    </cfRule>
    <cfRule type="expression" dxfId="26948" priority="14361" stopIfTrue="1">
      <formula>AND(BA61&gt;=70101,BA61&lt;=70301)</formula>
    </cfRule>
    <cfRule type="expression" dxfId="26947" priority="14362" stopIfTrue="1">
      <formula>AND(BA61&gt;70000,BA61&lt;70004)</formula>
    </cfRule>
    <cfRule type="expression" dxfId="26946" priority="14363" stopIfTrue="1">
      <formula>AND(BA61&gt;=70010,BA61&lt;=76000)</formula>
    </cfRule>
    <cfRule type="expression" dxfId="26945" priority="14364">
      <formula>AND(BA61&gt;70000,BA61&lt;70004)</formula>
    </cfRule>
    <cfRule type="expression" dxfId="26944" priority="14365" stopIfTrue="1">
      <formula>OR(AND(BA61&gt;=10000,BA61&lt;=56999),AND(BA61&gt;=57000,BA61&lt;=57999))</formula>
    </cfRule>
    <cfRule type="expression" dxfId="26943" priority="14366" stopIfTrue="1">
      <formula>AND(BA61&gt;=8000,BA61&lt;=9999)</formula>
    </cfRule>
    <cfRule type="expression" dxfId="26942" priority="14367" stopIfTrue="1">
      <formula>AND(BA61&gt;=78100,BA61&lt;=78199)</formula>
    </cfRule>
    <cfRule type="expression" dxfId="26941" priority="14368" stopIfTrue="1">
      <formula>AND(BA61&gt;=92000,BA61&lt;=98999)</formula>
    </cfRule>
    <cfRule type="expression" dxfId="26940" priority="14369" stopIfTrue="1">
      <formula>AND(BA61&gt;=78100,BA61&lt;=78199)</formula>
    </cfRule>
    <cfRule type="expression" dxfId="26939" priority="14370" stopIfTrue="1">
      <formula>AND(BA61&gt;=91000,BA61&lt;=91999)</formula>
    </cfRule>
  </conditionalFormatting>
  <conditionalFormatting sqref="AN76">
    <cfRule type="expression" dxfId="26938" priority="14173">
      <formula>AND(AO76&gt;=79001,AO76&lt;79900)</formula>
    </cfRule>
    <cfRule type="expression" dxfId="26937" priority="14174" stopIfTrue="1">
      <formula>AND(AO76&gt;=70101,AO76&lt;=70301)</formula>
    </cfRule>
    <cfRule type="expression" dxfId="26936" priority="14175" stopIfTrue="1">
      <formula>AND(AO76&gt;70000,AO76&lt;70004)</formula>
    </cfRule>
    <cfRule type="expression" dxfId="26935" priority="14176" stopIfTrue="1">
      <formula>AND(AO76&gt;=70010,AO76&lt;=76000)</formula>
    </cfRule>
    <cfRule type="expression" dxfId="26934" priority="14177">
      <formula>AND(AO76&gt;70000,AO76&lt;70004)</formula>
    </cfRule>
    <cfRule type="expression" dxfId="26933" priority="14178" stopIfTrue="1">
      <formula>OR(AND(AO76&gt;=10000,AO76&lt;=56999),AND(AO76&gt;=57000,AO76&lt;=57999))</formula>
    </cfRule>
    <cfRule type="expression" dxfId="26932" priority="14179" stopIfTrue="1">
      <formula>AND(AO76&gt;=8000,AO76&lt;=9999)</formula>
    </cfRule>
    <cfRule type="expression" dxfId="26931" priority="14180" stopIfTrue="1">
      <formula>AND(AO76&gt;=78100,AO76&lt;=78199)</formula>
    </cfRule>
    <cfRule type="expression" dxfId="26930" priority="14181" stopIfTrue="1">
      <formula>AND(AO76&gt;=92000,AO76&lt;=98999)</formula>
    </cfRule>
    <cfRule type="expression" dxfId="26929" priority="14182" stopIfTrue="1">
      <formula>AND(AO76&gt;=78100,AO76&lt;=78199)</formula>
    </cfRule>
    <cfRule type="expression" dxfId="26928" priority="14183" stopIfTrue="1">
      <formula>AND(AO76&gt;=91000,AO76&lt;=91999)</formula>
    </cfRule>
  </conditionalFormatting>
  <conditionalFormatting sqref="AN76">
    <cfRule type="expression" dxfId="26927" priority="14162">
      <formula>AND(AO76&gt;=79001,AO76&lt;79900)</formula>
    </cfRule>
    <cfRule type="expression" dxfId="26926" priority="14163" stopIfTrue="1">
      <formula>AND(AO76&gt;=70101,AO76&lt;=70301)</formula>
    </cfRule>
    <cfRule type="expression" dxfId="26925" priority="14164" stopIfTrue="1">
      <formula>AND(AO76&gt;70000,AO76&lt;70004)</formula>
    </cfRule>
    <cfRule type="expression" dxfId="26924" priority="14165" stopIfTrue="1">
      <formula>AND(AO76&gt;=70010,AO76&lt;=76000)</formula>
    </cfRule>
    <cfRule type="expression" dxfId="26923" priority="14166">
      <formula>AND(AO76&gt;70000,AO76&lt;70004)</formula>
    </cfRule>
    <cfRule type="expression" dxfId="26922" priority="14167" stopIfTrue="1">
      <formula>OR(AND(AO76&gt;=10000,AO76&lt;=56999),AND(AO76&gt;=57000,AO76&lt;=57999))</formula>
    </cfRule>
    <cfRule type="expression" dxfId="26921" priority="14168" stopIfTrue="1">
      <formula>AND(AO76&gt;=8000,AO76&lt;=9999)</formula>
    </cfRule>
    <cfRule type="expression" dxfId="26920" priority="14169" stopIfTrue="1">
      <formula>AND(AO76&gt;=78100,AO76&lt;=78199)</formula>
    </cfRule>
    <cfRule type="expression" dxfId="26919" priority="14170" stopIfTrue="1">
      <formula>AND(AO76&gt;=92000,AO76&lt;=98999)</formula>
    </cfRule>
    <cfRule type="expression" dxfId="26918" priority="14171" stopIfTrue="1">
      <formula>AND(AO76&gt;=78100,AO76&lt;=78199)</formula>
    </cfRule>
    <cfRule type="expression" dxfId="26917" priority="14172" stopIfTrue="1">
      <formula>AND(AO76&gt;=91000,AO76&lt;=91999)</formula>
    </cfRule>
  </conditionalFormatting>
  <conditionalFormatting sqref="AN76">
    <cfRule type="expression" dxfId="26916" priority="14151">
      <formula>AND(AO76&gt;=79001,AO76&lt;79900)</formula>
    </cfRule>
    <cfRule type="expression" dxfId="26915" priority="14152" stopIfTrue="1">
      <formula>AND(AO76&gt;=70101,AO76&lt;=70301)</formula>
    </cfRule>
    <cfRule type="expression" dxfId="26914" priority="14153" stopIfTrue="1">
      <formula>AND(AO76&gt;70000,AO76&lt;70004)</formula>
    </cfRule>
    <cfRule type="expression" dxfId="26913" priority="14154" stopIfTrue="1">
      <formula>AND(AO76&gt;=70010,AO76&lt;=76000)</formula>
    </cfRule>
    <cfRule type="expression" dxfId="26912" priority="14155">
      <formula>AND(AO76&gt;70000,AO76&lt;70004)</formula>
    </cfRule>
    <cfRule type="expression" dxfId="26911" priority="14156" stopIfTrue="1">
      <formula>OR(AND(AO76&gt;=10000,AO76&lt;=56999),AND(AO76&gt;=57000,AO76&lt;=57999))</formula>
    </cfRule>
    <cfRule type="expression" dxfId="26910" priority="14157" stopIfTrue="1">
      <formula>AND(AO76&gt;=8000,AO76&lt;=9999)</formula>
    </cfRule>
    <cfRule type="expression" dxfId="26909" priority="14158" stopIfTrue="1">
      <formula>AND(AO76&gt;=78100,AO76&lt;=78199)</formula>
    </cfRule>
    <cfRule type="expression" dxfId="26908" priority="14159" stopIfTrue="1">
      <formula>AND(AO76&gt;=92000,AO76&lt;=98999)</formula>
    </cfRule>
    <cfRule type="expression" dxfId="26907" priority="14160" stopIfTrue="1">
      <formula>AND(AO76&gt;=78100,AO76&lt;=78199)</formula>
    </cfRule>
    <cfRule type="expression" dxfId="26906" priority="14161" stopIfTrue="1">
      <formula>AND(AO76&gt;=91000,AO76&lt;=91999)</formula>
    </cfRule>
  </conditionalFormatting>
  <conditionalFormatting sqref="AN76">
    <cfRule type="expression" dxfId="26905" priority="14140">
      <formula>AND(AO76&gt;=79001,AO76&lt;79900)</formula>
    </cfRule>
    <cfRule type="expression" dxfId="26904" priority="14141" stopIfTrue="1">
      <formula>AND(AO76&gt;=70101,AO76&lt;=70301)</formula>
    </cfRule>
    <cfRule type="expression" dxfId="26903" priority="14142" stopIfTrue="1">
      <formula>AND(AO76&gt;70000,AO76&lt;70004)</formula>
    </cfRule>
    <cfRule type="expression" dxfId="26902" priority="14143" stopIfTrue="1">
      <formula>AND(AO76&gt;=70010,AO76&lt;=76000)</formula>
    </cfRule>
    <cfRule type="expression" dxfId="26901" priority="14144">
      <formula>AND(AO76&gt;70000,AO76&lt;70004)</formula>
    </cfRule>
    <cfRule type="expression" dxfId="26900" priority="14145" stopIfTrue="1">
      <formula>OR(AND(AO76&gt;=10000,AO76&lt;=56999),AND(AO76&gt;=57000,AO76&lt;=57999))</formula>
    </cfRule>
    <cfRule type="expression" dxfId="26899" priority="14146" stopIfTrue="1">
      <formula>AND(AO76&gt;=8000,AO76&lt;=9999)</formula>
    </cfRule>
    <cfRule type="expression" dxfId="26898" priority="14147" stopIfTrue="1">
      <formula>AND(AO76&gt;=78100,AO76&lt;=78199)</formula>
    </cfRule>
    <cfRule type="expression" dxfId="26897" priority="14148" stopIfTrue="1">
      <formula>AND(AO76&gt;=92000,AO76&lt;=98999)</formula>
    </cfRule>
    <cfRule type="expression" dxfId="26896" priority="14149" stopIfTrue="1">
      <formula>AND(AO76&gt;=78100,AO76&lt;=78199)</formula>
    </cfRule>
    <cfRule type="expression" dxfId="26895" priority="14150" stopIfTrue="1">
      <formula>AND(AO76&gt;=91000,AO76&lt;=91999)</formula>
    </cfRule>
  </conditionalFormatting>
  <conditionalFormatting sqref="AR76">
    <cfRule type="expression" dxfId="26894" priority="14129">
      <formula>AND(AS76&gt;=79001,AS76&lt;79900)</formula>
    </cfRule>
    <cfRule type="expression" dxfId="26893" priority="14130" stopIfTrue="1">
      <formula>AND(AS76&gt;=70101,AS76&lt;=70301)</formula>
    </cfRule>
    <cfRule type="expression" dxfId="26892" priority="14131" stopIfTrue="1">
      <formula>AND(AS76&gt;70000,AS76&lt;70004)</formula>
    </cfRule>
    <cfRule type="expression" dxfId="26891" priority="14132" stopIfTrue="1">
      <formula>AND(AS76&gt;=70010,AS76&lt;=76000)</formula>
    </cfRule>
    <cfRule type="expression" dxfId="26890" priority="14133">
      <formula>AND(AS76&gt;70000,AS76&lt;70004)</formula>
    </cfRule>
    <cfRule type="expression" dxfId="26889" priority="14134" stopIfTrue="1">
      <formula>OR(AND(AS76&gt;=10000,AS76&lt;=56999),AND(AS76&gt;=57000,AS76&lt;=57999))</formula>
    </cfRule>
    <cfRule type="expression" dxfId="26888" priority="14135" stopIfTrue="1">
      <formula>AND(AS76&gt;=8000,AS76&lt;=9999)</formula>
    </cfRule>
    <cfRule type="expression" dxfId="26887" priority="14136" stopIfTrue="1">
      <formula>AND(AS76&gt;=78100,AS76&lt;=78199)</formula>
    </cfRule>
    <cfRule type="expression" dxfId="26886" priority="14137" stopIfTrue="1">
      <formula>AND(AS76&gt;=92000,AS76&lt;=98999)</formula>
    </cfRule>
    <cfRule type="expression" dxfId="26885" priority="14138" stopIfTrue="1">
      <formula>AND(AS76&gt;=78100,AS76&lt;=78199)</formula>
    </cfRule>
    <cfRule type="expression" dxfId="26884" priority="14139" stopIfTrue="1">
      <formula>AND(AS76&gt;=91000,AS76&lt;=91999)</formula>
    </cfRule>
  </conditionalFormatting>
  <conditionalFormatting sqref="AR76">
    <cfRule type="expression" dxfId="26883" priority="14118">
      <formula>AND(AS76&gt;=79001,AS76&lt;79900)</formula>
    </cfRule>
    <cfRule type="expression" dxfId="26882" priority="14119" stopIfTrue="1">
      <formula>AND(AS76&gt;=70101,AS76&lt;=70301)</formula>
    </cfRule>
    <cfRule type="expression" dxfId="26881" priority="14120" stopIfTrue="1">
      <formula>AND(AS76&gt;70000,AS76&lt;70004)</formula>
    </cfRule>
    <cfRule type="expression" dxfId="26880" priority="14121" stopIfTrue="1">
      <formula>AND(AS76&gt;=70010,AS76&lt;=76000)</formula>
    </cfRule>
    <cfRule type="expression" dxfId="26879" priority="14122">
      <formula>AND(AS76&gt;70000,AS76&lt;70004)</formula>
    </cfRule>
    <cfRule type="expression" dxfId="26878" priority="14123" stopIfTrue="1">
      <formula>OR(AND(AS76&gt;=10000,AS76&lt;=56999),AND(AS76&gt;=57000,AS76&lt;=57999))</formula>
    </cfRule>
    <cfRule type="expression" dxfId="26877" priority="14124" stopIfTrue="1">
      <formula>AND(AS76&gt;=8000,AS76&lt;=9999)</formula>
    </cfRule>
    <cfRule type="expression" dxfId="26876" priority="14125" stopIfTrue="1">
      <formula>AND(AS76&gt;=78100,AS76&lt;=78199)</formula>
    </cfRule>
    <cfRule type="expression" dxfId="26875" priority="14126" stopIfTrue="1">
      <formula>AND(AS76&gt;=92000,AS76&lt;=98999)</formula>
    </cfRule>
    <cfRule type="expression" dxfId="26874" priority="14127" stopIfTrue="1">
      <formula>AND(AS76&gt;=78100,AS76&lt;=78199)</formula>
    </cfRule>
    <cfRule type="expression" dxfId="26873" priority="14128" stopIfTrue="1">
      <formula>AND(AS76&gt;=91000,AS76&lt;=91999)</formula>
    </cfRule>
  </conditionalFormatting>
  <conditionalFormatting sqref="AR76">
    <cfRule type="expression" dxfId="26872" priority="14107">
      <formula>AND(AS76&gt;=79001,AS76&lt;79900)</formula>
    </cfRule>
    <cfRule type="expression" dxfId="26871" priority="14108" stopIfTrue="1">
      <formula>AND(AS76&gt;=70101,AS76&lt;=70301)</formula>
    </cfRule>
    <cfRule type="expression" dxfId="26870" priority="14109" stopIfTrue="1">
      <formula>AND(AS76&gt;70000,AS76&lt;70004)</formula>
    </cfRule>
    <cfRule type="expression" dxfId="26869" priority="14110" stopIfTrue="1">
      <formula>AND(AS76&gt;=70010,AS76&lt;=76000)</formula>
    </cfRule>
    <cfRule type="expression" dxfId="26868" priority="14111">
      <formula>AND(AS76&gt;70000,AS76&lt;70004)</formula>
    </cfRule>
    <cfRule type="expression" dxfId="26867" priority="14112" stopIfTrue="1">
      <formula>OR(AND(AS76&gt;=10000,AS76&lt;=56999),AND(AS76&gt;=57000,AS76&lt;=57999))</formula>
    </cfRule>
    <cfRule type="expression" dxfId="26866" priority="14113" stopIfTrue="1">
      <formula>AND(AS76&gt;=8000,AS76&lt;=9999)</formula>
    </cfRule>
    <cfRule type="expression" dxfId="26865" priority="14114" stopIfTrue="1">
      <formula>AND(AS76&gt;=78100,AS76&lt;=78199)</formula>
    </cfRule>
    <cfRule type="expression" dxfId="26864" priority="14115" stopIfTrue="1">
      <formula>AND(AS76&gt;=92000,AS76&lt;=98999)</formula>
    </cfRule>
    <cfRule type="expression" dxfId="26863" priority="14116" stopIfTrue="1">
      <formula>AND(AS76&gt;=78100,AS76&lt;=78199)</formula>
    </cfRule>
    <cfRule type="expression" dxfId="26862" priority="14117" stopIfTrue="1">
      <formula>AND(AS76&gt;=91000,AS76&lt;=91999)</formula>
    </cfRule>
  </conditionalFormatting>
  <conditionalFormatting sqref="AR76">
    <cfRule type="expression" dxfId="26861" priority="14096">
      <formula>AND(AS76&gt;=79001,AS76&lt;79900)</formula>
    </cfRule>
    <cfRule type="expression" dxfId="26860" priority="14097" stopIfTrue="1">
      <formula>AND(AS76&gt;=70101,AS76&lt;=70301)</formula>
    </cfRule>
    <cfRule type="expression" dxfId="26859" priority="14098" stopIfTrue="1">
      <formula>AND(AS76&gt;70000,AS76&lt;70004)</formula>
    </cfRule>
    <cfRule type="expression" dxfId="26858" priority="14099" stopIfTrue="1">
      <formula>AND(AS76&gt;=70010,AS76&lt;=76000)</formula>
    </cfRule>
    <cfRule type="expression" dxfId="26857" priority="14100">
      <formula>AND(AS76&gt;70000,AS76&lt;70004)</formula>
    </cfRule>
    <cfRule type="expression" dxfId="26856" priority="14101" stopIfTrue="1">
      <formula>OR(AND(AS76&gt;=10000,AS76&lt;=56999),AND(AS76&gt;=57000,AS76&lt;=57999))</formula>
    </cfRule>
    <cfRule type="expression" dxfId="26855" priority="14102" stopIfTrue="1">
      <formula>AND(AS76&gt;=8000,AS76&lt;=9999)</formula>
    </cfRule>
    <cfRule type="expression" dxfId="26854" priority="14103" stopIfTrue="1">
      <formula>AND(AS76&gt;=78100,AS76&lt;=78199)</formula>
    </cfRule>
    <cfRule type="expression" dxfId="26853" priority="14104" stopIfTrue="1">
      <formula>AND(AS76&gt;=92000,AS76&lt;=98999)</formula>
    </cfRule>
    <cfRule type="expression" dxfId="26852" priority="14105" stopIfTrue="1">
      <formula>AND(AS76&gt;=78100,AS76&lt;=78199)</formula>
    </cfRule>
    <cfRule type="expression" dxfId="26851" priority="14106" stopIfTrue="1">
      <formula>AND(AS76&gt;=91000,AS76&lt;=91999)</formula>
    </cfRule>
  </conditionalFormatting>
  <conditionalFormatting sqref="AV76">
    <cfRule type="expression" dxfId="26850" priority="14085">
      <formula>AND(AW76&gt;=79001,AW76&lt;79900)</formula>
    </cfRule>
    <cfRule type="expression" dxfId="26849" priority="14086" stopIfTrue="1">
      <formula>AND(AW76&gt;=70101,AW76&lt;=70301)</formula>
    </cfRule>
    <cfRule type="expression" dxfId="26848" priority="14087" stopIfTrue="1">
      <formula>AND(AW76&gt;70000,AW76&lt;70004)</formula>
    </cfRule>
    <cfRule type="expression" dxfId="26847" priority="14088" stopIfTrue="1">
      <formula>AND(AW76&gt;=70010,AW76&lt;=76000)</formula>
    </cfRule>
    <cfRule type="expression" dxfId="26846" priority="14089">
      <formula>AND(AW76&gt;70000,AW76&lt;70004)</formula>
    </cfRule>
    <cfRule type="expression" dxfId="26845" priority="14090" stopIfTrue="1">
      <formula>OR(AND(AW76&gt;=10000,AW76&lt;=56999),AND(AW76&gt;=57000,AW76&lt;=57999))</formula>
    </cfRule>
    <cfRule type="expression" dxfId="26844" priority="14091" stopIfTrue="1">
      <formula>AND(AW76&gt;=8000,AW76&lt;=9999)</formula>
    </cfRule>
    <cfRule type="expression" dxfId="26843" priority="14092" stopIfTrue="1">
      <formula>AND(AW76&gt;=78100,AW76&lt;=78199)</formula>
    </cfRule>
    <cfRule type="expression" dxfId="26842" priority="14093" stopIfTrue="1">
      <formula>AND(AW76&gt;=92000,AW76&lt;=98999)</formula>
    </cfRule>
    <cfRule type="expression" dxfId="26841" priority="14094" stopIfTrue="1">
      <formula>AND(AW76&gt;=78100,AW76&lt;=78199)</formula>
    </cfRule>
    <cfRule type="expression" dxfId="26840" priority="14095" stopIfTrue="1">
      <formula>AND(AW76&gt;=91000,AW76&lt;=91999)</formula>
    </cfRule>
  </conditionalFormatting>
  <conditionalFormatting sqref="AV76">
    <cfRule type="expression" dxfId="26839" priority="14074">
      <formula>AND(AW76&gt;=79001,AW76&lt;79900)</formula>
    </cfRule>
    <cfRule type="expression" dxfId="26838" priority="14075" stopIfTrue="1">
      <formula>AND(AW76&gt;=70101,AW76&lt;=70301)</formula>
    </cfRule>
    <cfRule type="expression" dxfId="26837" priority="14076" stopIfTrue="1">
      <formula>AND(AW76&gt;70000,AW76&lt;70004)</formula>
    </cfRule>
    <cfRule type="expression" dxfId="26836" priority="14077" stopIfTrue="1">
      <formula>AND(AW76&gt;=70010,AW76&lt;=76000)</formula>
    </cfRule>
    <cfRule type="expression" dxfId="26835" priority="14078">
      <formula>AND(AW76&gt;70000,AW76&lt;70004)</formula>
    </cfRule>
    <cfRule type="expression" dxfId="26834" priority="14079" stopIfTrue="1">
      <formula>OR(AND(AW76&gt;=10000,AW76&lt;=56999),AND(AW76&gt;=57000,AW76&lt;=57999))</formula>
    </cfRule>
    <cfRule type="expression" dxfId="26833" priority="14080" stopIfTrue="1">
      <formula>AND(AW76&gt;=8000,AW76&lt;=9999)</formula>
    </cfRule>
    <cfRule type="expression" dxfId="26832" priority="14081" stopIfTrue="1">
      <formula>AND(AW76&gt;=78100,AW76&lt;=78199)</formula>
    </cfRule>
    <cfRule type="expression" dxfId="26831" priority="14082" stopIfTrue="1">
      <formula>AND(AW76&gt;=92000,AW76&lt;=98999)</formula>
    </cfRule>
    <cfRule type="expression" dxfId="26830" priority="14083" stopIfTrue="1">
      <formula>AND(AW76&gt;=78100,AW76&lt;=78199)</formula>
    </cfRule>
    <cfRule type="expression" dxfId="26829" priority="14084" stopIfTrue="1">
      <formula>AND(AW76&gt;=91000,AW76&lt;=91999)</formula>
    </cfRule>
  </conditionalFormatting>
  <conditionalFormatting sqref="AV76">
    <cfRule type="expression" dxfId="26828" priority="14063">
      <formula>AND(AW76&gt;=79001,AW76&lt;79900)</formula>
    </cfRule>
    <cfRule type="expression" dxfId="26827" priority="14064" stopIfTrue="1">
      <formula>AND(AW76&gt;=70101,AW76&lt;=70301)</formula>
    </cfRule>
    <cfRule type="expression" dxfId="26826" priority="14065" stopIfTrue="1">
      <formula>AND(AW76&gt;70000,AW76&lt;70004)</formula>
    </cfRule>
    <cfRule type="expression" dxfId="26825" priority="14066" stopIfTrue="1">
      <formula>AND(AW76&gt;=70010,AW76&lt;=76000)</formula>
    </cfRule>
    <cfRule type="expression" dxfId="26824" priority="14067">
      <formula>AND(AW76&gt;70000,AW76&lt;70004)</formula>
    </cfRule>
    <cfRule type="expression" dxfId="26823" priority="14068" stopIfTrue="1">
      <formula>OR(AND(AW76&gt;=10000,AW76&lt;=56999),AND(AW76&gt;=57000,AW76&lt;=57999))</formula>
    </cfRule>
    <cfRule type="expression" dxfId="26822" priority="14069" stopIfTrue="1">
      <formula>AND(AW76&gt;=8000,AW76&lt;=9999)</formula>
    </cfRule>
    <cfRule type="expression" dxfId="26821" priority="14070" stopIfTrue="1">
      <formula>AND(AW76&gt;=78100,AW76&lt;=78199)</formula>
    </cfRule>
    <cfRule type="expression" dxfId="26820" priority="14071" stopIfTrue="1">
      <formula>AND(AW76&gt;=92000,AW76&lt;=98999)</formula>
    </cfRule>
    <cfRule type="expression" dxfId="26819" priority="14072" stopIfTrue="1">
      <formula>AND(AW76&gt;=78100,AW76&lt;=78199)</formula>
    </cfRule>
    <cfRule type="expression" dxfId="26818" priority="14073" stopIfTrue="1">
      <formula>AND(AW76&gt;=91000,AW76&lt;=91999)</formula>
    </cfRule>
  </conditionalFormatting>
  <conditionalFormatting sqref="AV76">
    <cfRule type="expression" dxfId="26817" priority="14052">
      <formula>AND(AW76&gt;=79001,AW76&lt;79900)</formula>
    </cfRule>
    <cfRule type="expression" dxfId="26816" priority="14053" stopIfTrue="1">
      <formula>AND(AW76&gt;=70101,AW76&lt;=70301)</formula>
    </cfRule>
    <cfRule type="expression" dxfId="26815" priority="14054" stopIfTrue="1">
      <formula>AND(AW76&gt;70000,AW76&lt;70004)</formula>
    </cfRule>
    <cfRule type="expression" dxfId="26814" priority="14055" stopIfTrue="1">
      <formula>AND(AW76&gt;=70010,AW76&lt;=76000)</formula>
    </cfRule>
    <cfRule type="expression" dxfId="26813" priority="14056">
      <formula>AND(AW76&gt;70000,AW76&lt;70004)</formula>
    </cfRule>
    <cfRule type="expression" dxfId="26812" priority="14057" stopIfTrue="1">
      <formula>OR(AND(AW76&gt;=10000,AW76&lt;=56999),AND(AW76&gt;=57000,AW76&lt;=57999))</formula>
    </cfRule>
    <cfRule type="expression" dxfId="26811" priority="14058" stopIfTrue="1">
      <formula>AND(AW76&gt;=8000,AW76&lt;=9999)</formula>
    </cfRule>
    <cfRule type="expression" dxfId="26810" priority="14059" stopIfTrue="1">
      <formula>AND(AW76&gt;=78100,AW76&lt;=78199)</formula>
    </cfRule>
    <cfRule type="expression" dxfId="26809" priority="14060" stopIfTrue="1">
      <formula>AND(AW76&gt;=92000,AW76&lt;=98999)</formula>
    </cfRule>
    <cfRule type="expression" dxfId="26808" priority="14061" stopIfTrue="1">
      <formula>AND(AW76&gt;=78100,AW76&lt;=78199)</formula>
    </cfRule>
    <cfRule type="expression" dxfId="26807" priority="14062" stopIfTrue="1">
      <formula>AND(AW76&gt;=91000,AW76&lt;=91999)</formula>
    </cfRule>
  </conditionalFormatting>
  <conditionalFormatting sqref="AZ76">
    <cfRule type="expression" dxfId="26806" priority="14041">
      <formula>AND(BA76&gt;=79001,BA76&lt;79900)</formula>
    </cfRule>
    <cfRule type="expression" dxfId="26805" priority="14042" stopIfTrue="1">
      <formula>AND(BA76&gt;=70101,BA76&lt;=70301)</formula>
    </cfRule>
    <cfRule type="expression" dxfId="26804" priority="14043" stopIfTrue="1">
      <formula>AND(BA76&gt;70000,BA76&lt;70004)</formula>
    </cfRule>
    <cfRule type="expression" dxfId="26803" priority="14044" stopIfTrue="1">
      <formula>AND(BA76&gt;=70010,BA76&lt;=76000)</formula>
    </cfRule>
    <cfRule type="expression" dxfId="26802" priority="14045">
      <formula>AND(BA76&gt;70000,BA76&lt;70004)</formula>
    </cfRule>
    <cfRule type="expression" dxfId="26801" priority="14046" stopIfTrue="1">
      <formula>OR(AND(BA76&gt;=10000,BA76&lt;=56999),AND(BA76&gt;=57000,BA76&lt;=57999))</formula>
    </cfRule>
    <cfRule type="expression" dxfId="26800" priority="14047" stopIfTrue="1">
      <formula>AND(BA76&gt;=8000,BA76&lt;=9999)</formula>
    </cfRule>
    <cfRule type="expression" dxfId="26799" priority="14048" stopIfTrue="1">
      <formula>AND(BA76&gt;=78100,BA76&lt;=78199)</formula>
    </cfRule>
    <cfRule type="expression" dxfId="26798" priority="14049" stopIfTrue="1">
      <formula>AND(BA76&gt;=92000,BA76&lt;=98999)</formula>
    </cfRule>
    <cfRule type="expression" dxfId="26797" priority="14050" stopIfTrue="1">
      <formula>AND(BA76&gt;=78100,BA76&lt;=78199)</formula>
    </cfRule>
    <cfRule type="expression" dxfId="26796" priority="14051" stopIfTrue="1">
      <formula>AND(BA76&gt;=91000,BA76&lt;=91999)</formula>
    </cfRule>
  </conditionalFormatting>
  <conditionalFormatting sqref="AZ76">
    <cfRule type="expression" dxfId="26795" priority="14030">
      <formula>AND(BA76&gt;=79001,BA76&lt;79900)</formula>
    </cfRule>
    <cfRule type="expression" dxfId="26794" priority="14031" stopIfTrue="1">
      <formula>AND(BA76&gt;=70101,BA76&lt;=70301)</formula>
    </cfRule>
    <cfRule type="expression" dxfId="26793" priority="14032" stopIfTrue="1">
      <formula>AND(BA76&gt;70000,BA76&lt;70004)</formula>
    </cfRule>
    <cfRule type="expression" dxfId="26792" priority="14033" stopIfTrue="1">
      <formula>AND(BA76&gt;=70010,BA76&lt;=76000)</formula>
    </cfRule>
    <cfRule type="expression" dxfId="26791" priority="14034">
      <formula>AND(BA76&gt;70000,BA76&lt;70004)</formula>
    </cfRule>
    <cfRule type="expression" dxfId="26790" priority="14035" stopIfTrue="1">
      <formula>OR(AND(BA76&gt;=10000,BA76&lt;=56999),AND(BA76&gt;=57000,BA76&lt;=57999))</formula>
    </cfRule>
    <cfRule type="expression" dxfId="26789" priority="14036" stopIfTrue="1">
      <formula>AND(BA76&gt;=8000,BA76&lt;=9999)</formula>
    </cfRule>
    <cfRule type="expression" dxfId="26788" priority="14037" stopIfTrue="1">
      <formula>AND(BA76&gt;=78100,BA76&lt;=78199)</formula>
    </cfRule>
    <cfRule type="expression" dxfId="26787" priority="14038" stopIfTrue="1">
      <formula>AND(BA76&gt;=92000,BA76&lt;=98999)</formula>
    </cfRule>
    <cfRule type="expression" dxfId="26786" priority="14039" stopIfTrue="1">
      <formula>AND(BA76&gt;=78100,BA76&lt;=78199)</formula>
    </cfRule>
    <cfRule type="expression" dxfId="26785" priority="14040" stopIfTrue="1">
      <formula>AND(BA76&gt;=91000,BA76&lt;=91999)</formula>
    </cfRule>
  </conditionalFormatting>
  <conditionalFormatting sqref="AZ76">
    <cfRule type="expression" dxfId="26784" priority="14019">
      <formula>AND(BA76&gt;=79001,BA76&lt;79900)</formula>
    </cfRule>
    <cfRule type="expression" dxfId="26783" priority="14020" stopIfTrue="1">
      <formula>AND(BA76&gt;=70101,BA76&lt;=70301)</formula>
    </cfRule>
    <cfRule type="expression" dxfId="26782" priority="14021" stopIfTrue="1">
      <formula>AND(BA76&gt;70000,BA76&lt;70004)</formula>
    </cfRule>
    <cfRule type="expression" dxfId="26781" priority="14022" stopIfTrue="1">
      <formula>AND(BA76&gt;=70010,BA76&lt;=76000)</formula>
    </cfRule>
    <cfRule type="expression" dxfId="26780" priority="14023">
      <formula>AND(BA76&gt;70000,BA76&lt;70004)</formula>
    </cfRule>
    <cfRule type="expression" dxfId="26779" priority="14024" stopIfTrue="1">
      <formula>OR(AND(BA76&gt;=10000,BA76&lt;=56999),AND(BA76&gt;=57000,BA76&lt;=57999))</formula>
    </cfRule>
    <cfRule type="expression" dxfId="26778" priority="14025" stopIfTrue="1">
      <formula>AND(BA76&gt;=8000,BA76&lt;=9999)</formula>
    </cfRule>
    <cfRule type="expression" dxfId="26777" priority="14026" stopIfTrue="1">
      <formula>AND(BA76&gt;=78100,BA76&lt;=78199)</formula>
    </cfRule>
    <cfRule type="expression" dxfId="26776" priority="14027" stopIfTrue="1">
      <formula>AND(BA76&gt;=92000,BA76&lt;=98999)</formula>
    </cfRule>
    <cfRule type="expression" dxfId="26775" priority="14028" stopIfTrue="1">
      <formula>AND(BA76&gt;=78100,BA76&lt;=78199)</formula>
    </cfRule>
    <cfRule type="expression" dxfId="26774" priority="14029" stopIfTrue="1">
      <formula>AND(BA76&gt;=91000,BA76&lt;=91999)</formula>
    </cfRule>
  </conditionalFormatting>
  <conditionalFormatting sqref="AZ76">
    <cfRule type="expression" dxfId="26773" priority="14008">
      <formula>AND(BA76&gt;=79001,BA76&lt;79900)</formula>
    </cfRule>
    <cfRule type="expression" dxfId="26772" priority="14009" stopIfTrue="1">
      <formula>AND(BA76&gt;=70101,BA76&lt;=70301)</formula>
    </cfRule>
    <cfRule type="expression" dxfId="26771" priority="14010" stopIfTrue="1">
      <formula>AND(BA76&gt;70000,BA76&lt;70004)</formula>
    </cfRule>
    <cfRule type="expression" dxfId="26770" priority="14011" stopIfTrue="1">
      <formula>AND(BA76&gt;=70010,BA76&lt;=76000)</formula>
    </cfRule>
    <cfRule type="expression" dxfId="26769" priority="14012">
      <formula>AND(BA76&gt;70000,BA76&lt;70004)</formula>
    </cfRule>
    <cfRule type="expression" dxfId="26768" priority="14013" stopIfTrue="1">
      <formula>OR(AND(BA76&gt;=10000,BA76&lt;=56999),AND(BA76&gt;=57000,BA76&lt;=57999))</formula>
    </cfRule>
    <cfRule type="expression" dxfId="26767" priority="14014" stopIfTrue="1">
      <formula>AND(BA76&gt;=8000,BA76&lt;=9999)</formula>
    </cfRule>
    <cfRule type="expression" dxfId="26766" priority="14015" stopIfTrue="1">
      <formula>AND(BA76&gt;=78100,BA76&lt;=78199)</formula>
    </cfRule>
    <cfRule type="expression" dxfId="26765" priority="14016" stopIfTrue="1">
      <formula>AND(BA76&gt;=92000,BA76&lt;=98999)</formula>
    </cfRule>
    <cfRule type="expression" dxfId="26764" priority="14017" stopIfTrue="1">
      <formula>AND(BA76&gt;=78100,BA76&lt;=78199)</formula>
    </cfRule>
    <cfRule type="expression" dxfId="26763" priority="14018" stopIfTrue="1">
      <formula>AND(BA76&gt;=91000,BA76&lt;=91999)</formula>
    </cfRule>
  </conditionalFormatting>
  <conditionalFormatting sqref="AN91">
    <cfRule type="expression" dxfId="26762" priority="13821">
      <formula>AND(AO91&gt;=79001,AO91&lt;79900)</formula>
    </cfRule>
    <cfRule type="expression" dxfId="26761" priority="13822" stopIfTrue="1">
      <formula>AND(AO91&gt;=70101,AO91&lt;=70301)</formula>
    </cfRule>
    <cfRule type="expression" dxfId="26760" priority="13823" stopIfTrue="1">
      <formula>AND(AO91&gt;70000,AO91&lt;70004)</formula>
    </cfRule>
    <cfRule type="expression" dxfId="26759" priority="13824" stopIfTrue="1">
      <formula>AND(AO91&gt;=70010,AO91&lt;=76000)</formula>
    </cfRule>
    <cfRule type="expression" dxfId="26758" priority="13825">
      <formula>AND(AO91&gt;70000,AO91&lt;70004)</formula>
    </cfRule>
    <cfRule type="expression" dxfId="26757" priority="13826" stopIfTrue="1">
      <formula>OR(AND(AO91&gt;=10000,AO91&lt;=56999),AND(AO91&gt;=57000,AO91&lt;=57999))</formula>
    </cfRule>
    <cfRule type="expression" dxfId="26756" priority="13827" stopIfTrue="1">
      <formula>AND(AO91&gt;=8000,AO91&lt;=9999)</formula>
    </cfRule>
    <cfRule type="expression" dxfId="26755" priority="13828" stopIfTrue="1">
      <formula>AND(AO91&gt;=78100,AO91&lt;=78199)</formula>
    </cfRule>
    <cfRule type="expression" dxfId="26754" priority="13829" stopIfTrue="1">
      <formula>AND(AO91&gt;=92000,AO91&lt;=98999)</formula>
    </cfRule>
    <cfRule type="expression" dxfId="26753" priority="13830" stopIfTrue="1">
      <formula>AND(AO91&gt;=78100,AO91&lt;=78199)</formula>
    </cfRule>
    <cfRule type="expression" dxfId="26752" priority="13831" stopIfTrue="1">
      <formula>AND(AO91&gt;=91000,AO91&lt;=91999)</formula>
    </cfRule>
  </conditionalFormatting>
  <conditionalFormatting sqref="AN91">
    <cfRule type="expression" dxfId="26751" priority="13810">
      <formula>AND(AO91&gt;=79001,AO91&lt;79900)</formula>
    </cfRule>
    <cfRule type="expression" dxfId="26750" priority="13811" stopIfTrue="1">
      <formula>AND(AO91&gt;=70101,AO91&lt;=70301)</formula>
    </cfRule>
    <cfRule type="expression" dxfId="26749" priority="13812" stopIfTrue="1">
      <formula>AND(AO91&gt;70000,AO91&lt;70004)</formula>
    </cfRule>
    <cfRule type="expression" dxfId="26748" priority="13813" stopIfTrue="1">
      <formula>AND(AO91&gt;=70010,AO91&lt;=76000)</formula>
    </cfRule>
    <cfRule type="expression" dxfId="26747" priority="13814">
      <formula>AND(AO91&gt;70000,AO91&lt;70004)</formula>
    </cfRule>
    <cfRule type="expression" dxfId="26746" priority="13815" stopIfTrue="1">
      <formula>OR(AND(AO91&gt;=10000,AO91&lt;=56999),AND(AO91&gt;=57000,AO91&lt;=57999))</formula>
    </cfRule>
    <cfRule type="expression" dxfId="26745" priority="13816" stopIfTrue="1">
      <formula>AND(AO91&gt;=8000,AO91&lt;=9999)</formula>
    </cfRule>
    <cfRule type="expression" dxfId="26744" priority="13817" stopIfTrue="1">
      <formula>AND(AO91&gt;=78100,AO91&lt;=78199)</formula>
    </cfRule>
    <cfRule type="expression" dxfId="26743" priority="13818" stopIfTrue="1">
      <formula>AND(AO91&gt;=92000,AO91&lt;=98999)</formula>
    </cfRule>
    <cfRule type="expression" dxfId="26742" priority="13819" stopIfTrue="1">
      <formula>AND(AO91&gt;=78100,AO91&lt;=78199)</formula>
    </cfRule>
    <cfRule type="expression" dxfId="26741" priority="13820" stopIfTrue="1">
      <formula>AND(AO91&gt;=91000,AO91&lt;=91999)</formula>
    </cfRule>
  </conditionalFormatting>
  <conditionalFormatting sqref="AN91">
    <cfRule type="expression" dxfId="26740" priority="13799">
      <formula>AND(AO91&gt;=79001,AO91&lt;79900)</formula>
    </cfRule>
    <cfRule type="expression" dxfId="26739" priority="13800" stopIfTrue="1">
      <formula>AND(AO91&gt;=70101,AO91&lt;=70301)</formula>
    </cfRule>
    <cfRule type="expression" dxfId="26738" priority="13801" stopIfTrue="1">
      <formula>AND(AO91&gt;70000,AO91&lt;70004)</formula>
    </cfRule>
    <cfRule type="expression" dxfId="26737" priority="13802" stopIfTrue="1">
      <formula>AND(AO91&gt;=70010,AO91&lt;=76000)</formula>
    </cfRule>
    <cfRule type="expression" dxfId="26736" priority="13803">
      <formula>AND(AO91&gt;70000,AO91&lt;70004)</formula>
    </cfRule>
    <cfRule type="expression" dxfId="26735" priority="13804" stopIfTrue="1">
      <formula>OR(AND(AO91&gt;=10000,AO91&lt;=56999),AND(AO91&gt;=57000,AO91&lt;=57999))</formula>
    </cfRule>
    <cfRule type="expression" dxfId="26734" priority="13805" stopIfTrue="1">
      <formula>AND(AO91&gt;=8000,AO91&lt;=9999)</formula>
    </cfRule>
    <cfRule type="expression" dxfId="26733" priority="13806" stopIfTrue="1">
      <formula>AND(AO91&gt;=78100,AO91&lt;=78199)</formula>
    </cfRule>
    <cfRule type="expression" dxfId="26732" priority="13807" stopIfTrue="1">
      <formula>AND(AO91&gt;=92000,AO91&lt;=98999)</formula>
    </cfRule>
    <cfRule type="expression" dxfId="26731" priority="13808" stopIfTrue="1">
      <formula>AND(AO91&gt;=78100,AO91&lt;=78199)</formula>
    </cfRule>
    <cfRule type="expression" dxfId="26730" priority="13809" stopIfTrue="1">
      <formula>AND(AO91&gt;=91000,AO91&lt;=91999)</formula>
    </cfRule>
  </conditionalFormatting>
  <conditionalFormatting sqref="AN91">
    <cfRule type="expression" dxfId="26729" priority="13788">
      <formula>AND(AO91&gt;=79001,AO91&lt;79900)</formula>
    </cfRule>
    <cfRule type="expression" dxfId="26728" priority="13789" stopIfTrue="1">
      <formula>AND(AO91&gt;=70101,AO91&lt;=70301)</formula>
    </cfRule>
    <cfRule type="expression" dxfId="26727" priority="13790" stopIfTrue="1">
      <formula>AND(AO91&gt;70000,AO91&lt;70004)</formula>
    </cfRule>
    <cfRule type="expression" dxfId="26726" priority="13791" stopIfTrue="1">
      <formula>AND(AO91&gt;=70010,AO91&lt;=76000)</formula>
    </cfRule>
    <cfRule type="expression" dxfId="26725" priority="13792">
      <formula>AND(AO91&gt;70000,AO91&lt;70004)</formula>
    </cfRule>
    <cfRule type="expression" dxfId="26724" priority="13793" stopIfTrue="1">
      <formula>OR(AND(AO91&gt;=10000,AO91&lt;=56999),AND(AO91&gt;=57000,AO91&lt;=57999))</formula>
    </cfRule>
    <cfRule type="expression" dxfId="26723" priority="13794" stopIfTrue="1">
      <formula>AND(AO91&gt;=8000,AO91&lt;=9999)</formula>
    </cfRule>
    <cfRule type="expression" dxfId="26722" priority="13795" stopIfTrue="1">
      <formula>AND(AO91&gt;=78100,AO91&lt;=78199)</formula>
    </cfRule>
    <cfRule type="expression" dxfId="26721" priority="13796" stopIfTrue="1">
      <formula>AND(AO91&gt;=92000,AO91&lt;=98999)</formula>
    </cfRule>
    <cfRule type="expression" dxfId="26720" priority="13797" stopIfTrue="1">
      <formula>AND(AO91&gt;=78100,AO91&lt;=78199)</formula>
    </cfRule>
    <cfRule type="expression" dxfId="26719" priority="13798" stopIfTrue="1">
      <formula>AND(AO91&gt;=91000,AO91&lt;=91999)</formula>
    </cfRule>
  </conditionalFormatting>
  <conditionalFormatting sqref="AR91">
    <cfRule type="expression" dxfId="26718" priority="13777">
      <formula>AND(AS91&gt;=79001,AS91&lt;79900)</formula>
    </cfRule>
    <cfRule type="expression" dxfId="26717" priority="13778" stopIfTrue="1">
      <formula>AND(AS91&gt;=70101,AS91&lt;=70301)</formula>
    </cfRule>
    <cfRule type="expression" dxfId="26716" priority="13779" stopIfTrue="1">
      <formula>AND(AS91&gt;70000,AS91&lt;70004)</formula>
    </cfRule>
    <cfRule type="expression" dxfId="26715" priority="13780" stopIfTrue="1">
      <formula>AND(AS91&gt;=70010,AS91&lt;=76000)</formula>
    </cfRule>
    <cfRule type="expression" dxfId="26714" priority="13781">
      <formula>AND(AS91&gt;70000,AS91&lt;70004)</formula>
    </cfRule>
    <cfRule type="expression" dxfId="26713" priority="13782" stopIfTrue="1">
      <formula>OR(AND(AS91&gt;=10000,AS91&lt;=56999),AND(AS91&gt;=57000,AS91&lt;=57999))</formula>
    </cfRule>
    <cfRule type="expression" dxfId="26712" priority="13783" stopIfTrue="1">
      <formula>AND(AS91&gt;=8000,AS91&lt;=9999)</formula>
    </cfRule>
    <cfRule type="expression" dxfId="26711" priority="13784" stopIfTrue="1">
      <formula>AND(AS91&gt;=78100,AS91&lt;=78199)</formula>
    </cfRule>
    <cfRule type="expression" dxfId="26710" priority="13785" stopIfTrue="1">
      <formula>AND(AS91&gt;=92000,AS91&lt;=98999)</formula>
    </cfRule>
    <cfRule type="expression" dxfId="26709" priority="13786" stopIfTrue="1">
      <formula>AND(AS91&gt;=78100,AS91&lt;=78199)</formula>
    </cfRule>
    <cfRule type="expression" dxfId="26708" priority="13787" stopIfTrue="1">
      <formula>AND(AS91&gt;=91000,AS91&lt;=91999)</formula>
    </cfRule>
  </conditionalFormatting>
  <conditionalFormatting sqref="AR91">
    <cfRule type="expression" dxfId="26707" priority="13766">
      <formula>AND(AS91&gt;=79001,AS91&lt;79900)</formula>
    </cfRule>
    <cfRule type="expression" dxfId="26706" priority="13767" stopIfTrue="1">
      <formula>AND(AS91&gt;=70101,AS91&lt;=70301)</formula>
    </cfRule>
    <cfRule type="expression" dxfId="26705" priority="13768" stopIfTrue="1">
      <formula>AND(AS91&gt;70000,AS91&lt;70004)</formula>
    </cfRule>
    <cfRule type="expression" dxfId="26704" priority="13769" stopIfTrue="1">
      <formula>AND(AS91&gt;=70010,AS91&lt;=76000)</formula>
    </cfRule>
    <cfRule type="expression" dxfId="26703" priority="13770">
      <formula>AND(AS91&gt;70000,AS91&lt;70004)</formula>
    </cfRule>
    <cfRule type="expression" dxfId="26702" priority="13771" stopIfTrue="1">
      <formula>OR(AND(AS91&gt;=10000,AS91&lt;=56999),AND(AS91&gt;=57000,AS91&lt;=57999))</formula>
    </cfRule>
    <cfRule type="expression" dxfId="26701" priority="13772" stopIfTrue="1">
      <formula>AND(AS91&gt;=8000,AS91&lt;=9999)</formula>
    </cfRule>
    <cfRule type="expression" dxfId="26700" priority="13773" stopIfTrue="1">
      <formula>AND(AS91&gt;=78100,AS91&lt;=78199)</formula>
    </cfRule>
    <cfRule type="expression" dxfId="26699" priority="13774" stopIfTrue="1">
      <formula>AND(AS91&gt;=92000,AS91&lt;=98999)</formula>
    </cfRule>
    <cfRule type="expression" dxfId="26698" priority="13775" stopIfTrue="1">
      <formula>AND(AS91&gt;=78100,AS91&lt;=78199)</formula>
    </cfRule>
    <cfRule type="expression" dxfId="26697" priority="13776" stopIfTrue="1">
      <formula>AND(AS91&gt;=91000,AS91&lt;=91999)</formula>
    </cfRule>
  </conditionalFormatting>
  <conditionalFormatting sqref="AR91">
    <cfRule type="expression" dxfId="26696" priority="13755">
      <formula>AND(AS91&gt;=79001,AS91&lt;79900)</formula>
    </cfRule>
    <cfRule type="expression" dxfId="26695" priority="13756" stopIfTrue="1">
      <formula>AND(AS91&gt;=70101,AS91&lt;=70301)</formula>
    </cfRule>
    <cfRule type="expression" dxfId="26694" priority="13757" stopIfTrue="1">
      <formula>AND(AS91&gt;70000,AS91&lt;70004)</formula>
    </cfRule>
    <cfRule type="expression" dxfId="26693" priority="13758" stopIfTrue="1">
      <formula>AND(AS91&gt;=70010,AS91&lt;=76000)</formula>
    </cfRule>
    <cfRule type="expression" dxfId="26692" priority="13759">
      <formula>AND(AS91&gt;70000,AS91&lt;70004)</formula>
    </cfRule>
    <cfRule type="expression" dxfId="26691" priority="13760" stopIfTrue="1">
      <formula>OR(AND(AS91&gt;=10000,AS91&lt;=56999),AND(AS91&gt;=57000,AS91&lt;=57999))</formula>
    </cfRule>
    <cfRule type="expression" dxfId="26690" priority="13761" stopIfTrue="1">
      <formula>AND(AS91&gt;=8000,AS91&lt;=9999)</formula>
    </cfRule>
    <cfRule type="expression" dxfId="26689" priority="13762" stopIfTrue="1">
      <formula>AND(AS91&gt;=78100,AS91&lt;=78199)</formula>
    </cfRule>
    <cfRule type="expression" dxfId="26688" priority="13763" stopIfTrue="1">
      <formula>AND(AS91&gt;=92000,AS91&lt;=98999)</formula>
    </cfRule>
    <cfRule type="expression" dxfId="26687" priority="13764" stopIfTrue="1">
      <formula>AND(AS91&gt;=78100,AS91&lt;=78199)</formula>
    </cfRule>
    <cfRule type="expression" dxfId="26686" priority="13765" stopIfTrue="1">
      <formula>AND(AS91&gt;=91000,AS91&lt;=91999)</formula>
    </cfRule>
  </conditionalFormatting>
  <conditionalFormatting sqref="AR91">
    <cfRule type="expression" dxfId="26685" priority="13744">
      <formula>AND(AS91&gt;=79001,AS91&lt;79900)</formula>
    </cfRule>
    <cfRule type="expression" dxfId="26684" priority="13745" stopIfTrue="1">
      <formula>AND(AS91&gt;=70101,AS91&lt;=70301)</formula>
    </cfRule>
    <cfRule type="expression" dxfId="26683" priority="13746" stopIfTrue="1">
      <formula>AND(AS91&gt;70000,AS91&lt;70004)</formula>
    </cfRule>
    <cfRule type="expression" dxfId="26682" priority="13747" stopIfTrue="1">
      <formula>AND(AS91&gt;=70010,AS91&lt;=76000)</formula>
    </cfRule>
    <cfRule type="expression" dxfId="26681" priority="13748">
      <formula>AND(AS91&gt;70000,AS91&lt;70004)</formula>
    </cfRule>
    <cfRule type="expression" dxfId="26680" priority="13749" stopIfTrue="1">
      <formula>OR(AND(AS91&gt;=10000,AS91&lt;=56999),AND(AS91&gt;=57000,AS91&lt;=57999))</formula>
    </cfRule>
    <cfRule type="expression" dxfId="26679" priority="13750" stopIfTrue="1">
      <formula>AND(AS91&gt;=8000,AS91&lt;=9999)</formula>
    </cfRule>
    <cfRule type="expression" dxfId="26678" priority="13751" stopIfTrue="1">
      <formula>AND(AS91&gt;=78100,AS91&lt;=78199)</formula>
    </cfRule>
    <cfRule type="expression" dxfId="26677" priority="13752" stopIfTrue="1">
      <formula>AND(AS91&gt;=92000,AS91&lt;=98999)</formula>
    </cfRule>
    <cfRule type="expression" dxfId="26676" priority="13753" stopIfTrue="1">
      <formula>AND(AS91&gt;=78100,AS91&lt;=78199)</formula>
    </cfRule>
    <cfRule type="expression" dxfId="26675" priority="13754" stopIfTrue="1">
      <formula>AND(AS91&gt;=91000,AS91&lt;=91999)</formula>
    </cfRule>
  </conditionalFormatting>
  <conditionalFormatting sqref="AV91">
    <cfRule type="expression" dxfId="26674" priority="13733">
      <formula>AND(AW91&gt;=79001,AW91&lt;79900)</formula>
    </cfRule>
    <cfRule type="expression" dxfId="26673" priority="13734" stopIfTrue="1">
      <formula>AND(AW91&gt;=70101,AW91&lt;=70301)</formula>
    </cfRule>
    <cfRule type="expression" dxfId="26672" priority="13735" stopIfTrue="1">
      <formula>AND(AW91&gt;70000,AW91&lt;70004)</formula>
    </cfRule>
    <cfRule type="expression" dxfId="26671" priority="13736" stopIfTrue="1">
      <formula>AND(AW91&gt;=70010,AW91&lt;=76000)</formula>
    </cfRule>
    <cfRule type="expression" dxfId="26670" priority="13737">
      <formula>AND(AW91&gt;70000,AW91&lt;70004)</formula>
    </cfRule>
    <cfRule type="expression" dxfId="26669" priority="13738" stopIfTrue="1">
      <formula>OR(AND(AW91&gt;=10000,AW91&lt;=56999),AND(AW91&gt;=57000,AW91&lt;=57999))</formula>
    </cfRule>
    <cfRule type="expression" dxfId="26668" priority="13739" stopIfTrue="1">
      <formula>AND(AW91&gt;=8000,AW91&lt;=9999)</formula>
    </cfRule>
    <cfRule type="expression" dxfId="26667" priority="13740" stopIfTrue="1">
      <formula>AND(AW91&gt;=78100,AW91&lt;=78199)</formula>
    </cfRule>
    <cfRule type="expression" dxfId="26666" priority="13741" stopIfTrue="1">
      <formula>AND(AW91&gt;=92000,AW91&lt;=98999)</formula>
    </cfRule>
    <cfRule type="expression" dxfId="26665" priority="13742" stopIfTrue="1">
      <formula>AND(AW91&gt;=78100,AW91&lt;=78199)</formula>
    </cfRule>
    <cfRule type="expression" dxfId="26664" priority="13743" stopIfTrue="1">
      <formula>AND(AW91&gt;=91000,AW91&lt;=91999)</formula>
    </cfRule>
  </conditionalFormatting>
  <conditionalFormatting sqref="AV91">
    <cfRule type="expression" dxfId="26663" priority="13722">
      <formula>AND(AW91&gt;=79001,AW91&lt;79900)</formula>
    </cfRule>
    <cfRule type="expression" dxfId="26662" priority="13723" stopIfTrue="1">
      <formula>AND(AW91&gt;=70101,AW91&lt;=70301)</formula>
    </cfRule>
    <cfRule type="expression" dxfId="26661" priority="13724" stopIfTrue="1">
      <formula>AND(AW91&gt;70000,AW91&lt;70004)</formula>
    </cfRule>
    <cfRule type="expression" dxfId="26660" priority="13725" stopIfTrue="1">
      <formula>AND(AW91&gt;=70010,AW91&lt;=76000)</formula>
    </cfRule>
    <cfRule type="expression" dxfId="26659" priority="13726">
      <formula>AND(AW91&gt;70000,AW91&lt;70004)</formula>
    </cfRule>
    <cfRule type="expression" dxfId="26658" priority="13727" stopIfTrue="1">
      <formula>OR(AND(AW91&gt;=10000,AW91&lt;=56999),AND(AW91&gt;=57000,AW91&lt;=57999))</formula>
    </cfRule>
    <cfRule type="expression" dxfId="26657" priority="13728" stopIfTrue="1">
      <formula>AND(AW91&gt;=8000,AW91&lt;=9999)</formula>
    </cfRule>
    <cfRule type="expression" dxfId="26656" priority="13729" stopIfTrue="1">
      <formula>AND(AW91&gt;=78100,AW91&lt;=78199)</formula>
    </cfRule>
    <cfRule type="expression" dxfId="26655" priority="13730" stopIfTrue="1">
      <formula>AND(AW91&gt;=92000,AW91&lt;=98999)</formula>
    </cfRule>
    <cfRule type="expression" dxfId="26654" priority="13731" stopIfTrue="1">
      <formula>AND(AW91&gt;=78100,AW91&lt;=78199)</formula>
    </cfRule>
    <cfRule type="expression" dxfId="26653" priority="13732" stopIfTrue="1">
      <formula>AND(AW91&gt;=91000,AW91&lt;=91999)</formula>
    </cfRule>
  </conditionalFormatting>
  <conditionalFormatting sqref="AV91">
    <cfRule type="expression" dxfId="26652" priority="13711">
      <formula>AND(AW91&gt;=79001,AW91&lt;79900)</formula>
    </cfRule>
    <cfRule type="expression" dxfId="26651" priority="13712" stopIfTrue="1">
      <formula>AND(AW91&gt;=70101,AW91&lt;=70301)</formula>
    </cfRule>
    <cfRule type="expression" dxfId="26650" priority="13713" stopIfTrue="1">
      <formula>AND(AW91&gt;70000,AW91&lt;70004)</formula>
    </cfRule>
    <cfRule type="expression" dxfId="26649" priority="13714" stopIfTrue="1">
      <formula>AND(AW91&gt;=70010,AW91&lt;=76000)</formula>
    </cfRule>
    <cfRule type="expression" dxfId="26648" priority="13715">
      <formula>AND(AW91&gt;70000,AW91&lt;70004)</formula>
    </cfRule>
    <cfRule type="expression" dxfId="26647" priority="13716" stopIfTrue="1">
      <formula>OR(AND(AW91&gt;=10000,AW91&lt;=56999),AND(AW91&gt;=57000,AW91&lt;=57999))</formula>
    </cfRule>
    <cfRule type="expression" dxfId="26646" priority="13717" stopIfTrue="1">
      <formula>AND(AW91&gt;=8000,AW91&lt;=9999)</formula>
    </cfRule>
    <cfRule type="expression" dxfId="26645" priority="13718" stopIfTrue="1">
      <formula>AND(AW91&gt;=78100,AW91&lt;=78199)</formula>
    </cfRule>
    <cfRule type="expression" dxfId="26644" priority="13719" stopIfTrue="1">
      <formula>AND(AW91&gt;=92000,AW91&lt;=98999)</formula>
    </cfRule>
    <cfRule type="expression" dxfId="26643" priority="13720" stopIfTrue="1">
      <formula>AND(AW91&gt;=78100,AW91&lt;=78199)</formula>
    </cfRule>
    <cfRule type="expression" dxfId="26642" priority="13721" stopIfTrue="1">
      <formula>AND(AW91&gt;=91000,AW91&lt;=91999)</formula>
    </cfRule>
  </conditionalFormatting>
  <conditionalFormatting sqref="AV91">
    <cfRule type="expression" dxfId="26641" priority="13700">
      <formula>AND(AW91&gt;=79001,AW91&lt;79900)</formula>
    </cfRule>
    <cfRule type="expression" dxfId="26640" priority="13701" stopIfTrue="1">
      <formula>AND(AW91&gt;=70101,AW91&lt;=70301)</formula>
    </cfRule>
    <cfRule type="expression" dxfId="26639" priority="13702" stopIfTrue="1">
      <formula>AND(AW91&gt;70000,AW91&lt;70004)</formula>
    </cfRule>
    <cfRule type="expression" dxfId="26638" priority="13703" stopIfTrue="1">
      <formula>AND(AW91&gt;=70010,AW91&lt;=76000)</formula>
    </cfRule>
    <cfRule type="expression" dxfId="26637" priority="13704">
      <formula>AND(AW91&gt;70000,AW91&lt;70004)</formula>
    </cfRule>
    <cfRule type="expression" dxfId="26636" priority="13705" stopIfTrue="1">
      <formula>OR(AND(AW91&gt;=10000,AW91&lt;=56999),AND(AW91&gt;=57000,AW91&lt;=57999))</formula>
    </cfRule>
    <cfRule type="expression" dxfId="26635" priority="13706" stopIfTrue="1">
      <formula>AND(AW91&gt;=8000,AW91&lt;=9999)</formula>
    </cfRule>
    <cfRule type="expression" dxfId="26634" priority="13707" stopIfTrue="1">
      <formula>AND(AW91&gt;=78100,AW91&lt;=78199)</formula>
    </cfRule>
    <cfRule type="expression" dxfId="26633" priority="13708" stopIfTrue="1">
      <formula>AND(AW91&gt;=92000,AW91&lt;=98999)</formula>
    </cfRule>
    <cfRule type="expression" dxfId="26632" priority="13709" stopIfTrue="1">
      <formula>AND(AW91&gt;=78100,AW91&lt;=78199)</formula>
    </cfRule>
    <cfRule type="expression" dxfId="26631" priority="13710" stopIfTrue="1">
      <formula>AND(AW91&gt;=91000,AW91&lt;=91999)</formula>
    </cfRule>
  </conditionalFormatting>
  <conditionalFormatting sqref="AZ91">
    <cfRule type="expression" dxfId="26630" priority="13689">
      <formula>AND(BA91&gt;=79001,BA91&lt;79900)</formula>
    </cfRule>
    <cfRule type="expression" dxfId="26629" priority="13690" stopIfTrue="1">
      <formula>AND(BA91&gt;=70101,BA91&lt;=70301)</formula>
    </cfRule>
    <cfRule type="expression" dxfId="26628" priority="13691" stopIfTrue="1">
      <formula>AND(BA91&gt;70000,BA91&lt;70004)</formula>
    </cfRule>
    <cfRule type="expression" dxfId="26627" priority="13692" stopIfTrue="1">
      <formula>AND(BA91&gt;=70010,BA91&lt;=76000)</formula>
    </cfRule>
    <cfRule type="expression" dxfId="26626" priority="13693">
      <formula>AND(BA91&gt;70000,BA91&lt;70004)</formula>
    </cfRule>
    <cfRule type="expression" dxfId="26625" priority="13694" stopIfTrue="1">
      <formula>OR(AND(BA91&gt;=10000,BA91&lt;=56999),AND(BA91&gt;=57000,BA91&lt;=57999))</formula>
    </cfRule>
    <cfRule type="expression" dxfId="26624" priority="13695" stopIfTrue="1">
      <formula>AND(BA91&gt;=8000,BA91&lt;=9999)</formula>
    </cfRule>
    <cfRule type="expression" dxfId="26623" priority="13696" stopIfTrue="1">
      <formula>AND(BA91&gt;=78100,BA91&lt;=78199)</formula>
    </cfRule>
    <cfRule type="expression" dxfId="26622" priority="13697" stopIfTrue="1">
      <formula>AND(BA91&gt;=92000,BA91&lt;=98999)</formula>
    </cfRule>
    <cfRule type="expression" dxfId="26621" priority="13698" stopIfTrue="1">
      <formula>AND(BA91&gt;=78100,BA91&lt;=78199)</formula>
    </cfRule>
    <cfRule type="expression" dxfId="26620" priority="13699" stopIfTrue="1">
      <formula>AND(BA91&gt;=91000,BA91&lt;=91999)</formula>
    </cfRule>
  </conditionalFormatting>
  <conditionalFormatting sqref="AZ91">
    <cfRule type="expression" dxfId="26619" priority="13678">
      <formula>AND(BA91&gt;=79001,BA91&lt;79900)</formula>
    </cfRule>
    <cfRule type="expression" dxfId="26618" priority="13679" stopIfTrue="1">
      <formula>AND(BA91&gt;=70101,BA91&lt;=70301)</formula>
    </cfRule>
    <cfRule type="expression" dxfId="26617" priority="13680" stopIfTrue="1">
      <formula>AND(BA91&gt;70000,BA91&lt;70004)</formula>
    </cfRule>
    <cfRule type="expression" dxfId="26616" priority="13681" stopIfTrue="1">
      <formula>AND(BA91&gt;=70010,BA91&lt;=76000)</formula>
    </cfRule>
    <cfRule type="expression" dxfId="26615" priority="13682">
      <formula>AND(BA91&gt;70000,BA91&lt;70004)</formula>
    </cfRule>
    <cfRule type="expression" dxfId="26614" priority="13683" stopIfTrue="1">
      <formula>OR(AND(BA91&gt;=10000,BA91&lt;=56999),AND(BA91&gt;=57000,BA91&lt;=57999))</formula>
    </cfRule>
    <cfRule type="expression" dxfId="26613" priority="13684" stopIfTrue="1">
      <formula>AND(BA91&gt;=8000,BA91&lt;=9999)</formula>
    </cfRule>
    <cfRule type="expression" dxfId="26612" priority="13685" stopIfTrue="1">
      <formula>AND(BA91&gt;=78100,BA91&lt;=78199)</formula>
    </cfRule>
    <cfRule type="expression" dxfId="26611" priority="13686" stopIfTrue="1">
      <formula>AND(BA91&gt;=92000,BA91&lt;=98999)</formula>
    </cfRule>
    <cfRule type="expression" dxfId="26610" priority="13687" stopIfTrue="1">
      <formula>AND(BA91&gt;=78100,BA91&lt;=78199)</formula>
    </cfRule>
    <cfRule type="expression" dxfId="26609" priority="13688" stopIfTrue="1">
      <formula>AND(BA91&gt;=91000,BA91&lt;=91999)</formula>
    </cfRule>
  </conditionalFormatting>
  <conditionalFormatting sqref="AZ91">
    <cfRule type="expression" dxfId="26608" priority="13667">
      <formula>AND(BA91&gt;=79001,BA91&lt;79900)</formula>
    </cfRule>
    <cfRule type="expression" dxfId="26607" priority="13668" stopIfTrue="1">
      <formula>AND(BA91&gt;=70101,BA91&lt;=70301)</formula>
    </cfRule>
    <cfRule type="expression" dxfId="26606" priority="13669" stopIfTrue="1">
      <formula>AND(BA91&gt;70000,BA91&lt;70004)</formula>
    </cfRule>
    <cfRule type="expression" dxfId="26605" priority="13670" stopIfTrue="1">
      <formula>AND(BA91&gt;=70010,BA91&lt;=76000)</formula>
    </cfRule>
    <cfRule type="expression" dxfId="26604" priority="13671">
      <formula>AND(BA91&gt;70000,BA91&lt;70004)</formula>
    </cfRule>
    <cfRule type="expression" dxfId="26603" priority="13672" stopIfTrue="1">
      <formula>OR(AND(BA91&gt;=10000,BA91&lt;=56999),AND(BA91&gt;=57000,BA91&lt;=57999))</formula>
    </cfRule>
    <cfRule type="expression" dxfId="26602" priority="13673" stopIfTrue="1">
      <formula>AND(BA91&gt;=8000,BA91&lt;=9999)</formula>
    </cfRule>
    <cfRule type="expression" dxfId="26601" priority="13674" stopIfTrue="1">
      <formula>AND(BA91&gt;=78100,BA91&lt;=78199)</formula>
    </cfRule>
    <cfRule type="expression" dxfId="26600" priority="13675" stopIfTrue="1">
      <formula>AND(BA91&gt;=92000,BA91&lt;=98999)</formula>
    </cfRule>
    <cfRule type="expression" dxfId="26599" priority="13676" stopIfTrue="1">
      <formula>AND(BA91&gt;=78100,BA91&lt;=78199)</formula>
    </cfRule>
    <cfRule type="expression" dxfId="26598" priority="13677" stopIfTrue="1">
      <formula>AND(BA91&gt;=91000,BA91&lt;=91999)</formula>
    </cfRule>
  </conditionalFormatting>
  <conditionalFormatting sqref="AZ91">
    <cfRule type="expression" dxfId="26597" priority="13656">
      <formula>AND(BA91&gt;=79001,BA91&lt;79900)</formula>
    </cfRule>
    <cfRule type="expression" dxfId="26596" priority="13657" stopIfTrue="1">
      <formula>AND(BA91&gt;=70101,BA91&lt;=70301)</formula>
    </cfRule>
    <cfRule type="expression" dxfId="26595" priority="13658" stopIfTrue="1">
      <formula>AND(BA91&gt;70000,BA91&lt;70004)</formula>
    </cfRule>
    <cfRule type="expression" dxfId="26594" priority="13659" stopIfTrue="1">
      <formula>AND(BA91&gt;=70010,BA91&lt;=76000)</formula>
    </cfRule>
    <cfRule type="expression" dxfId="26593" priority="13660">
      <formula>AND(BA91&gt;70000,BA91&lt;70004)</formula>
    </cfRule>
    <cfRule type="expression" dxfId="26592" priority="13661" stopIfTrue="1">
      <formula>OR(AND(BA91&gt;=10000,BA91&lt;=56999),AND(BA91&gt;=57000,BA91&lt;=57999))</formula>
    </cfRule>
    <cfRule type="expression" dxfId="26591" priority="13662" stopIfTrue="1">
      <formula>AND(BA91&gt;=8000,BA91&lt;=9999)</formula>
    </cfRule>
    <cfRule type="expression" dxfId="26590" priority="13663" stopIfTrue="1">
      <formula>AND(BA91&gt;=78100,BA91&lt;=78199)</formula>
    </cfRule>
    <cfRule type="expression" dxfId="26589" priority="13664" stopIfTrue="1">
      <formula>AND(BA91&gt;=92000,BA91&lt;=98999)</formula>
    </cfRule>
    <cfRule type="expression" dxfId="26588" priority="13665" stopIfTrue="1">
      <formula>AND(BA91&gt;=78100,BA91&lt;=78199)</formula>
    </cfRule>
    <cfRule type="expression" dxfId="26587" priority="13666" stopIfTrue="1">
      <formula>AND(BA91&gt;=91000,BA91&lt;=91999)</formula>
    </cfRule>
  </conditionalFormatting>
  <conditionalFormatting sqref="AN106">
    <cfRule type="expression" dxfId="26586" priority="13469">
      <formula>AND(AO106&gt;=79001,AO106&lt;79900)</formula>
    </cfRule>
    <cfRule type="expression" dxfId="26585" priority="13470" stopIfTrue="1">
      <formula>AND(AO106&gt;=70101,AO106&lt;=70301)</formula>
    </cfRule>
    <cfRule type="expression" dxfId="26584" priority="13471" stopIfTrue="1">
      <formula>AND(AO106&gt;70000,AO106&lt;70004)</formula>
    </cfRule>
    <cfRule type="expression" dxfId="26583" priority="13472" stopIfTrue="1">
      <formula>AND(AO106&gt;=70010,AO106&lt;=76000)</formula>
    </cfRule>
    <cfRule type="expression" dxfId="26582" priority="13473">
      <formula>AND(AO106&gt;70000,AO106&lt;70004)</formula>
    </cfRule>
    <cfRule type="expression" dxfId="26581" priority="13474" stopIfTrue="1">
      <formula>OR(AND(AO106&gt;=10000,AO106&lt;=56999),AND(AO106&gt;=57000,AO106&lt;=57999))</formula>
    </cfRule>
    <cfRule type="expression" dxfId="26580" priority="13475" stopIfTrue="1">
      <formula>AND(AO106&gt;=8000,AO106&lt;=9999)</formula>
    </cfRule>
    <cfRule type="expression" dxfId="26579" priority="13476" stopIfTrue="1">
      <formula>AND(AO106&gt;=78100,AO106&lt;=78199)</formula>
    </cfRule>
    <cfRule type="expression" dxfId="26578" priority="13477" stopIfTrue="1">
      <formula>AND(AO106&gt;=92000,AO106&lt;=98999)</formula>
    </cfRule>
    <cfRule type="expression" dxfId="26577" priority="13478" stopIfTrue="1">
      <formula>AND(AO106&gt;=78100,AO106&lt;=78199)</formula>
    </cfRule>
    <cfRule type="expression" dxfId="26576" priority="13479" stopIfTrue="1">
      <formula>AND(AO106&gt;=91000,AO106&lt;=91999)</formula>
    </cfRule>
  </conditionalFormatting>
  <conditionalFormatting sqref="AN106">
    <cfRule type="expression" dxfId="26575" priority="13458">
      <formula>AND(AO106&gt;=79001,AO106&lt;79900)</formula>
    </cfRule>
    <cfRule type="expression" dxfId="26574" priority="13459" stopIfTrue="1">
      <formula>AND(AO106&gt;=70101,AO106&lt;=70301)</formula>
    </cfRule>
    <cfRule type="expression" dxfId="26573" priority="13460" stopIfTrue="1">
      <formula>AND(AO106&gt;70000,AO106&lt;70004)</formula>
    </cfRule>
    <cfRule type="expression" dxfId="26572" priority="13461" stopIfTrue="1">
      <formula>AND(AO106&gt;=70010,AO106&lt;=76000)</formula>
    </cfRule>
    <cfRule type="expression" dxfId="26571" priority="13462">
      <formula>AND(AO106&gt;70000,AO106&lt;70004)</formula>
    </cfRule>
    <cfRule type="expression" dxfId="26570" priority="13463" stopIfTrue="1">
      <formula>OR(AND(AO106&gt;=10000,AO106&lt;=56999),AND(AO106&gt;=57000,AO106&lt;=57999))</formula>
    </cfRule>
    <cfRule type="expression" dxfId="26569" priority="13464" stopIfTrue="1">
      <formula>AND(AO106&gt;=8000,AO106&lt;=9999)</formula>
    </cfRule>
    <cfRule type="expression" dxfId="26568" priority="13465" stopIfTrue="1">
      <formula>AND(AO106&gt;=78100,AO106&lt;=78199)</formula>
    </cfRule>
    <cfRule type="expression" dxfId="26567" priority="13466" stopIfTrue="1">
      <formula>AND(AO106&gt;=92000,AO106&lt;=98999)</formula>
    </cfRule>
    <cfRule type="expression" dxfId="26566" priority="13467" stopIfTrue="1">
      <formula>AND(AO106&gt;=78100,AO106&lt;=78199)</formula>
    </cfRule>
    <cfRule type="expression" dxfId="26565" priority="13468" stopIfTrue="1">
      <formula>AND(AO106&gt;=91000,AO106&lt;=91999)</formula>
    </cfRule>
  </conditionalFormatting>
  <conditionalFormatting sqref="AN106">
    <cfRule type="expression" dxfId="26564" priority="13447">
      <formula>AND(AO106&gt;=79001,AO106&lt;79900)</formula>
    </cfRule>
    <cfRule type="expression" dxfId="26563" priority="13448" stopIfTrue="1">
      <formula>AND(AO106&gt;=70101,AO106&lt;=70301)</formula>
    </cfRule>
    <cfRule type="expression" dxfId="26562" priority="13449" stopIfTrue="1">
      <formula>AND(AO106&gt;70000,AO106&lt;70004)</formula>
    </cfRule>
    <cfRule type="expression" dxfId="26561" priority="13450" stopIfTrue="1">
      <formula>AND(AO106&gt;=70010,AO106&lt;=76000)</formula>
    </cfRule>
    <cfRule type="expression" dxfId="26560" priority="13451">
      <formula>AND(AO106&gt;70000,AO106&lt;70004)</formula>
    </cfRule>
    <cfRule type="expression" dxfId="26559" priority="13452" stopIfTrue="1">
      <formula>OR(AND(AO106&gt;=10000,AO106&lt;=56999),AND(AO106&gt;=57000,AO106&lt;=57999))</formula>
    </cfRule>
    <cfRule type="expression" dxfId="26558" priority="13453" stopIfTrue="1">
      <formula>AND(AO106&gt;=8000,AO106&lt;=9999)</formula>
    </cfRule>
    <cfRule type="expression" dxfId="26557" priority="13454" stopIfTrue="1">
      <formula>AND(AO106&gt;=78100,AO106&lt;=78199)</formula>
    </cfRule>
    <cfRule type="expression" dxfId="26556" priority="13455" stopIfTrue="1">
      <formula>AND(AO106&gt;=92000,AO106&lt;=98999)</formula>
    </cfRule>
    <cfRule type="expression" dxfId="26555" priority="13456" stopIfTrue="1">
      <formula>AND(AO106&gt;=78100,AO106&lt;=78199)</formula>
    </cfRule>
    <cfRule type="expression" dxfId="26554" priority="13457" stopIfTrue="1">
      <formula>AND(AO106&gt;=91000,AO106&lt;=91999)</formula>
    </cfRule>
  </conditionalFormatting>
  <conditionalFormatting sqref="AN106">
    <cfRule type="expression" dxfId="26553" priority="13436">
      <formula>AND(AO106&gt;=79001,AO106&lt;79900)</formula>
    </cfRule>
    <cfRule type="expression" dxfId="26552" priority="13437" stopIfTrue="1">
      <formula>AND(AO106&gt;=70101,AO106&lt;=70301)</formula>
    </cfRule>
    <cfRule type="expression" dxfId="26551" priority="13438" stopIfTrue="1">
      <formula>AND(AO106&gt;70000,AO106&lt;70004)</formula>
    </cfRule>
    <cfRule type="expression" dxfId="26550" priority="13439" stopIfTrue="1">
      <formula>AND(AO106&gt;=70010,AO106&lt;=76000)</formula>
    </cfRule>
    <cfRule type="expression" dxfId="26549" priority="13440">
      <formula>AND(AO106&gt;70000,AO106&lt;70004)</formula>
    </cfRule>
    <cfRule type="expression" dxfId="26548" priority="13441" stopIfTrue="1">
      <formula>OR(AND(AO106&gt;=10000,AO106&lt;=56999),AND(AO106&gt;=57000,AO106&lt;=57999))</formula>
    </cfRule>
    <cfRule type="expression" dxfId="26547" priority="13442" stopIfTrue="1">
      <formula>AND(AO106&gt;=8000,AO106&lt;=9999)</formula>
    </cfRule>
    <cfRule type="expression" dxfId="26546" priority="13443" stopIfTrue="1">
      <formula>AND(AO106&gt;=78100,AO106&lt;=78199)</formula>
    </cfRule>
    <cfRule type="expression" dxfId="26545" priority="13444" stopIfTrue="1">
      <formula>AND(AO106&gt;=92000,AO106&lt;=98999)</formula>
    </cfRule>
    <cfRule type="expression" dxfId="26544" priority="13445" stopIfTrue="1">
      <formula>AND(AO106&gt;=78100,AO106&lt;=78199)</formula>
    </cfRule>
    <cfRule type="expression" dxfId="26543" priority="13446" stopIfTrue="1">
      <formula>AND(AO106&gt;=91000,AO106&lt;=91999)</formula>
    </cfRule>
  </conditionalFormatting>
  <conditionalFormatting sqref="AR106">
    <cfRule type="expression" dxfId="26542" priority="13425">
      <formula>AND(AS106&gt;=79001,AS106&lt;79900)</formula>
    </cfRule>
    <cfRule type="expression" dxfId="26541" priority="13426" stopIfTrue="1">
      <formula>AND(AS106&gt;=70101,AS106&lt;=70301)</formula>
    </cfRule>
    <cfRule type="expression" dxfId="26540" priority="13427" stopIfTrue="1">
      <formula>AND(AS106&gt;70000,AS106&lt;70004)</formula>
    </cfRule>
    <cfRule type="expression" dxfId="26539" priority="13428" stopIfTrue="1">
      <formula>AND(AS106&gt;=70010,AS106&lt;=76000)</formula>
    </cfRule>
    <cfRule type="expression" dxfId="26538" priority="13429">
      <formula>AND(AS106&gt;70000,AS106&lt;70004)</formula>
    </cfRule>
    <cfRule type="expression" dxfId="26537" priority="13430" stopIfTrue="1">
      <formula>OR(AND(AS106&gt;=10000,AS106&lt;=56999),AND(AS106&gt;=57000,AS106&lt;=57999))</formula>
    </cfRule>
    <cfRule type="expression" dxfId="26536" priority="13431" stopIfTrue="1">
      <formula>AND(AS106&gt;=8000,AS106&lt;=9999)</formula>
    </cfRule>
    <cfRule type="expression" dxfId="26535" priority="13432" stopIfTrue="1">
      <formula>AND(AS106&gt;=78100,AS106&lt;=78199)</formula>
    </cfRule>
    <cfRule type="expression" dxfId="26534" priority="13433" stopIfTrue="1">
      <formula>AND(AS106&gt;=92000,AS106&lt;=98999)</formula>
    </cfRule>
    <cfRule type="expression" dxfId="26533" priority="13434" stopIfTrue="1">
      <formula>AND(AS106&gt;=78100,AS106&lt;=78199)</formula>
    </cfRule>
    <cfRule type="expression" dxfId="26532" priority="13435" stopIfTrue="1">
      <formula>AND(AS106&gt;=91000,AS106&lt;=91999)</formula>
    </cfRule>
  </conditionalFormatting>
  <conditionalFormatting sqref="AR106">
    <cfRule type="expression" dxfId="26531" priority="13414">
      <formula>AND(AS106&gt;=79001,AS106&lt;79900)</formula>
    </cfRule>
    <cfRule type="expression" dxfId="26530" priority="13415" stopIfTrue="1">
      <formula>AND(AS106&gt;=70101,AS106&lt;=70301)</formula>
    </cfRule>
    <cfRule type="expression" dxfId="26529" priority="13416" stopIfTrue="1">
      <formula>AND(AS106&gt;70000,AS106&lt;70004)</formula>
    </cfRule>
    <cfRule type="expression" dxfId="26528" priority="13417" stopIfTrue="1">
      <formula>AND(AS106&gt;=70010,AS106&lt;=76000)</formula>
    </cfRule>
    <cfRule type="expression" dxfId="26527" priority="13418">
      <formula>AND(AS106&gt;70000,AS106&lt;70004)</formula>
    </cfRule>
    <cfRule type="expression" dxfId="26526" priority="13419" stopIfTrue="1">
      <formula>OR(AND(AS106&gt;=10000,AS106&lt;=56999),AND(AS106&gt;=57000,AS106&lt;=57999))</formula>
    </cfRule>
    <cfRule type="expression" dxfId="26525" priority="13420" stopIfTrue="1">
      <formula>AND(AS106&gt;=8000,AS106&lt;=9999)</formula>
    </cfRule>
    <cfRule type="expression" dxfId="26524" priority="13421" stopIfTrue="1">
      <formula>AND(AS106&gt;=78100,AS106&lt;=78199)</formula>
    </cfRule>
    <cfRule type="expression" dxfId="26523" priority="13422" stopIfTrue="1">
      <formula>AND(AS106&gt;=92000,AS106&lt;=98999)</formula>
    </cfRule>
    <cfRule type="expression" dxfId="26522" priority="13423" stopIfTrue="1">
      <formula>AND(AS106&gt;=78100,AS106&lt;=78199)</formula>
    </cfRule>
    <cfRule type="expression" dxfId="26521" priority="13424" stopIfTrue="1">
      <formula>AND(AS106&gt;=91000,AS106&lt;=91999)</formula>
    </cfRule>
  </conditionalFormatting>
  <conditionalFormatting sqref="AR106">
    <cfRule type="expression" dxfId="26520" priority="13403">
      <formula>AND(AS106&gt;=79001,AS106&lt;79900)</formula>
    </cfRule>
    <cfRule type="expression" dxfId="26519" priority="13404" stopIfTrue="1">
      <formula>AND(AS106&gt;=70101,AS106&lt;=70301)</formula>
    </cfRule>
    <cfRule type="expression" dxfId="26518" priority="13405" stopIfTrue="1">
      <formula>AND(AS106&gt;70000,AS106&lt;70004)</formula>
    </cfRule>
    <cfRule type="expression" dxfId="26517" priority="13406" stopIfTrue="1">
      <formula>AND(AS106&gt;=70010,AS106&lt;=76000)</formula>
    </cfRule>
    <cfRule type="expression" dxfId="26516" priority="13407">
      <formula>AND(AS106&gt;70000,AS106&lt;70004)</formula>
    </cfRule>
    <cfRule type="expression" dxfId="26515" priority="13408" stopIfTrue="1">
      <formula>OR(AND(AS106&gt;=10000,AS106&lt;=56999),AND(AS106&gt;=57000,AS106&lt;=57999))</formula>
    </cfRule>
    <cfRule type="expression" dxfId="26514" priority="13409" stopIfTrue="1">
      <formula>AND(AS106&gt;=8000,AS106&lt;=9999)</formula>
    </cfRule>
    <cfRule type="expression" dxfId="26513" priority="13410" stopIfTrue="1">
      <formula>AND(AS106&gt;=78100,AS106&lt;=78199)</formula>
    </cfRule>
    <cfRule type="expression" dxfId="26512" priority="13411" stopIfTrue="1">
      <formula>AND(AS106&gt;=92000,AS106&lt;=98999)</formula>
    </cfRule>
    <cfRule type="expression" dxfId="26511" priority="13412" stopIfTrue="1">
      <formula>AND(AS106&gt;=78100,AS106&lt;=78199)</formula>
    </cfRule>
    <cfRule type="expression" dxfId="26510" priority="13413" stopIfTrue="1">
      <formula>AND(AS106&gt;=91000,AS106&lt;=91999)</formula>
    </cfRule>
  </conditionalFormatting>
  <conditionalFormatting sqref="AR106">
    <cfRule type="expression" dxfId="26509" priority="13392">
      <formula>AND(AS106&gt;=79001,AS106&lt;79900)</formula>
    </cfRule>
    <cfRule type="expression" dxfId="26508" priority="13393" stopIfTrue="1">
      <formula>AND(AS106&gt;=70101,AS106&lt;=70301)</formula>
    </cfRule>
    <cfRule type="expression" dxfId="26507" priority="13394" stopIfTrue="1">
      <formula>AND(AS106&gt;70000,AS106&lt;70004)</formula>
    </cfRule>
    <cfRule type="expression" dxfId="26506" priority="13395" stopIfTrue="1">
      <formula>AND(AS106&gt;=70010,AS106&lt;=76000)</formula>
    </cfRule>
    <cfRule type="expression" dxfId="26505" priority="13396">
      <formula>AND(AS106&gt;70000,AS106&lt;70004)</formula>
    </cfRule>
    <cfRule type="expression" dxfId="26504" priority="13397" stopIfTrue="1">
      <formula>OR(AND(AS106&gt;=10000,AS106&lt;=56999),AND(AS106&gt;=57000,AS106&lt;=57999))</formula>
    </cfRule>
    <cfRule type="expression" dxfId="26503" priority="13398" stopIfTrue="1">
      <formula>AND(AS106&gt;=8000,AS106&lt;=9999)</formula>
    </cfRule>
    <cfRule type="expression" dxfId="26502" priority="13399" stopIfTrue="1">
      <formula>AND(AS106&gt;=78100,AS106&lt;=78199)</formula>
    </cfRule>
    <cfRule type="expression" dxfId="26501" priority="13400" stopIfTrue="1">
      <formula>AND(AS106&gt;=92000,AS106&lt;=98999)</formula>
    </cfRule>
    <cfRule type="expression" dxfId="26500" priority="13401" stopIfTrue="1">
      <formula>AND(AS106&gt;=78100,AS106&lt;=78199)</formula>
    </cfRule>
    <cfRule type="expression" dxfId="26499" priority="13402" stopIfTrue="1">
      <formula>AND(AS106&gt;=91000,AS106&lt;=91999)</formula>
    </cfRule>
  </conditionalFormatting>
  <conditionalFormatting sqref="AV106">
    <cfRule type="expression" dxfId="26498" priority="13381">
      <formula>AND(AW106&gt;=79001,AW106&lt;79900)</formula>
    </cfRule>
    <cfRule type="expression" dxfId="26497" priority="13382" stopIfTrue="1">
      <formula>AND(AW106&gt;=70101,AW106&lt;=70301)</formula>
    </cfRule>
    <cfRule type="expression" dxfId="26496" priority="13383" stopIfTrue="1">
      <formula>AND(AW106&gt;70000,AW106&lt;70004)</formula>
    </cfRule>
    <cfRule type="expression" dxfId="26495" priority="13384" stopIfTrue="1">
      <formula>AND(AW106&gt;=70010,AW106&lt;=76000)</formula>
    </cfRule>
    <cfRule type="expression" dxfId="26494" priority="13385">
      <formula>AND(AW106&gt;70000,AW106&lt;70004)</formula>
    </cfRule>
    <cfRule type="expression" dxfId="26493" priority="13386" stopIfTrue="1">
      <formula>OR(AND(AW106&gt;=10000,AW106&lt;=56999),AND(AW106&gt;=57000,AW106&lt;=57999))</formula>
    </cfRule>
    <cfRule type="expression" dxfId="26492" priority="13387" stopIfTrue="1">
      <formula>AND(AW106&gt;=8000,AW106&lt;=9999)</formula>
    </cfRule>
    <cfRule type="expression" dxfId="26491" priority="13388" stopIfTrue="1">
      <formula>AND(AW106&gt;=78100,AW106&lt;=78199)</formula>
    </cfRule>
    <cfRule type="expression" dxfId="26490" priority="13389" stopIfTrue="1">
      <formula>AND(AW106&gt;=92000,AW106&lt;=98999)</formula>
    </cfRule>
    <cfRule type="expression" dxfId="26489" priority="13390" stopIfTrue="1">
      <formula>AND(AW106&gt;=78100,AW106&lt;=78199)</formula>
    </cfRule>
    <cfRule type="expression" dxfId="26488" priority="13391" stopIfTrue="1">
      <formula>AND(AW106&gt;=91000,AW106&lt;=91999)</formula>
    </cfRule>
  </conditionalFormatting>
  <conditionalFormatting sqref="AV106">
    <cfRule type="expression" dxfId="26487" priority="13370">
      <formula>AND(AW106&gt;=79001,AW106&lt;79900)</formula>
    </cfRule>
    <cfRule type="expression" dxfId="26486" priority="13371" stopIfTrue="1">
      <formula>AND(AW106&gt;=70101,AW106&lt;=70301)</formula>
    </cfRule>
    <cfRule type="expression" dxfId="26485" priority="13372" stopIfTrue="1">
      <formula>AND(AW106&gt;70000,AW106&lt;70004)</formula>
    </cfRule>
    <cfRule type="expression" dxfId="26484" priority="13373" stopIfTrue="1">
      <formula>AND(AW106&gt;=70010,AW106&lt;=76000)</formula>
    </cfRule>
    <cfRule type="expression" dxfId="26483" priority="13374">
      <formula>AND(AW106&gt;70000,AW106&lt;70004)</formula>
    </cfRule>
    <cfRule type="expression" dxfId="26482" priority="13375" stopIfTrue="1">
      <formula>OR(AND(AW106&gt;=10000,AW106&lt;=56999),AND(AW106&gt;=57000,AW106&lt;=57999))</formula>
    </cfRule>
    <cfRule type="expression" dxfId="26481" priority="13376" stopIfTrue="1">
      <formula>AND(AW106&gt;=8000,AW106&lt;=9999)</formula>
    </cfRule>
    <cfRule type="expression" dxfId="26480" priority="13377" stopIfTrue="1">
      <formula>AND(AW106&gt;=78100,AW106&lt;=78199)</formula>
    </cfRule>
    <cfRule type="expression" dxfId="26479" priority="13378" stopIfTrue="1">
      <formula>AND(AW106&gt;=92000,AW106&lt;=98999)</formula>
    </cfRule>
    <cfRule type="expression" dxfId="26478" priority="13379" stopIfTrue="1">
      <formula>AND(AW106&gt;=78100,AW106&lt;=78199)</formula>
    </cfRule>
    <cfRule type="expression" dxfId="26477" priority="13380" stopIfTrue="1">
      <formula>AND(AW106&gt;=91000,AW106&lt;=91999)</formula>
    </cfRule>
  </conditionalFormatting>
  <conditionalFormatting sqref="AV106">
    <cfRule type="expression" dxfId="26476" priority="13359">
      <formula>AND(AW106&gt;=79001,AW106&lt;79900)</formula>
    </cfRule>
    <cfRule type="expression" dxfId="26475" priority="13360" stopIfTrue="1">
      <formula>AND(AW106&gt;=70101,AW106&lt;=70301)</formula>
    </cfRule>
    <cfRule type="expression" dxfId="26474" priority="13361" stopIfTrue="1">
      <formula>AND(AW106&gt;70000,AW106&lt;70004)</formula>
    </cfRule>
    <cfRule type="expression" dxfId="26473" priority="13362" stopIfTrue="1">
      <formula>AND(AW106&gt;=70010,AW106&lt;=76000)</formula>
    </cfRule>
    <cfRule type="expression" dxfId="26472" priority="13363">
      <formula>AND(AW106&gt;70000,AW106&lt;70004)</formula>
    </cfRule>
    <cfRule type="expression" dxfId="26471" priority="13364" stopIfTrue="1">
      <formula>OR(AND(AW106&gt;=10000,AW106&lt;=56999),AND(AW106&gt;=57000,AW106&lt;=57999))</formula>
    </cfRule>
    <cfRule type="expression" dxfId="26470" priority="13365" stopIfTrue="1">
      <formula>AND(AW106&gt;=8000,AW106&lt;=9999)</formula>
    </cfRule>
    <cfRule type="expression" dxfId="26469" priority="13366" stopIfTrue="1">
      <formula>AND(AW106&gt;=78100,AW106&lt;=78199)</formula>
    </cfRule>
    <cfRule type="expression" dxfId="26468" priority="13367" stopIfTrue="1">
      <formula>AND(AW106&gt;=92000,AW106&lt;=98999)</formula>
    </cfRule>
    <cfRule type="expression" dxfId="26467" priority="13368" stopIfTrue="1">
      <formula>AND(AW106&gt;=78100,AW106&lt;=78199)</formula>
    </cfRule>
    <cfRule type="expression" dxfId="26466" priority="13369" stopIfTrue="1">
      <formula>AND(AW106&gt;=91000,AW106&lt;=91999)</formula>
    </cfRule>
  </conditionalFormatting>
  <conditionalFormatting sqref="AV106">
    <cfRule type="expression" dxfId="26465" priority="13348">
      <formula>AND(AW106&gt;=79001,AW106&lt;79900)</formula>
    </cfRule>
    <cfRule type="expression" dxfId="26464" priority="13349" stopIfTrue="1">
      <formula>AND(AW106&gt;=70101,AW106&lt;=70301)</formula>
    </cfRule>
    <cfRule type="expression" dxfId="26463" priority="13350" stopIfTrue="1">
      <formula>AND(AW106&gt;70000,AW106&lt;70004)</formula>
    </cfRule>
    <cfRule type="expression" dxfId="26462" priority="13351" stopIfTrue="1">
      <formula>AND(AW106&gt;=70010,AW106&lt;=76000)</formula>
    </cfRule>
    <cfRule type="expression" dxfId="26461" priority="13352">
      <formula>AND(AW106&gt;70000,AW106&lt;70004)</formula>
    </cfRule>
    <cfRule type="expression" dxfId="26460" priority="13353" stopIfTrue="1">
      <formula>OR(AND(AW106&gt;=10000,AW106&lt;=56999),AND(AW106&gt;=57000,AW106&lt;=57999))</formula>
    </cfRule>
    <cfRule type="expression" dxfId="26459" priority="13354" stopIfTrue="1">
      <formula>AND(AW106&gt;=8000,AW106&lt;=9999)</formula>
    </cfRule>
    <cfRule type="expression" dxfId="26458" priority="13355" stopIfTrue="1">
      <formula>AND(AW106&gt;=78100,AW106&lt;=78199)</formula>
    </cfRule>
    <cfRule type="expression" dxfId="26457" priority="13356" stopIfTrue="1">
      <formula>AND(AW106&gt;=92000,AW106&lt;=98999)</formula>
    </cfRule>
    <cfRule type="expression" dxfId="26456" priority="13357" stopIfTrue="1">
      <formula>AND(AW106&gt;=78100,AW106&lt;=78199)</formula>
    </cfRule>
    <cfRule type="expression" dxfId="26455" priority="13358" stopIfTrue="1">
      <formula>AND(AW106&gt;=91000,AW106&lt;=91999)</formula>
    </cfRule>
  </conditionalFormatting>
  <conditionalFormatting sqref="AZ106">
    <cfRule type="expression" dxfId="26454" priority="13337">
      <formula>AND(BA106&gt;=79001,BA106&lt;79900)</formula>
    </cfRule>
    <cfRule type="expression" dxfId="26453" priority="13338" stopIfTrue="1">
      <formula>AND(BA106&gt;=70101,BA106&lt;=70301)</formula>
    </cfRule>
    <cfRule type="expression" dxfId="26452" priority="13339" stopIfTrue="1">
      <formula>AND(BA106&gt;70000,BA106&lt;70004)</formula>
    </cfRule>
    <cfRule type="expression" dxfId="26451" priority="13340" stopIfTrue="1">
      <formula>AND(BA106&gt;=70010,BA106&lt;=76000)</formula>
    </cfRule>
    <cfRule type="expression" dxfId="26450" priority="13341">
      <formula>AND(BA106&gt;70000,BA106&lt;70004)</formula>
    </cfRule>
    <cfRule type="expression" dxfId="26449" priority="13342" stopIfTrue="1">
      <formula>OR(AND(BA106&gt;=10000,BA106&lt;=56999),AND(BA106&gt;=57000,BA106&lt;=57999))</formula>
    </cfRule>
    <cfRule type="expression" dxfId="26448" priority="13343" stopIfTrue="1">
      <formula>AND(BA106&gt;=8000,BA106&lt;=9999)</formula>
    </cfRule>
    <cfRule type="expression" dxfId="26447" priority="13344" stopIfTrue="1">
      <formula>AND(BA106&gt;=78100,BA106&lt;=78199)</formula>
    </cfRule>
    <cfRule type="expression" dxfId="26446" priority="13345" stopIfTrue="1">
      <formula>AND(BA106&gt;=92000,BA106&lt;=98999)</formula>
    </cfRule>
    <cfRule type="expression" dxfId="26445" priority="13346" stopIfTrue="1">
      <formula>AND(BA106&gt;=78100,BA106&lt;=78199)</formula>
    </cfRule>
    <cfRule type="expression" dxfId="26444" priority="13347" stopIfTrue="1">
      <formula>AND(BA106&gt;=91000,BA106&lt;=91999)</formula>
    </cfRule>
  </conditionalFormatting>
  <conditionalFormatting sqref="AZ106">
    <cfRule type="expression" dxfId="26443" priority="13326">
      <formula>AND(BA106&gt;=79001,BA106&lt;79900)</formula>
    </cfRule>
    <cfRule type="expression" dxfId="26442" priority="13327" stopIfTrue="1">
      <formula>AND(BA106&gt;=70101,BA106&lt;=70301)</formula>
    </cfRule>
    <cfRule type="expression" dxfId="26441" priority="13328" stopIfTrue="1">
      <formula>AND(BA106&gt;70000,BA106&lt;70004)</formula>
    </cfRule>
    <cfRule type="expression" dxfId="26440" priority="13329" stopIfTrue="1">
      <formula>AND(BA106&gt;=70010,BA106&lt;=76000)</formula>
    </cfRule>
    <cfRule type="expression" dxfId="26439" priority="13330">
      <formula>AND(BA106&gt;70000,BA106&lt;70004)</formula>
    </cfRule>
    <cfRule type="expression" dxfId="26438" priority="13331" stopIfTrue="1">
      <formula>OR(AND(BA106&gt;=10000,BA106&lt;=56999),AND(BA106&gt;=57000,BA106&lt;=57999))</formula>
    </cfRule>
    <cfRule type="expression" dxfId="26437" priority="13332" stopIfTrue="1">
      <formula>AND(BA106&gt;=8000,BA106&lt;=9999)</formula>
    </cfRule>
    <cfRule type="expression" dxfId="26436" priority="13333" stopIfTrue="1">
      <formula>AND(BA106&gt;=78100,BA106&lt;=78199)</formula>
    </cfRule>
    <cfRule type="expression" dxfId="26435" priority="13334" stopIfTrue="1">
      <formula>AND(BA106&gt;=92000,BA106&lt;=98999)</formula>
    </cfRule>
    <cfRule type="expression" dxfId="26434" priority="13335" stopIfTrue="1">
      <formula>AND(BA106&gt;=78100,BA106&lt;=78199)</formula>
    </cfRule>
    <cfRule type="expression" dxfId="26433" priority="13336" stopIfTrue="1">
      <formula>AND(BA106&gt;=91000,BA106&lt;=91999)</formula>
    </cfRule>
  </conditionalFormatting>
  <conditionalFormatting sqref="AZ106">
    <cfRule type="expression" dxfId="26432" priority="13315">
      <formula>AND(BA106&gt;=79001,BA106&lt;79900)</formula>
    </cfRule>
    <cfRule type="expression" dxfId="26431" priority="13316" stopIfTrue="1">
      <formula>AND(BA106&gt;=70101,BA106&lt;=70301)</formula>
    </cfRule>
    <cfRule type="expression" dxfId="26430" priority="13317" stopIfTrue="1">
      <formula>AND(BA106&gt;70000,BA106&lt;70004)</formula>
    </cfRule>
    <cfRule type="expression" dxfId="26429" priority="13318" stopIfTrue="1">
      <formula>AND(BA106&gt;=70010,BA106&lt;=76000)</formula>
    </cfRule>
    <cfRule type="expression" dxfId="26428" priority="13319">
      <formula>AND(BA106&gt;70000,BA106&lt;70004)</formula>
    </cfRule>
    <cfRule type="expression" dxfId="26427" priority="13320" stopIfTrue="1">
      <formula>OR(AND(BA106&gt;=10000,BA106&lt;=56999),AND(BA106&gt;=57000,BA106&lt;=57999))</formula>
    </cfRule>
    <cfRule type="expression" dxfId="26426" priority="13321" stopIfTrue="1">
      <formula>AND(BA106&gt;=8000,BA106&lt;=9999)</formula>
    </cfRule>
    <cfRule type="expression" dxfId="26425" priority="13322" stopIfTrue="1">
      <formula>AND(BA106&gt;=78100,BA106&lt;=78199)</formula>
    </cfRule>
    <cfRule type="expression" dxfId="26424" priority="13323" stopIfTrue="1">
      <formula>AND(BA106&gt;=92000,BA106&lt;=98999)</formula>
    </cfRule>
    <cfRule type="expression" dxfId="26423" priority="13324" stopIfTrue="1">
      <formula>AND(BA106&gt;=78100,BA106&lt;=78199)</formula>
    </cfRule>
    <cfRule type="expression" dxfId="26422" priority="13325" stopIfTrue="1">
      <formula>AND(BA106&gt;=91000,BA106&lt;=91999)</formula>
    </cfRule>
  </conditionalFormatting>
  <conditionalFormatting sqref="AZ106">
    <cfRule type="expression" dxfId="26421" priority="13304">
      <formula>AND(BA106&gt;=79001,BA106&lt;79900)</formula>
    </cfRule>
    <cfRule type="expression" dxfId="26420" priority="13305" stopIfTrue="1">
      <formula>AND(BA106&gt;=70101,BA106&lt;=70301)</formula>
    </cfRule>
    <cfRule type="expression" dxfId="26419" priority="13306" stopIfTrue="1">
      <formula>AND(BA106&gt;70000,BA106&lt;70004)</formula>
    </cfRule>
    <cfRule type="expression" dxfId="26418" priority="13307" stopIfTrue="1">
      <formula>AND(BA106&gt;=70010,BA106&lt;=76000)</formula>
    </cfRule>
    <cfRule type="expression" dxfId="26417" priority="13308">
      <formula>AND(BA106&gt;70000,BA106&lt;70004)</formula>
    </cfRule>
    <cfRule type="expression" dxfId="26416" priority="13309" stopIfTrue="1">
      <formula>OR(AND(BA106&gt;=10000,BA106&lt;=56999),AND(BA106&gt;=57000,BA106&lt;=57999))</formula>
    </cfRule>
    <cfRule type="expression" dxfId="26415" priority="13310" stopIfTrue="1">
      <formula>AND(BA106&gt;=8000,BA106&lt;=9999)</formula>
    </cfRule>
    <cfRule type="expression" dxfId="26414" priority="13311" stopIfTrue="1">
      <formula>AND(BA106&gt;=78100,BA106&lt;=78199)</formula>
    </cfRule>
    <cfRule type="expression" dxfId="26413" priority="13312" stopIfTrue="1">
      <formula>AND(BA106&gt;=92000,BA106&lt;=98999)</formula>
    </cfRule>
    <cfRule type="expression" dxfId="26412" priority="13313" stopIfTrue="1">
      <formula>AND(BA106&gt;=78100,BA106&lt;=78199)</formula>
    </cfRule>
    <cfRule type="expression" dxfId="26411" priority="13314" stopIfTrue="1">
      <formula>AND(BA106&gt;=91000,BA106&lt;=91999)</formula>
    </cfRule>
  </conditionalFormatting>
  <conditionalFormatting sqref="AN121">
    <cfRule type="expression" dxfId="26410" priority="13117">
      <formula>AND(AO121&gt;=79001,AO121&lt;79900)</formula>
    </cfRule>
    <cfRule type="expression" dxfId="26409" priority="13118" stopIfTrue="1">
      <formula>AND(AO121&gt;=70101,AO121&lt;=70301)</formula>
    </cfRule>
    <cfRule type="expression" dxfId="26408" priority="13119" stopIfTrue="1">
      <formula>AND(AO121&gt;70000,AO121&lt;70004)</formula>
    </cfRule>
    <cfRule type="expression" dxfId="26407" priority="13120" stopIfTrue="1">
      <formula>AND(AO121&gt;=70010,AO121&lt;=76000)</formula>
    </cfRule>
    <cfRule type="expression" dxfId="26406" priority="13121">
      <formula>AND(AO121&gt;70000,AO121&lt;70004)</formula>
    </cfRule>
    <cfRule type="expression" dxfId="26405" priority="13122" stopIfTrue="1">
      <formula>OR(AND(AO121&gt;=10000,AO121&lt;=56999),AND(AO121&gt;=57000,AO121&lt;=57999))</formula>
    </cfRule>
    <cfRule type="expression" dxfId="26404" priority="13123" stopIfTrue="1">
      <formula>AND(AO121&gt;=8000,AO121&lt;=9999)</formula>
    </cfRule>
    <cfRule type="expression" dxfId="26403" priority="13124" stopIfTrue="1">
      <formula>AND(AO121&gt;=78100,AO121&lt;=78199)</formula>
    </cfRule>
    <cfRule type="expression" dxfId="26402" priority="13125" stopIfTrue="1">
      <formula>AND(AO121&gt;=92000,AO121&lt;=98999)</formula>
    </cfRule>
    <cfRule type="expression" dxfId="26401" priority="13126" stopIfTrue="1">
      <formula>AND(AO121&gt;=78100,AO121&lt;=78199)</formula>
    </cfRule>
    <cfRule type="expression" dxfId="26400" priority="13127" stopIfTrue="1">
      <formula>AND(AO121&gt;=91000,AO121&lt;=91999)</formula>
    </cfRule>
  </conditionalFormatting>
  <conditionalFormatting sqref="AN121">
    <cfRule type="expression" dxfId="26399" priority="13106">
      <formula>AND(AO121&gt;=79001,AO121&lt;79900)</formula>
    </cfRule>
    <cfRule type="expression" dxfId="26398" priority="13107" stopIfTrue="1">
      <formula>AND(AO121&gt;=70101,AO121&lt;=70301)</formula>
    </cfRule>
    <cfRule type="expression" dxfId="26397" priority="13108" stopIfTrue="1">
      <formula>AND(AO121&gt;70000,AO121&lt;70004)</formula>
    </cfRule>
    <cfRule type="expression" dxfId="26396" priority="13109" stopIfTrue="1">
      <formula>AND(AO121&gt;=70010,AO121&lt;=76000)</formula>
    </cfRule>
    <cfRule type="expression" dxfId="26395" priority="13110">
      <formula>AND(AO121&gt;70000,AO121&lt;70004)</formula>
    </cfRule>
    <cfRule type="expression" dxfId="26394" priority="13111" stopIfTrue="1">
      <formula>OR(AND(AO121&gt;=10000,AO121&lt;=56999),AND(AO121&gt;=57000,AO121&lt;=57999))</formula>
    </cfRule>
    <cfRule type="expression" dxfId="26393" priority="13112" stopIfTrue="1">
      <formula>AND(AO121&gt;=8000,AO121&lt;=9999)</formula>
    </cfRule>
    <cfRule type="expression" dxfId="26392" priority="13113" stopIfTrue="1">
      <formula>AND(AO121&gt;=78100,AO121&lt;=78199)</formula>
    </cfRule>
    <cfRule type="expression" dxfId="26391" priority="13114" stopIfTrue="1">
      <formula>AND(AO121&gt;=92000,AO121&lt;=98999)</formula>
    </cfRule>
    <cfRule type="expression" dxfId="26390" priority="13115" stopIfTrue="1">
      <formula>AND(AO121&gt;=78100,AO121&lt;=78199)</formula>
    </cfRule>
    <cfRule type="expression" dxfId="26389" priority="13116" stopIfTrue="1">
      <formula>AND(AO121&gt;=91000,AO121&lt;=91999)</formula>
    </cfRule>
  </conditionalFormatting>
  <conditionalFormatting sqref="AN121">
    <cfRule type="expression" dxfId="26388" priority="13095">
      <formula>AND(AO121&gt;=79001,AO121&lt;79900)</formula>
    </cfRule>
    <cfRule type="expression" dxfId="26387" priority="13096" stopIfTrue="1">
      <formula>AND(AO121&gt;=70101,AO121&lt;=70301)</formula>
    </cfRule>
    <cfRule type="expression" dxfId="26386" priority="13097" stopIfTrue="1">
      <formula>AND(AO121&gt;70000,AO121&lt;70004)</formula>
    </cfRule>
    <cfRule type="expression" dxfId="26385" priority="13098" stopIfTrue="1">
      <formula>AND(AO121&gt;=70010,AO121&lt;=76000)</formula>
    </cfRule>
    <cfRule type="expression" dxfId="26384" priority="13099">
      <formula>AND(AO121&gt;70000,AO121&lt;70004)</formula>
    </cfRule>
    <cfRule type="expression" dxfId="26383" priority="13100" stopIfTrue="1">
      <formula>OR(AND(AO121&gt;=10000,AO121&lt;=56999),AND(AO121&gt;=57000,AO121&lt;=57999))</formula>
    </cfRule>
    <cfRule type="expression" dxfId="26382" priority="13101" stopIfTrue="1">
      <formula>AND(AO121&gt;=8000,AO121&lt;=9999)</formula>
    </cfRule>
    <cfRule type="expression" dxfId="26381" priority="13102" stopIfTrue="1">
      <formula>AND(AO121&gt;=78100,AO121&lt;=78199)</formula>
    </cfRule>
    <cfRule type="expression" dxfId="26380" priority="13103" stopIfTrue="1">
      <formula>AND(AO121&gt;=92000,AO121&lt;=98999)</formula>
    </cfRule>
    <cfRule type="expression" dxfId="26379" priority="13104" stopIfTrue="1">
      <formula>AND(AO121&gt;=78100,AO121&lt;=78199)</formula>
    </cfRule>
    <cfRule type="expression" dxfId="26378" priority="13105" stopIfTrue="1">
      <formula>AND(AO121&gt;=91000,AO121&lt;=91999)</formula>
    </cfRule>
  </conditionalFormatting>
  <conditionalFormatting sqref="AN121">
    <cfRule type="expression" dxfId="26377" priority="13084">
      <formula>AND(AO121&gt;=79001,AO121&lt;79900)</formula>
    </cfRule>
    <cfRule type="expression" dxfId="26376" priority="13085" stopIfTrue="1">
      <formula>AND(AO121&gt;=70101,AO121&lt;=70301)</formula>
    </cfRule>
    <cfRule type="expression" dxfId="26375" priority="13086" stopIfTrue="1">
      <formula>AND(AO121&gt;70000,AO121&lt;70004)</formula>
    </cfRule>
    <cfRule type="expression" dxfId="26374" priority="13087" stopIfTrue="1">
      <formula>AND(AO121&gt;=70010,AO121&lt;=76000)</formula>
    </cfRule>
    <cfRule type="expression" dxfId="26373" priority="13088">
      <formula>AND(AO121&gt;70000,AO121&lt;70004)</formula>
    </cfRule>
    <cfRule type="expression" dxfId="26372" priority="13089" stopIfTrue="1">
      <formula>OR(AND(AO121&gt;=10000,AO121&lt;=56999),AND(AO121&gt;=57000,AO121&lt;=57999))</formula>
    </cfRule>
    <cfRule type="expression" dxfId="26371" priority="13090" stopIfTrue="1">
      <formula>AND(AO121&gt;=8000,AO121&lt;=9999)</formula>
    </cfRule>
    <cfRule type="expression" dxfId="26370" priority="13091" stopIfTrue="1">
      <formula>AND(AO121&gt;=78100,AO121&lt;=78199)</formula>
    </cfRule>
    <cfRule type="expression" dxfId="26369" priority="13092" stopIfTrue="1">
      <formula>AND(AO121&gt;=92000,AO121&lt;=98999)</formula>
    </cfRule>
    <cfRule type="expression" dxfId="26368" priority="13093" stopIfTrue="1">
      <formula>AND(AO121&gt;=78100,AO121&lt;=78199)</formula>
    </cfRule>
    <cfRule type="expression" dxfId="26367" priority="13094" stopIfTrue="1">
      <formula>AND(AO121&gt;=91000,AO121&lt;=91999)</formula>
    </cfRule>
  </conditionalFormatting>
  <conditionalFormatting sqref="AR121">
    <cfRule type="expression" dxfId="26366" priority="13073">
      <formula>AND(AS121&gt;=79001,AS121&lt;79900)</formula>
    </cfRule>
    <cfRule type="expression" dxfId="26365" priority="13074" stopIfTrue="1">
      <formula>AND(AS121&gt;=70101,AS121&lt;=70301)</formula>
    </cfRule>
    <cfRule type="expression" dxfId="26364" priority="13075" stopIfTrue="1">
      <formula>AND(AS121&gt;70000,AS121&lt;70004)</formula>
    </cfRule>
    <cfRule type="expression" dxfId="26363" priority="13076" stopIfTrue="1">
      <formula>AND(AS121&gt;=70010,AS121&lt;=76000)</formula>
    </cfRule>
    <cfRule type="expression" dxfId="26362" priority="13077">
      <formula>AND(AS121&gt;70000,AS121&lt;70004)</formula>
    </cfRule>
    <cfRule type="expression" dxfId="26361" priority="13078" stopIfTrue="1">
      <formula>OR(AND(AS121&gt;=10000,AS121&lt;=56999),AND(AS121&gt;=57000,AS121&lt;=57999))</formula>
    </cfRule>
    <cfRule type="expression" dxfId="26360" priority="13079" stopIfTrue="1">
      <formula>AND(AS121&gt;=8000,AS121&lt;=9999)</formula>
    </cfRule>
    <cfRule type="expression" dxfId="26359" priority="13080" stopIfTrue="1">
      <formula>AND(AS121&gt;=78100,AS121&lt;=78199)</formula>
    </cfRule>
    <cfRule type="expression" dxfId="26358" priority="13081" stopIfTrue="1">
      <formula>AND(AS121&gt;=92000,AS121&lt;=98999)</formula>
    </cfRule>
    <cfRule type="expression" dxfId="26357" priority="13082" stopIfTrue="1">
      <formula>AND(AS121&gt;=78100,AS121&lt;=78199)</formula>
    </cfRule>
    <cfRule type="expression" dxfId="26356" priority="13083" stopIfTrue="1">
      <formula>AND(AS121&gt;=91000,AS121&lt;=91999)</formula>
    </cfRule>
  </conditionalFormatting>
  <conditionalFormatting sqref="AR121">
    <cfRule type="expression" dxfId="26355" priority="13062">
      <formula>AND(AS121&gt;=79001,AS121&lt;79900)</formula>
    </cfRule>
    <cfRule type="expression" dxfId="26354" priority="13063" stopIfTrue="1">
      <formula>AND(AS121&gt;=70101,AS121&lt;=70301)</formula>
    </cfRule>
    <cfRule type="expression" dxfId="26353" priority="13064" stopIfTrue="1">
      <formula>AND(AS121&gt;70000,AS121&lt;70004)</formula>
    </cfRule>
    <cfRule type="expression" dxfId="26352" priority="13065" stopIfTrue="1">
      <formula>AND(AS121&gt;=70010,AS121&lt;=76000)</formula>
    </cfRule>
    <cfRule type="expression" dxfId="26351" priority="13066">
      <formula>AND(AS121&gt;70000,AS121&lt;70004)</formula>
    </cfRule>
    <cfRule type="expression" dxfId="26350" priority="13067" stopIfTrue="1">
      <formula>OR(AND(AS121&gt;=10000,AS121&lt;=56999),AND(AS121&gt;=57000,AS121&lt;=57999))</formula>
    </cfRule>
    <cfRule type="expression" dxfId="26349" priority="13068" stopIfTrue="1">
      <formula>AND(AS121&gt;=8000,AS121&lt;=9999)</formula>
    </cfRule>
    <cfRule type="expression" dxfId="26348" priority="13069" stopIfTrue="1">
      <formula>AND(AS121&gt;=78100,AS121&lt;=78199)</formula>
    </cfRule>
    <cfRule type="expression" dxfId="26347" priority="13070" stopIfTrue="1">
      <formula>AND(AS121&gt;=92000,AS121&lt;=98999)</formula>
    </cfRule>
    <cfRule type="expression" dxfId="26346" priority="13071" stopIfTrue="1">
      <formula>AND(AS121&gt;=78100,AS121&lt;=78199)</formula>
    </cfRule>
    <cfRule type="expression" dxfId="26345" priority="13072" stopIfTrue="1">
      <formula>AND(AS121&gt;=91000,AS121&lt;=91999)</formula>
    </cfRule>
  </conditionalFormatting>
  <conditionalFormatting sqref="AR121">
    <cfRule type="expression" dxfId="26344" priority="13051">
      <formula>AND(AS121&gt;=79001,AS121&lt;79900)</formula>
    </cfRule>
    <cfRule type="expression" dxfId="26343" priority="13052" stopIfTrue="1">
      <formula>AND(AS121&gt;=70101,AS121&lt;=70301)</formula>
    </cfRule>
    <cfRule type="expression" dxfId="26342" priority="13053" stopIfTrue="1">
      <formula>AND(AS121&gt;70000,AS121&lt;70004)</formula>
    </cfRule>
    <cfRule type="expression" dxfId="26341" priority="13054" stopIfTrue="1">
      <formula>AND(AS121&gt;=70010,AS121&lt;=76000)</formula>
    </cfRule>
    <cfRule type="expression" dxfId="26340" priority="13055">
      <formula>AND(AS121&gt;70000,AS121&lt;70004)</formula>
    </cfRule>
    <cfRule type="expression" dxfId="26339" priority="13056" stopIfTrue="1">
      <formula>OR(AND(AS121&gt;=10000,AS121&lt;=56999),AND(AS121&gt;=57000,AS121&lt;=57999))</formula>
    </cfRule>
    <cfRule type="expression" dxfId="26338" priority="13057" stopIfTrue="1">
      <formula>AND(AS121&gt;=8000,AS121&lt;=9999)</formula>
    </cfRule>
    <cfRule type="expression" dxfId="26337" priority="13058" stopIfTrue="1">
      <formula>AND(AS121&gt;=78100,AS121&lt;=78199)</formula>
    </cfRule>
    <cfRule type="expression" dxfId="26336" priority="13059" stopIfTrue="1">
      <formula>AND(AS121&gt;=92000,AS121&lt;=98999)</formula>
    </cfRule>
    <cfRule type="expression" dxfId="26335" priority="13060" stopIfTrue="1">
      <formula>AND(AS121&gt;=78100,AS121&lt;=78199)</formula>
    </cfRule>
    <cfRule type="expression" dxfId="26334" priority="13061" stopIfTrue="1">
      <formula>AND(AS121&gt;=91000,AS121&lt;=91999)</formula>
    </cfRule>
  </conditionalFormatting>
  <conditionalFormatting sqref="AR121">
    <cfRule type="expression" dxfId="26333" priority="13040">
      <formula>AND(AS121&gt;=79001,AS121&lt;79900)</formula>
    </cfRule>
    <cfRule type="expression" dxfId="26332" priority="13041" stopIfTrue="1">
      <formula>AND(AS121&gt;=70101,AS121&lt;=70301)</formula>
    </cfRule>
    <cfRule type="expression" dxfId="26331" priority="13042" stopIfTrue="1">
      <formula>AND(AS121&gt;70000,AS121&lt;70004)</formula>
    </cfRule>
    <cfRule type="expression" dxfId="26330" priority="13043" stopIfTrue="1">
      <formula>AND(AS121&gt;=70010,AS121&lt;=76000)</formula>
    </cfRule>
    <cfRule type="expression" dxfId="26329" priority="13044">
      <formula>AND(AS121&gt;70000,AS121&lt;70004)</formula>
    </cfRule>
    <cfRule type="expression" dxfId="26328" priority="13045" stopIfTrue="1">
      <formula>OR(AND(AS121&gt;=10000,AS121&lt;=56999),AND(AS121&gt;=57000,AS121&lt;=57999))</formula>
    </cfRule>
    <cfRule type="expression" dxfId="26327" priority="13046" stopIfTrue="1">
      <formula>AND(AS121&gt;=8000,AS121&lt;=9999)</formula>
    </cfRule>
    <cfRule type="expression" dxfId="26326" priority="13047" stopIfTrue="1">
      <formula>AND(AS121&gt;=78100,AS121&lt;=78199)</formula>
    </cfRule>
    <cfRule type="expression" dxfId="26325" priority="13048" stopIfTrue="1">
      <formula>AND(AS121&gt;=92000,AS121&lt;=98999)</formula>
    </cfRule>
    <cfRule type="expression" dxfId="26324" priority="13049" stopIfTrue="1">
      <formula>AND(AS121&gt;=78100,AS121&lt;=78199)</formula>
    </cfRule>
    <cfRule type="expression" dxfId="26323" priority="13050" stopIfTrue="1">
      <formula>AND(AS121&gt;=91000,AS121&lt;=91999)</formula>
    </cfRule>
  </conditionalFormatting>
  <conditionalFormatting sqref="AV121">
    <cfRule type="expression" dxfId="26322" priority="13029">
      <formula>AND(AW121&gt;=79001,AW121&lt;79900)</formula>
    </cfRule>
    <cfRule type="expression" dxfId="26321" priority="13030" stopIfTrue="1">
      <formula>AND(AW121&gt;=70101,AW121&lt;=70301)</formula>
    </cfRule>
    <cfRule type="expression" dxfId="26320" priority="13031" stopIfTrue="1">
      <formula>AND(AW121&gt;70000,AW121&lt;70004)</formula>
    </cfRule>
    <cfRule type="expression" dxfId="26319" priority="13032" stopIfTrue="1">
      <formula>AND(AW121&gt;=70010,AW121&lt;=76000)</formula>
    </cfRule>
    <cfRule type="expression" dxfId="26318" priority="13033">
      <formula>AND(AW121&gt;70000,AW121&lt;70004)</formula>
    </cfRule>
    <cfRule type="expression" dxfId="26317" priority="13034" stopIfTrue="1">
      <formula>OR(AND(AW121&gt;=10000,AW121&lt;=56999),AND(AW121&gt;=57000,AW121&lt;=57999))</formula>
    </cfRule>
    <cfRule type="expression" dxfId="26316" priority="13035" stopIfTrue="1">
      <formula>AND(AW121&gt;=8000,AW121&lt;=9999)</formula>
    </cfRule>
    <cfRule type="expression" dxfId="26315" priority="13036" stopIfTrue="1">
      <formula>AND(AW121&gt;=78100,AW121&lt;=78199)</formula>
    </cfRule>
    <cfRule type="expression" dxfId="26314" priority="13037" stopIfTrue="1">
      <formula>AND(AW121&gt;=92000,AW121&lt;=98999)</formula>
    </cfRule>
    <cfRule type="expression" dxfId="26313" priority="13038" stopIfTrue="1">
      <formula>AND(AW121&gt;=78100,AW121&lt;=78199)</formula>
    </cfRule>
    <cfRule type="expression" dxfId="26312" priority="13039" stopIfTrue="1">
      <formula>AND(AW121&gt;=91000,AW121&lt;=91999)</formula>
    </cfRule>
  </conditionalFormatting>
  <conditionalFormatting sqref="AV121">
    <cfRule type="expression" dxfId="26311" priority="13018">
      <formula>AND(AW121&gt;=79001,AW121&lt;79900)</formula>
    </cfRule>
    <cfRule type="expression" dxfId="26310" priority="13019" stopIfTrue="1">
      <formula>AND(AW121&gt;=70101,AW121&lt;=70301)</formula>
    </cfRule>
    <cfRule type="expression" dxfId="26309" priority="13020" stopIfTrue="1">
      <formula>AND(AW121&gt;70000,AW121&lt;70004)</formula>
    </cfRule>
    <cfRule type="expression" dxfId="26308" priority="13021" stopIfTrue="1">
      <formula>AND(AW121&gt;=70010,AW121&lt;=76000)</formula>
    </cfRule>
    <cfRule type="expression" dxfId="26307" priority="13022">
      <formula>AND(AW121&gt;70000,AW121&lt;70004)</formula>
    </cfRule>
    <cfRule type="expression" dxfId="26306" priority="13023" stopIfTrue="1">
      <formula>OR(AND(AW121&gt;=10000,AW121&lt;=56999),AND(AW121&gt;=57000,AW121&lt;=57999))</formula>
    </cfRule>
    <cfRule type="expression" dxfId="26305" priority="13024" stopIfTrue="1">
      <formula>AND(AW121&gt;=8000,AW121&lt;=9999)</formula>
    </cfRule>
    <cfRule type="expression" dxfId="26304" priority="13025" stopIfTrue="1">
      <formula>AND(AW121&gt;=78100,AW121&lt;=78199)</formula>
    </cfRule>
    <cfRule type="expression" dxfId="26303" priority="13026" stopIfTrue="1">
      <formula>AND(AW121&gt;=92000,AW121&lt;=98999)</formula>
    </cfRule>
    <cfRule type="expression" dxfId="26302" priority="13027" stopIfTrue="1">
      <formula>AND(AW121&gt;=78100,AW121&lt;=78199)</formula>
    </cfRule>
    <cfRule type="expression" dxfId="26301" priority="13028" stopIfTrue="1">
      <formula>AND(AW121&gt;=91000,AW121&lt;=91999)</formula>
    </cfRule>
  </conditionalFormatting>
  <conditionalFormatting sqref="AV121">
    <cfRule type="expression" dxfId="26300" priority="13007">
      <formula>AND(AW121&gt;=79001,AW121&lt;79900)</formula>
    </cfRule>
    <cfRule type="expression" dxfId="26299" priority="13008" stopIfTrue="1">
      <formula>AND(AW121&gt;=70101,AW121&lt;=70301)</formula>
    </cfRule>
    <cfRule type="expression" dxfId="26298" priority="13009" stopIfTrue="1">
      <formula>AND(AW121&gt;70000,AW121&lt;70004)</formula>
    </cfRule>
    <cfRule type="expression" dxfId="26297" priority="13010" stopIfTrue="1">
      <formula>AND(AW121&gt;=70010,AW121&lt;=76000)</formula>
    </cfRule>
    <cfRule type="expression" dxfId="26296" priority="13011">
      <formula>AND(AW121&gt;70000,AW121&lt;70004)</formula>
    </cfRule>
    <cfRule type="expression" dxfId="26295" priority="13012" stopIfTrue="1">
      <formula>OR(AND(AW121&gt;=10000,AW121&lt;=56999),AND(AW121&gt;=57000,AW121&lt;=57999))</formula>
    </cfRule>
    <cfRule type="expression" dxfId="26294" priority="13013" stopIfTrue="1">
      <formula>AND(AW121&gt;=8000,AW121&lt;=9999)</formula>
    </cfRule>
    <cfRule type="expression" dxfId="26293" priority="13014" stopIfTrue="1">
      <formula>AND(AW121&gt;=78100,AW121&lt;=78199)</formula>
    </cfRule>
    <cfRule type="expression" dxfId="26292" priority="13015" stopIfTrue="1">
      <formula>AND(AW121&gt;=92000,AW121&lt;=98999)</formula>
    </cfRule>
    <cfRule type="expression" dxfId="26291" priority="13016" stopIfTrue="1">
      <formula>AND(AW121&gt;=78100,AW121&lt;=78199)</formula>
    </cfRule>
    <cfRule type="expression" dxfId="26290" priority="13017" stopIfTrue="1">
      <formula>AND(AW121&gt;=91000,AW121&lt;=91999)</formula>
    </cfRule>
  </conditionalFormatting>
  <conditionalFormatting sqref="AV121">
    <cfRule type="expression" dxfId="26289" priority="12996">
      <formula>AND(AW121&gt;=79001,AW121&lt;79900)</formula>
    </cfRule>
    <cfRule type="expression" dxfId="26288" priority="12997" stopIfTrue="1">
      <formula>AND(AW121&gt;=70101,AW121&lt;=70301)</formula>
    </cfRule>
    <cfRule type="expression" dxfId="26287" priority="12998" stopIfTrue="1">
      <formula>AND(AW121&gt;70000,AW121&lt;70004)</formula>
    </cfRule>
    <cfRule type="expression" dxfId="26286" priority="12999" stopIfTrue="1">
      <formula>AND(AW121&gt;=70010,AW121&lt;=76000)</formula>
    </cfRule>
    <cfRule type="expression" dxfId="26285" priority="13000">
      <formula>AND(AW121&gt;70000,AW121&lt;70004)</formula>
    </cfRule>
    <cfRule type="expression" dxfId="26284" priority="13001" stopIfTrue="1">
      <formula>OR(AND(AW121&gt;=10000,AW121&lt;=56999),AND(AW121&gt;=57000,AW121&lt;=57999))</formula>
    </cfRule>
    <cfRule type="expression" dxfId="26283" priority="13002" stopIfTrue="1">
      <formula>AND(AW121&gt;=8000,AW121&lt;=9999)</formula>
    </cfRule>
    <cfRule type="expression" dxfId="26282" priority="13003" stopIfTrue="1">
      <formula>AND(AW121&gt;=78100,AW121&lt;=78199)</formula>
    </cfRule>
    <cfRule type="expression" dxfId="26281" priority="13004" stopIfTrue="1">
      <formula>AND(AW121&gt;=92000,AW121&lt;=98999)</formula>
    </cfRule>
    <cfRule type="expression" dxfId="26280" priority="13005" stopIfTrue="1">
      <formula>AND(AW121&gt;=78100,AW121&lt;=78199)</formula>
    </cfRule>
    <cfRule type="expression" dxfId="26279" priority="13006" stopIfTrue="1">
      <formula>AND(AW121&gt;=91000,AW121&lt;=91999)</formula>
    </cfRule>
  </conditionalFormatting>
  <conditionalFormatting sqref="AZ121">
    <cfRule type="expression" dxfId="26278" priority="12985">
      <formula>AND(BA121&gt;=79001,BA121&lt;79900)</formula>
    </cfRule>
    <cfRule type="expression" dxfId="26277" priority="12986" stopIfTrue="1">
      <formula>AND(BA121&gt;=70101,BA121&lt;=70301)</formula>
    </cfRule>
    <cfRule type="expression" dxfId="26276" priority="12987" stopIfTrue="1">
      <formula>AND(BA121&gt;70000,BA121&lt;70004)</formula>
    </cfRule>
    <cfRule type="expression" dxfId="26275" priority="12988" stopIfTrue="1">
      <formula>AND(BA121&gt;=70010,BA121&lt;=76000)</formula>
    </cfRule>
    <cfRule type="expression" dxfId="26274" priority="12989">
      <formula>AND(BA121&gt;70000,BA121&lt;70004)</formula>
    </cfRule>
    <cfRule type="expression" dxfId="26273" priority="12990" stopIfTrue="1">
      <formula>OR(AND(BA121&gt;=10000,BA121&lt;=56999),AND(BA121&gt;=57000,BA121&lt;=57999))</formula>
    </cfRule>
    <cfRule type="expression" dxfId="26272" priority="12991" stopIfTrue="1">
      <formula>AND(BA121&gt;=8000,BA121&lt;=9999)</formula>
    </cfRule>
    <cfRule type="expression" dxfId="26271" priority="12992" stopIfTrue="1">
      <formula>AND(BA121&gt;=78100,BA121&lt;=78199)</formula>
    </cfRule>
    <cfRule type="expression" dxfId="26270" priority="12993" stopIfTrue="1">
      <formula>AND(BA121&gt;=92000,BA121&lt;=98999)</formula>
    </cfRule>
    <cfRule type="expression" dxfId="26269" priority="12994" stopIfTrue="1">
      <formula>AND(BA121&gt;=78100,BA121&lt;=78199)</formula>
    </cfRule>
    <cfRule type="expression" dxfId="26268" priority="12995" stopIfTrue="1">
      <formula>AND(BA121&gt;=91000,BA121&lt;=91999)</formula>
    </cfRule>
  </conditionalFormatting>
  <conditionalFormatting sqref="AZ121">
    <cfRule type="expression" dxfId="26267" priority="12974">
      <formula>AND(BA121&gt;=79001,BA121&lt;79900)</formula>
    </cfRule>
    <cfRule type="expression" dxfId="26266" priority="12975" stopIfTrue="1">
      <formula>AND(BA121&gt;=70101,BA121&lt;=70301)</formula>
    </cfRule>
    <cfRule type="expression" dxfId="26265" priority="12976" stopIfTrue="1">
      <formula>AND(BA121&gt;70000,BA121&lt;70004)</formula>
    </cfRule>
    <cfRule type="expression" dxfId="26264" priority="12977" stopIfTrue="1">
      <formula>AND(BA121&gt;=70010,BA121&lt;=76000)</formula>
    </cfRule>
    <cfRule type="expression" dxfId="26263" priority="12978">
      <formula>AND(BA121&gt;70000,BA121&lt;70004)</formula>
    </cfRule>
    <cfRule type="expression" dxfId="26262" priority="12979" stopIfTrue="1">
      <formula>OR(AND(BA121&gt;=10000,BA121&lt;=56999),AND(BA121&gt;=57000,BA121&lt;=57999))</formula>
    </cfRule>
    <cfRule type="expression" dxfId="26261" priority="12980" stopIfTrue="1">
      <formula>AND(BA121&gt;=8000,BA121&lt;=9999)</formula>
    </cfRule>
    <cfRule type="expression" dxfId="26260" priority="12981" stopIfTrue="1">
      <formula>AND(BA121&gt;=78100,BA121&lt;=78199)</formula>
    </cfRule>
    <cfRule type="expression" dxfId="26259" priority="12982" stopIfTrue="1">
      <formula>AND(BA121&gt;=92000,BA121&lt;=98999)</formula>
    </cfRule>
    <cfRule type="expression" dxfId="26258" priority="12983" stopIfTrue="1">
      <formula>AND(BA121&gt;=78100,BA121&lt;=78199)</formula>
    </cfRule>
    <cfRule type="expression" dxfId="26257" priority="12984" stopIfTrue="1">
      <formula>AND(BA121&gt;=91000,BA121&lt;=91999)</formula>
    </cfRule>
  </conditionalFormatting>
  <conditionalFormatting sqref="AZ121">
    <cfRule type="expression" dxfId="26256" priority="12963">
      <formula>AND(BA121&gt;=79001,BA121&lt;79900)</formula>
    </cfRule>
    <cfRule type="expression" dxfId="26255" priority="12964" stopIfTrue="1">
      <formula>AND(BA121&gt;=70101,BA121&lt;=70301)</formula>
    </cfRule>
    <cfRule type="expression" dxfId="26254" priority="12965" stopIfTrue="1">
      <formula>AND(BA121&gt;70000,BA121&lt;70004)</formula>
    </cfRule>
    <cfRule type="expression" dxfId="26253" priority="12966" stopIfTrue="1">
      <formula>AND(BA121&gt;=70010,BA121&lt;=76000)</formula>
    </cfRule>
    <cfRule type="expression" dxfId="26252" priority="12967">
      <formula>AND(BA121&gt;70000,BA121&lt;70004)</formula>
    </cfRule>
    <cfRule type="expression" dxfId="26251" priority="12968" stopIfTrue="1">
      <formula>OR(AND(BA121&gt;=10000,BA121&lt;=56999),AND(BA121&gt;=57000,BA121&lt;=57999))</formula>
    </cfRule>
    <cfRule type="expression" dxfId="26250" priority="12969" stopIfTrue="1">
      <formula>AND(BA121&gt;=8000,BA121&lt;=9999)</formula>
    </cfRule>
    <cfRule type="expression" dxfId="26249" priority="12970" stopIfTrue="1">
      <formula>AND(BA121&gt;=78100,BA121&lt;=78199)</formula>
    </cfRule>
    <cfRule type="expression" dxfId="26248" priority="12971" stopIfTrue="1">
      <formula>AND(BA121&gt;=92000,BA121&lt;=98999)</formula>
    </cfRule>
    <cfRule type="expression" dxfId="26247" priority="12972" stopIfTrue="1">
      <formula>AND(BA121&gt;=78100,BA121&lt;=78199)</formula>
    </cfRule>
    <cfRule type="expression" dxfId="26246" priority="12973" stopIfTrue="1">
      <formula>AND(BA121&gt;=91000,BA121&lt;=91999)</formula>
    </cfRule>
  </conditionalFormatting>
  <conditionalFormatting sqref="AZ121">
    <cfRule type="expression" dxfId="26245" priority="12952">
      <formula>AND(BA121&gt;=79001,BA121&lt;79900)</formula>
    </cfRule>
    <cfRule type="expression" dxfId="26244" priority="12953" stopIfTrue="1">
      <formula>AND(BA121&gt;=70101,BA121&lt;=70301)</formula>
    </cfRule>
    <cfRule type="expression" dxfId="26243" priority="12954" stopIfTrue="1">
      <formula>AND(BA121&gt;70000,BA121&lt;70004)</formula>
    </cfRule>
    <cfRule type="expression" dxfId="26242" priority="12955" stopIfTrue="1">
      <formula>AND(BA121&gt;=70010,BA121&lt;=76000)</formula>
    </cfRule>
    <cfRule type="expression" dxfId="26241" priority="12956">
      <formula>AND(BA121&gt;70000,BA121&lt;70004)</formula>
    </cfRule>
    <cfRule type="expression" dxfId="26240" priority="12957" stopIfTrue="1">
      <formula>OR(AND(BA121&gt;=10000,BA121&lt;=56999),AND(BA121&gt;=57000,BA121&lt;=57999))</formula>
    </cfRule>
    <cfRule type="expression" dxfId="26239" priority="12958" stopIfTrue="1">
      <formula>AND(BA121&gt;=8000,BA121&lt;=9999)</formula>
    </cfRule>
    <cfRule type="expression" dxfId="26238" priority="12959" stopIfTrue="1">
      <formula>AND(BA121&gt;=78100,BA121&lt;=78199)</formula>
    </cfRule>
    <cfRule type="expression" dxfId="26237" priority="12960" stopIfTrue="1">
      <formula>AND(BA121&gt;=92000,BA121&lt;=98999)</formula>
    </cfRule>
    <cfRule type="expression" dxfId="26236" priority="12961" stopIfTrue="1">
      <formula>AND(BA121&gt;=78100,BA121&lt;=78199)</formula>
    </cfRule>
    <cfRule type="expression" dxfId="26235" priority="12962" stopIfTrue="1">
      <formula>AND(BA121&gt;=91000,BA121&lt;=91999)</formula>
    </cfRule>
  </conditionalFormatting>
  <conditionalFormatting sqref="AN136">
    <cfRule type="expression" dxfId="26234" priority="12765">
      <formula>AND(AO136&gt;=79001,AO136&lt;79900)</formula>
    </cfRule>
    <cfRule type="expression" dxfId="26233" priority="12766" stopIfTrue="1">
      <formula>AND(AO136&gt;=70101,AO136&lt;=70301)</formula>
    </cfRule>
    <cfRule type="expression" dxfId="26232" priority="12767" stopIfTrue="1">
      <formula>AND(AO136&gt;70000,AO136&lt;70004)</formula>
    </cfRule>
    <cfRule type="expression" dxfId="26231" priority="12768" stopIfTrue="1">
      <formula>AND(AO136&gt;=70010,AO136&lt;=76000)</formula>
    </cfRule>
    <cfRule type="expression" dxfId="26230" priority="12769">
      <formula>AND(AO136&gt;70000,AO136&lt;70004)</formula>
    </cfRule>
    <cfRule type="expression" dxfId="26229" priority="12770" stopIfTrue="1">
      <formula>OR(AND(AO136&gt;=10000,AO136&lt;=56999),AND(AO136&gt;=57000,AO136&lt;=57999))</formula>
    </cfRule>
    <cfRule type="expression" dxfId="26228" priority="12771" stopIfTrue="1">
      <formula>AND(AO136&gt;=8000,AO136&lt;=9999)</formula>
    </cfRule>
    <cfRule type="expression" dxfId="26227" priority="12772" stopIfTrue="1">
      <formula>AND(AO136&gt;=78100,AO136&lt;=78199)</formula>
    </cfRule>
    <cfRule type="expression" dxfId="26226" priority="12773" stopIfTrue="1">
      <formula>AND(AO136&gt;=92000,AO136&lt;=98999)</formula>
    </cfRule>
    <cfRule type="expression" dxfId="26225" priority="12774" stopIfTrue="1">
      <formula>AND(AO136&gt;=78100,AO136&lt;=78199)</formula>
    </cfRule>
    <cfRule type="expression" dxfId="26224" priority="12775" stopIfTrue="1">
      <formula>AND(AO136&gt;=91000,AO136&lt;=91999)</formula>
    </cfRule>
  </conditionalFormatting>
  <conditionalFormatting sqref="AN136">
    <cfRule type="expression" dxfId="26223" priority="12754">
      <formula>AND(AO136&gt;=79001,AO136&lt;79900)</formula>
    </cfRule>
    <cfRule type="expression" dxfId="26222" priority="12755" stopIfTrue="1">
      <formula>AND(AO136&gt;=70101,AO136&lt;=70301)</formula>
    </cfRule>
    <cfRule type="expression" dxfId="26221" priority="12756" stopIfTrue="1">
      <formula>AND(AO136&gt;70000,AO136&lt;70004)</formula>
    </cfRule>
    <cfRule type="expression" dxfId="26220" priority="12757" stopIfTrue="1">
      <formula>AND(AO136&gt;=70010,AO136&lt;=76000)</formula>
    </cfRule>
    <cfRule type="expression" dxfId="26219" priority="12758">
      <formula>AND(AO136&gt;70000,AO136&lt;70004)</formula>
    </cfRule>
    <cfRule type="expression" dxfId="26218" priority="12759" stopIfTrue="1">
      <formula>OR(AND(AO136&gt;=10000,AO136&lt;=56999),AND(AO136&gt;=57000,AO136&lt;=57999))</formula>
    </cfRule>
    <cfRule type="expression" dxfId="26217" priority="12760" stopIfTrue="1">
      <formula>AND(AO136&gt;=8000,AO136&lt;=9999)</formula>
    </cfRule>
    <cfRule type="expression" dxfId="26216" priority="12761" stopIfTrue="1">
      <formula>AND(AO136&gt;=78100,AO136&lt;=78199)</formula>
    </cfRule>
    <cfRule type="expression" dxfId="26215" priority="12762" stopIfTrue="1">
      <formula>AND(AO136&gt;=92000,AO136&lt;=98999)</formula>
    </cfRule>
    <cfRule type="expression" dxfId="26214" priority="12763" stopIfTrue="1">
      <formula>AND(AO136&gt;=78100,AO136&lt;=78199)</formula>
    </cfRule>
    <cfRule type="expression" dxfId="26213" priority="12764" stopIfTrue="1">
      <formula>AND(AO136&gt;=91000,AO136&lt;=91999)</formula>
    </cfRule>
  </conditionalFormatting>
  <conditionalFormatting sqref="AN136">
    <cfRule type="expression" dxfId="26212" priority="12743">
      <formula>AND(AO136&gt;=79001,AO136&lt;79900)</formula>
    </cfRule>
    <cfRule type="expression" dxfId="26211" priority="12744" stopIfTrue="1">
      <formula>AND(AO136&gt;=70101,AO136&lt;=70301)</formula>
    </cfRule>
    <cfRule type="expression" dxfId="26210" priority="12745" stopIfTrue="1">
      <formula>AND(AO136&gt;70000,AO136&lt;70004)</formula>
    </cfRule>
    <cfRule type="expression" dxfId="26209" priority="12746" stopIfTrue="1">
      <formula>AND(AO136&gt;=70010,AO136&lt;=76000)</formula>
    </cfRule>
    <cfRule type="expression" dxfId="26208" priority="12747">
      <formula>AND(AO136&gt;70000,AO136&lt;70004)</formula>
    </cfRule>
    <cfRule type="expression" dxfId="26207" priority="12748" stopIfTrue="1">
      <formula>OR(AND(AO136&gt;=10000,AO136&lt;=56999),AND(AO136&gt;=57000,AO136&lt;=57999))</formula>
    </cfRule>
    <cfRule type="expression" dxfId="26206" priority="12749" stopIfTrue="1">
      <formula>AND(AO136&gt;=8000,AO136&lt;=9999)</formula>
    </cfRule>
    <cfRule type="expression" dxfId="26205" priority="12750" stopIfTrue="1">
      <formula>AND(AO136&gt;=78100,AO136&lt;=78199)</formula>
    </cfRule>
    <cfRule type="expression" dxfId="26204" priority="12751" stopIfTrue="1">
      <formula>AND(AO136&gt;=92000,AO136&lt;=98999)</formula>
    </cfRule>
    <cfRule type="expression" dxfId="26203" priority="12752" stopIfTrue="1">
      <formula>AND(AO136&gt;=78100,AO136&lt;=78199)</formula>
    </cfRule>
    <cfRule type="expression" dxfId="26202" priority="12753" stopIfTrue="1">
      <formula>AND(AO136&gt;=91000,AO136&lt;=91999)</formula>
    </cfRule>
  </conditionalFormatting>
  <conditionalFormatting sqref="AN136">
    <cfRule type="expression" dxfId="26201" priority="12732">
      <formula>AND(AO136&gt;=79001,AO136&lt;79900)</formula>
    </cfRule>
    <cfRule type="expression" dxfId="26200" priority="12733" stopIfTrue="1">
      <formula>AND(AO136&gt;=70101,AO136&lt;=70301)</formula>
    </cfRule>
    <cfRule type="expression" dxfId="26199" priority="12734" stopIfTrue="1">
      <formula>AND(AO136&gt;70000,AO136&lt;70004)</formula>
    </cfRule>
    <cfRule type="expression" dxfId="26198" priority="12735" stopIfTrue="1">
      <formula>AND(AO136&gt;=70010,AO136&lt;=76000)</formula>
    </cfRule>
    <cfRule type="expression" dxfId="26197" priority="12736">
      <formula>AND(AO136&gt;70000,AO136&lt;70004)</formula>
    </cfRule>
    <cfRule type="expression" dxfId="26196" priority="12737" stopIfTrue="1">
      <formula>OR(AND(AO136&gt;=10000,AO136&lt;=56999),AND(AO136&gt;=57000,AO136&lt;=57999))</formula>
    </cfRule>
    <cfRule type="expression" dxfId="26195" priority="12738" stopIfTrue="1">
      <formula>AND(AO136&gt;=8000,AO136&lt;=9999)</formula>
    </cfRule>
    <cfRule type="expression" dxfId="26194" priority="12739" stopIfTrue="1">
      <formula>AND(AO136&gt;=78100,AO136&lt;=78199)</formula>
    </cfRule>
    <cfRule type="expression" dxfId="26193" priority="12740" stopIfTrue="1">
      <formula>AND(AO136&gt;=92000,AO136&lt;=98999)</formula>
    </cfRule>
    <cfRule type="expression" dxfId="26192" priority="12741" stopIfTrue="1">
      <formula>AND(AO136&gt;=78100,AO136&lt;=78199)</formula>
    </cfRule>
    <cfRule type="expression" dxfId="26191" priority="12742" stopIfTrue="1">
      <formula>AND(AO136&gt;=91000,AO136&lt;=91999)</formula>
    </cfRule>
  </conditionalFormatting>
  <conditionalFormatting sqref="AR136">
    <cfRule type="expression" dxfId="26190" priority="12721">
      <formula>AND(AS136&gt;=79001,AS136&lt;79900)</formula>
    </cfRule>
    <cfRule type="expression" dxfId="26189" priority="12722" stopIfTrue="1">
      <formula>AND(AS136&gt;=70101,AS136&lt;=70301)</formula>
    </cfRule>
    <cfRule type="expression" dxfId="26188" priority="12723" stopIfTrue="1">
      <formula>AND(AS136&gt;70000,AS136&lt;70004)</formula>
    </cfRule>
    <cfRule type="expression" dxfId="26187" priority="12724" stopIfTrue="1">
      <formula>AND(AS136&gt;=70010,AS136&lt;=76000)</formula>
    </cfRule>
    <cfRule type="expression" dxfId="26186" priority="12725">
      <formula>AND(AS136&gt;70000,AS136&lt;70004)</formula>
    </cfRule>
    <cfRule type="expression" dxfId="26185" priority="12726" stopIfTrue="1">
      <formula>OR(AND(AS136&gt;=10000,AS136&lt;=56999),AND(AS136&gt;=57000,AS136&lt;=57999))</formula>
    </cfRule>
    <cfRule type="expression" dxfId="26184" priority="12727" stopIfTrue="1">
      <formula>AND(AS136&gt;=8000,AS136&lt;=9999)</formula>
    </cfRule>
    <cfRule type="expression" dxfId="26183" priority="12728" stopIfTrue="1">
      <formula>AND(AS136&gt;=78100,AS136&lt;=78199)</formula>
    </cfRule>
    <cfRule type="expression" dxfId="26182" priority="12729" stopIfTrue="1">
      <formula>AND(AS136&gt;=92000,AS136&lt;=98999)</formula>
    </cfRule>
    <cfRule type="expression" dxfId="26181" priority="12730" stopIfTrue="1">
      <formula>AND(AS136&gt;=78100,AS136&lt;=78199)</formula>
    </cfRule>
    <cfRule type="expression" dxfId="26180" priority="12731" stopIfTrue="1">
      <formula>AND(AS136&gt;=91000,AS136&lt;=91999)</formula>
    </cfRule>
  </conditionalFormatting>
  <conditionalFormatting sqref="AR136">
    <cfRule type="expression" dxfId="26179" priority="12710">
      <formula>AND(AS136&gt;=79001,AS136&lt;79900)</formula>
    </cfRule>
    <cfRule type="expression" dxfId="26178" priority="12711" stopIfTrue="1">
      <formula>AND(AS136&gt;=70101,AS136&lt;=70301)</formula>
    </cfRule>
    <cfRule type="expression" dxfId="26177" priority="12712" stopIfTrue="1">
      <formula>AND(AS136&gt;70000,AS136&lt;70004)</formula>
    </cfRule>
    <cfRule type="expression" dxfId="26176" priority="12713" stopIfTrue="1">
      <formula>AND(AS136&gt;=70010,AS136&lt;=76000)</formula>
    </cfRule>
    <cfRule type="expression" dxfId="26175" priority="12714">
      <formula>AND(AS136&gt;70000,AS136&lt;70004)</formula>
    </cfRule>
    <cfRule type="expression" dxfId="26174" priority="12715" stopIfTrue="1">
      <formula>OR(AND(AS136&gt;=10000,AS136&lt;=56999),AND(AS136&gt;=57000,AS136&lt;=57999))</formula>
    </cfRule>
    <cfRule type="expression" dxfId="26173" priority="12716" stopIfTrue="1">
      <formula>AND(AS136&gt;=8000,AS136&lt;=9999)</formula>
    </cfRule>
    <cfRule type="expression" dxfId="26172" priority="12717" stopIfTrue="1">
      <formula>AND(AS136&gt;=78100,AS136&lt;=78199)</formula>
    </cfRule>
    <cfRule type="expression" dxfId="26171" priority="12718" stopIfTrue="1">
      <formula>AND(AS136&gt;=92000,AS136&lt;=98999)</formula>
    </cfRule>
    <cfRule type="expression" dxfId="26170" priority="12719" stopIfTrue="1">
      <formula>AND(AS136&gt;=78100,AS136&lt;=78199)</formula>
    </cfRule>
    <cfRule type="expression" dxfId="26169" priority="12720" stopIfTrue="1">
      <formula>AND(AS136&gt;=91000,AS136&lt;=91999)</formula>
    </cfRule>
  </conditionalFormatting>
  <conditionalFormatting sqref="AR136">
    <cfRule type="expression" dxfId="26168" priority="12699">
      <formula>AND(AS136&gt;=79001,AS136&lt;79900)</formula>
    </cfRule>
    <cfRule type="expression" dxfId="26167" priority="12700" stopIfTrue="1">
      <formula>AND(AS136&gt;=70101,AS136&lt;=70301)</formula>
    </cfRule>
    <cfRule type="expression" dxfId="26166" priority="12701" stopIfTrue="1">
      <formula>AND(AS136&gt;70000,AS136&lt;70004)</formula>
    </cfRule>
    <cfRule type="expression" dxfId="26165" priority="12702" stopIfTrue="1">
      <formula>AND(AS136&gt;=70010,AS136&lt;=76000)</formula>
    </cfRule>
    <cfRule type="expression" dxfId="26164" priority="12703">
      <formula>AND(AS136&gt;70000,AS136&lt;70004)</formula>
    </cfRule>
    <cfRule type="expression" dxfId="26163" priority="12704" stopIfTrue="1">
      <formula>OR(AND(AS136&gt;=10000,AS136&lt;=56999),AND(AS136&gt;=57000,AS136&lt;=57999))</formula>
    </cfRule>
    <cfRule type="expression" dxfId="26162" priority="12705" stopIfTrue="1">
      <formula>AND(AS136&gt;=8000,AS136&lt;=9999)</formula>
    </cfRule>
    <cfRule type="expression" dxfId="26161" priority="12706" stopIfTrue="1">
      <formula>AND(AS136&gt;=78100,AS136&lt;=78199)</formula>
    </cfRule>
    <cfRule type="expression" dxfId="26160" priority="12707" stopIfTrue="1">
      <formula>AND(AS136&gt;=92000,AS136&lt;=98999)</formula>
    </cfRule>
    <cfRule type="expression" dxfId="26159" priority="12708" stopIfTrue="1">
      <formula>AND(AS136&gt;=78100,AS136&lt;=78199)</formula>
    </cfRule>
    <cfRule type="expression" dxfId="26158" priority="12709" stopIfTrue="1">
      <formula>AND(AS136&gt;=91000,AS136&lt;=91999)</formula>
    </cfRule>
  </conditionalFormatting>
  <conditionalFormatting sqref="AR136">
    <cfRule type="expression" dxfId="26157" priority="12688">
      <formula>AND(AS136&gt;=79001,AS136&lt;79900)</formula>
    </cfRule>
    <cfRule type="expression" dxfId="26156" priority="12689" stopIfTrue="1">
      <formula>AND(AS136&gt;=70101,AS136&lt;=70301)</formula>
    </cfRule>
    <cfRule type="expression" dxfId="26155" priority="12690" stopIfTrue="1">
      <formula>AND(AS136&gt;70000,AS136&lt;70004)</formula>
    </cfRule>
    <cfRule type="expression" dxfId="26154" priority="12691" stopIfTrue="1">
      <formula>AND(AS136&gt;=70010,AS136&lt;=76000)</formula>
    </cfRule>
    <cfRule type="expression" dxfId="26153" priority="12692">
      <formula>AND(AS136&gt;70000,AS136&lt;70004)</formula>
    </cfRule>
    <cfRule type="expression" dxfId="26152" priority="12693" stopIfTrue="1">
      <formula>OR(AND(AS136&gt;=10000,AS136&lt;=56999),AND(AS136&gt;=57000,AS136&lt;=57999))</formula>
    </cfRule>
    <cfRule type="expression" dxfId="26151" priority="12694" stopIfTrue="1">
      <formula>AND(AS136&gt;=8000,AS136&lt;=9999)</formula>
    </cfRule>
    <cfRule type="expression" dxfId="26150" priority="12695" stopIfTrue="1">
      <formula>AND(AS136&gt;=78100,AS136&lt;=78199)</formula>
    </cfRule>
    <cfRule type="expression" dxfId="26149" priority="12696" stopIfTrue="1">
      <formula>AND(AS136&gt;=92000,AS136&lt;=98999)</formula>
    </cfRule>
    <cfRule type="expression" dxfId="26148" priority="12697" stopIfTrue="1">
      <formula>AND(AS136&gt;=78100,AS136&lt;=78199)</formula>
    </cfRule>
    <cfRule type="expression" dxfId="26147" priority="12698" stopIfTrue="1">
      <formula>AND(AS136&gt;=91000,AS136&lt;=91999)</formula>
    </cfRule>
  </conditionalFormatting>
  <conditionalFormatting sqref="AV136">
    <cfRule type="expression" dxfId="26146" priority="12677">
      <formula>AND(AW136&gt;=79001,AW136&lt;79900)</formula>
    </cfRule>
    <cfRule type="expression" dxfId="26145" priority="12678" stopIfTrue="1">
      <formula>AND(AW136&gt;=70101,AW136&lt;=70301)</formula>
    </cfRule>
    <cfRule type="expression" dxfId="26144" priority="12679" stopIfTrue="1">
      <formula>AND(AW136&gt;70000,AW136&lt;70004)</formula>
    </cfRule>
    <cfRule type="expression" dxfId="26143" priority="12680" stopIfTrue="1">
      <formula>AND(AW136&gt;=70010,AW136&lt;=76000)</formula>
    </cfRule>
    <cfRule type="expression" dxfId="26142" priority="12681">
      <formula>AND(AW136&gt;70000,AW136&lt;70004)</formula>
    </cfRule>
    <cfRule type="expression" dxfId="26141" priority="12682" stopIfTrue="1">
      <formula>OR(AND(AW136&gt;=10000,AW136&lt;=56999),AND(AW136&gt;=57000,AW136&lt;=57999))</formula>
    </cfRule>
    <cfRule type="expression" dxfId="26140" priority="12683" stopIfTrue="1">
      <formula>AND(AW136&gt;=8000,AW136&lt;=9999)</formula>
    </cfRule>
    <cfRule type="expression" dxfId="26139" priority="12684" stopIfTrue="1">
      <formula>AND(AW136&gt;=78100,AW136&lt;=78199)</formula>
    </cfRule>
    <cfRule type="expression" dxfId="26138" priority="12685" stopIfTrue="1">
      <formula>AND(AW136&gt;=92000,AW136&lt;=98999)</formula>
    </cfRule>
    <cfRule type="expression" dxfId="26137" priority="12686" stopIfTrue="1">
      <formula>AND(AW136&gt;=78100,AW136&lt;=78199)</formula>
    </cfRule>
    <cfRule type="expression" dxfId="26136" priority="12687" stopIfTrue="1">
      <formula>AND(AW136&gt;=91000,AW136&lt;=91999)</formula>
    </cfRule>
  </conditionalFormatting>
  <conditionalFormatting sqref="AV136">
    <cfRule type="expression" dxfId="26135" priority="12666">
      <formula>AND(AW136&gt;=79001,AW136&lt;79900)</formula>
    </cfRule>
    <cfRule type="expression" dxfId="26134" priority="12667" stopIfTrue="1">
      <formula>AND(AW136&gt;=70101,AW136&lt;=70301)</formula>
    </cfRule>
    <cfRule type="expression" dxfId="26133" priority="12668" stopIfTrue="1">
      <formula>AND(AW136&gt;70000,AW136&lt;70004)</formula>
    </cfRule>
    <cfRule type="expression" dxfId="26132" priority="12669" stopIfTrue="1">
      <formula>AND(AW136&gt;=70010,AW136&lt;=76000)</formula>
    </cfRule>
    <cfRule type="expression" dxfId="26131" priority="12670">
      <formula>AND(AW136&gt;70000,AW136&lt;70004)</formula>
    </cfRule>
    <cfRule type="expression" dxfId="26130" priority="12671" stopIfTrue="1">
      <formula>OR(AND(AW136&gt;=10000,AW136&lt;=56999),AND(AW136&gt;=57000,AW136&lt;=57999))</formula>
    </cfRule>
    <cfRule type="expression" dxfId="26129" priority="12672" stopIfTrue="1">
      <formula>AND(AW136&gt;=8000,AW136&lt;=9999)</formula>
    </cfRule>
    <cfRule type="expression" dxfId="26128" priority="12673" stopIfTrue="1">
      <formula>AND(AW136&gt;=78100,AW136&lt;=78199)</formula>
    </cfRule>
    <cfRule type="expression" dxfId="26127" priority="12674" stopIfTrue="1">
      <formula>AND(AW136&gt;=92000,AW136&lt;=98999)</formula>
    </cfRule>
    <cfRule type="expression" dxfId="26126" priority="12675" stopIfTrue="1">
      <formula>AND(AW136&gt;=78100,AW136&lt;=78199)</formula>
    </cfRule>
    <cfRule type="expression" dxfId="26125" priority="12676" stopIfTrue="1">
      <formula>AND(AW136&gt;=91000,AW136&lt;=91999)</formula>
    </cfRule>
  </conditionalFormatting>
  <conditionalFormatting sqref="AV136">
    <cfRule type="expression" dxfId="26124" priority="12655">
      <formula>AND(AW136&gt;=79001,AW136&lt;79900)</formula>
    </cfRule>
    <cfRule type="expression" dxfId="26123" priority="12656" stopIfTrue="1">
      <formula>AND(AW136&gt;=70101,AW136&lt;=70301)</formula>
    </cfRule>
    <cfRule type="expression" dxfId="26122" priority="12657" stopIfTrue="1">
      <formula>AND(AW136&gt;70000,AW136&lt;70004)</formula>
    </cfRule>
    <cfRule type="expression" dxfId="26121" priority="12658" stopIfTrue="1">
      <formula>AND(AW136&gt;=70010,AW136&lt;=76000)</formula>
    </cfRule>
    <cfRule type="expression" dxfId="26120" priority="12659">
      <formula>AND(AW136&gt;70000,AW136&lt;70004)</formula>
    </cfRule>
    <cfRule type="expression" dxfId="26119" priority="12660" stopIfTrue="1">
      <formula>OR(AND(AW136&gt;=10000,AW136&lt;=56999),AND(AW136&gt;=57000,AW136&lt;=57999))</formula>
    </cfRule>
    <cfRule type="expression" dxfId="26118" priority="12661" stopIfTrue="1">
      <formula>AND(AW136&gt;=8000,AW136&lt;=9999)</formula>
    </cfRule>
    <cfRule type="expression" dxfId="26117" priority="12662" stopIfTrue="1">
      <formula>AND(AW136&gt;=78100,AW136&lt;=78199)</formula>
    </cfRule>
    <cfRule type="expression" dxfId="26116" priority="12663" stopIfTrue="1">
      <formula>AND(AW136&gt;=92000,AW136&lt;=98999)</formula>
    </cfRule>
    <cfRule type="expression" dxfId="26115" priority="12664" stopIfTrue="1">
      <formula>AND(AW136&gt;=78100,AW136&lt;=78199)</formula>
    </cfRule>
    <cfRule type="expression" dxfId="26114" priority="12665" stopIfTrue="1">
      <formula>AND(AW136&gt;=91000,AW136&lt;=91999)</formula>
    </cfRule>
  </conditionalFormatting>
  <conditionalFormatting sqref="AV136">
    <cfRule type="expression" dxfId="26113" priority="12644">
      <formula>AND(AW136&gt;=79001,AW136&lt;79900)</formula>
    </cfRule>
    <cfRule type="expression" dxfId="26112" priority="12645" stopIfTrue="1">
      <formula>AND(AW136&gt;=70101,AW136&lt;=70301)</formula>
    </cfRule>
    <cfRule type="expression" dxfId="26111" priority="12646" stopIfTrue="1">
      <formula>AND(AW136&gt;70000,AW136&lt;70004)</formula>
    </cfRule>
    <cfRule type="expression" dxfId="26110" priority="12647" stopIfTrue="1">
      <formula>AND(AW136&gt;=70010,AW136&lt;=76000)</formula>
    </cfRule>
    <cfRule type="expression" dxfId="26109" priority="12648">
      <formula>AND(AW136&gt;70000,AW136&lt;70004)</formula>
    </cfRule>
    <cfRule type="expression" dxfId="26108" priority="12649" stopIfTrue="1">
      <formula>OR(AND(AW136&gt;=10000,AW136&lt;=56999),AND(AW136&gt;=57000,AW136&lt;=57999))</formula>
    </cfRule>
    <cfRule type="expression" dxfId="26107" priority="12650" stopIfTrue="1">
      <formula>AND(AW136&gt;=8000,AW136&lt;=9999)</formula>
    </cfRule>
    <cfRule type="expression" dxfId="26106" priority="12651" stopIfTrue="1">
      <formula>AND(AW136&gt;=78100,AW136&lt;=78199)</formula>
    </cfRule>
    <cfRule type="expression" dxfId="26105" priority="12652" stopIfTrue="1">
      <formula>AND(AW136&gt;=92000,AW136&lt;=98999)</formula>
    </cfRule>
    <cfRule type="expression" dxfId="26104" priority="12653" stopIfTrue="1">
      <formula>AND(AW136&gt;=78100,AW136&lt;=78199)</formula>
    </cfRule>
    <cfRule type="expression" dxfId="26103" priority="12654" stopIfTrue="1">
      <formula>AND(AW136&gt;=91000,AW136&lt;=91999)</formula>
    </cfRule>
  </conditionalFormatting>
  <conditionalFormatting sqref="AZ136">
    <cfRule type="expression" dxfId="26102" priority="12633">
      <formula>AND(BA136&gt;=79001,BA136&lt;79900)</formula>
    </cfRule>
    <cfRule type="expression" dxfId="26101" priority="12634" stopIfTrue="1">
      <formula>AND(BA136&gt;=70101,BA136&lt;=70301)</formula>
    </cfRule>
    <cfRule type="expression" dxfId="26100" priority="12635" stopIfTrue="1">
      <formula>AND(BA136&gt;70000,BA136&lt;70004)</formula>
    </cfRule>
    <cfRule type="expression" dxfId="26099" priority="12636" stopIfTrue="1">
      <formula>AND(BA136&gt;=70010,BA136&lt;=76000)</formula>
    </cfRule>
    <cfRule type="expression" dxfId="26098" priority="12637">
      <formula>AND(BA136&gt;70000,BA136&lt;70004)</formula>
    </cfRule>
    <cfRule type="expression" dxfId="26097" priority="12638" stopIfTrue="1">
      <formula>OR(AND(BA136&gt;=10000,BA136&lt;=56999),AND(BA136&gt;=57000,BA136&lt;=57999))</formula>
    </cfRule>
    <cfRule type="expression" dxfId="26096" priority="12639" stopIfTrue="1">
      <formula>AND(BA136&gt;=8000,BA136&lt;=9999)</formula>
    </cfRule>
    <cfRule type="expression" dxfId="26095" priority="12640" stopIfTrue="1">
      <formula>AND(BA136&gt;=78100,BA136&lt;=78199)</formula>
    </cfRule>
    <cfRule type="expression" dxfId="26094" priority="12641" stopIfTrue="1">
      <formula>AND(BA136&gt;=92000,BA136&lt;=98999)</formula>
    </cfRule>
    <cfRule type="expression" dxfId="26093" priority="12642" stopIfTrue="1">
      <formula>AND(BA136&gt;=78100,BA136&lt;=78199)</formula>
    </cfRule>
    <cfRule type="expression" dxfId="26092" priority="12643" stopIfTrue="1">
      <formula>AND(BA136&gt;=91000,BA136&lt;=91999)</formula>
    </cfRule>
  </conditionalFormatting>
  <conditionalFormatting sqref="AZ136">
    <cfRule type="expression" dxfId="26091" priority="12622">
      <formula>AND(BA136&gt;=79001,BA136&lt;79900)</formula>
    </cfRule>
    <cfRule type="expression" dxfId="26090" priority="12623" stopIfTrue="1">
      <formula>AND(BA136&gt;=70101,BA136&lt;=70301)</formula>
    </cfRule>
    <cfRule type="expression" dxfId="26089" priority="12624" stopIfTrue="1">
      <formula>AND(BA136&gt;70000,BA136&lt;70004)</formula>
    </cfRule>
    <cfRule type="expression" dxfId="26088" priority="12625" stopIfTrue="1">
      <formula>AND(BA136&gt;=70010,BA136&lt;=76000)</formula>
    </cfRule>
    <cfRule type="expression" dxfId="26087" priority="12626">
      <formula>AND(BA136&gt;70000,BA136&lt;70004)</formula>
    </cfRule>
    <cfRule type="expression" dxfId="26086" priority="12627" stopIfTrue="1">
      <formula>OR(AND(BA136&gt;=10000,BA136&lt;=56999),AND(BA136&gt;=57000,BA136&lt;=57999))</formula>
    </cfRule>
    <cfRule type="expression" dxfId="26085" priority="12628" stopIfTrue="1">
      <formula>AND(BA136&gt;=8000,BA136&lt;=9999)</formula>
    </cfRule>
    <cfRule type="expression" dxfId="26084" priority="12629" stopIfTrue="1">
      <formula>AND(BA136&gt;=78100,BA136&lt;=78199)</formula>
    </cfRule>
    <cfRule type="expression" dxfId="26083" priority="12630" stopIfTrue="1">
      <formula>AND(BA136&gt;=92000,BA136&lt;=98999)</formula>
    </cfRule>
    <cfRule type="expression" dxfId="26082" priority="12631" stopIfTrue="1">
      <formula>AND(BA136&gt;=78100,BA136&lt;=78199)</formula>
    </cfRule>
    <cfRule type="expression" dxfId="26081" priority="12632" stopIfTrue="1">
      <formula>AND(BA136&gt;=91000,BA136&lt;=91999)</formula>
    </cfRule>
  </conditionalFormatting>
  <conditionalFormatting sqref="AZ136">
    <cfRule type="expression" dxfId="26080" priority="12611">
      <formula>AND(BA136&gt;=79001,BA136&lt;79900)</formula>
    </cfRule>
    <cfRule type="expression" dxfId="26079" priority="12612" stopIfTrue="1">
      <formula>AND(BA136&gt;=70101,BA136&lt;=70301)</formula>
    </cfRule>
    <cfRule type="expression" dxfId="26078" priority="12613" stopIfTrue="1">
      <formula>AND(BA136&gt;70000,BA136&lt;70004)</formula>
    </cfRule>
    <cfRule type="expression" dxfId="26077" priority="12614" stopIfTrue="1">
      <formula>AND(BA136&gt;=70010,BA136&lt;=76000)</formula>
    </cfRule>
    <cfRule type="expression" dxfId="26076" priority="12615">
      <formula>AND(BA136&gt;70000,BA136&lt;70004)</formula>
    </cfRule>
    <cfRule type="expression" dxfId="26075" priority="12616" stopIfTrue="1">
      <formula>OR(AND(BA136&gt;=10000,BA136&lt;=56999),AND(BA136&gt;=57000,BA136&lt;=57999))</formula>
    </cfRule>
    <cfRule type="expression" dxfId="26074" priority="12617" stopIfTrue="1">
      <formula>AND(BA136&gt;=8000,BA136&lt;=9999)</formula>
    </cfRule>
    <cfRule type="expression" dxfId="26073" priority="12618" stopIfTrue="1">
      <formula>AND(BA136&gt;=78100,BA136&lt;=78199)</formula>
    </cfRule>
    <cfRule type="expression" dxfId="26072" priority="12619" stopIfTrue="1">
      <formula>AND(BA136&gt;=92000,BA136&lt;=98999)</formula>
    </cfRule>
    <cfRule type="expression" dxfId="26071" priority="12620" stopIfTrue="1">
      <formula>AND(BA136&gt;=78100,BA136&lt;=78199)</formula>
    </cfRule>
    <cfRule type="expression" dxfId="26070" priority="12621" stopIfTrue="1">
      <formula>AND(BA136&gt;=91000,BA136&lt;=91999)</formula>
    </cfRule>
  </conditionalFormatting>
  <conditionalFormatting sqref="AZ136">
    <cfRule type="expression" dxfId="26069" priority="12600">
      <formula>AND(BA136&gt;=79001,BA136&lt;79900)</formula>
    </cfRule>
    <cfRule type="expression" dxfId="26068" priority="12601" stopIfTrue="1">
      <formula>AND(BA136&gt;=70101,BA136&lt;=70301)</formula>
    </cfRule>
    <cfRule type="expression" dxfId="26067" priority="12602" stopIfTrue="1">
      <formula>AND(BA136&gt;70000,BA136&lt;70004)</formula>
    </cfRule>
    <cfRule type="expression" dxfId="26066" priority="12603" stopIfTrue="1">
      <formula>AND(BA136&gt;=70010,BA136&lt;=76000)</formula>
    </cfRule>
    <cfRule type="expression" dxfId="26065" priority="12604">
      <formula>AND(BA136&gt;70000,BA136&lt;70004)</formula>
    </cfRule>
    <cfRule type="expression" dxfId="26064" priority="12605" stopIfTrue="1">
      <formula>OR(AND(BA136&gt;=10000,BA136&lt;=56999),AND(BA136&gt;=57000,BA136&lt;=57999))</formula>
    </cfRule>
    <cfRule type="expression" dxfId="26063" priority="12606" stopIfTrue="1">
      <formula>AND(BA136&gt;=8000,BA136&lt;=9999)</formula>
    </cfRule>
    <cfRule type="expression" dxfId="26062" priority="12607" stopIfTrue="1">
      <formula>AND(BA136&gt;=78100,BA136&lt;=78199)</formula>
    </cfRule>
    <cfRule type="expression" dxfId="26061" priority="12608" stopIfTrue="1">
      <formula>AND(BA136&gt;=92000,BA136&lt;=98999)</formula>
    </cfRule>
    <cfRule type="expression" dxfId="26060" priority="12609" stopIfTrue="1">
      <formula>AND(BA136&gt;=78100,BA136&lt;=78199)</formula>
    </cfRule>
    <cfRule type="expression" dxfId="26059" priority="12610" stopIfTrue="1">
      <formula>AND(BA136&gt;=91000,BA136&lt;=91999)</formula>
    </cfRule>
  </conditionalFormatting>
  <conditionalFormatting sqref="AN151">
    <cfRule type="expression" dxfId="26058" priority="12413">
      <formula>AND(AO151&gt;=79001,AO151&lt;79900)</formula>
    </cfRule>
    <cfRule type="expression" dxfId="26057" priority="12414" stopIfTrue="1">
      <formula>AND(AO151&gt;=70101,AO151&lt;=70301)</formula>
    </cfRule>
    <cfRule type="expression" dxfId="26056" priority="12415" stopIfTrue="1">
      <formula>AND(AO151&gt;70000,AO151&lt;70004)</formula>
    </cfRule>
    <cfRule type="expression" dxfId="26055" priority="12416" stopIfTrue="1">
      <formula>AND(AO151&gt;=70010,AO151&lt;=76000)</formula>
    </cfRule>
    <cfRule type="expression" dxfId="26054" priority="12417">
      <formula>AND(AO151&gt;70000,AO151&lt;70004)</formula>
    </cfRule>
    <cfRule type="expression" dxfId="26053" priority="12418" stopIfTrue="1">
      <formula>OR(AND(AO151&gt;=10000,AO151&lt;=56999),AND(AO151&gt;=57000,AO151&lt;=57999))</formula>
    </cfRule>
    <cfRule type="expression" dxfId="26052" priority="12419" stopIfTrue="1">
      <formula>AND(AO151&gt;=8000,AO151&lt;=9999)</formula>
    </cfRule>
    <cfRule type="expression" dxfId="26051" priority="12420" stopIfTrue="1">
      <formula>AND(AO151&gt;=78100,AO151&lt;=78199)</formula>
    </cfRule>
    <cfRule type="expression" dxfId="26050" priority="12421" stopIfTrue="1">
      <formula>AND(AO151&gt;=92000,AO151&lt;=98999)</formula>
    </cfRule>
    <cfRule type="expression" dxfId="26049" priority="12422" stopIfTrue="1">
      <formula>AND(AO151&gt;=78100,AO151&lt;=78199)</formula>
    </cfRule>
    <cfRule type="expression" dxfId="26048" priority="12423" stopIfTrue="1">
      <formula>AND(AO151&gt;=91000,AO151&lt;=91999)</formula>
    </cfRule>
  </conditionalFormatting>
  <conditionalFormatting sqref="AN151">
    <cfRule type="expression" dxfId="26047" priority="12402">
      <formula>AND(AO151&gt;=79001,AO151&lt;79900)</formula>
    </cfRule>
    <cfRule type="expression" dxfId="26046" priority="12403" stopIfTrue="1">
      <formula>AND(AO151&gt;=70101,AO151&lt;=70301)</formula>
    </cfRule>
    <cfRule type="expression" dxfId="26045" priority="12404" stopIfTrue="1">
      <formula>AND(AO151&gt;70000,AO151&lt;70004)</formula>
    </cfRule>
    <cfRule type="expression" dxfId="26044" priority="12405" stopIfTrue="1">
      <formula>AND(AO151&gt;=70010,AO151&lt;=76000)</formula>
    </cfRule>
    <cfRule type="expression" dxfId="26043" priority="12406">
      <formula>AND(AO151&gt;70000,AO151&lt;70004)</formula>
    </cfRule>
    <cfRule type="expression" dxfId="26042" priority="12407" stopIfTrue="1">
      <formula>OR(AND(AO151&gt;=10000,AO151&lt;=56999),AND(AO151&gt;=57000,AO151&lt;=57999))</formula>
    </cfRule>
    <cfRule type="expression" dxfId="26041" priority="12408" stopIfTrue="1">
      <formula>AND(AO151&gt;=8000,AO151&lt;=9999)</formula>
    </cfRule>
    <cfRule type="expression" dxfId="26040" priority="12409" stopIfTrue="1">
      <formula>AND(AO151&gt;=78100,AO151&lt;=78199)</formula>
    </cfRule>
    <cfRule type="expression" dxfId="26039" priority="12410" stopIfTrue="1">
      <formula>AND(AO151&gt;=92000,AO151&lt;=98999)</formula>
    </cfRule>
    <cfRule type="expression" dxfId="26038" priority="12411" stopIfTrue="1">
      <formula>AND(AO151&gt;=78100,AO151&lt;=78199)</formula>
    </cfRule>
    <cfRule type="expression" dxfId="26037" priority="12412" stopIfTrue="1">
      <formula>AND(AO151&gt;=91000,AO151&lt;=91999)</formula>
    </cfRule>
  </conditionalFormatting>
  <conditionalFormatting sqref="AN151">
    <cfRule type="expression" dxfId="26036" priority="12391">
      <formula>AND(AO151&gt;=79001,AO151&lt;79900)</formula>
    </cfRule>
    <cfRule type="expression" dxfId="26035" priority="12392" stopIfTrue="1">
      <formula>AND(AO151&gt;=70101,AO151&lt;=70301)</formula>
    </cfRule>
    <cfRule type="expression" dxfId="26034" priority="12393" stopIfTrue="1">
      <formula>AND(AO151&gt;70000,AO151&lt;70004)</formula>
    </cfRule>
    <cfRule type="expression" dxfId="26033" priority="12394" stopIfTrue="1">
      <formula>AND(AO151&gt;=70010,AO151&lt;=76000)</formula>
    </cfRule>
    <cfRule type="expression" dxfId="26032" priority="12395">
      <formula>AND(AO151&gt;70000,AO151&lt;70004)</formula>
    </cfRule>
    <cfRule type="expression" dxfId="26031" priority="12396" stopIfTrue="1">
      <formula>OR(AND(AO151&gt;=10000,AO151&lt;=56999),AND(AO151&gt;=57000,AO151&lt;=57999))</formula>
    </cfRule>
    <cfRule type="expression" dxfId="26030" priority="12397" stopIfTrue="1">
      <formula>AND(AO151&gt;=8000,AO151&lt;=9999)</formula>
    </cfRule>
    <cfRule type="expression" dxfId="26029" priority="12398" stopIfTrue="1">
      <formula>AND(AO151&gt;=78100,AO151&lt;=78199)</formula>
    </cfRule>
    <cfRule type="expression" dxfId="26028" priority="12399" stopIfTrue="1">
      <formula>AND(AO151&gt;=92000,AO151&lt;=98999)</formula>
    </cfRule>
    <cfRule type="expression" dxfId="26027" priority="12400" stopIfTrue="1">
      <formula>AND(AO151&gt;=78100,AO151&lt;=78199)</formula>
    </cfRule>
    <cfRule type="expression" dxfId="26026" priority="12401" stopIfTrue="1">
      <formula>AND(AO151&gt;=91000,AO151&lt;=91999)</formula>
    </cfRule>
  </conditionalFormatting>
  <conditionalFormatting sqref="AN151">
    <cfRule type="expression" dxfId="26025" priority="12380">
      <formula>AND(AO151&gt;=79001,AO151&lt;79900)</formula>
    </cfRule>
    <cfRule type="expression" dxfId="26024" priority="12381" stopIfTrue="1">
      <formula>AND(AO151&gt;=70101,AO151&lt;=70301)</formula>
    </cfRule>
    <cfRule type="expression" dxfId="26023" priority="12382" stopIfTrue="1">
      <formula>AND(AO151&gt;70000,AO151&lt;70004)</formula>
    </cfRule>
    <cfRule type="expression" dxfId="26022" priority="12383" stopIfTrue="1">
      <formula>AND(AO151&gt;=70010,AO151&lt;=76000)</formula>
    </cfRule>
    <cfRule type="expression" dxfId="26021" priority="12384">
      <formula>AND(AO151&gt;70000,AO151&lt;70004)</formula>
    </cfRule>
    <cfRule type="expression" dxfId="26020" priority="12385" stopIfTrue="1">
      <formula>OR(AND(AO151&gt;=10000,AO151&lt;=56999),AND(AO151&gt;=57000,AO151&lt;=57999))</formula>
    </cfRule>
    <cfRule type="expression" dxfId="26019" priority="12386" stopIfTrue="1">
      <formula>AND(AO151&gt;=8000,AO151&lt;=9999)</formula>
    </cfRule>
    <cfRule type="expression" dxfId="26018" priority="12387" stopIfTrue="1">
      <formula>AND(AO151&gt;=78100,AO151&lt;=78199)</formula>
    </cfRule>
    <cfRule type="expression" dxfId="26017" priority="12388" stopIfTrue="1">
      <formula>AND(AO151&gt;=92000,AO151&lt;=98999)</formula>
    </cfRule>
    <cfRule type="expression" dxfId="26016" priority="12389" stopIfTrue="1">
      <formula>AND(AO151&gt;=78100,AO151&lt;=78199)</formula>
    </cfRule>
    <cfRule type="expression" dxfId="26015" priority="12390" stopIfTrue="1">
      <formula>AND(AO151&gt;=91000,AO151&lt;=91999)</formula>
    </cfRule>
  </conditionalFormatting>
  <conditionalFormatting sqref="AR151">
    <cfRule type="expression" dxfId="26014" priority="12369">
      <formula>AND(AS151&gt;=79001,AS151&lt;79900)</formula>
    </cfRule>
    <cfRule type="expression" dxfId="26013" priority="12370" stopIfTrue="1">
      <formula>AND(AS151&gt;=70101,AS151&lt;=70301)</formula>
    </cfRule>
    <cfRule type="expression" dxfId="26012" priority="12371" stopIfTrue="1">
      <formula>AND(AS151&gt;70000,AS151&lt;70004)</formula>
    </cfRule>
    <cfRule type="expression" dxfId="26011" priority="12372" stopIfTrue="1">
      <formula>AND(AS151&gt;=70010,AS151&lt;=76000)</formula>
    </cfRule>
    <cfRule type="expression" dxfId="26010" priority="12373">
      <formula>AND(AS151&gt;70000,AS151&lt;70004)</formula>
    </cfRule>
    <cfRule type="expression" dxfId="26009" priority="12374" stopIfTrue="1">
      <formula>OR(AND(AS151&gt;=10000,AS151&lt;=56999),AND(AS151&gt;=57000,AS151&lt;=57999))</formula>
    </cfRule>
    <cfRule type="expression" dxfId="26008" priority="12375" stopIfTrue="1">
      <formula>AND(AS151&gt;=8000,AS151&lt;=9999)</formula>
    </cfRule>
    <cfRule type="expression" dxfId="26007" priority="12376" stopIfTrue="1">
      <formula>AND(AS151&gt;=78100,AS151&lt;=78199)</formula>
    </cfRule>
    <cfRule type="expression" dxfId="26006" priority="12377" stopIfTrue="1">
      <formula>AND(AS151&gt;=92000,AS151&lt;=98999)</formula>
    </cfRule>
    <cfRule type="expression" dxfId="26005" priority="12378" stopIfTrue="1">
      <formula>AND(AS151&gt;=78100,AS151&lt;=78199)</formula>
    </cfRule>
    <cfRule type="expression" dxfId="26004" priority="12379" stopIfTrue="1">
      <formula>AND(AS151&gt;=91000,AS151&lt;=91999)</formula>
    </cfRule>
  </conditionalFormatting>
  <conditionalFormatting sqref="AR151">
    <cfRule type="expression" dxfId="26003" priority="12358">
      <formula>AND(AS151&gt;=79001,AS151&lt;79900)</formula>
    </cfRule>
    <cfRule type="expression" dxfId="26002" priority="12359" stopIfTrue="1">
      <formula>AND(AS151&gt;=70101,AS151&lt;=70301)</formula>
    </cfRule>
    <cfRule type="expression" dxfId="26001" priority="12360" stopIfTrue="1">
      <formula>AND(AS151&gt;70000,AS151&lt;70004)</formula>
    </cfRule>
    <cfRule type="expression" dxfId="26000" priority="12361" stopIfTrue="1">
      <formula>AND(AS151&gt;=70010,AS151&lt;=76000)</formula>
    </cfRule>
    <cfRule type="expression" dxfId="25999" priority="12362">
      <formula>AND(AS151&gt;70000,AS151&lt;70004)</formula>
    </cfRule>
    <cfRule type="expression" dxfId="25998" priority="12363" stopIfTrue="1">
      <formula>OR(AND(AS151&gt;=10000,AS151&lt;=56999),AND(AS151&gt;=57000,AS151&lt;=57999))</formula>
    </cfRule>
    <cfRule type="expression" dxfId="25997" priority="12364" stopIfTrue="1">
      <formula>AND(AS151&gt;=8000,AS151&lt;=9999)</formula>
    </cfRule>
    <cfRule type="expression" dxfId="25996" priority="12365" stopIfTrue="1">
      <formula>AND(AS151&gt;=78100,AS151&lt;=78199)</formula>
    </cfRule>
    <cfRule type="expression" dxfId="25995" priority="12366" stopIfTrue="1">
      <formula>AND(AS151&gt;=92000,AS151&lt;=98999)</formula>
    </cfRule>
    <cfRule type="expression" dxfId="25994" priority="12367" stopIfTrue="1">
      <formula>AND(AS151&gt;=78100,AS151&lt;=78199)</formula>
    </cfRule>
    <cfRule type="expression" dxfId="25993" priority="12368" stopIfTrue="1">
      <formula>AND(AS151&gt;=91000,AS151&lt;=91999)</formula>
    </cfRule>
  </conditionalFormatting>
  <conditionalFormatting sqref="AR151">
    <cfRule type="expression" dxfId="25992" priority="12347">
      <formula>AND(AS151&gt;=79001,AS151&lt;79900)</formula>
    </cfRule>
    <cfRule type="expression" dxfId="25991" priority="12348" stopIfTrue="1">
      <formula>AND(AS151&gt;=70101,AS151&lt;=70301)</formula>
    </cfRule>
    <cfRule type="expression" dxfId="25990" priority="12349" stopIfTrue="1">
      <formula>AND(AS151&gt;70000,AS151&lt;70004)</formula>
    </cfRule>
    <cfRule type="expression" dxfId="25989" priority="12350" stopIfTrue="1">
      <formula>AND(AS151&gt;=70010,AS151&lt;=76000)</formula>
    </cfRule>
    <cfRule type="expression" dxfId="25988" priority="12351">
      <formula>AND(AS151&gt;70000,AS151&lt;70004)</formula>
    </cfRule>
    <cfRule type="expression" dxfId="25987" priority="12352" stopIfTrue="1">
      <formula>OR(AND(AS151&gt;=10000,AS151&lt;=56999),AND(AS151&gt;=57000,AS151&lt;=57999))</formula>
    </cfRule>
    <cfRule type="expression" dxfId="25986" priority="12353" stopIfTrue="1">
      <formula>AND(AS151&gt;=8000,AS151&lt;=9999)</formula>
    </cfRule>
    <cfRule type="expression" dxfId="25985" priority="12354" stopIfTrue="1">
      <formula>AND(AS151&gt;=78100,AS151&lt;=78199)</formula>
    </cfRule>
    <cfRule type="expression" dxfId="25984" priority="12355" stopIfTrue="1">
      <formula>AND(AS151&gt;=92000,AS151&lt;=98999)</formula>
    </cfRule>
    <cfRule type="expression" dxfId="25983" priority="12356" stopIfTrue="1">
      <formula>AND(AS151&gt;=78100,AS151&lt;=78199)</formula>
    </cfRule>
    <cfRule type="expression" dxfId="25982" priority="12357" stopIfTrue="1">
      <formula>AND(AS151&gt;=91000,AS151&lt;=91999)</formula>
    </cfRule>
  </conditionalFormatting>
  <conditionalFormatting sqref="AR151">
    <cfRule type="expression" dxfId="25981" priority="12336">
      <formula>AND(AS151&gt;=79001,AS151&lt;79900)</formula>
    </cfRule>
    <cfRule type="expression" dxfId="25980" priority="12337" stopIfTrue="1">
      <formula>AND(AS151&gt;=70101,AS151&lt;=70301)</formula>
    </cfRule>
    <cfRule type="expression" dxfId="25979" priority="12338" stopIfTrue="1">
      <formula>AND(AS151&gt;70000,AS151&lt;70004)</formula>
    </cfRule>
    <cfRule type="expression" dxfId="25978" priority="12339" stopIfTrue="1">
      <formula>AND(AS151&gt;=70010,AS151&lt;=76000)</formula>
    </cfRule>
    <cfRule type="expression" dxfId="25977" priority="12340">
      <formula>AND(AS151&gt;70000,AS151&lt;70004)</formula>
    </cfRule>
    <cfRule type="expression" dxfId="25976" priority="12341" stopIfTrue="1">
      <formula>OR(AND(AS151&gt;=10000,AS151&lt;=56999),AND(AS151&gt;=57000,AS151&lt;=57999))</formula>
    </cfRule>
    <cfRule type="expression" dxfId="25975" priority="12342" stopIfTrue="1">
      <formula>AND(AS151&gt;=8000,AS151&lt;=9999)</formula>
    </cfRule>
    <cfRule type="expression" dxfId="25974" priority="12343" stopIfTrue="1">
      <formula>AND(AS151&gt;=78100,AS151&lt;=78199)</formula>
    </cfRule>
    <cfRule type="expression" dxfId="25973" priority="12344" stopIfTrue="1">
      <formula>AND(AS151&gt;=92000,AS151&lt;=98999)</formula>
    </cfRule>
    <cfRule type="expression" dxfId="25972" priority="12345" stopIfTrue="1">
      <formula>AND(AS151&gt;=78100,AS151&lt;=78199)</formula>
    </cfRule>
    <cfRule type="expression" dxfId="25971" priority="12346" stopIfTrue="1">
      <formula>AND(AS151&gt;=91000,AS151&lt;=91999)</formula>
    </cfRule>
  </conditionalFormatting>
  <conditionalFormatting sqref="AV151">
    <cfRule type="expression" dxfId="25970" priority="12325">
      <formula>AND(AW151&gt;=79001,AW151&lt;79900)</formula>
    </cfRule>
    <cfRule type="expression" dxfId="25969" priority="12326" stopIfTrue="1">
      <formula>AND(AW151&gt;=70101,AW151&lt;=70301)</formula>
    </cfRule>
    <cfRule type="expression" dxfId="25968" priority="12327" stopIfTrue="1">
      <formula>AND(AW151&gt;70000,AW151&lt;70004)</formula>
    </cfRule>
    <cfRule type="expression" dxfId="25967" priority="12328" stopIfTrue="1">
      <formula>AND(AW151&gt;=70010,AW151&lt;=76000)</formula>
    </cfRule>
    <cfRule type="expression" dxfId="25966" priority="12329">
      <formula>AND(AW151&gt;70000,AW151&lt;70004)</formula>
    </cfRule>
    <cfRule type="expression" dxfId="25965" priority="12330" stopIfTrue="1">
      <formula>OR(AND(AW151&gt;=10000,AW151&lt;=56999),AND(AW151&gt;=57000,AW151&lt;=57999))</formula>
    </cfRule>
    <cfRule type="expression" dxfId="25964" priority="12331" stopIfTrue="1">
      <formula>AND(AW151&gt;=8000,AW151&lt;=9999)</formula>
    </cfRule>
    <cfRule type="expression" dxfId="25963" priority="12332" stopIfTrue="1">
      <formula>AND(AW151&gt;=78100,AW151&lt;=78199)</formula>
    </cfRule>
    <cfRule type="expression" dxfId="25962" priority="12333" stopIfTrue="1">
      <formula>AND(AW151&gt;=92000,AW151&lt;=98999)</formula>
    </cfRule>
    <cfRule type="expression" dxfId="25961" priority="12334" stopIfTrue="1">
      <formula>AND(AW151&gt;=78100,AW151&lt;=78199)</formula>
    </cfRule>
    <cfRule type="expression" dxfId="25960" priority="12335" stopIfTrue="1">
      <formula>AND(AW151&gt;=91000,AW151&lt;=91999)</formula>
    </cfRule>
  </conditionalFormatting>
  <conditionalFormatting sqref="AV151">
    <cfRule type="expression" dxfId="25959" priority="12314">
      <formula>AND(AW151&gt;=79001,AW151&lt;79900)</formula>
    </cfRule>
    <cfRule type="expression" dxfId="25958" priority="12315" stopIfTrue="1">
      <formula>AND(AW151&gt;=70101,AW151&lt;=70301)</formula>
    </cfRule>
    <cfRule type="expression" dxfId="25957" priority="12316" stopIfTrue="1">
      <formula>AND(AW151&gt;70000,AW151&lt;70004)</formula>
    </cfRule>
    <cfRule type="expression" dxfId="25956" priority="12317" stopIfTrue="1">
      <formula>AND(AW151&gt;=70010,AW151&lt;=76000)</formula>
    </cfRule>
    <cfRule type="expression" dxfId="25955" priority="12318">
      <formula>AND(AW151&gt;70000,AW151&lt;70004)</formula>
    </cfRule>
    <cfRule type="expression" dxfId="25954" priority="12319" stopIfTrue="1">
      <formula>OR(AND(AW151&gt;=10000,AW151&lt;=56999),AND(AW151&gt;=57000,AW151&lt;=57999))</formula>
    </cfRule>
    <cfRule type="expression" dxfId="25953" priority="12320" stopIfTrue="1">
      <formula>AND(AW151&gt;=8000,AW151&lt;=9999)</formula>
    </cfRule>
    <cfRule type="expression" dxfId="25952" priority="12321" stopIfTrue="1">
      <formula>AND(AW151&gt;=78100,AW151&lt;=78199)</formula>
    </cfRule>
    <cfRule type="expression" dxfId="25951" priority="12322" stopIfTrue="1">
      <formula>AND(AW151&gt;=92000,AW151&lt;=98999)</formula>
    </cfRule>
    <cfRule type="expression" dxfId="25950" priority="12323" stopIfTrue="1">
      <formula>AND(AW151&gt;=78100,AW151&lt;=78199)</formula>
    </cfRule>
    <cfRule type="expression" dxfId="25949" priority="12324" stopIfTrue="1">
      <formula>AND(AW151&gt;=91000,AW151&lt;=91999)</formula>
    </cfRule>
  </conditionalFormatting>
  <conditionalFormatting sqref="AV151">
    <cfRule type="expression" dxfId="25948" priority="12303">
      <formula>AND(AW151&gt;=79001,AW151&lt;79900)</formula>
    </cfRule>
    <cfRule type="expression" dxfId="25947" priority="12304" stopIfTrue="1">
      <formula>AND(AW151&gt;=70101,AW151&lt;=70301)</formula>
    </cfRule>
    <cfRule type="expression" dxfId="25946" priority="12305" stopIfTrue="1">
      <formula>AND(AW151&gt;70000,AW151&lt;70004)</formula>
    </cfRule>
    <cfRule type="expression" dxfId="25945" priority="12306" stopIfTrue="1">
      <formula>AND(AW151&gt;=70010,AW151&lt;=76000)</formula>
    </cfRule>
    <cfRule type="expression" dxfId="25944" priority="12307">
      <formula>AND(AW151&gt;70000,AW151&lt;70004)</formula>
    </cfRule>
    <cfRule type="expression" dxfId="25943" priority="12308" stopIfTrue="1">
      <formula>OR(AND(AW151&gt;=10000,AW151&lt;=56999),AND(AW151&gt;=57000,AW151&lt;=57999))</formula>
    </cfRule>
    <cfRule type="expression" dxfId="25942" priority="12309" stopIfTrue="1">
      <formula>AND(AW151&gt;=8000,AW151&lt;=9999)</formula>
    </cfRule>
    <cfRule type="expression" dxfId="25941" priority="12310" stopIfTrue="1">
      <formula>AND(AW151&gt;=78100,AW151&lt;=78199)</formula>
    </cfRule>
    <cfRule type="expression" dxfId="25940" priority="12311" stopIfTrue="1">
      <formula>AND(AW151&gt;=92000,AW151&lt;=98999)</formula>
    </cfRule>
    <cfRule type="expression" dxfId="25939" priority="12312" stopIfTrue="1">
      <formula>AND(AW151&gt;=78100,AW151&lt;=78199)</formula>
    </cfRule>
    <cfRule type="expression" dxfId="25938" priority="12313" stopIfTrue="1">
      <formula>AND(AW151&gt;=91000,AW151&lt;=91999)</formula>
    </cfRule>
  </conditionalFormatting>
  <conditionalFormatting sqref="AV151">
    <cfRule type="expression" dxfId="25937" priority="12292">
      <formula>AND(AW151&gt;=79001,AW151&lt;79900)</formula>
    </cfRule>
    <cfRule type="expression" dxfId="25936" priority="12293" stopIfTrue="1">
      <formula>AND(AW151&gt;=70101,AW151&lt;=70301)</formula>
    </cfRule>
    <cfRule type="expression" dxfId="25935" priority="12294" stopIfTrue="1">
      <formula>AND(AW151&gt;70000,AW151&lt;70004)</formula>
    </cfRule>
    <cfRule type="expression" dxfId="25934" priority="12295" stopIfTrue="1">
      <formula>AND(AW151&gt;=70010,AW151&lt;=76000)</formula>
    </cfRule>
    <cfRule type="expression" dxfId="25933" priority="12296">
      <formula>AND(AW151&gt;70000,AW151&lt;70004)</formula>
    </cfRule>
    <cfRule type="expression" dxfId="25932" priority="12297" stopIfTrue="1">
      <formula>OR(AND(AW151&gt;=10000,AW151&lt;=56999),AND(AW151&gt;=57000,AW151&lt;=57999))</formula>
    </cfRule>
    <cfRule type="expression" dxfId="25931" priority="12298" stopIfTrue="1">
      <formula>AND(AW151&gt;=8000,AW151&lt;=9999)</formula>
    </cfRule>
    <cfRule type="expression" dxfId="25930" priority="12299" stopIfTrue="1">
      <formula>AND(AW151&gt;=78100,AW151&lt;=78199)</formula>
    </cfRule>
    <cfRule type="expression" dxfId="25929" priority="12300" stopIfTrue="1">
      <formula>AND(AW151&gt;=92000,AW151&lt;=98999)</formula>
    </cfRule>
    <cfRule type="expression" dxfId="25928" priority="12301" stopIfTrue="1">
      <formula>AND(AW151&gt;=78100,AW151&lt;=78199)</formula>
    </cfRule>
    <cfRule type="expression" dxfId="25927" priority="12302" stopIfTrue="1">
      <formula>AND(AW151&gt;=91000,AW151&lt;=91999)</formula>
    </cfRule>
  </conditionalFormatting>
  <conditionalFormatting sqref="AZ151">
    <cfRule type="expression" dxfId="25926" priority="12281">
      <formula>AND(BA151&gt;=79001,BA151&lt;79900)</formula>
    </cfRule>
    <cfRule type="expression" dxfId="25925" priority="12282" stopIfTrue="1">
      <formula>AND(BA151&gt;=70101,BA151&lt;=70301)</formula>
    </cfRule>
    <cfRule type="expression" dxfId="25924" priority="12283" stopIfTrue="1">
      <formula>AND(BA151&gt;70000,BA151&lt;70004)</formula>
    </cfRule>
    <cfRule type="expression" dxfId="25923" priority="12284" stopIfTrue="1">
      <formula>AND(BA151&gt;=70010,BA151&lt;=76000)</formula>
    </cfRule>
    <cfRule type="expression" dxfId="25922" priority="12285">
      <formula>AND(BA151&gt;70000,BA151&lt;70004)</formula>
    </cfRule>
    <cfRule type="expression" dxfId="25921" priority="12286" stopIfTrue="1">
      <formula>OR(AND(BA151&gt;=10000,BA151&lt;=56999),AND(BA151&gt;=57000,BA151&lt;=57999))</formula>
    </cfRule>
    <cfRule type="expression" dxfId="25920" priority="12287" stopIfTrue="1">
      <formula>AND(BA151&gt;=8000,BA151&lt;=9999)</formula>
    </cfRule>
    <cfRule type="expression" dxfId="25919" priority="12288" stopIfTrue="1">
      <formula>AND(BA151&gt;=78100,BA151&lt;=78199)</formula>
    </cfRule>
    <cfRule type="expression" dxfId="25918" priority="12289" stopIfTrue="1">
      <formula>AND(BA151&gt;=92000,BA151&lt;=98999)</formula>
    </cfRule>
    <cfRule type="expression" dxfId="25917" priority="12290" stopIfTrue="1">
      <formula>AND(BA151&gt;=78100,BA151&lt;=78199)</formula>
    </cfRule>
    <cfRule type="expression" dxfId="25916" priority="12291" stopIfTrue="1">
      <formula>AND(BA151&gt;=91000,BA151&lt;=91999)</formula>
    </cfRule>
  </conditionalFormatting>
  <conditionalFormatting sqref="AZ151">
    <cfRule type="expression" dxfId="25915" priority="12270">
      <formula>AND(BA151&gt;=79001,BA151&lt;79900)</formula>
    </cfRule>
    <cfRule type="expression" dxfId="25914" priority="12271" stopIfTrue="1">
      <formula>AND(BA151&gt;=70101,BA151&lt;=70301)</formula>
    </cfRule>
    <cfRule type="expression" dxfId="25913" priority="12272" stopIfTrue="1">
      <formula>AND(BA151&gt;70000,BA151&lt;70004)</formula>
    </cfRule>
    <cfRule type="expression" dxfId="25912" priority="12273" stopIfTrue="1">
      <formula>AND(BA151&gt;=70010,BA151&lt;=76000)</formula>
    </cfRule>
    <cfRule type="expression" dxfId="25911" priority="12274">
      <formula>AND(BA151&gt;70000,BA151&lt;70004)</formula>
    </cfRule>
    <cfRule type="expression" dxfId="25910" priority="12275" stopIfTrue="1">
      <formula>OR(AND(BA151&gt;=10000,BA151&lt;=56999),AND(BA151&gt;=57000,BA151&lt;=57999))</formula>
    </cfRule>
    <cfRule type="expression" dxfId="25909" priority="12276" stopIfTrue="1">
      <formula>AND(BA151&gt;=8000,BA151&lt;=9999)</formula>
    </cfRule>
    <cfRule type="expression" dxfId="25908" priority="12277" stopIfTrue="1">
      <formula>AND(BA151&gt;=78100,BA151&lt;=78199)</formula>
    </cfRule>
    <cfRule type="expression" dxfId="25907" priority="12278" stopIfTrue="1">
      <formula>AND(BA151&gt;=92000,BA151&lt;=98999)</formula>
    </cfRule>
    <cfRule type="expression" dxfId="25906" priority="12279" stopIfTrue="1">
      <formula>AND(BA151&gt;=78100,BA151&lt;=78199)</formula>
    </cfRule>
    <cfRule type="expression" dxfId="25905" priority="12280" stopIfTrue="1">
      <formula>AND(BA151&gt;=91000,BA151&lt;=91999)</formula>
    </cfRule>
  </conditionalFormatting>
  <conditionalFormatting sqref="AZ151">
    <cfRule type="expression" dxfId="25904" priority="12259">
      <formula>AND(BA151&gt;=79001,BA151&lt;79900)</formula>
    </cfRule>
    <cfRule type="expression" dxfId="25903" priority="12260" stopIfTrue="1">
      <formula>AND(BA151&gt;=70101,BA151&lt;=70301)</formula>
    </cfRule>
    <cfRule type="expression" dxfId="25902" priority="12261" stopIfTrue="1">
      <formula>AND(BA151&gt;70000,BA151&lt;70004)</formula>
    </cfRule>
    <cfRule type="expression" dxfId="25901" priority="12262" stopIfTrue="1">
      <formula>AND(BA151&gt;=70010,BA151&lt;=76000)</formula>
    </cfRule>
    <cfRule type="expression" dxfId="25900" priority="12263">
      <formula>AND(BA151&gt;70000,BA151&lt;70004)</formula>
    </cfRule>
    <cfRule type="expression" dxfId="25899" priority="12264" stopIfTrue="1">
      <formula>OR(AND(BA151&gt;=10000,BA151&lt;=56999),AND(BA151&gt;=57000,BA151&lt;=57999))</formula>
    </cfRule>
    <cfRule type="expression" dxfId="25898" priority="12265" stopIfTrue="1">
      <formula>AND(BA151&gt;=8000,BA151&lt;=9999)</formula>
    </cfRule>
    <cfRule type="expression" dxfId="25897" priority="12266" stopIfTrue="1">
      <formula>AND(BA151&gt;=78100,BA151&lt;=78199)</formula>
    </cfRule>
    <cfRule type="expression" dxfId="25896" priority="12267" stopIfTrue="1">
      <formula>AND(BA151&gt;=92000,BA151&lt;=98999)</formula>
    </cfRule>
    <cfRule type="expression" dxfId="25895" priority="12268" stopIfTrue="1">
      <formula>AND(BA151&gt;=78100,BA151&lt;=78199)</formula>
    </cfRule>
    <cfRule type="expression" dxfId="25894" priority="12269" stopIfTrue="1">
      <formula>AND(BA151&gt;=91000,BA151&lt;=91999)</formula>
    </cfRule>
  </conditionalFormatting>
  <conditionalFormatting sqref="AZ151">
    <cfRule type="expression" dxfId="25893" priority="12248">
      <formula>AND(BA151&gt;=79001,BA151&lt;79900)</formula>
    </cfRule>
    <cfRule type="expression" dxfId="25892" priority="12249" stopIfTrue="1">
      <formula>AND(BA151&gt;=70101,BA151&lt;=70301)</formula>
    </cfRule>
    <cfRule type="expression" dxfId="25891" priority="12250" stopIfTrue="1">
      <formula>AND(BA151&gt;70000,BA151&lt;70004)</formula>
    </cfRule>
    <cfRule type="expression" dxfId="25890" priority="12251" stopIfTrue="1">
      <formula>AND(BA151&gt;=70010,BA151&lt;=76000)</formula>
    </cfRule>
    <cfRule type="expression" dxfId="25889" priority="12252">
      <formula>AND(BA151&gt;70000,BA151&lt;70004)</formula>
    </cfRule>
    <cfRule type="expression" dxfId="25888" priority="12253" stopIfTrue="1">
      <formula>OR(AND(BA151&gt;=10000,BA151&lt;=56999),AND(BA151&gt;=57000,BA151&lt;=57999))</formula>
    </cfRule>
    <cfRule type="expression" dxfId="25887" priority="12254" stopIfTrue="1">
      <formula>AND(BA151&gt;=8000,BA151&lt;=9999)</formula>
    </cfRule>
    <cfRule type="expression" dxfId="25886" priority="12255" stopIfTrue="1">
      <formula>AND(BA151&gt;=78100,BA151&lt;=78199)</formula>
    </cfRule>
    <cfRule type="expression" dxfId="25885" priority="12256" stopIfTrue="1">
      <formula>AND(BA151&gt;=92000,BA151&lt;=98999)</formula>
    </cfRule>
    <cfRule type="expression" dxfId="25884" priority="12257" stopIfTrue="1">
      <formula>AND(BA151&gt;=78100,BA151&lt;=78199)</formula>
    </cfRule>
    <cfRule type="expression" dxfId="25883" priority="12258" stopIfTrue="1">
      <formula>AND(BA151&gt;=91000,BA151&lt;=91999)</formula>
    </cfRule>
  </conditionalFormatting>
  <conditionalFormatting sqref="AN166:AN167">
    <cfRule type="expression" dxfId="25882" priority="12061">
      <formula>AND(AO166&gt;=79001,AO166&lt;79900)</formula>
    </cfRule>
    <cfRule type="expression" dxfId="25881" priority="12062" stopIfTrue="1">
      <formula>AND(AO166&gt;=70101,AO166&lt;=70301)</formula>
    </cfRule>
    <cfRule type="expression" dxfId="25880" priority="12063" stopIfTrue="1">
      <formula>AND(AO166&gt;70000,AO166&lt;70004)</formula>
    </cfRule>
    <cfRule type="expression" dxfId="25879" priority="12064" stopIfTrue="1">
      <formula>AND(AO166&gt;=70010,AO166&lt;=76000)</formula>
    </cfRule>
    <cfRule type="expression" dxfId="25878" priority="12065">
      <formula>AND(AO166&gt;70000,AO166&lt;70004)</formula>
    </cfRule>
    <cfRule type="expression" dxfId="25877" priority="12066" stopIfTrue="1">
      <formula>OR(AND(AO166&gt;=10000,AO166&lt;=56999),AND(AO166&gt;=57000,AO166&lt;=57999))</formula>
    </cfRule>
    <cfRule type="expression" dxfId="25876" priority="12067" stopIfTrue="1">
      <formula>AND(AO166&gt;=8000,AO166&lt;=9999)</formula>
    </cfRule>
    <cfRule type="expression" dxfId="25875" priority="12068" stopIfTrue="1">
      <formula>AND(AO166&gt;=78100,AO166&lt;=78199)</formula>
    </cfRule>
    <cfRule type="expression" dxfId="25874" priority="12069" stopIfTrue="1">
      <formula>AND(AO166&gt;=92000,AO166&lt;=98999)</formula>
    </cfRule>
    <cfRule type="expression" dxfId="25873" priority="12070" stopIfTrue="1">
      <formula>AND(AO166&gt;=78100,AO166&lt;=78199)</formula>
    </cfRule>
    <cfRule type="expression" dxfId="25872" priority="12071" stopIfTrue="1">
      <formula>AND(AO166&gt;=91000,AO166&lt;=91999)</formula>
    </cfRule>
  </conditionalFormatting>
  <conditionalFormatting sqref="AN166:AN167">
    <cfRule type="expression" dxfId="25871" priority="12050">
      <formula>AND(AO166&gt;=79001,AO166&lt;79900)</formula>
    </cfRule>
    <cfRule type="expression" dxfId="25870" priority="12051" stopIfTrue="1">
      <formula>AND(AO166&gt;=70101,AO166&lt;=70301)</formula>
    </cfRule>
    <cfRule type="expression" dxfId="25869" priority="12052" stopIfTrue="1">
      <formula>AND(AO166&gt;70000,AO166&lt;70004)</formula>
    </cfRule>
    <cfRule type="expression" dxfId="25868" priority="12053" stopIfTrue="1">
      <formula>AND(AO166&gt;=70010,AO166&lt;=76000)</formula>
    </cfRule>
    <cfRule type="expression" dxfId="25867" priority="12054">
      <formula>AND(AO166&gt;70000,AO166&lt;70004)</formula>
    </cfRule>
    <cfRule type="expression" dxfId="25866" priority="12055" stopIfTrue="1">
      <formula>OR(AND(AO166&gt;=10000,AO166&lt;=56999),AND(AO166&gt;=57000,AO166&lt;=57999))</formula>
    </cfRule>
    <cfRule type="expression" dxfId="25865" priority="12056" stopIfTrue="1">
      <formula>AND(AO166&gt;=8000,AO166&lt;=9999)</formula>
    </cfRule>
    <cfRule type="expression" dxfId="25864" priority="12057" stopIfTrue="1">
      <formula>AND(AO166&gt;=78100,AO166&lt;=78199)</formula>
    </cfRule>
    <cfRule type="expression" dxfId="25863" priority="12058" stopIfTrue="1">
      <formula>AND(AO166&gt;=92000,AO166&lt;=98999)</formula>
    </cfRule>
    <cfRule type="expression" dxfId="25862" priority="12059" stopIfTrue="1">
      <formula>AND(AO166&gt;=78100,AO166&lt;=78199)</formula>
    </cfRule>
    <cfRule type="expression" dxfId="25861" priority="12060" stopIfTrue="1">
      <formula>AND(AO166&gt;=91000,AO166&lt;=91999)</formula>
    </cfRule>
  </conditionalFormatting>
  <conditionalFormatting sqref="AN166:AN167">
    <cfRule type="expression" dxfId="25860" priority="12039">
      <formula>AND(AO166&gt;=79001,AO166&lt;79900)</formula>
    </cfRule>
    <cfRule type="expression" dxfId="25859" priority="12040" stopIfTrue="1">
      <formula>AND(AO166&gt;=70101,AO166&lt;=70301)</formula>
    </cfRule>
    <cfRule type="expression" dxfId="25858" priority="12041" stopIfTrue="1">
      <formula>AND(AO166&gt;70000,AO166&lt;70004)</formula>
    </cfRule>
    <cfRule type="expression" dxfId="25857" priority="12042" stopIfTrue="1">
      <formula>AND(AO166&gt;=70010,AO166&lt;=76000)</formula>
    </cfRule>
    <cfRule type="expression" dxfId="25856" priority="12043">
      <formula>AND(AO166&gt;70000,AO166&lt;70004)</formula>
    </cfRule>
    <cfRule type="expression" dxfId="25855" priority="12044" stopIfTrue="1">
      <formula>OR(AND(AO166&gt;=10000,AO166&lt;=56999),AND(AO166&gt;=57000,AO166&lt;=57999))</formula>
    </cfRule>
    <cfRule type="expression" dxfId="25854" priority="12045" stopIfTrue="1">
      <formula>AND(AO166&gt;=8000,AO166&lt;=9999)</formula>
    </cfRule>
    <cfRule type="expression" dxfId="25853" priority="12046" stopIfTrue="1">
      <formula>AND(AO166&gt;=78100,AO166&lt;=78199)</formula>
    </cfRule>
    <cfRule type="expression" dxfId="25852" priority="12047" stopIfTrue="1">
      <formula>AND(AO166&gt;=92000,AO166&lt;=98999)</formula>
    </cfRule>
    <cfRule type="expression" dxfId="25851" priority="12048" stopIfTrue="1">
      <formula>AND(AO166&gt;=78100,AO166&lt;=78199)</formula>
    </cfRule>
    <cfRule type="expression" dxfId="25850" priority="12049" stopIfTrue="1">
      <formula>AND(AO166&gt;=91000,AO166&lt;=91999)</formula>
    </cfRule>
  </conditionalFormatting>
  <conditionalFormatting sqref="AN166:AN167">
    <cfRule type="expression" dxfId="25849" priority="12028">
      <formula>AND(AO166&gt;=79001,AO166&lt;79900)</formula>
    </cfRule>
    <cfRule type="expression" dxfId="25848" priority="12029" stopIfTrue="1">
      <formula>AND(AO166&gt;=70101,AO166&lt;=70301)</formula>
    </cfRule>
    <cfRule type="expression" dxfId="25847" priority="12030" stopIfTrue="1">
      <formula>AND(AO166&gt;70000,AO166&lt;70004)</formula>
    </cfRule>
    <cfRule type="expression" dxfId="25846" priority="12031" stopIfTrue="1">
      <formula>AND(AO166&gt;=70010,AO166&lt;=76000)</formula>
    </cfRule>
    <cfRule type="expression" dxfId="25845" priority="12032">
      <formula>AND(AO166&gt;70000,AO166&lt;70004)</formula>
    </cfRule>
    <cfRule type="expression" dxfId="25844" priority="12033" stopIfTrue="1">
      <formula>OR(AND(AO166&gt;=10000,AO166&lt;=56999),AND(AO166&gt;=57000,AO166&lt;=57999))</formula>
    </cfRule>
    <cfRule type="expression" dxfId="25843" priority="12034" stopIfTrue="1">
      <formula>AND(AO166&gt;=8000,AO166&lt;=9999)</formula>
    </cfRule>
    <cfRule type="expression" dxfId="25842" priority="12035" stopIfTrue="1">
      <formula>AND(AO166&gt;=78100,AO166&lt;=78199)</formula>
    </cfRule>
    <cfRule type="expression" dxfId="25841" priority="12036" stopIfTrue="1">
      <formula>AND(AO166&gt;=92000,AO166&lt;=98999)</formula>
    </cfRule>
    <cfRule type="expression" dxfId="25840" priority="12037" stopIfTrue="1">
      <formula>AND(AO166&gt;=78100,AO166&lt;=78199)</formula>
    </cfRule>
    <cfRule type="expression" dxfId="25839" priority="12038" stopIfTrue="1">
      <formula>AND(AO166&gt;=91000,AO166&lt;=91999)</formula>
    </cfRule>
  </conditionalFormatting>
  <conditionalFormatting sqref="AR166:AR167">
    <cfRule type="expression" dxfId="25838" priority="12017">
      <formula>AND(AS166&gt;=79001,AS166&lt;79900)</formula>
    </cfRule>
    <cfRule type="expression" dxfId="25837" priority="12018" stopIfTrue="1">
      <formula>AND(AS166&gt;=70101,AS166&lt;=70301)</formula>
    </cfRule>
    <cfRule type="expression" dxfId="25836" priority="12019" stopIfTrue="1">
      <formula>AND(AS166&gt;70000,AS166&lt;70004)</formula>
    </cfRule>
    <cfRule type="expression" dxfId="25835" priority="12020" stopIfTrue="1">
      <formula>AND(AS166&gt;=70010,AS166&lt;=76000)</formula>
    </cfRule>
    <cfRule type="expression" dxfId="25834" priority="12021">
      <formula>AND(AS166&gt;70000,AS166&lt;70004)</formula>
    </cfRule>
    <cfRule type="expression" dxfId="25833" priority="12022" stopIfTrue="1">
      <formula>OR(AND(AS166&gt;=10000,AS166&lt;=56999),AND(AS166&gt;=57000,AS166&lt;=57999))</formula>
    </cfRule>
    <cfRule type="expression" dxfId="25832" priority="12023" stopIfTrue="1">
      <formula>AND(AS166&gt;=8000,AS166&lt;=9999)</formula>
    </cfRule>
    <cfRule type="expression" dxfId="25831" priority="12024" stopIfTrue="1">
      <formula>AND(AS166&gt;=78100,AS166&lt;=78199)</formula>
    </cfRule>
    <cfRule type="expression" dxfId="25830" priority="12025" stopIfTrue="1">
      <formula>AND(AS166&gt;=92000,AS166&lt;=98999)</formula>
    </cfRule>
    <cfRule type="expression" dxfId="25829" priority="12026" stopIfTrue="1">
      <formula>AND(AS166&gt;=78100,AS166&lt;=78199)</formula>
    </cfRule>
    <cfRule type="expression" dxfId="25828" priority="12027" stopIfTrue="1">
      <formula>AND(AS166&gt;=91000,AS166&lt;=91999)</formula>
    </cfRule>
  </conditionalFormatting>
  <conditionalFormatting sqref="AR166:AR167">
    <cfRule type="expression" dxfId="25827" priority="12006">
      <formula>AND(AS166&gt;=79001,AS166&lt;79900)</formula>
    </cfRule>
    <cfRule type="expression" dxfId="25826" priority="12007" stopIfTrue="1">
      <formula>AND(AS166&gt;=70101,AS166&lt;=70301)</formula>
    </cfRule>
    <cfRule type="expression" dxfId="25825" priority="12008" stopIfTrue="1">
      <formula>AND(AS166&gt;70000,AS166&lt;70004)</formula>
    </cfRule>
    <cfRule type="expression" dxfId="25824" priority="12009" stopIfTrue="1">
      <formula>AND(AS166&gt;=70010,AS166&lt;=76000)</formula>
    </cfRule>
    <cfRule type="expression" dxfId="25823" priority="12010">
      <formula>AND(AS166&gt;70000,AS166&lt;70004)</formula>
    </cfRule>
    <cfRule type="expression" dxfId="25822" priority="12011" stopIfTrue="1">
      <formula>OR(AND(AS166&gt;=10000,AS166&lt;=56999),AND(AS166&gt;=57000,AS166&lt;=57999))</formula>
    </cfRule>
    <cfRule type="expression" dxfId="25821" priority="12012" stopIfTrue="1">
      <formula>AND(AS166&gt;=8000,AS166&lt;=9999)</formula>
    </cfRule>
    <cfRule type="expression" dxfId="25820" priority="12013" stopIfTrue="1">
      <formula>AND(AS166&gt;=78100,AS166&lt;=78199)</formula>
    </cfRule>
    <cfRule type="expression" dxfId="25819" priority="12014" stopIfTrue="1">
      <formula>AND(AS166&gt;=92000,AS166&lt;=98999)</formula>
    </cfRule>
    <cfRule type="expression" dxfId="25818" priority="12015" stopIfTrue="1">
      <formula>AND(AS166&gt;=78100,AS166&lt;=78199)</formula>
    </cfRule>
    <cfRule type="expression" dxfId="25817" priority="12016" stopIfTrue="1">
      <formula>AND(AS166&gt;=91000,AS166&lt;=91999)</formula>
    </cfRule>
  </conditionalFormatting>
  <conditionalFormatting sqref="AR166:AR167">
    <cfRule type="expression" dxfId="25816" priority="11995">
      <formula>AND(AS166&gt;=79001,AS166&lt;79900)</formula>
    </cfRule>
    <cfRule type="expression" dxfId="25815" priority="11996" stopIfTrue="1">
      <formula>AND(AS166&gt;=70101,AS166&lt;=70301)</formula>
    </cfRule>
    <cfRule type="expression" dxfId="25814" priority="11997" stopIfTrue="1">
      <formula>AND(AS166&gt;70000,AS166&lt;70004)</formula>
    </cfRule>
    <cfRule type="expression" dxfId="25813" priority="11998" stopIfTrue="1">
      <formula>AND(AS166&gt;=70010,AS166&lt;=76000)</formula>
    </cfRule>
    <cfRule type="expression" dxfId="25812" priority="11999">
      <formula>AND(AS166&gt;70000,AS166&lt;70004)</formula>
    </cfRule>
    <cfRule type="expression" dxfId="25811" priority="12000" stopIfTrue="1">
      <formula>OR(AND(AS166&gt;=10000,AS166&lt;=56999),AND(AS166&gt;=57000,AS166&lt;=57999))</formula>
    </cfRule>
    <cfRule type="expression" dxfId="25810" priority="12001" stopIfTrue="1">
      <formula>AND(AS166&gt;=8000,AS166&lt;=9999)</formula>
    </cfRule>
    <cfRule type="expression" dxfId="25809" priority="12002" stopIfTrue="1">
      <formula>AND(AS166&gt;=78100,AS166&lt;=78199)</formula>
    </cfRule>
    <cfRule type="expression" dxfId="25808" priority="12003" stopIfTrue="1">
      <formula>AND(AS166&gt;=92000,AS166&lt;=98999)</formula>
    </cfRule>
    <cfRule type="expression" dxfId="25807" priority="12004" stopIfTrue="1">
      <formula>AND(AS166&gt;=78100,AS166&lt;=78199)</formula>
    </cfRule>
    <cfRule type="expression" dxfId="25806" priority="12005" stopIfTrue="1">
      <formula>AND(AS166&gt;=91000,AS166&lt;=91999)</formula>
    </cfRule>
  </conditionalFormatting>
  <conditionalFormatting sqref="AR166:AR167">
    <cfRule type="expression" dxfId="25805" priority="11984">
      <formula>AND(AS166&gt;=79001,AS166&lt;79900)</formula>
    </cfRule>
    <cfRule type="expression" dxfId="25804" priority="11985" stopIfTrue="1">
      <formula>AND(AS166&gt;=70101,AS166&lt;=70301)</formula>
    </cfRule>
    <cfRule type="expression" dxfId="25803" priority="11986" stopIfTrue="1">
      <formula>AND(AS166&gt;70000,AS166&lt;70004)</formula>
    </cfRule>
    <cfRule type="expression" dxfId="25802" priority="11987" stopIfTrue="1">
      <formula>AND(AS166&gt;=70010,AS166&lt;=76000)</formula>
    </cfRule>
    <cfRule type="expression" dxfId="25801" priority="11988">
      <formula>AND(AS166&gt;70000,AS166&lt;70004)</formula>
    </cfRule>
    <cfRule type="expression" dxfId="25800" priority="11989" stopIfTrue="1">
      <formula>OR(AND(AS166&gt;=10000,AS166&lt;=56999),AND(AS166&gt;=57000,AS166&lt;=57999))</formula>
    </cfRule>
    <cfRule type="expression" dxfId="25799" priority="11990" stopIfTrue="1">
      <formula>AND(AS166&gt;=8000,AS166&lt;=9999)</formula>
    </cfRule>
    <cfRule type="expression" dxfId="25798" priority="11991" stopIfTrue="1">
      <formula>AND(AS166&gt;=78100,AS166&lt;=78199)</formula>
    </cfRule>
    <cfRule type="expression" dxfId="25797" priority="11992" stopIfTrue="1">
      <formula>AND(AS166&gt;=92000,AS166&lt;=98999)</formula>
    </cfRule>
    <cfRule type="expression" dxfId="25796" priority="11993" stopIfTrue="1">
      <formula>AND(AS166&gt;=78100,AS166&lt;=78199)</formula>
    </cfRule>
    <cfRule type="expression" dxfId="25795" priority="11994" stopIfTrue="1">
      <formula>AND(AS166&gt;=91000,AS166&lt;=91999)</formula>
    </cfRule>
  </conditionalFormatting>
  <conditionalFormatting sqref="AV166:AV167">
    <cfRule type="expression" dxfId="25794" priority="11973">
      <formula>AND(AW166&gt;=79001,AW166&lt;79900)</formula>
    </cfRule>
    <cfRule type="expression" dxfId="25793" priority="11974" stopIfTrue="1">
      <formula>AND(AW166&gt;=70101,AW166&lt;=70301)</formula>
    </cfRule>
    <cfRule type="expression" dxfId="25792" priority="11975" stopIfTrue="1">
      <formula>AND(AW166&gt;70000,AW166&lt;70004)</formula>
    </cfRule>
    <cfRule type="expression" dxfId="25791" priority="11976" stopIfTrue="1">
      <formula>AND(AW166&gt;=70010,AW166&lt;=76000)</formula>
    </cfRule>
    <cfRule type="expression" dxfId="25790" priority="11977">
      <formula>AND(AW166&gt;70000,AW166&lt;70004)</formula>
    </cfRule>
    <cfRule type="expression" dxfId="25789" priority="11978" stopIfTrue="1">
      <formula>OR(AND(AW166&gt;=10000,AW166&lt;=56999),AND(AW166&gt;=57000,AW166&lt;=57999))</formula>
    </cfRule>
    <cfRule type="expression" dxfId="25788" priority="11979" stopIfTrue="1">
      <formula>AND(AW166&gt;=8000,AW166&lt;=9999)</formula>
    </cfRule>
    <cfRule type="expression" dxfId="25787" priority="11980" stopIfTrue="1">
      <formula>AND(AW166&gt;=78100,AW166&lt;=78199)</formula>
    </cfRule>
    <cfRule type="expression" dxfId="25786" priority="11981" stopIfTrue="1">
      <formula>AND(AW166&gt;=92000,AW166&lt;=98999)</formula>
    </cfRule>
    <cfRule type="expression" dxfId="25785" priority="11982" stopIfTrue="1">
      <formula>AND(AW166&gt;=78100,AW166&lt;=78199)</formula>
    </cfRule>
    <cfRule type="expression" dxfId="25784" priority="11983" stopIfTrue="1">
      <formula>AND(AW166&gt;=91000,AW166&lt;=91999)</formula>
    </cfRule>
  </conditionalFormatting>
  <conditionalFormatting sqref="AV166:AV167">
    <cfRule type="expression" dxfId="25783" priority="11962">
      <formula>AND(AW166&gt;=79001,AW166&lt;79900)</formula>
    </cfRule>
    <cfRule type="expression" dxfId="25782" priority="11963" stopIfTrue="1">
      <formula>AND(AW166&gt;=70101,AW166&lt;=70301)</formula>
    </cfRule>
    <cfRule type="expression" dxfId="25781" priority="11964" stopIfTrue="1">
      <formula>AND(AW166&gt;70000,AW166&lt;70004)</formula>
    </cfRule>
    <cfRule type="expression" dxfId="25780" priority="11965" stopIfTrue="1">
      <formula>AND(AW166&gt;=70010,AW166&lt;=76000)</formula>
    </cfRule>
    <cfRule type="expression" dxfId="25779" priority="11966">
      <formula>AND(AW166&gt;70000,AW166&lt;70004)</formula>
    </cfRule>
    <cfRule type="expression" dxfId="25778" priority="11967" stopIfTrue="1">
      <formula>OR(AND(AW166&gt;=10000,AW166&lt;=56999),AND(AW166&gt;=57000,AW166&lt;=57999))</formula>
    </cfRule>
    <cfRule type="expression" dxfId="25777" priority="11968" stopIfTrue="1">
      <formula>AND(AW166&gt;=8000,AW166&lt;=9999)</formula>
    </cfRule>
    <cfRule type="expression" dxfId="25776" priority="11969" stopIfTrue="1">
      <formula>AND(AW166&gt;=78100,AW166&lt;=78199)</formula>
    </cfRule>
    <cfRule type="expression" dxfId="25775" priority="11970" stopIfTrue="1">
      <formula>AND(AW166&gt;=92000,AW166&lt;=98999)</formula>
    </cfRule>
    <cfRule type="expression" dxfId="25774" priority="11971" stopIfTrue="1">
      <formula>AND(AW166&gt;=78100,AW166&lt;=78199)</formula>
    </cfRule>
    <cfRule type="expression" dxfId="25773" priority="11972" stopIfTrue="1">
      <formula>AND(AW166&gt;=91000,AW166&lt;=91999)</formula>
    </cfRule>
  </conditionalFormatting>
  <conditionalFormatting sqref="AV166:AV167">
    <cfRule type="expression" dxfId="25772" priority="11951">
      <formula>AND(AW166&gt;=79001,AW166&lt;79900)</formula>
    </cfRule>
    <cfRule type="expression" dxfId="25771" priority="11952" stopIfTrue="1">
      <formula>AND(AW166&gt;=70101,AW166&lt;=70301)</formula>
    </cfRule>
    <cfRule type="expression" dxfId="25770" priority="11953" stopIfTrue="1">
      <formula>AND(AW166&gt;70000,AW166&lt;70004)</formula>
    </cfRule>
    <cfRule type="expression" dxfId="25769" priority="11954" stopIfTrue="1">
      <formula>AND(AW166&gt;=70010,AW166&lt;=76000)</formula>
    </cfRule>
    <cfRule type="expression" dxfId="25768" priority="11955">
      <formula>AND(AW166&gt;70000,AW166&lt;70004)</formula>
    </cfRule>
    <cfRule type="expression" dxfId="25767" priority="11956" stopIfTrue="1">
      <formula>OR(AND(AW166&gt;=10000,AW166&lt;=56999),AND(AW166&gt;=57000,AW166&lt;=57999))</formula>
    </cfRule>
    <cfRule type="expression" dxfId="25766" priority="11957" stopIfTrue="1">
      <formula>AND(AW166&gt;=8000,AW166&lt;=9999)</formula>
    </cfRule>
    <cfRule type="expression" dxfId="25765" priority="11958" stopIfTrue="1">
      <formula>AND(AW166&gt;=78100,AW166&lt;=78199)</formula>
    </cfRule>
    <cfRule type="expression" dxfId="25764" priority="11959" stopIfTrue="1">
      <formula>AND(AW166&gt;=92000,AW166&lt;=98999)</formula>
    </cfRule>
    <cfRule type="expression" dxfId="25763" priority="11960" stopIfTrue="1">
      <formula>AND(AW166&gt;=78100,AW166&lt;=78199)</formula>
    </cfRule>
    <cfRule type="expression" dxfId="25762" priority="11961" stopIfTrue="1">
      <formula>AND(AW166&gt;=91000,AW166&lt;=91999)</formula>
    </cfRule>
  </conditionalFormatting>
  <conditionalFormatting sqref="AV166:AV167">
    <cfRule type="expression" dxfId="25761" priority="11940">
      <formula>AND(AW166&gt;=79001,AW166&lt;79900)</formula>
    </cfRule>
    <cfRule type="expression" dxfId="25760" priority="11941" stopIfTrue="1">
      <formula>AND(AW166&gt;=70101,AW166&lt;=70301)</formula>
    </cfRule>
    <cfRule type="expression" dxfId="25759" priority="11942" stopIfTrue="1">
      <formula>AND(AW166&gt;70000,AW166&lt;70004)</formula>
    </cfRule>
    <cfRule type="expression" dxfId="25758" priority="11943" stopIfTrue="1">
      <formula>AND(AW166&gt;=70010,AW166&lt;=76000)</formula>
    </cfRule>
    <cfRule type="expression" dxfId="25757" priority="11944">
      <formula>AND(AW166&gt;70000,AW166&lt;70004)</formula>
    </cfRule>
    <cfRule type="expression" dxfId="25756" priority="11945" stopIfTrue="1">
      <formula>OR(AND(AW166&gt;=10000,AW166&lt;=56999),AND(AW166&gt;=57000,AW166&lt;=57999))</formula>
    </cfRule>
    <cfRule type="expression" dxfId="25755" priority="11946" stopIfTrue="1">
      <formula>AND(AW166&gt;=8000,AW166&lt;=9999)</formula>
    </cfRule>
    <cfRule type="expression" dxfId="25754" priority="11947" stopIfTrue="1">
      <formula>AND(AW166&gt;=78100,AW166&lt;=78199)</formula>
    </cfRule>
    <cfRule type="expression" dxfId="25753" priority="11948" stopIfTrue="1">
      <formula>AND(AW166&gt;=92000,AW166&lt;=98999)</formula>
    </cfRule>
    <cfRule type="expression" dxfId="25752" priority="11949" stopIfTrue="1">
      <formula>AND(AW166&gt;=78100,AW166&lt;=78199)</formula>
    </cfRule>
    <cfRule type="expression" dxfId="25751" priority="11950" stopIfTrue="1">
      <formula>AND(AW166&gt;=91000,AW166&lt;=91999)</formula>
    </cfRule>
  </conditionalFormatting>
  <conditionalFormatting sqref="AZ166:AZ167">
    <cfRule type="expression" dxfId="25750" priority="11929">
      <formula>AND(BA166&gt;=79001,BA166&lt;79900)</formula>
    </cfRule>
    <cfRule type="expression" dxfId="25749" priority="11930" stopIfTrue="1">
      <formula>AND(BA166&gt;=70101,BA166&lt;=70301)</formula>
    </cfRule>
    <cfRule type="expression" dxfId="25748" priority="11931" stopIfTrue="1">
      <formula>AND(BA166&gt;70000,BA166&lt;70004)</formula>
    </cfRule>
    <cfRule type="expression" dxfId="25747" priority="11932" stopIfTrue="1">
      <formula>AND(BA166&gt;=70010,BA166&lt;=76000)</formula>
    </cfRule>
    <cfRule type="expression" dxfId="25746" priority="11933">
      <formula>AND(BA166&gt;70000,BA166&lt;70004)</formula>
    </cfRule>
    <cfRule type="expression" dxfId="25745" priority="11934" stopIfTrue="1">
      <formula>OR(AND(BA166&gt;=10000,BA166&lt;=56999),AND(BA166&gt;=57000,BA166&lt;=57999))</formula>
    </cfRule>
    <cfRule type="expression" dxfId="25744" priority="11935" stopIfTrue="1">
      <formula>AND(BA166&gt;=8000,BA166&lt;=9999)</formula>
    </cfRule>
    <cfRule type="expression" dxfId="25743" priority="11936" stopIfTrue="1">
      <formula>AND(BA166&gt;=78100,BA166&lt;=78199)</formula>
    </cfRule>
    <cfRule type="expression" dxfId="25742" priority="11937" stopIfTrue="1">
      <formula>AND(BA166&gt;=92000,BA166&lt;=98999)</formula>
    </cfRule>
    <cfRule type="expression" dxfId="25741" priority="11938" stopIfTrue="1">
      <formula>AND(BA166&gt;=78100,BA166&lt;=78199)</formula>
    </cfRule>
    <cfRule type="expression" dxfId="25740" priority="11939" stopIfTrue="1">
      <formula>AND(BA166&gt;=91000,BA166&lt;=91999)</formula>
    </cfRule>
  </conditionalFormatting>
  <conditionalFormatting sqref="AZ166:AZ167">
    <cfRule type="expression" dxfId="25739" priority="11918">
      <formula>AND(BA166&gt;=79001,BA166&lt;79900)</formula>
    </cfRule>
    <cfRule type="expression" dxfId="25738" priority="11919" stopIfTrue="1">
      <formula>AND(BA166&gt;=70101,BA166&lt;=70301)</formula>
    </cfRule>
    <cfRule type="expression" dxfId="25737" priority="11920" stopIfTrue="1">
      <formula>AND(BA166&gt;70000,BA166&lt;70004)</formula>
    </cfRule>
    <cfRule type="expression" dxfId="25736" priority="11921" stopIfTrue="1">
      <formula>AND(BA166&gt;=70010,BA166&lt;=76000)</formula>
    </cfRule>
    <cfRule type="expression" dxfId="25735" priority="11922">
      <formula>AND(BA166&gt;70000,BA166&lt;70004)</formula>
    </cfRule>
    <cfRule type="expression" dxfId="25734" priority="11923" stopIfTrue="1">
      <formula>OR(AND(BA166&gt;=10000,BA166&lt;=56999),AND(BA166&gt;=57000,BA166&lt;=57999))</formula>
    </cfRule>
    <cfRule type="expression" dxfId="25733" priority="11924" stopIfTrue="1">
      <formula>AND(BA166&gt;=8000,BA166&lt;=9999)</formula>
    </cfRule>
    <cfRule type="expression" dxfId="25732" priority="11925" stopIfTrue="1">
      <formula>AND(BA166&gt;=78100,BA166&lt;=78199)</formula>
    </cfRule>
    <cfRule type="expression" dxfId="25731" priority="11926" stopIfTrue="1">
      <formula>AND(BA166&gt;=92000,BA166&lt;=98999)</formula>
    </cfRule>
    <cfRule type="expression" dxfId="25730" priority="11927" stopIfTrue="1">
      <formula>AND(BA166&gt;=78100,BA166&lt;=78199)</formula>
    </cfRule>
    <cfRule type="expression" dxfId="25729" priority="11928" stopIfTrue="1">
      <formula>AND(BA166&gt;=91000,BA166&lt;=91999)</formula>
    </cfRule>
  </conditionalFormatting>
  <conditionalFormatting sqref="AZ166:AZ167">
    <cfRule type="expression" dxfId="25728" priority="11907">
      <formula>AND(BA166&gt;=79001,BA166&lt;79900)</formula>
    </cfRule>
    <cfRule type="expression" dxfId="25727" priority="11908" stopIfTrue="1">
      <formula>AND(BA166&gt;=70101,BA166&lt;=70301)</formula>
    </cfRule>
    <cfRule type="expression" dxfId="25726" priority="11909" stopIfTrue="1">
      <formula>AND(BA166&gt;70000,BA166&lt;70004)</formula>
    </cfRule>
    <cfRule type="expression" dxfId="25725" priority="11910" stopIfTrue="1">
      <formula>AND(BA166&gt;=70010,BA166&lt;=76000)</formula>
    </cfRule>
    <cfRule type="expression" dxfId="25724" priority="11911">
      <formula>AND(BA166&gt;70000,BA166&lt;70004)</formula>
    </cfRule>
    <cfRule type="expression" dxfId="25723" priority="11912" stopIfTrue="1">
      <formula>OR(AND(BA166&gt;=10000,BA166&lt;=56999),AND(BA166&gt;=57000,BA166&lt;=57999))</formula>
    </cfRule>
    <cfRule type="expression" dxfId="25722" priority="11913" stopIfTrue="1">
      <formula>AND(BA166&gt;=8000,BA166&lt;=9999)</formula>
    </cfRule>
    <cfRule type="expression" dxfId="25721" priority="11914" stopIfTrue="1">
      <formula>AND(BA166&gt;=78100,BA166&lt;=78199)</formula>
    </cfRule>
    <cfRule type="expression" dxfId="25720" priority="11915" stopIfTrue="1">
      <formula>AND(BA166&gt;=92000,BA166&lt;=98999)</formula>
    </cfRule>
    <cfRule type="expression" dxfId="25719" priority="11916" stopIfTrue="1">
      <formula>AND(BA166&gt;=78100,BA166&lt;=78199)</formula>
    </cfRule>
    <cfRule type="expression" dxfId="25718" priority="11917" stopIfTrue="1">
      <formula>AND(BA166&gt;=91000,BA166&lt;=91999)</formula>
    </cfRule>
  </conditionalFormatting>
  <conditionalFormatting sqref="AZ166:AZ167">
    <cfRule type="expression" dxfId="25717" priority="11896">
      <formula>AND(BA166&gt;=79001,BA166&lt;79900)</formula>
    </cfRule>
    <cfRule type="expression" dxfId="25716" priority="11897" stopIfTrue="1">
      <formula>AND(BA166&gt;=70101,BA166&lt;=70301)</formula>
    </cfRule>
    <cfRule type="expression" dxfId="25715" priority="11898" stopIfTrue="1">
      <formula>AND(BA166&gt;70000,BA166&lt;70004)</formula>
    </cfRule>
    <cfRule type="expression" dxfId="25714" priority="11899" stopIfTrue="1">
      <formula>AND(BA166&gt;=70010,BA166&lt;=76000)</formula>
    </cfRule>
    <cfRule type="expression" dxfId="25713" priority="11900">
      <formula>AND(BA166&gt;70000,BA166&lt;70004)</formula>
    </cfRule>
    <cfRule type="expression" dxfId="25712" priority="11901" stopIfTrue="1">
      <formula>OR(AND(BA166&gt;=10000,BA166&lt;=56999),AND(BA166&gt;=57000,BA166&lt;=57999))</formula>
    </cfRule>
    <cfRule type="expression" dxfId="25711" priority="11902" stopIfTrue="1">
      <formula>AND(BA166&gt;=8000,BA166&lt;=9999)</formula>
    </cfRule>
    <cfRule type="expression" dxfId="25710" priority="11903" stopIfTrue="1">
      <formula>AND(BA166&gt;=78100,BA166&lt;=78199)</formula>
    </cfRule>
    <cfRule type="expression" dxfId="25709" priority="11904" stopIfTrue="1">
      <formula>AND(BA166&gt;=92000,BA166&lt;=98999)</formula>
    </cfRule>
    <cfRule type="expression" dxfId="25708" priority="11905" stopIfTrue="1">
      <formula>AND(BA166&gt;=78100,BA166&lt;=78199)</formula>
    </cfRule>
    <cfRule type="expression" dxfId="25707" priority="11906" stopIfTrue="1">
      <formula>AND(BA166&gt;=91000,BA166&lt;=91999)</formula>
    </cfRule>
  </conditionalFormatting>
  <conditionalFormatting sqref="BV1:BV1048576">
    <cfRule type="colorScale" priority="1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14:F1048576 F1:F167">
    <cfRule type="colorScale" priority="1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67">
    <cfRule type="colorScale" priority="1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167">
    <cfRule type="colorScale" priority="1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67">
    <cfRule type="colorScale" priority="1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68:BN1048576 BN1:BN16 BP1:BP16 BR1:BR16 BT1:BT16 BP168:BP1048576 BR168:BR1048576 BT168:BT1048576">
    <cfRule type="colorScale" priority="1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7:BN31 BP17:BP31 BR17:BR31 BT17:BT31">
    <cfRule type="colorScale" priority="1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47:BN61 BP47:BP61 BR47:BR61 BT47:BT61">
    <cfRule type="colorScale" priority="1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62:BN76 BP62:BP76 BR62:BR76 BT62:BT76">
    <cfRule type="colorScale" priority="1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2:BN46 BP32:BP46 BR32:BR46 BT32:BT46">
    <cfRule type="colorScale" priority="1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77:BN91 BP77:BP91 BR77:BR91 BT77:BT91">
    <cfRule type="colorScale" priority="1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92:BN106 BP92:BP106 BR92:BR106 BT92:BT106">
    <cfRule type="colorScale" priority="1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07:BN121 BP107:BP121 BR107:BR121 BT107:BT121">
    <cfRule type="colorScale" priority="1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22:BN136 BP122:BP136 BR122:BR136 BT122:BT136">
    <cfRule type="colorScale" priority="1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37:BN151 BP137:BP151 BR137:BR151 BT137:BT151">
    <cfRule type="colorScale" priority="1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52:BN167 BP152:BP167 BR152:BR167 BT152:BT167">
    <cfRule type="colorScale" priority="1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68:F217 F278:F307">
    <cfRule type="colorScale" priority="1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68:J177 J278:J287">
    <cfRule type="colorScale" priority="1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68:N177 N278:N287">
    <cfRule type="colorScale" priority="1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8:J187">
    <cfRule type="colorScale" priority="1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88:J197">
    <cfRule type="colorScale" priority="1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98:J207">
    <cfRule type="colorScale" priority="1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08:J217">
    <cfRule type="colorScale" priority="1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78:N187">
    <cfRule type="colorScale" priority="1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88:N197">
    <cfRule type="colorScale" priority="1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98:N207">
    <cfRule type="colorScale" priority="1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8:N217">
    <cfRule type="colorScale" priority="1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78:R187">
    <cfRule type="colorScale" priority="1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8:R197">
    <cfRule type="colorScale" priority="1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98:R207">
    <cfRule type="colorScale" priority="1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08:R217">
    <cfRule type="colorScale" priority="1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8:F237">
    <cfRule type="colorScale" priority="1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38:F247">
    <cfRule type="colorScale" priority="1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48:F257">
    <cfRule type="colorScale" priority="1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58:F267">
    <cfRule type="colorScale" priority="1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8:F277">
    <cfRule type="colorScale" priority="1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8:J237">
    <cfRule type="colorScale" priority="1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38:J247">
    <cfRule type="colorScale" priority="1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48:J257">
    <cfRule type="colorScale" priority="1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58:J267">
    <cfRule type="colorScale" priority="1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8:J277">
    <cfRule type="colorScale" priority="1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28:N237">
    <cfRule type="colorScale" priority="1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8:N247">
    <cfRule type="colorScale" priority="1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48:N257">
    <cfRule type="colorScale" priority="1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58:N267">
    <cfRule type="colorScale" priority="1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8:N277">
    <cfRule type="colorScale" priority="1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8:J297">
    <cfRule type="colorScale" priority="1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98:J307">
    <cfRule type="colorScale" priority="1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88:N297">
    <cfRule type="colorScale" priority="1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8:N307">
    <cfRule type="colorScale" priority="1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18:F227">
    <cfRule type="colorScale" priority="1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18:J227">
    <cfRule type="colorScale" priority="1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18:N227">
    <cfRule type="colorScale" priority="1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8:R227">
    <cfRule type="colorScale" priority="1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4">
    <cfRule type="expression" dxfId="25706" priority="11798">
      <formula>AND(U4&gt;=79001,U4&lt;79900)</formula>
    </cfRule>
    <cfRule type="expression" dxfId="25705" priority="11799" stopIfTrue="1">
      <formula>AND(U4&gt;=70101,U4&lt;=70301)</formula>
    </cfRule>
    <cfRule type="expression" dxfId="25704" priority="11800" stopIfTrue="1">
      <formula>AND(U4&gt;70000,U4&lt;70004)</formula>
    </cfRule>
    <cfRule type="expression" dxfId="25703" priority="11801" stopIfTrue="1">
      <formula>AND(U4&gt;=70010,U4&lt;=76000)</formula>
    </cfRule>
    <cfRule type="expression" dxfId="25702" priority="11802">
      <formula>AND(U4&gt;70000,U4&lt;70004)</formula>
    </cfRule>
    <cfRule type="expression" dxfId="25701" priority="11803" stopIfTrue="1">
      <formula>OR(AND(U4&gt;=10000,U4&lt;=56999),AND(U4&gt;=57000,U4&lt;=57999))</formula>
    </cfRule>
    <cfRule type="expression" dxfId="25700" priority="11804" stopIfTrue="1">
      <formula>AND(U4&gt;=8000,U4&lt;=9999)</formula>
    </cfRule>
    <cfRule type="expression" dxfId="25699" priority="11805" stopIfTrue="1">
      <formula>AND(U4&gt;=78100,U4&lt;=78199)</formula>
    </cfRule>
    <cfRule type="expression" dxfId="25698" priority="11806" stopIfTrue="1">
      <formula>AND(U4&gt;=92000,U4&lt;=98999)</formula>
    </cfRule>
    <cfRule type="expression" dxfId="25697" priority="11807" stopIfTrue="1">
      <formula>AND(U4&gt;=78100,U4&lt;=78199)</formula>
    </cfRule>
    <cfRule type="expression" dxfId="25696" priority="11808" stopIfTrue="1">
      <formula>AND(U4&gt;=91000,U4&lt;=91999)</formula>
    </cfRule>
  </conditionalFormatting>
  <conditionalFormatting sqref="T4">
    <cfRule type="expression" dxfId="25695" priority="11787">
      <formula>AND(U4&gt;=79001,U4&lt;79900)</formula>
    </cfRule>
    <cfRule type="expression" dxfId="25694" priority="11788" stopIfTrue="1">
      <formula>AND(U4&gt;=70101,U4&lt;=70301)</formula>
    </cfRule>
    <cfRule type="expression" dxfId="25693" priority="11789" stopIfTrue="1">
      <formula>AND(U4&gt;70000,U4&lt;70004)</formula>
    </cfRule>
    <cfRule type="expression" dxfId="25692" priority="11790" stopIfTrue="1">
      <formula>AND(U4&gt;=70010,U4&lt;=76000)</formula>
    </cfRule>
    <cfRule type="expression" dxfId="25691" priority="11791">
      <formula>AND(U4&gt;70000,U4&lt;70004)</formula>
    </cfRule>
    <cfRule type="expression" dxfId="25690" priority="11792" stopIfTrue="1">
      <formula>OR(AND(U4&gt;=10000,U4&lt;=56999),AND(U4&gt;=57000,U4&lt;=57999))</formula>
    </cfRule>
    <cfRule type="expression" dxfId="25689" priority="11793" stopIfTrue="1">
      <formula>AND(U4&gt;=8000,U4&lt;=9999)</formula>
    </cfRule>
    <cfRule type="expression" dxfId="25688" priority="11794" stopIfTrue="1">
      <formula>AND(U4&gt;=78100,U4&lt;=78199)</formula>
    </cfRule>
    <cfRule type="expression" dxfId="25687" priority="11795" stopIfTrue="1">
      <formula>AND(U4&gt;=92000,U4&lt;=98999)</formula>
    </cfRule>
    <cfRule type="expression" dxfId="25686" priority="11796" stopIfTrue="1">
      <formula>AND(U4&gt;=78100,U4&lt;=78199)</formula>
    </cfRule>
    <cfRule type="expression" dxfId="25685" priority="11797" stopIfTrue="1">
      <formula>AND(U4&gt;=91000,U4&lt;=91999)</formula>
    </cfRule>
  </conditionalFormatting>
  <conditionalFormatting sqref="T4">
    <cfRule type="expression" dxfId="25684" priority="11776">
      <formula>AND(U4&gt;=79001,U4&lt;79900)</formula>
    </cfRule>
    <cfRule type="expression" dxfId="25683" priority="11777" stopIfTrue="1">
      <formula>AND(U4&gt;=70101,U4&lt;=70301)</formula>
    </cfRule>
    <cfRule type="expression" dxfId="25682" priority="11778" stopIfTrue="1">
      <formula>AND(U4&gt;70000,U4&lt;70004)</formula>
    </cfRule>
    <cfRule type="expression" dxfId="25681" priority="11779" stopIfTrue="1">
      <formula>AND(U4&gt;=70010,U4&lt;=76000)</formula>
    </cfRule>
    <cfRule type="expression" dxfId="25680" priority="11780">
      <formula>AND(U4&gt;70000,U4&lt;70004)</formula>
    </cfRule>
    <cfRule type="expression" dxfId="25679" priority="11781" stopIfTrue="1">
      <formula>OR(AND(U4&gt;=10000,U4&lt;=56999),AND(U4&gt;=57000,U4&lt;=57999))</formula>
    </cfRule>
    <cfRule type="expression" dxfId="25678" priority="11782" stopIfTrue="1">
      <formula>AND(U4&gt;=8000,U4&lt;=9999)</formula>
    </cfRule>
    <cfRule type="expression" dxfId="25677" priority="11783" stopIfTrue="1">
      <formula>AND(U4&gt;=78100,U4&lt;=78199)</formula>
    </cfRule>
    <cfRule type="expression" dxfId="25676" priority="11784" stopIfTrue="1">
      <formula>AND(U4&gt;=92000,U4&lt;=98999)</formula>
    </cfRule>
    <cfRule type="expression" dxfId="25675" priority="11785" stopIfTrue="1">
      <formula>AND(U4&gt;=78100,U4&lt;=78199)</formula>
    </cfRule>
    <cfRule type="expression" dxfId="25674" priority="11786" stopIfTrue="1">
      <formula>AND(U4&gt;=91000,U4&lt;=91999)</formula>
    </cfRule>
  </conditionalFormatting>
  <conditionalFormatting sqref="T4">
    <cfRule type="expression" dxfId="25673" priority="11765">
      <formula>AND(U4&gt;=79001,U4&lt;79900)</formula>
    </cfRule>
    <cfRule type="expression" dxfId="25672" priority="11766" stopIfTrue="1">
      <formula>AND(U4&gt;=70101,U4&lt;=70301)</formula>
    </cfRule>
    <cfRule type="expression" dxfId="25671" priority="11767" stopIfTrue="1">
      <formula>AND(U4&gt;70000,U4&lt;70004)</formula>
    </cfRule>
    <cfRule type="expression" dxfId="25670" priority="11768" stopIfTrue="1">
      <formula>AND(U4&gt;=70010,U4&lt;=76000)</formula>
    </cfRule>
    <cfRule type="expression" dxfId="25669" priority="11769">
      <formula>AND(U4&gt;70000,U4&lt;70004)</formula>
    </cfRule>
    <cfRule type="expression" dxfId="25668" priority="11770" stopIfTrue="1">
      <formula>OR(AND(U4&gt;=10000,U4&lt;=56999),AND(U4&gt;=57000,U4&lt;=57999))</formula>
    </cfRule>
    <cfRule type="expression" dxfId="25667" priority="11771" stopIfTrue="1">
      <formula>AND(U4&gt;=8000,U4&lt;=9999)</formula>
    </cfRule>
    <cfRule type="expression" dxfId="25666" priority="11772" stopIfTrue="1">
      <formula>AND(U4&gt;=78100,U4&lt;=78199)</formula>
    </cfRule>
    <cfRule type="expression" dxfId="25665" priority="11773" stopIfTrue="1">
      <formula>AND(U4&gt;=92000,U4&lt;=98999)</formula>
    </cfRule>
    <cfRule type="expression" dxfId="25664" priority="11774" stopIfTrue="1">
      <formula>AND(U4&gt;=78100,U4&lt;=78199)</formula>
    </cfRule>
    <cfRule type="expression" dxfId="25663" priority="11775" stopIfTrue="1">
      <formula>AND(U4&gt;=91000,U4&lt;=91999)</formula>
    </cfRule>
  </conditionalFormatting>
  <conditionalFormatting sqref="AB163">
    <cfRule type="expression" dxfId="25662" priority="1338">
      <formula>AND(AC163&gt;=79001,AC163&lt;79900)</formula>
    </cfRule>
    <cfRule type="expression" dxfId="25661" priority="1339" stopIfTrue="1">
      <formula>AND(AC163&gt;=70101,AC163&lt;=70301)</formula>
    </cfRule>
    <cfRule type="expression" dxfId="25660" priority="1340" stopIfTrue="1">
      <formula>AND(AC163&gt;70000,AC163&lt;70004)</formula>
    </cfRule>
    <cfRule type="expression" dxfId="25659" priority="1341" stopIfTrue="1">
      <formula>AND(AC163&gt;=70010,AC163&lt;=76000)</formula>
    </cfRule>
    <cfRule type="expression" dxfId="25658" priority="1342">
      <formula>AND(AC163&gt;70000,AC163&lt;70004)</formula>
    </cfRule>
    <cfRule type="expression" dxfId="25657" priority="1343" stopIfTrue="1">
      <formula>OR(AND(AC163&gt;=10000,AC163&lt;=56999),AND(AC163&gt;=57000,AC163&lt;=57999))</formula>
    </cfRule>
    <cfRule type="expression" dxfId="25656" priority="1344" stopIfTrue="1">
      <formula>AND(AC163&gt;=8000,AC163&lt;=9999)</formula>
    </cfRule>
    <cfRule type="expression" dxfId="25655" priority="1345" stopIfTrue="1">
      <formula>AND(AC163&gt;=78100,AC163&lt;=78199)</formula>
    </cfRule>
    <cfRule type="expression" dxfId="25654" priority="1346" stopIfTrue="1">
      <formula>AND(AC163&gt;=92000,AC163&lt;=98999)</formula>
    </cfRule>
    <cfRule type="expression" dxfId="25653" priority="1347" stopIfTrue="1">
      <formula>AND(AC163&gt;=78100,AC163&lt;=78199)</formula>
    </cfRule>
    <cfRule type="expression" dxfId="25652" priority="1348" stopIfTrue="1">
      <formula>AND(AC163&gt;=91000,AC163&lt;=91999)</formula>
    </cfRule>
  </conditionalFormatting>
  <conditionalFormatting sqref="AB163">
    <cfRule type="expression" dxfId="25651" priority="1327">
      <formula>AND(AC163&gt;=79001,AC163&lt;79900)</formula>
    </cfRule>
    <cfRule type="expression" dxfId="25650" priority="1328" stopIfTrue="1">
      <formula>AND(AC163&gt;=70101,AC163&lt;=70301)</formula>
    </cfRule>
    <cfRule type="expression" dxfId="25649" priority="1329" stopIfTrue="1">
      <formula>AND(AC163&gt;70000,AC163&lt;70004)</formula>
    </cfRule>
    <cfRule type="expression" dxfId="25648" priority="1330" stopIfTrue="1">
      <formula>AND(AC163&gt;=70010,AC163&lt;=76000)</formula>
    </cfRule>
    <cfRule type="expression" dxfId="25647" priority="1331">
      <formula>AND(AC163&gt;70000,AC163&lt;70004)</formula>
    </cfRule>
    <cfRule type="expression" dxfId="25646" priority="1332" stopIfTrue="1">
      <formula>OR(AND(AC163&gt;=10000,AC163&lt;=56999),AND(AC163&gt;=57000,AC163&lt;=57999))</formula>
    </cfRule>
    <cfRule type="expression" dxfId="25645" priority="1333" stopIfTrue="1">
      <formula>AND(AC163&gt;=8000,AC163&lt;=9999)</formula>
    </cfRule>
    <cfRule type="expression" dxfId="25644" priority="1334" stopIfTrue="1">
      <formula>AND(AC163&gt;=78100,AC163&lt;=78199)</formula>
    </cfRule>
    <cfRule type="expression" dxfId="25643" priority="1335" stopIfTrue="1">
      <formula>AND(AC163&gt;=92000,AC163&lt;=98999)</formula>
    </cfRule>
    <cfRule type="expression" dxfId="25642" priority="1336" stopIfTrue="1">
      <formula>AND(AC163&gt;=78100,AC163&lt;=78199)</formula>
    </cfRule>
    <cfRule type="expression" dxfId="25641" priority="1337" stopIfTrue="1">
      <formula>AND(AC163&gt;=91000,AC163&lt;=91999)</formula>
    </cfRule>
  </conditionalFormatting>
  <conditionalFormatting sqref="AB163">
    <cfRule type="expression" dxfId="25640" priority="1316">
      <formula>AND(AC163&gt;=79001,AC163&lt;79900)</formula>
    </cfRule>
    <cfRule type="expression" dxfId="25639" priority="1317" stopIfTrue="1">
      <formula>AND(AC163&gt;=70101,AC163&lt;=70301)</formula>
    </cfRule>
    <cfRule type="expression" dxfId="25638" priority="1318" stopIfTrue="1">
      <formula>AND(AC163&gt;70000,AC163&lt;70004)</formula>
    </cfRule>
    <cfRule type="expression" dxfId="25637" priority="1319" stopIfTrue="1">
      <formula>AND(AC163&gt;=70010,AC163&lt;=76000)</formula>
    </cfRule>
    <cfRule type="expression" dxfId="25636" priority="1320">
      <formula>AND(AC163&gt;70000,AC163&lt;70004)</formula>
    </cfRule>
    <cfRule type="expression" dxfId="25635" priority="1321" stopIfTrue="1">
      <formula>OR(AND(AC163&gt;=10000,AC163&lt;=56999),AND(AC163&gt;=57000,AC163&lt;=57999))</formula>
    </cfRule>
    <cfRule type="expression" dxfId="25634" priority="1322" stopIfTrue="1">
      <formula>AND(AC163&gt;=8000,AC163&lt;=9999)</formula>
    </cfRule>
    <cfRule type="expression" dxfId="25633" priority="1323" stopIfTrue="1">
      <formula>AND(AC163&gt;=78100,AC163&lt;=78199)</formula>
    </cfRule>
    <cfRule type="expression" dxfId="25632" priority="1324" stopIfTrue="1">
      <formula>AND(AC163&gt;=92000,AC163&lt;=98999)</formula>
    </cfRule>
    <cfRule type="expression" dxfId="25631" priority="1325" stopIfTrue="1">
      <formula>AND(AC163&gt;=78100,AC163&lt;=78199)</formula>
    </cfRule>
    <cfRule type="expression" dxfId="25630" priority="1326" stopIfTrue="1">
      <formula>AND(AC163&gt;=91000,AC163&lt;=91999)</formula>
    </cfRule>
  </conditionalFormatting>
  <conditionalFormatting sqref="AB163">
    <cfRule type="expression" dxfId="25629" priority="1305">
      <formula>AND(AC163&gt;=79001,AC163&lt;79900)</formula>
    </cfRule>
    <cfRule type="expression" dxfId="25628" priority="1306" stopIfTrue="1">
      <formula>AND(AC163&gt;=70101,AC163&lt;=70301)</formula>
    </cfRule>
    <cfRule type="expression" dxfId="25627" priority="1307" stopIfTrue="1">
      <formula>AND(AC163&gt;70000,AC163&lt;70004)</formula>
    </cfRule>
    <cfRule type="expression" dxfId="25626" priority="1308" stopIfTrue="1">
      <formula>AND(AC163&gt;=70010,AC163&lt;=76000)</formula>
    </cfRule>
    <cfRule type="expression" dxfId="25625" priority="1309">
      <formula>AND(AC163&gt;70000,AC163&lt;70004)</formula>
    </cfRule>
    <cfRule type="expression" dxfId="25624" priority="1310" stopIfTrue="1">
      <formula>OR(AND(AC163&gt;=10000,AC163&lt;=56999),AND(AC163&gt;=57000,AC163&lt;=57999))</formula>
    </cfRule>
    <cfRule type="expression" dxfId="25623" priority="1311" stopIfTrue="1">
      <formula>AND(AC163&gt;=8000,AC163&lt;=9999)</formula>
    </cfRule>
    <cfRule type="expression" dxfId="25622" priority="1312" stopIfTrue="1">
      <formula>AND(AC163&gt;=78100,AC163&lt;=78199)</formula>
    </cfRule>
    <cfRule type="expression" dxfId="25621" priority="1313" stopIfTrue="1">
      <formula>AND(AC163&gt;=92000,AC163&lt;=98999)</formula>
    </cfRule>
    <cfRule type="expression" dxfId="25620" priority="1314" stopIfTrue="1">
      <formula>AND(AC163&gt;=78100,AC163&lt;=78199)</formula>
    </cfRule>
    <cfRule type="expression" dxfId="25619" priority="1315" stopIfTrue="1">
      <formula>AND(AC163&gt;=91000,AC163&lt;=91999)</formula>
    </cfRule>
  </conditionalFormatting>
  <conditionalFormatting sqref="AB160">
    <cfRule type="expression" dxfId="25618" priority="1470">
      <formula>AND(AC160&gt;=79001,AC160&lt;79900)</formula>
    </cfRule>
    <cfRule type="expression" dxfId="25617" priority="1471" stopIfTrue="1">
      <formula>AND(AC160&gt;=70101,AC160&lt;=70301)</formula>
    </cfRule>
    <cfRule type="expression" dxfId="25616" priority="1472" stopIfTrue="1">
      <formula>AND(AC160&gt;70000,AC160&lt;70004)</formula>
    </cfRule>
    <cfRule type="expression" dxfId="25615" priority="1473" stopIfTrue="1">
      <formula>AND(AC160&gt;=70010,AC160&lt;=76000)</formula>
    </cfRule>
    <cfRule type="expression" dxfId="25614" priority="1474">
      <formula>AND(AC160&gt;70000,AC160&lt;70004)</formula>
    </cfRule>
    <cfRule type="expression" dxfId="25613" priority="1475" stopIfTrue="1">
      <formula>OR(AND(AC160&gt;=10000,AC160&lt;=56999),AND(AC160&gt;=57000,AC160&lt;=57999))</formula>
    </cfRule>
    <cfRule type="expression" dxfId="25612" priority="1476" stopIfTrue="1">
      <formula>AND(AC160&gt;=8000,AC160&lt;=9999)</formula>
    </cfRule>
    <cfRule type="expression" dxfId="25611" priority="1477" stopIfTrue="1">
      <formula>AND(AC160&gt;=78100,AC160&lt;=78199)</formula>
    </cfRule>
    <cfRule type="expression" dxfId="25610" priority="1478" stopIfTrue="1">
      <formula>AND(AC160&gt;=92000,AC160&lt;=98999)</formula>
    </cfRule>
    <cfRule type="expression" dxfId="25609" priority="1479" stopIfTrue="1">
      <formula>AND(AC160&gt;=78100,AC160&lt;=78199)</formula>
    </cfRule>
    <cfRule type="expression" dxfId="25608" priority="1480" stopIfTrue="1">
      <formula>AND(AC160&gt;=91000,AC160&lt;=91999)</formula>
    </cfRule>
  </conditionalFormatting>
  <conditionalFormatting sqref="AB160">
    <cfRule type="expression" dxfId="25607" priority="1459">
      <formula>AND(AC160&gt;=79001,AC160&lt;79900)</formula>
    </cfRule>
    <cfRule type="expression" dxfId="25606" priority="1460" stopIfTrue="1">
      <formula>AND(AC160&gt;=70101,AC160&lt;=70301)</formula>
    </cfRule>
    <cfRule type="expression" dxfId="25605" priority="1461" stopIfTrue="1">
      <formula>AND(AC160&gt;70000,AC160&lt;70004)</formula>
    </cfRule>
    <cfRule type="expression" dxfId="25604" priority="1462" stopIfTrue="1">
      <formula>AND(AC160&gt;=70010,AC160&lt;=76000)</formula>
    </cfRule>
    <cfRule type="expression" dxfId="25603" priority="1463">
      <formula>AND(AC160&gt;70000,AC160&lt;70004)</formula>
    </cfRule>
    <cfRule type="expression" dxfId="25602" priority="1464" stopIfTrue="1">
      <formula>OR(AND(AC160&gt;=10000,AC160&lt;=56999),AND(AC160&gt;=57000,AC160&lt;=57999))</formula>
    </cfRule>
    <cfRule type="expression" dxfId="25601" priority="1465" stopIfTrue="1">
      <formula>AND(AC160&gt;=8000,AC160&lt;=9999)</formula>
    </cfRule>
    <cfRule type="expression" dxfId="25600" priority="1466" stopIfTrue="1">
      <formula>AND(AC160&gt;=78100,AC160&lt;=78199)</formula>
    </cfRule>
    <cfRule type="expression" dxfId="25599" priority="1467" stopIfTrue="1">
      <formula>AND(AC160&gt;=92000,AC160&lt;=98999)</formula>
    </cfRule>
    <cfRule type="expression" dxfId="25598" priority="1468" stopIfTrue="1">
      <formula>AND(AC160&gt;=78100,AC160&lt;=78199)</formula>
    </cfRule>
    <cfRule type="expression" dxfId="25597" priority="1469" stopIfTrue="1">
      <formula>AND(AC160&gt;=91000,AC160&lt;=91999)</formula>
    </cfRule>
  </conditionalFormatting>
  <conditionalFormatting sqref="AB160">
    <cfRule type="expression" dxfId="25596" priority="1448">
      <formula>AND(AC160&gt;=79001,AC160&lt;79900)</formula>
    </cfRule>
    <cfRule type="expression" dxfId="25595" priority="1449" stopIfTrue="1">
      <formula>AND(AC160&gt;=70101,AC160&lt;=70301)</formula>
    </cfRule>
    <cfRule type="expression" dxfId="25594" priority="1450" stopIfTrue="1">
      <formula>AND(AC160&gt;70000,AC160&lt;70004)</formula>
    </cfRule>
    <cfRule type="expression" dxfId="25593" priority="1451" stopIfTrue="1">
      <formula>AND(AC160&gt;=70010,AC160&lt;=76000)</formula>
    </cfRule>
    <cfRule type="expression" dxfId="25592" priority="1452">
      <formula>AND(AC160&gt;70000,AC160&lt;70004)</formula>
    </cfRule>
    <cfRule type="expression" dxfId="25591" priority="1453" stopIfTrue="1">
      <formula>OR(AND(AC160&gt;=10000,AC160&lt;=56999),AND(AC160&gt;=57000,AC160&lt;=57999))</formula>
    </cfRule>
    <cfRule type="expression" dxfId="25590" priority="1454" stopIfTrue="1">
      <formula>AND(AC160&gt;=8000,AC160&lt;=9999)</formula>
    </cfRule>
    <cfRule type="expression" dxfId="25589" priority="1455" stopIfTrue="1">
      <formula>AND(AC160&gt;=78100,AC160&lt;=78199)</formula>
    </cfRule>
    <cfRule type="expression" dxfId="25588" priority="1456" stopIfTrue="1">
      <formula>AND(AC160&gt;=92000,AC160&lt;=98999)</formula>
    </cfRule>
    <cfRule type="expression" dxfId="25587" priority="1457" stopIfTrue="1">
      <formula>AND(AC160&gt;=78100,AC160&lt;=78199)</formula>
    </cfRule>
    <cfRule type="expression" dxfId="25586" priority="1458" stopIfTrue="1">
      <formula>AND(AC160&gt;=91000,AC160&lt;=91999)</formula>
    </cfRule>
  </conditionalFormatting>
  <conditionalFormatting sqref="AB160">
    <cfRule type="expression" dxfId="25585" priority="1437">
      <formula>AND(AC160&gt;=79001,AC160&lt;79900)</formula>
    </cfRule>
    <cfRule type="expression" dxfId="25584" priority="1438" stopIfTrue="1">
      <formula>AND(AC160&gt;=70101,AC160&lt;=70301)</formula>
    </cfRule>
    <cfRule type="expression" dxfId="25583" priority="1439" stopIfTrue="1">
      <formula>AND(AC160&gt;70000,AC160&lt;70004)</formula>
    </cfRule>
    <cfRule type="expression" dxfId="25582" priority="1440" stopIfTrue="1">
      <formula>AND(AC160&gt;=70010,AC160&lt;=76000)</formula>
    </cfRule>
    <cfRule type="expression" dxfId="25581" priority="1441">
      <formula>AND(AC160&gt;70000,AC160&lt;70004)</formula>
    </cfRule>
    <cfRule type="expression" dxfId="25580" priority="1442" stopIfTrue="1">
      <formula>OR(AND(AC160&gt;=10000,AC160&lt;=56999),AND(AC160&gt;=57000,AC160&lt;=57999))</formula>
    </cfRule>
    <cfRule type="expression" dxfId="25579" priority="1443" stopIfTrue="1">
      <formula>AND(AC160&gt;=8000,AC160&lt;=9999)</formula>
    </cfRule>
    <cfRule type="expression" dxfId="25578" priority="1444" stopIfTrue="1">
      <formula>AND(AC160&gt;=78100,AC160&lt;=78199)</formula>
    </cfRule>
    <cfRule type="expression" dxfId="25577" priority="1445" stopIfTrue="1">
      <formula>AND(AC160&gt;=92000,AC160&lt;=98999)</formula>
    </cfRule>
    <cfRule type="expression" dxfId="25576" priority="1446" stopIfTrue="1">
      <formula>AND(AC160&gt;=78100,AC160&lt;=78199)</formula>
    </cfRule>
    <cfRule type="expression" dxfId="25575" priority="1447" stopIfTrue="1">
      <formula>AND(AC160&gt;=91000,AC160&lt;=91999)</formula>
    </cfRule>
  </conditionalFormatting>
  <conditionalFormatting sqref="T13">
    <cfRule type="expression" dxfId="25574" priority="11666">
      <formula>AND(U13&gt;=79001,U13&lt;79900)</formula>
    </cfRule>
    <cfRule type="expression" dxfId="25573" priority="11667" stopIfTrue="1">
      <formula>AND(U13&gt;=70101,U13&lt;=70301)</formula>
    </cfRule>
    <cfRule type="expression" dxfId="25572" priority="11668" stopIfTrue="1">
      <formula>AND(U13&gt;70000,U13&lt;70004)</formula>
    </cfRule>
    <cfRule type="expression" dxfId="25571" priority="11669" stopIfTrue="1">
      <formula>AND(U13&gt;=70010,U13&lt;=76000)</formula>
    </cfRule>
    <cfRule type="expression" dxfId="25570" priority="11670">
      <formula>AND(U13&gt;70000,U13&lt;70004)</formula>
    </cfRule>
    <cfRule type="expression" dxfId="25569" priority="11671" stopIfTrue="1">
      <formula>OR(AND(U13&gt;=10000,U13&lt;=56999),AND(U13&gt;=57000,U13&lt;=57999))</formula>
    </cfRule>
    <cfRule type="expression" dxfId="25568" priority="11672" stopIfTrue="1">
      <formula>AND(U13&gt;=8000,U13&lt;=9999)</formula>
    </cfRule>
    <cfRule type="expression" dxfId="25567" priority="11673" stopIfTrue="1">
      <formula>AND(U13&gt;=78100,U13&lt;=78199)</formula>
    </cfRule>
    <cfRule type="expression" dxfId="25566" priority="11674" stopIfTrue="1">
      <formula>AND(U13&gt;=92000,U13&lt;=98999)</formula>
    </cfRule>
    <cfRule type="expression" dxfId="25565" priority="11675" stopIfTrue="1">
      <formula>AND(U13&gt;=78100,U13&lt;=78199)</formula>
    </cfRule>
    <cfRule type="expression" dxfId="25564" priority="11676" stopIfTrue="1">
      <formula>AND(U13&gt;=91000,U13&lt;=91999)</formula>
    </cfRule>
  </conditionalFormatting>
  <conditionalFormatting sqref="T13">
    <cfRule type="expression" dxfId="25563" priority="11655">
      <formula>AND(U13&gt;=79001,U13&lt;79900)</formula>
    </cfRule>
    <cfRule type="expression" dxfId="25562" priority="11656" stopIfTrue="1">
      <formula>AND(U13&gt;=70101,U13&lt;=70301)</formula>
    </cfRule>
    <cfRule type="expression" dxfId="25561" priority="11657" stopIfTrue="1">
      <formula>AND(U13&gt;70000,U13&lt;70004)</formula>
    </cfRule>
    <cfRule type="expression" dxfId="25560" priority="11658" stopIfTrue="1">
      <formula>AND(U13&gt;=70010,U13&lt;=76000)</formula>
    </cfRule>
    <cfRule type="expression" dxfId="25559" priority="11659">
      <formula>AND(U13&gt;70000,U13&lt;70004)</formula>
    </cfRule>
    <cfRule type="expression" dxfId="25558" priority="11660" stopIfTrue="1">
      <formula>OR(AND(U13&gt;=10000,U13&lt;=56999),AND(U13&gt;=57000,U13&lt;=57999))</formula>
    </cfRule>
    <cfRule type="expression" dxfId="25557" priority="11661" stopIfTrue="1">
      <formula>AND(U13&gt;=8000,U13&lt;=9999)</formula>
    </cfRule>
    <cfRule type="expression" dxfId="25556" priority="11662" stopIfTrue="1">
      <formula>AND(U13&gt;=78100,U13&lt;=78199)</formula>
    </cfRule>
    <cfRule type="expression" dxfId="25555" priority="11663" stopIfTrue="1">
      <formula>AND(U13&gt;=92000,U13&lt;=98999)</formula>
    </cfRule>
    <cfRule type="expression" dxfId="25554" priority="11664" stopIfTrue="1">
      <formula>AND(U13&gt;=78100,U13&lt;=78199)</formula>
    </cfRule>
    <cfRule type="expression" dxfId="25553" priority="11665" stopIfTrue="1">
      <formula>AND(U13&gt;=91000,U13&lt;=91999)</formula>
    </cfRule>
  </conditionalFormatting>
  <conditionalFormatting sqref="T13">
    <cfRule type="expression" dxfId="25552" priority="11644">
      <formula>AND(U13&gt;=79001,U13&lt;79900)</formula>
    </cfRule>
    <cfRule type="expression" dxfId="25551" priority="11645" stopIfTrue="1">
      <formula>AND(U13&gt;=70101,U13&lt;=70301)</formula>
    </cfRule>
    <cfRule type="expression" dxfId="25550" priority="11646" stopIfTrue="1">
      <formula>AND(U13&gt;70000,U13&lt;70004)</formula>
    </cfRule>
    <cfRule type="expression" dxfId="25549" priority="11647" stopIfTrue="1">
      <formula>AND(U13&gt;=70010,U13&lt;=76000)</formula>
    </cfRule>
    <cfRule type="expression" dxfId="25548" priority="11648">
      <formula>AND(U13&gt;70000,U13&lt;70004)</formula>
    </cfRule>
    <cfRule type="expression" dxfId="25547" priority="11649" stopIfTrue="1">
      <formula>OR(AND(U13&gt;=10000,U13&lt;=56999),AND(U13&gt;=57000,U13&lt;=57999))</formula>
    </cfRule>
    <cfRule type="expression" dxfId="25546" priority="11650" stopIfTrue="1">
      <formula>AND(U13&gt;=8000,U13&lt;=9999)</formula>
    </cfRule>
    <cfRule type="expression" dxfId="25545" priority="11651" stopIfTrue="1">
      <formula>AND(U13&gt;=78100,U13&lt;=78199)</formula>
    </cfRule>
    <cfRule type="expression" dxfId="25544" priority="11652" stopIfTrue="1">
      <formula>AND(U13&gt;=92000,U13&lt;=98999)</formula>
    </cfRule>
    <cfRule type="expression" dxfId="25543" priority="11653" stopIfTrue="1">
      <formula>AND(U13&gt;=78100,U13&lt;=78199)</formula>
    </cfRule>
    <cfRule type="expression" dxfId="25542" priority="11654" stopIfTrue="1">
      <formula>AND(U13&gt;=91000,U13&lt;=91999)</formula>
    </cfRule>
  </conditionalFormatting>
  <conditionalFormatting sqref="T13">
    <cfRule type="expression" dxfId="25541" priority="11633">
      <formula>AND(U13&gt;=79001,U13&lt;79900)</formula>
    </cfRule>
    <cfRule type="expression" dxfId="25540" priority="11634" stopIfTrue="1">
      <formula>AND(U13&gt;=70101,U13&lt;=70301)</formula>
    </cfRule>
    <cfRule type="expression" dxfId="25539" priority="11635" stopIfTrue="1">
      <formula>AND(U13&gt;70000,U13&lt;70004)</formula>
    </cfRule>
    <cfRule type="expression" dxfId="25538" priority="11636" stopIfTrue="1">
      <formula>AND(U13&gt;=70010,U13&lt;=76000)</formula>
    </cfRule>
    <cfRule type="expression" dxfId="25537" priority="11637">
      <formula>AND(U13&gt;70000,U13&lt;70004)</formula>
    </cfRule>
    <cfRule type="expression" dxfId="25536" priority="11638" stopIfTrue="1">
      <formula>OR(AND(U13&gt;=10000,U13&lt;=56999),AND(U13&gt;=57000,U13&lt;=57999))</formula>
    </cfRule>
    <cfRule type="expression" dxfId="25535" priority="11639" stopIfTrue="1">
      <formula>AND(U13&gt;=8000,U13&lt;=9999)</formula>
    </cfRule>
    <cfRule type="expression" dxfId="25534" priority="11640" stopIfTrue="1">
      <formula>AND(U13&gt;=78100,U13&lt;=78199)</formula>
    </cfRule>
    <cfRule type="expression" dxfId="25533" priority="11641" stopIfTrue="1">
      <formula>AND(U13&gt;=92000,U13&lt;=98999)</formula>
    </cfRule>
    <cfRule type="expression" dxfId="25532" priority="11642" stopIfTrue="1">
      <formula>AND(U13&gt;=78100,U13&lt;=78199)</formula>
    </cfRule>
    <cfRule type="expression" dxfId="25531" priority="11643" stopIfTrue="1">
      <formula>AND(U13&gt;=91000,U13&lt;=91999)</formula>
    </cfRule>
  </conditionalFormatting>
  <conditionalFormatting sqref="X4">
    <cfRule type="expression" dxfId="25530" priority="11622">
      <formula>AND(Y4&gt;=79001,Y4&lt;79900)</formula>
    </cfRule>
    <cfRule type="expression" dxfId="25529" priority="11623" stopIfTrue="1">
      <formula>AND(Y4&gt;=70101,Y4&lt;=70301)</formula>
    </cfRule>
    <cfRule type="expression" dxfId="25528" priority="11624" stopIfTrue="1">
      <formula>AND(Y4&gt;70000,Y4&lt;70004)</formula>
    </cfRule>
    <cfRule type="expression" dxfId="25527" priority="11625" stopIfTrue="1">
      <formula>AND(Y4&gt;=70010,Y4&lt;=76000)</formula>
    </cfRule>
    <cfRule type="expression" dxfId="25526" priority="11626">
      <formula>AND(Y4&gt;70000,Y4&lt;70004)</formula>
    </cfRule>
    <cfRule type="expression" dxfId="25525" priority="11627" stopIfTrue="1">
      <formula>OR(AND(Y4&gt;=10000,Y4&lt;=56999),AND(Y4&gt;=57000,Y4&lt;=57999))</formula>
    </cfRule>
    <cfRule type="expression" dxfId="25524" priority="11628" stopIfTrue="1">
      <formula>AND(Y4&gt;=8000,Y4&lt;=9999)</formula>
    </cfRule>
    <cfRule type="expression" dxfId="25523" priority="11629" stopIfTrue="1">
      <formula>AND(Y4&gt;=78100,Y4&lt;=78199)</formula>
    </cfRule>
    <cfRule type="expression" dxfId="25522" priority="11630" stopIfTrue="1">
      <formula>AND(Y4&gt;=92000,Y4&lt;=98999)</formula>
    </cfRule>
    <cfRule type="expression" dxfId="25521" priority="11631" stopIfTrue="1">
      <formula>AND(Y4&gt;=78100,Y4&lt;=78199)</formula>
    </cfRule>
    <cfRule type="expression" dxfId="25520" priority="11632" stopIfTrue="1">
      <formula>AND(Y4&gt;=91000,Y4&lt;=91999)</formula>
    </cfRule>
  </conditionalFormatting>
  <conditionalFormatting sqref="X4">
    <cfRule type="expression" dxfId="25519" priority="11611">
      <formula>AND(Y4&gt;=79001,Y4&lt;79900)</formula>
    </cfRule>
    <cfRule type="expression" dxfId="25518" priority="11612" stopIfTrue="1">
      <formula>AND(Y4&gt;=70101,Y4&lt;=70301)</formula>
    </cfRule>
    <cfRule type="expression" dxfId="25517" priority="11613" stopIfTrue="1">
      <formula>AND(Y4&gt;70000,Y4&lt;70004)</formula>
    </cfRule>
    <cfRule type="expression" dxfId="25516" priority="11614" stopIfTrue="1">
      <formula>AND(Y4&gt;=70010,Y4&lt;=76000)</formula>
    </cfRule>
    <cfRule type="expression" dxfId="25515" priority="11615">
      <formula>AND(Y4&gt;70000,Y4&lt;70004)</formula>
    </cfRule>
    <cfRule type="expression" dxfId="25514" priority="11616" stopIfTrue="1">
      <formula>OR(AND(Y4&gt;=10000,Y4&lt;=56999),AND(Y4&gt;=57000,Y4&lt;=57999))</formula>
    </cfRule>
    <cfRule type="expression" dxfId="25513" priority="11617" stopIfTrue="1">
      <formula>AND(Y4&gt;=8000,Y4&lt;=9999)</formula>
    </cfRule>
    <cfRule type="expression" dxfId="25512" priority="11618" stopIfTrue="1">
      <formula>AND(Y4&gt;=78100,Y4&lt;=78199)</formula>
    </cfRule>
    <cfRule type="expression" dxfId="25511" priority="11619" stopIfTrue="1">
      <formula>AND(Y4&gt;=92000,Y4&lt;=98999)</formula>
    </cfRule>
    <cfRule type="expression" dxfId="25510" priority="11620" stopIfTrue="1">
      <formula>AND(Y4&gt;=78100,Y4&lt;=78199)</formula>
    </cfRule>
    <cfRule type="expression" dxfId="25509" priority="11621" stopIfTrue="1">
      <formula>AND(Y4&gt;=91000,Y4&lt;=91999)</formula>
    </cfRule>
  </conditionalFormatting>
  <conditionalFormatting sqref="X4">
    <cfRule type="expression" dxfId="25508" priority="11600">
      <formula>AND(Y4&gt;=79001,Y4&lt;79900)</formula>
    </cfRule>
    <cfRule type="expression" dxfId="25507" priority="11601" stopIfTrue="1">
      <formula>AND(Y4&gt;=70101,Y4&lt;=70301)</formula>
    </cfRule>
    <cfRule type="expression" dxfId="25506" priority="11602" stopIfTrue="1">
      <formula>AND(Y4&gt;70000,Y4&lt;70004)</formula>
    </cfRule>
    <cfRule type="expression" dxfId="25505" priority="11603" stopIfTrue="1">
      <formula>AND(Y4&gt;=70010,Y4&lt;=76000)</formula>
    </cfRule>
    <cfRule type="expression" dxfId="25504" priority="11604">
      <formula>AND(Y4&gt;70000,Y4&lt;70004)</formula>
    </cfRule>
    <cfRule type="expression" dxfId="25503" priority="11605" stopIfTrue="1">
      <formula>OR(AND(Y4&gt;=10000,Y4&lt;=56999),AND(Y4&gt;=57000,Y4&lt;=57999))</formula>
    </cfRule>
    <cfRule type="expression" dxfId="25502" priority="11606" stopIfTrue="1">
      <formula>AND(Y4&gt;=8000,Y4&lt;=9999)</formula>
    </cfRule>
    <cfRule type="expression" dxfId="25501" priority="11607" stopIfTrue="1">
      <formula>AND(Y4&gt;=78100,Y4&lt;=78199)</formula>
    </cfRule>
    <cfRule type="expression" dxfId="25500" priority="11608" stopIfTrue="1">
      <formula>AND(Y4&gt;=92000,Y4&lt;=98999)</formula>
    </cfRule>
    <cfRule type="expression" dxfId="25499" priority="11609" stopIfTrue="1">
      <formula>AND(Y4&gt;=78100,Y4&lt;=78199)</formula>
    </cfRule>
    <cfRule type="expression" dxfId="25498" priority="11610" stopIfTrue="1">
      <formula>AND(Y4&gt;=91000,Y4&lt;=91999)</formula>
    </cfRule>
  </conditionalFormatting>
  <conditionalFormatting sqref="X4">
    <cfRule type="expression" dxfId="25497" priority="11589">
      <formula>AND(Y4&gt;=79001,Y4&lt;79900)</formula>
    </cfRule>
    <cfRule type="expression" dxfId="25496" priority="11590" stopIfTrue="1">
      <formula>AND(Y4&gt;=70101,Y4&lt;=70301)</formula>
    </cfRule>
    <cfRule type="expression" dxfId="25495" priority="11591" stopIfTrue="1">
      <formula>AND(Y4&gt;70000,Y4&lt;70004)</formula>
    </cfRule>
    <cfRule type="expression" dxfId="25494" priority="11592" stopIfTrue="1">
      <formula>AND(Y4&gt;=70010,Y4&lt;=76000)</formula>
    </cfRule>
    <cfRule type="expression" dxfId="25493" priority="11593">
      <formula>AND(Y4&gt;70000,Y4&lt;70004)</formula>
    </cfRule>
    <cfRule type="expression" dxfId="25492" priority="11594" stopIfTrue="1">
      <formula>OR(AND(Y4&gt;=10000,Y4&lt;=56999),AND(Y4&gt;=57000,Y4&lt;=57999))</formula>
    </cfRule>
    <cfRule type="expression" dxfId="25491" priority="11595" stopIfTrue="1">
      <formula>AND(Y4&gt;=8000,Y4&lt;=9999)</formula>
    </cfRule>
    <cfRule type="expression" dxfId="25490" priority="11596" stopIfTrue="1">
      <formula>AND(Y4&gt;=78100,Y4&lt;=78199)</formula>
    </cfRule>
    <cfRule type="expression" dxfId="25489" priority="11597" stopIfTrue="1">
      <formula>AND(Y4&gt;=92000,Y4&lt;=98999)</formula>
    </cfRule>
    <cfRule type="expression" dxfId="25488" priority="11598" stopIfTrue="1">
      <formula>AND(Y4&gt;=78100,Y4&lt;=78199)</formula>
    </cfRule>
    <cfRule type="expression" dxfId="25487" priority="11599" stopIfTrue="1">
      <formula>AND(Y4&gt;=91000,Y4&lt;=91999)</formula>
    </cfRule>
  </conditionalFormatting>
  <conditionalFormatting sqref="AB4">
    <cfRule type="expression" dxfId="25486" priority="11578">
      <formula>AND(AC4&gt;=79001,AC4&lt;79900)</formula>
    </cfRule>
    <cfRule type="expression" dxfId="25485" priority="11579" stopIfTrue="1">
      <formula>AND(AC4&gt;=70101,AC4&lt;=70301)</formula>
    </cfRule>
    <cfRule type="expression" dxfId="25484" priority="11580" stopIfTrue="1">
      <formula>AND(AC4&gt;70000,AC4&lt;70004)</formula>
    </cfRule>
    <cfRule type="expression" dxfId="25483" priority="11581" stopIfTrue="1">
      <formula>AND(AC4&gt;=70010,AC4&lt;=76000)</formula>
    </cfRule>
    <cfRule type="expression" dxfId="25482" priority="11582">
      <formula>AND(AC4&gt;70000,AC4&lt;70004)</formula>
    </cfRule>
    <cfRule type="expression" dxfId="25481" priority="11583" stopIfTrue="1">
      <formula>OR(AND(AC4&gt;=10000,AC4&lt;=56999),AND(AC4&gt;=57000,AC4&lt;=57999))</formula>
    </cfRule>
    <cfRule type="expression" dxfId="25480" priority="11584" stopIfTrue="1">
      <formula>AND(AC4&gt;=8000,AC4&lt;=9999)</formula>
    </cfRule>
    <cfRule type="expression" dxfId="25479" priority="11585" stopIfTrue="1">
      <formula>AND(AC4&gt;=78100,AC4&lt;=78199)</formula>
    </cfRule>
    <cfRule type="expression" dxfId="25478" priority="11586" stopIfTrue="1">
      <formula>AND(AC4&gt;=92000,AC4&lt;=98999)</formula>
    </cfRule>
    <cfRule type="expression" dxfId="25477" priority="11587" stopIfTrue="1">
      <formula>AND(AC4&gt;=78100,AC4&lt;=78199)</formula>
    </cfRule>
    <cfRule type="expression" dxfId="25476" priority="11588" stopIfTrue="1">
      <formula>AND(AC4&gt;=91000,AC4&lt;=91999)</formula>
    </cfRule>
  </conditionalFormatting>
  <conditionalFormatting sqref="AB4">
    <cfRule type="expression" dxfId="25475" priority="11567">
      <formula>AND(AC4&gt;=79001,AC4&lt;79900)</formula>
    </cfRule>
    <cfRule type="expression" dxfId="25474" priority="11568" stopIfTrue="1">
      <formula>AND(AC4&gt;=70101,AC4&lt;=70301)</formula>
    </cfRule>
    <cfRule type="expression" dxfId="25473" priority="11569" stopIfTrue="1">
      <formula>AND(AC4&gt;70000,AC4&lt;70004)</formula>
    </cfRule>
    <cfRule type="expression" dxfId="25472" priority="11570" stopIfTrue="1">
      <formula>AND(AC4&gt;=70010,AC4&lt;=76000)</formula>
    </cfRule>
    <cfRule type="expression" dxfId="25471" priority="11571">
      <formula>AND(AC4&gt;70000,AC4&lt;70004)</formula>
    </cfRule>
    <cfRule type="expression" dxfId="25470" priority="11572" stopIfTrue="1">
      <formula>OR(AND(AC4&gt;=10000,AC4&lt;=56999),AND(AC4&gt;=57000,AC4&lt;=57999))</formula>
    </cfRule>
    <cfRule type="expression" dxfId="25469" priority="11573" stopIfTrue="1">
      <formula>AND(AC4&gt;=8000,AC4&lt;=9999)</formula>
    </cfRule>
    <cfRule type="expression" dxfId="25468" priority="11574" stopIfTrue="1">
      <formula>AND(AC4&gt;=78100,AC4&lt;=78199)</formula>
    </cfRule>
    <cfRule type="expression" dxfId="25467" priority="11575" stopIfTrue="1">
      <formula>AND(AC4&gt;=92000,AC4&lt;=98999)</formula>
    </cfRule>
    <cfRule type="expression" dxfId="25466" priority="11576" stopIfTrue="1">
      <formula>AND(AC4&gt;=78100,AC4&lt;=78199)</formula>
    </cfRule>
    <cfRule type="expression" dxfId="25465" priority="11577" stopIfTrue="1">
      <formula>AND(AC4&gt;=91000,AC4&lt;=91999)</formula>
    </cfRule>
  </conditionalFormatting>
  <conditionalFormatting sqref="AB4">
    <cfRule type="expression" dxfId="25464" priority="11556">
      <formula>AND(AC4&gt;=79001,AC4&lt;79900)</formula>
    </cfRule>
    <cfRule type="expression" dxfId="25463" priority="11557" stopIfTrue="1">
      <formula>AND(AC4&gt;=70101,AC4&lt;=70301)</formula>
    </cfRule>
    <cfRule type="expression" dxfId="25462" priority="11558" stopIfTrue="1">
      <formula>AND(AC4&gt;70000,AC4&lt;70004)</formula>
    </cfRule>
    <cfRule type="expression" dxfId="25461" priority="11559" stopIfTrue="1">
      <formula>AND(AC4&gt;=70010,AC4&lt;=76000)</formula>
    </cfRule>
    <cfRule type="expression" dxfId="25460" priority="11560">
      <formula>AND(AC4&gt;70000,AC4&lt;70004)</formula>
    </cfRule>
    <cfRule type="expression" dxfId="25459" priority="11561" stopIfTrue="1">
      <formula>OR(AND(AC4&gt;=10000,AC4&lt;=56999),AND(AC4&gt;=57000,AC4&lt;=57999))</formula>
    </cfRule>
    <cfRule type="expression" dxfId="25458" priority="11562" stopIfTrue="1">
      <formula>AND(AC4&gt;=8000,AC4&lt;=9999)</formula>
    </cfRule>
    <cfRule type="expression" dxfId="25457" priority="11563" stopIfTrue="1">
      <formula>AND(AC4&gt;=78100,AC4&lt;=78199)</formula>
    </cfRule>
    <cfRule type="expression" dxfId="25456" priority="11564" stopIfTrue="1">
      <formula>AND(AC4&gt;=92000,AC4&lt;=98999)</formula>
    </cfRule>
    <cfRule type="expression" dxfId="25455" priority="11565" stopIfTrue="1">
      <formula>AND(AC4&gt;=78100,AC4&lt;=78199)</formula>
    </cfRule>
    <cfRule type="expression" dxfId="25454" priority="11566" stopIfTrue="1">
      <formula>AND(AC4&gt;=91000,AC4&lt;=91999)</formula>
    </cfRule>
  </conditionalFormatting>
  <conditionalFormatting sqref="AB4">
    <cfRule type="expression" dxfId="25453" priority="11545">
      <formula>AND(AC4&gt;=79001,AC4&lt;79900)</formula>
    </cfRule>
    <cfRule type="expression" dxfId="25452" priority="11546" stopIfTrue="1">
      <formula>AND(AC4&gt;=70101,AC4&lt;=70301)</formula>
    </cfRule>
    <cfRule type="expression" dxfId="25451" priority="11547" stopIfTrue="1">
      <formula>AND(AC4&gt;70000,AC4&lt;70004)</formula>
    </cfRule>
    <cfRule type="expression" dxfId="25450" priority="11548" stopIfTrue="1">
      <formula>AND(AC4&gt;=70010,AC4&lt;=76000)</formula>
    </cfRule>
    <cfRule type="expression" dxfId="25449" priority="11549">
      <formula>AND(AC4&gt;70000,AC4&lt;70004)</formula>
    </cfRule>
    <cfRule type="expression" dxfId="25448" priority="11550" stopIfTrue="1">
      <formula>OR(AND(AC4&gt;=10000,AC4&lt;=56999),AND(AC4&gt;=57000,AC4&lt;=57999))</formula>
    </cfRule>
    <cfRule type="expression" dxfId="25447" priority="11551" stopIfTrue="1">
      <formula>AND(AC4&gt;=8000,AC4&lt;=9999)</formula>
    </cfRule>
    <cfRule type="expression" dxfId="25446" priority="11552" stopIfTrue="1">
      <formula>AND(AC4&gt;=78100,AC4&lt;=78199)</formula>
    </cfRule>
    <cfRule type="expression" dxfId="25445" priority="11553" stopIfTrue="1">
      <formula>AND(AC4&gt;=92000,AC4&lt;=98999)</formula>
    </cfRule>
    <cfRule type="expression" dxfId="25444" priority="11554" stopIfTrue="1">
      <formula>AND(AC4&gt;=78100,AC4&lt;=78199)</formula>
    </cfRule>
    <cfRule type="expression" dxfId="25443" priority="11555" stopIfTrue="1">
      <formula>AND(AC4&gt;=91000,AC4&lt;=91999)</formula>
    </cfRule>
  </conditionalFormatting>
  <conditionalFormatting sqref="AF4">
    <cfRule type="expression" dxfId="25442" priority="11534">
      <formula>AND(AG4&gt;=79001,AG4&lt;79900)</formula>
    </cfRule>
    <cfRule type="expression" dxfId="25441" priority="11535" stopIfTrue="1">
      <formula>AND(AG4&gt;=70101,AG4&lt;=70301)</formula>
    </cfRule>
    <cfRule type="expression" dxfId="25440" priority="11536" stopIfTrue="1">
      <formula>AND(AG4&gt;70000,AG4&lt;70004)</formula>
    </cfRule>
    <cfRule type="expression" dxfId="25439" priority="11537" stopIfTrue="1">
      <formula>AND(AG4&gt;=70010,AG4&lt;=76000)</formula>
    </cfRule>
    <cfRule type="expression" dxfId="25438" priority="11538">
      <formula>AND(AG4&gt;70000,AG4&lt;70004)</formula>
    </cfRule>
    <cfRule type="expression" dxfId="25437" priority="11539" stopIfTrue="1">
      <formula>OR(AND(AG4&gt;=10000,AG4&lt;=56999),AND(AG4&gt;=57000,AG4&lt;=57999))</formula>
    </cfRule>
    <cfRule type="expression" dxfId="25436" priority="11540" stopIfTrue="1">
      <formula>AND(AG4&gt;=8000,AG4&lt;=9999)</formula>
    </cfRule>
    <cfRule type="expression" dxfId="25435" priority="11541" stopIfTrue="1">
      <formula>AND(AG4&gt;=78100,AG4&lt;=78199)</formula>
    </cfRule>
    <cfRule type="expression" dxfId="25434" priority="11542" stopIfTrue="1">
      <formula>AND(AG4&gt;=92000,AG4&lt;=98999)</formula>
    </cfRule>
    <cfRule type="expression" dxfId="25433" priority="11543" stopIfTrue="1">
      <formula>AND(AG4&gt;=78100,AG4&lt;=78199)</formula>
    </cfRule>
    <cfRule type="expression" dxfId="25432" priority="11544" stopIfTrue="1">
      <formula>AND(AG4&gt;=91000,AG4&lt;=91999)</formula>
    </cfRule>
  </conditionalFormatting>
  <conditionalFormatting sqref="AF4">
    <cfRule type="expression" dxfId="25431" priority="11523">
      <formula>AND(AG4&gt;=79001,AG4&lt;79900)</formula>
    </cfRule>
    <cfRule type="expression" dxfId="25430" priority="11524" stopIfTrue="1">
      <formula>AND(AG4&gt;=70101,AG4&lt;=70301)</formula>
    </cfRule>
    <cfRule type="expression" dxfId="25429" priority="11525" stopIfTrue="1">
      <formula>AND(AG4&gt;70000,AG4&lt;70004)</formula>
    </cfRule>
    <cfRule type="expression" dxfId="25428" priority="11526" stopIfTrue="1">
      <formula>AND(AG4&gt;=70010,AG4&lt;=76000)</formula>
    </cfRule>
    <cfRule type="expression" dxfId="25427" priority="11527">
      <formula>AND(AG4&gt;70000,AG4&lt;70004)</formula>
    </cfRule>
    <cfRule type="expression" dxfId="25426" priority="11528" stopIfTrue="1">
      <formula>OR(AND(AG4&gt;=10000,AG4&lt;=56999),AND(AG4&gt;=57000,AG4&lt;=57999))</formula>
    </cfRule>
    <cfRule type="expression" dxfId="25425" priority="11529" stopIfTrue="1">
      <formula>AND(AG4&gt;=8000,AG4&lt;=9999)</formula>
    </cfRule>
    <cfRule type="expression" dxfId="25424" priority="11530" stopIfTrue="1">
      <formula>AND(AG4&gt;=78100,AG4&lt;=78199)</formula>
    </cfRule>
    <cfRule type="expression" dxfId="25423" priority="11531" stopIfTrue="1">
      <formula>AND(AG4&gt;=92000,AG4&lt;=98999)</formula>
    </cfRule>
    <cfRule type="expression" dxfId="25422" priority="11532" stopIfTrue="1">
      <formula>AND(AG4&gt;=78100,AG4&lt;=78199)</formula>
    </cfRule>
    <cfRule type="expression" dxfId="25421" priority="11533" stopIfTrue="1">
      <formula>AND(AG4&gt;=91000,AG4&lt;=91999)</formula>
    </cfRule>
  </conditionalFormatting>
  <conditionalFormatting sqref="AF4">
    <cfRule type="expression" dxfId="25420" priority="11512">
      <formula>AND(AG4&gt;=79001,AG4&lt;79900)</formula>
    </cfRule>
    <cfRule type="expression" dxfId="25419" priority="11513" stopIfTrue="1">
      <formula>AND(AG4&gt;=70101,AG4&lt;=70301)</formula>
    </cfRule>
    <cfRule type="expression" dxfId="25418" priority="11514" stopIfTrue="1">
      <formula>AND(AG4&gt;70000,AG4&lt;70004)</formula>
    </cfRule>
    <cfRule type="expression" dxfId="25417" priority="11515" stopIfTrue="1">
      <formula>AND(AG4&gt;=70010,AG4&lt;=76000)</formula>
    </cfRule>
    <cfRule type="expression" dxfId="25416" priority="11516">
      <formula>AND(AG4&gt;70000,AG4&lt;70004)</formula>
    </cfRule>
    <cfRule type="expression" dxfId="25415" priority="11517" stopIfTrue="1">
      <formula>OR(AND(AG4&gt;=10000,AG4&lt;=56999),AND(AG4&gt;=57000,AG4&lt;=57999))</formula>
    </cfRule>
    <cfRule type="expression" dxfId="25414" priority="11518" stopIfTrue="1">
      <formula>AND(AG4&gt;=8000,AG4&lt;=9999)</formula>
    </cfRule>
    <cfRule type="expression" dxfId="25413" priority="11519" stopIfTrue="1">
      <formula>AND(AG4&gt;=78100,AG4&lt;=78199)</formula>
    </cfRule>
    <cfRule type="expression" dxfId="25412" priority="11520" stopIfTrue="1">
      <formula>AND(AG4&gt;=92000,AG4&lt;=98999)</formula>
    </cfRule>
    <cfRule type="expression" dxfId="25411" priority="11521" stopIfTrue="1">
      <formula>AND(AG4&gt;=78100,AG4&lt;=78199)</formula>
    </cfRule>
    <cfRule type="expression" dxfId="25410" priority="11522" stopIfTrue="1">
      <formula>AND(AG4&gt;=91000,AG4&lt;=91999)</formula>
    </cfRule>
  </conditionalFormatting>
  <conditionalFormatting sqref="AF4">
    <cfRule type="expression" dxfId="25409" priority="11501">
      <formula>AND(AG4&gt;=79001,AG4&lt;79900)</formula>
    </cfRule>
    <cfRule type="expression" dxfId="25408" priority="11502" stopIfTrue="1">
      <formula>AND(AG4&gt;=70101,AG4&lt;=70301)</formula>
    </cfRule>
    <cfRule type="expression" dxfId="25407" priority="11503" stopIfTrue="1">
      <formula>AND(AG4&gt;70000,AG4&lt;70004)</formula>
    </cfRule>
    <cfRule type="expression" dxfId="25406" priority="11504" stopIfTrue="1">
      <formula>AND(AG4&gt;=70010,AG4&lt;=76000)</formula>
    </cfRule>
    <cfRule type="expression" dxfId="25405" priority="11505">
      <formula>AND(AG4&gt;70000,AG4&lt;70004)</formula>
    </cfRule>
    <cfRule type="expression" dxfId="25404" priority="11506" stopIfTrue="1">
      <formula>OR(AND(AG4&gt;=10000,AG4&lt;=56999),AND(AG4&gt;=57000,AG4&lt;=57999))</formula>
    </cfRule>
    <cfRule type="expression" dxfId="25403" priority="11507" stopIfTrue="1">
      <formula>AND(AG4&gt;=8000,AG4&lt;=9999)</formula>
    </cfRule>
    <cfRule type="expression" dxfId="25402" priority="11508" stopIfTrue="1">
      <formula>AND(AG4&gt;=78100,AG4&lt;=78199)</formula>
    </cfRule>
    <cfRule type="expression" dxfId="25401" priority="11509" stopIfTrue="1">
      <formula>AND(AG4&gt;=92000,AG4&lt;=98999)</formula>
    </cfRule>
    <cfRule type="expression" dxfId="25400" priority="11510" stopIfTrue="1">
      <formula>AND(AG4&gt;=78100,AG4&lt;=78199)</formula>
    </cfRule>
    <cfRule type="expression" dxfId="25399" priority="11511" stopIfTrue="1">
      <formula>AND(AG4&gt;=91000,AG4&lt;=91999)</formula>
    </cfRule>
  </conditionalFormatting>
  <conditionalFormatting sqref="T7">
    <cfRule type="expression" dxfId="25398" priority="11490">
      <formula>AND(U7&gt;=79001,U7&lt;79900)</formula>
    </cfRule>
    <cfRule type="expression" dxfId="25397" priority="11491" stopIfTrue="1">
      <formula>AND(U7&gt;=70101,U7&lt;=70301)</formula>
    </cfRule>
    <cfRule type="expression" dxfId="25396" priority="11492" stopIfTrue="1">
      <formula>AND(U7&gt;70000,U7&lt;70004)</formula>
    </cfRule>
    <cfRule type="expression" dxfId="25395" priority="11493" stopIfTrue="1">
      <formula>AND(U7&gt;=70010,U7&lt;=76000)</formula>
    </cfRule>
    <cfRule type="expression" dxfId="25394" priority="11494">
      <formula>AND(U7&gt;70000,U7&lt;70004)</formula>
    </cfRule>
    <cfRule type="expression" dxfId="25393" priority="11495" stopIfTrue="1">
      <formula>OR(AND(U7&gt;=10000,U7&lt;=56999),AND(U7&gt;=57000,U7&lt;=57999))</formula>
    </cfRule>
    <cfRule type="expression" dxfId="25392" priority="11496" stopIfTrue="1">
      <formula>AND(U7&gt;=8000,U7&lt;=9999)</formula>
    </cfRule>
    <cfRule type="expression" dxfId="25391" priority="11497" stopIfTrue="1">
      <formula>AND(U7&gt;=78100,U7&lt;=78199)</formula>
    </cfRule>
    <cfRule type="expression" dxfId="25390" priority="11498" stopIfTrue="1">
      <formula>AND(U7&gt;=92000,U7&lt;=98999)</formula>
    </cfRule>
    <cfRule type="expression" dxfId="25389" priority="11499" stopIfTrue="1">
      <formula>AND(U7&gt;=78100,U7&lt;=78199)</formula>
    </cfRule>
    <cfRule type="expression" dxfId="25388" priority="11500" stopIfTrue="1">
      <formula>AND(U7&gt;=91000,U7&lt;=91999)</formula>
    </cfRule>
  </conditionalFormatting>
  <conditionalFormatting sqref="T7">
    <cfRule type="expression" dxfId="25387" priority="11479">
      <formula>AND(U7&gt;=79001,U7&lt;79900)</formula>
    </cfRule>
    <cfRule type="expression" dxfId="25386" priority="11480" stopIfTrue="1">
      <formula>AND(U7&gt;=70101,U7&lt;=70301)</formula>
    </cfRule>
    <cfRule type="expression" dxfId="25385" priority="11481" stopIfTrue="1">
      <formula>AND(U7&gt;70000,U7&lt;70004)</formula>
    </cfRule>
    <cfRule type="expression" dxfId="25384" priority="11482" stopIfTrue="1">
      <formula>AND(U7&gt;=70010,U7&lt;=76000)</formula>
    </cfRule>
    <cfRule type="expression" dxfId="25383" priority="11483">
      <formula>AND(U7&gt;70000,U7&lt;70004)</formula>
    </cfRule>
    <cfRule type="expression" dxfId="25382" priority="11484" stopIfTrue="1">
      <formula>OR(AND(U7&gt;=10000,U7&lt;=56999),AND(U7&gt;=57000,U7&lt;=57999))</formula>
    </cfRule>
    <cfRule type="expression" dxfId="25381" priority="11485" stopIfTrue="1">
      <formula>AND(U7&gt;=8000,U7&lt;=9999)</formula>
    </cfRule>
    <cfRule type="expression" dxfId="25380" priority="11486" stopIfTrue="1">
      <formula>AND(U7&gt;=78100,U7&lt;=78199)</formula>
    </cfRule>
    <cfRule type="expression" dxfId="25379" priority="11487" stopIfTrue="1">
      <formula>AND(U7&gt;=92000,U7&lt;=98999)</formula>
    </cfRule>
    <cfRule type="expression" dxfId="25378" priority="11488" stopIfTrue="1">
      <formula>AND(U7&gt;=78100,U7&lt;=78199)</formula>
    </cfRule>
    <cfRule type="expression" dxfId="25377" priority="11489" stopIfTrue="1">
      <formula>AND(U7&gt;=91000,U7&lt;=91999)</formula>
    </cfRule>
  </conditionalFormatting>
  <conditionalFormatting sqref="T7">
    <cfRule type="expression" dxfId="25376" priority="11468">
      <formula>AND(U7&gt;=79001,U7&lt;79900)</formula>
    </cfRule>
    <cfRule type="expression" dxfId="25375" priority="11469" stopIfTrue="1">
      <formula>AND(U7&gt;=70101,U7&lt;=70301)</formula>
    </cfRule>
    <cfRule type="expression" dxfId="25374" priority="11470" stopIfTrue="1">
      <formula>AND(U7&gt;70000,U7&lt;70004)</formula>
    </cfRule>
    <cfRule type="expression" dxfId="25373" priority="11471" stopIfTrue="1">
      <formula>AND(U7&gt;=70010,U7&lt;=76000)</formula>
    </cfRule>
    <cfRule type="expression" dxfId="25372" priority="11472">
      <formula>AND(U7&gt;70000,U7&lt;70004)</formula>
    </cfRule>
    <cfRule type="expression" dxfId="25371" priority="11473" stopIfTrue="1">
      <formula>OR(AND(U7&gt;=10000,U7&lt;=56999),AND(U7&gt;=57000,U7&lt;=57999))</formula>
    </cfRule>
    <cfRule type="expression" dxfId="25370" priority="11474" stopIfTrue="1">
      <formula>AND(U7&gt;=8000,U7&lt;=9999)</formula>
    </cfRule>
    <cfRule type="expression" dxfId="25369" priority="11475" stopIfTrue="1">
      <formula>AND(U7&gt;=78100,U7&lt;=78199)</formula>
    </cfRule>
    <cfRule type="expression" dxfId="25368" priority="11476" stopIfTrue="1">
      <formula>AND(U7&gt;=92000,U7&lt;=98999)</formula>
    </cfRule>
    <cfRule type="expression" dxfId="25367" priority="11477" stopIfTrue="1">
      <formula>AND(U7&gt;=78100,U7&lt;=78199)</formula>
    </cfRule>
    <cfRule type="expression" dxfId="25366" priority="11478" stopIfTrue="1">
      <formula>AND(U7&gt;=91000,U7&lt;=91999)</formula>
    </cfRule>
  </conditionalFormatting>
  <conditionalFormatting sqref="T7">
    <cfRule type="expression" dxfId="25365" priority="11457">
      <formula>AND(U7&gt;=79001,U7&lt;79900)</formula>
    </cfRule>
    <cfRule type="expression" dxfId="25364" priority="11458" stopIfTrue="1">
      <formula>AND(U7&gt;=70101,U7&lt;=70301)</formula>
    </cfRule>
    <cfRule type="expression" dxfId="25363" priority="11459" stopIfTrue="1">
      <formula>AND(U7&gt;70000,U7&lt;70004)</formula>
    </cfRule>
    <cfRule type="expression" dxfId="25362" priority="11460" stopIfTrue="1">
      <formula>AND(U7&gt;=70010,U7&lt;=76000)</formula>
    </cfRule>
    <cfRule type="expression" dxfId="25361" priority="11461">
      <formula>AND(U7&gt;70000,U7&lt;70004)</formula>
    </cfRule>
    <cfRule type="expression" dxfId="25360" priority="11462" stopIfTrue="1">
      <formula>OR(AND(U7&gt;=10000,U7&lt;=56999),AND(U7&gt;=57000,U7&lt;=57999))</formula>
    </cfRule>
    <cfRule type="expression" dxfId="25359" priority="11463" stopIfTrue="1">
      <formula>AND(U7&gt;=8000,U7&lt;=9999)</formula>
    </cfRule>
    <cfRule type="expression" dxfId="25358" priority="11464" stopIfTrue="1">
      <formula>AND(U7&gt;=78100,U7&lt;=78199)</formula>
    </cfRule>
    <cfRule type="expression" dxfId="25357" priority="11465" stopIfTrue="1">
      <formula>AND(U7&gt;=92000,U7&lt;=98999)</formula>
    </cfRule>
    <cfRule type="expression" dxfId="25356" priority="11466" stopIfTrue="1">
      <formula>AND(U7&gt;=78100,U7&lt;=78199)</formula>
    </cfRule>
    <cfRule type="expression" dxfId="25355" priority="11467" stopIfTrue="1">
      <formula>AND(U7&gt;=91000,U7&lt;=91999)</formula>
    </cfRule>
  </conditionalFormatting>
  <conditionalFormatting sqref="X7">
    <cfRule type="expression" dxfId="25354" priority="11446">
      <formula>AND(Y7&gt;=79001,Y7&lt;79900)</formula>
    </cfRule>
    <cfRule type="expression" dxfId="25353" priority="11447" stopIfTrue="1">
      <formula>AND(Y7&gt;=70101,Y7&lt;=70301)</formula>
    </cfRule>
    <cfRule type="expression" dxfId="25352" priority="11448" stopIfTrue="1">
      <formula>AND(Y7&gt;70000,Y7&lt;70004)</formula>
    </cfRule>
    <cfRule type="expression" dxfId="25351" priority="11449" stopIfTrue="1">
      <formula>AND(Y7&gt;=70010,Y7&lt;=76000)</formula>
    </cfRule>
    <cfRule type="expression" dxfId="25350" priority="11450">
      <formula>AND(Y7&gt;70000,Y7&lt;70004)</formula>
    </cfRule>
    <cfRule type="expression" dxfId="25349" priority="11451" stopIfTrue="1">
      <formula>OR(AND(Y7&gt;=10000,Y7&lt;=56999),AND(Y7&gt;=57000,Y7&lt;=57999))</formula>
    </cfRule>
    <cfRule type="expression" dxfId="25348" priority="11452" stopIfTrue="1">
      <formula>AND(Y7&gt;=8000,Y7&lt;=9999)</formula>
    </cfRule>
    <cfRule type="expression" dxfId="25347" priority="11453" stopIfTrue="1">
      <formula>AND(Y7&gt;=78100,Y7&lt;=78199)</formula>
    </cfRule>
    <cfRule type="expression" dxfId="25346" priority="11454" stopIfTrue="1">
      <formula>AND(Y7&gt;=92000,Y7&lt;=98999)</formula>
    </cfRule>
    <cfRule type="expression" dxfId="25345" priority="11455" stopIfTrue="1">
      <formula>AND(Y7&gt;=78100,Y7&lt;=78199)</formula>
    </cfRule>
    <cfRule type="expression" dxfId="25344" priority="11456" stopIfTrue="1">
      <formula>AND(Y7&gt;=91000,Y7&lt;=91999)</formula>
    </cfRule>
  </conditionalFormatting>
  <conditionalFormatting sqref="X7">
    <cfRule type="expression" dxfId="25343" priority="11435">
      <formula>AND(Y7&gt;=79001,Y7&lt;79900)</formula>
    </cfRule>
    <cfRule type="expression" dxfId="25342" priority="11436" stopIfTrue="1">
      <formula>AND(Y7&gt;=70101,Y7&lt;=70301)</formula>
    </cfRule>
    <cfRule type="expression" dxfId="25341" priority="11437" stopIfTrue="1">
      <formula>AND(Y7&gt;70000,Y7&lt;70004)</formula>
    </cfRule>
    <cfRule type="expression" dxfId="25340" priority="11438" stopIfTrue="1">
      <formula>AND(Y7&gt;=70010,Y7&lt;=76000)</formula>
    </cfRule>
    <cfRule type="expression" dxfId="25339" priority="11439">
      <formula>AND(Y7&gt;70000,Y7&lt;70004)</formula>
    </cfRule>
    <cfRule type="expression" dxfId="25338" priority="11440" stopIfTrue="1">
      <formula>OR(AND(Y7&gt;=10000,Y7&lt;=56999),AND(Y7&gt;=57000,Y7&lt;=57999))</formula>
    </cfRule>
    <cfRule type="expression" dxfId="25337" priority="11441" stopIfTrue="1">
      <formula>AND(Y7&gt;=8000,Y7&lt;=9999)</formula>
    </cfRule>
    <cfRule type="expression" dxfId="25336" priority="11442" stopIfTrue="1">
      <formula>AND(Y7&gt;=78100,Y7&lt;=78199)</formula>
    </cfRule>
    <cfRule type="expression" dxfId="25335" priority="11443" stopIfTrue="1">
      <formula>AND(Y7&gt;=92000,Y7&lt;=98999)</formula>
    </cfRule>
    <cfRule type="expression" dxfId="25334" priority="11444" stopIfTrue="1">
      <formula>AND(Y7&gt;=78100,Y7&lt;=78199)</formula>
    </cfRule>
    <cfRule type="expression" dxfId="25333" priority="11445" stopIfTrue="1">
      <formula>AND(Y7&gt;=91000,Y7&lt;=91999)</formula>
    </cfRule>
  </conditionalFormatting>
  <conditionalFormatting sqref="X7">
    <cfRule type="expression" dxfId="25332" priority="11424">
      <formula>AND(Y7&gt;=79001,Y7&lt;79900)</formula>
    </cfRule>
    <cfRule type="expression" dxfId="25331" priority="11425" stopIfTrue="1">
      <formula>AND(Y7&gt;=70101,Y7&lt;=70301)</formula>
    </cfRule>
    <cfRule type="expression" dxfId="25330" priority="11426" stopIfTrue="1">
      <formula>AND(Y7&gt;70000,Y7&lt;70004)</formula>
    </cfRule>
    <cfRule type="expression" dxfId="25329" priority="11427" stopIfTrue="1">
      <formula>AND(Y7&gt;=70010,Y7&lt;=76000)</formula>
    </cfRule>
    <cfRule type="expression" dxfId="25328" priority="11428">
      <formula>AND(Y7&gt;70000,Y7&lt;70004)</formula>
    </cfRule>
    <cfRule type="expression" dxfId="25327" priority="11429" stopIfTrue="1">
      <formula>OR(AND(Y7&gt;=10000,Y7&lt;=56999),AND(Y7&gt;=57000,Y7&lt;=57999))</formula>
    </cfRule>
    <cfRule type="expression" dxfId="25326" priority="11430" stopIfTrue="1">
      <formula>AND(Y7&gt;=8000,Y7&lt;=9999)</formula>
    </cfRule>
    <cfRule type="expression" dxfId="25325" priority="11431" stopIfTrue="1">
      <formula>AND(Y7&gt;=78100,Y7&lt;=78199)</formula>
    </cfRule>
    <cfRule type="expression" dxfId="25324" priority="11432" stopIfTrue="1">
      <formula>AND(Y7&gt;=92000,Y7&lt;=98999)</formula>
    </cfRule>
    <cfRule type="expression" dxfId="25323" priority="11433" stopIfTrue="1">
      <formula>AND(Y7&gt;=78100,Y7&lt;=78199)</formula>
    </cfRule>
    <cfRule type="expression" dxfId="25322" priority="11434" stopIfTrue="1">
      <formula>AND(Y7&gt;=91000,Y7&lt;=91999)</formula>
    </cfRule>
  </conditionalFormatting>
  <conditionalFormatting sqref="X7">
    <cfRule type="expression" dxfId="25321" priority="11413">
      <formula>AND(Y7&gt;=79001,Y7&lt;79900)</formula>
    </cfRule>
    <cfRule type="expression" dxfId="25320" priority="11414" stopIfTrue="1">
      <formula>AND(Y7&gt;=70101,Y7&lt;=70301)</formula>
    </cfRule>
    <cfRule type="expression" dxfId="25319" priority="11415" stopIfTrue="1">
      <formula>AND(Y7&gt;70000,Y7&lt;70004)</formula>
    </cfRule>
    <cfRule type="expression" dxfId="25318" priority="11416" stopIfTrue="1">
      <formula>AND(Y7&gt;=70010,Y7&lt;=76000)</formula>
    </cfRule>
    <cfRule type="expression" dxfId="25317" priority="11417">
      <formula>AND(Y7&gt;70000,Y7&lt;70004)</formula>
    </cfRule>
    <cfRule type="expression" dxfId="25316" priority="11418" stopIfTrue="1">
      <formula>OR(AND(Y7&gt;=10000,Y7&lt;=56999),AND(Y7&gt;=57000,Y7&lt;=57999))</formula>
    </cfRule>
    <cfRule type="expression" dxfId="25315" priority="11419" stopIfTrue="1">
      <formula>AND(Y7&gt;=8000,Y7&lt;=9999)</formula>
    </cfRule>
    <cfRule type="expression" dxfId="25314" priority="11420" stopIfTrue="1">
      <formula>AND(Y7&gt;=78100,Y7&lt;=78199)</formula>
    </cfRule>
    <cfRule type="expression" dxfId="25313" priority="11421" stopIfTrue="1">
      <formula>AND(Y7&gt;=92000,Y7&lt;=98999)</formula>
    </cfRule>
    <cfRule type="expression" dxfId="25312" priority="11422" stopIfTrue="1">
      <formula>AND(Y7&gt;=78100,Y7&lt;=78199)</formula>
    </cfRule>
    <cfRule type="expression" dxfId="25311" priority="11423" stopIfTrue="1">
      <formula>AND(Y7&gt;=91000,Y7&lt;=91999)</formula>
    </cfRule>
  </conditionalFormatting>
  <conditionalFormatting sqref="AB7">
    <cfRule type="expression" dxfId="25310" priority="11402">
      <formula>AND(AC7&gt;=79001,AC7&lt;79900)</formula>
    </cfRule>
    <cfRule type="expression" dxfId="25309" priority="11403" stopIfTrue="1">
      <formula>AND(AC7&gt;=70101,AC7&lt;=70301)</formula>
    </cfRule>
    <cfRule type="expression" dxfId="25308" priority="11404" stopIfTrue="1">
      <formula>AND(AC7&gt;70000,AC7&lt;70004)</formula>
    </cfRule>
    <cfRule type="expression" dxfId="25307" priority="11405" stopIfTrue="1">
      <formula>AND(AC7&gt;=70010,AC7&lt;=76000)</formula>
    </cfRule>
    <cfRule type="expression" dxfId="25306" priority="11406">
      <formula>AND(AC7&gt;70000,AC7&lt;70004)</formula>
    </cfRule>
    <cfRule type="expression" dxfId="25305" priority="11407" stopIfTrue="1">
      <formula>OR(AND(AC7&gt;=10000,AC7&lt;=56999),AND(AC7&gt;=57000,AC7&lt;=57999))</formula>
    </cfRule>
    <cfRule type="expression" dxfId="25304" priority="11408" stopIfTrue="1">
      <formula>AND(AC7&gt;=8000,AC7&lt;=9999)</formula>
    </cfRule>
    <cfRule type="expression" dxfId="25303" priority="11409" stopIfTrue="1">
      <formula>AND(AC7&gt;=78100,AC7&lt;=78199)</formula>
    </cfRule>
    <cfRule type="expression" dxfId="25302" priority="11410" stopIfTrue="1">
      <formula>AND(AC7&gt;=92000,AC7&lt;=98999)</formula>
    </cfRule>
    <cfRule type="expression" dxfId="25301" priority="11411" stopIfTrue="1">
      <formula>AND(AC7&gt;=78100,AC7&lt;=78199)</formula>
    </cfRule>
    <cfRule type="expression" dxfId="25300" priority="11412" stopIfTrue="1">
      <formula>AND(AC7&gt;=91000,AC7&lt;=91999)</formula>
    </cfRule>
  </conditionalFormatting>
  <conditionalFormatting sqref="AB7">
    <cfRule type="expression" dxfId="25299" priority="11391">
      <formula>AND(AC7&gt;=79001,AC7&lt;79900)</formula>
    </cfRule>
    <cfRule type="expression" dxfId="25298" priority="11392" stopIfTrue="1">
      <formula>AND(AC7&gt;=70101,AC7&lt;=70301)</formula>
    </cfRule>
    <cfRule type="expression" dxfId="25297" priority="11393" stopIfTrue="1">
      <formula>AND(AC7&gt;70000,AC7&lt;70004)</formula>
    </cfRule>
    <cfRule type="expression" dxfId="25296" priority="11394" stopIfTrue="1">
      <formula>AND(AC7&gt;=70010,AC7&lt;=76000)</formula>
    </cfRule>
    <cfRule type="expression" dxfId="25295" priority="11395">
      <formula>AND(AC7&gt;70000,AC7&lt;70004)</formula>
    </cfRule>
    <cfRule type="expression" dxfId="25294" priority="11396" stopIfTrue="1">
      <formula>OR(AND(AC7&gt;=10000,AC7&lt;=56999),AND(AC7&gt;=57000,AC7&lt;=57999))</formula>
    </cfRule>
    <cfRule type="expression" dxfId="25293" priority="11397" stopIfTrue="1">
      <formula>AND(AC7&gt;=8000,AC7&lt;=9999)</formula>
    </cfRule>
    <cfRule type="expression" dxfId="25292" priority="11398" stopIfTrue="1">
      <formula>AND(AC7&gt;=78100,AC7&lt;=78199)</formula>
    </cfRule>
    <cfRule type="expression" dxfId="25291" priority="11399" stopIfTrue="1">
      <formula>AND(AC7&gt;=92000,AC7&lt;=98999)</formula>
    </cfRule>
    <cfRule type="expression" dxfId="25290" priority="11400" stopIfTrue="1">
      <formula>AND(AC7&gt;=78100,AC7&lt;=78199)</formula>
    </cfRule>
    <cfRule type="expression" dxfId="25289" priority="11401" stopIfTrue="1">
      <formula>AND(AC7&gt;=91000,AC7&lt;=91999)</formula>
    </cfRule>
  </conditionalFormatting>
  <conditionalFormatting sqref="AB7">
    <cfRule type="expression" dxfId="25288" priority="11380">
      <formula>AND(AC7&gt;=79001,AC7&lt;79900)</formula>
    </cfRule>
    <cfRule type="expression" dxfId="25287" priority="11381" stopIfTrue="1">
      <formula>AND(AC7&gt;=70101,AC7&lt;=70301)</formula>
    </cfRule>
    <cfRule type="expression" dxfId="25286" priority="11382" stopIfTrue="1">
      <formula>AND(AC7&gt;70000,AC7&lt;70004)</formula>
    </cfRule>
    <cfRule type="expression" dxfId="25285" priority="11383" stopIfTrue="1">
      <formula>AND(AC7&gt;=70010,AC7&lt;=76000)</formula>
    </cfRule>
    <cfRule type="expression" dxfId="25284" priority="11384">
      <formula>AND(AC7&gt;70000,AC7&lt;70004)</formula>
    </cfRule>
    <cfRule type="expression" dxfId="25283" priority="11385" stopIfTrue="1">
      <formula>OR(AND(AC7&gt;=10000,AC7&lt;=56999),AND(AC7&gt;=57000,AC7&lt;=57999))</formula>
    </cfRule>
    <cfRule type="expression" dxfId="25282" priority="11386" stopIfTrue="1">
      <formula>AND(AC7&gt;=8000,AC7&lt;=9999)</formula>
    </cfRule>
    <cfRule type="expression" dxfId="25281" priority="11387" stopIfTrue="1">
      <formula>AND(AC7&gt;=78100,AC7&lt;=78199)</formula>
    </cfRule>
    <cfRule type="expression" dxfId="25280" priority="11388" stopIfTrue="1">
      <formula>AND(AC7&gt;=92000,AC7&lt;=98999)</formula>
    </cfRule>
    <cfRule type="expression" dxfId="25279" priority="11389" stopIfTrue="1">
      <formula>AND(AC7&gt;=78100,AC7&lt;=78199)</formula>
    </cfRule>
    <cfRule type="expression" dxfId="25278" priority="11390" stopIfTrue="1">
      <formula>AND(AC7&gt;=91000,AC7&lt;=91999)</formula>
    </cfRule>
  </conditionalFormatting>
  <conditionalFormatting sqref="AB7">
    <cfRule type="expression" dxfId="25277" priority="11369">
      <formula>AND(AC7&gt;=79001,AC7&lt;79900)</formula>
    </cfRule>
    <cfRule type="expression" dxfId="25276" priority="11370" stopIfTrue="1">
      <formula>AND(AC7&gt;=70101,AC7&lt;=70301)</formula>
    </cfRule>
    <cfRule type="expression" dxfId="25275" priority="11371" stopIfTrue="1">
      <formula>AND(AC7&gt;70000,AC7&lt;70004)</formula>
    </cfRule>
    <cfRule type="expression" dxfId="25274" priority="11372" stopIfTrue="1">
      <formula>AND(AC7&gt;=70010,AC7&lt;=76000)</formula>
    </cfRule>
    <cfRule type="expression" dxfId="25273" priority="11373">
      <formula>AND(AC7&gt;70000,AC7&lt;70004)</formula>
    </cfRule>
    <cfRule type="expression" dxfId="25272" priority="11374" stopIfTrue="1">
      <formula>OR(AND(AC7&gt;=10000,AC7&lt;=56999),AND(AC7&gt;=57000,AC7&lt;=57999))</formula>
    </cfRule>
    <cfRule type="expression" dxfId="25271" priority="11375" stopIfTrue="1">
      <formula>AND(AC7&gt;=8000,AC7&lt;=9999)</formula>
    </cfRule>
    <cfRule type="expression" dxfId="25270" priority="11376" stopIfTrue="1">
      <formula>AND(AC7&gt;=78100,AC7&lt;=78199)</formula>
    </cfRule>
    <cfRule type="expression" dxfId="25269" priority="11377" stopIfTrue="1">
      <formula>AND(AC7&gt;=92000,AC7&lt;=98999)</formula>
    </cfRule>
    <cfRule type="expression" dxfId="25268" priority="11378" stopIfTrue="1">
      <formula>AND(AC7&gt;=78100,AC7&lt;=78199)</formula>
    </cfRule>
    <cfRule type="expression" dxfId="25267" priority="11379" stopIfTrue="1">
      <formula>AND(AC7&gt;=91000,AC7&lt;=91999)</formula>
    </cfRule>
  </conditionalFormatting>
  <conditionalFormatting sqref="AF7">
    <cfRule type="expression" dxfId="25266" priority="11358">
      <formula>AND(AG7&gt;=79001,AG7&lt;79900)</formula>
    </cfRule>
    <cfRule type="expression" dxfId="25265" priority="11359" stopIfTrue="1">
      <formula>AND(AG7&gt;=70101,AG7&lt;=70301)</formula>
    </cfRule>
    <cfRule type="expression" dxfId="25264" priority="11360" stopIfTrue="1">
      <formula>AND(AG7&gt;70000,AG7&lt;70004)</formula>
    </cfRule>
    <cfRule type="expression" dxfId="25263" priority="11361" stopIfTrue="1">
      <formula>AND(AG7&gt;=70010,AG7&lt;=76000)</formula>
    </cfRule>
    <cfRule type="expression" dxfId="25262" priority="11362">
      <formula>AND(AG7&gt;70000,AG7&lt;70004)</formula>
    </cfRule>
    <cfRule type="expression" dxfId="25261" priority="11363" stopIfTrue="1">
      <formula>OR(AND(AG7&gt;=10000,AG7&lt;=56999),AND(AG7&gt;=57000,AG7&lt;=57999))</formula>
    </cfRule>
    <cfRule type="expression" dxfId="25260" priority="11364" stopIfTrue="1">
      <formula>AND(AG7&gt;=8000,AG7&lt;=9999)</formula>
    </cfRule>
    <cfRule type="expression" dxfId="25259" priority="11365" stopIfTrue="1">
      <formula>AND(AG7&gt;=78100,AG7&lt;=78199)</formula>
    </cfRule>
    <cfRule type="expression" dxfId="25258" priority="11366" stopIfTrue="1">
      <formula>AND(AG7&gt;=92000,AG7&lt;=98999)</formula>
    </cfRule>
    <cfRule type="expression" dxfId="25257" priority="11367" stopIfTrue="1">
      <formula>AND(AG7&gt;=78100,AG7&lt;=78199)</formula>
    </cfRule>
    <cfRule type="expression" dxfId="25256" priority="11368" stopIfTrue="1">
      <formula>AND(AG7&gt;=91000,AG7&lt;=91999)</formula>
    </cfRule>
  </conditionalFormatting>
  <conditionalFormatting sqref="AF7">
    <cfRule type="expression" dxfId="25255" priority="11347">
      <formula>AND(AG7&gt;=79001,AG7&lt;79900)</formula>
    </cfRule>
    <cfRule type="expression" dxfId="25254" priority="11348" stopIfTrue="1">
      <formula>AND(AG7&gt;=70101,AG7&lt;=70301)</formula>
    </cfRule>
    <cfRule type="expression" dxfId="25253" priority="11349" stopIfTrue="1">
      <formula>AND(AG7&gt;70000,AG7&lt;70004)</formula>
    </cfRule>
    <cfRule type="expression" dxfId="25252" priority="11350" stopIfTrue="1">
      <formula>AND(AG7&gt;=70010,AG7&lt;=76000)</formula>
    </cfRule>
    <cfRule type="expression" dxfId="25251" priority="11351">
      <formula>AND(AG7&gt;70000,AG7&lt;70004)</formula>
    </cfRule>
    <cfRule type="expression" dxfId="25250" priority="11352" stopIfTrue="1">
      <formula>OR(AND(AG7&gt;=10000,AG7&lt;=56999),AND(AG7&gt;=57000,AG7&lt;=57999))</formula>
    </cfRule>
    <cfRule type="expression" dxfId="25249" priority="11353" stopIfTrue="1">
      <formula>AND(AG7&gt;=8000,AG7&lt;=9999)</formula>
    </cfRule>
    <cfRule type="expression" dxfId="25248" priority="11354" stopIfTrue="1">
      <formula>AND(AG7&gt;=78100,AG7&lt;=78199)</formula>
    </cfRule>
    <cfRule type="expression" dxfId="25247" priority="11355" stopIfTrue="1">
      <formula>AND(AG7&gt;=92000,AG7&lt;=98999)</formula>
    </cfRule>
    <cfRule type="expression" dxfId="25246" priority="11356" stopIfTrue="1">
      <formula>AND(AG7&gt;=78100,AG7&lt;=78199)</formula>
    </cfRule>
    <cfRule type="expression" dxfId="25245" priority="11357" stopIfTrue="1">
      <formula>AND(AG7&gt;=91000,AG7&lt;=91999)</formula>
    </cfRule>
  </conditionalFormatting>
  <conditionalFormatting sqref="AF7">
    <cfRule type="expression" dxfId="25244" priority="11336">
      <formula>AND(AG7&gt;=79001,AG7&lt;79900)</formula>
    </cfRule>
    <cfRule type="expression" dxfId="25243" priority="11337" stopIfTrue="1">
      <formula>AND(AG7&gt;=70101,AG7&lt;=70301)</formula>
    </cfRule>
    <cfRule type="expression" dxfId="25242" priority="11338" stopIfTrue="1">
      <formula>AND(AG7&gt;70000,AG7&lt;70004)</formula>
    </cfRule>
    <cfRule type="expression" dxfId="25241" priority="11339" stopIfTrue="1">
      <formula>AND(AG7&gt;=70010,AG7&lt;=76000)</formula>
    </cfRule>
    <cfRule type="expression" dxfId="25240" priority="11340">
      <formula>AND(AG7&gt;70000,AG7&lt;70004)</formula>
    </cfRule>
    <cfRule type="expression" dxfId="25239" priority="11341" stopIfTrue="1">
      <formula>OR(AND(AG7&gt;=10000,AG7&lt;=56999),AND(AG7&gt;=57000,AG7&lt;=57999))</formula>
    </cfRule>
    <cfRule type="expression" dxfId="25238" priority="11342" stopIfTrue="1">
      <formula>AND(AG7&gt;=8000,AG7&lt;=9999)</formula>
    </cfRule>
    <cfRule type="expression" dxfId="25237" priority="11343" stopIfTrue="1">
      <formula>AND(AG7&gt;=78100,AG7&lt;=78199)</formula>
    </cfRule>
    <cfRule type="expression" dxfId="25236" priority="11344" stopIfTrue="1">
      <formula>AND(AG7&gt;=92000,AG7&lt;=98999)</formula>
    </cfRule>
    <cfRule type="expression" dxfId="25235" priority="11345" stopIfTrue="1">
      <formula>AND(AG7&gt;=78100,AG7&lt;=78199)</formula>
    </cfRule>
    <cfRule type="expression" dxfId="25234" priority="11346" stopIfTrue="1">
      <formula>AND(AG7&gt;=91000,AG7&lt;=91999)</formula>
    </cfRule>
  </conditionalFormatting>
  <conditionalFormatting sqref="AF7">
    <cfRule type="expression" dxfId="25233" priority="11325">
      <formula>AND(AG7&gt;=79001,AG7&lt;79900)</formula>
    </cfRule>
    <cfRule type="expression" dxfId="25232" priority="11326" stopIfTrue="1">
      <formula>AND(AG7&gt;=70101,AG7&lt;=70301)</formula>
    </cfRule>
    <cfRule type="expression" dxfId="25231" priority="11327" stopIfTrue="1">
      <formula>AND(AG7&gt;70000,AG7&lt;70004)</formula>
    </cfRule>
    <cfRule type="expression" dxfId="25230" priority="11328" stopIfTrue="1">
      <formula>AND(AG7&gt;=70010,AG7&lt;=76000)</formula>
    </cfRule>
    <cfRule type="expression" dxfId="25229" priority="11329">
      <formula>AND(AG7&gt;70000,AG7&lt;70004)</formula>
    </cfRule>
    <cfRule type="expression" dxfId="25228" priority="11330" stopIfTrue="1">
      <formula>OR(AND(AG7&gt;=10000,AG7&lt;=56999),AND(AG7&gt;=57000,AG7&lt;=57999))</formula>
    </cfRule>
    <cfRule type="expression" dxfId="25227" priority="11331" stopIfTrue="1">
      <formula>AND(AG7&gt;=8000,AG7&lt;=9999)</formula>
    </cfRule>
    <cfRule type="expression" dxfId="25226" priority="11332" stopIfTrue="1">
      <formula>AND(AG7&gt;=78100,AG7&lt;=78199)</formula>
    </cfRule>
    <cfRule type="expression" dxfId="25225" priority="11333" stopIfTrue="1">
      <formula>AND(AG7&gt;=92000,AG7&lt;=98999)</formula>
    </cfRule>
    <cfRule type="expression" dxfId="25224" priority="11334" stopIfTrue="1">
      <formula>AND(AG7&gt;=78100,AG7&lt;=78199)</formula>
    </cfRule>
    <cfRule type="expression" dxfId="25223" priority="11335" stopIfTrue="1">
      <formula>AND(AG7&gt;=91000,AG7&lt;=91999)</formula>
    </cfRule>
  </conditionalFormatting>
  <conditionalFormatting sqref="T10">
    <cfRule type="expression" dxfId="25222" priority="11314">
      <formula>AND(U10&gt;=79001,U10&lt;79900)</formula>
    </cfRule>
    <cfRule type="expression" dxfId="25221" priority="11315" stopIfTrue="1">
      <formula>AND(U10&gt;=70101,U10&lt;=70301)</formula>
    </cfRule>
    <cfRule type="expression" dxfId="25220" priority="11316" stopIfTrue="1">
      <formula>AND(U10&gt;70000,U10&lt;70004)</formula>
    </cfRule>
    <cfRule type="expression" dxfId="25219" priority="11317" stopIfTrue="1">
      <formula>AND(U10&gt;=70010,U10&lt;=76000)</formula>
    </cfRule>
    <cfRule type="expression" dxfId="25218" priority="11318">
      <formula>AND(U10&gt;70000,U10&lt;70004)</formula>
    </cfRule>
    <cfRule type="expression" dxfId="25217" priority="11319" stopIfTrue="1">
      <formula>OR(AND(U10&gt;=10000,U10&lt;=56999),AND(U10&gt;=57000,U10&lt;=57999))</formula>
    </cfRule>
    <cfRule type="expression" dxfId="25216" priority="11320" stopIfTrue="1">
      <formula>AND(U10&gt;=8000,U10&lt;=9999)</formula>
    </cfRule>
    <cfRule type="expression" dxfId="25215" priority="11321" stopIfTrue="1">
      <formula>AND(U10&gt;=78100,U10&lt;=78199)</formula>
    </cfRule>
    <cfRule type="expression" dxfId="25214" priority="11322" stopIfTrue="1">
      <formula>AND(U10&gt;=92000,U10&lt;=98999)</formula>
    </cfRule>
    <cfRule type="expression" dxfId="25213" priority="11323" stopIfTrue="1">
      <formula>AND(U10&gt;=78100,U10&lt;=78199)</formula>
    </cfRule>
    <cfRule type="expression" dxfId="25212" priority="11324" stopIfTrue="1">
      <formula>AND(U10&gt;=91000,U10&lt;=91999)</formula>
    </cfRule>
  </conditionalFormatting>
  <conditionalFormatting sqref="T10">
    <cfRule type="expression" dxfId="25211" priority="11303">
      <formula>AND(U10&gt;=79001,U10&lt;79900)</formula>
    </cfRule>
    <cfRule type="expression" dxfId="25210" priority="11304" stopIfTrue="1">
      <formula>AND(U10&gt;=70101,U10&lt;=70301)</formula>
    </cfRule>
    <cfRule type="expression" dxfId="25209" priority="11305" stopIfTrue="1">
      <formula>AND(U10&gt;70000,U10&lt;70004)</formula>
    </cfRule>
    <cfRule type="expression" dxfId="25208" priority="11306" stopIfTrue="1">
      <formula>AND(U10&gt;=70010,U10&lt;=76000)</formula>
    </cfRule>
    <cfRule type="expression" dxfId="25207" priority="11307">
      <formula>AND(U10&gt;70000,U10&lt;70004)</formula>
    </cfRule>
    <cfRule type="expression" dxfId="25206" priority="11308" stopIfTrue="1">
      <formula>OR(AND(U10&gt;=10000,U10&lt;=56999),AND(U10&gt;=57000,U10&lt;=57999))</formula>
    </cfRule>
    <cfRule type="expression" dxfId="25205" priority="11309" stopIfTrue="1">
      <formula>AND(U10&gt;=8000,U10&lt;=9999)</formula>
    </cfRule>
    <cfRule type="expression" dxfId="25204" priority="11310" stopIfTrue="1">
      <formula>AND(U10&gt;=78100,U10&lt;=78199)</formula>
    </cfRule>
    <cfRule type="expression" dxfId="25203" priority="11311" stopIfTrue="1">
      <formula>AND(U10&gt;=92000,U10&lt;=98999)</formula>
    </cfRule>
    <cfRule type="expression" dxfId="25202" priority="11312" stopIfTrue="1">
      <formula>AND(U10&gt;=78100,U10&lt;=78199)</formula>
    </cfRule>
    <cfRule type="expression" dxfId="25201" priority="11313" stopIfTrue="1">
      <formula>AND(U10&gt;=91000,U10&lt;=91999)</formula>
    </cfRule>
  </conditionalFormatting>
  <conditionalFormatting sqref="T10">
    <cfRule type="expression" dxfId="25200" priority="11292">
      <formula>AND(U10&gt;=79001,U10&lt;79900)</formula>
    </cfRule>
    <cfRule type="expression" dxfId="25199" priority="11293" stopIfTrue="1">
      <formula>AND(U10&gt;=70101,U10&lt;=70301)</formula>
    </cfRule>
    <cfRule type="expression" dxfId="25198" priority="11294" stopIfTrue="1">
      <formula>AND(U10&gt;70000,U10&lt;70004)</formula>
    </cfRule>
    <cfRule type="expression" dxfId="25197" priority="11295" stopIfTrue="1">
      <formula>AND(U10&gt;=70010,U10&lt;=76000)</formula>
    </cfRule>
    <cfRule type="expression" dxfId="25196" priority="11296">
      <formula>AND(U10&gt;70000,U10&lt;70004)</formula>
    </cfRule>
    <cfRule type="expression" dxfId="25195" priority="11297" stopIfTrue="1">
      <formula>OR(AND(U10&gt;=10000,U10&lt;=56999),AND(U10&gt;=57000,U10&lt;=57999))</formula>
    </cfRule>
    <cfRule type="expression" dxfId="25194" priority="11298" stopIfTrue="1">
      <formula>AND(U10&gt;=8000,U10&lt;=9999)</formula>
    </cfRule>
    <cfRule type="expression" dxfId="25193" priority="11299" stopIfTrue="1">
      <formula>AND(U10&gt;=78100,U10&lt;=78199)</formula>
    </cfRule>
    <cfRule type="expression" dxfId="25192" priority="11300" stopIfTrue="1">
      <formula>AND(U10&gt;=92000,U10&lt;=98999)</formula>
    </cfRule>
    <cfRule type="expression" dxfId="25191" priority="11301" stopIfTrue="1">
      <formula>AND(U10&gt;=78100,U10&lt;=78199)</formula>
    </cfRule>
    <cfRule type="expression" dxfId="25190" priority="11302" stopIfTrue="1">
      <formula>AND(U10&gt;=91000,U10&lt;=91999)</formula>
    </cfRule>
  </conditionalFormatting>
  <conditionalFormatting sqref="T10">
    <cfRule type="expression" dxfId="25189" priority="11281">
      <formula>AND(U10&gt;=79001,U10&lt;79900)</formula>
    </cfRule>
    <cfRule type="expression" dxfId="25188" priority="11282" stopIfTrue="1">
      <formula>AND(U10&gt;=70101,U10&lt;=70301)</formula>
    </cfRule>
    <cfRule type="expression" dxfId="25187" priority="11283" stopIfTrue="1">
      <formula>AND(U10&gt;70000,U10&lt;70004)</formula>
    </cfRule>
    <cfRule type="expression" dxfId="25186" priority="11284" stopIfTrue="1">
      <formula>AND(U10&gt;=70010,U10&lt;=76000)</formula>
    </cfRule>
    <cfRule type="expression" dxfId="25185" priority="11285">
      <formula>AND(U10&gt;70000,U10&lt;70004)</formula>
    </cfRule>
    <cfRule type="expression" dxfId="25184" priority="11286" stopIfTrue="1">
      <formula>OR(AND(U10&gt;=10000,U10&lt;=56999),AND(U10&gt;=57000,U10&lt;=57999))</formula>
    </cfRule>
    <cfRule type="expression" dxfId="25183" priority="11287" stopIfTrue="1">
      <formula>AND(U10&gt;=8000,U10&lt;=9999)</formula>
    </cfRule>
    <cfRule type="expression" dxfId="25182" priority="11288" stopIfTrue="1">
      <formula>AND(U10&gt;=78100,U10&lt;=78199)</formula>
    </cfRule>
    <cfRule type="expression" dxfId="25181" priority="11289" stopIfTrue="1">
      <formula>AND(U10&gt;=92000,U10&lt;=98999)</formula>
    </cfRule>
    <cfRule type="expression" dxfId="25180" priority="11290" stopIfTrue="1">
      <formula>AND(U10&gt;=78100,U10&lt;=78199)</formula>
    </cfRule>
    <cfRule type="expression" dxfId="25179" priority="11291" stopIfTrue="1">
      <formula>AND(U10&gt;=91000,U10&lt;=91999)</formula>
    </cfRule>
  </conditionalFormatting>
  <conditionalFormatting sqref="X10">
    <cfRule type="expression" dxfId="25178" priority="11270">
      <formula>AND(Y10&gt;=79001,Y10&lt;79900)</formula>
    </cfRule>
    <cfRule type="expression" dxfId="25177" priority="11271" stopIfTrue="1">
      <formula>AND(Y10&gt;=70101,Y10&lt;=70301)</formula>
    </cfRule>
    <cfRule type="expression" dxfId="25176" priority="11272" stopIfTrue="1">
      <formula>AND(Y10&gt;70000,Y10&lt;70004)</formula>
    </cfRule>
    <cfRule type="expression" dxfId="25175" priority="11273" stopIfTrue="1">
      <formula>AND(Y10&gt;=70010,Y10&lt;=76000)</formula>
    </cfRule>
    <cfRule type="expression" dxfId="25174" priority="11274">
      <formula>AND(Y10&gt;70000,Y10&lt;70004)</formula>
    </cfRule>
    <cfRule type="expression" dxfId="25173" priority="11275" stopIfTrue="1">
      <formula>OR(AND(Y10&gt;=10000,Y10&lt;=56999),AND(Y10&gt;=57000,Y10&lt;=57999))</formula>
    </cfRule>
    <cfRule type="expression" dxfId="25172" priority="11276" stopIfTrue="1">
      <formula>AND(Y10&gt;=8000,Y10&lt;=9999)</formula>
    </cfRule>
    <cfRule type="expression" dxfId="25171" priority="11277" stopIfTrue="1">
      <formula>AND(Y10&gt;=78100,Y10&lt;=78199)</formula>
    </cfRule>
    <cfRule type="expression" dxfId="25170" priority="11278" stopIfTrue="1">
      <formula>AND(Y10&gt;=92000,Y10&lt;=98999)</formula>
    </cfRule>
    <cfRule type="expression" dxfId="25169" priority="11279" stopIfTrue="1">
      <formula>AND(Y10&gt;=78100,Y10&lt;=78199)</formula>
    </cfRule>
    <cfRule type="expression" dxfId="25168" priority="11280" stopIfTrue="1">
      <formula>AND(Y10&gt;=91000,Y10&lt;=91999)</formula>
    </cfRule>
  </conditionalFormatting>
  <conditionalFormatting sqref="X10">
    <cfRule type="expression" dxfId="25167" priority="11259">
      <formula>AND(Y10&gt;=79001,Y10&lt;79900)</formula>
    </cfRule>
    <cfRule type="expression" dxfId="25166" priority="11260" stopIfTrue="1">
      <formula>AND(Y10&gt;=70101,Y10&lt;=70301)</formula>
    </cfRule>
    <cfRule type="expression" dxfId="25165" priority="11261" stopIfTrue="1">
      <formula>AND(Y10&gt;70000,Y10&lt;70004)</formula>
    </cfRule>
    <cfRule type="expression" dxfId="25164" priority="11262" stopIfTrue="1">
      <formula>AND(Y10&gt;=70010,Y10&lt;=76000)</formula>
    </cfRule>
    <cfRule type="expression" dxfId="25163" priority="11263">
      <formula>AND(Y10&gt;70000,Y10&lt;70004)</formula>
    </cfRule>
    <cfRule type="expression" dxfId="25162" priority="11264" stopIfTrue="1">
      <formula>OR(AND(Y10&gt;=10000,Y10&lt;=56999),AND(Y10&gt;=57000,Y10&lt;=57999))</formula>
    </cfRule>
    <cfRule type="expression" dxfId="25161" priority="11265" stopIfTrue="1">
      <formula>AND(Y10&gt;=8000,Y10&lt;=9999)</formula>
    </cfRule>
    <cfRule type="expression" dxfId="25160" priority="11266" stopIfTrue="1">
      <formula>AND(Y10&gt;=78100,Y10&lt;=78199)</formula>
    </cfRule>
    <cfRule type="expression" dxfId="25159" priority="11267" stopIfTrue="1">
      <formula>AND(Y10&gt;=92000,Y10&lt;=98999)</formula>
    </cfRule>
    <cfRule type="expression" dxfId="25158" priority="11268" stopIfTrue="1">
      <formula>AND(Y10&gt;=78100,Y10&lt;=78199)</formula>
    </cfRule>
    <cfRule type="expression" dxfId="25157" priority="11269" stopIfTrue="1">
      <formula>AND(Y10&gt;=91000,Y10&lt;=91999)</formula>
    </cfRule>
  </conditionalFormatting>
  <conditionalFormatting sqref="X10">
    <cfRule type="expression" dxfId="25156" priority="11248">
      <formula>AND(Y10&gt;=79001,Y10&lt;79900)</formula>
    </cfRule>
    <cfRule type="expression" dxfId="25155" priority="11249" stopIfTrue="1">
      <formula>AND(Y10&gt;=70101,Y10&lt;=70301)</formula>
    </cfRule>
    <cfRule type="expression" dxfId="25154" priority="11250" stopIfTrue="1">
      <formula>AND(Y10&gt;70000,Y10&lt;70004)</formula>
    </cfRule>
    <cfRule type="expression" dxfId="25153" priority="11251" stopIfTrue="1">
      <formula>AND(Y10&gt;=70010,Y10&lt;=76000)</formula>
    </cfRule>
    <cfRule type="expression" dxfId="25152" priority="11252">
      <formula>AND(Y10&gt;70000,Y10&lt;70004)</formula>
    </cfRule>
    <cfRule type="expression" dxfId="25151" priority="11253" stopIfTrue="1">
      <formula>OR(AND(Y10&gt;=10000,Y10&lt;=56999),AND(Y10&gt;=57000,Y10&lt;=57999))</formula>
    </cfRule>
    <cfRule type="expression" dxfId="25150" priority="11254" stopIfTrue="1">
      <formula>AND(Y10&gt;=8000,Y10&lt;=9999)</formula>
    </cfRule>
    <cfRule type="expression" dxfId="25149" priority="11255" stopIfTrue="1">
      <formula>AND(Y10&gt;=78100,Y10&lt;=78199)</formula>
    </cfRule>
    <cfRule type="expression" dxfId="25148" priority="11256" stopIfTrue="1">
      <formula>AND(Y10&gt;=92000,Y10&lt;=98999)</formula>
    </cfRule>
    <cfRule type="expression" dxfId="25147" priority="11257" stopIfTrue="1">
      <formula>AND(Y10&gt;=78100,Y10&lt;=78199)</formula>
    </cfRule>
    <cfRule type="expression" dxfId="25146" priority="11258" stopIfTrue="1">
      <formula>AND(Y10&gt;=91000,Y10&lt;=91999)</formula>
    </cfRule>
  </conditionalFormatting>
  <conditionalFormatting sqref="X10">
    <cfRule type="expression" dxfId="25145" priority="11237">
      <formula>AND(Y10&gt;=79001,Y10&lt;79900)</formula>
    </cfRule>
    <cfRule type="expression" dxfId="25144" priority="11238" stopIfTrue="1">
      <formula>AND(Y10&gt;=70101,Y10&lt;=70301)</formula>
    </cfRule>
    <cfRule type="expression" dxfId="25143" priority="11239" stopIfTrue="1">
      <formula>AND(Y10&gt;70000,Y10&lt;70004)</formula>
    </cfRule>
    <cfRule type="expression" dxfId="25142" priority="11240" stopIfTrue="1">
      <formula>AND(Y10&gt;=70010,Y10&lt;=76000)</formula>
    </cfRule>
    <cfRule type="expression" dxfId="25141" priority="11241">
      <formula>AND(Y10&gt;70000,Y10&lt;70004)</formula>
    </cfRule>
    <cfRule type="expression" dxfId="25140" priority="11242" stopIfTrue="1">
      <formula>OR(AND(Y10&gt;=10000,Y10&lt;=56999),AND(Y10&gt;=57000,Y10&lt;=57999))</formula>
    </cfRule>
    <cfRule type="expression" dxfId="25139" priority="11243" stopIfTrue="1">
      <formula>AND(Y10&gt;=8000,Y10&lt;=9999)</formula>
    </cfRule>
    <cfRule type="expression" dxfId="25138" priority="11244" stopIfTrue="1">
      <formula>AND(Y10&gt;=78100,Y10&lt;=78199)</formula>
    </cfRule>
    <cfRule type="expression" dxfId="25137" priority="11245" stopIfTrue="1">
      <formula>AND(Y10&gt;=92000,Y10&lt;=98999)</formula>
    </cfRule>
    <cfRule type="expression" dxfId="25136" priority="11246" stopIfTrue="1">
      <formula>AND(Y10&gt;=78100,Y10&lt;=78199)</formula>
    </cfRule>
    <cfRule type="expression" dxfId="25135" priority="11247" stopIfTrue="1">
      <formula>AND(Y10&gt;=91000,Y10&lt;=91999)</formula>
    </cfRule>
  </conditionalFormatting>
  <conditionalFormatting sqref="AB10">
    <cfRule type="expression" dxfId="25134" priority="11226">
      <formula>AND(AC10&gt;=79001,AC10&lt;79900)</formula>
    </cfRule>
    <cfRule type="expression" dxfId="25133" priority="11227" stopIfTrue="1">
      <formula>AND(AC10&gt;=70101,AC10&lt;=70301)</formula>
    </cfRule>
    <cfRule type="expression" dxfId="25132" priority="11228" stopIfTrue="1">
      <formula>AND(AC10&gt;70000,AC10&lt;70004)</formula>
    </cfRule>
    <cfRule type="expression" dxfId="25131" priority="11229" stopIfTrue="1">
      <formula>AND(AC10&gt;=70010,AC10&lt;=76000)</formula>
    </cfRule>
    <cfRule type="expression" dxfId="25130" priority="11230">
      <formula>AND(AC10&gt;70000,AC10&lt;70004)</formula>
    </cfRule>
    <cfRule type="expression" dxfId="25129" priority="11231" stopIfTrue="1">
      <formula>OR(AND(AC10&gt;=10000,AC10&lt;=56999),AND(AC10&gt;=57000,AC10&lt;=57999))</formula>
    </cfRule>
    <cfRule type="expression" dxfId="25128" priority="11232" stopIfTrue="1">
      <formula>AND(AC10&gt;=8000,AC10&lt;=9999)</formula>
    </cfRule>
    <cfRule type="expression" dxfId="25127" priority="11233" stopIfTrue="1">
      <formula>AND(AC10&gt;=78100,AC10&lt;=78199)</formula>
    </cfRule>
    <cfRule type="expression" dxfId="25126" priority="11234" stopIfTrue="1">
      <formula>AND(AC10&gt;=92000,AC10&lt;=98999)</formula>
    </cfRule>
    <cfRule type="expression" dxfId="25125" priority="11235" stopIfTrue="1">
      <formula>AND(AC10&gt;=78100,AC10&lt;=78199)</formula>
    </cfRule>
    <cfRule type="expression" dxfId="25124" priority="11236" stopIfTrue="1">
      <formula>AND(AC10&gt;=91000,AC10&lt;=91999)</formula>
    </cfRule>
  </conditionalFormatting>
  <conditionalFormatting sqref="AB10">
    <cfRule type="expression" dxfId="25123" priority="11215">
      <formula>AND(AC10&gt;=79001,AC10&lt;79900)</formula>
    </cfRule>
    <cfRule type="expression" dxfId="25122" priority="11216" stopIfTrue="1">
      <formula>AND(AC10&gt;=70101,AC10&lt;=70301)</formula>
    </cfRule>
    <cfRule type="expression" dxfId="25121" priority="11217" stopIfTrue="1">
      <formula>AND(AC10&gt;70000,AC10&lt;70004)</formula>
    </cfRule>
    <cfRule type="expression" dxfId="25120" priority="11218" stopIfTrue="1">
      <formula>AND(AC10&gt;=70010,AC10&lt;=76000)</formula>
    </cfRule>
    <cfRule type="expression" dxfId="25119" priority="11219">
      <formula>AND(AC10&gt;70000,AC10&lt;70004)</formula>
    </cfRule>
    <cfRule type="expression" dxfId="25118" priority="11220" stopIfTrue="1">
      <formula>OR(AND(AC10&gt;=10000,AC10&lt;=56999),AND(AC10&gt;=57000,AC10&lt;=57999))</formula>
    </cfRule>
    <cfRule type="expression" dxfId="25117" priority="11221" stopIfTrue="1">
      <formula>AND(AC10&gt;=8000,AC10&lt;=9999)</formula>
    </cfRule>
    <cfRule type="expression" dxfId="25116" priority="11222" stopIfTrue="1">
      <formula>AND(AC10&gt;=78100,AC10&lt;=78199)</formula>
    </cfRule>
    <cfRule type="expression" dxfId="25115" priority="11223" stopIfTrue="1">
      <formula>AND(AC10&gt;=92000,AC10&lt;=98999)</formula>
    </cfRule>
    <cfRule type="expression" dxfId="25114" priority="11224" stopIfTrue="1">
      <formula>AND(AC10&gt;=78100,AC10&lt;=78199)</formula>
    </cfRule>
    <cfRule type="expression" dxfId="25113" priority="11225" stopIfTrue="1">
      <formula>AND(AC10&gt;=91000,AC10&lt;=91999)</formula>
    </cfRule>
  </conditionalFormatting>
  <conditionalFormatting sqref="AB10">
    <cfRule type="expression" dxfId="25112" priority="11204">
      <formula>AND(AC10&gt;=79001,AC10&lt;79900)</formula>
    </cfRule>
    <cfRule type="expression" dxfId="25111" priority="11205" stopIfTrue="1">
      <formula>AND(AC10&gt;=70101,AC10&lt;=70301)</formula>
    </cfRule>
    <cfRule type="expression" dxfId="25110" priority="11206" stopIfTrue="1">
      <formula>AND(AC10&gt;70000,AC10&lt;70004)</formula>
    </cfRule>
    <cfRule type="expression" dxfId="25109" priority="11207" stopIfTrue="1">
      <formula>AND(AC10&gt;=70010,AC10&lt;=76000)</formula>
    </cfRule>
    <cfRule type="expression" dxfId="25108" priority="11208">
      <formula>AND(AC10&gt;70000,AC10&lt;70004)</formula>
    </cfRule>
    <cfRule type="expression" dxfId="25107" priority="11209" stopIfTrue="1">
      <formula>OR(AND(AC10&gt;=10000,AC10&lt;=56999),AND(AC10&gt;=57000,AC10&lt;=57999))</formula>
    </cfRule>
    <cfRule type="expression" dxfId="25106" priority="11210" stopIfTrue="1">
      <formula>AND(AC10&gt;=8000,AC10&lt;=9999)</formula>
    </cfRule>
    <cfRule type="expression" dxfId="25105" priority="11211" stopIfTrue="1">
      <formula>AND(AC10&gt;=78100,AC10&lt;=78199)</formula>
    </cfRule>
    <cfRule type="expression" dxfId="25104" priority="11212" stopIfTrue="1">
      <formula>AND(AC10&gt;=92000,AC10&lt;=98999)</formula>
    </cfRule>
    <cfRule type="expression" dxfId="25103" priority="11213" stopIfTrue="1">
      <formula>AND(AC10&gt;=78100,AC10&lt;=78199)</formula>
    </cfRule>
    <cfRule type="expression" dxfId="25102" priority="11214" stopIfTrue="1">
      <formula>AND(AC10&gt;=91000,AC10&lt;=91999)</formula>
    </cfRule>
  </conditionalFormatting>
  <conditionalFormatting sqref="AB10">
    <cfRule type="expression" dxfId="25101" priority="11193">
      <formula>AND(AC10&gt;=79001,AC10&lt;79900)</formula>
    </cfRule>
    <cfRule type="expression" dxfId="25100" priority="11194" stopIfTrue="1">
      <formula>AND(AC10&gt;=70101,AC10&lt;=70301)</formula>
    </cfRule>
    <cfRule type="expression" dxfId="25099" priority="11195" stopIfTrue="1">
      <formula>AND(AC10&gt;70000,AC10&lt;70004)</formula>
    </cfRule>
    <cfRule type="expression" dxfId="25098" priority="11196" stopIfTrue="1">
      <formula>AND(AC10&gt;=70010,AC10&lt;=76000)</formula>
    </cfRule>
    <cfRule type="expression" dxfId="25097" priority="11197">
      <formula>AND(AC10&gt;70000,AC10&lt;70004)</formula>
    </cfRule>
    <cfRule type="expression" dxfId="25096" priority="11198" stopIfTrue="1">
      <formula>OR(AND(AC10&gt;=10000,AC10&lt;=56999),AND(AC10&gt;=57000,AC10&lt;=57999))</formula>
    </cfRule>
    <cfRule type="expression" dxfId="25095" priority="11199" stopIfTrue="1">
      <formula>AND(AC10&gt;=8000,AC10&lt;=9999)</formula>
    </cfRule>
    <cfRule type="expression" dxfId="25094" priority="11200" stopIfTrue="1">
      <formula>AND(AC10&gt;=78100,AC10&lt;=78199)</formula>
    </cfRule>
    <cfRule type="expression" dxfId="25093" priority="11201" stopIfTrue="1">
      <formula>AND(AC10&gt;=92000,AC10&lt;=98999)</formula>
    </cfRule>
    <cfRule type="expression" dxfId="25092" priority="11202" stopIfTrue="1">
      <formula>AND(AC10&gt;=78100,AC10&lt;=78199)</formula>
    </cfRule>
    <cfRule type="expression" dxfId="25091" priority="11203" stopIfTrue="1">
      <formula>AND(AC10&gt;=91000,AC10&lt;=91999)</formula>
    </cfRule>
  </conditionalFormatting>
  <conditionalFormatting sqref="AF10">
    <cfRule type="expression" dxfId="25090" priority="11182">
      <formula>AND(AG10&gt;=79001,AG10&lt;79900)</formula>
    </cfRule>
    <cfRule type="expression" dxfId="25089" priority="11183" stopIfTrue="1">
      <formula>AND(AG10&gt;=70101,AG10&lt;=70301)</formula>
    </cfRule>
    <cfRule type="expression" dxfId="25088" priority="11184" stopIfTrue="1">
      <formula>AND(AG10&gt;70000,AG10&lt;70004)</formula>
    </cfRule>
    <cfRule type="expression" dxfId="25087" priority="11185" stopIfTrue="1">
      <formula>AND(AG10&gt;=70010,AG10&lt;=76000)</formula>
    </cfRule>
    <cfRule type="expression" dxfId="25086" priority="11186">
      <formula>AND(AG10&gt;70000,AG10&lt;70004)</formula>
    </cfRule>
    <cfRule type="expression" dxfId="25085" priority="11187" stopIfTrue="1">
      <formula>OR(AND(AG10&gt;=10000,AG10&lt;=56999),AND(AG10&gt;=57000,AG10&lt;=57999))</formula>
    </cfRule>
    <cfRule type="expression" dxfId="25084" priority="11188" stopIfTrue="1">
      <formula>AND(AG10&gt;=8000,AG10&lt;=9999)</formula>
    </cfRule>
    <cfRule type="expression" dxfId="25083" priority="11189" stopIfTrue="1">
      <formula>AND(AG10&gt;=78100,AG10&lt;=78199)</formula>
    </cfRule>
    <cfRule type="expression" dxfId="25082" priority="11190" stopIfTrue="1">
      <formula>AND(AG10&gt;=92000,AG10&lt;=98999)</formula>
    </cfRule>
    <cfRule type="expression" dxfId="25081" priority="11191" stopIfTrue="1">
      <formula>AND(AG10&gt;=78100,AG10&lt;=78199)</formula>
    </cfRule>
    <cfRule type="expression" dxfId="25080" priority="11192" stopIfTrue="1">
      <formula>AND(AG10&gt;=91000,AG10&lt;=91999)</formula>
    </cfRule>
  </conditionalFormatting>
  <conditionalFormatting sqref="AF10">
    <cfRule type="expression" dxfId="25079" priority="11171">
      <formula>AND(AG10&gt;=79001,AG10&lt;79900)</formula>
    </cfRule>
    <cfRule type="expression" dxfId="25078" priority="11172" stopIfTrue="1">
      <formula>AND(AG10&gt;=70101,AG10&lt;=70301)</formula>
    </cfRule>
    <cfRule type="expression" dxfId="25077" priority="11173" stopIfTrue="1">
      <formula>AND(AG10&gt;70000,AG10&lt;70004)</formula>
    </cfRule>
    <cfRule type="expression" dxfId="25076" priority="11174" stopIfTrue="1">
      <formula>AND(AG10&gt;=70010,AG10&lt;=76000)</formula>
    </cfRule>
    <cfRule type="expression" dxfId="25075" priority="11175">
      <formula>AND(AG10&gt;70000,AG10&lt;70004)</formula>
    </cfRule>
    <cfRule type="expression" dxfId="25074" priority="11176" stopIfTrue="1">
      <formula>OR(AND(AG10&gt;=10000,AG10&lt;=56999),AND(AG10&gt;=57000,AG10&lt;=57999))</formula>
    </cfRule>
    <cfRule type="expression" dxfId="25073" priority="11177" stopIfTrue="1">
      <formula>AND(AG10&gt;=8000,AG10&lt;=9999)</formula>
    </cfRule>
    <cfRule type="expression" dxfId="25072" priority="11178" stopIfTrue="1">
      <formula>AND(AG10&gt;=78100,AG10&lt;=78199)</formula>
    </cfRule>
    <cfRule type="expression" dxfId="25071" priority="11179" stopIfTrue="1">
      <formula>AND(AG10&gt;=92000,AG10&lt;=98999)</formula>
    </cfRule>
    <cfRule type="expression" dxfId="25070" priority="11180" stopIfTrue="1">
      <formula>AND(AG10&gt;=78100,AG10&lt;=78199)</formula>
    </cfRule>
    <cfRule type="expression" dxfId="25069" priority="11181" stopIfTrue="1">
      <formula>AND(AG10&gt;=91000,AG10&lt;=91999)</formula>
    </cfRule>
  </conditionalFormatting>
  <conditionalFormatting sqref="AF10">
    <cfRule type="expression" dxfId="25068" priority="11160">
      <formula>AND(AG10&gt;=79001,AG10&lt;79900)</formula>
    </cfRule>
    <cfRule type="expression" dxfId="25067" priority="11161" stopIfTrue="1">
      <formula>AND(AG10&gt;=70101,AG10&lt;=70301)</formula>
    </cfRule>
    <cfRule type="expression" dxfId="25066" priority="11162" stopIfTrue="1">
      <formula>AND(AG10&gt;70000,AG10&lt;70004)</formula>
    </cfRule>
    <cfRule type="expression" dxfId="25065" priority="11163" stopIfTrue="1">
      <formula>AND(AG10&gt;=70010,AG10&lt;=76000)</formula>
    </cfRule>
    <cfRule type="expression" dxfId="25064" priority="11164">
      <formula>AND(AG10&gt;70000,AG10&lt;70004)</formula>
    </cfRule>
    <cfRule type="expression" dxfId="25063" priority="11165" stopIfTrue="1">
      <formula>OR(AND(AG10&gt;=10000,AG10&lt;=56999),AND(AG10&gt;=57000,AG10&lt;=57999))</formula>
    </cfRule>
    <cfRule type="expression" dxfId="25062" priority="11166" stopIfTrue="1">
      <formula>AND(AG10&gt;=8000,AG10&lt;=9999)</formula>
    </cfRule>
    <cfRule type="expression" dxfId="25061" priority="11167" stopIfTrue="1">
      <formula>AND(AG10&gt;=78100,AG10&lt;=78199)</formula>
    </cfRule>
    <cfRule type="expression" dxfId="25060" priority="11168" stopIfTrue="1">
      <formula>AND(AG10&gt;=92000,AG10&lt;=98999)</formula>
    </cfRule>
    <cfRule type="expression" dxfId="25059" priority="11169" stopIfTrue="1">
      <formula>AND(AG10&gt;=78100,AG10&lt;=78199)</formula>
    </cfRule>
    <cfRule type="expression" dxfId="25058" priority="11170" stopIfTrue="1">
      <formula>AND(AG10&gt;=91000,AG10&lt;=91999)</formula>
    </cfRule>
  </conditionalFormatting>
  <conditionalFormatting sqref="AF10">
    <cfRule type="expression" dxfId="25057" priority="11149">
      <formula>AND(AG10&gt;=79001,AG10&lt;79900)</formula>
    </cfRule>
    <cfRule type="expression" dxfId="25056" priority="11150" stopIfTrue="1">
      <formula>AND(AG10&gt;=70101,AG10&lt;=70301)</formula>
    </cfRule>
    <cfRule type="expression" dxfId="25055" priority="11151" stopIfTrue="1">
      <formula>AND(AG10&gt;70000,AG10&lt;70004)</formula>
    </cfRule>
    <cfRule type="expression" dxfId="25054" priority="11152" stopIfTrue="1">
      <formula>AND(AG10&gt;=70010,AG10&lt;=76000)</formula>
    </cfRule>
    <cfRule type="expression" dxfId="25053" priority="11153">
      <formula>AND(AG10&gt;70000,AG10&lt;70004)</formula>
    </cfRule>
    <cfRule type="expression" dxfId="25052" priority="11154" stopIfTrue="1">
      <formula>OR(AND(AG10&gt;=10000,AG10&lt;=56999),AND(AG10&gt;=57000,AG10&lt;=57999))</formula>
    </cfRule>
    <cfRule type="expression" dxfId="25051" priority="11155" stopIfTrue="1">
      <formula>AND(AG10&gt;=8000,AG10&lt;=9999)</formula>
    </cfRule>
    <cfRule type="expression" dxfId="25050" priority="11156" stopIfTrue="1">
      <formula>AND(AG10&gt;=78100,AG10&lt;=78199)</formula>
    </cfRule>
    <cfRule type="expression" dxfId="25049" priority="11157" stopIfTrue="1">
      <formula>AND(AG10&gt;=92000,AG10&lt;=98999)</formula>
    </cfRule>
    <cfRule type="expression" dxfId="25048" priority="11158" stopIfTrue="1">
      <formula>AND(AG10&gt;=78100,AG10&lt;=78199)</formula>
    </cfRule>
    <cfRule type="expression" dxfId="25047" priority="11159" stopIfTrue="1">
      <formula>AND(AG10&gt;=91000,AG10&lt;=91999)</formula>
    </cfRule>
  </conditionalFormatting>
  <conditionalFormatting sqref="X13">
    <cfRule type="expression" dxfId="25046" priority="11138">
      <formula>AND(Y13&gt;=79001,Y13&lt;79900)</formula>
    </cfRule>
    <cfRule type="expression" dxfId="25045" priority="11139" stopIfTrue="1">
      <formula>AND(Y13&gt;=70101,Y13&lt;=70301)</formula>
    </cfRule>
    <cfRule type="expression" dxfId="25044" priority="11140" stopIfTrue="1">
      <formula>AND(Y13&gt;70000,Y13&lt;70004)</formula>
    </cfRule>
    <cfRule type="expression" dxfId="25043" priority="11141" stopIfTrue="1">
      <formula>AND(Y13&gt;=70010,Y13&lt;=76000)</formula>
    </cfRule>
    <cfRule type="expression" dxfId="25042" priority="11142">
      <formula>AND(Y13&gt;70000,Y13&lt;70004)</formula>
    </cfRule>
    <cfRule type="expression" dxfId="25041" priority="11143" stopIfTrue="1">
      <formula>OR(AND(Y13&gt;=10000,Y13&lt;=56999),AND(Y13&gt;=57000,Y13&lt;=57999))</formula>
    </cfRule>
    <cfRule type="expression" dxfId="25040" priority="11144" stopIfTrue="1">
      <formula>AND(Y13&gt;=8000,Y13&lt;=9999)</formula>
    </cfRule>
    <cfRule type="expression" dxfId="25039" priority="11145" stopIfTrue="1">
      <formula>AND(Y13&gt;=78100,Y13&lt;=78199)</formula>
    </cfRule>
    <cfRule type="expression" dxfId="25038" priority="11146" stopIfTrue="1">
      <formula>AND(Y13&gt;=92000,Y13&lt;=98999)</formula>
    </cfRule>
    <cfRule type="expression" dxfId="25037" priority="11147" stopIfTrue="1">
      <formula>AND(Y13&gt;=78100,Y13&lt;=78199)</formula>
    </cfRule>
    <cfRule type="expression" dxfId="25036" priority="11148" stopIfTrue="1">
      <formula>AND(Y13&gt;=91000,Y13&lt;=91999)</formula>
    </cfRule>
  </conditionalFormatting>
  <conditionalFormatting sqref="X13">
    <cfRule type="expression" dxfId="25035" priority="11127">
      <formula>AND(Y13&gt;=79001,Y13&lt;79900)</formula>
    </cfRule>
    <cfRule type="expression" dxfId="25034" priority="11128" stopIfTrue="1">
      <formula>AND(Y13&gt;=70101,Y13&lt;=70301)</formula>
    </cfRule>
    <cfRule type="expression" dxfId="25033" priority="11129" stopIfTrue="1">
      <formula>AND(Y13&gt;70000,Y13&lt;70004)</formula>
    </cfRule>
    <cfRule type="expression" dxfId="25032" priority="11130" stopIfTrue="1">
      <formula>AND(Y13&gt;=70010,Y13&lt;=76000)</formula>
    </cfRule>
    <cfRule type="expression" dxfId="25031" priority="11131">
      <formula>AND(Y13&gt;70000,Y13&lt;70004)</formula>
    </cfRule>
    <cfRule type="expression" dxfId="25030" priority="11132" stopIfTrue="1">
      <formula>OR(AND(Y13&gt;=10000,Y13&lt;=56999),AND(Y13&gt;=57000,Y13&lt;=57999))</formula>
    </cfRule>
    <cfRule type="expression" dxfId="25029" priority="11133" stopIfTrue="1">
      <formula>AND(Y13&gt;=8000,Y13&lt;=9999)</formula>
    </cfRule>
    <cfRule type="expression" dxfId="25028" priority="11134" stopIfTrue="1">
      <formula>AND(Y13&gt;=78100,Y13&lt;=78199)</formula>
    </cfRule>
    <cfRule type="expression" dxfId="25027" priority="11135" stopIfTrue="1">
      <formula>AND(Y13&gt;=92000,Y13&lt;=98999)</formula>
    </cfRule>
    <cfRule type="expression" dxfId="25026" priority="11136" stopIfTrue="1">
      <formula>AND(Y13&gt;=78100,Y13&lt;=78199)</formula>
    </cfRule>
    <cfRule type="expression" dxfId="25025" priority="11137" stopIfTrue="1">
      <formula>AND(Y13&gt;=91000,Y13&lt;=91999)</formula>
    </cfRule>
  </conditionalFormatting>
  <conditionalFormatting sqref="X13">
    <cfRule type="expression" dxfId="25024" priority="11116">
      <formula>AND(Y13&gt;=79001,Y13&lt;79900)</formula>
    </cfRule>
    <cfRule type="expression" dxfId="25023" priority="11117" stopIfTrue="1">
      <formula>AND(Y13&gt;=70101,Y13&lt;=70301)</formula>
    </cfRule>
    <cfRule type="expression" dxfId="25022" priority="11118" stopIfTrue="1">
      <formula>AND(Y13&gt;70000,Y13&lt;70004)</formula>
    </cfRule>
    <cfRule type="expression" dxfId="25021" priority="11119" stopIfTrue="1">
      <formula>AND(Y13&gt;=70010,Y13&lt;=76000)</formula>
    </cfRule>
    <cfRule type="expression" dxfId="25020" priority="11120">
      <formula>AND(Y13&gt;70000,Y13&lt;70004)</formula>
    </cfRule>
    <cfRule type="expression" dxfId="25019" priority="11121" stopIfTrue="1">
      <formula>OR(AND(Y13&gt;=10000,Y13&lt;=56999),AND(Y13&gt;=57000,Y13&lt;=57999))</formula>
    </cfRule>
    <cfRule type="expression" dxfId="25018" priority="11122" stopIfTrue="1">
      <formula>AND(Y13&gt;=8000,Y13&lt;=9999)</formula>
    </cfRule>
    <cfRule type="expression" dxfId="25017" priority="11123" stopIfTrue="1">
      <formula>AND(Y13&gt;=78100,Y13&lt;=78199)</formula>
    </cfRule>
    <cfRule type="expression" dxfId="25016" priority="11124" stopIfTrue="1">
      <formula>AND(Y13&gt;=92000,Y13&lt;=98999)</formula>
    </cfRule>
    <cfRule type="expression" dxfId="25015" priority="11125" stopIfTrue="1">
      <formula>AND(Y13&gt;=78100,Y13&lt;=78199)</formula>
    </cfRule>
    <cfRule type="expression" dxfId="25014" priority="11126" stopIfTrue="1">
      <formula>AND(Y13&gt;=91000,Y13&lt;=91999)</formula>
    </cfRule>
  </conditionalFormatting>
  <conditionalFormatting sqref="X13">
    <cfRule type="expression" dxfId="25013" priority="11105">
      <formula>AND(Y13&gt;=79001,Y13&lt;79900)</formula>
    </cfRule>
    <cfRule type="expression" dxfId="25012" priority="11106" stopIfTrue="1">
      <formula>AND(Y13&gt;=70101,Y13&lt;=70301)</formula>
    </cfRule>
    <cfRule type="expression" dxfId="25011" priority="11107" stopIfTrue="1">
      <formula>AND(Y13&gt;70000,Y13&lt;70004)</formula>
    </cfRule>
    <cfRule type="expression" dxfId="25010" priority="11108" stopIfTrue="1">
      <formula>AND(Y13&gt;=70010,Y13&lt;=76000)</formula>
    </cfRule>
    <cfRule type="expression" dxfId="25009" priority="11109">
      <formula>AND(Y13&gt;70000,Y13&lt;70004)</formula>
    </cfRule>
    <cfRule type="expression" dxfId="25008" priority="11110" stopIfTrue="1">
      <formula>OR(AND(Y13&gt;=10000,Y13&lt;=56999),AND(Y13&gt;=57000,Y13&lt;=57999))</formula>
    </cfRule>
    <cfRule type="expression" dxfId="25007" priority="11111" stopIfTrue="1">
      <formula>AND(Y13&gt;=8000,Y13&lt;=9999)</formula>
    </cfRule>
    <cfRule type="expression" dxfId="25006" priority="11112" stopIfTrue="1">
      <formula>AND(Y13&gt;=78100,Y13&lt;=78199)</formula>
    </cfRule>
    <cfRule type="expression" dxfId="25005" priority="11113" stopIfTrue="1">
      <formula>AND(Y13&gt;=92000,Y13&lt;=98999)</formula>
    </cfRule>
    <cfRule type="expression" dxfId="25004" priority="11114" stopIfTrue="1">
      <formula>AND(Y13&gt;=78100,Y13&lt;=78199)</formula>
    </cfRule>
    <cfRule type="expression" dxfId="25003" priority="11115" stopIfTrue="1">
      <formula>AND(Y13&gt;=91000,Y13&lt;=91999)</formula>
    </cfRule>
  </conditionalFormatting>
  <conditionalFormatting sqref="AB13">
    <cfRule type="expression" dxfId="25002" priority="11094">
      <formula>AND(AC13&gt;=79001,AC13&lt;79900)</formula>
    </cfRule>
    <cfRule type="expression" dxfId="25001" priority="11095" stopIfTrue="1">
      <formula>AND(AC13&gt;=70101,AC13&lt;=70301)</formula>
    </cfRule>
    <cfRule type="expression" dxfId="25000" priority="11096" stopIfTrue="1">
      <formula>AND(AC13&gt;70000,AC13&lt;70004)</formula>
    </cfRule>
    <cfRule type="expression" dxfId="24999" priority="11097" stopIfTrue="1">
      <formula>AND(AC13&gt;=70010,AC13&lt;=76000)</formula>
    </cfRule>
    <cfRule type="expression" dxfId="24998" priority="11098">
      <formula>AND(AC13&gt;70000,AC13&lt;70004)</formula>
    </cfRule>
    <cfRule type="expression" dxfId="24997" priority="11099" stopIfTrue="1">
      <formula>OR(AND(AC13&gt;=10000,AC13&lt;=56999),AND(AC13&gt;=57000,AC13&lt;=57999))</formula>
    </cfRule>
    <cfRule type="expression" dxfId="24996" priority="11100" stopIfTrue="1">
      <formula>AND(AC13&gt;=8000,AC13&lt;=9999)</formula>
    </cfRule>
    <cfRule type="expression" dxfId="24995" priority="11101" stopIfTrue="1">
      <formula>AND(AC13&gt;=78100,AC13&lt;=78199)</formula>
    </cfRule>
    <cfRule type="expression" dxfId="24994" priority="11102" stopIfTrue="1">
      <formula>AND(AC13&gt;=92000,AC13&lt;=98999)</formula>
    </cfRule>
    <cfRule type="expression" dxfId="24993" priority="11103" stopIfTrue="1">
      <formula>AND(AC13&gt;=78100,AC13&lt;=78199)</formula>
    </cfRule>
    <cfRule type="expression" dxfId="24992" priority="11104" stopIfTrue="1">
      <formula>AND(AC13&gt;=91000,AC13&lt;=91999)</formula>
    </cfRule>
  </conditionalFormatting>
  <conditionalFormatting sqref="AB13">
    <cfRule type="expression" dxfId="24991" priority="11083">
      <formula>AND(AC13&gt;=79001,AC13&lt;79900)</formula>
    </cfRule>
    <cfRule type="expression" dxfId="24990" priority="11084" stopIfTrue="1">
      <formula>AND(AC13&gt;=70101,AC13&lt;=70301)</formula>
    </cfRule>
    <cfRule type="expression" dxfId="24989" priority="11085" stopIfTrue="1">
      <formula>AND(AC13&gt;70000,AC13&lt;70004)</formula>
    </cfRule>
    <cfRule type="expression" dxfId="24988" priority="11086" stopIfTrue="1">
      <formula>AND(AC13&gt;=70010,AC13&lt;=76000)</formula>
    </cfRule>
    <cfRule type="expression" dxfId="24987" priority="11087">
      <formula>AND(AC13&gt;70000,AC13&lt;70004)</formula>
    </cfRule>
    <cfRule type="expression" dxfId="24986" priority="11088" stopIfTrue="1">
      <formula>OR(AND(AC13&gt;=10000,AC13&lt;=56999),AND(AC13&gt;=57000,AC13&lt;=57999))</formula>
    </cfRule>
    <cfRule type="expression" dxfId="24985" priority="11089" stopIfTrue="1">
      <formula>AND(AC13&gt;=8000,AC13&lt;=9999)</formula>
    </cfRule>
    <cfRule type="expression" dxfId="24984" priority="11090" stopIfTrue="1">
      <formula>AND(AC13&gt;=78100,AC13&lt;=78199)</formula>
    </cfRule>
    <cfRule type="expression" dxfId="24983" priority="11091" stopIfTrue="1">
      <formula>AND(AC13&gt;=92000,AC13&lt;=98999)</formula>
    </cfRule>
    <cfRule type="expression" dxfId="24982" priority="11092" stopIfTrue="1">
      <formula>AND(AC13&gt;=78100,AC13&lt;=78199)</formula>
    </cfRule>
    <cfRule type="expression" dxfId="24981" priority="11093" stopIfTrue="1">
      <formula>AND(AC13&gt;=91000,AC13&lt;=91999)</formula>
    </cfRule>
  </conditionalFormatting>
  <conditionalFormatting sqref="AB13">
    <cfRule type="expression" dxfId="24980" priority="11072">
      <formula>AND(AC13&gt;=79001,AC13&lt;79900)</formula>
    </cfRule>
    <cfRule type="expression" dxfId="24979" priority="11073" stopIfTrue="1">
      <formula>AND(AC13&gt;=70101,AC13&lt;=70301)</formula>
    </cfRule>
    <cfRule type="expression" dxfId="24978" priority="11074" stopIfTrue="1">
      <formula>AND(AC13&gt;70000,AC13&lt;70004)</formula>
    </cfRule>
    <cfRule type="expression" dxfId="24977" priority="11075" stopIfTrue="1">
      <formula>AND(AC13&gt;=70010,AC13&lt;=76000)</formula>
    </cfRule>
    <cfRule type="expression" dxfId="24976" priority="11076">
      <formula>AND(AC13&gt;70000,AC13&lt;70004)</formula>
    </cfRule>
    <cfRule type="expression" dxfId="24975" priority="11077" stopIfTrue="1">
      <formula>OR(AND(AC13&gt;=10000,AC13&lt;=56999),AND(AC13&gt;=57000,AC13&lt;=57999))</formula>
    </cfRule>
    <cfRule type="expression" dxfId="24974" priority="11078" stopIfTrue="1">
      <formula>AND(AC13&gt;=8000,AC13&lt;=9999)</formula>
    </cfRule>
    <cfRule type="expression" dxfId="24973" priority="11079" stopIfTrue="1">
      <formula>AND(AC13&gt;=78100,AC13&lt;=78199)</formula>
    </cfRule>
    <cfRule type="expression" dxfId="24972" priority="11080" stopIfTrue="1">
      <formula>AND(AC13&gt;=92000,AC13&lt;=98999)</formula>
    </cfRule>
    <cfRule type="expression" dxfId="24971" priority="11081" stopIfTrue="1">
      <formula>AND(AC13&gt;=78100,AC13&lt;=78199)</formula>
    </cfRule>
    <cfRule type="expression" dxfId="24970" priority="11082" stopIfTrue="1">
      <formula>AND(AC13&gt;=91000,AC13&lt;=91999)</formula>
    </cfRule>
  </conditionalFormatting>
  <conditionalFormatting sqref="AB13">
    <cfRule type="expression" dxfId="24969" priority="11061">
      <formula>AND(AC13&gt;=79001,AC13&lt;79900)</formula>
    </cfRule>
    <cfRule type="expression" dxfId="24968" priority="11062" stopIfTrue="1">
      <formula>AND(AC13&gt;=70101,AC13&lt;=70301)</formula>
    </cfRule>
    <cfRule type="expression" dxfId="24967" priority="11063" stopIfTrue="1">
      <formula>AND(AC13&gt;70000,AC13&lt;70004)</formula>
    </cfRule>
    <cfRule type="expression" dxfId="24966" priority="11064" stopIfTrue="1">
      <formula>AND(AC13&gt;=70010,AC13&lt;=76000)</formula>
    </cfRule>
    <cfRule type="expression" dxfId="24965" priority="11065">
      <formula>AND(AC13&gt;70000,AC13&lt;70004)</formula>
    </cfRule>
    <cfRule type="expression" dxfId="24964" priority="11066" stopIfTrue="1">
      <formula>OR(AND(AC13&gt;=10000,AC13&lt;=56999),AND(AC13&gt;=57000,AC13&lt;=57999))</formula>
    </cfRule>
    <cfRule type="expression" dxfId="24963" priority="11067" stopIfTrue="1">
      <formula>AND(AC13&gt;=8000,AC13&lt;=9999)</formula>
    </cfRule>
    <cfRule type="expression" dxfId="24962" priority="11068" stopIfTrue="1">
      <formula>AND(AC13&gt;=78100,AC13&lt;=78199)</formula>
    </cfRule>
    <cfRule type="expression" dxfId="24961" priority="11069" stopIfTrue="1">
      <formula>AND(AC13&gt;=92000,AC13&lt;=98999)</formula>
    </cfRule>
    <cfRule type="expression" dxfId="24960" priority="11070" stopIfTrue="1">
      <formula>AND(AC13&gt;=78100,AC13&lt;=78199)</formula>
    </cfRule>
    <cfRule type="expression" dxfId="24959" priority="11071" stopIfTrue="1">
      <formula>AND(AC13&gt;=91000,AC13&lt;=91999)</formula>
    </cfRule>
  </conditionalFormatting>
  <conditionalFormatting sqref="AF13">
    <cfRule type="expression" dxfId="24958" priority="11050">
      <formula>AND(AG13&gt;=79001,AG13&lt;79900)</formula>
    </cfRule>
    <cfRule type="expression" dxfId="24957" priority="11051" stopIfTrue="1">
      <formula>AND(AG13&gt;=70101,AG13&lt;=70301)</formula>
    </cfRule>
    <cfRule type="expression" dxfId="24956" priority="11052" stopIfTrue="1">
      <formula>AND(AG13&gt;70000,AG13&lt;70004)</formula>
    </cfRule>
    <cfRule type="expression" dxfId="24955" priority="11053" stopIfTrue="1">
      <formula>AND(AG13&gt;=70010,AG13&lt;=76000)</formula>
    </cfRule>
    <cfRule type="expression" dxfId="24954" priority="11054">
      <formula>AND(AG13&gt;70000,AG13&lt;70004)</formula>
    </cfRule>
    <cfRule type="expression" dxfId="24953" priority="11055" stopIfTrue="1">
      <formula>OR(AND(AG13&gt;=10000,AG13&lt;=56999),AND(AG13&gt;=57000,AG13&lt;=57999))</formula>
    </cfRule>
    <cfRule type="expression" dxfId="24952" priority="11056" stopIfTrue="1">
      <formula>AND(AG13&gt;=8000,AG13&lt;=9999)</formula>
    </cfRule>
    <cfRule type="expression" dxfId="24951" priority="11057" stopIfTrue="1">
      <formula>AND(AG13&gt;=78100,AG13&lt;=78199)</formula>
    </cfRule>
    <cfRule type="expression" dxfId="24950" priority="11058" stopIfTrue="1">
      <formula>AND(AG13&gt;=92000,AG13&lt;=98999)</formula>
    </cfRule>
    <cfRule type="expression" dxfId="24949" priority="11059" stopIfTrue="1">
      <formula>AND(AG13&gt;=78100,AG13&lt;=78199)</formula>
    </cfRule>
    <cfRule type="expression" dxfId="24948" priority="11060" stopIfTrue="1">
      <formula>AND(AG13&gt;=91000,AG13&lt;=91999)</formula>
    </cfRule>
  </conditionalFormatting>
  <conditionalFormatting sqref="AF13">
    <cfRule type="expression" dxfId="24947" priority="11039">
      <formula>AND(AG13&gt;=79001,AG13&lt;79900)</formula>
    </cfRule>
    <cfRule type="expression" dxfId="24946" priority="11040" stopIfTrue="1">
      <formula>AND(AG13&gt;=70101,AG13&lt;=70301)</formula>
    </cfRule>
    <cfRule type="expression" dxfId="24945" priority="11041" stopIfTrue="1">
      <formula>AND(AG13&gt;70000,AG13&lt;70004)</formula>
    </cfRule>
    <cfRule type="expression" dxfId="24944" priority="11042" stopIfTrue="1">
      <formula>AND(AG13&gt;=70010,AG13&lt;=76000)</formula>
    </cfRule>
    <cfRule type="expression" dxfId="24943" priority="11043">
      <formula>AND(AG13&gt;70000,AG13&lt;70004)</formula>
    </cfRule>
    <cfRule type="expression" dxfId="24942" priority="11044" stopIfTrue="1">
      <formula>OR(AND(AG13&gt;=10000,AG13&lt;=56999),AND(AG13&gt;=57000,AG13&lt;=57999))</formula>
    </cfRule>
    <cfRule type="expression" dxfId="24941" priority="11045" stopIfTrue="1">
      <formula>AND(AG13&gt;=8000,AG13&lt;=9999)</formula>
    </cfRule>
    <cfRule type="expression" dxfId="24940" priority="11046" stopIfTrue="1">
      <formula>AND(AG13&gt;=78100,AG13&lt;=78199)</formula>
    </cfRule>
    <cfRule type="expression" dxfId="24939" priority="11047" stopIfTrue="1">
      <formula>AND(AG13&gt;=92000,AG13&lt;=98999)</formula>
    </cfRule>
    <cfRule type="expression" dxfId="24938" priority="11048" stopIfTrue="1">
      <formula>AND(AG13&gt;=78100,AG13&lt;=78199)</formula>
    </cfRule>
    <cfRule type="expression" dxfId="24937" priority="11049" stopIfTrue="1">
      <formula>AND(AG13&gt;=91000,AG13&lt;=91999)</formula>
    </cfRule>
  </conditionalFormatting>
  <conditionalFormatting sqref="AF13">
    <cfRule type="expression" dxfId="24936" priority="11028">
      <formula>AND(AG13&gt;=79001,AG13&lt;79900)</formula>
    </cfRule>
    <cfRule type="expression" dxfId="24935" priority="11029" stopIfTrue="1">
      <formula>AND(AG13&gt;=70101,AG13&lt;=70301)</formula>
    </cfRule>
    <cfRule type="expression" dxfId="24934" priority="11030" stopIfTrue="1">
      <formula>AND(AG13&gt;70000,AG13&lt;70004)</formula>
    </cfRule>
    <cfRule type="expression" dxfId="24933" priority="11031" stopIfTrue="1">
      <formula>AND(AG13&gt;=70010,AG13&lt;=76000)</formula>
    </cfRule>
    <cfRule type="expression" dxfId="24932" priority="11032">
      <formula>AND(AG13&gt;70000,AG13&lt;70004)</formula>
    </cfRule>
    <cfRule type="expression" dxfId="24931" priority="11033" stopIfTrue="1">
      <formula>OR(AND(AG13&gt;=10000,AG13&lt;=56999),AND(AG13&gt;=57000,AG13&lt;=57999))</formula>
    </cfRule>
    <cfRule type="expression" dxfId="24930" priority="11034" stopIfTrue="1">
      <formula>AND(AG13&gt;=8000,AG13&lt;=9999)</formula>
    </cfRule>
    <cfRule type="expression" dxfId="24929" priority="11035" stopIfTrue="1">
      <formula>AND(AG13&gt;=78100,AG13&lt;=78199)</formula>
    </cfRule>
    <cfRule type="expression" dxfId="24928" priority="11036" stopIfTrue="1">
      <formula>AND(AG13&gt;=92000,AG13&lt;=98999)</formula>
    </cfRule>
    <cfRule type="expression" dxfId="24927" priority="11037" stopIfTrue="1">
      <formula>AND(AG13&gt;=78100,AG13&lt;=78199)</formula>
    </cfRule>
    <cfRule type="expression" dxfId="24926" priority="11038" stopIfTrue="1">
      <formula>AND(AG13&gt;=91000,AG13&lt;=91999)</formula>
    </cfRule>
  </conditionalFormatting>
  <conditionalFormatting sqref="AF13">
    <cfRule type="expression" dxfId="24925" priority="11017">
      <formula>AND(AG13&gt;=79001,AG13&lt;79900)</formula>
    </cfRule>
    <cfRule type="expression" dxfId="24924" priority="11018" stopIfTrue="1">
      <formula>AND(AG13&gt;=70101,AG13&lt;=70301)</formula>
    </cfRule>
    <cfRule type="expression" dxfId="24923" priority="11019" stopIfTrue="1">
      <formula>AND(AG13&gt;70000,AG13&lt;70004)</formula>
    </cfRule>
    <cfRule type="expression" dxfId="24922" priority="11020" stopIfTrue="1">
      <formula>AND(AG13&gt;=70010,AG13&lt;=76000)</formula>
    </cfRule>
    <cfRule type="expression" dxfId="24921" priority="11021">
      <formula>AND(AG13&gt;70000,AG13&lt;70004)</formula>
    </cfRule>
    <cfRule type="expression" dxfId="24920" priority="11022" stopIfTrue="1">
      <formula>OR(AND(AG13&gt;=10000,AG13&lt;=56999),AND(AG13&gt;=57000,AG13&lt;=57999))</formula>
    </cfRule>
    <cfRule type="expression" dxfId="24919" priority="11023" stopIfTrue="1">
      <formula>AND(AG13&gt;=8000,AG13&lt;=9999)</formula>
    </cfRule>
    <cfRule type="expression" dxfId="24918" priority="11024" stopIfTrue="1">
      <formula>AND(AG13&gt;=78100,AG13&lt;=78199)</formula>
    </cfRule>
    <cfRule type="expression" dxfId="24917" priority="11025" stopIfTrue="1">
      <formula>AND(AG13&gt;=92000,AG13&lt;=98999)</formula>
    </cfRule>
    <cfRule type="expression" dxfId="24916" priority="11026" stopIfTrue="1">
      <formula>AND(AG13&gt;=78100,AG13&lt;=78199)</formula>
    </cfRule>
    <cfRule type="expression" dxfId="24915" priority="11027" stopIfTrue="1">
      <formula>AND(AG13&gt;=91000,AG13&lt;=91999)</formula>
    </cfRule>
  </conditionalFormatting>
  <conditionalFormatting sqref="X16">
    <cfRule type="expression" dxfId="24914" priority="11006">
      <formula>AND(Y16&gt;=79001,Y16&lt;79900)</formula>
    </cfRule>
    <cfRule type="expression" dxfId="24913" priority="11007" stopIfTrue="1">
      <formula>AND(Y16&gt;=70101,Y16&lt;=70301)</formula>
    </cfRule>
    <cfRule type="expression" dxfId="24912" priority="11008" stopIfTrue="1">
      <formula>AND(Y16&gt;70000,Y16&lt;70004)</formula>
    </cfRule>
    <cfRule type="expression" dxfId="24911" priority="11009" stopIfTrue="1">
      <formula>AND(Y16&gt;=70010,Y16&lt;=76000)</formula>
    </cfRule>
    <cfRule type="expression" dxfId="24910" priority="11010">
      <formula>AND(Y16&gt;70000,Y16&lt;70004)</formula>
    </cfRule>
    <cfRule type="expression" dxfId="24909" priority="11011" stopIfTrue="1">
      <formula>OR(AND(Y16&gt;=10000,Y16&lt;=56999),AND(Y16&gt;=57000,Y16&lt;=57999))</formula>
    </cfRule>
    <cfRule type="expression" dxfId="24908" priority="11012" stopIfTrue="1">
      <formula>AND(Y16&gt;=8000,Y16&lt;=9999)</formula>
    </cfRule>
    <cfRule type="expression" dxfId="24907" priority="11013" stopIfTrue="1">
      <formula>AND(Y16&gt;=78100,Y16&lt;=78199)</formula>
    </cfRule>
    <cfRule type="expression" dxfId="24906" priority="11014" stopIfTrue="1">
      <formula>AND(Y16&gt;=92000,Y16&lt;=98999)</formula>
    </cfRule>
    <cfRule type="expression" dxfId="24905" priority="11015" stopIfTrue="1">
      <formula>AND(Y16&gt;=78100,Y16&lt;=78199)</formula>
    </cfRule>
    <cfRule type="expression" dxfId="24904" priority="11016" stopIfTrue="1">
      <formula>AND(Y16&gt;=91000,Y16&lt;=91999)</formula>
    </cfRule>
  </conditionalFormatting>
  <conditionalFormatting sqref="X16">
    <cfRule type="expression" dxfId="24903" priority="10995">
      <formula>AND(Y16&gt;=79001,Y16&lt;79900)</formula>
    </cfRule>
    <cfRule type="expression" dxfId="24902" priority="10996" stopIfTrue="1">
      <formula>AND(Y16&gt;=70101,Y16&lt;=70301)</formula>
    </cfRule>
    <cfRule type="expression" dxfId="24901" priority="10997" stopIfTrue="1">
      <formula>AND(Y16&gt;70000,Y16&lt;70004)</formula>
    </cfRule>
    <cfRule type="expression" dxfId="24900" priority="10998" stopIfTrue="1">
      <formula>AND(Y16&gt;=70010,Y16&lt;=76000)</formula>
    </cfRule>
    <cfRule type="expression" dxfId="24899" priority="10999">
      <formula>AND(Y16&gt;70000,Y16&lt;70004)</formula>
    </cfRule>
    <cfRule type="expression" dxfId="24898" priority="11000" stopIfTrue="1">
      <formula>OR(AND(Y16&gt;=10000,Y16&lt;=56999),AND(Y16&gt;=57000,Y16&lt;=57999))</formula>
    </cfRule>
    <cfRule type="expression" dxfId="24897" priority="11001" stopIfTrue="1">
      <formula>AND(Y16&gt;=8000,Y16&lt;=9999)</formula>
    </cfRule>
    <cfRule type="expression" dxfId="24896" priority="11002" stopIfTrue="1">
      <formula>AND(Y16&gt;=78100,Y16&lt;=78199)</formula>
    </cfRule>
    <cfRule type="expression" dxfId="24895" priority="11003" stopIfTrue="1">
      <formula>AND(Y16&gt;=92000,Y16&lt;=98999)</formula>
    </cfRule>
    <cfRule type="expression" dxfId="24894" priority="11004" stopIfTrue="1">
      <formula>AND(Y16&gt;=78100,Y16&lt;=78199)</formula>
    </cfRule>
    <cfRule type="expression" dxfId="24893" priority="11005" stopIfTrue="1">
      <formula>AND(Y16&gt;=91000,Y16&lt;=91999)</formula>
    </cfRule>
  </conditionalFormatting>
  <conditionalFormatting sqref="X16">
    <cfRule type="expression" dxfId="24892" priority="10984">
      <formula>AND(Y16&gt;=79001,Y16&lt;79900)</formula>
    </cfRule>
    <cfRule type="expression" dxfId="24891" priority="10985" stopIfTrue="1">
      <formula>AND(Y16&gt;=70101,Y16&lt;=70301)</formula>
    </cfRule>
    <cfRule type="expression" dxfId="24890" priority="10986" stopIfTrue="1">
      <formula>AND(Y16&gt;70000,Y16&lt;70004)</formula>
    </cfRule>
    <cfRule type="expression" dxfId="24889" priority="10987" stopIfTrue="1">
      <formula>AND(Y16&gt;=70010,Y16&lt;=76000)</formula>
    </cfRule>
    <cfRule type="expression" dxfId="24888" priority="10988">
      <formula>AND(Y16&gt;70000,Y16&lt;70004)</formula>
    </cfRule>
    <cfRule type="expression" dxfId="24887" priority="10989" stopIfTrue="1">
      <formula>OR(AND(Y16&gt;=10000,Y16&lt;=56999),AND(Y16&gt;=57000,Y16&lt;=57999))</formula>
    </cfRule>
    <cfRule type="expression" dxfId="24886" priority="10990" stopIfTrue="1">
      <formula>AND(Y16&gt;=8000,Y16&lt;=9999)</formula>
    </cfRule>
    <cfRule type="expression" dxfId="24885" priority="10991" stopIfTrue="1">
      <formula>AND(Y16&gt;=78100,Y16&lt;=78199)</formula>
    </cfRule>
    <cfRule type="expression" dxfId="24884" priority="10992" stopIfTrue="1">
      <formula>AND(Y16&gt;=92000,Y16&lt;=98999)</formula>
    </cfRule>
    <cfRule type="expression" dxfId="24883" priority="10993" stopIfTrue="1">
      <formula>AND(Y16&gt;=78100,Y16&lt;=78199)</formula>
    </cfRule>
    <cfRule type="expression" dxfId="24882" priority="10994" stopIfTrue="1">
      <formula>AND(Y16&gt;=91000,Y16&lt;=91999)</formula>
    </cfRule>
  </conditionalFormatting>
  <conditionalFormatting sqref="X16">
    <cfRule type="expression" dxfId="24881" priority="10973">
      <formula>AND(Y16&gt;=79001,Y16&lt;79900)</formula>
    </cfRule>
    <cfRule type="expression" dxfId="24880" priority="10974" stopIfTrue="1">
      <formula>AND(Y16&gt;=70101,Y16&lt;=70301)</formula>
    </cfRule>
    <cfRule type="expression" dxfId="24879" priority="10975" stopIfTrue="1">
      <formula>AND(Y16&gt;70000,Y16&lt;70004)</formula>
    </cfRule>
    <cfRule type="expression" dxfId="24878" priority="10976" stopIfTrue="1">
      <formula>AND(Y16&gt;=70010,Y16&lt;=76000)</formula>
    </cfRule>
    <cfRule type="expression" dxfId="24877" priority="10977">
      <formula>AND(Y16&gt;70000,Y16&lt;70004)</formula>
    </cfRule>
    <cfRule type="expression" dxfId="24876" priority="10978" stopIfTrue="1">
      <formula>OR(AND(Y16&gt;=10000,Y16&lt;=56999),AND(Y16&gt;=57000,Y16&lt;=57999))</formula>
    </cfRule>
    <cfRule type="expression" dxfId="24875" priority="10979" stopIfTrue="1">
      <formula>AND(Y16&gt;=8000,Y16&lt;=9999)</formula>
    </cfRule>
    <cfRule type="expression" dxfId="24874" priority="10980" stopIfTrue="1">
      <formula>AND(Y16&gt;=78100,Y16&lt;=78199)</formula>
    </cfRule>
    <cfRule type="expression" dxfId="24873" priority="10981" stopIfTrue="1">
      <formula>AND(Y16&gt;=92000,Y16&lt;=98999)</formula>
    </cfRule>
    <cfRule type="expression" dxfId="24872" priority="10982" stopIfTrue="1">
      <formula>AND(Y16&gt;=78100,Y16&lt;=78199)</formula>
    </cfRule>
    <cfRule type="expression" dxfId="24871" priority="10983" stopIfTrue="1">
      <formula>AND(Y16&gt;=91000,Y16&lt;=91999)</formula>
    </cfRule>
  </conditionalFormatting>
  <conditionalFormatting sqref="AB16">
    <cfRule type="expression" dxfId="24870" priority="10962">
      <formula>AND(AC16&gt;=79001,AC16&lt;79900)</formula>
    </cfRule>
    <cfRule type="expression" dxfId="24869" priority="10963" stopIfTrue="1">
      <formula>AND(AC16&gt;=70101,AC16&lt;=70301)</formula>
    </cfRule>
    <cfRule type="expression" dxfId="24868" priority="10964" stopIfTrue="1">
      <formula>AND(AC16&gt;70000,AC16&lt;70004)</formula>
    </cfRule>
    <cfRule type="expression" dxfId="24867" priority="10965" stopIfTrue="1">
      <formula>AND(AC16&gt;=70010,AC16&lt;=76000)</formula>
    </cfRule>
    <cfRule type="expression" dxfId="24866" priority="10966">
      <formula>AND(AC16&gt;70000,AC16&lt;70004)</formula>
    </cfRule>
    <cfRule type="expression" dxfId="24865" priority="10967" stopIfTrue="1">
      <formula>OR(AND(AC16&gt;=10000,AC16&lt;=56999),AND(AC16&gt;=57000,AC16&lt;=57999))</formula>
    </cfRule>
    <cfRule type="expression" dxfId="24864" priority="10968" stopIfTrue="1">
      <formula>AND(AC16&gt;=8000,AC16&lt;=9999)</formula>
    </cfRule>
    <cfRule type="expression" dxfId="24863" priority="10969" stopIfTrue="1">
      <formula>AND(AC16&gt;=78100,AC16&lt;=78199)</formula>
    </cfRule>
    <cfRule type="expression" dxfId="24862" priority="10970" stopIfTrue="1">
      <formula>AND(AC16&gt;=92000,AC16&lt;=98999)</formula>
    </cfRule>
    <cfRule type="expression" dxfId="24861" priority="10971" stopIfTrue="1">
      <formula>AND(AC16&gt;=78100,AC16&lt;=78199)</formula>
    </cfRule>
    <cfRule type="expression" dxfId="24860" priority="10972" stopIfTrue="1">
      <formula>AND(AC16&gt;=91000,AC16&lt;=91999)</formula>
    </cfRule>
  </conditionalFormatting>
  <conditionalFormatting sqref="AB16">
    <cfRule type="expression" dxfId="24859" priority="10951">
      <formula>AND(AC16&gt;=79001,AC16&lt;79900)</formula>
    </cfRule>
    <cfRule type="expression" dxfId="24858" priority="10952" stopIfTrue="1">
      <formula>AND(AC16&gt;=70101,AC16&lt;=70301)</formula>
    </cfRule>
    <cfRule type="expression" dxfId="24857" priority="10953" stopIfTrue="1">
      <formula>AND(AC16&gt;70000,AC16&lt;70004)</formula>
    </cfRule>
    <cfRule type="expression" dxfId="24856" priority="10954" stopIfTrue="1">
      <formula>AND(AC16&gt;=70010,AC16&lt;=76000)</formula>
    </cfRule>
    <cfRule type="expression" dxfId="24855" priority="10955">
      <formula>AND(AC16&gt;70000,AC16&lt;70004)</formula>
    </cfRule>
    <cfRule type="expression" dxfId="24854" priority="10956" stopIfTrue="1">
      <formula>OR(AND(AC16&gt;=10000,AC16&lt;=56999),AND(AC16&gt;=57000,AC16&lt;=57999))</formula>
    </cfRule>
    <cfRule type="expression" dxfId="24853" priority="10957" stopIfTrue="1">
      <formula>AND(AC16&gt;=8000,AC16&lt;=9999)</formula>
    </cfRule>
    <cfRule type="expression" dxfId="24852" priority="10958" stopIfTrue="1">
      <formula>AND(AC16&gt;=78100,AC16&lt;=78199)</formula>
    </cfRule>
    <cfRule type="expression" dxfId="24851" priority="10959" stopIfTrue="1">
      <formula>AND(AC16&gt;=92000,AC16&lt;=98999)</formula>
    </cfRule>
    <cfRule type="expression" dxfId="24850" priority="10960" stopIfTrue="1">
      <formula>AND(AC16&gt;=78100,AC16&lt;=78199)</formula>
    </cfRule>
    <cfRule type="expression" dxfId="24849" priority="10961" stopIfTrue="1">
      <formula>AND(AC16&gt;=91000,AC16&lt;=91999)</formula>
    </cfRule>
  </conditionalFormatting>
  <conditionalFormatting sqref="AB16">
    <cfRule type="expression" dxfId="24848" priority="10940">
      <formula>AND(AC16&gt;=79001,AC16&lt;79900)</formula>
    </cfRule>
    <cfRule type="expression" dxfId="24847" priority="10941" stopIfTrue="1">
      <formula>AND(AC16&gt;=70101,AC16&lt;=70301)</formula>
    </cfRule>
    <cfRule type="expression" dxfId="24846" priority="10942" stopIfTrue="1">
      <formula>AND(AC16&gt;70000,AC16&lt;70004)</formula>
    </cfRule>
    <cfRule type="expression" dxfId="24845" priority="10943" stopIfTrue="1">
      <formula>AND(AC16&gt;=70010,AC16&lt;=76000)</formula>
    </cfRule>
    <cfRule type="expression" dxfId="24844" priority="10944">
      <formula>AND(AC16&gt;70000,AC16&lt;70004)</formula>
    </cfRule>
    <cfRule type="expression" dxfId="24843" priority="10945" stopIfTrue="1">
      <formula>OR(AND(AC16&gt;=10000,AC16&lt;=56999),AND(AC16&gt;=57000,AC16&lt;=57999))</formula>
    </cfRule>
    <cfRule type="expression" dxfId="24842" priority="10946" stopIfTrue="1">
      <formula>AND(AC16&gt;=8000,AC16&lt;=9999)</formula>
    </cfRule>
    <cfRule type="expression" dxfId="24841" priority="10947" stopIfTrue="1">
      <formula>AND(AC16&gt;=78100,AC16&lt;=78199)</formula>
    </cfRule>
    <cfRule type="expression" dxfId="24840" priority="10948" stopIfTrue="1">
      <formula>AND(AC16&gt;=92000,AC16&lt;=98999)</formula>
    </cfRule>
    <cfRule type="expression" dxfId="24839" priority="10949" stopIfTrue="1">
      <formula>AND(AC16&gt;=78100,AC16&lt;=78199)</formula>
    </cfRule>
    <cfRule type="expression" dxfId="24838" priority="10950" stopIfTrue="1">
      <formula>AND(AC16&gt;=91000,AC16&lt;=91999)</formula>
    </cfRule>
  </conditionalFormatting>
  <conditionalFormatting sqref="AB16">
    <cfRule type="expression" dxfId="24837" priority="10929">
      <formula>AND(AC16&gt;=79001,AC16&lt;79900)</formula>
    </cfRule>
    <cfRule type="expression" dxfId="24836" priority="10930" stopIfTrue="1">
      <formula>AND(AC16&gt;=70101,AC16&lt;=70301)</formula>
    </cfRule>
    <cfRule type="expression" dxfId="24835" priority="10931" stopIfTrue="1">
      <formula>AND(AC16&gt;70000,AC16&lt;70004)</formula>
    </cfRule>
    <cfRule type="expression" dxfId="24834" priority="10932" stopIfTrue="1">
      <formula>AND(AC16&gt;=70010,AC16&lt;=76000)</formula>
    </cfRule>
    <cfRule type="expression" dxfId="24833" priority="10933">
      <formula>AND(AC16&gt;70000,AC16&lt;70004)</formula>
    </cfRule>
    <cfRule type="expression" dxfId="24832" priority="10934" stopIfTrue="1">
      <formula>OR(AND(AC16&gt;=10000,AC16&lt;=56999),AND(AC16&gt;=57000,AC16&lt;=57999))</formula>
    </cfRule>
    <cfRule type="expression" dxfId="24831" priority="10935" stopIfTrue="1">
      <formula>AND(AC16&gt;=8000,AC16&lt;=9999)</formula>
    </cfRule>
    <cfRule type="expression" dxfId="24830" priority="10936" stopIfTrue="1">
      <formula>AND(AC16&gt;=78100,AC16&lt;=78199)</formula>
    </cfRule>
    <cfRule type="expression" dxfId="24829" priority="10937" stopIfTrue="1">
      <formula>AND(AC16&gt;=92000,AC16&lt;=98999)</formula>
    </cfRule>
    <cfRule type="expression" dxfId="24828" priority="10938" stopIfTrue="1">
      <formula>AND(AC16&gt;=78100,AC16&lt;=78199)</formula>
    </cfRule>
    <cfRule type="expression" dxfId="24827" priority="10939" stopIfTrue="1">
      <formula>AND(AC16&gt;=91000,AC16&lt;=91999)</formula>
    </cfRule>
  </conditionalFormatting>
  <conditionalFormatting sqref="AF16">
    <cfRule type="expression" dxfId="24826" priority="10918">
      <formula>AND(AG16&gt;=79001,AG16&lt;79900)</formula>
    </cfRule>
    <cfRule type="expression" dxfId="24825" priority="10919" stopIfTrue="1">
      <formula>AND(AG16&gt;=70101,AG16&lt;=70301)</formula>
    </cfRule>
    <cfRule type="expression" dxfId="24824" priority="10920" stopIfTrue="1">
      <formula>AND(AG16&gt;70000,AG16&lt;70004)</formula>
    </cfRule>
    <cfRule type="expression" dxfId="24823" priority="10921" stopIfTrue="1">
      <formula>AND(AG16&gt;=70010,AG16&lt;=76000)</formula>
    </cfRule>
    <cfRule type="expression" dxfId="24822" priority="10922">
      <formula>AND(AG16&gt;70000,AG16&lt;70004)</formula>
    </cfRule>
    <cfRule type="expression" dxfId="24821" priority="10923" stopIfTrue="1">
      <formula>OR(AND(AG16&gt;=10000,AG16&lt;=56999),AND(AG16&gt;=57000,AG16&lt;=57999))</formula>
    </cfRule>
    <cfRule type="expression" dxfId="24820" priority="10924" stopIfTrue="1">
      <formula>AND(AG16&gt;=8000,AG16&lt;=9999)</formula>
    </cfRule>
    <cfRule type="expression" dxfId="24819" priority="10925" stopIfTrue="1">
      <formula>AND(AG16&gt;=78100,AG16&lt;=78199)</formula>
    </cfRule>
    <cfRule type="expression" dxfId="24818" priority="10926" stopIfTrue="1">
      <formula>AND(AG16&gt;=92000,AG16&lt;=98999)</formula>
    </cfRule>
    <cfRule type="expression" dxfId="24817" priority="10927" stopIfTrue="1">
      <formula>AND(AG16&gt;=78100,AG16&lt;=78199)</formula>
    </cfRule>
    <cfRule type="expression" dxfId="24816" priority="10928" stopIfTrue="1">
      <formula>AND(AG16&gt;=91000,AG16&lt;=91999)</formula>
    </cfRule>
  </conditionalFormatting>
  <conditionalFormatting sqref="AF16">
    <cfRule type="expression" dxfId="24815" priority="10907">
      <formula>AND(AG16&gt;=79001,AG16&lt;79900)</formula>
    </cfRule>
    <cfRule type="expression" dxfId="24814" priority="10908" stopIfTrue="1">
      <formula>AND(AG16&gt;=70101,AG16&lt;=70301)</formula>
    </cfRule>
    <cfRule type="expression" dxfId="24813" priority="10909" stopIfTrue="1">
      <formula>AND(AG16&gt;70000,AG16&lt;70004)</formula>
    </cfRule>
    <cfRule type="expression" dxfId="24812" priority="10910" stopIfTrue="1">
      <formula>AND(AG16&gt;=70010,AG16&lt;=76000)</formula>
    </cfRule>
    <cfRule type="expression" dxfId="24811" priority="10911">
      <formula>AND(AG16&gt;70000,AG16&lt;70004)</formula>
    </cfRule>
    <cfRule type="expression" dxfId="24810" priority="10912" stopIfTrue="1">
      <formula>OR(AND(AG16&gt;=10000,AG16&lt;=56999),AND(AG16&gt;=57000,AG16&lt;=57999))</formula>
    </cfRule>
    <cfRule type="expression" dxfId="24809" priority="10913" stopIfTrue="1">
      <formula>AND(AG16&gt;=8000,AG16&lt;=9999)</formula>
    </cfRule>
    <cfRule type="expression" dxfId="24808" priority="10914" stopIfTrue="1">
      <formula>AND(AG16&gt;=78100,AG16&lt;=78199)</formula>
    </cfRule>
    <cfRule type="expression" dxfId="24807" priority="10915" stopIfTrue="1">
      <formula>AND(AG16&gt;=92000,AG16&lt;=98999)</formula>
    </cfRule>
    <cfRule type="expression" dxfId="24806" priority="10916" stopIfTrue="1">
      <formula>AND(AG16&gt;=78100,AG16&lt;=78199)</formula>
    </cfRule>
    <cfRule type="expression" dxfId="24805" priority="10917" stopIfTrue="1">
      <formula>AND(AG16&gt;=91000,AG16&lt;=91999)</formula>
    </cfRule>
  </conditionalFormatting>
  <conditionalFormatting sqref="AF16">
    <cfRule type="expression" dxfId="24804" priority="10896">
      <formula>AND(AG16&gt;=79001,AG16&lt;79900)</formula>
    </cfRule>
    <cfRule type="expression" dxfId="24803" priority="10897" stopIfTrue="1">
      <formula>AND(AG16&gt;=70101,AG16&lt;=70301)</formula>
    </cfRule>
    <cfRule type="expression" dxfId="24802" priority="10898" stopIfTrue="1">
      <formula>AND(AG16&gt;70000,AG16&lt;70004)</formula>
    </cfRule>
    <cfRule type="expression" dxfId="24801" priority="10899" stopIfTrue="1">
      <formula>AND(AG16&gt;=70010,AG16&lt;=76000)</formula>
    </cfRule>
    <cfRule type="expression" dxfId="24800" priority="10900">
      <formula>AND(AG16&gt;70000,AG16&lt;70004)</formula>
    </cfRule>
    <cfRule type="expression" dxfId="24799" priority="10901" stopIfTrue="1">
      <formula>OR(AND(AG16&gt;=10000,AG16&lt;=56999),AND(AG16&gt;=57000,AG16&lt;=57999))</formula>
    </cfRule>
    <cfRule type="expression" dxfId="24798" priority="10902" stopIfTrue="1">
      <formula>AND(AG16&gt;=8000,AG16&lt;=9999)</formula>
    </cfRule>
    <cfRule type="expression" dxfId="24797" priority="10903" stopIfTrue="1">
      <formula>AND(AG16&gt;=78100,AG16&lt;=78199)</formula>
    </cfRule>
    <cfRule type="expression" dxfId="24796" priority="10904" stopIfTrue="1">
      <formula>AND(AG16&gt;=92000,AG16&lt;=98999)</formula>
    </cfRule>
    <cfRule type="expression" dxfId="24795" priority="10905" stopIfTrue="1">
      <formula>AND(AG16&gt;=78100,AG16&lt;=78199)</formula>
    </cfRule>
    <cfRule type="expression" dxfId="24794" priority="10906" stopIfTrue="1">
      <formula>AND(AG16&gt;=91000,AG16&lt;=91999)</formula>
    </cfRule>
  </conditionalFormatting>
  <conditionalFormatting sqref="AF16">
    <cfRule type="expression" dxfId="24793" priority="10885">
      <formula>AND(AG16&gt;=79001,AG16&lt;79900)</formula>
    </cfRule>
    <cfRule type="expression" dxfId="24792" priority="10886" stopIfTrue="1">
      <formula>AND(AG16&gt;=70101,AG16&lt;=70301)</formula>
    </cfRule>
    <cfRule type="expression" dxfId="24791" priority="10887" stopIfTrue="1">
      <formula>AND(AG16&gt;70000,AG16&lt;70004)</formula>
    </cfRule>
    <cfRule type="expression" dxfId="24790" priority="10888" stopIfTrue="1">
      <formula>AND(AG16&gt;=70010,AG16&lt;=76000)</formula>
    </cfRule>
    <cfRule type="expression" dxfId="24789" priority="10889">
      <formula>AND(AG16&gt;70000,AG16&lt;70004)</formula>
    </cfRule>
    <cfRule type="expression" dxfId="24788" priority="10890" stopIfTrue="1">
      <formula>OR(AND(AG16&gt;=10000,AG16&lt;=56999),AND(AG16&gt;=57000,AG16&lt;=57999))</formula>
    </cfRule>
    <cfRule type="expression" dxfId="24787" priority="10891" stopIfTrue="1">
      <formula>AND(AG16&gt;=8000,AG16&lt;=9999)</formula>
    </cfRule>
    <cfRule type="expression" dxfId="24786" priority="10892" stopIfTrue="1">
      <formula>AND(AG16&gt;=78100,AG16&lt;=78199)</formula>
    </cfRule>
    <cfRule type="expression" dxfId="24785" priority="10893" stopIfTrue="1">
      <formula>AND(AG16&gt;=92000,AG16&lt;=98999)</formula>
    </cfRule>
    <cfRule type="expression" dxfId="24784" priority="10894" stopIfTrue="1">
      <formula>AND(AG16&gt;=78100,AG16&lt;=78199)</formula>
    </cfRule>
    <cfRule type="expression" dxfId="24783" priority="10895" stopIfTrue="1">
      <formula>AND(AG16&gt;=91000,AG16&lt;=91999)</formula>
    </cfRule>
  </conditionalFormatting>
  <conditionalFormatting sqref="T16">
    <cfRule type="expression" dxfId="24782" priority="10874">
      <formula>AND(U16&gt;=79001,U16&lt;79900)</formula>
    </cfRule>
    <cfRule type="expression" dxfId="24781" priority="10875" stopIfTrue="1">
      <formula>AND(U16&gt;=70101,U16&lt;=70301)</formula>
    </cfRule>
    <cfRule type="expression" dxfId="24780" priority="10876" stopIfTrue="1">
      <formula>AND(U16&gt;70000,U16&lt;70004)</formula>
    </cfRule>
    <cfRule type="expression" dxfId="24779" priority="10877" stopIfTrue="1">
      <formula>AND(U16&gt;=70010,U16&lt;=76000)</formula>
    </cfRule>
    <cfRule type="expression" dxfId="24778" priority="10878">
      <formula>AND(U16&gt;70000,U16&lt;70004)</formula>
    </cfRule>
    <cfRule type="expression" dxfId="24777" priority="10879" stopIfTrue="1">
      <formula>OR(AND(U16&gt;=10000,U16&lt;=56999),AND(U16&gt;=57000,U16&lt;=57999))</formula>
    </cfRule>
    <cfRule type="expression" dxfId="24776" priority="10880" stopIfTrue="1">
      <formula>AND(U16&gt;=8000,U16&lt;=9999)</formula>
    </cfRule>
    <cfRule type="expression" dxfId="24775" priority="10881" stopIfTrue="1">
      <formula>AND(U16&gt;=78100,U16&lt;=78199)</formula>
    </cfRule>
    <cfRule type="expression" dxfId="24774" priority="10882" stopIfTrue="1">
      <formula>AND(U16&gt;=92000,U16&lt;=98999)</formula>
    </cfRule>
    <cfRule type="expression" dxfId="24773" priority="10883" stopIfTrue="1">
      <formula>AND(U16&gt;=78100,U16&lt;=78199)</formula>
    </cfRule>
    <cfRule type="expression" dxfId="24772" priority="10884" stopIfTrue="1">
      <formula>AND(U16&gt;=91000,U16&lt;=91999)</formula>
    </cfRule>
  </conditionalFormatting>
  <conditionalFormatting sqref="T16">
    <cfRule type="expression" dxfId="24771" priority="10863">
      <formula>AND(U16&gt;=79001,U16&lt;79900)</formula>
    </cfRule>
    <cfRule type="expression" dxfId="24770" priority="10864" stopIfTrue="1">
      <formula>AND(U16&gt;=70101,U16&lt;=70301)</formula>
    </cfRule>
    <cfRule type="expression" dxfId="24769" priority="10865" stopIfTrue="1">
      <formula>AND(U16&gt;70000,U16&lt;70004)</formula>
    </cfRule>
    <cfRule type="expression" dxfId="24768" priority="10866" stopIfTrue="1">
      <formula>AND(U16&gt;=70010,U16&lt;=76000)</formula>
    </cfRule>
    <cfRule type="expression" dxfId="24767" priority="10867">
      <formula>AND(U16&gt;70000,U16&lt;70004)</formula>
    </cfRule>
    <cfRule type="expression" dxfId="24766" priority="10868" stopIfTrue="1">
      <formula>OR(AND(U16&gt;=10000,U16&lt;=56999),AND(U16&gt;=57000,U16&lt;=57999))</formula>
    </cfRule>
    <cfRule type="expression" dxfId="24765" priority="10869" stopIfTrue="1">
      <formula>AND(U16&gt;=8000,U16&lt;=9999)</formula>
    </cfRule>
    <cfRule type="expression" dxfId="24764" priority="10870" stopIfTrue="1">
      <formula>AND(U16&gt;=78100,U16&lt;=78199)</formula>
    </cfRule>
    <cfRule type="expression" dxfId="24763" priority="10871" stopIfTrue="1">
      <formula>AND(U16&gt;=92000,U16&lt;=98999)</formula>
    </cfRule>
    <cfRule type="expression" dxfId="24762" priority="10872" stopIfTrue="1">
      <formula>AND(U16&gt;=78100,U16&lt;=78199)</formula>
    </cfRule>
    <cfRule type="expression" dxfId="24761" priority="10873" stopIfTrue="1">
      <formula>AND(U16&gt;=91000,U16&lt;=91999)</formula>
    </cfRule>
  </conditionalFormatting>
  <conditionalFormatting sqref="T16">
    <cfRule type="expression" dxfId="24760" priority="10852">
      <formula>AND(U16&gt;=79001,U16&lt;79900)</formula>
    </cfRule>
    <cfRule type="expression" dxfId="24759" priority="10853" stopIfTrue="1">
      <formula>AND(U16&gt;=70101,U16&lt;=70301)</formula>
    </cfRule>
    <cfRule type="expression" dxfId="24758" priority="10854" stopIfTrue="1">
      <formula>AND(U16&gt;70000,U16&lt;70004)</formula>
    </cfRule>
    <cfRule type="expression" dxfId="24757" priority="10855" stopIfTrue="1">
      <formula>AND(U16&gt;=70010,U16&lt;=76000)</formula>
    </cfRule>
    <cfRule type="expression" dxfId="24756" priority="10856">
      <formula>AND(U16&gt;70000,U16&lt;70004)</formula>
    </cfRule>
    <cfRule type="expression" dxfId="24755" priority="10857" stopIfTrue="1">
      <formula>OR(AND(U16&gt;=10000,U16&lt;=56999),AND(U16&gt;=57000,U16&lt;=57999))</formula>
    </cfRule>
    <cfRule type="expression" dxfId="24754" priority="10858" stopIfTrue="1">
      <formula>AND(U16&gt;=8000,U16&lt;=9999)</formula>
    </cfRule>
    <cfRule type="expression" dxfId="24753" priority="10859" stopIfTrue="1">
      <formula>AND(U16&gt;=78100,U16&lt;=78199)</formula>
    </cfRule>
    <cfRule type="expression" dxfId="24752" priority="10860" stopIfTrue="1">
      <formula>AND(U16&gt;=92000,U16&lt;=98999)</formula>
    </cfRule>
    <cfRule type="expression" dxfId="24751" priority="10861" stopIfTrue="1">
      <formula>AND(U16&gt;=78100,U16&lt;=78199)</formula>
    </cfRule>
    <cfRule type="expression" dxfId="24750" priority="10862" stopIfTrue="1">
      <formula>AND(U16&gt;=91000,U16&lt;=91999)</formula>
    </cfRule>
  </conditionalFormatting>
  <conditionalFormatting sqref="T16">
    <cfRule type="expression" dxfId="24749" priority="10841">
      <formula>AND(U16&gt;=79001,U16&lt;79900)</formula>
    </cfRule>
    <cfRule type="expression" dxfId="24748" priority="10842" stopIfTrue="1">
      <formula>AND(U16&gt;=70101,U16&lt;=70301)</formula>
    </cfRule>
    <cfRule type="expression" dxfId="24747" priority="10843" stopIfTrue="1">
      <formula>AND(U16&gt;70000,U16&lt;70004)</formula>
    </cfRule>
    <cfRule type="expression" dxfId="24746" priority="10844" stopIfTrue="1">
      <formula>AND(U16&gt;=70010,U16&lt;=76000)</formula>
    </cfRule>
    <cfRule type="expression" dxfId="24745" priority="10845">
      <formula>AND(U16&gt;70000,U16&lt;70004)</formula>
    </cfRule>
    <cfRule type="expression" dxfId="24744" priority="10846" stopIfTrue="1">
      <formula>OR(AND(U16&gt;=10000,U16&lt;=56999),AND(U16&gt;=57000,U16&lt;=57999))</formula>
    </cfRule>
    <cfRule type="expression" dxfId="24743" priority="10847" stopIfTrue="1">
      <formula>AND(U16&gt;=8000,U16&lt;=9999)</formula>
    </cfRule>
    <cfRule type="expression" dxfId="24742" priority="10848" stopIfTrue="1">
      <formula>AND(U16&gt;=78100,U16&lt;=78199)</formula>
    </cfRule>
    <cfRule type="expression" dxfId="24741" priority="10849" stopIfTrue="1">
      <formula>AND(U16&gt;=92000,U16&lt;=98999)</formula>
    </cfRule>
    <cfRule type="expression" dxfId="24740" priority="10850" stopIfTrue="1">
      <formula>AND(U16&gt;=78100,U16&lt;=78199)</formula>
    </cfRule>
    <cfRule type="expression" dxfId="24739" priority="10851" stopIfTrue="1">
      <formula>AND(U16&gt;=91000,U16&lt;=91999)</formula>
    </cfRule>
  </conditionalFormatting>
  <conditionalFormatting sqref="X17">
    <cfRule type="expression" dxfId="24738" priority="10830">
      <formula>AND(Y17&gt;=79001,Y17&lt;79900)</formula>
    </cfRule>
    <cfRule type="expression" dxfId="24737" priority="10831" stopIfTrue="1">
      <formula>AND(Y17&gt;=70101,Y17&lt;=70301)</formula>
    </cfRule>
    <cfRule type="expression" dxfId="24736" priority="10832" stopIfTrue="1">
      <formula>AND(Y17&gt;70000,Y17&lt;70004)</formula>
    </cfRule>
    <cfRule type="expression" dxfId="24735" priority="10833" stopIfTrue="1">
      <formula>AND(Y17&gt;=70010,Y17&lt;=76000)</formula>
    </cfRule>
    <cfRule type="expression" dxfId="24734" priority="10834">
      <formula>AND(Y17&gt;70000,Y17&lt;70004)</formula>
    </cfRule>
    <cfRule type="expression" dxfId="24733" priority="10835" stopIfTrue="1">
      <formula>OR(AND(Y17&gt;=10000,Y17&lt;=56999),AND(Y17&gt;=57000,Y17&lt;=57999))</formula>
    </cfRule>
    <cfRule type="expression" dxfId="24732" priority="10836" stopIfTrue="1">
      <formula>AND(Y17&gt;=8000,Y17&lt;=9999)</formula>
    </cfRule>
    <cfRule type="expression" dxfId="24731" priority="10837" stopIfTrue="1">
      <formula>AND(Y17&gt;=78100,Y17&lt;=78199)</formula>
    </cfRule>
    <cfRule type="expression" dxfId="24730" priority="10838" stopIfTrue="1">
      <formula>AND(Y17&gt;=92000,Y17&lt;=98999)</formula>
    </cfRule>
    <cfRule type="expression" dxfId="24729" priority="10839" stopIfTrue="1">
      <formula>AND(Y17&gt;=78100,Y17&lt;=78199)</formula>
    </cfRule>
    <cfRule type="expression" dxfId="24728" priority="10840" stopIfTrue="1">
      <formula>AND(Y17&gt;=91000,Y17&lt;=91999)</formula>
    </cfRule>
  </conditionalFormatting>
  <conditionalFormatting sqref="X17">
    <cfRule type="expression" dxfId="24727" priority="10819">
      <formula>AND(Y17&gt;=79001,Y17&lt;79900)</formula>
    </cfRule>
    <cfRule type="expression" dxfId="24726" priority="10820" stopIfTrue="1">
      <formula>AND(Y17&gt;=70101,Y17&lt;=70301)</formula>
    </cfRule>
    <cfRule type="expression" dxfId="24725" priority="10821" stopIfTrue="1">
      <formula>AND(Y17&gt;70000,Y17&lt;70004)</formula>
    </cfRule>
    <cfRule type="expression" dxfId="24724" priority="10822" stopIfTrue="1">
      <formula>AND(Y17&gt;=70010,Y17&lt;=76000)</formula>
    </cfRule>
    <cfRule type="expression" dxfId="24723" priority="10823">
      <formula>AND(Y17&gt;70000,Y17&lt;70004)</formula>
    </cfRule>
    <cfRule type="expression" dxfId="24722" priority="10824" stopIfTrue="1">
      <formula>OR(AND(Y17&gt;=10000,Y17&lt;=56999),AND(Y17&gt;=57000,Y17&lt;=57999))</formula>
    </cfRule>
    <cfRule type="expression" dxfId="24721" priority="10825" stopIfTrue="1">
      <formula>AND(Y17&gt;=8000,Y17&lt;=9999)</formula>
    </cfRule>
    <cfRule type="expression" dxfId="24720" priority="10826" stopIfTrue="1">
      <formula>AND(Y17&gt;=78100,Y17&lt;=78199)</formula>
    </cfRule>
    <cfRule type="expression" dxfId="24719" priority="10827" stopIfTrue="1">
      <formula>AND(Y17&gt;=92000,Y17&lt;=98999)</formula>
    </cfRule>
    <cfRule type="expression" dxfId="24718" priority="10828" stopIfTrue="1">
      <formula>AND(Y17&gt;=78100,Y17&lt;=78199)</formula>
    </cfRule>
    <cfRule type="expression" dxfId="24717" priority="10829" stopIfTrue="1">
      <formula>AND(Y17&gt;=91000,Y17&lt;=91999)</formula>
    </cfRule>
  </conditionalFormatting>
  <conditionalFormatting sqref="X17">
    <cfRule type="expression" dxfId="24716" priority="10808">
      <formula>AND(Y17&gt;=79001,Y17&lt;79900)</formula>
    </cfRule>
    <cfRule type="expression" dxfId="24715" priority="10809" stopIfTrue="1">
      <formula>AND(Y17&gt;=70101,Y17&lt;=70301)</formula>
    </cfRule>
    <cfRule type="expression" dxfId="24714" priority="10810" stopIfTrue="1">
      <formula>AND(Y17&gt;70000,Y17&lt;70004)</formula>
    </cfRule>
    <cfRule type="expression" dxfId="24713" priority="10811" stopIfTrue="1">
      <formula>AND(Y17&gt;=70010,Y17&lt;=76000)</formula>
    </cfRule>
    <cfRule type="expression" dxfId="24712" priority="10812">
      <formula>AND(Y17&gt;70000,Y17&lt;70004)</formula>
    </cfRule>
    <cfRule type="expression" dxfId="24711" priority="10813" stopIfTrue="1">
      <formula>OR(AND(Y17&gt;=10000,Y17&lt;=56999),AND(Y17&gt;=57000,Y17&lt;=57999))</formula>
    </cfRule>
    <cfRule type="expression" dxfId="24710" priority="10814" stopIfTrue="1">
      <formula>AND(Y17&gt;=8000,Y17&lt;=9999)</formula>
    </cfRule>
    <cfRule type="expression" dxfId="24709" priority="10815" stopIfTrue="1">
      <formula>AND(Y17&gt;=78100,Y17&lt;=78199)</formula>
    </cfRule>
    <cfRule type="expression" dxfId="24708" priority="10816" stopIfTrue="1">
      <formula>AND(Y17&gt;=92000,Y17&lt;=98999)</formula>
    </cfRule>
    <cfRule type="expression" dxfId="24707" priority="10817" stopIfTrue="1">
      <formula>AND(Y17&gt;=78100,Y17&lt;=78199)</formula>
    </cfRule>
    <cfRule type="expression" dxfId="24706" priority="10818" stopIfTrue="1">
      <formula>AND(Y17&gt;=91000,Y17&lt;=91999)</formula>
    </cfRule>
  </conditionalFormatting>
  <conditionalFormatting sqref="X17">
    <cfRule type="expression" dxfId="24705" priority="10797">
      <formula>AND(Y17&gt;=79001,Y17&lt;79900)</formula>
    </cfRule>
    <cfRule type="expression" dxfId="24704" priority="10798" stopIfTrue="1">
      <formula>AND(Y17&gt;=70101,Y17&lt;=70301)</formula>
    </cfRule>
    <cfRule type="expression" dxfId="24703" priority="10799" stopIfTrue="1">
      <formula>AND(Y17&gt;70000,Y17&lt;70004)</formula>
    </cfRule>
    <cfRule type="expression" dxfId="24702" priority="10800" stopIfTrue="1">
      <formula>AND(Y17&gt;=70010,Y17&lt;=76000)</formula>
    </cfRule>
    <cfRule type="expression" dxfId="24701" priority="10801">
      <formula>AND(Y17&gt;70000,Y17&lt;70004)</formula>
    </cfRule>
    <cfRule type="expression" dxfId="24700" priority="10802" stopIfTrue="1">
      <formula>OR(AND(Y17&gt;=10000,Y17&lt;=56999),AND(Y17&gt;=57000,Y17&lt;=57999))</formula>
    </cfRule>
    <cfRule type="expression" dxfId="24699" priority="10803" stopIfTrue="1">
      <formula>AND(Y17&gt;=8000,Y17&lt;=9999)</formula>
    </cfRule>
    <cfRule type="expression" dxfId="24698" priority="10804" stopIfTrue="1">
      <formula>AND(Y17&gt;=78100,Y17&lt;=78199)</formula>
    </cfRule>
    <cfRule type="expression" dxfId="24697" priority="10805" stopIfTrue="1">
      <formula>AND(Y17&gt;=92000,Y17&lt;=98999)</formula>
    </cfRule>
    <cfRule type="expression" dxfId="24696" priority="10806" stopIfTrue="1">
      <formula>AND(Y17&gt;=78100,Y17&lt;=78199)</formula>
    </cfRule>
    <cfRule type="expression" dxfId="24695" priority="10807" stopIfTrue="1">
      <formula>AND(Y17&gt;=91000,Y17&lt;=91999)</formula>
    </cfRule>
  </conditionalFormatting>
  <conditionalFormatting sqref="AB17">
    <cfRule type="expression" dxfId="24694" priority="10786">
      <formula>AND(AC17&gt;=79001,AC17&lt;79900)</formula>
    </cfRule>
    <cfRule type="expression" dxfId="24693" priority="10787" stopIfTrue="1">
      <formula>AND(AC17&gt;=70101,AC17&lt;=70301)</formula>
    </cfRule>
    <cfRule type="expression" dxfId="24692" priority="10788" stopIfTrue="1">
      <formula>AND(AC17&gt;70000,AC17&lt;70004)</formula>
    </cfRule>
    <cfRule type="expression" dxfId="24691" priority="10789" stopIfTrue="1">
      <formula>AND(AC17&gt;=70010,AC17&lt;=76000)</formula>
    </cfRule>
    <cfRule type="expression" dxfId="24690" priority="10790">
      <formula>AND(AC17&gt;70000,AC17&lt;70004)</formula>
    </cfRule>
    <cfRule type="expression" dxfId="24689" priority="10791" stopIfTrue="1">
      <formula>OR(AND(AC17&gt;=10000,AC17&lt;=56999),AND(AC17&gt;=57000,AC17&lt;=57999))</formula>
    </cfRule>
    <cfRule type="expression" dxfId="24688" priority="10792" stopIfTrue="1">
      <formula>AND(AC17&gt;=8000,AC17&lt;=9999)</formula>
    </cfRule>
    <cfRule type="expression" dxfId="24687" priority="10793" stopIfTrue="1">
      <formula>AND(AC17&gt;=78100,AC17&lt;=78199)</formula>
    </cfRule>
    <cfRule type="expression" dxfId="24686" priority="10794" stopIfTrue="1">
      <formula>AND(AC17&gt;=92000,AC17&lt;=98999)</formula>
    </cfRule>
    <cfRule type="expression" dxfId="24685" priority="10795" stopIfTrue="1">
      <formula>AND(AC17&gt;=78100,AC17&lt;=78199)</formula>
    </cfRule>
    <cfRule type="expression" dxfId="24684" priority="10796" stopIfTrue="1">
      <formula>AND(AC17&gt;=91000,AC17&lt;=91999)</formula>
    </cfRule>
  </conditionalFormatting>
  <conditionalFormatting sqref="AB17">
    <cfRule type="expression" dxfId="24683" priority="10775">
      <formula>AND(AC17&gt;=79001,AC17&lt;79900)</formula>
    </cfRule>
    <cfRule type="expression" dxfId="24682" priority="10776" stopIfTrue="1">
      <formula>AND(AC17&gt;=70101,AC17&lt;=70301)</formula>
    </cfRule>
    <cfRule type="expression" dxfId="24681" priority="10777" stopIfTrue="1">
      <formula>AND(AC17&gt;70000,AC17&lt;70004)</formula>
    </cfRule>
    <cfRule type="expression" dxfId="24680" priority="10778" stopIfTrue="1">
      <formula>AND(AC17&gt;=70010,AC17&lt;=76000)</formula>
    </cfRule>
    <cfRule type="expression" dxfId="24679" priority="10779">
      <formula>AND(AC17&gt;70000,AC17&lt;70004)</formula>
    </cfRule>
    <cfRule type="expression" dxfId="24678" priority="10780" stopIfTrue="1">
      <formula>OR(AND(AC17&gt;=10000,AC17&lt;=56999),AND(AC17&gt;=57000,AC17&lt;=57999))</formula>
    </cfRule>
    <cfRule type="expression" dxfId="24677" priority="10781" stopIfTrue="1">
      <formula>AND(AC17&gt;=8000,AC17&lt;=9999)</formula>
    </cfRule>
    <cfRule type="expression" dxfId="24676" priority="10782" stopIfTrue="1">
      <formula>AND(AC17&gt;=78100,AC17&lt;=78199)</formula>
    </cfRule>
    <cfRule type="expression" dxfId="24675" priority="10783" stopIfTrue="1">
      <formula>AND(AC17&gt;=92000,AC17&lt;=98999)</formula>
    </cfRule>
    <cfRule type="expression" dxfId="24674" priority="10784" stopIfTrue="1">
      <formula>AND(AC17&gt;=78100,AC17&lt;=78199)</formula>
    </cfRule>
    <cfRule type="expression" dxfId="24673" priority="10785" stopIfTrue="1">
      <formula>AND(AC17&gt;=91000,AC17&lt;=91999)</formula>
    </cfRule>
  </conditionalFormatting>
  <conditionalFormatting sqref="AF17">
    <cfRule type="expression" dxfId="24672" priority="10764">
      <formula>AND(AG17&gt;=79001,AG17&lt;79900)</formula>
    </cfRule>
    <cfRule type="expression" dxfId="24671" priority="10765" stopIfTrue="1">
      <formula>AND(AG17&gt;=70101,AG17&lt;=70301)</formula>
    </cfRule>
    <cfRule type="expression" dxfId="24670" priority="10766" stopIfTrue="1">
      <formula>AND(AG17&gt;70000,AG17&lt;70004)</formula>
    </cfRule>
    <cfRule type="expression" dxfId="24669" priority="10767" stopIfTrue="1">
      <formula>AND(AG17&gt;=70010,AG17&lt;=76000)</formula>
    </cfRule>
    <cfRule type="expression" dxfId="24668" priority="10768">
      <formula>AND(AG17&gt;70000,AG17&lt;70004)</formula>
    </cfRule>
    <cfRule type="expression" dxfId="24667" priority="10769" stopIfTrue="1">
      <formula>OR(AND(AG17&gt;=10000,AG17&lt;=56999),AND(AG17&gt;=57000,AG17&lt;=57999))</formula>
    </cfRule>
    <cfRule type="expression" dxfId="24666" priority="10770" stopIfTrue="1">
      <formula>AND(AG17&gt;=8000,AG17&lt;=9999)</formula>
    </cfRule>
    <cfRule type="expression" dxfId="24665" priority="10771" stopIfTrue="1">
      <formula>AND(AG17&gt;=78100,AG17&lt;=78199)</formula>
    </cfRule>
    <cfRule type="expression" dxfId="24664" priority="10772" stopIfTrue="1">
      <formula>AND(AG17&gt;=92000,AG17&lt;=98999)</formula>
    </cfRule>
    <cfRule type="expression" dxfId="24663" priority="10773" stopIfTrue="1">
      <formula>AND(AG17&gt;=78100,AG17&lt;=78199)</formula>
    </cfRule>
    <cfRule type="expression" dxfId="24662" priority="10774" stopIfTrue="1">
      <formula>AND(AG17&gt;=91000,AG17&lt;=91999)</formula>
    </cfRule>
  </conditionalFormatting>
  <conditionalFormatting sqref="AJ17">
    <cfRule type="expression" dxfId="24661" priority="10753">
      <formula>AND(AK17&gt;=79001,AK17&lt;79900)</formula>
    </cfRule>
    <cfRule type="expression" dxfId="24660" priority="10754" stopIfTrue="1">
      <formula>AND(AK17&gt;=70101,AK17&lt;=70301)</formula>
    </cfRule>
    <cfRule type="expression" dxfId="24659" priority="10755" stopIfTrue="1">
      <formula>AND(AK17&gt;70000,AK17&lt;70004)</formula>
    </cfRule>
    <cfRule type="expression" dxfId="24658" priority="10756" stopIfTrue="1">
      <formula>AND(AK17&gt;=70010,AK17&lt;=76000)</formula>
    </cfRule>
    <cfRule type="expression" dxfId="24657" priority="10757">
      <formula>AND(AK17&gt;70000,AK17&lt;70004)</formula>
    </cfRule>
    <cfRule type="expression" dxfId="24656" priority="10758" stopIfTrue="1">
      <formula>OR(AND(AK17&gt;=10000,AK17&lt;=56999),AND(AK17&gt;=57000,AK17&lt;=57999))</formula>
    </cfRule>
    <cfRule type="expression" dxfId="24655" priority="10759" stopIfTrue="1">
      <formula>AND(AK17&gt;=8000,AK17&lt;=9999)</formula>
    </cfRule>
    <cfRule type="expression" dxfId="24654" priority="10760" stopIfTrue="1">
      <formula>AND(AK17&gt;=78100,AK17&lt;=78199)</formula>
    </cfRule>
    <cfRule type="expression" dxfId="24653" priority="10761" stopIfTrue="1">
      <formula>AND(AK17&gt;=92000,AK17&lt;=98999)</formula>
    </cfRule>
    <cfRule type="expression" dxfId="24652" priority="10762" stopIfTrue="1">
      <formula>AND(AK17&gt;=78100,AK17&lt;=78199)</formula>
    </cfRule>
    <cfRule type="expression" dxfId="24651" priority="10763" stopIfTrue="1">
      <formula>AND(AK17&gt;=91000,AK17&lt;=91999)</formula>
    </cfRule>
  </conditionalFormatting>
  <conditionalFormatting sqref="AF17">
    <cfRule type="expression" dxfId="24650" priority="10742">
      <formula>AND(AG17&gt;=79001,AG17&lt;79900)</formula>
    </cfRule>
    <cfRule type="expression" dxfId="24649" priority="10743" stopIfTrue="1">
      <formula>AND(AG17&gt;=70101,AG17&lt;=70301)</formula>
    </cfRule>
    <cfRule type="expression" dxfId="24648" priority="10744" stopIfTrue="1">
      <formula>AND(AG17&gt;70000,AG17&lt;70004)</formula>
    </cfRule>
    <cfRule type="expression" dxfId="24647" priority="10745" stopIfTrue="1">
      <formula>AND(AG17&gt;=70010,AG17&lt;=76000)</formula>
    </cfRule>
    <cfRule type="expression" dxfId="24646" priority="10746">
      <formula>AND(AG17&gt;70000,AG17&lt;70004)</formula>
    </cfRule>
    <cfRule type="expression" dxfId="24645" priority="10747" stopIfTrue="1">
      <formula>OR(AND(AG17&gt;=10000,AG17&lt;=56999),AND(AG17&gt;=57000,AG17&lt;=57999))</formula>
    </cfRule>
    <cfRule type="expression" dxfId="24644" priority="10748" stopIfTrue="1">
      <formula>AND(AG17&gt;=8000,AG17&lt;=9999)</formula>
    </cfRule>
    <cfRule type="expression" dxfId="24643" priority="10749" stopIfTrue="1">
      <formula>AND(AG17&gt;=78100,AG17&lt;=78199)</formula>
    </cfRule>
    <cfRule type="expression" dxfId="24642" priority="10750" stopIfTrue="1">
      <formula>AND(AG17&gt;=92000,AG17&lt;=98999)</formula>
    </cfRule>
    <cfRule type="expression" dxfId="24641" priority="10751" stopIfTrue="1">
      <formula>AND(AG17&gt;=78100,AG17&lt;=78199)</formula>
    </cfRule>
    <cfRule type="expression" dxfId="24640" priority="10752" stopIfTrue="1">
      <formula>AND(AG17&gt;=91000,AG17&lt;=91999)</formula>
    </cfRule>
  </conditionalFormatting>
  <conditionalFormatting sqref="AJ17">
    <cfRule type="expression" dxfId="24639" priority="10731">
      <formula>AND(AK17&gt;=79001,AK17&lt;79900)</formula>
    </cfRule>
    <cfRule type="expression" dxfId="24638" priority="10732" stopIfTrue="1">
      <formula>AND(AK17&gt;=70101,AK17&lt;=70301)</formula>
    </cfRule>
    <cfRule type="expression" dxfId="24637" priority="10733" stopIfTrue="1">
      <formula>AND(AK17&gt;70000,AK17&lt;70004)</formula>
    </cfRule>
    <cfRule type="expression" dxfId="24636" priority="10734" stopIfTrue="1">
      <formula>AND(AK17&gt;=70010,AK17&lt;=76000)</formula>
    </cfRule>
    <cfRule type="expression" dxfId="24635" priority="10735">
      <formula>AND(AK17&gt;70000,AK17&lt;70004)</formula>
    </cfRule>
    <cfRule type="expression" dxfId="24634" priority="10736" stopIfTrue="1">
      <formula>OR(AND(AK17&gt;=10000,AK17&lt;=56999),AND(AK17&gt;=57000,AK17&lt;=57999))</formula>
    </cfRule>
    <cfRule type="expression" dxfId="24633" priority="10737" stopIfTrue="1">
      <formula>AND(AK17&gt;=8000,AK17&lt;=9999)</formula>
    </cfRule>
    <cfRule type="expression" dxfId="24632" priority="10738" stopIfTrue="1">
      <formula>AND(AK17&gt;=78100,AK17&lt;=78199)</formula>
    </cfRule>
    <cfRule type="expression" dxfId="24631" priority="10739" stopIfTrue="1">
      <formula>AND(AK17&gt;=92000,AK17&lt;=98999)</formula>
    </cfRule>
    <cfRule type="expression" dxfId="24630" priority="10740" stopIfTrue="1">
      <formula>AND(AK17&gt;=78100,AK17&lt;=78199)</formula>
    </cfRule>
    <cfRule type="expression" dxfId="24629" priority="10741" stopIfTrue="1">
      <formula>AND(AK17&gt;=91000,AK17&lt;=91999)</formula>
    </cfRule>
  </conditionalFormatting>
  <conditionalFormatting sqref="AM17">
    <cfRule type="colorScale" priority="10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7">
    <cfRule type="colorScale" priority="10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7">
    <cfRule type="colorScale" priority="10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7">
    <cfRule type="colorScale" priority="10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7">
    <cfRule type="colorScale" priority="107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7">
    <cfRule type="colorScale" priority="10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7">
    <cfRule type="expression" dxfId="24628" priority="10714">
      <formula>AND(U17&gt;=79001,U17&lt;79900)</formula>
    </cfRule>
    <cfRule type="expression" dxfId="24627" priority="10715" stopIfTrue="1">
      <formula>AND(U17&gt;=70101,U17&lt;=70301)</formula>
    </cfRule>
    <cfRule type="expression" dxfId="24626" priority="10716" stopIfTrue="1">
      <formula>AND(U17&gt;70000,U17&lt;70004)</formula>
    </cfRule>
    <cfRule type="expression" dxfId="24625" priority="10717" stopIfTrue="1">
      <formula>AND(U17&gt;=70010,U17&lt;=76000)</formula>
    </cfRule>
    <cfRule type="expression" dxfId="24624" priority="10718">
      <formula>AND(U17&gt;70000,U17&lt;70004)</formula>
    </cfRule>
    <cfRule type="expression" dxfId="24623" priority="10719" stopIfTrue="1">
      <formula>OR(AND(U17&gt;=10000,U17&lt;=56999),AND(U17&gt;=57000,U17&lt;=57999))</formula>
    </cfRule>
    <cfRule type="expression" dxfId="24622" priority="10720" stopIfTrue="1">
      <formula>AND(U17&gt;=8000,U17&lt;=9999)</formula>
    </cfRule>
    <cfRule type="expression" dxfId="24621" priority="10721" stopIfTrue="1">
      <formula>AND(U17&gt;=78100,U17&lt;=78199)</formula>
    </cfRule>
    <cfRule type="expression" dxfId="24620" priority="10722" stopIfTrue="1">
      <formula>AND(U17&gt;=92000,U17&lt;=98999)</formula>
    </cfRule>
    <cfRule type="expression" dxfId="24619" priority="10723" stopIfTrue="1">
      <formula>AND(U17&gt;=78100,U17&lt;=78199)</formula>
    </cfRule>
    <cfRule type="expression" dxfId="24618" priority="10724" stopIfTrue="1">
      <formula>AND(U17&gt;=91000,U17&lt;=91999)</formula>
    </cfRule>
  </conditionalFormatting>
  <conditionalFormatting sqref="T17">
    <cfRule type="expression" dxfId="24617" priority="10703">
      <formula>AND(U17&gt;=79001,U17&lt;79900)</formula>
    </cfRule>
    <cfRule type="expression" dxfId="24616" priority="10704" stopIfTrue="1">
      <formula>AND(U17&gt;=70101,U17&lt;=70301)</formula>
    </cfRule>
    <cfRule type="expression" dxfId="24615" priority="10705" stopIfTrue="1">
      <formula>AND(U17&gt;70000,U17&lt;70004)</formula>
    </cfRule>
    <cfRule type="expression" dxfId="24614" priority="10706" stopIfTrue="1">
      <formula>AND(U17&gt;=70010,U17&lt;=76000)</formula>
    </cfRule>
    <cfRule type="expression" dxfId="24613" priority="10707">
      <formula>AND(U17&gt;70000,U17&lt;70004)</formula>
    </cfRule>
    <cfRule type="expression" dxfId="24612" priority="10708" stopIfTrue="1">
      <formula>OR(AND(U17&gt;=10000,U17&lt;=56999),AND(U17&gt;=57000,U17&lt;=57999))</formula>
    </cfRule>
    <cfRule type="expression" dxfId="24611" priority="10709" stopIfTrue="1">
      <formula>AND(U17&gt;=8000,U17&lt;=9999)</formula>
    </cfRule>
    <cfRule type="expression" dxfId="24610" priority="10710" stopIfTrue="1">
      <formula>AND(U17&gt;=78100,U17&lt;=78199)</formula>
    </cfRule>
    <cfRule type="expression" dxfId="24609" priority="10711" stopIfTrue="1">
      <formula>AND(U17&gt;=92000,U17&lt;=98999)</formula>
    </cfRule>
    <cfRule type="expression" dxfId="24608" priority="10712" stopIfTrue="1">
      <formula>AND(U17&gt;=78100,U17&lt;=78199)</formula>
    </cfRule>
    <cfRule type="expression" dxfId="24607" priority="10713" stopIfTrue="1">
      <formula>AND(U17&gt;=91000,U17&lt;=91999)</formula>
    </cfRule>
  </conditionalFormatting>
  <conditionalFormatting sqref="T17">
    <cfRule type="expression" dxfId="24606" priority="10692">
      <formula>AND(U17&gt;=79001,U17&lt;79900)</formula>
    </cfRule>
    <cfRule type="expression" dxfId="24605" priority="10693" stopIfTrue="1">
      <formula>AND(U17&gt;=70101,U17&lt;=70301)</formula>
    </cfRule>
    <cfRule type="expression" dxfId="24604" priority="10694" stopIfTrue="1">
      <formula>AND(U17&gt;70000,U17&lt;70004)</formula>
    </cfRule>
    <cfRule type="expression" dxfId="24603" priority="10695" stopIfTrue="1">
      <formula>AND(U17&gt;=70010,U17&lt;=76000)</formula>
    </cfRule>
    <cfRule type="expression" dxfId="24602" priority="10696">
      <formula>AND(U17&gt;70000,U17&lt;70004)</formula>
    </cfRule>
    <cfRule type="expression" dxfId="24601" priority="10697" stopIfTrue="1">
      <formula>OR(AND(U17&gt;=10000,U17&lt;=56999),AND(U17&gt;=57000,U17&lt;=57999))</formula>
    </cfRule>
    <cfRule type="expression" dxfId="24600" priority="10698" stopIfTrue="1">
      <formula>AND(U17&gt;=8000,U17&lt;=9999)</formula>
    </cfRule>
    <cfRule type="expression" dxfId="24599" priority="10699" stopIfTrue="1">
      <formula>AND(U17&gt;=78100,U17&lt;=78199)</formula>
    </cfRule>
    <cfRule type="expression" dxfId="24598" priority="10700" stopIfTrue="1">
      <formula>AND(U17&gt;=92000,U17&lt;=98999)</formula>
    </cfRule>
    <cfRule type="expression" dxfId="24597" priority="10701" stopIfTrue="1">
      <formula>AND(U17&gt;=78100,U17&lt;=78199)</formula>
    </cfRule>
    <cfRule type="expression" dxfId="24596" priority="10702" stopIfTrue="1">
      <formula>AND(U17&gt;=91000,U17&lt;=91999)</formula>
    </cfRule>
  </conditionalFormatting>
  <conditionalFormatting sqref="T17">
    <cfRule type="expression" dxfId="24595" priority="10681">
      <formula>AND(U17&gt;=79001,U17&lt;79900)</formula>
    </cfRule>
    <cfRule type="expression" dxfId="24594" priority="10682" stopIfTrue="1">
      <formula>AND(U17&gt;=70101,U17&lt;=70301)</formula>
    </cfRule>
    <cfRule type="expression" dxfId="24593" priority="10683" stopIfTrue="1">
      <formula>AND(U17&gt;70000,U17&lt;70004)</formula>
    </cfRule>
    <cfRule type="expression" dxfId="24592" priority="10684" stopIfTrue="1">
      <formula>AND(U17&gt;=70010,U17&lt;=76000)</formula>
    </cfRule>
    <cfRule type="expression" dxfId="24591" priority="10685">
      <formula>AND(U17&gt;70000,U17&lt;70004)</formula>
    </cfRule>
    <cfRule type="expression" dxfId="24590" priority="10686" stopIfTrue="1">
      <formula>OR(AND(U17&gt;=10000,U17&lt;=56999),AND(U17&gt;=57000,U17&lt;=57999))</formula>
    </cfRule>
    <cfRule type="expression" dxfId="24589" priority="10687" stopIfTrue="1">
      <formula>AND(U17&gt;=8000,U17&lt;=9999)</formula>
    </cfRule>
    <cfRule type="expression" dxfId="24588" priority="10688" stopIfTrue="1">
      <formula>AND(U17&gt;=78100,U17&lt;=78199)</formula>
    </cfRule>
    <cfRule type="expression" dxfId="24587" priority="10689" stopIfTrue="1">
      <formula>AND(U17&gt;=92000,U17&lt;=98999)</formula>
    </cfRule>
    <cfRule type="expression" dxfId="24586" priority="10690" stopIfTrue="1">
      <formula>AND(U17&gt;=78100,U17&lt;=78199)</formula>
    </cfRule>
    <cfRule type="expression" dxfId="24585" priority="10691" stopIfTrue="1">
      <formula>AND(U17&gt;=91000,U17&lt;=91999)</formula>
    </cfRule>
  </conditionalFormatting>
  <conditionalFormatting sqref="AJ31:AK31 AM31">
    <cfRule type="expression" dxfId="24584" priority="10670">
      <formula>AND(AK31&gt;=79001,AK31&lt;79900)</formula>
    </cfRule>
    <cfRule type="expression" dxfId="24583" priority="10671" stopIfTrue="1">
      <formula>AND(AK31&gt;=70101,AK31&lt;=70301)</formula>
    </cfRule>
    <cfRule type="expression" dxfId="24582" priority="10672" stopIfTrue="1">
      <formula>AND(AK31&gt;70000,AK31&lt;70004)</formula>
    </cfRule>
    <cfRule type="expression" dxfId="24581" priority="10673" stopIfTrue="1">
      <formula>AND(AK31&gt;=70010,AK31&lt;=76000)</formula>
    </cfRule>
    <cfRule type="expression" dxfId="24580" priority="10674">
      <formula>AND(AK31&gt;70000,AK31&lt;70004)</formula>
    </cfRule>
    <cfRule type="expression" dxfId="24579" priority="10675" stopIfTrue="1">
      <formula>OR(AND(AK31&gt;=10000,AK31&lt;=56999),AND(AK31&gt;=57000,AK31&lt;=57999))</formula>
    </cfRule>
    <cfRule type="expression" dxfId="24578" priority="10676" stopIfTrue="1">
      <formula>AND(AK31&gt;=8000,AK31&lt;=9999)</formula>
    </cfRule>
    <cfRule type="expression" dxfId="24577" priority="10677" stopIfTrue="1">
      <formula>AND(AK31&gt;=78100,AK31&lt;=78199)</formula>
    </cfRule>
    <cfRule type="expression" dxfId="24576" priority="10678" stopIfTrue="1">
      <formula>AND(AK31&gt;=92000,AK31&lt;=98999)</formula>
    </cfRule>
    <cfRule type="expression" dxfId="24575" priority="10679" stopIfTrue="1">
      <formula>AND(AK31&gt;=78100,AK31&lt;=78199)</formula>
    </cfRule>
    <cfRule type="expression" dxfId="24574" priority="10680" stopIfTrue="1">
      <formula>AND(AK31&gt;=91000,AK31&lt;=91999)</formula>
    </cfRule>
  </conditionalFormatting>
  <conditionalFormatting sqref="AJ31:AK31 AM31">
    <cfRule type="expression" dxfId="24573" priority="10659">
      <formula>AND(AK31&gt;=79001,AK31&lt;79900)</formula>
    </cfRule>
    <cfRule type="expression" dxfId="24572" priority="10660" stopIfTrue="1">
      <formula>AND(AK31&gt;=70101,AK31&lt;=70301)</formula>
    </cfRule>
    <cfRule type="expression" dxfId="24571" priority="10661" stopIfTrue="1">
      <formula>AND(AK31&gt;70000,AK31&lt;70004)</formula>
    </cfRule>
    <cfRule type="expression" dxfId="24570" priority="10662" stopIfTrue="1">
      <formula>AND(AK31&gt;=70010,AK31&lt;=76000)</formula>
    </cfRule>
    <cfRule type="expression" dxfId="24569" priority="10663">
      <formula>AND(AK31&gt;70000,AK31&lt;70004)</formula>
    </cfRule>
    <cfRule type="expression" dxfId="24568" priority="10664" stopIfTrue="1">
      <formula>OR(AND(AK31&gt;=10000,AK31&lt;=56999),AND(AK31&gt;=57000,AK31&lt;=57999))</formula>
    </cfRule>
    <cfRule type="expression" dxfId="24567" priority="10665" stopIfTrue="1">
      <formula>AND(AK31&gt;=8000,AK31&lt;=9999)</formula>
    </cfRule>
    <cfRule type="expression" dxfId="24566" priority="10666" stopIfTrue="1">
      <formula>AND(AK31&gt;=78100,AK31&lt;=78199)</formula>
    </cfRule>
    <cfRule type="expression" dxfId="24565" priority="10667" stopIfTrue="1">
      <formula>AND(AK31&gt;=92000,AK31&lt;=98999)</formula>
    </cfRule>
    <cfRule type="expression" dxfId="24564" priority="10668" stopIfTrue="1">
      <formula>AND(AK31&gt;=78100,AK31&lt;=78199)</formula>
    </cfRule>
    <cfRule type="expression" dxfId="24563" priority="10669" stopIfTrue="1">
      <formula>AND(AK31&gt;=91000,AK31&lt;=91999)</formula>
    </cfRule>
  </conditionalFormatting>
  <conditionalFormatting sqref="AJ31:AK31 AM31">
    <cfRule type="expression" dxfId="24562" priority="10648">
      <formula>AND(AK31&gt;=79001,AK31&lt;79900)</formula>
    </cfRule>
    <cfRule type="expression" dxfId="24561" priority="10649" stopIfTrue="1">
      <formula>AND(AK31&gt;=70101,AK31&lt;=70301)</formula>
    </cfRule>
    <cfRule type="expression" dxfId="24560" priority="10650" stopIfTrue="1">
      <formula>AND(AK31&gt;70000,AK31&lt;70004)</formula>
    </cfRule>
    <cfRule type="expression" dxfId="24559" priority="10651" stopIfTrue="1">
      <formula>AND(AK31&gt;=70010,AK31&lt;=76000)</formula>
    </cfRule>
    <cfRule type="expression" dxfId="24558" priority="10652">
      <formula>AND(AK31&gt;70000,AK31&lt;70004)</formula>
    </cfRule>
    <cfRule type="expression" dxfId="24557" priority="10653" stopIfTrue="1">
      <formula>OR(AND(AK31&gt;=10000,AK31&lt;=56999),AND(AK31&gt;=57000,AK31&lt;=57999))</formula>
    </cfRule>
    <cfRule type="expression" dxfId="24556" priority="10654" stopIfTrue="1">
      <formula>AND(AK31&gt;=8000,AK31&lt;=9999)</formula>
    </cfRule>
    <cfRule type="expression" dxfId="24555" priority="10655" stopIfTrue="1">
      <formula>AND(AK31&gt;=78100,AK31&lt;=78199)</formula>
    </cfRule>
    <cfRule type="expression" dxfId="24554" priority="10656" stopIfTrue="1">
      <formula>AND(AK31&gt;=92000,AK31&lt;=98999)</formula>
    </cfRule>
    <cfRule type="expression" dxfId="24553" priority="10657" stopIfTrue="1">
      <formula>AND(AK31&gt;=78100,AK31&lt;=78199)</formula>
    </cfRule>
    <cfRule type="expression" dxfId="24552" priority="10658" stopIfTrue="1">
      <formula>AND(AK31&gt;=91000,AK31&lt;=91999)</formula>
    </cfRule>
  </conditionalFormatting>
  <conditionalFormatting sqref="AJ31:AK31 AM31">
    <cfRule type="expression" dxfId="24551" priority="10637">
      <formula>AND(AK31&gt;=79001,AK31&lt;79900)</formula>
    </cfRule>
    <cfRule type="expression" dxfId="24550" priority="10638" stopIfTrue="1">
      <formula>AND(AK31&gt;=70101,AK31&lt;=70301)</formula>
    </cfRule>
    <cfRule type="expression" dxfId="24549" priority="10639" stopIfTrue="1">
      <formula>AND(AK31&gt;70000,AK31&lt;70004)</formula>
    </cfRule>
    <cfRule type="expression" dxfId="24548" priority="10640" stopIfTrue="1">
      <formula>AND(AK31&gt;=70010,AK31&lt;=76000)</formula>
    </cfRule>
    <cfRule type="expression" dxfId="24547" priority="10641">
      <formula>AND(AK31&gt;70000,AK31&lt;70004)</formula>
    </cfRule>
    <cfRule type="expression" dxfId="24546" priority="10642" stopIfTrue="1">
      <formula>OR(AND(AK31&gt;=10000,AK31&lt;=56999),AND(AK31&gt;=57000,AK31&lt;=57999))</formula>
    </cfRule>
    <cfRule type="expression" dxfId="24545" priority="10643" stopIfTrue="1">
      <formula>AND(AK31&gt;=8000,AK31&lt;=9999)</formula>
    </cfRule>
    <cfRule type="expression" dxfId="24544" priority="10644" stopIfTrue="1">
      <formula>AND(AK31&gt;=78100,AK31&lt;=78199)</formula>
    </cfRule>
    <cfRule type="expression" dxfId="24543" priority="10645" stopIfTrue="1">
      <formula>AND(AK31&gt;=92000,AK31&lt;=98999)</formula>
    </cfRule>
    <cfRule type="expression" dxfId="24542" priority="10646" stopIfTrue="1">
      <formula>AND(AK31&gt;=78100,AK31&lt;=78199)</formula>
    </cfRule>
    <cfRule type="expression" dxfId="24541" priority="10647" stopIfTrue="1">
      <formula>AND(AK31&gt;=91000,AK31&lt;=91999)</formula>
    </cfRule>
  </conditionalFormatting>
  <conditionalFormatting sqref="T19">
    <cfRule type="expression" dxfId="24540" priority="10626">
      <formula>AND(U19&gt;=79001,U19&lt;79900)</formula>
    </cfRule>
    <cfRule type="expression" dxfId="24539" priority="10627" stopIfTrue="1">
      <formula>AND(U19&gt;=70101,U19&lt;=70301)</formula>
    </cfRule>
    <cfRule type="expression" dxfId="24538" priority="10628" stopIfTrue="1">
      <formula>AND(U19&gt;70000,U19&lt;70004)</formula>
    </cfRule>
    <cfRule type="expression" dxfId="24537" priority="10629" stopIfTrue="1">
      <formula>AND(U19&gt;=70010,U19&lt;=76000)</formula>
    </cfRule>
    <cfRule type="expression" dxfId="24536" priority="10630">
      <formula>AND(U19&gt;70000,U19&lt;70004)</formula>
    </cfRule>
    <cfRule type="expression" dxfId="24535" priority="10631" stopIfTrue="1">
      <formula>OR(AND(U19&gt;=10000,U19&lt;=56999),AND(U19&gt;=57000,U19&lt;=57999))</formula>
    </cfRule>
    <cfRule type="expression" dxfId="24534" priority="10632" stopIfTrue="1">
      <formula>AND(U19&gt;=8000,U19&lt;=9999)</formula>
    </cfRule>
    <cfRule type="expression" dxfId="24533" priority="10633" stopIfTrue="1">
      <formula>AND(U19&gt;=78100,U19&lt;=78199)</formula>
    </cfRule>
    <cfRule type="expression" dxfId="24532" priority="10634" stopIfTrue="1">
      <formula>AND(U19&gt;=92000,U19&lt;=98999)</formula>
    </cfRule>
    <cfRule type="expression" dxfId="24531" priority="10635" stopIfTrue="1">
      <formula>AND(U19&gt;=78100,U19&lt;=78199)</formula>
    </cfRule>
    <cfRule type="expression" dxfId="24530" priority="10636" stopIfTrue="1">
      <formula>AND(U19&gt;=91000,U19&lt;=91999)</formula>
    </cfRule>
  </conditionalFormatting>
  <conditionalFormatting sqref="T19">
    <cfRule type="expression" dxfId="24529" priority="10615">
      <formula>AND(U19&gt;=79001,U19&lt;79900)</formula>
    </cfRule>
    <cfRule type="expression" dxfId="24528" priority="10616" stopIfTrue="1">
      <formula>AND(U19&gt;=70101,U19&lt;=70301)</formula>
    </cfRule>
    <cfRule type="expression" dxfId="24527" priority="10617" stopIfTrue="1">
      <formula>AND(U19&gt;70000,U19&lt;70004)</formula>
    </cfRule>
    <cfRule type="expression" dxfId="24526" priority="10618" stopIfTrue="1">
      <formula>AND(U19&gt;=70010,U19&lt;=76000)</formula>
    </cfRule>
    <cfRule type="expression" dxfId="24525" priority="10619">
      <formula>AND(U19&gt;70000,U19&lt;70004)</formula>
    </cfRule>
    <cfRule type="expression" dxfId="24524" priority="10620" stopIfTrue="1">
      <formula>OR(AND(U19&gt;=10000,U19&lt;=56999),AND(U19&gt;=57000,U19&lt;=57999))</formula>
    </cfRule>
    <cfRule type="expression" dxfId="24523" priority="10621" stopIfTrue="1">
      <formula>AND(U19&gt;=8000,U19&lt;=9999)</formula>
    </cfRule>
    <cfRule type="expression" dxfId="24522" priority="10622" stopIfTrue="1">
      <formula>AND(U19&gt;=78100,U19&lt;=78199)</formula>
    </cfRule>
    <cfRule type="expression" dxfId="24521" priority="10623" stopIfTrue="1">
      <formula>AND(U19&gt;=92000,U19&lt;=98999)</formula>
    </cfRule>
    <cfRule type="expression" dxfId="24520" priority="10624" stopIfTrue="1">
      <formula>AND(U19&gt;=78100,U19&lt;=78199)</formula>
    </cfRule>
    <cfRule type="expression" dxfId="24519" priority="10625" stopIfTrue="1">
      <formula>AND(U19&gt;=91000,U19&lt;=91999)</formula>
    </cfRule>
  </conditionalFormatting>
  <conditionalFormatting sqref="T19">
    <cfRule type="expression" dxfId="24518" priority="10604">
      <formula>AND(U19&gt;=79001,U19&lt;79900)</formula>
    </cfRule>
    <cfRule type="expression" dxfId="24517" priority="10605" stopIfTrue="1">
      <formula>AND(U19&gt;=70101,U19&lt;=70301)</formula>
    </cfRule>
    <cfRule type="expression" dxfId="24516" priority="10606" stopIfTrue="1">
      <formula>AND(U19&gt;70000,U19&lt;70004)</formula>
    </cfRule>
    <cfRule type="expression" dxfId="24515" priority="10607" stopIfTrue="1">
      <formula>AND(U19&gt;=70010,U19&lt;=76000)</formula>
    </cfRule>
    <cfRule type="expression" dxfId="24514" priority="10608">
      <formula>AND(U19&gt;70000,U19&lt;70004)</formula>
    </cfRule>
    <cfRule type="expression" dxfId="24513" priority="10609" stopIfTrue="1">
      <formula>OR(AND(U19&gt;=10000,U19&lt;=56999),AND(U19&gt;=57000,U19&lt;=57999))</formula>
    </cfRule>
    <cfRule type="expression" dxfId="24512" priority="10610" stopIfTrue="1">
      <formula>AND(U19&gt;=8000,U19&lt;=9999)</formula>
    </cfRule>
    <cfRule type="expression" dxfId="24511" priority="10611" stopIfTrue="1">
      <formula>AND(U19&gt;=78100,U19&lt;=78199)</formula>
    </cfRule>
    <cfRule type="expression" dxfId="24510" priority="10612" stopIfTrue="1">
      <formula>AND(U19&gt;=92000,U19&lt;=98999)</formula>
    </cfRule>
    <cfRule type="expression" dxfId="24509" priority="10613" stopIfTrue="1">
      <formula>AND(U19&gt;=78100,U19&lt;=78199)</formula>
    </cfRule>
    <cfRule type="expression" dxfId="24508" priority="10614" stopIfTrue="1">
      <formula>AND(U19&gt;=91000,U19&lt;=91999)</formula>
    </cfRule>
  </conditionalFormatting>
  <conditionalFormatting sqref="T19">
    <cfRule type="expression" dxfId="24507" priority="10593">
      <formula>AND(U19&gt;=79001,U19&lt;79900)</formula>
    </cfRule>
    <cfRule type="expression" dxfId="24506" priority="10594" stopIfTrue="1">
      <formula>AND(U19&gt;=70101,U19&lt;=70301)</formula>
    </cfRule>
    <cfRule type="expression" dxfId="24505" priority="10595" stopIfTrue="1">
      <formula>AND(U19&gt;70000,U19&lt;70004)</formula>
    </cfRule>
    <cfRule type="expression" dxfId="24504" priority="10596" stopIfTrue="1">
      <formula>AND(U19&gt;=70010,U19&lt;=76000)</formula>
    </cfRule>
    <cfRule type="expression" dxfId="24503" priority="10597">
      <formula>AND(U19&gt;70000,U19&lt;70004)</formula>
    </cfRule>
    <cfRule type="expression" dxfId="24502" priority="10598" stopIfTrue="1">
      <formula>OR(AND(U19&gt;=10000,U19&lt;=56999),AND(U19&gt;=57000,U19&lt;=57999))</formula>
    </cfRule>
    <cfRule type="expression" dxfId="24501" priority="10599" stopIfTrue="1">
      <formula>AND(U19&gt;=8000,U19&lt;=9999)</formula>
    </cfRule>
    <cfRule type="expression" dxfId="24500" priority="10600" stopIfTrue="1">
      <formula>AND(U19&gt;=78100,U19&lt;=78199)</formula>
    </cfRule>
    <cfRule type="expression" dxfId="24499" priority="10601" stopIfTrue="1">
      <formula>AND(U19&gt;=92000,U19&lt;=98999)</formula>
    </cfRule>
    <cfRule type="expression" dxfId="24498" priority="10602" stopIfTrue="1">
      <formula>AND(U19&gt;=78100,U19&lt;=78199)</formula>
    </cfRule>
    <cfRule type="expression" dxfId="24497" priority="10603" stopIfTrue="1">
      <formula>AND(U19&gt;=91000,U19&lt;=91999)</formula>
    </cfRule>
  </conditionalFormatting>
  <conditionalFormatting sqref="T28">
    <cfRule type="expression" dxfId="24496" priority="10582">
      <formula>AND(U28&gt;=79001,U28&lt;79900)</formula>
    </cfRule>
    <cfRule type="expression" dxfId="24495" priority="10583" stopIfTrue="1">
      <formula>AND(U28&gt;=70101,U28&lt;=70301)</formula>
    </cfRule>
    <cfRule type="expression" dxfId="24494" priority="10584" stopIfTrue="1">
      <formula>AND(U28&gt;70000,U28&lt;70004)</formula>
    </cfRule>
    <cfRule type="expression" dxfId="24493" priority="10585" stopIfTrue="1">
      <formula>AND(U28&gt;=70010,U28&lt;=76000)</formula>
    </cfRule>
    <cfRule type="expression" dxfId="24492" priority="10586">
      <formula>AND(U28&gt;70000,U28&lt;70004)</formula>
    </cfRule>
    <cfRule type="expression" dxfId="24491" priority="10587" stopIfTrue="1">
      <formula>OR(AND(U28&gt;=10000,U28&lt;=56999),AND(U28&gt;=57000,U28&lt;=57999))</formula>
    </cfRule>
    <cfRule type="expression" dxfId="24490" priority="10588" stopIfTrue="1">
      <formula>AND(U28&gt;=8000,U28&lt;=9999)</formula>
    </cfRule>
    <cfRule type="expression" dxfId="24489" priority="10589" stopIfTrue="1">
      <formula>AND(U28&gt;=78100,U28&lt;=78199)</formula>
    </cfRule>
    <cfRule type="expression" dxfId="24488" priority="10590" stopIfTrue="1">
      <formula>AND(U28&gt;=92000,U28&lt;=98999)</formula>
    </cfRule>
    <cfRule type="expression" dxfId="24487" priority="10591" stopIfTrue="1">
      <formula>AND(U28&gt;=78100,U28&lt;=78199)</formula>
    </cfRule>
    <cfRule type="expression" dxfId="24486" priority="10592" stopIfTrue="1">
      <formula>AND(U28&gt;=91000,U28&lt;=91999)</formula>
    </cfRule>
  </conditionalFormatting>
  <conditionalFormatting sqref="T28">
    <cfRule type="expression" dxfId="24485" priority="10571">
      <formula>AND(U28&gt;=79001,U28&lt;79900)</formula>
    </cfRule>
    <cfRule type="expression" dxfId="24484" priority="10572" stopIfTrue="1">
      <formula>AND(U28&gt;=70101,U28&lt;=70301)</formula>
    </cfRule>
    <cfRule type="expression" dxfId="24483" priority="10573" stopIfTrue="1">
      <formula>AND(U28&gt;70000,U28&lt;70004)</formula>
    </cfRule>
    <cfRule type="expression" dxfId="24482" priority="10574" stopIfTrue="1">
      <formula>AND(U28&gt;=70010,U28&lt;=76000)</formula>
    </cfRule>
    <cfRule type="expression" dxfId="24481" priority="10575">
      <formula>AND(U28&gt;70000,U28&lt;70004)</formula>
    </cfRule>
    <cfRule type="expression" dxfId="24480" priority="10576" stopIfTrue="1">
      <formula>OR(AND(U28&gt;=10000,U28&lt;=56999),AND(U28&gt;=57000,U28&lt;=57999))</formula>
    </cfRule>
    <cfRule type="expression" dxfId="24479" priority="10577" stopIfTrue="1">
      <formula>AND(U28&gt;=8000,U28&lt;=9999)</formula>
    </cfRule>
    <cfRule type="expression" dxfId="24478" priority="10578" stopIfTrue="1">
      <formula>AND(U28&gt;=78100,U28&lt;=78199)</formula>
    </cfRule>
    <cfRule type="expression" dxfId="24477" priority="10579" stopIfTrue="1">
      <formula>AND(U28&gt;=92000,U28&lt;=98999)</formula>
    </cfRule>
    <cfRule type="expression" dxfId="24476" priority="10580" stopIfTrue="1">
      <formula>AND(U28&gt;=78100,U28&lt;=78199)</formula>
    </cfRule>
    <cfRule type="expression" dxfId="24475" priority="10581" stopIfTrue="1">
      <formula>AND(U28&gt;=91000,U28&lt;=91999)</formula>
    </cfRule>
  </conditionalFormatting>
  <conditionalFormatting sqref="T28">
    <cfRule type="expression" dxfId="24474" priority="10560">
      <formula>AND(U28&gt;=79001,U28&lt;79900)</formula>
    </cfRule>
    <cfRule type="expression" dxfId="24473" priority="10561" stopIfTrue="1">
      <formula>AND(U28&gt;=70101,U28&lt;=70301)</formula>
    </cfRule>
    <cfRule type="expression" dxfId="24472" priority="10562" stopIfTrue="1">
      <formula>AND(U28&gt;70000,U28&lt;70004)</formula>
    </cfRule>
    <cfRule type="expression" dxfId="24471" priority="10563" stopIfTrue="1">
      <formula>AND(U28&gt;=70010,U28&lt;=76000)</formula>
    </cfRule>
    <cfRule type="expression" dxfId="24470" priority="10564">
      <formula>AND(U28&gt;70000,U28&lt;70004)</formula>
    </cfRule>
    <cfRule type="expression" dxfId="24469" priority="10565" stopIfTrue="1">
      <formula>OR(AND(U28&gt;=10000,U28&lt;=56999),AND(U28&gt;=57000,U28&lt;=57999))</formula>
    </cfRule>
    <cfRule type="expression" dxfId="24468" priority="10566" stopIfTrue="1">
      <formula>AND(U28&gt;=8000,U28&lt;=9999)</formula>
    </cfRule>
    <cfRule type="expression" dxfId="24467" priority="10567" stopIfTrue="1">
      <formula>AND(U28&gt;=78100,U28&lt;=78199)</formula>
    </cfRule>
    <cfRule type="expression" dxfId="24466" priority="10568" stopIfTrue="1">
      <formula>AND(U28&gt;=92000,U28&lt;=98999)</formula>
    </cfRule>
    <cfRule type="expression" dxfId="24465" priority="10569" stopIfTrue="1">
      <formula>AND(U28&gt;=78100,U28&lt;=78199)</formula>
    </cfRule>
    <cfRule type="expression" dxfId="24464" priority="10570" stopIfTrue="1">
      <formula>AND(U28&gt;=91000,U28&lt;=91999)</formula>
    </cfRule>
  </conditionalFormatting>
  <conditionalFormatting sqref="T28">
    <cfRule type="expression" dxfId="24463" priority="10549">
      <formula>AND(U28&gt;=79001,U28&lt;79900)</formula>
    </cfRule>
    <cfRule type="expression" dxfId="24462" priority="10550" stopIfTrue="1">
      <formula>AND(U28&gt;=70101,U28&lt;=70301)</formula>
    </cfRule>
    <cfRule type="expression" dxfId="24461" priority="10551" stopIfTrue="1">
      <formula>AND(U28&gt;70000,U28&lt;70004)</formula>
    </cfRule>
    <cfRule type="expression" dxfId="24460" priority="10552" stopIfTrue="1">
      <formula>AND(U28&gt;=70010,U28&lt;=76000)</formula>
    </cfRule>
    <cfRule type="expression" dxfId="24459" priority="10553">
      <formula>AND(U28&gt;70000,U28&lt;70004)</formula>
    </cfRule>
    <cfRule type="expression" dxfId="24458" priority="10554" stopIfTrue="1">
      <formula>OR(AND(U28&gt;=10000,U28&lt;=56999),AND(U28&gt;=57000,U28&lt;=57999))</formula>
    </cfRule>
    <cfRule type="expression" dxfId="24457" priority="10555" stopIfTrue="1">
      <formula>AND(U28&gt;=8000,U28&lt;=9999)</formula>
    </cfRule>
    <cfRule type="expression" dxfId="24456" priority="10556" stopIfTrue="1">
      <formula>AND(U28&gt;=78100,U28&lt;=78199)</formula>
    </cfRule>
    <cfRule type="expression" dxfId="24455" priority="10557" stopIfTrue="1">
      <formula>AND(U28&gt;=92000,U28&lt;=98999)</formula>
    </cfRule>
    <cfRule type="expression" dxfId="24454" priority="10558" stopIfTrue="1">
      <formula>AND(U28&gt;=78100,U28&lt;=78199)</formula>
    </cfRule>
    <cfRule type="expression" dxfId="24453" priority="10559" stopIfTrue="1">
      <formula>AND(U28&gt;=91000,U28&lt;=91999)</formula>
    </cfRule>
  </conditionalFormatting>
  <conditionalFormatting sqref="X19">
    <cfRule type="expression" dxfId="24452" priority="10538">
      <formula>AND(Y19&gt;=79001,Y19&lt;79900)</formula>
    </cfRule>
    <cfRule type="expression" dxfId="24451" priority="10539" stopIfTrue="1">
      <formula>AND(Y19&gt;=70101,Y19&lt;=70301)</formula>
    </cfRule>
    <cfRule type="expression" dxfId="24450" priority="10540" stopIfTrue="1">
      <formula>AND(Y19&gt;70000,Y19&lt;70004)</formula>
    </cfRule>
    <cfRule type="expression" dxfId="24449" priority="10541" stopIfTrue="1">
      <formula>AND(Y19&gt;=70010,Y19&lt;=76000)</formula>
    </cfRule>
    <cfRule type="expression" dxfId="24448" priority="10542">
      <formula>AND(Y19&gt;70000,Y19&lt;70004)</formula>
    </cfRule>
    <cfRule type="expression" dxfId="24447" priority="10543" stopIfTrue="1">
      <formula>OR(AND(Y19&gt;=10000,Y19&lt;=56999),AND(Y19&gt;=57000,Y19&lt;=57999))</formula>
    </cfRule>
    <cfRule type="expression" dxfId="24446" priority="10544" stopIfTrue="1">
      <formula>AND(Y19&gt;=8000,Y19&lt;=9999)</formula>
    </cfRule>
    <cfRule type="expression" dxfId="24445" priority="10545" stopIfTrue="1">
      <formula>AND(Y19&gt;=78100,Y19&lt;=78199)</formula>
    </cfRule>
    <cfRule type="expression" dxfId="24444" priority="10546" stopIfTrue="1">
      <formula>AND(Y19&gt;=92000,Y19&lt;=98999)</formula>
    </cfRule>
    <cfRule type="expression" dxfId="24443" priority="10547" stopIfTrue="1">
      <formula>AND(Y19&gt;=78100,Y19&lt;=78199)</formula>
    </cfRule>
    <cfRule type="expression" dxfId="24442" priority="10548" stopIfTrue="1">
      <formula>AND(Y19&gt;=91000,Y19&lt;=91999)</formula>
    </cfRule>
  </conditionalFormatting>
  <conditionalFormatting sqref="X19">
    <cfRule type="expression" dxfId="24441" priority="10527">
      <formula>AND(Y19&gt;=79001,Y19&lt;79900)</formula>
    </cfRule>
    <cfRule type="expression" dxfId="24440" priority="10528" stopIfTrue="1">
      <formula>AND(Y19&gt;=70101,Y19&lt;=70301)</formula>
    </cfRule>
    <cfRule type="expression" dxfId="24439" priority="10529" stopIfTrue="1">
      <formula>AND(Y19&gt;70000,Y19&lt;70004)</formula>
    </cfRule>
    <cfRule type="expression" dxfId="24438" priority="10530" stopIfTrue="1">
      <formula>AND(Y19&gt;=70010,Y19&lt;=76000)</formula>
    </cfRule>
    <cfRule type="expression" dxfId="24437" priority="10531">
      <formula>AND(Y19&gt;70000,Y19&lt;70004)</formula>
    </cfRule>
    <cfRule type="expression" dxfId="24436" priority="10532" stopIfTrue="1">
      <formula>OR(AND(Y19&gt;=10000,Y19&lt;=56999),AND(Y19&gt;=57000,Y19&lt;=57999))</formula>
    </cfRule>
    <cfRule type="expression" dxfId="24435" priority="10533" stopIfTrue="1">
      <formula>AND(Y19&gt;=8000,Y19&lt;=9999)</formula>
    </cfRule>
    <cfRule type="expression" dxfId="24434" priority="10534" stopIfTrue="1">
      <formula>AND(Y19&gt;=78100,Y19&lt;=78199)</formula>
    </cfRule>
    <cfRule type="expression" dxfId="24433" priority="10535" stopIfTrue="1">
      <formula>AND(Y19&gt;=92000,Y19&lt;=98999)</formula>
    </cfRule>
    <cfRule type="expression" dxfId="24432" priority="10536" stopIfTrue="1">
      <formula>AND(Y19&gt;=78100,Y19&lt;=78199)</formula>
    </cfRule>
    <cfRule type="expression" dxfId="24431" priority="10537" stopIfTrue="1">
      <formula>AND(Y19&gt;=91000,Y19&lt;=91999)</formula>
    </cfRule>
  </conditionalFormatting>
  <conditionalFormatting sqref="X19">
    <cfRule type="expression" dxfId="24430" priority="10516">
      <formula>AND(Y19&gt;=79001,Y19&lt;79900)</formula>
    </cfRule>
    <cfRule type="expression" dxfId="24429" priority="10517" stopIfTrue="1">
      <formula>AND(Y19&gt;=70101,Y19&lt;=70301)</formula>
    </cfRule>
    <cfRule type="expression" dxfId="24428" priority="10518" stopIfTrue="1">
      <formula>AND(Y19&gt;70000,Y19&lt;70004)</formula>
    </cfRule>
    <cfRule type="expression" dxfId="24427" priority="10519" stopIfTrue="1">
      <formula>AND(Y19&gt;=70010,Y19&lt;=76000)</formula>
    </cfRule>
    <cfRule type="expression" dxfId="24426" priority="10520">
      <formula>AND(Y19&gt;70000,Y19&lt;70004)</formula>
    </cfRule>
    <cfRule type="expression" dxfId="24425" priority="10521" stopIfTrue="1">
      <formula>OR(AND(Y19&gt;=10000,Y19&lt;=56999),AND(Y19&gt;=57000,Y19&lt;=57999))</formula>
    </cfRule>
    <cfRule type="expression" dxfId="24424" priority="10522" stopIfTrue="1">
      <formula>AND(Y19&gt;=8000,Y19&lt;=9999)</formula>
    </cfRule>
    <cfRule type="expression" dxfId="24423" priority="10523" stopIfTrue="1">
      <formula>AND(Y19&gt;=78100,Y19&lt;=78199)</formula>
    </cfRule>
    <cfRule type="expression" dxfId="24422" priority="10524" stopIfTrue="1">
      <formula>AND(Y19&gt;=92000,Y19&lt;=98999)</formula>
    </cfRule>
    <cfRule type="expression" dxfId="24421" priority="10525" stopIfTrue="1">
      <formula>AND(Y19&gt;=78100,Y19&lt;=78199)</formula>
    </cfRule>
    <cfRule type="expression" dxfId="24420" priority="10526" stopIfTrue="1">
      <formula>AND(Y19&gt;=91000,Y19&lt;=91999)</formula>
    </cfRule>
  </conditionalFormatting>
  <conditionalFormatting sqref="X19">
    <cfRule type="expression" dxfId="24419" priority="10505">
      <formula>AND(Y19&gt;=79001,Y19&lt;79900)</formula>
    </cfRule>
    <cfRule type="expression" dxfId="24418" priority="10506" stopIfTrue="1">
      <formula>AND(Y19&gt;=70101,Y19&lt;=70301)</formula>
    </cfRule>
    <cfRule type="expression" dxfId="24417" priority="10507" stopIfTrue="1">
      <formula>AND(Y19&gt;70000,Y19&lt;70004)</formula>
    </cfRule>
    <cfRule type="expression" dxfId="24416" priority="10508" stopIfTrue="1">
      <formula>AND(Y19&gt;=70010,Y19&lt;=76000)</formula>
    </cfRule>
    <cfRule type="expression" dxfId="24415" priority="10509">
      <formula>AND(Y19&gt;70000,Y19&lt;70004)</formula>
    </cfRule>
    <cfRule type="expression" dxfId="24414" priority="10510" stopIfTrue="1">
      <formula>OR(AND(Y19&gt;=10000,Y19&lt;=56999),AND(Y19&gt;=57000,Y19&lt;=57999))</formula>
    </cfRule>
    <cfRule type="expression" dxfId="24413" priority="10511" stopIfTrue="1">
      <formula>AND(Y19&gt;=8000,Y19&lt;=9999)</formula>
    </cfRule>
    <cfRule type="expression" dxfId="24412" priority="10512" stopIfTrue="1">
      <formula>AND(Y19&gt;=78100,Y19&lt;=78199)</formula>
    </cfRule>
    <cfRule type="expression" dxfId="24411" priority="10513" stopIfTrue="1">
      <formula>AND(Y19&gt;=92000,Y19&lt;=98999)</formula>
    </cfRule>
    <cfRule type="expression" dxfId="24410" priority="10514" stopIfTrue="1">
      <formula>AND(Y19&gt;=78100,Y19&lt;=78199)</formula>
    </cfRule>
    <cfRule type="expression" dxfId="24409" priority="10515" stopIfTrue="1">
      <formula>AND(Y19&gt;=91000,Y19&lt;=91999)</formula>
    </cfRule>
  </conditionalFormatting>
  <conditionalFormatting sqref="AB19">
    <cfRule type="expression" dxfId="24408" priority="10494">
      <formula>AND(AC19&gt;=79001,AC19&lt;79900)</formula>
    </cfRule>
    <cfRule type="expression" dxfId="24407" priority="10495" stopIfTrue="1">
      <formula>AND(AC19&gt;=70101,AC19&lt;=70301)</formula>
    </cfRule>
    <cfRule type="expression" dxfId="24406" priority="10496" stopIfTrue="1">
      <formula>AND(AC19&gt;70000,AC19&lt;70004)</formula>
    </cfRule>
    <cfRule type="expression" dxfId="24405" priority="10497" stopIfTrue="1">
      <formula>AND(AC19&gt;=70010,AC19&lt;=76000)</formula>
    </cfRule>
    <cfRule type="expression" dxfId="24404" priority="10498">
      <formula>AND(AC19&gt;70000,AC19&lt;70004)</formula>
    </cfRule>
    <cfRule type="expression" dxfId="24403" priority="10499" stopIfTrue="1">
      <formula>OR(AND(AC19&gt;=10000,AC19&lt;=56999),AND(AC19&gt;=57000,AC19&lt;=57999))</formula>
    </cfRule>
    <cfRule type="expression" dxfId="24402" priority="10500" stopIfTrue="1">
      <formula>AND(AC19&gt;=8000,AC19&lt;=9999)</formula>
    </cfRule>
    <cfRule type="expression" dxfId="24401" priority="10501" stopIfTrue="1">
      <formula>AND(AC19&gt;=78100,AC19&lt;=78199)</formula>
    </cfRule>
    <cfRule type="expression" dxfId="24400" priority="10502" stopIfTrue="1">
      <formula>AND(AC19&gt;=92000,AC19&lt;=98999)</formula>
    </cfRule>
    <cfRule type="expression" dxfId="24399" priority="10503" stopIfTrue="1">
      <formula>AND(AC19&gt;=78100,AC19&lt;=78199)</formula>
    </cfRule>
    <cfRule type="expression" dxfId="24398" priority="10504" stopIfTrue="1">
      <formula>AND(AC19&gt;=91000,AC19&lt;=91999)</formula>
    </cfRule>
  </conditionalFormatting>
  <conditionalFormatting sqref="AB19">
    <cfRule type="expression" dxfId="24397" priority="10483">
      <formula>AND(AC19&gt;=79001,AC19&lt;79900)</formula>
    </cfRule>
    <cfRule type="expression" dxfId="24396" priority="10484" stopIfTrue="1">
      <formula>AND(AC19&gt;=70101,AC19&lt;=70301)</formula>
    </cfRule>
    <cfRule type="expression" dxfId="24395" priority="10485" stopIfTrue="1">
      <formula>AND(AC19&gt;70000,AC19&lt;70004)</formula>
    </cfRule>
    <cfRule type="expression" dxfId="24394" priority="10486" stopIfTrue="1">
      <formula>AND(AC19&gt;=70010,AC19&lt;=76000)</formula>
    </cfRule>
    <cfRule type="expression" dxfId="24393" priority="10487">
      <formula>AND(AC19&gt;70000,AC19&lt;70004)</formula>
    </cfRule>
    <cfRule type="expression" dxfId="24392" priority="10488" stopIfTrue="1">
      <formula>OR(AND(AC19&gt;=10000,AC19&lt;=56999),AND(AC19&gt;=57000,AC19&lt;=57999))</formula>
    </cfRule>
    <cfRule type="expression" dxfId="24391" priority="10489" stopIfTrue="1">
      <formula>AND(AC19&gt;=8000,AC19&lt;=9999)</formula>
    </cfRule>
    <cfRule type="expression" dxfId="24390" priority="10490" stopIfTrue="1">
      <formula>AND(AC19&gt;=78100,AC19&lt;=78199)</formula>
    </cfRule>
    <cfRule type="expression" dxfId="24389" priority="10491" stopIfTrue="1">
      <formula>AND(AC19&gt;=92000,AC19&lt;=98999)</formula>
    </cfRule>
    <cfRule type="expression" dxfId="24388" priority="10492" stopIfTrue="1">
      <formula>AND(AC19&gt;=78100,AC19&lt;=78199)</formula>
    </cfRule>
    <cfRule type="expression" dxfId="24387" priority="10493" stopIfTrue="1">
      <formula>AND(AC19&gt;=91000,AC19&lt;=91999)</formula>
    </cfRule>
  </conditionalFormatting>
  <conditionalFormatting sqref="AB19">
    <cfRule type="expression" dxfId="24386" priority="10472">
      <formula>AND(AC19&gt;=79001,AC19&lt;79900)</formula>
    </cfRule>
    <cfRule type="expression" dxfId="24385" priority="10473" stopIfTrue="1">
      <formula>AND(AC19&gt;=70101,AC19&lt;=70301)</formula>
    </cfRule>
    <cfRule type="expression" dxfId="24384" priority="10474" stopIfTrue="1">
      <formula>AND(AC19&gt;70000,AC19&lt;70004)</formula>
    </cfRule>
    <cfRule type="expression" dxfId="24383" priority="10475" stopIfTrue="1">
      <formula>AND(AC19&gt;=70010,AC19&lt;=76000)</formula>
    </cfRule>
    <cfRule type="expression" dxfId="24382" priority="10476">
      <formula>AND(AC19&gt;70000,AC19&lt;70004)</formula>
    </cfRule>
    <cfRule type="expression" dxfId="24381" priority="10477" stopIfTrue="1">
      <formula>OR(AND(AC19&gt;=10000,AC19&lt;=56999),AND(AC19&gt;=57000,AC19&lt;=57999))</formula>
    </cfRule>
    <cfRule type="expression" dxfId="24380" priority="10478" stopIfTrue="1">
      <formula>AND(AC19&gt;=8000,AC19&lt;=9999)</formula>
    </cfRule>
    <cfRule type="expression" dxfId="24379" priority="10479" stopIfTrue="1">
      <formula>AND(AC19&gt;=78100,AC19&lt;=78199)</formula>
    </cfRule>
    <cfRule type="expression" dxfId="24378" priority="10480" stopIfTrue="1">
      <formula>AND(AC19&gt;=92000,AC19&lt;=98999)</formula>
    </cfRule>
    <cfRule type="expression" dxfId="24377" priority="10481" stopIfTrue="1">
      <formula>AND(AC19&gt;=78100,AC19&lt;=78199)</formula>
    </cfRule>
    <cfRule type="expression" dxfId="24376" priority="10482" stopIfTrue="1">
      <formula>AND(AC19&gt;=91000,AC19&lt;=91999)</formula>
    </cfRule>
  </conditionalFormatting>
  <conditionalFormatting sqref="AB19">
    <cfRule type="expression" dxfId="24375" priority="10461">
      <formula>AND(AC19&gt;=79001,AC19&lt;79900)</formula>
    </cfRule>
    <cfRule type="expression" dxfId="24374" priority="10462" stopIfTrue="1">
      <formula>AND(AC19&gt;=70101,AC19&lt;=70301)</formula>
    </cfRule>
    <cfRule type="expression" dxfId="24373" priority="10463" stopIfTrue="1">
      <formula>AND(AC19&gt;70000,AC19&lt;70004)</formula>
    </cfRule>
    <cfRule type="expression" dxfId="24372" priority="10464" stopIfTrue="1">
      <formula>AND(AC19&gt;=70010,AC19&lt;=76000)</formula>
    </cfRule>
    <cfRule type="expression" dxfId="24371" priority="10465">
      <formula>AND(AC19&gt;70000,AC19&lt;70004)</formula>
    </cfRule>
    <cfRule type="expression" dxfId="24370" priority="10466" stopIfTrue="1">
      <formula>OR(AND(AC19&gt;=10000,AC19&lt;=56999),AND(AC19&gt;=57000,AC19&lt;=57999))</formula>
    </cfRule>
    <cfRule type="expression" dxfId="24369" priority="10467" stopIfTrue="1">
      <formula>AND(AC19&gt;=8000,AC19&lt;=9999)</formula>
    </cfRule>
    <cfRule type="expression" dxfId="24368" priority="10468" stopIfTrue="1">
      <formula>AND(AC19&gt;=78100,AC19&lt;=78199)</formula>
    </cfRule>
    <cfRule type="expression" dxfId="24367" priority="10469" stopIfTrue="1">
      <formula>AND(AC19&gt;=92000,AC19&lt;=98999)</formula>
    </cfRule>
    <cfRule type="expression" dxfId="24366" priority="10470" stopIfTrue="1">
      <formula>AND(AC19&gt;=78100,AC19&lt;=78199)</formula>
    </cfRule>
    <cfRule type="expression" dxfId="24365" priority="10471" stopIfTrue="1">
      <formula>AND(AC19&gt;=91000,AC19&lt;=91999)</formula>
    </cfRule>
  </conditionalFormatting>
  <conditionalFormatting sqref="AF19">
    <cfRule type="expression" dxfId="24364" priority="10450">
      <formula>AND(AG19&gt;=79001,AG19&lt;79900)</formula>
    </cfRule>
    <cfRule type="expression" dxfId="24363" priority="10451" stopIfTrue="1">
      <formula>AND(AG19&gt;=70101,AG19&lt;=70301)</formula>
    </cfRule>
    <cfRule type="expression" dxfId="24362" priority="10452" stopIfTrue="1">
      <formula>AND(AG19&gt;70000,AG19&lt;70004)</formula>
    </cfRule>
    <cfRule type="expression" dxfId="24361" priority="10453" stopIfTrue="1">
      <formula>AND(AG19&gt;=70010,AG19&lt;=76000)</formula>
    </cfRule>
    <cfRule type="expression" dxfId="24360" priority="10454">
      <formula>AND(AG19&gt;70000,AG19&lt;70004)</formula>
    </cfRule>
    <cfRule type="expression" dxfId="24359" priority="10455" stopIfTrue="1">
      <formula>OR(AND(AG19&gt;=10000,AG19&lt;=56999),AND(AG19&gt;=57000,AG19&lt;=57999))</formula>
    </cfRule>
    <cfRule type="expression" dxfId="24358" priority="10456" stopIfTrue="1">
      <formula>AND(AG19&gt;=8000,AG19&lt;=9999)</formula>
    </cfRule>
    <cfRule type="expression" dxfId="24357" priority="10457" stopIfTrue="1">
      <formula>AND(AG19&gt;=78100,AG19&lt;=78199)</formula>
    </cfRule>
    <cfRule type="expression" dxfId="24356" priority="10458" stopIfTrue="1">
      <formula>AND(AG19&gt;=92000,AG19&lt;=98999)</formula>
    </cfRule>
    <cfRule type="expression" dxfId="24355" priority="10459" stopIfTrue="1">
      <formula>AND(AG19&gt;=78100,AG19&lt;=78199)</formula>
    </cfRule>
    <cfRule type="expression" dxfId="24354" priority="10460" stopIfTrue="1">
      <formula>AND(AG19&gt;=91000,AG19&lt;=91999)</formula>
    </cfRule>
  </conditionalFormatting>
  <conditionalFormatting sqref="AF19">
    <cfRule type="expression" dxfId="24353" priority="10439">
      <formula>AND(AG19&gt;=79001,AG19&lt;79900)</formula>
    </cfRule>
    <cfRule type="expression" dxfId="24352" priority="10440" stopIfTrue="1">
      <formula>AND(AG19&gt;=70101,AG19&lt;=70301)</formula>
    </cfRule>
    <cfRule type="expression" dxfId="24351" priority="10441" stopIfTrue="1">
      <formula>AND(AG19&gt;70000,AG19&lt;70004)</formula>
    </cfRule>
    <cfRule type="expression" dxfId="24350" priority="10442" stopIfTrue="1">
      <formula>AND(AG19&gt;=70010,AG19&lt;=76000)</formula>
    </cfRule>
    <cfRule type="expression" dxfId="24349" priority="10443">
      <formula>AND(AG19&gt;70000,AG19&lt;70004)</formula>
    </cfRule>
    <cfRule type="expression" dxfId="24348" priority="10444" stopIfTrue="1">
      <formula>OR(AND(AG19&gt;=10000,AG19&lt;=56999),AND(AG19&gt;=57000,AG19&lt;=57999))</formula>
    </cfRule>
    <cfRule type="expression" dxfId="24347" priority="10445" stopIfTrue="1">
      <formula>AND(AG19&gt;=8000,AG19&lt;=9999)</formula>
    </cfRule>
    <cfRule type="expression" dxfId="24346" priority="10446" stopIfTrue="1">
      <formula>AND(AG19&gt;=78100,AG19&lt;=78199)</formula>
    </cfRule>
    <cfRule type="expression" dxfId="24345" priority="10447" stopIfTrue="1">
      <formula>AND(AG19&gt;=92000,AG19&lt;=98999)</formula>
    </cfRule>
    <cfRule type="expression" dxfId="24344" priority="10448" stopIfTrue="1">
      <formula>AND(AG19&gt;=78100,AG19&lt;=78199)</formula>
    </cfRule>
    <cfRule type="expression" dxfId="24343" priority="10449" stopIfTrue="1">
      <formula>AND(AG19&gt;=91000,AG19&lt;=91999)</formula>
    </cfRule>
  </conditionalFormatting>
  <conditionalFormatting sqref="AF19">
    <cfRule type="expression" dxfId="24342" priority="10428">
      <formula>AND(AG19&gt;=79001,AG19&lt;79900)</formula>
    </cfRule>
    <cfRule type="expression" dxfId="24341" priority="10429" stopIfTrue="1">
      <formula>AND(AG19&gt;=70101,AG19&lt;=70301)</formula>
    </cfRule>
    <cfRule type="expression" dxfId="24340" priority="10430" stopIfTrue="1">
      <formula>AND(AG19&gt;70000,AG19&lt;70004)</formula>
    </cfRule>
    <cfRule type="expression" dxfId="24339" priority="10431" stopIfTrue="1">
      <formula>AND(AG19&gt;=70010,AG19&lt;=76000)</formula>
    </cfRule>
    <cfRule type="expression" dxfId="24338" priority="10432">
      <formula>AND(AG19&gt;70000,AG19&lt;70004)</formula>
    </cfRule>
    <cfRule type="expression" dxfId="24337" priority="10433" stopIfTrue="1">
      <formula>OR(AND(AG19&gt;=10000,AG19&lt;=56999),AND(AG19&gt;=57000,AG19&lt;=57999))</formula>
    </cfRule>
    <cfRule type="expression" dxfId="24336" priority="10434" stopIfTrue="1">
      <formula>AND(AG19&gt;=8000,AG19&lt;=9999)</formula>
    </cfRule>
    <cfRule type="expression" dxfId="24335" priority="10435" stopIfTrue="1">
      <formula>AND(AG19&gt;=78100,AG19&lt;=78199)</formula>
    </cfRule>
    <cfRule type="expression" dxfId="24334" priority="10436" stopIfTrue="1">
      <formula>AND(AG19&gt;=92000,AG19&lt;=98999)</formula>
    </cfRule>
    <cfRule type="expression" dxfId="24333" priority="10437" stopIfTrue="1">
      <formula>AND(AG19&gt;=78100,AG19&lt;=78199)</formula>
    </cfRule>
    <cfRule type="expression" dxfId="24332" priority="10438" stopIfTrue="1">
      <formula>AND(AG19&gt;=91000,AG19&lt;=91999)</formula>
    </cfRule>
  </conditionalFormatting>
  <conditionalFormatting sqref="AF19">
    <cfRule type="expression" dxfId="24331" priority="10417">
      <formula>AND(AG19&gt;=79001,AG19&lt;79900)</formula>
    </cfRule>
    <cfRule type="expression" dxfId="24330" priority="10418" stopIfTrue="1">
      <formula>AND(AG19&gt;=70101,AG19&lt;=70301)</formula>
    </cfRule>
    <cfRule type="expression" dxfId="24329" priority="10419" stopIfTrue="1">
      <formula>AND(AG19&gt;70000,AG19&lt;70004)</formula>
    </cfRule>
    <cfRule type="expression" dxfId="24328" priority="10420" stopIfTrue="1">
      <formula>AND(AG19&gt;=70010,AG19&lt;=76000)</formula>
    </cfRule>
    <cfRule type="expression" dxfId="24327" priority="10421">
      <formula>AND(AG19&gt;70000,AG19&lt;70004)</formula>
    </cfRule>
    <cfRule type="expression" dxfId="24326" priority="10422" stopIfTrue="1">
      <formula>OR(AND(AG19&gt;=10000,AG19&lt;=56999),AND(AG19&gt;=57000,AG19&lt;=57999))</formula>
    </cfRule>
    <cfRule type="expression" dxfId="24325" priority="10423" stopIfTrue="1">
      <formula>AND(AG19&gt;=8000,AG19&lt;=9999)</formula>
    </cfRule>
    <cfRule type="expression" dxfId="24324" priority="10424" stopIfTrue="1">
      <formula>AND(AG19&gt;=78100,AG19&lt;=78199)</formula>
    </cfRule>
    <cfRule type="expression" dxfId="24323" priority="10425" stopIfTrue="1">
      <formula>AND(AG19&gt;=92000,AG19&lt;=98999)</formula>
    </cfRule>
    <cfRule type="expression" dxfId="24322" priority="10426" stopIfTrue="1">
      <formula>AND(AG19&gt;=78100,AG19&lt;=78199)</formula>
    </cfRule>
    <cfRule type="expression" dxfId="24321" priority="10427" stopIfTrue="1">
      <formula>AND(AG19&gt;=91000,AG19&lt;=91999)</formula>
    </cfRule>
  </conditionalFormatting>
  <conditionalFormatting sqref="T22">
    <cfRule type="expression" dxfId="24320" priority="10406">
      <formula>AND(U22&gt;=79001,U22&lt;79900)</formula>
    </cfRule>
    <cfRule type="expression" dxfId="24319" priority="10407" stopIfTrue="1">
      <formula>AND(U22&gt;=70101,U22&lt;=70301)</formula>
    </cfRule>
    <cfRule type="expression" dxfId="24318" priority="10408" stopIfTrue="1">
      <formula>AND(U22&gt;70000,U22&lt;70004)</formula>
    </cfRule>
    <cfRule type="expression" dxfId="24317" priority="10409" stopIfTrue="1">
      <formula>AND(U22&gt;=70010,U22&lt;=76000)</formula>
    </cfRule>
    <cfRule type="expression" dxfId="24316" priority="10410">
      <formula>AND(U22&gt;70000,U22&lt;70004)</formula>
    </cfRule>
    <cfRule type="expression" dxfId="24315" priority="10411" stopIfTrue="1">
      <formula>OR(AND(U22&gt;=10000,U22&lt;=56999),AND(U22&gt;=57000,U22&lt;=57999))</formula>
    </cfRule>
    <cfRule type="expression" dxfId="24314" priority="10412" stopIfTrue="1">
      <formula>AND(U22&gt;=8000,U22&lt;=9999)</formula>
    </cfRule>
    <cfRule type="expression" dxfId="24313" priority="10413" stopIfTrue="1">
      <formula>AND(U22&gt;=78100,U22&lt;=78199)</formula>
    </cfRule>
    <cfRule type="expression" dxfId="24312" priority="10414" stopIfTrue="1">
      <formula>AND(U22&gt;=92000,U22&lt;=98999)</formula>
    </cfRule>
    <cfRule type="expression" dxfId="24311" priority="10415" stopIfTrue="1">
      <formula>AND(U22&gt;=78100,U22&lt;=78199)</formula>
    </cfRule>
    <cfRule type="expression" dxfId="24310" priority="10416" stopIfTrue="1">
      <formula>AND(U22&gt;=91000,U22&lt;=91999)</formula>
    </cfRule>
  </conditionalFormatting>
  <conditionalFormatting sqref="T22">
    <cfRule type="expression" dxfId="24309" priority="10395">
      <formula>AND(U22&gt;=79001,U22&lt;79900)</formula>
    </cfRule>
    <cfRule type="expression" dxfId="24308" priority="10396" stopIfTrue="1">
      <formula>AND(U22&gt;=70101,U22&lt;=70301)</formula>
    </cfRule>
    <cfRule type="expression" dxfId="24307" priority="10397" stopIfTrue="1">
      <formula>AND(U22&gt;70000,U22&lt;70004)</formula>
    </cfRule>
    <cfRule type="expression" dxfId="24306" priority="10398" stopIfTrue="1">
      <formula>AND(U22&gt;=70010,U22&lt;=76000)</formula>
    </cfRule>
    <cfRule type="expression" dxfId="24305" priority="10399">
      <formula>AND(U22&gt;70000,U22&lt;70004)</formula>
    </cfRule>
    <cfRule type="expression" dxfId="24304" priority="10400" stopIfTrue="1">
      <formula>OR(AND(U22&gt;=10000,U22&lt;=56999),AND(U22&gt;=57000,U22&lt;=57999))</formula>
    </cfRule>
    <cfRule type="expression" dxfId="24303" priority="10401" stopIfTrue="1">
      <formula>AND(U22&gt;=8000,U22&lt;=9999)</formula>
    </cfRule>
    <cfRule type="expression" dxfId="24302" priority="10402" stopIfTrue="1">
      <formula>AND(U22&gt;=78100,U22&lt;=78199)</formula>
    </cfRule>
    <cfRule type="expression" dxfId="24301" priority="10403" stopIfTrue="1">
      <formula>AND(U22&gt;=92000,U22&lt;=98999)</formula>
    </cfRule>
    <cfRule type="expression" dxfId="24300" priority="10404" stopIfTrue="1">
      <formula>AND(U22&gt;=78100,U22&lt;=78199)</formula>
    </cfRule>
    <cfRule type="expression" dxfId="24299" priority="10405" stopIfTrue="1">
      <formula>AND(U22&gt;=91000,U22&lt;=91999)</formula>
    </cfRule>
  </conditionalFormatting>
  <conditionalFormatting sqref="T22">
    <cfRule type="expression" dxfId="24298" priority="10384">
      <formula>AND(U22&gt;=79001,U22&lt;79900)</formula>
    </cfRule>
    <cfRule type="expression" dxfId="24297" priority="10385" stopIfTrue="1">
      <formula>AND(U22&gt;=70101,U22&lt;=70301)</formula>
    </cfRule>
    <cfRule type="expression" dxfId="24296" priority="10386" stopIfTrue="1">
      <formula>AND(U22&gt;70000,U22&lt;70004)</formula>
    </cfRule>
    <cfRule type="expression" dxfId="24295" priority="10387" stopIfTrue="1">
      <formula>AND(U22&gt;=70010,U22&lt;=76000)</formula>
    </cfRule>
    <cfRule type="expression" dxfId="24294" priority="10388">
      <formula>AND(U22&gt;70000,U22&lt;70004)</formula>
    </cfRule>
    <cfRule type="expression" dxfId="24293" priority="10389" stopIfTrue="1">
      <formula>OR(AND(U22&gt;=10000,U22&lt;=56999),AND(U22&gt;=57000,U22&lt;=57999))</formula>
    </cfRule>
    <cfRule type="expression" dxfId="24292" priority="10390" stopIfTrue="1">
      <formula>AND(U22&gt;=8000,U22&lt;=9999)</formula>
    </cfRule>
    <cfRule type="expression" dxfId="24291" priority="10391" stopIfTrue="1">
      <formula>AND(U22&gt;=78100,U22&lt;=78199)</formula>
    </cfRule>
    <cfRule type="expression" dxfId="24290" priority="10392" stopIfTrue="1">
      <formula>AND(U22&gt;=92000,U22&lt;=98999)</formula>
    </cfRule>
    <cfRule type="expression" dxfId="24289" priority="10393" stopIfTrue="1">
      <formula>AND(U22&gt;=78100,U22&lt;=78199)</formula>
    </cfRule>
    <cfRule type="expression" dxfId="24288" priority="10394" stopIfTrue="1">
      <formula>AND(U22&gt;=91000,U22&lt;=91999)</formula>
    </cfRule>
  </conditionalFormatting>
  <conditionalFormatting sqref="T22">
    <cfRule type="expression" dxfId="24287" priority="10373">
      <formula>AND(U22&gt;=79001,U22&lt;79900)</formula>
    </cfRule>
    <cfRule type="expression" dxfId="24286" priority="10374" stopIfTrue="1">
      <formula>AND(U22&gt;=70101,U22&lt;=70301)</formula>
    </cfRule>
    <cfRule type="expression" dxfId="24285" priority="10375" stopIfTrue="1">
      <formula>AND(U22&gt;70000,U22&lt;70004)</formula>
    </cfRule>
    <cfRule type="expression" dxfId="24284" priority="10376" stopIfTrue="1">
      <formula>AND(U22&gt;=70010,U22&lt;=76000)</formula>
    </cfRule>
    <cfRule type="expression" dxfId="24283" priority="10377">
      <formula>AND(U22&gt;70000,U22&lt;70004)</formula>
    </cfRule>
    <cfRule type="expression" dxfId="24282" priority="10378" stopIfTrue="1">
      <formula>OR(AND(U22&gt;=10000,U22&lt;=56999),AND(U22&gt;=57000,U22&lt;=57999))</formula>
    </cfRule>
    <cfRule type="expression" dxfId="24281" priority="10379" stopIfTrue="1">
      <formula>AND(U22&gt;=8000,U22&lt;=9999)</formula>
    </cfRule>
    <cfRule type="expression" dxfId="24280" priority="10380" stopIfTrue="1">
      <formula>AND(U22&gt;=78100,U22&lt;=78199)</formula>
    </cfRule>
    <cfRule type="expression" dxfId="24279" priority="10381" stopIfTrue="1">
      <formula>AND(U22&gt;=92000,U22&lt;=98999)</formula>
    </cfRule>
    <cfRule type="expression" dxfId="24278" priority="10382" stopIfTrue="1">
      <formula>AND(U22&gt;=78100,U22&lt;=78199)</formula>
    </cfRule>
    <cfRule type="expression" dxfId="24277" priority="10383" stopIfTrue="1">
      <formula>AND(U22&gt;=91000,U22&lt;=91999)</formula>
    </cfRule>
  </conditionalFormatting>
  <conditionalFormatting sqref="X22">
    <cfRule type="expression" dxfId="24276" priority="10362">
      <formula>AND(Y22&gt;=79001,Y22&lt;79900)</formula>
    </cfRule>
    <cfRule type="expression" dxfId="24275" priority="10363" stopIfTrue="1">
      <formula>AND(Y22&gt;=70101,Y22&lt;=70301)</formula>
    </cfRule>
    <cfRule type="expression" dxfId="24274" priority="10364" stopIfTrue="1">
      <formula>AND(Y22&gt;70000,Y22&lt;70004)</formula>
    </cfRule>
    <cfRule type="expression" dxfId="24273" priority="10365" stopIfTrue="1">
      <formula>AND(Y22&gt;=70010,Y22&lt;=76000)</formula>
    </cfRule>
    <cfRule type="expression" dxfId="24272" priority="10366">
      <formula>AND(Y22&gt;70000,Y22&lt;70004)</formula>
    </cfRule>
    <cfRule type="expression" dxfId="24271" priority="10367" stopIfTrue="1">
      <formula>OR(AND(Y22&gt;=10000,Y22&lt;=56999),AND(Y22&gt;=57000,Y22&lt;=57999))</formula>
    </cfRule>
    <cfRule type="expression" dxfId="24270" priority="10368" stopIfTrue="1">
      <formula>AND(Y22&gt;=8000,Y22&lt;=9999)</formula>
    </cfRule>
    <cfRule type="expression" dxfId="24269" priority="10369" stopIfTrue="1">
      <formula>AND(Y22&gt;=78100,Y22&lt;=78199)</formula>
    </cfRule>
    <cfRule type="expression" dxfId="24268" priority="10370" stopIfTrue="1">
      <formula>AND(Y22&gt;=92000,Y22&lt;=98999)</formula>
    </cfRule>
    <cfRule type="expression" dxfId="24267" priority="10371" stopIfTrue="1">
      <formula>AND(Y22&gt;=78100,Y22&lt;=78199)</formula>
    </cfRule>
    <cfRule type="expression" dxfId="24266" priority="10372" stopIfTrue="1">
      <formula>AND(Y22&gt;=91000,Y22&lt;=91999)</formula>
    </cfRule>
  </conditionalFormatting>
  <conditionalFormatting sqref="X22">
    <cfRule type="expression" dxfId="24265" priority="10351">
      <formula>AND(Y22&gt;=79001,Y22&lt;79900)</formula>
    </cfRule>
    <cfRule type="expression" dxfId="24264" priority="10352" stopIfTrue="1">
      <formula>AND(Y22&gt;=70101,Y22&lt;=70301)</formula>
    </cfRule>
    <cfRule type="expression" dxfId="24263" priority="10353" stopIfTrue="1">
      <formula>AND(Y22&gt;70000,Y22&lt;70004)</formula>
    </cfRule>
    <cfRule type="expression" dxfId="24262" priority="10354" stopIfTrue="1">
      <formula>AND(Y22&gt;=70010,Y22&lt;=76000)</formula>
    </cfRule>
    <cfRule type="expression" dxfId="24261" priority="10355">
      <formula>AND(Y22&gt;70000,Y22&lt;70004)</formula>
    </cfRule>
    <cfRule type="expression" dxfId="24260" priority="10356" stopIfTrue="1">
      <formula>OR(AND(Y22&gt;=10000,Y22&lt;=56999),AND(Y22&gt;=57000,Y22&lt;=57999))</formula>
    </cfRule>
    <cfRule type="expression" dxfId="24259" priority="10357" stopIfTrue="1">
      <formula>AND(Y22&gt;=8000,Y22&lt;=9999)</formula>
    </cfRule>
    <cfRule type="expression" dxfId="24258" priority="10358" stopIfTrue="1">
      <formula>AND(Y22&gt;=78100,Y22&lt;=78199)</formula>
    </cfRule>
    <cfRule type="expression" dxfId="24257" priority="10359" stopIfTrue="1">
      <formula>AND(Y22&gt;=92000,Y22&lt;=98999)</formula>
    </cfRule>
    <cfRule type="expression" dxfId="24256" priority="10360" stopIfTrue="1">
      <formula>AND(Y22&gt;=78100,Y22&lt;=78199)</formula>
    </cfRule>
    <cfRule type="expression" dxfId="24255" priority="10361" stopIfTrue="1">
      <formula>AND(Y22&gt;=91000,Y22&lt;=91999)</formula>
    </cfRule>
  </conditionalFormatting>
  <conditionalFormatting sqref="X22">
    <cfRule type="expression" dxfId="24254" priority="10340">
      <formula>AND(Y22&gt;=79001,Y22&lt;79900)</formula>
    </cfRule>
    <cfRule type="expression" dxfId="24253" priority="10341" stopIfTrue="1">
      <formula>AND(Y22&gt;=70101,Y22&lt;=70301)</formula>
    </cfRule>
    <cfRule type="expression" dxfId="24252" priority="10342" stopIfTrue="1">
      <formula>AND(Y22&gt;70000,Y22&lt;70004)</formula>
    </cfRule>
    <cfRule type="expression" dxfId="24251" priority="10343" stopIfTrue="1">
      <formula>AND(Y22&gt;=70010,Y22&lt;=76000)</formula>
    </cfRule>
    <cfRule type="expression" dxfId="24250" priority="10344">
      <formula>AND(Y22&gt;70000,Y22&lt;70004)</formula>
    </cfRule>
    <cfRule type="expression" dxfId="24249" priority="10345" stopIfTrue="1">
      <formula>OR(AND(Y22&gt;=10000,Y22&lt;=56999),AND(Y22&gt;=57000,Y22&lt;=57999))</formula>
    </cfRule>
    <cfRule type="expression" dxfId="24248" priority="10346" stopIfTrue="1">
      <formula>AND(Y22&gt;=8000,Y22&lt;=9999)</formula>
    </cfRule>
    <cfRule type="expression" dxfId="24247" priority="10347" stopIfTrue="1">
      <formula>AND(Y22&gt;=78100,Y22&lt;=78199)</formula>
    </cfRule>
    <cfRule type="expression" dxfId="24246" priority="10348" stopIfTrue="1">
      <formula>AND(Y22&gt;=92000,Y22&lt;=98999)</formula>
    </cfRule>
    <cfRule type="expression" dxfId="24245" priority="10349" stopIfTrue="1">
      <formula>AND(Y22&gt;=78100,Y22&lt;=78199)</formula>
    </cfRule>
    <cfRule type="expression" dxfId="24244" priority="10350" stopIfTrue="1">
      <formula>AND(Y22&gt;=91000,Y22&lt;=91999)</formula>
    </cfRule>
  </conditionalFormatting>
  <conditionalFormatting sqref="X22">
    <cfRule type="expression" dxfId="24243" priority="10329">
      <formula>AND(Y22&gt;=79001,Y22&lt;79900)</formula>
    </cfRule>
    <cfRule type="expression" dxfId="24242" priority="10330" stopIfTrue="1">
      <formula>AND(Y22&gt;=70101,Y22&lt;=70301)</formula>
    </cfRule>
    <cfRule type="expression" dxfId="24241" priority="10331" stopIfTrue="1">
      <formula>AND(Y22&gt;70000,Y22&lt;70004)</formula>
    </cfRule>
    <cfRule type="expression" dxfId="24240" priority="10332" stopIfTrue="1">
      <formula>AND(Y22&gt;=70010,Y22&lt;=76000)</formula>
    </cfRule>
    <cfRule type="expression" dxfId="24239" priority="10333">
      <formula>AND(Y22&gt;70000,Y22&lt;70004)</formula>
    </cfRule>
    <cfRule type="expression" dxfId="24238" priority="10334" stopIfTrue="1">
      <formula>OR(AND(Y22&gt;=10000,Y22&lt;=56999),AND(Y22&gt;=57000,Y22&lt;=57999))</formula>
    </cfRule>
    <cfRule type="expression" dxfId="24237" priority="10335" stopIfTrue="1">
      <formula>AND(Y22&gt;=8000,Y22&lt;=9999)</formula>
    </cfRule>
    <cfRule type="expression" dxfId="24236" priority="10336" stopIfTrue="1">
      <formula>AND(Y22&gt;=78100,Y22&lt;=78199)</formula>
    </cfRule>
    <cfRule type="expression" dxfId="24235" priority="10337" stopIfTrue="1">
      <formula>AND(Y22&gt;=92000,Y22&lt;=98999)</formula>
    </cfRule>
    <cfRule type="expression" dxfId="24234" priority="10338" stopIfTrue="1">
      <formula>AND(Y22&gt;=78100,Y22&lt;=78199)</formula>
    </cfRule>
    <cfRule type="expression" dxfId="24233" priority="10339" stopIfTrue="1">
      <formula>AND(Y22&gt;=91000,Y22&lt;=91999)</formula>
    </cfRule>
  </conditionalFormatting>
  <conditionalFormatting sqref="AB22">
    <cfRule type="expression" dxfId="24232" priority="10318">
      <formula>AND(AC22&gt;=79001,AC22&lt;79900)</formula>
    </cfRule>
    <cfRule type="expression" dxfId="24231" priority="10319" stopIfTrue="1">
      <formula>AND(AC22&gt;=70101,AC22&lt;=70301)</formula>
    </cfRule>
    <cfRule type="expression" dxfId="24230" priority="10320" stopIfTrue="1">
      <formula>AND(AC22&gt;70000,AC22&lt;70004)</formula>
    </cfRule>
    <cfRule type="expression" dxfId="24229" priority="10321" stopIfTrue="1">
      <formula>AND(AC22&gt;=70010,AC22&lt;=76000)</formula>
    </cfRule>
    <cfRule type="expression" dxfId="24228" priority="10322">
      <formula>AND(AC22&gt;70000,AC22&lt;70004)</formula>
    </cfRule>
    <cfRule type="expression" dxfId="24227" priority="10323" stopIfTrue="1">
      <formula>OR(AND(AC22&gt;=10000,AC22&lt;=56999),AND(AC22&gt;=57000,AC22&lt;=57999))</formula>
    </cfRule>
    <cfRule type="expression" dxfId="24226" priority="10324" stopIfTrue="1">
      <formula>AND(AC22&gt;=8000,AC22&lt;=9999)</formula>
    </cfRule>
    <cfRule type="expression" dxfId="24225" priority="10325" stopIfTrue="1">
      <formula>AND(AC22&gt;=78100,AC22&lt;=78199)</formula>
    </cfRule>
    <cfRule type="expression" dxfId="24224" priority="10326" stopIfTrue="1">
      <formula>AND(AC22&gt;=92000,AC22&lt;=98999)</formula>
    </cfRule>
    <cfRule type="expression" dxfId="24223" priority="10327" stopIfTrue="1">
      <formula>AND(AC22&gt;=78100,AC22&lt;=78199)</formula>
    </cfRule>
    <cfRule type="expression" dxfId="24222" priority="10328" stopIfTrue="1">
      <formula>AND(AC22&gt;=91000,AC22&lt;=91999)</formula>
    </cfRule>
  </conditionalFormatting>
  <conditionalFormatting sqref="AB22">
    <cfRule type="expression" dxfId="24221" priority="10307">
      <formula>AND(AC22&gt;=79001,AC22&lt;79900)</formula>
    </cfRule>
    <cfRule type="expression" dxfId="24220" priority="10308" stopIfTrue="1">
      <formula>AND(AC22&gt;=70101,AC22&lt;=70301)</formula>
    </cfRule>
    <cfRule type="expression" dxfId="24219" priority="10309" stopIfTrue="1">
      <formula>AND(AC22&gt;70000,AC22&lt;70004)</formula>
    </cfRule>
    <cfRule type="expression" dxfId="24218" priority="10310" stopIfTrue="1">
      <formula>AND(AC22&gt;=70010,AC22&lt;=76000)</formula>
    </cfRule>
    <cfRule type="expression" dxfId="24217" priority="10311">
      <formula>AND(AC22&gt;70000,AC22&lt;70004)</formula>
    </cfRule>
    <cfRule type="expression" dxfId="24216" priority="10312" stopIfTrue="1">
      <formula>OR(AND(AC22&gt;=10000,AC22&lt;=56999),AND(AC22&gt;=57000,AC22&lt;=57999))</formula>
    </cfRule>
    <cfRule type="expression" dxfId="24215" priority="10313" stopIfTrue="1">
      <formula>AND(AC22&gt;=8000,AC22&lt;=9999)</formula>
    </cfRule>
    <cfRule type="expression" dxfId="24214" priority="10314" stopIfTrue="1">
      <formula>AND(AC22&gt;=78100,AC22&lt;=78199)</formula>
    </cfRule>
    <cfRule type="expression" dxfId="24213" priority="10315" stopIfTrue="1">
      <formula>AND(AC22&gt;=92000,AC22&lt;=98999)</formula>
    </cfRule>
    <cfRule type="expression" dxfId="24212" priority="10316" stopIfTrue="1">
      <formula>AND(AC22&gt;=78100,AC22&lt;=78199)</formula>
    </cfRule>
    <cfRule type="expression" dxfId="24211" priority="10317" stopIfTrue="1">
      <formula>AND(AC22&gt;=91000,AC22&lt;=91999)</formula>
    </cfRule>
  </conditionalFormatting>
  <conditionalFormatting sqref="AB22">
    <cfRule type="expression" dxfId="24210" priority="10296">
      <formula>AND(AC22&gt;=79001,AC22&lt;79900)</formula>
    </cfRule>
    <cfRule type="expression" dxfId="24209" priority="10297" stopIfTrue="1">
      <formula>AND(AC22&gt;=70101,AC22&lt;=70301)</formula>
    </cfRule>
    <cfRule type="expression" dxfId="24208" priority="10298" stopIfTrue="1">
      <formula>AND(AC22&gt;70000,AC22&lt;70004)</formula>
    </cfRule>
    <cfRule type="expression" dxfId="24207" priority="10299" stopIfTrue="1">
      <formula>AND(AC22&gt;=70010,AC22&lt;=76000)</formula>
    </cfRule>
    <cfRule type="expression" dxfId="24206" priority="10300">
      <formula>AND(AC22&gt;70000,AC22&lt;70004)</formula>
    </cfRule>
    <cfRule type="expression" dxfId="24205" priority="10301" stopIfTrue="1">
      <formula>OR(AND(AC22&gt;=10000,AC22&lt;=56999),AND(AC22&gt;=57000,AC22&lt;=57999))</formula>
    </cfRule>
    <cfRule type="expression" dxfId="24204" priority="10302" stopIfTrue="1">
      <formula>AND(AC22&gt;=8000,AC22&lt;=9999)</formula>
    </cfRule>
    <cfRule type="expression" dxfId="24203" priority="10303" stopIfTrue="1">
      <formula>AND(AC22&gt;=78100,AC22&lt;=78199)</formula>
    </cfRule>
    <cfRule type="expression" dxfId="24202" priority="10304" stopIfTrue="1">
      <formula>AND(AC22&gt;=92000,AC22&lt;=98999)</formula>
    </cfRule>
    <cfRule type="expression" dxfId="24201" priority="10305" stopIfTrue="1">
      <formula>AND(AC22&gt;=78100,AC22&lt;=78199)</formula>
    </cfRule>
    <cfRule type="expression" dxfId="24200" priority="10306" stopIfTrue="1">
      <formula>AND(AC22&gt;=91000,AC22&lt;=91999)</formula>
    </cfRule>
  </conditionalFormatting>
  <conditionalFormatting sqref="AB22">
    <cfRule type="expression" dxfId="24199" priority="10285">
      <formula>AND(AC22&gt;=79001,AC22&lt;79900)</formula>
    </cfRule>
    <cfRule type="expression" dxfId="24198" priority="10286" stopIfTrue="1">
      <formula>AND(AC22&gt;=70101,AC22&lt;=70301)</formula>
    </cfRule>
    <cfRule type="expression" dxfId="24197" priority="10287" stopIfTrue="1">
      <formula>AND(AC22&gt;70000,AC22&lt;70004)</formula>
    </cfRule>
    <cfRule type="expression" dxfId="24196" priority="10288" stopIfTrue="1">
      <formula>AND(AC22&gt;=70010,AC22&lt;=76000)</formula>
    </cfRule>
    <cfRule type="expression" dxfId="24195" priority="10289">
      <formula>AND(AC22&gt;70000,AC22&lt;70004)</formula>
    </cfRule>
    <cfRule type="expression" dxfId="24194" priority="10290" stopIfTrue="1">
      <formula>OR(AND(AC22&gt;=10000,AC22&lt;=56999),AND(AC22&gt;=57000,AC22&lt;=57999))</formula>
    </cfRule>
    <cfRule type="expression" dxfId="24193" priority="10291" stopIfTrue="1">
      <formula>AND(AC22&gt;=8000,AC22&lt;=9999)</formula>
    </cfRule>
    <cfRule type="expression" dxfId="24192" priority="10292" stopIfTrue="1">
      <formula>AND(AC22&gt;=78100,AC22&lt;=78199)</formula>
    </cfRule>
    <cfRule type="expression" dxfId="24191" priority="10293" stopIfTrue="1">
      <formula>AND(AC22&gt;=92000,AC22&lt;=98999)</formula>
    </cfRule>
    <cfRule type="expression" dxfId="24190" priority="10294" stopIfTrue="1">
      <formula>AND(AC22&gt;=78100,AC22&lt;=78199)</formula>
    </cfRule>
    <cfRule type="expression" dxfId="24189" priority="10295" stopIfTrue="1">
      <formula>AND(AC22&gt;=91000,AC22&lt;=91999)</formula>
    </cfRule>
  </conditionalFormatting>
  <conditionalFormatting sqref="AF22">
    <cfRule type="expression" dxfId="24188" priority="10274">
      <formula>AND(AG22&gt;=79001,AG22&lt;79900)</formula>
    </cfRule>
    <cfRule type="expression" dxfId="24187" priority="10275" stopIfTrue="1">
      <formula>AND(AG22&gt;=70101,AG22&lt;=70301)</formula>
    </cfRule>
    <cfRule type="expression" dxfId="24186" priority="10276" stopIfTrue="1">
      <formula>AND(AG22&gt;70000,AG22&lt;70004)</formula>
    </cfRule>
    <cfRule type="expression" dxfId="24185" priority="10277" stopIfTrue="1">
      <formula>AND(AG22&gt;=70010,AG22&lt;=76000)</formula>
    </cfRule>
    <cfRule type="expression" dxfId="24184" priority="10278">
      <formula>AND(AG22&gt;70000,AG22&lt;70004)</formula>
    </cfRule>
    <cfRule type="expression" dxfId="24183" priority="10279" stopIfTrue="1">
      <formula>OR(AND(AG22&gt;=10000,AG22&lt;=56999),AND(AG22&gt;=57000,AG22&lt;=57999))</formula>
    </cfRule>
    <cfRule type="expression" dxfId="24182" priority="10280" stopIfTrue="1">
      <formula>AND(AG22&gt;=8000,AG22&lt;=9999)</formula>
    </cfRule>
    <cfRule type="expression" dxfId="24181" priority="10281" stopIfTrue="1">
      <formula>AND(AG22&gt;=78100,AG22&lt;=78199)</formula>
    </cfRule>
    <cfRule type="expression" dxfId="24180" priority="10282" stopIfTrue="1">
      <formula>AND(AG22&gt;=92000,AG22&lt;=98999)</formula>
    </cfRule>
    <cfRule type="expression" dxfId="24179" priority="10283" stopIfTrue="1">
      <formula>AND(AG22&gt;=78100,AG22&lt;=78199)</formula>
    </cfRule>
    <cfRule type="expression" dxfId="24178" priority="10284" stopIfTrue="1">
      <formula>AND(AG22&gt;=91000,AG22&lt;=91999)</formula>
    </cfRule>
  </conditionalFormatting>
  <conditionalFormatting sqref="AF22">
    <cfRule type="expression" dxfId="24177" priority="10263">
      <formula>AND(AG22&gt;=79001,AG22&lt;79900)</formula>
    </cfRule>
    <cfRule type="expression" dxfId="24176" priority="10264" stopIfTrue="1">
      <formula>AND(AG22&gt;=70101,AG22&lt;=70301)</formula>
    </cfRule>
    <cfRule type="expression" dxfId="24175" priority="10265" stopIfTrue="1">
      <formula>AND(AG22&gt;70000,AG22&lt;70004)</formula>
    </cfRule>
    <cfRule type="expression" dxfId="24174" priority="10266" stopIfTrue="1">
      <formula>AND(AG22&gt;=70010,AG22&lt;=76000)</formula>
    </cfRule>
    <cfRule type="expression" dxfId="24173" priority="10267">
      <formula>AND(AG22&gt;70000,AG22&lt;70004)</formula>
    </cfRule>
    <cfRule type="expression" dxfId="24172" priority="10268" stopIfTrue="1">
      <formula>OR(AND(AG22&gt;=10000,AG22&lt;=56999),AND(AG22&gt;=57000,AG22&lt;=57999))</formula>
    </cfRule>
    <cfRule type="expression" dxfId="24171" priority="10269" stopIfTrue="1">
      <formula>AND(AG22&gt;=8000,AG22&lt;=9999)</formula>
    </cfRule>
    <cfRule type="expression" dxfId="24170" priority="10270" stopIfTrue="1">
      <formula>AND(AG22&gt;=78100,AG22&lt;=78199)</formula>
    </cfRule>
    <cfRule type="expression" dxfId="24169" priority="10271" stopIfTrue="1">
      <formula>AND(AG22&gt;=92000,AG22&lt;=98999)</formula>
    </cfRule>
    <cfRule type="expression" dxfId="24168" priority="10272" stopIfTrue="1">
      <formula>AND(AG22&gt;=78100,AG22&lt;=78199)</formula>
    </cfRule>
    <cfRule type="expression" dxfId="24167" priority="10273" stopIfTrue="1">
      <formula>AND(AG22&gt;=91000,AG22&lt;=91999)</formula>
    </cfRule>
  </conditionalFormatting>
  <conditionalFormatting sqref="AF22">
    <cfRule type="expression" dxfId="24166" priority="10252">
      <formula>AND(AG22&gt;=79001,AG22&lt;79900)</formula>
    </cfRule>
    <cfRule type="expression" dxfId="24165" priority="10253" stopIfTrue="1">
      <formula>AND(AG22&gt;=70101,AG22&lt;=70301)</formula>
    </cfRule>
    <cfRule type="expression" dxfId="24164" priority="10254" stopIfTrue="1">
      <formula>AND(AG22&gt;70000,AG22&lt;70004)</formula>
    </cfRule>
    <cfRule type="expression" dxfId="24163" priority="10255" stopIfTrue="1">
      <formula>AND(AG22&gt;=70010,AG22&lt;=76000)</formula>
    </cfRule>
    <cfRule type="expression" dxfId="24162" priority="10256">
      <formula>AND(AG22&gt;70000,AG22&lt;70004)</formula>
    </cfRule>
    <cfRule type="expression" dxfId="24161" priority="10257" stopIfTrue="1">
      <formula>OR(AND(AG22&gt;=10000,AG22&lt;=56999),AND(AG22&gt;=57000,AG22&lt;=57999))</formula>
    </cfRule>
    <cfRule type="expression" dxfId="24160" priority="10258" stopIfTrue="1">
      <formula>AND(AG22&gt;=8000,AG22&lt;=9999)</formula>
    </cfRule>
    <cfRule type="expression" dxfId="24159" priority="10259" stopIfTrue="1">
      <formula>AND(AG22&gt;=78100,AG22&lt;=78199)</formula>
    </cfRule>
    <cfRule type="expression" dxfId="24158" priority="10260" stopIfTrue="1">
      <formula>AND(AG22&gt;=92000,AG22&lt;=98999)</formula>
    </cfRule>
    <cfRule type="expression" dxfId="24157" priority="10261" stopIfTrue="1">
      <formula>AND(AG22&gt;=78100,AG22&lt;=78199)</formula>
    </cfRule>
    <cfRule type="expression" dxfId="24156" priority="10262" stopIfTrue="1">
      <formula>AND(AG22&gt;=91000,AG22&lt;=91999)</formula>
    </cfRule>
  </conditionalFormatting>
  <conditionalFormatting sqref="AF22">
    <cfRule type="expression" dxfId="24155" priority="10241">
      <formula>AND(AG22&gt;=79001,AG22&lt;79900)</formula>
    </cfRule>
    <cfRule type="expression" dxfId="24154" priority="10242" stopIfTrue="1">
      <formula>AND(AG22&gt;=70101,AG22&lt;=70301)</formula>
    </cfRule>
    <cfRule type="expression" dxfId="24153" priority="10243" stopIfTrue="1">
      <formula>AND(AG22&gt;70000,AG22&lt;70004)</formula>
    </cfRule>
    <cfRule type="expression" dxfId="24152" priority="10244" stopIfTrue="1">
      <formula>AND(AG22&gt;=70010,AG22&lt;=76000)</formula>
    </cfRule>
    <cfRule type="expression" dxfId="24151" priority="10245">
      <formula>AND(AG22&gt;70000,AG22&lt;70004)</formula>
    </cfRule>
    <cfRule type="expression" dxfId="24150" priority="10246" stopIfTrue="1">
      <formula>OR(AND(AG22&gt;=10000,AG22&lt;=56999),AND(AG22&gt;=57000,AG22&lt;=57999))</formula>
    </cfRule>
    <cfRule type="expression" dxfId="24149" priority="10247" stopIfTrue="1">
      <formula>AND(AG22&gt;=8000,AG22&lt;=9999)</formula>
    </cfRule>
    <cfRule type="expression" dxfId="24148" priority="10248" stopIfTrue="1">
      <formula>AND(AG22&gt;=78100,AG22&lt;=78199)</formula>
    </cfRule>
    <cfRule type="expression" dxfId="24147" priority="10249" stopIfTrue="1">
      <formula>AND(AG22&gt;=92000,AG22&lt;=98999)</formula>
    </cfRule>
    <cfRule type="expression" dxfId="24146" priority="10250" stopIfTrue="1">
      <formula>AND(AG22&gt;=78100,AG22&lt;=78199)</formula>
    </cfRule>
    <cfRule type="expression" dxfId="24145" priority="10251" stopIfTrue="1">
      <formula>AND(AG22&gt;=91000,AG22&lt;=91999)</formula>
    </cfRule>
  </conditionalFormatting>
  <conditionalFormatting sqref="T25">
    <cfRule type="expression" dxfId="24144" priority="10230">
      <formula>AND(U25&gt;=79001,U25&lt;79900)</formula>
    </cfRule>
    <cfRule type="expression" dxfId="24143" priority="10231" stopIfTrue="1">
      <formula>AND(U25&gt;=70101,U25&lt;=70301)</formula>
    </cfRule>
    <cfRule type="expression" dxfId="24142" priority="10232" stopIfTrue="1">
      <formula>AND(U25&gt;70000,U25&lt;70004)</formula>
    </cfRule>
    <cfRule type="expression" dxfId="24141" priority="10233" stopIfTrue="1">
      <formula>AND(U25&gt;=70010,U25&lt;=76000)</formula>
    </cfRule>
    <cfRule type="expression" dxfId="24140" priority="10234">
      <formula>AND(U25&gt;70000,U25&lt;70004)</formula>
    </cfRule>
    <cfRule type="expression" dxfId="24139" priority="10235" stopIfTrue="1">
      <formula>OR(AND(U25&gt;=10000,U25&lt;=56999),AND(U25&gt;=57000,U25&lt;=57999))</formula>
    </cfRule>
    <cfRule type="expression" dxfId="24138" priority="10236" stopIfTrue="1">
      <formula>AND(U25&gt;=8000,U25&lt;=9999)</formula>
    </cfRule>
    <cfRule type="expression" dxfId="24137" priority="10237" stopIfTrue="1">
      <formula>AND(U25&gt;=78100,U25&lt;=78199)</formula>
    </cfRule>
    <cfRule type="expression" dxfId="24136" priority="10238" stopIfTrue="1">
      <formula>AND(U25&gt;=92000,U25&lt;=98999)</formula>
    </cfRule>
    <cfRule type="expression" dxfId="24135" priority="10239" stopIfTrue="1">
      <formula>AND(U25&gt;=78100,U25&lt;=78199)</formula>
    </cfRule>
    <cfRule type="expression" dxfId="24134" priority="10240" stopIfTrue="1">
      <formula>AND(U25&gt;=91000,U25&lt;=91999)</formula>
    </cfRule>
  </conditionalFormatting>
  <conditionalFormatting sqref="T25">
    <cfRule type="expression" dxfId="24133" priority="10219">
      <formula>AND(U25&gt;=79001,U25&lt;79900)</formula>
    </cfRule>
    <cfRule type="expression" dxfId="24132" priority="10220" stopIfTrue="1">
      <formula>AND(U25&gt;=70101,U25&lt;=70301)</formula>
    </cfRule>
    <cfRule type="expression" dxfId="24131" priority="10221" stopIfTrue="1">
      <formula>AND(U25&gt;70000,U25&lt;70004)</formula>
    </cfRule>
    <cfRule type="expression" dxfId="24130" priority="10222" stopIfTrue="1">
      <formula>AND(U25&gt;=70010,U25&lt;=76000)</formula>
    </cfRule>
    <cfRule type="expression" dxfId="24129" priority="10223">
      <formula>AND(U25&gt;70000,U25&lt;70004)</formula>
    </cfRule>
    <cfRule type="expression" dxfId="24128" priority="10224" stopIfTrue="1">
      <formula>OR(AND(U25&gt;=10000,U25&lt;=56999),AND(U25&gt;=57000,U25&lt;=57999))</formula>
    </cfRule>
    <cfRule type="expression" dxfId="24127" priority="10225" stopIfTrue="1">
      <formula>AND(U25&gt;=8000,U25&lt;=9999)</formula>
    </cfRule>
    <cfRule type="expression" dxfId="24126" priority="10226" stopIfTrue="1">
      <formula>AND(U25&gt;=78100,U25&lt;=78199)</formula>
    </cfRule>
    <cfRule type="expression" dxfId="24125" priority="10227" stopIfTrue="1">
      <formula>AND(U25&gt;=92000,U25&lt;=98999)</formula>
    </cfRule>
    <cfRule type="expression" dxfId="24124" priority="10228" stopIfTrue="1">
      <formula>AND(U25&gt;=78100,U25&lt;=78199)</formula>
    </cfRule>
    <cfRule type="expression" dxfId="24123" priority="10229" stopIfTrue="1">
      <formula>AND(U25&gt;=91000,U25&lt;=91999)</formula>
    </cfRule>
  </conditionalFormatting>
  <conditionalFormatting sqref="T25">
    <cfRule type="expression" dxfId="24122" priority="10208">
      <formula>AND(U25&gt;=79001,U25&lt;79900)</formula>
    </cfRule>
    <cfRule type="expression" dxfId="24121" priority="10209" stopIfTrue="1">
      <formula>AND(U25&gt;=70101,U25&lt;=70301)</formula>
    </cfRule>
    <cfRule type="expression" dxfId="24120" priority="10210" stopIfTrue="1">
      <formula>AND(U25&gt;70000,U25&lt;70004)</formula>
    </cfRule>
    <cfRule type="expression" dxfId="24119" priority="10211" stopIfTrue="1">
      <formula>AND(U25&gt;=70010,U25&lt;=76000)</formula>
    </cfRule>
    <cfRule type="expression" dxfId="24118" priority="10212">
      <formula>AND(U25&gt;70000,U25&lt;70004)</formula>
    </cfRule>
    <cfRule type="expression" dxfId="24117" priority="10213" stopIfTrue="1">
      <formula>OR(AND(U25&gt;=10000,U25&lt;=56999),AND(U25&gt;=57000,U25&lt;=57999))</formula>
    </cfRule>
    <cfRule type="expression" dxfId="24116" priority="10214" stopIfTrue="1">
      <formula>AND(U25&gt;=8000,U25&lt;=9999)</formula>
    </cfRule>
    <cfRule type="expression" dxfId="24115" priority="10215" stopIfTrue="1">
      <formula>AND(U25&gt;=78100,U25&lt;=78199)</formula>
    </cfRule>
    <cfRule type="expression" dxfId="24114" priority="10216" stopIfTrue="1">
      <formula>AND(U25&gt;=92000,U25&lt;=98999)</formula>
    </cfRule>
    <cfRule type="expression" dxfId="24113" priority="10217" stopIfTrue="1">
      <formula>AND(U25&gt;=78100,U25&lt;=78199)</formula>
    </cfRule>
    <cfRule type="expression" dxfId="24112" priority="10218" stopIfTrue="1">
      <formula>AND(U25&gt;=91000,U25&lt;=91999)</formula>
    </cfRule>
  </conditionalFormatting>
  <conditionalFormatting sqref="T25">
    <cfRule type="expression" dxfId="24111" priority="10197">
      <formula>AND(U25&gt;=79001,U25&lt;79900)</formula>
    </cfRule>
    <cfRule type="expression" dxfId="24110" priority="10198" stopIfTrue="1">
      <formula>AND(U25&gt;=70101,U25&lt;=70301)</formula>
    </cfRule>
    <cfRule type="expression" dxfId="24109" priority="10199" stopIfTrue="1">
      <formula>AND(U25&gt;70000,U25&lt;70004)</formula>
    </cfRule>
    <cfRule type="expression" dxfId="24108" priority="10200" stopIfTrue="1">
      <formula>AND(U25&gt;=70010,U25&lt;=76000)</formula>
    </cfRule>
    <cfRule type="expression" dxfId="24107" priority="10201">
      <formula>AND(U25&gt;70000,U25&lt;70004)</formula>
    </cfRule>
    <cfRule type="expression" dxfId="24106" priority="10202" stopIfTrue="1">
      <formula>OR(AND(U25&gt;=10000,U25&lt;=56999),AND(U25&gt;=57000,U25&lt;=57999))</formula>
    </cfRule>
    <cfRule type="expression" dxfId="24105" priority="10203" stopIfTrue="1">
      <formula>AND(U25&gt;=8000,U25&lt;=9999)</formula>
    </cfRule>
    <cfRule type="expression" dxfId="24104" priority="10204" stopIfTrue="1">
      <formula>AND(U25&gt;=78100,U25&lt;=78199)</formula>
    </cfRule>
    <cfRule type="expression" dxfId="24103" priority="10205" stopIfTrue="1">
      <formula>AND(U25&gt;=92000,U25&lt;=98999)</formula>
    </cfRule>
    <cfRule type="expression" dxfId="24102" priority="10206" stopIfTrue="1">
      <formula>AND(U25&gt;=78100,U25&lt;=78199)</formula>
    </cfRule>
    <cfRule type="expression" dxfId="24101" priority="10207" stopIfTrue="1">
      <formula>AND(U25&gt;=91000,U25&lt;=91999)</formula>
    </cfRule>
  </conditionalFormatting>
  <conditionalFormatting sqref="X25">
    <cfRule type="expression" dxfId="24100" priority="10186">
      <formula>AND(Y25&gt;=79001,Y25&lt;79900)</formula>
    </cfRule>
    <cfRule type="expression" dxfId="24099" priority="10187" stopIfTrue="1">
      <formula>AND(Y25&gt;=70101,Y25&lt;=70301)</formula>
    </cfRule>
    <cfRule type="expression" dxfId="24098" priority="10188" stopIfTrue="1">
      <formula>AND(Y25&gt;70000,Y25&lt;70004)</formula>
    </cfRule>
    <cfRule type="expression" dxfId="24097" priority="10189" stopIfTrue="1">
      <formula>AND(Y25&gt;=70010,Y25&lt;=76000)</formula>
    </cfRule>
    <cfRule type="expression" dxfId="24096" priority="10190">
      <formula>AND(Y25&gt;70000,Y25&lt;70004)</formula>
    </cfRule>
    <cfRule type="expression" dxfId="24095" priority="10191" stopIfTrue="1">
      <formula>OR(AND(Y25&gt;=10000,Y25&lt;=56999),AND(Y25&gt;=57000,Y25&lt;=57999))</formula>
    </cfRule>
    <cfRule type="expression" dxfId="24094" priority="10192" stopIfTrue="1">
      <formula>AND(Y25&gt;=8000,Y25&lt;=9999)</formula>
    </cfRule>
    <cfRule type="expression" dxfId="24093" priority="10193" stopIfTrue="1">
      <formula>AND(Y25&gt;=78100,Y25&lt;=78199)</formula>
    </cfRule>
    <cfRule type="expression" dxfId="24092" priority="10194" stopIfTrue="1">
      <formula>AND(Y25&gt;=92000,Y25&lt;=98999)</formula>
    </cfRule>
    <cfRule type="expression" dxfId="24091" priority="10195" stopIfTrue="1">
      <formula>AND(Y25&gt;=78100,Y25&lt;=78199)</formula>
    </cfRule>
    <cfRule type="expression" dxfId="24090" priority="10196" stopIfTrue="1">
      <formula>AND(Y25&gt;=91000,Y25&lt;=91999)</formula>
    </cfRule>
  </conditionalFormatting>
  <conditionalFormatting sqref="X25">
    <cfRule type="expression" dxfId="24089" priority="10175">
      <formula>AND(Y25&gt;=79001,Y25&lt;79900)</formula>
    </cfRule>
    <cfRule type="expression" dxfId="24088" priority="10176" stopIfTrue="1">
      <formula>AND(Y25&gt;=70101,Y25&lt;=70301)</formula>
    </cfRule>
    <cfRule type="expression" dxfId="24087" priority="10177" stopIfTrue="1">
      <formula>AND(Y25&gt;70000,Y25&lt;70004)</formula>
    </cfRule>
    <cfRule type="expression" dxfId="24086" priority="10178" stopIfTrue="1">
      <formula>AND(Y25&gt;=70010,Y25&lt;=76000)</formula>
    </cfRule>
    <cfRule type="expression" dxfId="24085" priority="10179">
      <formula>AND(Y25&gt;70000,Y25&lt;70004)</formula>
    </cfRule>
    <cfRule type="expression" dxfId="24084" priority="10180" stopIfTrue="1">
      <formula>OR(AND(Y25&gt;=10000,Y25&lt;=56999),AND(Y25&gt;=57000,Y25&lt;=57999))</formula>
    </cfRule>
    <cfRule type="expression" dxfId="24083" priority="10181" stopIfTrue="1">
      <formula>AND(Y25&gt;=8000,Y25&lt;=9999)</formula>
    </cfRule>
    <cfRule type="expression" dxfId="24082" priority="10182" stopIfTrue="1">
      <formula>AND(Y25&gt;=78100,Y25&lt;=78199)</formula>
    </cfRule>
    <cfRule type="expression" dxfId="24081" priority="10183" stopIfTrue="1">
      <formula>AND(Y25&gt;=92000,Y25&lt;=98999)</formula>
    </cfRule>
    <cfRule type="expression" dxfId="24080" priority="10184" stopIfTrue="1">
      <formula>AND(Y25&gt;=78100,Y25&lt;=78199)</formula>
    </cfRule>
    <cfRule type="expression" dxfId="24079" priority="10185" stopIfTrue="1">
      <formula>AND(Y25&gt;=91000,Y25&lt;=91999)</formula>
    </cfRule>
  </conditionalFormatting>
  <conditionalFormatting sqref="X25">
    <cfRule type="expression" dxfId="24078" priority="10164">
      <formula>AND(Y25&gt;=79001,Y25&lt;79900)</formula>
    </cfRule>
    <cfRule type="expression" dxfId="24077" priority="10165" stopIfTrue="1">
      <formula>AND(Y25&gt;=70101,Y25&lt;=70301)</formula>
    </cfRule>
    <cfRule type="expression" dxfId="24076" priority="10166" stopIfTrue="1">
      <formula>AND(Y25&gt;70000,Y25&lt;70004)</formula>
    </cfRule>
    <cfRule type="expression" dxfId="24075" priority="10167" stopIfTrue="1">
      <formula>AND(Y25&gt;=70010,Y25&lt;=76000)</formula>
    </cfRule>
    <cfRule type="expression" dxfId="24074" priority="10168">
      <formula>AND(Y25&gt;70000,Y25&lt;70004)</formula>
    </cfRule>
    <cfRule type="expression" dxfId="24073" priority="10169" stopIfTrue="1">
      <formula>OR(AND(Y25&gt;=10000,Y25&lt;=56999),AND(Y25&gt;=57000,Y25&lt;=57999))</formula>
    </cfRule>
    <cfRule type="expression" dxfId="24072" priority="10170" stopIfTrue="1">
      <formula>AND(Y25&gt;=8000,Y25&lt;=9999)</formula>
    </cfRule>
    <cfRule type="expression" dxfId="24071" priority="10171" stopIfTrue="1">
      <formula>AND(Y25&gt;=78100,Y25&lt;=78199)</formula>
    </cfRule>
    <cfRule type="expression" dxfId="24070" priority="10172" stopIfTrue="1">
      <formula>AND(Y25&gt;=92000,Y25&lt;=98999)</formula>
    </cfRule>
    <cfRule type="expression" dxfId="24069" priority="10173" stopIfTrue="1">
      <formula>AND(Y25&gt;=78100,Y25&lt;=78199)</formula>
    </cfRule>
    <cfRule type="expression" dxfId="24068" priority="10174" stopIfTrue="1">
      <formula>AND(Y25&gt;=91000,Y25&lt;=91999)</formula>
    </cfRule>
  </conditionalFormatting>
  <conditionalFormatting sqref="X25">
    <cfRule type="expression" dxfId="24067" priority="10153">
      <formula>AND(Y25&gt;=79001,Y25&lt;79900)</formula>
    </cfRule>
    <cfRule type="expression" dxfId="24066" priority="10154" stopIfTrue="1">
      <formula>AND(Y25&gt;=70101,Y25&lt;=70301)</formula>
    </cfRule>
    <cfRule type="expression" dxfId="24065" priority="10155" stopIfTrue="1">
      <formula>AND(Y25&gt;70000,Y25&lt;70004)</formula>
    </cfRule>
    <cfRule type="expression" dxfId="24064" priority="10156" stopIfTrue="1">
      <formula>AND(Y25&gt;=70010,Y25&lt;=76000)</formula>
    </cfRule>
    <cfRule type="expression" dxfId="24063" priority="10157">
      <formula>AND(Y25&gt;70000,Y25&lt;70004)</formula>
    </cfRule>
    <cfRule type="expression" dxfId="24062" priority="10158" stopIfTrue="1">
      <formula>OR(AND(Y25&gt;=10000,Y25&lt;=56999),AND(Y25&gt;=57000,Y25&lt;=57999))</formula>
    </cfRule>
    <cfRule type="expression" dxfId="24061" priority="10159" stopIfTrue="1">
      <formula>AND(Y25&gt;=8000,Y25&lt;=9999)</formula>
    </cfRule>
    <cfRule type="expression" dxfId="24060" priority="10160" stopIfTrue="1">
      <formula>AND(Y25&gt;=78100,Y25&lt;=78199)</formula>
    </cfRule>
    <cfRule type="expression" dxfId="24059" priority="10161" stopIfTrue="1">
      <formula>AND(Y25&gt;=92000,Y25&lt;=98999)</formula>
    </cfRule>
    <cfRule type="expression" dxfId="24058" priority="10162" stopIfTrue="1">
      <formula>AND(Y25&gt;=78100,Y25&lt;=78199)</formula>
    </cfRule>
    <cfRule type="expression" dxfId="24057" priority="10163" stopIfTrue="1">
      <formula>AND(Y25&gt;=91000,Y25&lt;=91999)</formula>
    </cfRule>
  </conditionalFormatting>
  <conditionalFormatting sqref="AB25">
    <cfRule type="expression" dxfId="24056" priority="10142">
      <formula>AND(AC25&gt;=79001,AC25&lt;79900)</formula>
    </cfRule>
    <cfRule type="expression" dxfId="24055" priority="10143" stopIfTrue="1">
      <formula>AND(AC25&gt;=70101,AC25&lt;=70301)</formula>
    </cfRule>
    <cfRule type="expression" dxfId="24054" priority="10144" stopIfTrue="1">
      <formula>AND(AC25&gt;70000,AC25&lt;70004)</formula>
    </cfRule>
    <cfRule type="expression" dxfId="24053" priority="10145" stopIfTrue="1">
      <formula>AND(AC25&gt;=70010,AC25&lt;=76000)</formula>
    </cfRule>
    <cfRule type="expression" dxfId="24052" priority="10146">
      <formula>AND(AC25&gt;70000,AC25&lt;70004)</formula>
    </cfRule>
    <cfRule type="expression" dxfId="24051" priority="10147" stopIfTrue="1">
      <formula>OR(AND(AC25&gt;=10000,AC25&lt;=56999),AND(AC25&gt;=57000,AC25&lt;=57999))</formula>
    </cfRule>
    <cfRule type="expression" dxfId="24050" priority="10148" stopIfTrue="1">
      <formula>AND(AC25&gt;=8000,AC25&lt;=9999)</formula>
    </cfRule>
    <cfRule type="expression" dxfId="24049" priority="10149" stopIfTrue="1">
      <formula>AND(AC25&gt;=78100,AC25&lt;=78199)</formula>
    </cfRule>
    <cfRule type="expression" dxfId="24048" priority="10150" stopIfTrue="1">
      <formula>AND(AC25&gt;=92000,AC25&lt;=98999)</formula>
    </cfRule>
    <cfRule type="expression" dxfId="24047" priority="10151" stopIfTrue="1">
      <formula>AND(AC25&gt;=78100,AC25&lt;=78199)</formula>
    </cfRule>
    <cfRule type="expression" dxfId="24046" priority="10152" stopIfTrue="1">
      <formula>AND(AC25&gt;=91000,AC25&lt;=91999)</formula>
    </cfRule>
  </conditionalFormatting>
  <conditionalFormatting sqref="AB25">
    <cfRule type="expression" dxfId="24045" priority="10131">
      <formula>AND(AC25&gt;=79001,AC25&lt;79900)</formula>
    </cfRule>
    <cfRule type="expression" dxfId="24044" priority="10132" stopIfTrue="1">
      <formula>AND(AC25&gt;=70101,AC25&lt;=70301)</formula>
    </cfRule>
    <cfRule type="expression" dxfId="24043" priority="10133" stopIfTrue="1">
      <formula>AND(AC25&gt;70000,AC25&lt;70004)</formula>
    </cfRule>
    <cfRule type="expression" dxfId="24042" priority="10134" stopIfTrue="1">
      <formula>AND(AC25&gt;=70010,AC25&lt;=76000)</formula>
    </cfRule>
    <cfRule type="expression" dxfId="24041" priority="10135">
      <formula>AND(AC25&gt;70000,AC25&lt;70004)</formula>
    </cfRule>
    <cfRule type="expression" dxfId="24040" priority="10136" stopIfTrue="1">
      <formula>OR(AND(AC25&gt;=10000,AC25&lt;=56999),AND(AC25&gt;=57000,AC25&lt;=57999))</formula>
    </cfRule>
    <cfRule type="expression" dxfId="24039" priority="10137" stopIfTrue="1">
      <formula>AND(AC25&gt;=8000,AC25&lt;=9999)</formula>
    </cfRule>
    <cfRule type="expression" dxfId="24038" priority="10138" stopIfTrue="1">
      <formula>AND(AC25&gt;=78100,AC25&lt;=78199)</formula>
    </cfRule>
    <cfRule type="expression" dxfId="24037" priority="10139" stopIfTrue="1">
      <formula>AND(AC25&gt;=92000,AC25&lt;=98999)</formula>
    </cfRule>
    <cfRule type="expression" dxfId="24036" priority="10140" stopIfTrue="1">
      <formula>AND(AC25&gt;=78100,AC25&lt;=78199)</formula>
    </cfRule>
    <cfRule type="expression" dxfId="24035" priority="10141" stopIfTrue="1">
      <formula>AND(AC25&gt;=91000,AC25&lt;=91999)</formula>
    </cfRule>
  </conditionalFormatting>
  <conditionalFormatting sqref="AB25">
    <cfRule type="expression" dxfId="24034" priority="10120">
      <formula>AND(AC25&gt;=79001,AC25&lt;79900)</formula>
    </cfRule>
    <cfRule type="expression" dxfId="24033" priority="10121" stopIfTrue="1">
      <formula>AND(AC25&gt;=70101,AC25&lt;=70301)</formula>
    </cfRule>
    <cfRule type="expression" dxfId="24032" priority="10122" stopIfTrue="1">
      <formula>AND(AC25&gt;70000,AC25&lt;70004)</formula>
    </cfRule>
    <cfRule type="expression" dxfId="24031" priority="10123" stopIfTrue="1">
      <formula>AND(AC25&gt;=70010,AC25&lt;=76000)</formula>
    </cfRule>
    <cfRule type="expression" dxfId="24030" priority="10124">
      <formula>AND(AC25&gt;70000,AC25&lt;70004)</formula>
    </cfRule>
    <cfRule type="expression" dxfId="24029" priority="10125" stopIfTrue="1">
      <formula>OR(AND(AC25&gt;=10000,AC25&lt;=56999),AND(AC25&gt;=57000,AC25&lt;=57999))</formula>
    </cfRule>
    <cfRule type="expression" dxfId="24028" priority="10126" stopIfTrue="1">
      <formula>AND(AC25&gt;=8000,AC25&lt;=9999)</formula>
    </cfRule>
    <cfRule type="expression" dxfId="24027" priority="10127" stopIfTrue="1">
      <formula>AND(AC25&gt;=78100,AC25&lt;=78199)</formula>
    </cfRule>
    <cfRule type="expression" dxfId="24026" priority="10128" stopIfTrue="1">
      <formula>AND(AC25&gt;=92000,AC25&lt;=98999)</formula>
    </cfRule>
    <cfRule type="expression" dxfId="24025" priority="10129" stopIfTrue="1">
      <formula>AND(AC25&gt;=78100,AC25&lt;=78199)</formula>
    </cfRule>
    <cfRule type="expression" dxfId="24024" priority="10130" stopIfTrue="1">
      <formula>AND(AC25&gt;=91000,AC25&lt;=91999)</formula>
    </cfRule>
  </conditionalFormatting>
  <conditionalFormatting sqref="AB25">
    <cfRule type="expression" dxfId="24023" priority="10109">
      <formula>AND(AC25&gt;=79001,AC25&lt;79900)</formula>
    </cfRule>
    <cfRule type="expression" dxfId="24022" priority="10110" stopIfTrue="1">
      <formula>AND(AC25&gt;=70101,AC25&lt;=70301)</formula>
    </cfRule>
    <cfRule type="expression" dxfId="24021" priority="10111" stopIfTrue="1">
      <formula>AND(AC25&gt;70000,AC25&lt;70004)</formula>
    </cfRule>
    <cfRule type="expression" dxfId="24020" priority="10112" stopIfTrue="1">
      <formula>AND(AC25&gt;=70010,AC25&lt;=76000)</formula>
    </cfRule>
    <cfRule type="expression" dxfId="24019" priority="10113">
      <formula>AND(AC25&gt;70000,AC25&lt;70004)</formula>
    </cfRule>
    <cfRule type="expression" dxfId="24018" priority="10114" stopIfTrue="1">
      <formula>OR(AND(AC25&gt;=10000,AC25&lt;=56999),AND(AC25&gt;=57000,AC25&lt;=57999))</formula>
    </cfRule>
    <cfRule type="expression" dxfId="24017" priority="10115" stopIfTrue="1">
      <formula>AND(AC25&gt;=8000,AC25&lt;=9999)</formula>
    </cfRule>
    <cfRule type="expression" dxfId="24016" priority="10116" stopIfTrue="1">
      <formula>AND(AC25&gt;=78100,AC25&lt;=78199)</formula>
    </cfRule>
    <cfRule type="expression" dxfId="24015" priority="10117" stopIfTrue="1">
      <formula>AND(AC25&gt;=92000,AC25&lt;=98999)</formula>
    </cfRule>
    <cfRule type="expression" dxfId="24014" priority="10118" stopIfTrue="1">
      <formula>AND(AC25&gt;=78100,AC25&lt;=78199)</formula>
    </cfRule>
    <cfRule type="expression" dxfId="24013" priority="10119" stopIfTrue="1">
      <formula>AND(AC25&gt;=91000,AC25&lt;=91999)</formula>
    </cfRule>
  </conditionalFormatting>
  <conditionalFormatting sqref="AF25">
    <cfRule type="expression" dxfId="24012" priority="10098">
      <formula>AND(AG25&gt;=79001,AG25&lt;79900)</formula>
    </cfRule>
    <cfRule type="expression" dxfId="24011" priority="10099" stopIfTrue="1">
      <formula>AND(AG25&gt;=70101,AG25&lt;=70301)</formula>
    </cfRule>
    <cfRule type="expression" dxfId="24010" priority="10100" stopIfTrue="1">
      <formula>AND(AG25&gt;70000,AG25&lt;70004)</formula>
    </cfRule>
    <cfRule type="expression" dxfId="24009" priority="10101" stopIfTrue="1">
      <formula>AND(AG25&gt;=70010,AG25&lt;=76000)</formula>
    </cfRule>
    <cfRule type="expression" dxfId="24008" priority="10102">
      <formula>AND(AG25&gt;70000,AG25&lt;70004)</formula>
    </cfRule>
    <cfRule type="expression" dxfId="24007" priority="10103" stopIfTrue="1">
      <formula>OR(AND(AG25&gt;=10000,AG25&lt;=56999),AND(AG25&gt;=57000,AG25&lt;=57999))</formula>
    </cfRule>
    <cfRule type="expression" dxfId="24006" priority="10104" stopIfTrue="1">
      <formula>AND(AG25&gt;=8000,AG25&lt;=9999)</formula>
    </cfRule>
    <cfRule type="expression" dxfId="24005" priority="10105" stopIfTrue="1">
      <formula>AND(AG25&gt;=78100,AG25&lt;=78199)</formula>
    </cfRule>
    <cfRule type="expression" dxfId="24004" priority="10106" stopIfTrue="1">
      <formula>AND(AG25&gt;=92000,AG25&lt;=98999)</formula>
    </cfRule>
    <cfRule type="expression" dxfId="24003" priority="10107" stopIfTrue="1">
      <formula>AND(AG25&gt;=78100,AG25&lt;=78199)</formula>
    </cfRule>
    <cfRule type="expression" dxfId="24002" priority="10108" stopIfTrue="1">
      <formula>AND(AG25&gt;=91000,AG25&lt;=91999)</formula>
    </cfRule>
  </conditionalFormatting>
  <conditionalFormatting sqref="AF25">
    <cfRule type="expression" dxfId="24001" priority="10087">
      <formula>AND(AG25&gt;=79001,AG25&lt;79900)</formula>
    </cfRule>
    <cfRule type="expression" dxfId="24000" priority="10088" stopIfTrue="1">
      <formula>AND(AG25&gt;=70101,AG25&lt;=70301)</formula>
    </cfRule>
    <cfRule type="expression" dxfId="23999" priority="10089" stopIfTrue="1">
      <formula>AND(AG25&gt;70000,AG25&lt;70004)</formula>
    </cfRule>
    <cfRule type="expression" dxfId="23998" priority="10090" stopIfTrue="1">
      <formula>AND(AG25&gt;=70010,AG25&lt;=76000)</formula>
    </cfRule>
    <cfRule type="expression" dxfId="23997" priority="10091">
      <formula>AND(AG25&gt;70000,AG25&lt;70004)</formula>
    </cfRule>
    <cfRule type="expression" dxfId="23996" priority="10092" stopIfTrue="1">
      <formula>OR(AND(AG25&gt;=10000,AG25&lt;=56999),AND(AG25&gt;=57000,AG25&lt;=57999))</formula>
    </cfRule>
    <cfRule type="expression" dxfId="23995" priority="10093" stopIfTrue="1">
      <formula>AND(AG25&gt;=8000,AG25&lt;=9999)</formula>
    </cfRule>
    <cfRule type="expression" dxfId="23994" priority="10094" stopIfTrue="1">
      <formula>AND(AG25&gt;=78100,AG25&lt;=78199)</formula>
    </cfRule>
    <cfRule type="expression" dxfId="23993" priority="10095" stopIfTrue="1">
      <formula>AND(AG25&gt;=92000,AG25&lt;=98999)</formula>
    </cfRule>
    <cfRule type="expression" dxfId="23992" priority="10096" stopIfTrue="1">
      <formula>AND(AG25&gt;=78100,AG25&lt;=78199)</formula>
    </cfRule>
    <cfRule type="expression" dxfId="23991" priority="10097" stopIfTrue="1">
      <formula>AND(AG25&gt;=91000,AG25&lt;=91999)</formula>
    </cfRule>
  </conditionalFormatting>
  <conditionalFormatting sqref="AF25">
    <cfRule type="expression" dxfId="23990" priority="10076">
      <formula>AND(AG25&gt;=79001,AG25&lt;79900)</formula>
    </cfRule>
    <cfRule type="expression" dxfId="23989" priority="10077" stopIfTrue="1">
      <formula>AND(AG25&gt;=70101,AG25&lt;=70301)</formula>
    </cfRule>
    <cfRule type="expression" dxfId="23988" priority="10078" stopIfTrue="1">
      <formula>AND(AG25&gt;70000,AG25&lt;70004)</formula>
    </cfRule>
    <cfRule type="expression" dxfId="23987" priority="10079" stopIfTrue="1">
      <formula>AND(AG25&gt;=70010,AG25&lt;=76000)</formula>
    </cfRule>
    <cfRule type="expression" dxfId="23986" priority="10080">
      <formula>AND(AG25&gt;70000,AG25&lt;70004)</formula>
    </cfRule>
    <cfRule type="expression" dxfId="23985" priority="10081" stopIfTrue="1">
      <formula>OR(AND(AG25&gt;=10000,AG25&lt;=56999),AND(AG25&gt;=57000,AG25&lt;=57999))</formula>
    </cfRule>
    <cfRule type="expression" dxfId="23984" priority="10082" stopIfTrue="1">
      <formula>AND(AG25&gt;=8000,AG25&lt;=9999)</formula>
    </cfRule>
    <cfRule type="expression" dxfId="23983" priority="10083" stopIfTrue="1">
      <formula>AND(AG25&gt;=78100,AG25&lt;=78199)</formula>
    </cfRule>
    <cfRule type="expression" dxfId="23982" priority="10084" stopIfTrue="1">
      <formula>AND(AG25&gt;=92000,AG25&lt;=98999)</formula>
    </cfRule>
    <cfRule type="expression" dxfId="23981" priority="10085" stopIfTrue="1">
      <formula>AND(AG25&gt;=78100,AG25&lt;=78199)</formula>
    </cfRule>
    <cfRule type="expression" dxfId="23980" priority="10086" stopIfTrue="1">
      <formula>AND(AG25&gt;=91000,AG25&lt;=91999)</formula>
    </cfRule>
  </conditionalFormatting>
  <conditionalFormatting sqref="AF25">
    <cfRule type="expression" dxfId="23979" priority="10065">
      <formula>AND(AG25&gt;=79001,AG25&lt;79900)</formula>
    </cfRule>
    <cfRule type="expression" dxfId="23978" priority="10066" stopIfTrue="1">
      <formula>AND(AG25&gt;=70101,AG25&lt;=70301)</formula>
    </cfRule>
    <cfRule type="expression" dxfId="23977" priority="10067" stopIfTrue="1">
      <formula>AND(AG25&gt;70000,AG25&lt;70004)</formula>
    </cfRule>
    <cfRule type="expression" dxfId="23976" priority="10068" stopIfTrue="1">
      <formula>AND(AG25&gt;=70010,AG25&lt;=76000)</formula>
    </cfRule>
    <cfRule type="expression" dxfId="23975" priority="10069">
      <formula>AND(AG25&gt;70000,AG25&lt;70004)</formula>
    </cfRule>
    <cfRule type="expression" dxfId="23974" priority="10070" stopIfTrue="1">
      <formula>OR(AND(AG25&gt;=10000,AG25&lt;=56999),AND(AG25&gt;=57000,AG25&lt;=57999))</formula>
    </cfRule>
    <cfRule type="expression" dxfId="23973" priority="10071" stopIfTrue="1">
      <formula>AND(AG25&gt;=8000,AG25&lt;=9999)</formula>
    </cfRule>
    <cfRule type="expression" dxfId="23972" priority="10072" stopIfTrue="1">
      <formula>AND(AG25&gt;=78100,AG25&lt;=78199)</formula>
    </cfRule>
    <cfRule type="expression" dxfId="23971" priority="10073" stopIfTrue="1">
      <formula>AND(AG25&gt;=92000,AG25&lt;=98999)</formula>
    </cfRule>
    <cfRule type="expression" dxfId="23970" priority="10074" stopIfTrue="1">
      <formula>AND(AG25&gt;=78100,AG25&lt;=78199)</formula>
    </cfRule>
    <cfRule type="expression" dxfId="23969" priority="10075" stopIfTrue="1">
      <formula>AND(AG25&gt;=91000,AG25&lt;=91999)</formula>
    </cfRule>
  </conditionalFormatting>
  <conditionalFormatting sqref="X28">
    <cfRule type="expression" dxfId="23968" priority="10054">
      <formula>AND(Y28&gt;=79001,Y28&lt;79900)</formula>
    </cfRule>
    <cfRule type="expression" dxfId="23967" priority="10055" stopIfTrue="1">
      <formula>AND(Y28&gt;=70101,Y28&lt;=70301)</formula>
    </cfRule>
    <cfRule type="expression" dxfId="23966" priority="10056" stopIfTrue="1">
      <formula>AND(Y28&gt;70000,Y28&lt;70004)</formula>
    </cfRule>
    <cfRule type="expression" dxfId="23965" priority="10057" stopIfTrue="1">
      <formula>AND(Y28&gt;=70010,Y28&lt;=76000)</formula>
    </cfRule>
    <cfRule type="expression" dxfId="23964" priority="10058">
      <formula>AND(Y28&gt;70000,Y28&lt;70004)</formula>
    </cfRule>
    <cfRule type="expression" dxfId="23963" priority="10059" stopIfTrue="1">
      <formula>OR(AND(Y28&gt;=10000,Y28&lt;=56999),AND(Y28&gt;=57000,Y28&lt;=57999))</formula>
    </cfRule>
    <cfRule type="expression" dxfId="23962" priority="10060" stopIfTrue="1">
      <formula>AND(Y28&gt;=8000,Y28&lt;=9999)</formula>
    </cfRule>
    <cfRule type="expression" dxfId="23961" priority="10061" stopIfTrue="1">
      <formula>AND(Y28&gt;=78100,Y28&lt;=78199)</formula>
    </cfRule>
    <cfRule type="expression" dxfId="23960" priority="10062" stopIfTrue="1">
      <formula>AND(Y28&gt;=92000,Y28&lt;=98999)</formula>
    </cfRule>
    <cfRule type="expression" dxfId="23959" priority="10063" stopIfTrue="1">
      <formula>AND(Y28&gt;=78100,Y28&lt;=78199)</formula>
    </cfRule>
    <cfRule type="expression" dxfId="23958" priority="10064" stopIfTrue="1">
      <formula>AND(Y28&gt;=91000,Y28&lt;=91999)</formula>
    </cfRule>
  </conditionalFormatting>
  <conditionalFormatting sqref="X28">
    <cfRule type="expression" dxfId="23957" priority="10043">
      <formula>AND(Y28&gt;=79001,Y28&lt;79900)</formula>
    </cfRule>
    <cfRule type="expression" dxfId="23956" priority="10044" stopIfTrue="1">
      <formula>AND(Y28&gt;=70101,Y28&lt;=70301)</formula>
    </cfRule>
    <cfRule type="expression" dxfId="23955" priority="10045" stopIfTrue="1">
      <formula>AND(Y28&gt;70000,Y28&lt;70004)</formula>
    </cfRule>
    <cfRule type="expression" dxfId="23954" priority="10046" stopIfTrue="1">
      <formula>AND(Y28&gt;=70010,Y28&lt;=76000)</formula>
    </cfRule>
    <cfRule type="expression" dxfId="23953" priority="10047">
      <formula>AND(Y28&gt;70000,Y28&lt;70004)</formula>
    </cfRule>
    <cfRule type="expression" dxfId="23952" priority="10048" stopIfTrue="1">
      <formula>OR(AND(Y28&gt;=10000,Y28&lt;=56999),AND(Y28&gt;=57000,Y28&lt;=57999))</formula>
    </cfRule>
    <cfRule type="expression" dxfId="23951" priority="10049" stopIfTrue="1">
      <formula>AND(Y28&gt;=8000,Y28&lt;=9999)</formula>
    </cfRule>
    <cfRule type="expression" dxfId="23950" priority="10050" stopIfTrue="1">
      <formula>AND(Y28&gt;=78100,Y28&lt;=78199)</formula>
    </cfRule>
    <cfRule type="expression" dxfId="23949" priority="10051" stopIfTrue="1">
      <formula>AND(Y28&gt;=92000,Y28&lt;=98999)</formula>
    </cfRule>
    <cfRule type="expression" dxfId="23948" priority="10052" stopIfTrue="1">
      <formula>AND(Y28&gt;=78100,Y28&lt;=78199)</formula>
    </cfRule>
    <cfRule type="expression" dxfId="23947" priority="10053" stopIfTrue="1">
      <formula>AND(Y28&gt;=91000,Y28&lt;=91999)</formula>
    </cfRule>
  </conditionalFormatting>
  <conditionalFormatting sqref="X28">
    <cfRule type="expression" dxfId="23946" priority="10032">
      <formula>AND(Y28&gt;=79001,Y28&lt;79900)</formula>
    </cfRule>
    <cfRule type="expression" dxfId="23945" priority="10033" stopIfTrue="1">
      <formula>AND(Y28&gt;=70101,Y28&lt;=70301)</formula>
    </cfRule>
    <cfRule type="expression" dxfId="23944" priority="10034" stopIfTrue="1">
      <formula>AND(Y28&gt;70000,Y28&lt;70004)</formula>
    </cfRule>
    <cfRule type="expression" dxfId="23943" priority="10035" stopIfTrue="1">
      <formula>AND(Y28&gt;=70010,Y28&lt;=76000)</formula>
    </cfRule>
    <cfRule type="expression" dxfId="23942" priority="10036">
      <formula>AND(Y28&gt;70000,Y28&lt;70004)</formula>
    </cfRule>
    <cfRule type="expression" dxfId="23941" priority="10037" stopIfTrue="1">
      <formula>OR(AND(Y28&gt;=10000,Y28&lt;=56999),AND(Y28&gt;=57000,Y28&lt;=57999))</formula>
    </cfRule>
    <cfRule type="expression" dxfId="23940" priority="10038" stopIfTrue="1">
      <formula>AND(Y28&gt;=8000,Y28&lt;=9999)</formula>
    </cfRule>
    <cfRule type="expression" dxfId="23939" priority="10039" stopIfTrue="1">
      <formula>AND(Y28&gt;=78100,Y28&lt;=78199)</formula>
    </cfRule>
    <cfRule type="expression" dxfId="23938" priority="10040" stopIfTrue="1">
      <formula>AND(Y28&gt;=92000,Y28&lt;=98999)</formula>
    </cfRule>
    <cfRule type="expression" dxfId="23937" priority="10041" stopIfTrue="1">
      <formula>AND(Y28&gt;=78100,Y28&lt;=78199)</formula>
    </cfRule>
    <cfRule type="expression" dxfId="23936" priority="10042" stopIfTrue="1">
      <formula>AND(Y28&gt;=91000,Y28&lt;=91999)</formula>
    </cfRule>
  </conditionalFormatting>
  <conditionalFormatting sqref="X28">
    <cfRule type="expression" dxfId="23935" priority="10021">
      <formula>AND(Y28&gt;=79001,Y28&lt;79900)</formula>
    </cfRule>
    <cfRule type="expression" dxfId="23934" priority="10022" stopIfTrue="1">
      <formula>AND(Y28&gt;=70101,Y28&lt;=70301)</formula>
    </cfRule>
    <cfRule type="expression" dxfId="23933" priority="10023" stopIfTrue="1">
      <formula>AND(Y28&gt;70000,Y28&lt;70004)</formula>
    </cfRule>
    <cfRule type="expression" dxfId="23932" priority="10024" stopIfTrue="1">
      <formula>AND(Y28&gt;=70010,Y28&lt;=76000)</formula>
    </cfRule>
    <cfRule type="expression" dxfId="23931" priority="10025">
      <formula>AND(Y28&gt;70000,Y28&lt;70004)</formula>
    </cfRule>
    <cfRule type="expression" dxfId="23930" priority="10026" stopIfTrue="1">
      <formula>OR(AND(Y28&gt;=10000,Y28&lt;=56999),AND(Y28&gt;=57000,Y28&lt;=57999))</formula>
    </cfRule>
    <cfRule type="expression" dxfId="23929" priority="10027" stopIfTrue="1">
      <formula>AND(Y28&gt;=8000,Y28&lt;=9999)</formula>
    </cfRule>
    <cfRule type="expression" dxfId="23928" priority="10028" stopIfTrue="1">
      <formula>AND(Y28&gt;=78100,Y28&lt;=78199)</formula>
    </cfRule>
    <cfRule type="expression" dxfId="23927" priority="10029" stopIfTrue="1">
      <formula>AND(Y28&gt;=92000,Y28&lt;=98999)</formula>
    </cfRule>
    <cfRule type="expression" dxfId="23926" priority="10030" stopIfTrue="1">
      <formula>AND(Y28&gt;=78100,Y28&lt;=78199)</formula>
    </cfRule>
    <cfRule type="expression" dxfId="23925" priority="10031" stopIfTrue="1">
      <formula>AND(Y28&gt;=91000,Y28&lt;=91999)</formula>
    </cfRule>
  </conditionalFormatting>
  <conditionalFormatting sqref="AB28">
    <cfRule type="expression" dxfId="23924" priority="10010">
      <formula>AND(AC28&gt;=79001,AC28&lt;79900)</formula>
    </cfRule>
    <cfRule type="expression" dxfId="23923" priority="10011" stopIfTrue="1">
      <formula>AND(AC28&gt;=70101,AC28&lt;=70301)</formula>
    </cfRule>
    <cfRule type="expression" dxfId="23922" priority="10012" stopIfTrue="1">
      <formula>AND(AC28&gt;70000,AC28&lt;70004)</formula>
    </cfRule>
    <cfRule type="expression" dxfId="23921" priority="10013" stopIfTrue="1">
      <formula>AND(AC28&gt;=70010,AC28&lt;=76000)</formula>
    </cfRule>
    <cfRule type="expression" dxfId="23920" priority="10014">
      <formula>AND(AC28&gt;70000,AC28&lt;70004)</formula>
    </cfRule>
    <cfRule type="expression" dxfId="23919" priority="10015" stopIfTrue="1">
      <formula>OR(AND(AC28&gt;=10000,AC28&lt;=56999),AND(AC28&gt;=57000,AC28&lt;=57999))</formula>
    </cfRule>
    <cfRule type="expression" dxfId="23918" priority="10016" stopIfTrue="1">
      <formula>AND(AC28&gt;=8000,AC28&lt;=9999)</formula>
    </cfRule>
    <cfRule type="expression" dxfId="23917" priority="10017" stopIfTrue="1">
      <formula>AND(AC28&gt;=78100,AC28&lt;=78199)</formula>
    </cfRule>
    <cfRule type="expression" dxfId="23916" priority="10018" stopIfTrue="1">
      <formula>AND(AC28&gt;=92000,AC28&lt;=98999)</formula>
    </cfRule>
    <cfRule type="expression" dxfId="23915" priority="10019" stopIfTrue="1">
      <formula>AND(AC28&gt;=78100,AC28&lt;=78199)</formula>
    </cfRule>
    <cfRule type="expression" dxfId="23914" priority="10020" stopIfTrue="1">
      <formula>AND(AC28&gt;=91000,AC28&lt;=91999)</formula>
    </cfRule>
  </conditionalFormatting>
  <conditionalFormatting sqref="AB28">
    <cfRule type="expression" dxfId="23913" priority="9999">
      <formula>AND(AC28&gt;=79001,AC28&lt;79900)</formula>
    </cfRule>
    <cfRule type="expression" dxfId="23912" priority="10000" stopIfTrue="1">
      <formula>AND(AC28&gt;=70101,AC28&lt;=70301)</formula>
    </cfRule>
    <cfRule type="expression" dxfId="23911" priority="10001" stopIfTrue="1">
      <formula>AND(AC28&gt;70000,AC28&lt;70004)</formula>
    </cfRule>
    <cfRule type="expression" dxfId="23910" priority="10002" stopIfTrue="1">
      <formula>AND(AC28&gt;=70010,AC28&lt;=76000)</formula>
    </cfRule>
    <cfRule type="expression" dxfId="23909" priority="10003">
      <formula>AND(AC28&gt;70000,AC28&lt;70004)</formula>
    </cfRule>
    <cfRule type="expression" dxfId="23908" priority="10004" stopIfTrue="1">
      <formula>OR(AND(AC28&gt;=10000,AC28&lt;=56999),AND(AC28&gt;=57000,AC28&lt;=57999))</formula>
    </cfRule>
    <cfRule type="expression" dxfId="23907" priority="10005" stopIfTrue="1">
      <formula>AND(AC28&gt;=8000,AC28&lt;=9999)</formula>
    </cfRule>
    <cfRule type="expression" dxfId="23906" priority="10006" stopIfTrue="1">
      <formula>AND(AC28&gt;=78100,AC28&lt;=78199)</formula>
    </cfRule>
    <cfRule type="expression" dxfId="23905" priority="10007" stopIfTrue="1">
      <formula>AND(AC28&gt;=92000,AC28&lt;=98999)</formula>
    </cfRule>
    <cfRule type="expression" dxfId="23904" priority="10008" stopIfTrue="1">
      <formula>AND(AC28&gt;=78100,AC28&lt;=78199)</formula>
    </cfRule>
    <cfRule type="expression" dxfId="23903" priority="10009" stopIfTrue="1">
      <formula>AND(AC28&gt;=91000,AC28&lt;=91999)</formula>
    </cfRule>
  </conditionalFormatting>
  <conditionalFormatting sqref="AB28">
    <cfRule type="expression" dxfId="23902" priority="9988">
      <formula>AND(AC28&gt;=79001,AC28&lt;79900)</formula>
    </cfRule>
    <cfRule type="expression" dxfId="23901" priority="9989" stopIfTrue="1">
      <formula>AND(AC28&gt;=70101,AC28&lt;=70301)</formula>
    </cfRule>
    <cfRule type="expression" dxfId="23900" priority="9990" stopIfTrue="1">
      <formula>AND(AC28&gt;70000,AC28&lt;70004)</formula>
    </cfRule>
    <cfRule type="expression" dxfId="23899" priority="9991" stopIfTrue="1">
      <formula>AND(AC28&gt;=70010,AC28&lt;=76000)</formula>
    </cfRule>
    <cfRule type="expression" dxfId="23898" priority="9992">
      <formula>AND(AC28&gt;70000,AC28&lt;70004)</formula>
    </cfRule>
    <cfRule type="expression" dxfId="23897" priority="9993" stopIfTrue="1">
      <formula>OR(AND(AC28&gt;=10000,AC28&lt;=56999),AND(AC28&gt;=57000,AC28&lt;=57999))</formula>
    </cfRule>
    <cfRule type="expression" dxfId="23896" priority="9994" stopIfTrue="1">
      <formula>AND(AC28&gt;=8000,AC28&lt;=9999)</formula>
    </cfRule>
    <cfRule type="expression" dxfId="23895" priority="9995" stopIfTrue="1">
      <formula>AND(AC28&gt;=78100,AC28&lt;=78199)</formula>
    </cfRule>
    <cfRule type="expression" dxfId="23894" priority="9996" stopIfTrue="1">
      <formula>AND(AC28&gt;=92000,AC28&lt;=98999)</formula>
    </cfRule>
    <cfRule type="expression" dxfId="23893" priority="9997" stopIfTrue="1">
      <formula>AND(AC28&gt;=78100,AC28&lt;=78199)</formula>
    </cfRule>
    <cfRule type="expression" dxfId="23892" priority="9998" stopIfTrue="1">
      <formula>AND(AC28&gt;=91000,AC28&lt;=91999)</formula>
    </cfRule>
  </conditionalFormatting>
  <conditionalFormatting sqref="AB28">
    <cfRule type="expression" dxfId="23891" priority="9977">
      <formula>AND(AC28&gt;=79001,AC28&lt;79900)</formula>
    </cfRule>
    <cfRule type="expression" dxfId="23890" priority="9978" stopIfTrue="1">
      <formula>AND(AC28&gt;=70101,AC28&lt;=70301)</formula>
    </cfRule>
    <cfRule type="expression" dxfId="23889" priority="9979" stopIfTrue="1">
      <formula>AND(AC28&gt;70000,AC28&lt;70004)</formula>
    </cfRule>
    <cfRule type="expression" dxfId="23888" priority="9980" stopIfTrue="1">
      <formula>AND(AC28&gt;=70010,AC28&lt;=76000)</formula>
    </cfRule>
    <cfRule type="expression" dxfId="23887" priority="9981">
      <formula>AND(AC28&gt;70000,AC28&lt;70004)</formula>
    </cfRule>
    <cfRule type="expression" dxfId="23886" priority="9982" stopIfTrue="1">
      <formula>OR(AND(AC28&gt;=10000,AC28&lt;=56999),AND(AC28&gt;=57000,AC28&lt;=57999))</formula>
    </cfRule>
    <cfRule type="expression" dxfId="23885" priority="9983" stopIfTrue="1">
      <formula>AND(AC28&gt;=8000,AC28&lt;=9999)</formula>
    </cfRule>
    <cfRule type="expression" dxfId="23884" priority="9984" stopIfTrue="1">
      <formula>AND(AC28&gt;=78100,AC28&lt;=78199)</formula>
    </cfRule>
    <cfRule type="expression" dxfId="23883" priority="9985" stopIfTrue="1">
      <formula>AND(AC28&gt;=92000,AC28&lt;=98999)</formula>
    </cfRule>
    <cfRule type="expression" dxfId="23882" priority="9986" stopIfTrue="1">
      <formula>AND(AC28&gt;=78100,AC28&lt;=78199)</formula>
    </cfRule>
    <cfRule type="expression" dxfId="23881" priority="9987" stopIfTrue="1">
      <formula>AND(AC28&gt;=91000,AC28&lt;=91999)</formula>
    </cfRule>
  </conditionalFormatting>
  <conditionalFormatting sqref="AF28">
    <cfRule type="expression" dxfId="23880" priority="9966">
      <formula>AND(AG28&gt;=79001,AG28&lt;79900)</formula>
    </cfRule>
    <cfRule type="expression" dxfId="23879" priority="9967" stopIfTrue="1">
      <formula>AND(AG28&gt;=70101,AG28&lt;=70301)</formula>
    </cfRule>
    <cfRule type="expression" dxfId="23878" priority="9968" stopIfTrue="1">
      <formula>AND(AG28&gt;70000,AG28&lt;70004)</formula>
    </cfRule>
    <cfRule type="expression" dxfId="23877" priority="9969" stopIfTrue="1">
      <formula>AND(AG28&gt;=70010,AG28&lt;=76000)</formula>
    </cfRule>
    <cfRule type="expression" dxfId="23876" priority="9970">
      <formula>AND(AG28&gt;70000,AG28&lt;70004)</formula>
    </cfRule>
    <cfRule type="expression" dxfId="23875" priority="9971" stopIfTrue="1">
      <formula>OR(AND(AG28&gt;=10000,AG28&lt;=56999),AND(AG28&gt;=57000,AG28&lt;=57999))</formula>
    </cfRule>
    <cfRule type="expression" dxfId="23874" priority="9972" stopIfTrue="1">
      <formula>AND(AG28&gt;=8000,AG28&lt;=9999)</formula>
    </cfRule>
    <cfRule type="expression" dxfId="23873" priority="9973" stopIfTrue="1">
      <formula>AND(AG28&gt;=78100,AG28&lt;=78199)</formula>
    </cfRule>
    <cfRule type="expression" dxfId="23872" priority="9974" stopIfTrue="1">
      <formula>AND(AG28&gt;=92000,AG28&lt;=98999)</formula>
    </cfRule>
    <cfRule type="expression" dxfId="23871" priority="9975" stopIfTrue="1">
      <formula>AND(AG28&gt;=78100,AG28&lt;=78199)</formula>
    </cfRule>
    <cfRule type="expression" dxfId="23870" priority="9976" stopIfTrue="1">
      <formula>AND(AG28&gt;=91000,AG28&lt;=91999)</formula>
    </cfRule>
  </conditionalFormatting>
  <conditionalFormatting sqref="AF28">
    <cfRule type="expression" dxfId="23869" priority="9955">
      <formula>AND(AG28&gt;=79001,AG28&lt;79900)</formula>
    </cfRule>
    <cfRule type="expression" dxfId="23868" priority="9956" stopIfTrue="1">
      <formula>AND(AG28&gt;=70101,AG28&lt;=70301)</formula>
    </cfRule>
    <cfRule type="expression" dxfId="23867" priority="9957" stopIfTrue="1">
      <formula>AND(AG28&gt;70000,AG28&lt;70004)</formula>
    </cfRule>
    <cfRule type="expression" dxfId="23866" priority="9958" stopIfTrue="1">
      <formula>AND(AG28&gt;=70010,AG28&lt;=76000)</formula>
    </cfRule>
    <cfRule type="expression" dxfId="23865" priority="9959">
      <formula>AND(AG28&gt;70000,AG28&lt;70004)</formula>
    </cfRule>
    <cfRule type="expression" dxfId="23864" priority="9960" stopIfTrue="1">
      <formula>OR(AND(AG28&gt;=10000,AG28&lt;=56999),AND(AG28&gt;=57000,AG28&lt;=57999))</formula>
    </cfRule>
    <cfRule type="expression" dxfId="23863" priority="9961" stopIfTrue="1">
      <formula>AND(AG28&gt;=8000,AG28&lt;=9999)</formula>
    </cfRule>
    <cfRule type="expression" dxfId="23862" priority="9962" stopIfTrue="1">
      <formula>AND(AG28&gt;=78100,AG28&lt;=78199)</formula>
    </cfRule>
    <cfRule type="expression" dxfId="23861" priority="9963" stopIfTrue="1">
      <formula>AND(AG28&gt;=92000,AG28&lt;=98999)</formula>
    </cfRule>
    <cfRule type="expression" dxfId="23860" priority="9964" stopIfTrue="1">
      <formula>AND(AG28&gt;=78100,AG28&lt;=78199)</formula>
    </cfRule>
    <cfRule type="expression" dxfId="23859" priority="9965" stopIfTrue="1">
      <formula>AND(AG28&gt;=91000,AG28&lt;=91999)</formula>
    </cfRule>
  </conditionalFormatting>
  <conditionalFormatting sqref="AF28">
    <cfRule type="expression" dxfId="23858" priority="9944">
      <formula>AND(AG28&gt;=79001,AG28&lt;79900)</formula>
    </cfRule>
    <cfRule type="expression" dxfId="23857" priority="9945" stopIfTrue="1">
      <formula>AND(AG28&gt;=70101,AG28&lt;=70301)</formula>
    </cfRule>
    <cfRule type="expression" dxfId="23856" priority="9946" stopIfTrue="1">
      <formula>AND(AG28&gt;70000,AG28&lt;70004)</formula>
    </cfRule>
    <cfRule type="expression" dxfId="23855" priority="9947" stopIfTrue="1">
      <formula>AND(AG28&gt;=70010,AG28&lt;=76000)</formula>
    </cfRule>
    <cfRule type="expression" dxfId="23854" priority="9948">
      <formula>AND(AG28&gt;70000,AG28&lt;70004)</formula>
    </cfRule>
    <cfRule type="expression" dxfId="23853" priority="9949" stopIfTrue="1">
      <formula>OR(AND(AG28&gt;=10000,AG28&lt;=56999),AND(AG28&gt;=57000,AG28&lt;=57999))</formula>
    </cfRule>
    <cfRule type="expression" dxfId="23852" priority="9950" stopIfTrue="1">
      <formula>AND(AG28&gt;=8000,AG28&lt;=9999)</formula>
    </cfRule>
    <cfRule type="expression" dxfId="23851" priority="9951" stopIfTrue="1">
      <formula>AND(AG28&gt;=78100,AG28&lt;=78199)</formula>
    </cfRule>
    <cfRule type="expression" dxfId="23850" priority="9952" stopIfTrue="1">
      <formula>AND(AG28&gt;=92000,AG28&lt;=98999)</formula>
    </cfRule>
    <cfRule type="expression" dxfId="23849" priority="9953" stopIfTrue="1">
      <formula>AND(AG28&gt;=78100,AG28&lt;=78199)</formula>
    </cfRule>
    <cfRule type="expression" dxfId="23848" priority="9954" stopIfTrue="1">
      <formula>AND(AG28&gt;=91000,AG28&lt;=91999)</formula>
    </cfRule>
  </conditionalFormatting>
  <conditionalFormatting sqref="AF28">
    <cfRule type="expression" dxfId="23847" priority="9933">
      <formula>AND(AG28&gt;=79001,AG28&lt;79900)</formula>
    </cfRule>
    <cfRule type="expression" dxfId="23846" priority="9934" stopIfTrue="1">
      <formula>AND(AG28&gt;=70101,AG28&lt;=70301)</formula>
    </cfRule>
    <cfRule type="expression" dxfId="23845" priority="9935" stopIfTrue="1">
      <formula>AND(AG28&gt;70000,AG28&lt;70004)</formula>
    </cfRule>
    <cfRule type="expression" dxfId="23844" priority="9936" stopIfTrue="1">
      <formula>AND(AG28&gt;=70010,AG28&lt;=76000)</formula>
    </cfRule>
    <cfRule type="expression" dxfId="23843" priority="9937">
      <formula>AND(AG28&gt;70000,AG28&lt;70004)</formula>
    </cfRule>
    <cfRule type="expression" dxfId="23842" priority="9938" stopIfTrue="1">
      <formula>OR(AND(AG28&gt;=10000,AG28&lt;=56999),AND(AG28&gt;=57000,AG28&lt;=57999))</formula>
    </cfRule>
    <cfRule type="expression" dxfId="23841" priority="9939" stopIfTrue="1">
      <formula>AND(AG28&gt;=8000,AG28&lt;=9999)</formula>
    </cfRule>
    <cfRule type="expression" dxfId="23840" priority="9940" stopIfTrue="1">
      <formula>AND(AG28&gt;=78100,AG28&lt;=78199)</formula>
    </cfRule>
    <cfRule type="expression" dxfId="23839" priority="9941" stopIfTrue="1">
      <formula>AND(AG28&gt;=92000,AG28&lt;=98999)</formula>
    </cfRule>
    <cfRule type="expression" dxfId="23838" priority="9942" stopIfTrue="1">
      <formula>AND(AG28&gt;=78100,AG28&lt;=78199)</formula>
    </cfRule>
    <cfRule type="expression" dxfId="23837" priority="9943" stopIfTrue="1">
      <formula>AND(AG28&gt;=91000,AG28&lt;=91999)</formula>
    </cfRule>
  </conditionalFormatting>
  <conditionalFormatting sqref="X31">
    <cfRule type="expression" dxfId="23836" priority="9922">
      <formula>AND(Y31&gt;=79001,Y31&lt;79900)</formula>
    </cfRule>
    <cfRule type="expression" dxfId="23835" priority="9923" stopIfTrue="1">
      <formula>AND(Y31&gt;=70101,Y31&lt;=70301)</formula>
    </cfRule>
    <cfRule type="expression" dxfId="23834" priority="9924" stopIfTrue="1">
      <formula>AND(Y31&gt;70000,Y31&lt;70004)</formula>
    </cfRule>
    <cfRule type="expression" dxfId="23833" priority="9925" stopIfTrue="1">
      <formula>AND(Y31&gt;=70010,Y31&lt;=76000)</formula>
    </cfRule>
    <cfRule type="expression" dxfId="23832" priority="9926">
      <formula>AND(Y31&gt;70000,Y31&lt;70004)</formula>
    </cfRule>
    <cfRule type="expression" dxfId="23831" priority="9927" stopIfTrue="1">
      <formula>OR(AND(Y31&gt;=10000,Y31&lt;=56999),AND(Y31&gt;=57000,Y31&lt;=57999))</formula>
    </cfRule>
    <cfRule type="expression" dxfId="23830" priority="9928" stopIfTrue="1">
      <formula>AND(Y31&gt;=8000,Y31&lt;=9999)</formula>
    </cfRule>
    <cfRule type="expression" dxfId="23829" priority="9929" stopIfTrue="1">
      <formula>AND(Y31&gt;=78100,Y31&lt;=78199)</formula>
    </cfRule>
    <cfRule type="expression" dxfId="23828" priority="9930" stopIfTrue="1">
      <formula>AND(Y31&gt;=92000,Y31&lt;=98999)</formula>
    </cfRule>
    <cfRule type="expression" dxfId="23827" priority="9931" stopIfTrue="1">
      <formula>AND(Y31&gt;=78100,Y31&lt;=78199)</formula>
    </cfRule>
    <cfRule type="expression" dxfId="23826" priority="9932" stopIfTrue="1">
      <formula>AND(Y31&gt;=91000,Y31&lt;=91999)</formula>
    </cfRule>
  </conditionalFormatting>
  <conditionalFormatting sqref="X31">
    <cfRule type="expression" dxfId="23825" priority="9911">
      <formula>AND(Y31&gt;=79001,Y31&lt;79900)</formula>
    </cfRule>
    <cfRule type="expression" dxfId="23824" priority="9912" stopIfTrue="1">
      <formula>AND(Y31&gt;=70101,Y31&lt;=70301)</formula>
    </cfRule>
    <cfRule type="expression" dxfId="23823" priority="9913" stopIfTrue="1">
      <formula>AND(Y31&gt;70000,Y31&lt;70004)</formula>
    </cfRule>
    <cfRule type="expression" dxfId="23822" priority="9914" stopIfTrue="1">
      <formula>AND(Y31&gt;=70010,Y31&lt;=76000)</formula>
    </cfRule>
    <cfRule type="expression" dxfId="23821" priority="9915">
      <formula>AND(Y31&gt;70000,Y31&lt;70004)</formula>
    </cfRule>
    <cfRule type="expression" dxfId="23820" priority="9916" stopIfTrue="1">
      <formula>OR(AND(Y31&gt;=10000,Y31&lt;=56999),AND(Y31&gt;=57000,Y31&lt;=57999))</formula>
    </cfRule>
    <cfRule type="expression" dxfId="23819" priority="9917" stopIfTrue="1">
      <formula>AND(Y31&gt;=8000,Y31&lt;=9999)</formula>
    </cfRule>
    <cfRule type="expression" dxfId="23818" priority="9918" stopIfTrue="1">
      <formula>AND(Y31&gt;=78100,Y31&lt;=78199)</formula>
    </cfRule>
    <cfRule type="expression" dxfId="23817" priority="9919" stopIfTrue="1">
      <formula>AND(Y31&gt;=92000,Y31&lt;=98999)</formula>
    </cfRule>
    <cfRule type="expression" dxfId="23816" priority="9920" stopIfTrue="1">
      <formula>AND(Y31&gt;=78100,Y31&lt;=78199)</formula>
    </cfRule>
    <cfRule type="expression" dxfId="23815" priority="9921" stopIfTrue="1">
      <formula>AND(Y31&gt;=91000,Y31&lt;=91999)</formula>
    </cfRule>
  </conditionalFormatting>
  <conditionalFormatting sqref="X31">
    <cfRule type="expression" dxfId="23814" priority="9900">
      <formula>AND(Y31&gt;=79001,Y31&lt;79900)</formula>
    </cfRule>
    <cfRule type="expression" dxfId="23813" priority="9901" stopIfTrue="1">
      <formula>AND(Y31&gt;=70101,Y31&lt;=70301)</formula>
    </cfRule>
    <cfRule type="expression" dxfId="23812" priority="9902" stopIfTrue="1">
      <formula>AND(Y31&gt;70000,Y31&lt;70004)</formula>
    </cfRule>
    <cfRule type="expression" dxfId="23811" priority="9903" stopIfTrue="1">
      <formula>AND(Y31&gt;=70010,Y31&lt;=76000)</formula>
    </cfRule>
    <cfRule type="expression" dxfId="23810" priority="9904">
      <formula>AND(Y31&gt;70000,Y31&lt;70004)</formula>
    </cfRule>
    <cfRule type="expression" dxfId="23809" priority="9905" stopIfTrue="1">
      <formula>OR(AND(Y31&gt;=10000,Y31&lt;=56999),AND(Y31&gt;=57000,Y31&lt;=57999))</formula>
    </cfRule>
    <cfRule type="expression" dxfId="23808" priority="9906" stopIfTrue="1">
      <formula>AND(Y31&gt;=8000,Y31&lt;=9999)</formula>
    </cfRule>
    <cfRule type="expression" dxfId="23807" priority="9907" stopIfTrue="1">
      <formula>AND(Y31&gt;=78100,Y31&lt;=78199)</formula>
    </cfRule>
    <cfRule type="expression" dxfId="23806" priority="9908" stopIfTrue="1">
      <formula>AND(Y31&gt;=92000,Y31&lt;=98999)</formula>
    </cfRule>
    <cfRule type="expression" dxfId="23805" priority="9909" stopIfTrue="1">
      <formula>AND(Y31&gt;=78100,Y31&lt;=78199)</formula>
    </cfRule>
    <cfRule type="expression" dxfId="23804" priority="9910" stopIfTrue="1">
      <formula>AND(Y31&gt;=91000,Y31&lt;=91999)</formula>
    </cfRule>
  </conditionalFormatting>
  <conditionalFormatting sqref="X31">
    <cfRule type="expression" dxfId="23803" priority="9889">
      <formula>AND(Y31&gt;=79001,Y31&lt;79900)</formula>
    </cfRule>
    <cfRule type="expression" dxfId="23802" priority="9890" stopIfTrue="1">
      <formula>AND(Y31&gt;=70101,Y31&lt;=70301)</formula>
    </cfRule>
    <cfRule type="expression" dxfId="23801" priority="9891" stopIfTrue="1">
      <formula>AND(Y31&gt;70000,Y31&lt;70004)</formula>
    </cfRule>
    <cfRule type="expression" dxfId="23800" priority="9892" stopIfTrue="1">
      <formula>AND(Y31&gt;=70010,Y31&lt;=76000)</formula>
    </cfRule>
    <cfRule type="expression" dxfId="23799" priority="9893">
      <formula>AND(Y31&gt;70000,Y31&lt;70004)</formula>
    </cfRule>
    <cfRule type="expression" dxfId="23798" priority="9894" stopIfTrue="1">
      <formula>OR(AND(Y31&gt;=10000,Y31&lt;=56999),AND(Y31&gt;=57000,Y31&lt;=57999))</formula>
    </cfRule>
    <cfRule type="expression" dxfId="23797" priority="9895" stopIfTrue="1">
      <formula>AND(Y31&gt;=8000,Y31&lt;=9999)</formula>
    </cfRule>
    <cfRule type="expression" dxfId="23796" priority="9896" stopIfTrue="1">
      <formula>AND(Y31&gt;=78100,Y31&lt;=78199)</formula>
    </cfRule>
    <cfRule type="expression" dxfId="23795" priority="9897" stopIfTrue="1">
      <formula>AND(Y31&gt;=92000,Y31&lt;=98999)</formula>
    </cfRule>
    <cfRule type="expression" dxfId="23794" priority="9898" stopIfTrue="1">
      <formula>AND(Y31&gt;=78100,Y31&lt;=78199)</formula>
    </cfRule>
    <cfRule type="expression" dxfId="23793" priority="9899" stopIfTrue="1">
      <formula>AND(Y31&gt;=91000,Y31&lt;=91999)</formula>
    </cfRule>
  </conditionalFormatting>
  <conditionalFormatting sqref="AB31">
    <cfRule type="expression" dxfId="23792" priority="9878">
      <formula>AND(AC31&gt;=79001,AC31&lt;79900)</formula>
    </cfRule>
    <cfRule type="expression" dxfId="23791" priority="9879" stopIfTrue="1">
      <formula>AND(AC31&gt;=70101,AC31&lt;=70301)</formula>
    </cfRule>
    <cfRule type="expression" dxfId="23790" priority="9880" stopIfTrue="1">
      <formula>AND(AC31&gt;70000,AC31&lt;70004)</formula>
    </cfRule>
    <cfRule type="expression" dxfId="23789" priority="9881" stopIfTrue="1">
      <formula>AND(AC31&gt;=70010,AC31&lt;=76000)</formula>
    </cfRule>
    <cfRule type="expression" dxfId="23788" priority="9882">
      <formula>AND(AC31&gt;70000,AC31&lt;70004)</formula>
    </cfRule>
    <cfRule type="expression" dxfId="23787" priority="9883" stopIfTrue="1">
      <formula>OR(AND(AC31&gt;=10000,AC31&lt;=56999),AND(AC31&gt;=57000,AC31&lt;=57999))</formula>
    </cfRule>
    <cfRule type="expression" dxfId="23786" priority="9884" stopIfTrue="1">
      <formula>AND(AC31&gt;=8000,AC31&lt;=9999)</formula>
    </cfRule>
    <cfRule type="expression" dxfId="23785" priority="9885" stopIfTrue="1">
      <formula>AND(AC31&gt;=78100,AC31&lt;=78199)</formula>
    </cfRule>
    <cfRule type="expression" dxfId="23784" priority="9886" stopIfTrue="1">
      <formula>AND(AC31&gt;=92000,AC31&lt;=98999)</formula>
    </cfRule>
    <cfRule type="expression" dxfId="23783" priority="9887" stopIfTrue="1">
      <formula>AND(AC31&gt;=78100,AC31&lt;=78199)</formula>
    </cfRule>
    <cfRule type="expression" dxfId="23782" priority="9888" stopIfTrue="1">
      <formula>AND(AC31&gt;=91000,AC31&lt;=91999)</formula>
    </cfRule>
  </conditionalFormatting>
  <conditionalFormatting sqref="AB31">
    <cfRule type="expression" dxfId="23781" priority="9867">
      <formula>AND(AC31&gt;=79001,AC31&lt;79900)</formula>
    </cfRule>
    <cfRule type="expression" dxfId="23780" priority="9868" stopIfTrue="1">
      <formula>AND(AC31&gt;=70101,AC31&lt;=70301)</formula>
    </cfRule>
    <cfRule type="expression" dxfId="23779" priority="9869" stopIfTrue="1">
      <formula>AND(AC31&gt;70000,AC31&lt;70004)</formula>
    </cfRule>
    <cfRule type="expression" dxfId="23778" priority="9870" stopIfTrue="1">
      <formula>AND(AC31&gt;=70010,AC31&lt;=76000)</formula>
    </cfRule>
    <cfRule type="expression" dxfId="23777" priority="9871">
      <formula>AND(AC31&gt;70000,AC31&lt;70004)</formula>
    </cfRule>
    <cfRule type="expression" dxfId="23776" priority="9872" stopIfTrue="1">
      <formula>OR(AND(AC31&gt;=10000,AC31&lt;=56999),AND(AC31&gt;=57000,AC31&lt;=57999))</formula>
    </cfRule>
    <cfRule type="expression" dxfId="23775" priority="9873" stopIfTrue="1">
      <formula>AND(AC31&gt;=8000,AC31&lt;=9999)</formula>
    </cfRule>
    <cfRule type="expression" dxfId="23774" priority="9874" stopIfTrue="1">
      <formula>AND(AC31&gt;=78100,AC31&lt;=78199)</formula>
    </cfRule>
    <cfRule type="expression" dxfId="23773" priority="9875" stopIfTrue="1">
      <formula>AND(AC31&gt;=92000,AC31&lt;=98999)</formula>
    </cfRule>
    <cfRule type="expression" dxfId="23772" priority="9876" stopIfTrue="1">
      <formula>AND(AC31&gt;=78100,AC31&lt;=78199)</formula>
    </cfRule>
    <cfRule type="expression" dxfId="23771" priority="9877" stopIfTrue="1">
      <formula>AND(AC31&gt;=91000,AC31&lt;=91999)</formula>
    </cfRule>
  </conditionalFormatting>
  <conditionalFormatting sqref="AB31">
    <cfRule type="expression" dxfId="23770" priority="9856">
      <formula>AND(AC31&gt;=79001,AC31&lt;79900)</formula>
    </cfRule>
    <cfRule type="expression" dxfId="23769" priority="9857" stopIfTrue="1">
      <formula>AND(AC31&gt;=70101,AC31&lt;=70301)</formula>
    </cfRule>
    <cfRule type="expression" dxfId="23768" priority="9858" stopIfTrue="1">
      <formula>AND(AC31&gt;70000,AC31&lt;70004)</formula>
    </cfRule>
    <cfRule type="expression" dxfId="23767" priority="9859" stopIfTrue="1">
      <formula>AND(AC31&gt;=70010,AC31&lt;=76000)</formula>
    </cfRule>
    <cfRule type="expression" dxfId="23766" priority="9860">
      <formula>AND(AC31&gt;70000,AC31&lt;70004)</formula>
    </cfRule>
    <cfRule type="expression" dxfId="23765" priority="9861" stopIfTrue="1">
      <formula>OR(AND(AC31&gt;=10000,AC31&lt;=56999),AND(AC31&gt;=57000,AC31&lt;=57999))</formula>
    </cfRule>
    <cfRule type="expression" dxfId="23764" priority="9862" stopIfTrue="1">
      <formula>AND(AC31&gt;=8000,AC31&lt;=9999)</formula>
    </cfRule>
    <cfRule type="expression" dxfId="23763" priority="9863" stopIfTrue="1">
      <formula>AND(AC31&gt;=78100,AC31&lt;=78199)</formula>
    </cfRule>
    <cfRule type="expression" dxfId="23762" priority="9864" stopIfTrue="1">
      <formula>AND(AC31&gt;=92000,AC31&lt;=98999)</formula>
    </cfRule>
    <cfRule type="expression" dxfId="23761" priority="9865" stopIfTrue="1">
      <formula>AND(AC31&gt;=78100,AC31&lt;=78199)</formula>
    </cfRule>
    <cfRule type="expression" dxfId="23760" priority="9866" stopIfTrue="1">
      <formula>AND(AC31&gt;=91000,AC31&lt;=91999)</formula>
    </cfRule>
  </conditionalFormatting>
  <conditionalFormatting sqref="AB31">
    <cfRule type="expression" dxfId="23759" priority="9845">
      <formula>AND(AC31&gt;=79001,AC31&lt;79900)</formula>
    </cfRule>
    <cfRule type="expression" dxfId="23758" priority="9846" stopIfTrue="1">
      <formula>AND(AC31&gt;=70101,AC31&lt;=70301)</formula>
    </cfRule>
    <cfRule type="expression" dxfId="23757" priority="9847" stopIfTrue="1">
      <formula>AND(AC31&gt;70000,AC31&lt;70004)</formula>
    </cfRule>
    <cfRule type="expression" dxfId="23756" priority="9848" stopIfTrue="1">
      <formula>AND(AC31&gt;=70010,AC31&lt;=76000)</formula>
    </cfRule>
    <cfRule type="expression" dxfId="23755" priority="9849">
      <formula>AND(AC31&gt;70000,AC31&lt;70004)</formula>
    </cfRule>
    <cfRule type="expression" dxfId="23754" priority="9850" stopIfTrue="1">
      <formula>OR(AND(AC31&gt;=10000,AC31&lt;=56999),AND(AC31&gt;=57000,AC31&lt;=57999))</formula>
    </cfRule>
    <cfRule type="expression" dxfId="23753" priority="9851" stopIfTrue="1">
      <formula>AND(AC31&gt;=8000,AC31&lt;=9999)</formula>
    </cfRule>
    <cfRule type="expression" dxfId="23752" priority="9852" stopIfTrue="1">
      <formula>AND(AC31&gt;=78100,AC31&lt;=78199)</formula>
    </cfRule>
    <cfRule type="expression" dxfId="23751" priority="9853" stopIfTrue="1">
      <formula>AND(AC31&gt;=92000,AC31&lt;=98999)</formula>
    </cfRule>
    <cfRule type="expression" dxfId="23750" priority="9854" stopIfTrue="1">
      <formula>AND(AC31&gt;=78100,AC31&lt;=78199)</formula>
    </cfRule>
    <cfRule type="expression" dxfId="23749" priority="9855" stopIfTrue="1">
      <formula>AND(AC31&gt;=91000,AC31&lt;=91999)</formula>
    </cfRule>
  </conditionalFormatting>
  <conditionalFormatting sqref="AF31">
    <cfRule type="expression" dxfId="23748" priority="9834">
      <formula>AND(AG31&gt;=79001,AG31&lt;79900)</formula>
    </cfRule>
    <cfRule type="expression" dxfId="23747" priority="9835" stopIfTrue="1">
      <formula>AND(AG31&gt;=70101,AG31&lt;=70301)</formula>
    </cfRule>
    <cfRule type="expression" dxfId="23746" priority="9836" stopIfTrue="1">
      <formula>AND(AG31&gt;70000,AG31&lt;70004)</formula>
    </cfRule>
    <cfRule type="expression" dxfId="23745" priority="9837" stopIfTrue="1">
      <formula>AND(AG31&gt;=70010,AG31&lt;=76000)</formula>
    </cfRule>
    <cfRule type="expression" dxfId="23744" priority="9838">
      <formula>AND(AG31&gt;70000,AG31&lt;70004)</formula>
    </cfRule>
    <cfRule type="expression" dxfId="23743" priority="9839" stopIfTrue="1">
      <formula>OR(AND(AG31&gt;=10000,AG31&lt;=56999),AND(AG31&gt;=57000,AG31&lt;=57999))</formula>
    </cfRule>
    <cfRule type="expression" dxfId="23742" priority="9840" stopIfTrue="1">
      <formula>AND(AG31&gt;=8000,AG31&lt;=9999)</formula>
    </cfRule>
    <cfRule type="expression" dxfId="23741" priority="9841" stopIfTrue="1">
      <formula>AND(AG31&gt;=78100,AG31&lt;=78199)</formula>
    </cfRule>
    <cfRule type="expression" dxfId="23740" priority="9842" stopIfTrue="1">
      <formula>AND(AG31&gt;=92000,AG31&lt;=98999)</formula>
    </cfRule>
    <cfRule type="expression" dxfId="23739" priority="9843" stopIfTrue="1">
      <formula>AND(AG31&gt;=78100,AG31&lt;=78199)</formula>
    </cfRule>
    <cfRule type="expression" dxfId="23738" priority="9844" stopIfTrue="1">
      <formula>AND(AG31&gt;=91000,AG31&lt;=91999)</formula>
    </cfRule>
  </conditionalFormatting>
  <conditionalFormatting sqref="AF31">
    <cfRule type="expression" dxfId="23737" priority="9823">
      <formula>AND(AG31&gt;=79001,AG31&lt;79900)</formula>
    </cfRule>
    <cfRule type="expression" dxfId="23736" priority="9824" stopIfTrue="1">
      <formula>AND(AG31&gt;=70101,AG31&lt;=70301)</formula>
    </cfRule>
    <cfRule type="expression" dxfId="23735" priority="9825" stopIfTrue="1">
      <formula>AND(AG31&gt;70000,AG31&lt;70004)</formula>
    </cfRule>
    <cfRule type="expression" dxfId="23734" priority="9826" stopIfTrue="1">
      <formula>AND(AG31&gt;=70010,AG31&lt;=76000)</formula>
    </cfRule>
    <cfRule type="expression" dxfId="23733" priority="9827">
      <formula>AND(AG31&gt;70000,AG31&lt;70004)</formula>
    </cfRule>
    <cfRule type="expression" dxfId="23732" priority="9828" stopIfTrue="1">
      <formula>OR(AND(AG31&gt;=10000,AG31&lt;=56999),AND(AG31&gt;=57000,AG31&lt;=57999))</formula>
    </cfRule>
    <cfRule type="expression" dxfId="23731" priority="9829" stopIfTrue="1">
      <formula>AND(AG31&gt;=8000,AG31&lt;=9999)</formula>
    </cfRule>
    <cfRule type="expression" dxfId="23730" priority="9830" stopIfTrue="1">
      <formula>AND(AG31&gt;=78100,AG31&lt;=78199)</formula>
    </cfRule>
    <cfRule type="expression" dxfId="23729" priority="9831" stopIfTrue="1">
      <formula>AND(AG31&gt;=92000,AG31&lt;=98999)</formula>
    </cfRule>
    <cfRule type="expression" dxfId="23728" priority="9832" stopIfTrue="1">
      <formula>AND(AG31&gt;=78100,AG31&lt;=78199)</formula>
    </cfRule>
    <cfRule type="expression" dxfId="23727" priority="9833" stopIfTrue="1">
      <formula>AND(AG31&gt;=91000,AG31&lt;=91999)</formula>
    </cfRule>
  </conditionalFormatting>
  <conditionalFormatting sqref="AF31">
    <cfRule type="expression" dxfId="23726" priority="9812">
      <formula>AND(AG31&gt;=79001,AG31&lt;79900)</formula>
    </cfRule>
    <cfRule type="expression" dxfId="23725" priority="9813" stopIfTrue="1">
      <formula>AND(AG31&gt;=70101,AG31&lt;=70301)</formula>
    </cfRule>
    <cfRule type="expression" dxfId="23724" priority="9814" stopIfTrue="1">
      <formula>AND(AG31&gt;70000,AG31&lt;70004)</formula>
    </cfRule>
    <cfRule type="expression" dxfId="23723" priority="9815" stopIfTrue="1">
      <formula>AND(AG31&gt;=70010,AG31&lt;=76000)</formula>
    </cfRule>
    <cfRule type="expression" dxfId="23722" priority="9816">
      <formula>AND(AG31&gt;70000,AG31&lt;70004)</formula>
    </cfRule>
    <cfRule type="expression" dxfId="23721" priority="9817" stopIfTrue="1">
      <formula>OR(AND(AG31&gt;=10000,AG31&lt;=56999),AND(AG31&gt;=57000,AG31&lt;=57999))</formula>
    </cfRule>
    <cfRule type="expression" dxfId="23720" priority="9818" stopIfTrue="1">
      <formula>AND(AG31&gt;=8000,AG31&lt;=9999)</formula>
    </cfRule>
    <cfRule type="expression" dxfId="23719" priority="9819" stopIfTrue="1">
      <formula>AND(AG31&gt;=78100,AG31&lt;=78199)</formula>
    </cfRule>
    <cfRule type="expression" dxfId="23718" priority="9820" stopIfTrue="1">
      <formula>AND(AG31&gt;=92000,AG31&lt;=98999)</formula>
    </cfRule>
    <cfRule type="expression" dxfId="23717" priority="9821" stopIfTrue="1">
      <formula>AND(AG31&gt;=78100,AG31&lt;=78199)</formula>
    </cfRule>
    <cfRule type="expression" dxfId="23716" priority="9822" stopIfTrue="1">
      <formula>AND(AG31&gt;=91000,AG31&lt;=91999)</formula>
    </cfRule>
  </conditionalFormatting>
  <conditionalFormatting sqref="AF31">
    <cfRule type="expression" dxfId="23715" priority="9801">
      <formula>AND(AG31&gt;=79001,AG31&lt;79900)</formula>
    </cfRule>
    <cfRule type="expression" dxfId="23714" priority="9802" stopIfTrue="1">
      <formula>AND(AG31&gt;=70101,AG31&lt;=70301)</formula>
    </cfRule>
    <cfRule type="expression" dxfId="23713" priority="9803" stopIfTrue="1">
      <formula>AND(AG31&gt;70000,AG31&lt;70004)</formula>
    </cfRule>
    <cfRule type="expression" dxfId="23712" priority="9804" stopIfTrue="1">
      <formula>AND(AG31&gt;=70010,AG31&lt;=76000)</formula>
    </cfRule>
    <cfRule type="expression" dxfId="23711" priority="9805">
      <formula>AND(AG31&gt;70000,AG31&lt;70004)</formula>
    </cfRule>
    <cfRule type="expression" dxfId="23710" priority="9806" stopIfTrue="1">
      <formula>OR(AND(AG31&gt;=10000,AG31&lt;=56999),AND(AG31&gt;=57000,AG31&lt;=57999))</formula>
    </cfRule>
    <cfRule type="expression" dxfId="23709" priority="9807" stopIfTrue="1">
      <formula>AND(AG31&gt;=8000,AG31&lt;=9999)</formula>
    </cfRule>
    <cfRule type="expression" dxfId="23708" priority="9808" stopIfTrue="1">
      <formula>AND(AG31&gt;=78100,AG31&lt;=78199)</formula>
    </cfRule>
    <cfRule type="expression" dxfId="23707" priority="9809" stopIfTrue="1">
      <formula>AND(AG31&gt;=92000,AG31&lt;=98999)</formula>
    </cfRule>
    <cfRule type="expression" dxfId="23706" priority="9810" stopIfTrue="1">
      <formula>AND(AG31&gt;=78100,AG31&lt;=78199)</formula>
    </cfRule>
    <cfRule type="expression" dxfId="23705" priority="9811" stopIfTrue="1">
      <formula>AND(AG31&gt;=91000,AG31&lt;=91999)</formula>
    </cfRule>
  </conditionalFormatting>
  <conditionalFormatting sqref="T31">
    <cfRule type="expression" dxfId="23704" priority="9790">
      <formula>AND(U31&gt;=79001,U31&lt;79900)</formula>
    </cfRule>
    <cfRule type="expression" dxfId="23703" priority="9791" stopIfTrue="1">
      <formula>AND(U31&gt;=70101,U31&lt;=70301)</formula>
    </cfRule>
    <cfRule type="expression" dxfId="23702" priority="9792" stopIfTrue="1">
      <formula>AND(U31&gt;70000,U31&lt;70004)</formula>
    </cfRule>
    <cfRule type="expression" dxfId="23701" priority="9793" stopIfTrue="1">
      <formula>AND(U31&gt;=70010,U31&lt;=76000)</formula>
    </cfRule>
    <cfRule type="expression" dxfId="23700" priority="9794">
      <formula>AND(U31&gt;70000,U31&lt;70004)</formula>
    </cfRule>
    <cfRule type="expression" dxfId="23699" priority="9795" stopIfTrue="1">
      <formula>OR(AND(U31&gt;=10000,U31&lt;=56999),AND(U31&gt;=57000,U31&lt;=57999))</formula>
    </cfRule>
    <cfRule type="expression" dxfId="23698" priority="9796" stopIfTrue="1">
      <formula>AND(U31&gt;=8000,U31&lt;=9999)</formula>
    </cfRule>
    <cfRule type="expression" dxfId="23697" priority="9797" stopIfTrue="1">
      <formula>AND(U31&gt;=78100,U31&lt;=78199)</formula>
    </cfRule>
    <cfRule type="expression" dxfId="23696" priority="9798" stopIfTrue="1">
      <formula>AND(U31&gt;=92000,U31&lt;=98999)</formula>
    </cfRule>
    <cfRule type="expression" dxfId="23695" priority="9799" stopIfTrue="1">
      <formula>AND(U31&gt;=78100,U31&lt;=78199)</formula>
    </cfRule>
    <cfRule type="expression" dxfId="23694" priority="9800" stopIfTrue="1">
      <formula>AND(U31&gt;=91000,U31&lt;=91999)</formula>
    </cfRule>
  </conditionalFormatting>
  <conditionalFormatting sqref="T31">
    <cfRule type="expression" dxfId="23693" priority="9779">
      <formula>AND(U31&gt;=79001,U31&lt;79900)</formula>
    </cfRule>
    <cfRule type="expression" dxfId="23692" priority="9780" stopIfTrue="1">
      <formula>AND(U31&gt;=70101,U31&lt;=70301)</formula>
    </cfRule>
    <cfRule type="expression" dxfId="23691" priority="9781" stopIfTrue="1">
      <formula>AND(U31&gt;70000,U31&lt;70004)</formula>
    </cfRule>
    <cfRule type="expression" dxfId="23690" priority="9782" stopIfTrue="1">
      <formula>AND(U31&gt;=70010,U31&lt;=76000)</formula>
    </cfRule>
    <cfRule type="expression" dxfId="23689" priority="9783">
      <formula>AND(U31&gt;70000,U31&lt;70004)</formula>
    </cfRule>
    <cfRule type="expression" dxfId="23688" priority="9784" stopIfTrue="1">
      <formula>OR(AND(U31&gt;=10000,U31&lt;=56999),AND(U31&gt;=57000,U31&lt;=57999))</formula>
    </cfRule>
    <cfRule type="expression" dxfId="23687" priority="9785" stopIfTrue="1">
      <formula>AND(U31&gt;=8000,U31&lt;=9999)</formula>
    </cfRule>
    <cfRule type="expression" dxfId="23686" priority="9786" stopIfTrue="1">
      <formula>AND(U31&gt;=78100,U31&lt;=78199)</formula>
    </cfRule>
    <cfRule type="expression" dxfId="23685" priority="9787" stopIfTrue="1">
      <formula>AND(U31&gt;=92000,U31&lt;=98999)</formula>
    </cfRule>
    <cfRule type="expression" dxfId="23684" priority="9788" stopIfTrue="1">
      <formula>AND(U31&gt;=78100,U31&lt;=78199)</formula>
    </cfRule>
    <cfRule type="expression" dxfId="23683" priority="9789" stopIfTrue="1">
      <formula>AND(U31&gt;=91000,U31&lt;=91999)</formula>
    </cfRule>
  </conditionalFormatting>
  <conditionalFormatting sqref="T31">
    <cfRule type="expression" dxfId="23682" priority="9768">
      <formula>AND(U31&gt;=79001,U31&lt;79900)</formula>
    </cfRule>
    <cfRule type="expression" dxfId="23681" priority="9769" stopIfTrue="1">
      <formula>AND(U31&gt;=70101,U31&lt;=70301)</formula>
    </cfRule>
    <cfRule type="expression" dxfId="23680" priority="9770" stopIfTrue="1">
      <formula>AND(U31&gt;70000,U31&lt;70004)</formula>
    </cfRule>
    <cfRule type="expression" dxfId="23679" priority="9771" stopIfTrue="1">
      <formula>AND(U31&gt;=70010,U31&lt;=76000)</formula>
    </cfRule>
    <cfRule type="expression" dxfId="23678" priority="9772">
      <formula>AND(U31&gt;70000,U31&lt;70004)</formula>
    </cfRule>
    <cfRule type="expression" dxfId="23677" priority="9773" stopIfTrue="1">
      <formula>OR(AND(U31&gt;=10000,U31&lt;=56999),AND(U31&gt;=57000,U31&lt;=57999))</formula>
    </cfRule>
    <cfRule type="expression" dxfId="23676" priority="9774" stopIfTrue="1">
      <formula>AND(U31&gt;=8000,U31&lt;=9999)</formula>
    </cfRule>
    <cfRule type="expression" dxfId="23675" priority="9775" stopIfTrue="1">
      <formula>AND(U31&gt;=78100,U31&lt;=78199)</formula>
    </cfRule>
    <cfRule type="expression" dxfId="23674" priority="9776" stopIfTrue="1">
      <formula>AND(U31&gt;=92000,U31&lt;=98999)</formula>
    </cfRule>
    <cfRule type="expression" dxfId="23673" priority="9777" stopIfTrue="1">
      <formula>AND(U31&gt;=78100,U31&lt;=78199)</formula>
    </cfRule>
    <cfRule type="expression" dxfId="23672" priority="9778" stopIfTrue="1">
      <formula>AND(U31&gt;=91000,U31&lt;=91999)</formula>
    </cfRule>
  </conditionalFormatting>
  <conditionalFormatting sqref="T31">
    <cfRule type="expression" dxfId="23671" priority="9757">
      <formula>AND(U31&gt;=79001,U31&lt;79900)</formula>
    </cfRule>
    <cfRule type="expression" dxfId="23670" priority="9758" stopIfTrue="1">
      <formula>AND(U31&gt;=70101,U31&lt;=70301)</formula>
    </cfRule>
    <cfRule type="expression" dxfId="23669" priority="9759" stopIfTrue="1">
      <formula>AND(U31&gt;70000,U31&lt;70004)</formula>
    </cfRule>
    <cfRule type="expression" dxfId="23668" priority="9760" stopIfTrue="1">
      <formula>AND(U31&gt;=70010,U31&lt;=76000)</formula>
    </cfRule>
    <cfRule type="expression" dxfId="23667" priority="9761">
      <formula>AND(U31&gt;70000,U31&lt;70004)</formula>
    </cfRule>
    <cfRule type="expression" dxfId="23666" priority="9762" stopIfTrue="1">
      <formula>OR(AND(U31&gt;=10000,U31&lt;=56999),AND(U31&gt;=57000,U31&lt;=57999))</formula>
    </cfRule>
    <cfRule type="expression" dxfId="23665" priority="9763" stopIfTrue="1">
      <formula>AND(U31&gt;=8000,U31&lt;=9999)</formula>
    </cfRule>
    <cfRule type="expression" dxfId="23664" priority="9764" stopIfTrue="1">
      <formula>AND(U31&gt;=78100,U31&lt;=78199)</formula>
    </cfRule>
    <cfRule type="expression" dxfId="23663" priority="9765" stopIfTrue="1">
      <formula>AND(U31&gt;=92000,U31&lt;=98999)</formula>
    </cfRule>
    <cfRule type="expression" dxfId="23662" priority="9766" stopIfTrue="1">
      <formula>AND(U31&gt;=78100,U31&lt;=78199)</formula>
    </cfRule>
    <cfRule type="expression" dxfId="23661" priority="9767" stopIfTrue="1">
      <formula>AND(U31&gt;=91000,U31&lt;=91999)</formula>
    </cfRule>
  </conditionalFormatting>
  <conditionalFormatting sqref="X32">
    <cfRule type="expression" dxfId="23660" priority="9746">
      <formula>AND(Y32&gt;=79001,Y32&lt;79900)</formula>
    </cfRule>
    <cfRule type="expression" dxfId="23659" priority="9747" stopIfTrue="1">
      <formula>AND(Y32&gt;=70101,Y32&lt;=70301)</formula>
    </cfRule>
    <cfRule type="expression" dxfId="23658" priority="9748" stopIfTrue="1">
      <formula>AND(Y32&gt;70000,Y32&lt;70004)</formula>
    </cfRule>
    <cfRule type="expression" dxfId="23657" priority="9749" stopIfTrue="1">
      <formula>AND(Y32&gt;=70010,Y32&lt;=76000)</formula>
    </cfRule>
    <cfRule type="expression" dxfId="23656" priority="9750">
      <formula>AND(Y32&gt;70000,Y32&lt;70004)</formula>
    </cfRule>
    <cfRule type="expression" dxfId="23655" priority="9751" stopIfTrue="1">
      <formula>OR(AND(Y32&gt;=10000,Y32&lt;=56999),AND(Y32&gt;=57000,Y32&lt;=57999))</formula>
    </cfRule>
    <cfRule type="expression" dxfId="23654" priority="9752" stopIfTrue="1">
      <formula>AND(Y32&gt;=8000,Y32&lt;=9999)</formula>
    </cfRule>
    <cfRule type="expression" dxfId="23653" priority="9753" stopIfTrue="1">
      <formula>AND(Y32&gt;=78100,Y32&lt;=78199)</formula>
    </cfRule>
    <cfRule type="expression" dxfId="23652" priority="9754" stopIfTrue="1">
      <formula>AND(Y32&gt;=92000,Y32&lt;=98999)</formula>
    </cfRule>
    <cfRule type="expression" dxfId="23651" priority="9755" stopIfTrue="1">
      <formula>AND(Y32&gt;=78100,Y32&lt;=78199)</formula>
    </cfRule>
    <cfRule type="expression" dxfId="23650" priority="9756" stopIfTrue="1">
      <formula>AND(Y32&gt;=91000,Y32&lt;=91999)</formula>
    </cfRule>
  </conditionalFormatting>
  <conditionalFormatting sqref="X32">
    <cfRule type="expression" dxfId="23649" priority="9735">
      <formula>AND(Y32&gt;=79001,Y32&lt;79900)</formula>
    </cfRule>
    <cfRule type="expression" dxfId="23648" priority="9736" stopIfTrue="1">
      <formula>AND(Y32&gt;=70101,Y32&lt;=70301)</formula>
    </cfRule>
    <cfRule type="expression" dxfId="23647" priority="9737" stopIfTrue="1">
      <formula>AND(Y32&gt;70000,Y32&lt;70004)</formula>
    </cfRule>
    <cfRule type="expression" dxfId="23646" priority="9738" stopIfTrue="1">
      <formula>AND(Y32&gt;=70010,Y32&lt;=76000)</formula>
    </cfRule>
    <cfRule type="expression" dxfId="23645" priority="9739">
      <formula>AND(Y32&gt;70000,Y32&lt;70004)</formula>
    </cfRule>
    <cfRule type="expression" dxfId="23644" priority="9740" stopIfTrue="1">
      <formula>OR(AND(Y32&gt;=10000,Y32&lt;=56999),AND(Y32&gt;=57000,Y32&lt;=57999))</formula>
    </cfRule>
    <cfRule type="expression" dxfId="23643" priority="9741" stopIfTrue="1">
      <formula>AND(Y32&gt;=8000,Y32&lt;=9999)</formula>
    </cfRule>
    <cfRule type="expression" dxfId="23642" priority="9742" stopIfTrue="1">
      <formula>AND(Y32&gt;=78100,Y32&lt;=78199)</formula>
    </cfRule>
    <cfRule type="expression" dxfId="23641" priority="9743" stopIfTrue="1">
      <formula>AND(Y32&gt;=92000,Y32&lt;=98999)</formula>
    </cfRule>
    <cfRule type="expression" dxfId="23640" priority="9744" stopIfTrue="1">
      <formula>AND(Y32&gt;=78100,Y32&lt;=78199)</formula>
    </cfRule>
    <cfRule type="expression" dxfId="23639" priority="9745" stopIfTrue="1">
      <formula>AND(Y32&gt;=91000,Y32&lt;=91999)</formula>
    </cfRule>
  </conditionalFormatting>
  <conditionalFormatting sqref="X32">
    <cfRule type="expression" dxfId="23638" priority="9724">
      <formula>AND(Y32&gt;=79001,Y32&lt;79900)</formula>
    </cfRule>
    <cfRule type="expression" dxfId="23637" priority="9725" stopIfTrue="1">
      <formula>AND(Y32&gt;=70101,Y32&lt;=70301)</formula>
    </cfRule>
    <cfRule type="expression" dxfId="23636" priority="9726" stopIfTrue="1">
      <formula>AND(Y32&gt;70000,Y32&lt;70004)</formula>
    </cfRule>
    <cfRule type="expression" dxfId="23635" priority="9727" stopIfTrue="1">
      <formula>AND(Y32&gt;=70010,Y32&lt;=76000)</formula>
    </cfRule>
    <cfRule type="expression" dxfId="23634" priority="9728">
      <formula>AND(Y32&gt;70000,Y32&lt;70004)</formula>
    </cfRule>
    <cfRule type="expression" dxfId="23633" priority="9729" stopIfTrue="1">
      <formula>OR(AND(Y32&gt;=10000,Y32&lt;=56999),AND(Y32&gt;=57000,Y32&lt;=57999))</formula>
    </cfRule>
    <cfRule type="expression" dxfId="23632" priority="9730" stopIfTrue="1">
      <formula>AND(Y32&gt;=8000,Y32&lt;=9999)</formula>
    </cfRule>
    <cfRule type="expression" dxfId="23631" priority="9731" stopIfTrue="1">
      <formula>AND(Y32&gt;=78100,Y32&lt;=78199)</formula>
    </cfRule>
    <cfRule type="expression" dxfId="23630" priority="9732" stopIfTrue="1">
      <formula>AND(Y32&gt;=92000,Y32&lt;=98999)</formula>
    </cfRule>
    <cfRule type="expression" dxfId="23629" priority="9733" stopIfTrue="1">
      <formula>AND(Y32&gt;=78100,Y32&lt;=78199)</formula>
    </cfRule>
    <cfRule type="expression" dxfId="23628" priority="9734" stopIfTrue="1">
      <formula>AND(Y32&gt;=91000,Y32&lt;=91999)</formula>
    </cfRule>
  </conditionalFormatting>
  <conditionalFormatting sqref="X32">
    <cfRule type="expression" dxfId="23627" priority="9713">
      <formula>AND(Y32&gt;=79001,Y32&lt;79900)</formula>
    </cfRule>
    <cfRule type="expression" dxfId="23626" priority="9714" stopIfTrue="1">
      <formula>AND(Y32&gt;=70101,Y32&lt;=70301)</formula>
    </cfRule>
    <cfRule type="expression" dxfId="23625" priority="9715" stopIfTrue="1">
      <formula>AND(Y32&gt;70000,Y32&lt;70004)</formula>
    </cfRule>
    <cfRule type="expression" dxfId="23624" priority="9716" stopIfTrue="1">
      <formula>AND(Y32&gt;=70010,Y32&lt;=76000)</formula>
    </cfRule>
    <cfRule type="expression" dxfId="23623" priority="9717">
      <formula>AND(Y32&gt;70000,Y32&lt;70004)</formula>
    </cfRule>
    <cfRule type="expression" dxfId="23622" priority="9718" stopIfTrue="1">
      <formula>OR(AND(Y32&gt;=10000,Y32&lt;=56999),AND(Y32&gt;=57000,Y32&lt;=57999))</formula>
    </cfRule>
    <cfRule type="expression" dxfId="23621" priority="9719" stopIfTrue="1">
      <formula>AND(Y32&gt;=8000,Y32&lt;=9999)</formula>
    </cfRule>
    <cfRule type="expression" dxfId="23620" priority="9720" stopIfTrue="1">
      <formula>AND(Y32&gt;=78100,Y32&lt;=78199)</formula>
    </cfRule>
    <cfRule type="expression" dxfId="23619" priority="9721" stopIfTrue="1">
      <formula>AND(Y32&gt;=92000,Y32&lt;=98999)</formula>
    </cfRule>
    <cfRule type="expression" dxfId="23618" priority="9722" stopIfTrue="1">
      <formula>AND(Y32&gt;=78100,Y32&lt;=78199)</formula>
    </cfRule>
    <cfRule type="expression" dxfId="23617" priority="9723" stopIfTrue="1">
      <formula>AND(Y32&gt;=91000,Y32&lt;=91999)</formula>
    </cfRule>
  </conditionalFormatting>
  <conditionalFormatting sqref="AB32">
    <cfRule type="expression" dxfId="23616" priority="9702">
      <formula>AND(AC32&gt;=79001,AC32&lt;79900)</formula>
    </cfRule>
    <cfRule type="expression" dxfId="23615" priority="9703" stopIfTrue="1">
      <formula>AND(AC32&gt;=70101,AC32&lt;=70301)</formula>
    </cfRule>
    <cfRule type="expression" dxfId="23614" priority="9704" stopIfTrue="1">
      <formula>AND(AC32&gt;70000,AC32&lt;70004)</formula>
    </cfRule>
    <cfRule type="expression" dxfId="23613" priority="9705" stopIfTrue="1">
      <formula>AND(AC32&gt;=70010,AC32&lt;=76000)</formula>
    </cfRule>
    <cfRule type="expression" dxfId="23612" priority="9706">
      <formula>AND(AC32&gt;70000,AC32&lt;70004)</formula>
    </cfRule>
    <cfRule type="expression" dxfId="23611" priority="9707" stopIfTrue="1">
      <formula>OR(AND(AC32&gt;=10000,AC32&lt;=56999),AND(AC32&gt;=57000,AC32&lt;=57999))</formula>
    </cfRule>
    <cfRule type="expression" dxfId="23610" priority="9708" stopIfTrue="1">
      <formula>AND(AC32&gt;=8000,AC32&lt;=9999)</formula>
    </cfRule>
    <cfRule type="expression" dxfId="23609" priority="9709" stopIfTrue="1">
      <formula>AND(AC32&gt;=78100,AC32&lt;=78199)</formula>
    </cfRule>
    <cfRule type="expression" dxfId="23608" priority="9710" stopIfTrue="1">
      <formula>AND(AC32&gt;=92000,AC32&lt;=98999)</formula>
    </cfRule>
    <cfRule type="expression" dxfId="23607" priority="9711" stopIfTrue="1">
      <formula>AND(AC32&gt;=78100,AC32&lt;=78199)</formula>
    </cfRule>
    <cfRule type="expression" dxfId="23606" priority="9712" stopIfTrue="1">
      <formula>AND(AC32&gt;=91000,AC32&lt;=91999)</formula>
    </cfRule>
  </conditionalFormatting>
  <conditionalFormatting sqref="AB32">
    <cfRule type="expression" dxfId="23605" priority="9691">
      <formula>AND(AC32&gt;=79001,AC32&lt;79900)</formula>
    </cfRule>
    <cfRule type="expression" dxfId="23604" priority="9692" stopIfTrue="1">
      <formula>AND(AC32&gt;=70101,AC32&lt;=70301)</formula>
    </cfRule>
    <cfRule type="expression" dxfId="23603" priority="9693" stopIfTrue="1">
      <formula>AND(AC32&gt;70000,AC32&lt;70004)</formula>
    </cfRule>
    <cfRule type="expression" dxfId="23602" priority="9694" stopIfTrue="1">
      <formula>AND(AC32&gt;=70010,AC32&lt;=76000)</formula>
    </cfRule>
    <cfRule type="expression" dxfId="23601" priority="9695">
      <formula>AND(AC32&gt;70000,AC32&lt;70004)</formula>
    </cfRule>
    <cfRule type="expression" dxfId="23600" priority="9696" stopIfTrue="1">
      <formula>OR(AND(AC32&gt;=10000,AC32&lt;=56999),AND(AC32&gt;=57000,AC32&lt;=57999))</formula>
    </cfRule>
    <cfRule type="expression" dxfId="23599" priority="9697" stopIfTrue="1">
      <formula>AND(AC32&gt;=8000,AC32&lt;=9999)</formula>
    </cfRule>
    <cfRule type="expression" dxfId="23598" priority="9698" stopIfTrue="1">
      <formula>AND(AC32&gt;=78100,AC32&lt;=78199)</formula>
    </cfRule>
    <cfRule type="expression" dxfId="23597" priority="9699" stopIfTrue="1">
      <formula>AND(AC32&gt;=92000,AC32&lt;=98999)</formula>
    </cfRule>
    <cfRule type="expression" dxfId="23596" priority="9700" stopIfTrue="1">
      <formula>AND(AC32&gt;=78100,AC32&lt;=78199)</formula>
    </cfRule>
    <cfRule type="expression" dxfId="23595" priority="9701" stopIfTrue="1">
      <formula>AND(AC32&gt;=91000,AC32&lt;=91999)</formula>
    </cfRule>
  </conditionalFormatting>
  <conditionalFormatting sqref="AF32">
    <cfRule type="expression" dxfId="23594" priority="9680">
      <formula>AND(AG32&gt;=79001,AG32&lt;79900)</formula>
    </cfRule>
    <cfRule type="expression" dxfId="23593" priority="9681" stopIfTrue="1">
      <formula>AND(AG32&gt;=70101,AG32&lt;=70301)</formula>
    </cfRule>
    <cfRule type="expression" dxfId="23592" priority="9682" stopIfTrue="1">
      <formula>AND(AG32&gt;70000,AG32&lt;70004)</formula>
    </cfRule>
    <cfRule type="expression" dxfId="23591" priority="9683" stopIfTrue="1">
      <formula>AND(AG32&gt;=70010,AG32&lt;=76000)</formula>
    </cfRule>
    <cfRule type="expression" dxfId="23590" priority="9684">
      <formula>AND(AG32&gt;70000,AG32&lt;70004)</formula>
    </cfRule>
    <cfRule type="expression" dxfId="23589" priority="9685" stopIfTrue="1">
      <formula>OR(AND(AG32&gt;=10000,AG32&lt;=56999),AND(AG32&gt;=57000,AG32&lt;=57999))</formula>
    </cfRule>
    <cfRule type="expression" dxfId="23588" priority="9686" stopIfTrue="1">
      <formula>AND(AG32&gt;=8000,AG32&lt;=9999)</formula>
    </cfRule>
    <cfRule type="expression" dxfId="23587" priority="9687" stopIfTrue="1">
      <formula>AND(AG32&gt;=78100,AG32&lt;=78199)</formula>
    </cfRule>
    <cfRule type="expression" dxfId="23586" priority="9688" stopIfTrue="1">
      <formula>AND(AG32&gt;=92000,AG32&lt;=98999)</formula>
    </cfRule>
    <cfRule type="expression" dxfId="23585" priority="9689" stopIfTrue="1">
      <formula>AND(AG32&gt;=78100,AG32&lt;=78199)</formula>
    </cfRule>
    <cfRule type="expression" dxfId="23584" priority="9690" stopIfTrue="1">
      <formula>AND(AG32&gt;=91000,AG32&lt;=91999)</formula>
    </cfRule>
  </conditionalFormatting>
  <conditionalFormatting sqref="AJ32">
    <cfRule type="expression" dxfId="23583" priority="9669">
      <formula>AND(AK32&gt;=79001,AK32&lt;79900)</formula>
    </cfRule>
    <cfRule type="expression" dxfId="23582" priority="9670" stopIfTrue="1">
      <formula>AND(AK32&gt;=70101,AK32&lt;=70301)</formula>
    </cfRule>
    <cfRule type="expression" dxfId="23581" priority="9671" stopIfTrue="1">
      <formula>AND(AK32&gt;70000,AK32&lt;70004)</formula>
    </cfRule>
    <cfRule type="expression" dxfId="23580" priority="9672" stopIfTrue="1">
      <formula>AND(AK32&gt;=70010,AK32&lt;=76000)</formula>
    </cfRule>
    <cfRule type="expression" dxfId="23579" priority="9673">
      <formula>AND(AK32&gt;70000,AK32&lt;70004)</formula>
    </cfRule>
    <cfRule type="expression" dxfId="23578" priority="9674" stopIfTrue="1">
      <formula>OR(AND(AK32&gt;=10000,AK32&lt;=56999),AND(AK32&gt;=57000,AK32&lt;=57999))</formula>
    </cfRule>
    <cfRule type="expression" dxfId="23577" priority="9675" stopIfTrue="1">
      <formula>AND(AK32&gt;=8000,AK32&lt;=9999)</formula>
    </cfRule>
    <cfRule type="expression" dxfId="23576" priority="9676" stopIfTrue="1">
      <formula>AND(AK32&gt;=78100,AK32&lt;=78199)</formula>
    </cfRule>
    <cfRule type="expression" dxfId="23575" priority="9677" stopIfTrue="1">
      <formula>AND(AK32&gt;=92000,AK32&lt;=98999)</formula>
    </cfRule>
    <cfRule type="expression" dxfId="23574" priority="9678" stopIfTrue="1">
      <formula>AND(AK32&gt;=78100,AK32&lt;=78199)</formula>
    </cfRule>
    <cfRule type="expression" dxfId="23573" priority="9679" stopIfTrue="1">
      <formula>AND(AK32&gt;=91000,AK32&lt;=91999)</formula>
    </cfRule>
  </conditionalFormatting>
  <conditionalFormatting sqref="AF32">
    <cfRule type="expression" dxfId="23572" priority="9658">
      <formula>AND(AG32&gt;=79001,AG32&lt;79900)</formula>
    </cfRule>
    <cfRule type="expression" dxfId="23571" priority="9659" stopIfTrue="1">
      <formula>AND(AG32&gt;=70101,AG32&lt;=70301)</formula>
    </cfRule>
    <cfRule type="expression" dxfId="23570" priority="9660" stopIfTrue="1">
      <formula>AND(AG32&gt;70000,AG32&lt;70004)</formula>
    </cfRule>
    <cfRule type="expression" dxfId="23569" priority="9661" stopIfTrue="1">
      <formula>AND(AG32&gt;=70010,AG32&lt;=76000)</formula>
    </cfRule>
    <cfRule type="expression" dxfId="23568" priority="9662">
      <formula>AND(AG32&gt;70000,AG32&lt;70004)</formula>
    </cfRule>
    <cfRule type="expression" dxfId="23567" priority="9663" stopIfTrue="1">
      <formula>OR(AND(AG32&gt;=10000,AG32&lt;=56999),AND(AG32&gt;=57000,AG32&lt;=57999))</formula>
    </cfRule>
    <cfRule type="expression" dxfId="23566" priority="9664" stopIfTrue="1">
      <formula>AND(AG32&gt;=8000,AG32&lt;=9999)</formula>
    </cfRule>
    <cfRule type="expression" dxfId="23565" priority="9665" stopIfTrue="1">
      <formula>AND(AG32&gt;=78100,AG32&lt;=78199)</formula>
    </cfRule>
    <cfRule type="expression" dxfId="23564" priority="9666" stopIfTrue="1">
      <formula>AND(AG32&gt;=92000,AG32&lt;=98999)</formula>
    </cfRule>
    <cfRule type="expression" dxfId="23563" priority="9667" stopIfTrue="1">
      <formula>AND(AG32&gt;=78100,AG32&lt;=78199)</formula>
    </cfRule>
    <cfRule type="expression" dxfId="23562" priority="9668" stopIfTrue="1">
      <formula>AND(AG32&gt;=91000,AG32&lt;=91999)</formula>
    </cfRule>
  </conditionalFormatting>
  <conditionalFormatting sqref="AJ32">
    <cfRule type="expression" dxfId="23561" priority="9647">
      <formula>AND(AK32&gt;=79001,AK32&lt;79900)</formula>
    </cfRule>
    <cfRule type="expression" dxfId="23560" priority="9648" stopIfTrue="1">
      <formula>AND(AK32&gt;=70101,AK32&lt;=70301)</formula>
    </cfRule>
    <cfRule type="expression" dxfId="23559" priority="9649" stopIfTrue="1">
      <formula>AND(AK32&gt;70000,AK32&lt;70004)</formula>
    </cfRule>
    <cfRule type="expression" dxfId="23558" priority="9650" stopIfTrue="1">
      <formula>AND(AK32&gt;=70010,AK32&lt;=76000)</formula>
    </cfRule>
    <cfRule type="expression" dxfId="23557" priority="9651">
      <formula>AND(AK32&gt;70000,AK32&lt;70004)</formula>
    </cfRule>
    <cfRule type="expression" dxfId="23556" priority="9652" stopIfTrue="1">
      <formula>OR(AND(AK32&gt;=10000,AK32&lt;=56999),AND(AK32&gt;=57000,AK32&lt;=57999))</formula>
    </cfRule>
    <cfRule type="expression" dxfId="23555" priority="9653" stopIfTrue="1">
      <formula>AND(AK32&gt;=8000,AK32&lt;=9999)</formula>
    </cfRule>
    <cfRule type="expression" dxfId="23554" priority="9654" stopIfTrue="1">
      <formula>AND(AK32&gt;=78100,AK32&lt;=78199)</formula>
    </cfRule>
    <cfRule type="expression" dxfId="23553" priority="9655" stopIfTrue="1">
      <formula>AND(AK32&gt;=92000,AK32&lt;=98999)</formula>
    </cfRule>
    <cfRule type="expression" dxfId="23552" priority="9656" stopIfTrue="1">
      <formula>AND(AK32&gt;=78100,AK32&lt;=78199)</formula>
    </cfRule>
    <cfRule type="expression" dxfId="23551" priority="9657" stopIfTrue="1">
      <formula>AND(AK32&gt;=91000,AK32&lt;=91999)</formula>
    </cfRule>
  </conditionalFormatting>
  <conditionalFormatting sqref="AM32">
    <cfRule type="colorScale" priority="9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2">
    <cfRule type="colorScale" priority="9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2">
    <cfRule type="colorScale" priority="9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2">
    <cfRule type="colorScale" priority="9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2">
    <cfRule type="colorScale" priority="96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2">
    <cfRule type="colorScale" priority="96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2">
    <cfRule type="expression" dxfId="23550" priority="9630">
      <formula>AND(U32&gt;=79001,U32&lt;79900)</formula>
    </cfRule>
    <cfRule type="expression" dxfId="23549" priority="9631" stopIfTrue="1">
      <formula>AND(U32&gt;=70101,U32&lt;=70301)</formula>
    </cfRule>
    <cfRule type="expression" dxfId="23548" priority="9632" stopIfTrue="1">
      <formula>AND(U32&gt;70000,U32&lt;70004)</formula>
    </cfRule>
    <cfRule type="expression" dxfId="23547" priority="9633" stopIfTrue="1">
      <formula>AND(U32&gt;=70010,U32&lt;=76000)</formula>
    </cfRule>
    <cfRule type="expression" dxfId="23546" priority="9634">
      <formula>AND(U32&gt;70000,U32&lt;70004)</formula>
    </cfRule>
    <cfRule type="expression" dxfId="23545" priority="9635" stopIfTrue="1">
      <formula>OR(AND(U32&gt;=10000,U32&lt;=56999),AND(U32&gt;=57000,U32&lt;=57999))</formula>
    </cfRule>
    <cfRule type="expression" dxfId="23544" priority="9636" stopIfTrue="1">
      <formula>AND(U32&gt;=8000,U32&lt;=9999)</formula>
    </cfRule>
    <cfRule type="expression" dxfId="23543" priority="9637" stopIfTrue="1">
      <formula>AND(U32&gt;=78100,U32&lt;=78199)</formula>
    </cfRule>
    <cfRule type="expression" dxfId="23542" priority="9638" stopIfTrue="1">
      <formula>AND(U32&gt;=92000,U32&lt;=98999)</formula>
    </cfRule>
    <cfRule type="expression" dxfId="23541" priority="9639" stopIfTrue="1">
      <formula>AND(U32&gt;=78100,U32&lt;=78199)</formula>
    </cfRule>
    <cfRule type="expression" dxfId="23540" priority="9640" stopIfTrue="1">
      <formula>AND(U32&gt;=91000,U32&lt;=91999)</formula>
    </cfRule>
  </conditionalFormatting>
  <conditionalFormatting sqref="T32">
    <cfRule type="expression" dxfId="23539" priority="9619">
      <formula>AND(U32&gt;=79001,U32&lt;79900)</formula>
    </cfRule>
    <cfRule type="expression" dxfId="23538" priority="9620" stopIfTrue="1">
      <formula>AND(U32&gt;=70101,U32&lt;=70301)</formula>
    </cfRule>
    <cfRule type="expression" dxfId="23537" priority="9621" stopIfTrue="1">
      <formula>AND(U32&gt;70000,U32&lt;70004)</formula>
    </cfRule>
    <cfRule type="expression" dxfId="23536" priority="9622" stopIfTrue="1">
      <formula>AND(U32&gt;=70010,U32&lt;=76000)</formula>
    </cfRule>
    <cfRule type="expression" dxfId="23535" priority="9623">
      <formula>AND(U32&gt;70000,U32&lt;70004)</formula>
    </cfRule>
    <cfRule type="expression" dxfId="23534" priority="9624" stopIfTrue="1">
      <formula>OR(AND(U32&gt;=10000,U32&lt;=56999),AND(U32&gt;=57000,U32&lt;=57999))</formula>
    </cfRule>
    <cfRule type="expression" dxfId="23533" priority="9625" stopIfTrue="1">
      <formula>AND(U32&gt;=8000,U32&lt;=9999)</formula>
    </cfRule>
    <cfRule type="expression" dxfId="23532" priority="9626" stopIfTrue="1">
      <formula>AND(U32&gt;=78100,U32&lt;=78199)</formula>
    </cfRule>
    <cfRule type="expression" dxfId="23531" priority="9627" stopIfTrue="1">
      <formula>AND(U32&gt;=92000,U32&lt;=98999)</formula>
    </cfRule>
    <cfRule type="expression" dxfId="23530" priority="9628" stopIfTrue="1">
      <formula>AND(U32&gt;=78100,U32&lt;=78199)</formula>
    </cfRule>
    <cfRule type="expression" dxfId="23529" priority="9629" stopIfTrue="1">
      <formula>AND(U32&gt;=91000,U32&lt;=91999)</formula>
    </cfRule>
  </conditionalFormatting>
  <conditionalFormatting sqref="T32">
    <cfRule type="expression" dxfId="23528" priority="9608">
      <formula>AND(U32&gt;=79001,U32&lt;79900)</formula>
    </cfRule>
    <cfRule type="expression" dxfId="23527" priority="9609" stopIfTrue="1">
      <formula>AND(U32&gt;=70101,U32&lt;=70301)</formula>
    </cfRule>
    <cfRule type="expression" dxfId="23526" priority="9610" stopIfTrue="1">
      <formula>AND(U32&gt;70000,U32&lt;70004)</formula>
    </cfRule>
    <cfRule type="expression" dxfId="23525" priority="9611" stopIfTrue="1">
      <formula>AND(U32&gt;=70010,U32&lt;=76000)</formula>
    </cfRule>
    <cfRule type="expression" dxfId="23524" priority="9612">
      <formula>AND(U32&gt;70000,U32&lt;70004)</formula>
    </cfRule>
    <cfRule type="expression" dxfId="23523" priority="9613" stopIfTrue="1">
      <formula>OR(AND(U32&gt;=10000,U32&lt;=56999),AND(U32&gt;=57000,U32&lt;=57999))</formula>
    </cfRule>
    <cfRule type="expression" dxfId="23522" priority="9614" stopIfTrue="1">
      <formula>AND(U32&gt;=8000,U32&lt;=9999)</formula>
    </cfRule>
    <cfRule type="expression" dxfId="23521" priority="9615" stopIfTrue="1">
      <formula>AND(U32&gt;=78100,U32&lt;=78199)</formula>
    </cfRule>
    <cfRule type="expression" dxfId="23520" priority="9616" stopIfTrue="1">
      <formula>AND(U32&gt;=92000,U32&lt;=98999)</formula>
    </cfRule>
    <cfRule type="expression" dxfId="23519" priority="9617" stopIfTrue="1">
      <formula>AND(U32&gt;=78100,U32&lt;=78199)</formula>
    </cfRule>
    <cfRule type="expression" dxfId="23518" priority="9618" stopIfTrue="1">
      <formula>AND(U32&gt;=91000,U32&lt;=91999)</formula>
    </cfRule>
  </conditionalFormatting>
  <conditionalFormatting sqref="T32">
    <cfRule type="expression" dxfId="23517" priority="9597">
      <formula>AND(U32&gt;=79001,U32&lt;79900)</formula>
    </cfRule>
    <cfRule type="expression" dxfId="23516" priority="9598" stopIfTrue="1">
      <formula>AND(U32&gt;=70101,U32&lt;=70301)</formula>
    </cfRule>
    <cfRule type="expression" dxfId="23515" priority="9599" stopIfTrue="1">
      <formula>AND(U32&gt;70000,U32&lt;70004)</formula>
    </cfRule>
    <cfRule type="expression" dxfId="23514" priority="9600" stopIfTrue="1">
      <formula>AND(U32&gt;=70010,U32&lt;=76000)</formula>
    </cfRule>
    <cfRule type="expression" dxfId="23513" priority="9601">
      <formula>AND(U32&gt;70000,U32&lt;70004)</formula>
    </cfRule>
    <cfRule type="expression" dxfId="23512" priority="9602" stopIfTrue="1">
      <formula>OR(AND(U32&gt;=10000,U32&lt;=56999),AND(U32&gt;=57000,U32&lt;=57999))</formula>
    </cfRule>
    <cfRule type="expression" dxfId="23511" priority="9603" stopIfTrue="1">
      <formula>AND(U32&gt;=8000,U32&lt;=9999)</formula>
    </cfRule>
    <cfRule type="expression" dxfId="23510" priority="9604" stopIfTrue="1">
      <formula>AND(U32&gt;=78100,U32&lt;=78199)</formula>
    </cfRule>
    <cfRule type="expression" dxfId="23509" priority="9605" stopIfTrue="1">
      <formula>AND(U32&gt;=92000,U32&lt;=98999)</formula>
    </cfRule>
    <cfRule type="expression" dxfId="23508" priority="9606" stopIfTrue="1">
      <formula>AND(U32&gt;=78100,U32&lt;=78199)</formula>
    </cfRule>
    <cfRule type="expression" dxfId="23507" priority="9607" stopIfTrue="1">
      <formula>AND(U32&gt;=91000,U32&lt;=91999)</formula>
    </cfRule>
  </conditionalFormatting>
  <conditionalFormatting sqref="AJ46:AK46 AM46">
    <cfRule type="expression" dxfId="23506" priority="9586">
      <formula>AND(AK46&gt;=79001,AK46&lt;79900)</formula>
    </cfRule>
    <cfRule type="expression" dxfId="23505" priority="9587" stopIfTrue="1">
      <formula>AND(AK46&gt;=70101,AK46&lt;=70301)</formula>
    </cfRule>
    <cfRule type="expression" dxfId="23504" priority="9588" stopIfTrue="1">
      <formula>AND(AK46&gt;70000,AK46&lt;70004)</formula>
    </cfRule>
    <cfRule type="expression" dxfId="23503" priority="9589" stopIfTrue="1">
      <formula>AND(AK46&gt;=70010,AK46&lt;=76000)</formula>
    </cfRule>
    <cfRule type="expression" dxfId="23502" priority="9590">
      <formula>AND(AK46&gt;70000,AK46&lt;70004)</formula>
    </cfRule>
    <cfRule type="expression" dxfId="23501" priority="9591" stopIfTrue="1">
      <formula>OR(AND(AK46&gt;=10000,AK46&lt;=56999),AND(AK46&gt;=57000,AK46&lt;=57999))</formula>
    </cfRule>
    <cfRule type="expression" dxfId="23500" priority="9592" stopIfTrue="1">
      <formula>AND(AK46&gt;=8000,AK46&lt;=9999)</formula>
    </cfRule>
    <cfRule type="expression" dxfId="23499" priority="9593" stopIfTrue="1">
      <formula>AND(AK46&gt;=78100,AK46&lt;=78199)</formula>
    </cfRule>
    <cfRule type="expression" dxfId="23498" priority="9594" stopIfTrue="1">
      <formula>AND(AK46&gt;=92000,AK46&lt;=98999)</formula>
    </cfRule>
    <cfRule type="expression" dxfId="23497" priority="9595" stopIfTrue="1">
      <formula>AND(AK46&gt;=78100,AK46&lt;=78199)</formula>
    </cfRule>
    <cfRule type="expression" dxfId="23496" priority="9596" stopIfTrue="1">
      <formula>AND(AK46&gt;=91000,AK46&lt;=91999)</formula>
    </cfRule>
  </conditionalFormatting>
  <conditionalFormatting sqref="AJ46:AK46 AM46">
    <cfRule type="expression" dxfId="23495" priority="9575">
      <formula>AND(AK46&gt;=79001,AK46&lt;79900)</formula>
    </cfRule>
    <cfRule type="expression" dxfId="23494" priority="9576" stopIfTrue="1">
      <formula>AND(AK46&gt;=70101,AK46&lt;=70301)</formula>
    </cfRule>
    <cfRule type="expression" dxfId="23493" priority="9577" stopIfTrue="1">
      <formula>AND(AK46&gt;70000,AK46&lt;70004)</formula>
    </cfRule>
    <cfRule type="expression" dxfId="23492" priority="9578" stopIfTrue="1">
      <formula>AND(AK46&gt;=70010,AK46&lt;=76000)</formula>
    </cfRule>
    <cfRule type="expression" dxfId="23491" priority="9579">
      <formula>AND(AK46&gt;70000,AK46&lt;70004)</formula>
    </cfRule>
    <cfRule type="expression" dxfId="23490" priority="9580" stopIfTrue="1">
      <formula>OR(AND(AK46&gt;=10000,AK46&lt;=56999),AND(AK46&gt;=57000,AK46&lt;=57999))</formula>
    </cfRule>
    <cfRule type="expression" dxfId="23489" priority="9581" stopIfTrue="1">
      <formula>AND(AK46&gt;=8000,AK46&lt;=9999)</formula>
    </cfRule>
    <cfRule type="expression" dxfId="23488" priority="9582" stopIfTrue="1">
      <formula>AND(AK46&gt;=78100,AK46&lt;=78199)</formula>
    </cfRule>
    <cfRule type="expression" dxfId="23487" priority="9583" stopIfTrue="1">
      <formula>AND(AK46&gt;=92000,AK46&lt;=98999)</formula>
    </cfRule>
    <cfRule type="expression" dxfId="23486" priority="9584" stopIfTrue="1">
      <formula>AND(AK46&gt;=78100,AK46&lt;=78199)</formula>
    </cfRule>
    <cfRule type="expression" dxfId="23485" priority="9585" stopIfTrue="1">
      <formula>AND(AK46&gt;=91000,AK46&lt;=91999)</formula>
    </cfRule>
  </conditionalFormatting>
  <conditionalFormatting sqref="AJ46:AK46 AM46">
    <cfRule type="expression" dxfId="23484" priority="9564">
      <formula>AND(AK46&gt;=79001,AK46&lt;79900)</formula>
    </cfRule>
    <cfRule type="expression" dxfId="23483" priority="9565" stopIfTrue="1">
      <formula>AND(AK46&gt;=70101,AK46&lt;=70301)</formula>
    </cfRule>
    <cfRule type="expression" dxfId="23482" priority="9566" stopIfTrue="1">
      <formula>AND(AK46&gt;70000,AK46&lt;70004)</formula>
    </cfRule>
    <cfRule type="expression" dxfId="23481" priority="9567" stopIfTrue="1">
      <formula>AND(AK46&gt;=70010,AK46&lt;=76000)</formula>
    </cfRule>
    <cfRule type="expression" dxfId="23480" priority="9568">
      <formula>AND(AK46&gt;70000,AK46&lt;70004)</formula>
    </cfRule>
    <cfRule type="expression" dxfId="23479" priority="9569" stopIfTrue="1">
      <formula>OR(AND(AK46&gt;=10000,AK46&lt;=56999),AND(AK46&gt;=57000,AK46&lt;=57999))</formula>
    </cfRule>
    <cfRule type="expression" dxfId="23478" priority="9570" stopIfTrue="1">
      <formula>AND(AK46&gt;=8000,AK46&lt;=9999)</formula>
    </cfRule>
    <cfRule type="expression" dxfId="23477" priority="9571" stopIfTrue="1">
      <formula>AND(AK46&gt;=78100,AK46&lt;=78199)</formula>
    </cfRule>
    <cfRule type="expression" dxfId="23476" priority="9572" stopIfTrue="1">
      <formula>AND(AK46&gt;=92000,AK46&lt;=98999)</formula>
    </cfRule>
    <cfRule type="expression" dxfId="23475" priority="9573" stopIfTrue="1">
      <formula>AND(AK46&gt;=78100,AK46&lt;=78199)</formula>
    </cfRule>
    <cfRule type="expression" dxfId="23474" priority="9574" stopIfTrue="1">
      <formula>AND(AK46&gt;=91000,AK46&lt;=91999)</formula>
    </cfRule>
  </conditionalFormatting>
  <conditionalFormatting sqref="AJ46:AK46 AM46">
    <cfRule type="expression" dxfId="23473" priority="9553">
      <formula>AND(AK46&gt;=79001,AK46&lt;79900)</formula>
    </cfRule>
    <cfRule type="expression" dxfId="23472" priority="9554" stopIfTrue="1">
      <formula>AND(AK46&gt;=70101,AK46&lt;=70301)</formula>
    </cfRule>
    <cfRule type="expression" dxfId="23471" priority="9555" stopIfTrue="1">
      <formula>AND(AK46&gt;70000,AK46&lt;70004)</formula>
    </cfRule>
    <cfRule type="expression" dxfId="23470" priority="9556" stopIfTrue="1">
      <formula>AND(AK46&gt;=70010,AK46&lt;=76000)</formula>
    </cfRule>
    <cfRule type="expression" dxfId="23469" priority="9557">
      <formula>AND(AK46&gt;70000,AK46&lt;70004)</formula>
    </cfRule>
    <cfRule type="expression" dxfId="23468" priority="9558" stopIfTrue="1">
      <formula>OR(AND(AK46&gt;=10000,AK46&lt;=56999),AND(AK46&gt;=57000,AK46&lt;=57999))</formula>
    </cfRule>
    <cfRule type="expression" dxfId="23467" priority="9559" stopIfTrue="1">
      <formula>AND(AK46&gt;=8000,AK46&lt;=9999)</formula>
    </cfRule>
    <cfRule type="expression" dxfId="23466" priority="9560" stopIfTrue="1">
      <formula>AND(AK46&gt;=78100,AK46&lt;=78199)</formula>
    </cfRule>
    <cfRule type="expression" dxfId="23465" priority="9561" stopIfTrue="1">
      <formula>AND(AK46&gt;=92000,AK46&lt;=98999)</formula>
    </cfRule>
    <cfRule type="expression" dxfId="23464" priority="9562" stopIfTrue="1">
      <formula>AND(AK46&gt;=78100,AK46&lt;=78199)</formula>
    </cfRule>
    <cfRule type="expression" dxfId="23463" priority="9563" stopIfTrue="1">
      <formula>AND(AK46&gt;=91000,AK46&lt;=91999)</formula>
    </cfRule>
  </conditionalFormatting>
  <conditionalFormatting sqref="T34">
    <cfRule type="expression" dxfId="23462" priority="9542">
      <formula>AND(U34&gt;=79001,U34&lt;79900)</formula>
    </cfRule>
    <cfRule type="expression" dxfId="23461" priority="9543" stopIfTrue="1">
      <formula>AND(U34&gt;=70101,U34&lt;=70301)</formula>
    </cfRule>
    <cfRule type="expression" dxfId="23460" priority="9544" stopIfTrue="1">
      <formula>AND(U34&gt;70000,U34&lt;70004)</formula>
    </cfRule>
    <cfRule type="expression" dxfId="23459" priority="9545" stopIfTrue="1">
      <formula>AND(U34&gt;=70010,U34&lt;=76000)</formula>
    </cfRule>
    <cfRule type="expression" dxfId="23458" priority="9546">
      <formula>AND(U34&gt;70000,U34&lt;70004)</formula>
    </cfRule>
    <cfRule type="expression" dxfId="23457" priority="9547" stopIfTrue="1">
      <formula>OR(AND(U34&gt;=10000,U34&lt;=56999),AND(U34&gt;=57000,U34&lt;=57999))</formula>
    </cfRule>
    <cfRule type="expression" dxfId="23456" priority="9548" stopIfTrue="1">
      <formula>AND(U34&gt;=8000,U34&lt;=9999)</formula>
    </cfRule>
    <cfRule type="expression" dxfId="23455" priority="9549" stopIfTrue="1">
      <formula>AND(U34&gt;=78100,U34&lt;=78199)</formula>
    </cfRule>
    <cfRule type="expression" dxfId="23454" priority="9550" stopIfTrue="1">
      <formula>AND(U34&gt;=92000,U34&lt;=98999)</formula>
    </cfRule>
    <cfRule type="expression" dxfId="23453" priority="9551" stopIfTrue="1">
      <formula>AND(U34&gt;=78100,U34&lt;=78199)</formula>
    </cfRule>
    <cfRule type="expression" dxfId="23452" priority="9552" stopIfTrue="1">
      <formula>AND(U34&gt;=91000,U34&lt;=91999)</formula>
    </cfRule>
  </conditionalFormatting>
  <conditionalFormatting sqref="T34">
    <cfRule type="expression" dxfId="23451" priority="9531">
      <formula>AND(U34&gt;=79001,U34&lt;79900)</formula>
    </cfRule>
    <cfRule type="expression" dxfId="23450" priority="9532" stopIfTrue="1">
      <formula>AND(U34&gt;=70101,U34&lt;=70301)</formula>
    </cfRule>
    <cfRule type="expression" dxfId="23449" priority="9533" stopIfTrue="1">
      <formula>AND(U34&gt;70000,U34&lt;70004)</formula>
    </cfRule>
    <cfRule type="expression" dxfId="23448" priority="9534" stopIfTrue="1">
      <formula>AND(U34&gt;=70010,U34&lt;=76000)</formula>
    </cfRule>
    <cfRule type="expression" dxfId="23447" priority="9535">
      <formula>AND(U34&gt;70000,U34&lt;70004)</formula>
    </cfRule>
    <cfRule type="expression" dxfId="23446" priority="9536" stopIfTrue="1">
      <formula>OR(AND(U34&gt;=10000,U34&lt;=56999),AND(U34&gt;=57000,U34&lt;=57999))</formula>
    </cfRule>
    <cfRule type="expression" dxfId="23445" priority="9537" stopIfTrue="1">
      <formula>AND(U34&gt;=8000,U34&lt;=9999)</formula>
    </cfRule>
    <cfRule type="expression" dxfId="23444" priority="9538" stopIfTrue="1">
      <formula>AND(U34&gt;=78100,U34&lt;=78199)</formula>
    </cfRule>
    <cfRule type="expression" dxfId="23443" priority="9539" stopIfTrue="1">
      <formula>AND(U34&gt;=92000,U34&lt;=98999)</formula>
    </cfRule>
    <cfRule type="expression" dxfId="23442" priority="9540" stopIfTrue="1">
      <formula>AND(U34&gt;=78100,U34&lt;=78199)</formula>
    </cfRule>
    <cfRule type="expression" dxfId="23441" priority="9541" stopIfTrue="1">
      <formula>AND(U34&gt;=91000,U34&lt;=91999)</formula>
    </cfRule>
  </conditionalFormatting>
  <conditionalFormatting sqref="T34">
    <cfRule type="expression" dxfId="23440" priority="9520">
      <formula>AND(U34&gt;=79001,U34&lt;79900)</formula>
    </cfRule>
    <cfRule type="expression" dxfId="23439" priority="9521" stopIfTrue="1">
      <formula>AND(U34&gt;=70101,U34&lt;=70301)</formula>
    </cfRule>
    <cfRule type="expression" dxfId="23438" priority="9522" stopIfTrue="1">
      <formula>AND(U34&gt;70000,U34&lt;70004)</formula>
    </cfRule>
    <cfRule type="expression" dxfId="23437" priority="9523" stopIfTrue="1">
      <formula>AND(U34&gt;=70010,U34&lt;=76000)</formula>
    </cfRule>
    <cfRule type="expression" dxfId="23436" priority="9524">
      <formula>AND(U34&gt;70000,U34&lt;70004)</formula>
    </cfRule>
    <cfRule type="expression" dxfId="23435" priority="9525" stopIfTrue="1">
      <formula>OR(AND(U34&gt;=10000,U34&lt;=56999),AND(U34&gt;=57000,U34&lt;=57999))</formula>
    </cfRule>
    <cfRule type="expression" dxfId="23434" priority="9526" stopIfTrue="1">
      <formula>AND(U34&gt;=8000,U34&lt;=9999)</formula>
    </cfRule>
    <cfRule type="expression" dxfId="23433" priority="9527" stopIfTrue="1">
      <formula>AND(U34&gt;=78100,U34&lt;=78199)</formula>
    </cfRule>
    <cfRule type="expression" dxfId="23432" priority="9528" stopIfTrue="1">
      <formula>AND(U34&gt;=92000,U34&lt;=98999)</formula>
    </cfRule>
    <cfRule type="expression" dxfId="23431" priority="9529" stopIfTrue="1">
      <formula>AND(U34&gt;=78100,U34&lt;=78199)</formula>
    </cfRule>
    <cfRule type="expression" dxfId="23430" priority="9530" stopIfTrue="1">
      <formula>AND(U34&gt;=91000,U34&lt;=91999)</formula>
    </cfRule>
  </conditionalFormatting>
  <conditionalFormatting sqref="T34">
    <cfRule type="expression" dxfId="23429" priority="9509">
      <formula>AND(U34&gt;=79001,U34&lt;79900)</formula>
    </cfRule>
    <cfRule type="expression" dxfId="23428" priority="9510" stopIfTrue="1">
      <formula>AND(U34&gt;=70101,U34&lt;=70301)</formula>
    </cfRule>
    <cfRule type="expression" dxfId="23427" priority="9511" stopIfTrue="1">
      <formula>AND(U34&gt;70000,U34&lt;70004)</formula>
    </cfRule>
    <cfRule type="expression" dxfId="23426" priority="9512" stopIfTrue="1">
      <formula>AND(U34&gt;=70010,U34&lt;=76000)</formula>
    </cfRule>
    <cfRule type="expression" dxfId="23425" priority="9513">
      <formula>AND(U34&gt;70000,U34&lt;70004)</formula>
    </cfRule>
    <cfRule type="expression" dxfId="23424" priority="9514" stopIfTrue="1">
      <formula>OR(AND(U34&gt;=10000,U34&lt;=56999),AND(U34&gt;=57000,U34&lt;=57999))</formula>
    </cfRule>
    <cfRule type="expression" dxfId="23423" priority="9515" stopIfTrue="1">
      <formula>AND(U34&gt;=8000,U34&lt;=9999)</formula>
    </cfRule>
    <cfRule type="expression" dxfId="23422" priority="9516" stopIfTrue="1">
      <formula>AND(U34&gt;=78100,U34&lt;=78199)</formula>
    </cfRule>
    <cfRule type="expression" dxfId="23421" priority="9517" stopIfTrue="1">
      <formula>AND(U34&gt;=92000,U34&lt;=98999)</formula>
    </cfRule>
    <cfRule type="expression" dxfId="23420" priority="9518" stopIfTrue="1">
      <formula>AND(U34&gt;=78100,U34&lt;=78199)</formula>
    </cfRule>
    <cfRule type="expression" dxfId="23419" priority="9519" stopIfTrue="1">
      <formula>AND(U34&gt;=91000,U34&lt;=91999)</formula>
    </cfRule>
  </conditionalFormatting>
  <conditionalFormatting sqref="T43">
    <cfRule type="expression" dxfId="23418" priority="9498">
      <formula>AND(U43&gt;=79001,U43&lt;79900)</formula>
    </cfRule>
    <cfRule type="expression" dxfId="23417" priority="9499" stopIfTrue="1">
      <formula>AND(U43&gt;=70101,U43&lt;=70301)</formula>
    </cfRule>
    <cfRule type="expression" dxfId="23416" priority="9500" stopIfTrue="1">
      <formula>AND(U43&gt;70000,U43&lt;70004)</formula>
    </cfRule>
    <cfRule type="expression" dxfId="23415" priority="9501" stopIfTrue="1">
      <formula>AND(U43&gt;=70010,U43&lt;=76000)</formula>
    </cfRule>
    <cfRule type="expression" dxfId="23414" priority="9502">
      <formula>AND(U43&gt;70000,U43&lt;70004)</formula>
    </cfRule>
    <cfRule type="expression" dxfId="23413" priority="9503" stopIfTrue="1">
      <formula>OR(AND(U43&gt;=10000,U43&lt;=56999),AND(U43&gt;=57000,U43&lt;=57999))</formula>
    </cfRule>
    <cfRule type="expression" dxfId="23412" priority="9504" stopIfTrue="1">
      <formula>AND(U43&gt;=8000,U43&lt;=9999)</formula>
    </cfRule>
    <cfRule type="expression" dxfId="23411" priority="9505" stopIfTrue="1">
      <formula>AND(U43&gt;=78100,U43&lt;=78199)</formula>
    </cfRule>
    <cfRule type="expression" dxfId="23410" priority="9506" stopIfTrue="1">
      <formula>AND(U43&gt;=92000,U43&lt;=98999)</formula>
    </cfRule>
    <cfRule type="expression" dxfId="23409" priority="9507" stopIfTrue="1">
      <formula>AND(U43&gt;=78100,U43&lt;=78199)</formula>
    </cfRule>
    <cfRule type="expression" dxfId="23408" priority="9508" stopIfTrue="1">
      <formula>AND(U43&gt;=91000,U43&lt;=91999)</formula>
    </cfRule>
  </conditionalFormatting>
  <conditionalFormatting sqref="T43">
    <cfRule type="expression" dxfId="23407" priority="9487">
      <formula>AND(U43&gt;=79001,U43&lt;79900)</formula>
    </cfRule>
    <cfRule type="expression" dxfId="23406" priority="9488" stopIfTrue="1">
      <formula>AND(U43&gt;=70101,U43&lt;=70301)</formula>
    </cfRule>
    <cfRule type="expression" dxfId="23405" priority="9489" stopIfTrue="1">
      <formula>AND(U43&gt;70000,U43&lt;70004)</formula>
    </cfRule>
    <cfRule type="expression" dxfId="23404" priority="9490" stopIfTrue="1">
      <formula>AND(U43&gt;=70010,U43&lt;=76000)</formula>
    </cfRule>
    <cfRule type="expression" dxfId="23403" priority="9491">
      <formula>AND(U43&gt;70000,U43&lt;70004)</formula>
    </cfRule>
    <cfRule type="expression" dxfId="23402" priority="9492" stopIfTrue="1">
      <formula>OR(AND(U43&gt;=10000,U43&lt;=56999),AND(U43&gt;=57000,U43&lt;=57999))</formula>
    </cfRule>
    <cfRule type="expression" dxfId="23401" priority="9493" stopIfTrue="1">
      <formula>AND(U43&gt;=8000,U43&lt;=9999)</formula>
    </cfRule>
    <cfRule type="expression" dxfId="23400" priority="9494" stopIfTrue="1">
      <formula>AND(U43&gt;=78100,U43&lt;=78199)</formula>
    </cfRule>
    <cfRule type="expression" dxfId="23399" priority="9495" stopIfTrue="1">
      <formula>AND(U43&gt;=92000,U43&lt;=98999)</formula>
    </cfRule>
    <cfRule type="expression" dxfId="23398" priority="9496" stopIfTrue="1">
      <formula>AND(U43&gt;=78100,U43&lt;=78199)</formula>
    </cfRule>
    <cfRule type="expression" dxfId="23397" priority="9497" stopIfTrue="1">
      <formula>AND(U43&gt;=91000,U43&lt;=91999)</formula>
    </cfRule>
  </conditionalFormatting>
  <conditionalFormatting sqref="T43">
    <cfRule type="expression" dxfId="23396" priority="9476">
      <formula>AND(U43&gt;=79001,U43&lt;79900)</formula>
    </cfRule>
    <cfRule type="expression" dxfId="23395" priority="9477" stopIfTrue="1">
      <formula>AND(U43&gt;=70101,U43&lt;=70301)</formula>
    </cfRule>
    <cfRule type="expression" dxfId="23394" priority="9478" stopIfTrue="1">
      <formula>AND(U43&gt;70000,U43&lt;70004)</formula>
    </cfRule>
    <cfRule type="expression" dxfId="23393" priority="9479" stopIfTrue="1">
      <formula>AND(U43&gt;=70010,U43&lt;=76000)</formula>
    </cfRule>
    <cfRule type="expression" dxfId="23392" priority="9480">
      <formula>AND(U43&gt;70000,U43&lt;70004)</formula>
    </cfRule>
    <cfRule type="expression" dxfId="23391" priority="9481" stopIfTrue="1">
      <formula>OR(AND(U43&gt;=10000,U43&lt;=56999),AND(U43&gt;=57000,U43&lt;=57999))</formula>
    </cfRule>
    <cfRule type="expression" dxfId="23390" priority="9482" stopIfTrue="1">
      <formula>AND(U43&gt;=8000,U43&lt;=9999)</formula>
    </cfRule>
    <cfRule type="expression" dxfId="23389" priority="9483" stopIfTrue="1">
      <formula>AND(U43&gt;=78100,U43&lt;=78199)</formula>
    </cfRule>
    <cfRule type="expression" dxfId="23388" priority="9484" stopIfTrue="1">
      <formula>AND(U43&gt;=92000,U43&lt;=98999)</formula>
    </cfRule>
    <cfRule type="expression" dxfId="23387" priority="9485" stopIfTrue="1">
      <formula>AND(U43&gt;=78100,U43&lt;=78199)</formula>
    </cfRule>
    <cfRule type="expression" dxfId="23386" priority="9486" stopIfTrue="1">
      <formula>AND(U43&gt;=91000,U43&lt;=91999)</formula>
    </cfRule>
  </conditionalFormatting>
  <conditionalFormatting sqref="T43">
    <cfRule type="expression" dxfId="23385" priority="9465">
      <formula>AND(U43&gt;=79001,U43&lt;79900)</formula>
    </cfRule>
    <cfRule type="expression" dxfId="23384" priority="9466" stopIfTrue="1">
      <formula>AND(U43&gt;=70101,U43&lt;=70301)</formula>
    </cfRule>
    <cfRule type="expression" dxfId="23383" priority="9467" stopIfTrue="1">
      <formula>AND(U43&gt;70000,U43&lt;70004)</formula>
    </cfRule>
    <cfRule type="expression" dxfId="23382" priority="9468" stopIfTrue="1">
      <formula>AND(U43&gt;=70010,U43&lt;=76000)</formula>
    </cfRule>
    <cfRule type="expression" dxfId="23381" priority="9469">
      <formula>AND(U43&gt;70000,U43&lt;70004)</formula>
    </cfRule>
    <cfRule type="expression" dxfId="23380" priority="9470" stopIfTrue="1">
      <formula>OR(AND(U43&gt;=10000,U43&lt;=56999),AND(U43&gt;=57000,U43&lt;=57999))</formula>
    </cfRule>
    <cfRule type="expression" dxfId="23379" priority="9471" stopIfTrue="1">
      <formula>AND(U43&gt;=8000,U43&lt;=9999)</formula>
    </cfRule>
    <cfRule type="expression" dxfId="23378" priority="9472" stopIfTrue="1">
      <formula>AND(U43&gt;=78100,U43&lt;=78199)</formula>
    </cfRule>
    <cfRule type="expression" dxfId="23377" priority="9473" stopIfTrue="1">
      <formula>AND(U43&gt;=92000,U43&lt;=98999)</formula>
    </cfRule>
    <cfRule type="expression" dxfId="23376" priority="9474" stopIfTrue="1">
      <formula>AND(U43&gt;=78100,U43&lt;=78199)</formula>
    </cfRule>
    <cfRule type="expression" dxfId="23375" priority="9475" stopIfTrue="1">
      <formula>AND(U43&gt;=91000,U43&lt;=91999)</formula>
    </cfRule>
  </conditionalFormatting>
  <conditionalFormatting sqref="X34">
    <cfRule type="expression" dxfId="23374" priority="9454">
      <formula>AND(Y34&gt;=79001,Y34&lt;79900)</formula>
    </cfRule>
    <cfRule type="expression" dxfId="23373" priority="9455" stopIfTrue="1">
      <formula>AND(Y34&gt;=70101,Y34&lt;=70301)</formula>
    </cfRule>
    <cfRule type="expression" dxfId="23372" priority="9456" stopIfTrue="1">
      <formula>AND(Y34&gt;70000,Y34&lt;70004)</formula>
    </cfRule>
    <cfRule type="expression" dxfId="23371" priority="9457" stopIfTrue="1">
      <formula>AND(Y34&gt;=70010,Y34&lt;=76000)</formula>
    </cfRule>
    <cfRule type="expression" dxfId="23370" priority="9458">
      <formula>AND(Y34&gt;70000,Y34&lt;70004)</formula>
    </cfRule>
    <cfRule type="expression" dxfId="23369" priority="9459" stopIfTrue="1">
      <formula>OR(AND(Y34&gt;=10000,Y34&lt;=56999),AND(Y34&gt;=57000,Y34&lt;=57999))</formula>
    </cfRule>
    <cfRule type="expression" dxfId="23368" priority="9460" stopIfTrue="1">
      <formula>AND(Y34&gt;=8000,Y34&lt;=9999)</formula>
    </cfRule>
    <cfRule type="expression" dxfId="23367" priority="9461" stopIfTrue="1">
      <formula>AND(Y34&gt;=78100,Y34&lt;=78199)</formula>
    </cfRule>
    <cfRule type="expression" dxfId="23366" priority="9462" stopIfTrue="1">
      <formula>AND(Y34&gt;=92000,Y34&lt;=98999)</formula>
    </cfRule>
    <cfRule type="expression" dxfId="23365" priority="9463" stopIfTrue="1">
      <formula>AND(Y34&gt;=78100,Y34&lt;=78199)</formula>
    </cfRule>
    <cfRule type="expression" dxfId="23364" priority="9464" stopIfTrue="1">
      <formula>AND(Y34&gt;=91000,Y34&lt;=91999)</formula>
    </cfRule>
  </conditionalFormatting>
  <conditionalFormatting sqref="X34">
    <cfRule type="expression" dxfId="23363" priority="9443">
      <formula>AND(Y34&gt;=79001,Y34&lt;79900)</formula>
    </cfRule>
    <cfRule type="expression" dxfId="23362" priority="9444" stopIfTrue="1">
      <formula>AND(Y34&gt;=70101,Y34&lt;=70301)</formula>
    </cfRule>
    <cfRule type="expression" dxfId="23361" priority="9445" stopIfTrue="1">
      <formula>AND(Y34&gt;70000,Y34&lt;70004)</formula>
    </cfRule>
    <cfRule type="expression" dxfId="23360" priority="9446" stopIfTrue="1">
      <formula>AND(Y34&gt;=70010,Y34&lt;=76000)</formula>
    </cfRule>
    <cfRule type="expression" dxfId="23359" priority="9447">
      <formula>AND(Y34&gt;70000,Y34&lt;70004)</formula>
    </cfRule>
    <cfRule type="expression" dxfId="23358" priority="9448" stopIfTrue="1">
      <formula>OR(AND(Y34&gt;=10000,Y34&lt;=56999),AND(Y34&gt;=57000,Y34&lt;=57999))</formula>
    </cfRule>
    <cfRule type="expression" dxfId="23357" priority="9449" stopIfTrue="1">
      <formula>AND(Y34&gt;=8000,Y34&lt;=9999)</formula>
    </cfRule>
    <cfRule type="expression" dxfId="23356" priority="9450" stopIfTrue="1">
      <formula>AND(Y34&gt;=78100,Y34&lt;=78199)</formula>
    </cfRule>
    <cfRule type="expression" dxfId="23355" priority="9451" stopIfTrue="1">
      <formula>AND(Y34&gt;=92000,Y34&lt;=98999)</formula>
    </cfRule>
    <cfRule type="expression" dxfId="23354" priority="9452" stopIfTrue="1">
      <formula>AND(Y34&gt;=78100,Y34&lt;=78199)</formula>
    </cfRule>
    <cfRule type="expression" dxfId="23353" priority="9453" stopIfTrue="1">
      <formula>AND(Y34&gt;=91000,Y34&lt;=91999)</formula>
    </cfRule>
  </conditionalFormatting>
  <conditionalFormatting sqref="X34">
    <cfRule type="expression" dxfId="23352" priority="9432">
      <formula>AND(Y34&gt;=79001,Y34&lt;79900)</formula>
    </cfRule>
    <cfRule type="expression" dxfId="23351" priority="9433" stopIfTrue="1">
      <formula>AND(Y34&gt;=70101,Y34&lt;=70301)</formula>
    </cfRule>
    <cfRule type="expression" dxfId="23350" priority="9434" stopIfTrue="1">
      <formula>AND(Y34&gt;70000,Y34&lt;70004)</formula>
    </cfRule>
    <cfRule type="expression" dxfId="23349" priority="9435" stopIfTrue="1">
      <formula>AND(Y34&gt;=70010,Y34&lt;=76000)</formula>
    </cfRule>
    <cfRule type="expression" dxfId="23348" priority="9436">
      <formula>AND(Y34&gt;70000,Y34&lt;70004)</formula>
    </cfRule>
    <cfRule type="expression" dxfId="23347" priority="9437" stopIfTrue="1">
      <formula>OR(AND(Y34&gt;=10000,Y34&lt;=56999),AND(Y34&gt;=57000,Y34&lt;=57999))</formula>
    </cfRule>
    <cfRule type="expression" dxfId="23346" priority="9438" stopIfTrue="1">
      <formula>AND(Y34&gt;=8000,Y34&lt;=9999)</formula>
    </cfRule>
    <cfRule type="expression" dxfId="23345" priority="9439" stopIfTrue="1">
      <formula>AND(Y34&gt;=78100,Y34&lt;=78199)</formula>
    </cfRule>
    <cfRule type="expression" dxfId="23344" priority="9440" stopIfTrue="1">
      <formula>AND(Y34&gt;=92000,Y34&lt;=98999)</formula>
    </cfRule>
    <cfRule type="expression" dxfId="23343" priority="9441" stopIfTrue="1">
      <formula>AND(Y34&gt;=78100,Y34&lt;=78199)</formula>
    </cfRule>
    <cfRule type="expression" dxfId="23342" priority="9442" stopIfTrue="1">
      <formula>AND(Y34&gt;=91000,Y34&lt;=91999)</formula>
    </cfRule>
  </conditionalFormatting>
  <conditionalFormatting sqref="X34">
    <cfRule type="expression" dxfId="23341" priority="9421">
      <formula>AND(Y34&gt;=79001,Y34&lt;79900)</formula>
    </cfRule>
    <cfRule type="expression" dxfId="23340" priority="9422" stopIfTrue="1">
      <formula>AND(Y34&gt;=70101,Y34&lt;=70301)</formula>
    </cfRule>
    <cfRule type="expression" dxfId="23339" priority="9423" stopIfTrue="1">
      <formula>AND(Y34&gt;70000,Y34&lt;70004)</formula>
    </cfRule>
    <cfRule type="expression" dxfId="23338" priority="9424" stopIfTrue="1">
      <formula>AND(Y34&gt;=70010,Y34&lt;=76000)</formula>
    </cfRule>
    <cfRule type="expression" dxfId="23337" priority="9425">
      <formula>AND(Y34&gt;70000,Y34&lt;70004)</formula>
    </cfRule>
    <cfRule type="expression" dxfId="23336" priority="9426" stopIfTrue="1">
      <formula>OR(AND(Y34&gt;=10000,Y34&lt;=56999),AND(Y34&gt;=57000,Y34&lt;=57999))</formula>
    </cfRule>
    <cfRule type="expression" dxfId="23335" priority="9427" stopIfTrue="1">
      <formula>AND(Y34&gt;=8000,Y34&lt;=9999)</formula>
    </cfRule>
    <cfRule type="expression" dxfId="23334" priority="9428" stopIfTrue="1">
      <formula>AND(Y34&gt;=78100,Y34&lt;=78199)</formula>
    </cfRule>
    <cfRule type="expression" dxfId="23333" priority="9429" stopIfTrue="1">
      <formula>AND(Y34&gt;=92000,Y34&lt;=98999)</formula>
    </cfRule>
    <cfRule type="expression" dxfId="23332" priority="9430" stopIfTrue="1">
      <formula>AND(Y34&gt;=78100,Y34&lt;=78199)</formula>
    </cfRule>
    <cfRule type="expression" dxfId="23331" priority="9431" stopIfTrue="1">
      <formula>AND(Y34&gt;=91000,Y34&lt;=91999)</formula>
    </cfRule>
  </conditionalFormatting>
  <conditionalFormatting sqref="AB34">
    <cfRule type="expression" dxfId="23330" priority="9410">
      <formula>AND(AC34&gt;=79001,AC34&lt;79900)</formula>
    </cfRule>
    <cfRule type="expression" dxfId="23329" priority="9411" stopIfTrue="1">
      <formula>AND(AC34&gt;=70101,AC34&lt;=70301)</formula>
    </cfRule>
    <cfRule type="expression" dxfId="23328" priority="9412" stopIfTrue="1">
      <formula>AND(AC34&gt;70000,AC34&lt;70004)</formula>
    </cfRule>
    <cfRule type="expression" dxfId="23327" priority="9413" stopIfTrue="1">
      <formula>AND(AC34&gt;=70010,AC34&lt;=76000)</formula>
    </cfRule>
    <cfRule type="expression" dxfId="23326" priority="9414">
      <formula>AND(AC34&gt;70000,AC34&lt;70004)</formula>
    </cfRule>
    <cfRule type="expression" dxfId="23325" priority="9415" stopIfTrue="1">
      <formula>OR(AND(AC34&gt;=10000,AC34&lt;=56999),AND(AC34&gt;=57000,AC34&lt;=57999))</formula>
    </cfRule>
    <cfRule type="expression" dxfId="23324" priority="9416" stopIfTrue="1">
      <formula>AND(AC34&gt;=8000,AC34&lt;=9999)</formula>
    </cfRule>
    <cfRule type="expression" dxfId="23323" priority="9417" stopIfTrue="1">
      <formula>AND(AC34&gt;=78100,AC34&lt;=78199)</formula>
    </cfRule>
    <cfRule type="expression" dxfId="23322" priority="9418" stopIfTrue="1">
      <formula>AND(AC34&gt;=92000,AC34&lt;=98999)</formula>
    </cfRule>
    <cfRule type="expression" dxfId="23321" priority="9419" stopIfTrue="1">
      <formula>AND(AC34&gt;=78100,AC34&lt;=78199)</formula>
    </cfRule>
    <cfRule type="expression" dxfId="23320" priority="9420" stopIfTrue="1">
      <formula>AND(AC34&gt;=91000,AC34&lt;=91999)</formula>
    </cfRule>
  </conditionalFormatting>
  <conditionalFormatting sqref="AB34">
    <cfRule type="expression" dxfId="23319" priority="9399">
      <formula>AND(AC34&gt;=79001,AC34&lt;79900)</formula>
    </cfRule>
    <cfRule type="expression" dxfId="23318" priority="9400" stopIfTrue="1">
      <formula>AND(AC34&gt;=70101,AC34&lt;=70301)</formula>
    </cfRule>
    <cfRule type="expression" dxfId="23317" priority="9401" stopIfTrue="1">
      <formula>AND(AC34&gt;70000,AC34&lt;70004)</formula>
    </cfRule>
    <cfRule type="expression" dxfId="23316" priority="9402" stopIfTrue="1">
      <formula>AND(AC34&gt;=70010,AC34&lt;=76000)</formula>
    </cfRule>
    <cfRule type="expression" dxfId="23315" priority="9403">
      <formula>AND(AC34&gt;70000,AC34&lt;70004)</formula>
    </cfRule>
    <cfRule type="expression" dxfId="23314" priority="9404" stopIfTrue="1">
      <formula>OR(AND(AC34&gt;=10000,AC34&lt;=56999),AND(AC34&gt;=57000,AC34&lt;=57999))</formula>
    </cfRule>
    <cfRule type="expression" dxfId="23313" priority="9405" stopIfTrue="1">
      <formula>AND(AC34&gt;=8000,AC34&lt;=9999)</formula>
    </cfRule>
    <cfRule type="expression" dxfId="23312" priority="9406" stopIfTrue="1">
      <formula>AND(AC34&gt;=78100,AC34&lt;=78199)</formula>
    </cfRule>
    <cfRule type="expression" dxfId="23311" priority="9407" stopIfTrue="1">
      <formula>AND(AC34&gt;=92000,AC34&lt;=98999)</formula>
    </cfRule>
    <cfRule type="expression" dxfId="23310" priority="9408" stopIfTrue="1">
      <formula>AND(AC34&gt;=78100,AC34&lt;=78199)</formula>
    </cfRule>
    <cfRule type="expression" dxfId="23309" priority="9409" stopIfTrue="1">
      <formula>AND(AC34&gt;=91000,AC34&lt;=91999)</formula>
    </cfRule>
  </conditionalFormatting>
  <conditionalFormatting sqref="AB34">
    <cfRule type="expression" dxfId="23308" priority="9388">
      <formula>AND(AC34&gt;=79001,AC34&lt;79900)</formula>
    </cfRule>
    <cfRule type="expression" dxfId="23307" priority="9389" stopIfTrue="1">
      <formula>AND(AC34&gt;=70101,AC34&lt;=70301)</formula>
    </cfRule>
    <cfRule type="expression" dxfId="23306" priority="9390" stopIfTrue="1">
      <formula>AND(AC34&gt;70000,AC34&lt;70004)</formula>
    </cfRule>
    <cfRule type="expression" dxfId="23305" priority="9391" stopIfTrue="1">
      <formula>AND(AC34&gt;=70010,AC34&lt;=76000)</formula>
    </cfRule>
    <cfRule type="expression" dxfId="23304" priority="9392">
      <formula>AND(AC34&gt;70000,AC34&lt;70004)</formula>
    </cfRule>
    <cfRule type="expression" dxfId="23303" priority="9393" stopIfTrue="1">
      <formula>OR(AND(AC34&gt;=10000,AC34&lt;=56999),AND(AC34&gt;=57000,AC34&lt;=57999))</formula>
    </cfRule>
    <cfRule type="expression" dxfId="23302" priority="9394" stopIfTrue="1">
      <formula>AND(AC34&gt;=8000,AC34&lt;=9999)</formula>
    </cfRule>
    <cfRule type="expression" dxfId="23301" priority="9395" stopIfTrue="1">
      <formula>AND(AC34&gt;=78100,AC34&lt;=78199)</formula>
    </cfRule>
    <cfRule type="expression" dxfId="23300" priority="9396" stopIfTrue="1">
      <formula>AND(AC34&gt;=92000,AC34&lt;=98999)</formula>
    </cfRule>
    <cfRule type="expression" dxfId="23299" priority="9397" stopIfTrue="1">
      <formula>AND(AC34&gt;=78100,AC34&lt;=78199)</formula>
    </cfRule>
    <cfRule type="expression" dxfId="23298" priority="9398" stopIfTrue="1">
      <formula>AND(AC34&gt;=91000,AC34&lt;=91999)</formula>
    </cfRule>
  </conditionalFormatting>
  <conditionalFormatting sqref="AB34">
    <cfRule type="expression" dxfId="23297" priority="9377">
      <formula>AND(AC34&gt;=79001,AC34&lt;79900)</formula>
    </cfRule>
    <cfRule type="expression" dxfId="23296" priority="9378" stopIfTrue="1">
      <formula>AND(AC34&gt;=70101,AC34&lt;=70301)</formula>
    </cfRule>
    <cfRule type="expression" dxfId="23295" priority="9379" stopIfTrue="1">
      <formula>AND(AC34&gt;70000,AC34&lt;70004)</formula>
    </cfRule>
    <cfRule type="expression" dxfId="23294" priority="9380" stopIfTrue="1">
      <formula>AND(AC34&gt;=70010,AC34&lt;=76000)</formula>
    </cfRule>
    <cfRule type="expression" dxfId="23293" priority="9381">
      <formula>AND(AC34&gt;70000,AC34&lt;70004)</formula>
    </cfRule>
    <cfRule type="expression" dxfId="23292" priority="9382" stopIfTrue="1">
      <formula>OR(AND(AC34&gt;=10000,AC34&lt;=56999),AND(AC34&gt;=57000,AC34&lt;=57999))</formula>
    </cfRule>
    <cfRule type="expression" dxfId="23291" priority="9383" stopIfTrue="1">
      <formula>AND(AC34&gt;=8000,AC34&lt;=9999)</formula>
    </cfRule>
    <cfRule type="expression" dxfId="23290" priority="9384" stopIfTrue="1">
      <formula>AND(AC34&gt;=78100,AC34&lt;=78199)</formula>
    </cfRule>
    <cfRule type="expression" dxfId="23289" priority="9385" stopIfTrue="1">
      <formula>AND(AC34&gt;=92000,AC34&lt;=98999)</formula>
    </cfRule>
    <cfRule type="expression" dxfId="23288" priority="9386" stopIfTrue="1">
      <formula>AND(AC34&gt;=78100,AC34&lt;=78199)</formula>
    </cfRule>
    <cfRule type="expression" dxfId="23287" priority="9387" stopIfTrue="1">
      <formula>AND(AC34&gt;=91000,AC34&lt;=91999)</formula>
    </cfRule>
  </conditionalFormatting>
  <conditionalFormatting sqref="AF34">
    <cfRule type="expression" dxfId="23286" priority="9366">
      <formula>AND(AG34&gt;=79001,AG34&lt;79900)</formula>
    </cfRule>
    <cfRule type="expression" dxfId="23285" priority="9367" stopIfTrue="1">
      <formula>AND(AG34&gt;=70101,AG34&lt;=70301)</formula>
    </cfRule>
    <cfRule type="expression" dxfId="23284" priority="9368" stopIfTrue="1">
      <formula>AND(AG34&gt;70000,AG34&lt;70004)</formula>
    </cfRule>
    <cfRule type="expression" dxfId="23283" priority="9369" stopIfTrue="1">
      <formula>AND(AG34&gt;=70010,AG34&lt;=76000)</formula>
    </cfRule>
    <cfRule type="expression" dxfId="23282" priority="9370">
      <formula>AND(AG34&gt;70000,AG34&lt;70004)</formula>
    </cfRule>
    <cfRule type="expression" dxfId="23281" priority="9371" stopIfTrue="1">
      <formula>OR(AND(AG34&gt;=10000,AG34&lt;=56999),AND(AG34&gt;=57000,AG34&lt;=57999))</formula>
    </cfRule>
    <cfRule type="expression" dxfId="23280" priority="9372" stopIfTrue="1">
      <formula>AND(AG34&gt;=8000,AG34&lt;=9999)</formula>
    </cfRule>
    <cfRule type="expression" dxfId="23279" priority="9373" stopIfTrue="1">
      <formula>AND(AG34&gt;=78100,AG34&lt;=78199)</formula>
    </cfRule>
    <cfRule type="expression" dxfId="23278" priority="9374" stopIfTrue="1">
      <formula>AND(AG34&gt;=92000,AG34&lt;=98999)</formula>
    </cfRule>
    <cfRule type="expression" dxfId="23277" priority="9375" stopIfTrue="1">
      <formula>AND(AG34&gt;=78100,AG34&lt;=78199)</formula>
    </cfRule>
    <cfRule type="expression" dxfId="23276" priority="9376" stopIfTrue="1">
      <formula>AND(AG34&gt;=91000,AG34&lt;=91999)</formula>
    </cfRule>
  </conditionalFormatting>
  <conditionalFormatting sqref="AF34">
    <cfRule type="expression" dxfId="23275" priority="9355">
      <formula>AND(AG34&gt;=79001,AG34&lt;79900)</formula>
    </cfRule>
    <cfRule type="expression" dxfId="23274" priority="9356" stopIfTrue="1">
      <formula>AND(AG34&gt;=70101,AG34&lt;=70301)</formula>
    </cfRule>
    <cfRule type="expression" dxfId="23273" priority="9357" stopIfTrue="1">
      <formula>AND(AG34&gt;70000,AG34&lt;70004)</formula>
    </cfRule>
    <cfRule type="expression" dxfId="23272" priority="9358" stopIfTrue="1">
      <formula>AND(AG34&gt;=70010,AG34&lt;=76000)</formula>
    </cfRule>
    <cfRule type="expression" dxfId="23271" priority="9359">
      <formula>AND(AG34&gt;70000,AG34&lt;70004)</formula>
    </cfRule>
    <cfRule type="expression" dxfId="23270" priority="9360" stopIfTrue="1">
      <formula>OR(AND(AG34&gt;=10000,AG34&lt;=56999),AND(AG34&gt;=57000,AG34&lt;=57999))</formula>
    </cfRule>
    <cfRule type="expression" dxfId="23269" priority="9361" stopIfTrue="1">
      <formula>AND(AG34&gt;=8000,AG34&lt;=9999)</formula>
    </cfRule>
    <cfRule type="expression" dxfId="23268" priority="9362" stopIfTrue="1">
      <formula>AND(AG34&gt;=78100,AG34&lt;=78199)</formula>
    </cfRule>
    <cfRule type="expression" dxfId="23267" priority="9363" stopIfTrue="1">
      <formula>AND(AG34&gt;=92000,AG34&lt;=98999)</formula>
    </cfRule>
    <cfRule type="expression" dxfId="23266" priority="9364" stopIfTrue="1">
      <formula>AND(AG34&gt;=78100,AG34&lt;=78199)</formula>
    </cfRule>
    <cfRule type="expression" dxfId="23265" priority="9365" stopIfTrue="1">
      <formula>AND(AG34&gt;=91000,AG34&lt;=91999)</formula>
    </cfRule>
  </conditionalFormatting>
  <conditionalFormatting sqref="AF34">
    <cfRule type="expression" dxfId="23264" priority="9344">
      <formula>AND(AG34&gt;=79001,AG34&lt;79900)</formula>
    </cfRule>
    <cfRule type="expression" dxfId="23263" priority="9345" stopIfTrue="1">
      <formula>AND(AG34&gt;=70101,AG34&lt;=70301)</formula>
    </cfRule>
    <cfRule type="expression" dxfId="23262" priority="9346" stopIfTrue="1">
      <formula>AND(AG34&gt;70000,AG34&lt;70004)</formula>
    </cfRule>
    <cfRule type="expression" dxfId="23261" priority="9347" stopIfTrue="1">
      <formula>AND(AG34&gt;=70010,AG34&lt;=76000)</formula>
    </cfRule>
    <cfRule type="expression" dxfId="23260" priority="9348">
      <formula>AND(AG34&gt;70000,AG34&lt;70004)</formula>
    </cfRule>
    <cfRule type="expression" dxfId="23259" priority="9349" stopIfTrue="1">
      <formula>OR(AND(AG34&gt;=10000,AG34&lt;=56999),AND(AG34&gt;=57000,AG34&lt;=57999))</formula>
    </cfRule>
    <cfRule type="expression" dxfId="23258" priority="9350" stopIfTrue="1">
      <formula>AND(AG34&gt;=8000,AG34&lt;=9999)</formula>
    </cfRule>
    <cfRule type="expression" dxfId="23257" priority="9351" stopIfTrue="1">
      <formula>AND(AG34&gt;=78100,AG34&lt;=78199)</formula>
    </cfRule>
    <cfRule type="expression" dxfId="23256" priority="9352" stopIfTrue="1">
      <formula>AND(AG34&gt;=92000,AG34&lt;=98999)</formula>
    </cfRule>
    <cfRule type="expression" dxfId="23255" priority="9353" stopIfTrue="1">
      <formula>AND(AG34&gt;=78100,AG34&lt;=78199)</formula>
    </cfRule>
    <cfRule type="expression" dxfId="23254" priority="9354" stopIfTrue="1">
      <formula>AND(AG34&gt;=91000,AG34&lt;=91999)</formula>
    </cfRule>
  </conditionalFormatting>
  <conditionalFormatting sqref="AF34">
    <cfRule type="expression" dxfId="23253" priority="9333">
      <formula>AND(AG34&gt;=79001,AG34&lt;79900)</formula>
    </cfRule>
    <cfRule type="expression" dxfId="23252" priority="9334" stopIfTrue="1">
      <formula>AND(AG34&gt;=70101,AG34&lt;=70301)</formula>
    </cfRule>
    <cfRule type="expression" dxfId="23251" priority="9335" stopIfTrue="1">
      <formula>AND(AG34&gt;70000,AG34&lt;70004)</formula>
    </cfRule>
    <cfRule type="expression" dxfId="23250" priority="9336" stopIfTrue="1">
      <formula>AND(AG34&gt;=70010,AG34&lt;=76000)</formula>
    </cfRule>
    <cfRule type="expression" dxfId="23249" priority="9337">
      <formula>AND(AG34&gt;70000,AG34&lt;70004)</formula>
    </cfRule>
    <cfRule type="expression" dxfId="23248" priority="9338" stopIfTrue="1">
      <formula>OR(AND(AG34&gt;=10000,AG34&lt;=56999),AND(AG34&gt;=57000,AG34&lt;=57999))</formula>
    </cfRule>
    <cfRule type="expression" dxfId="23247" priority="9339" stopIfTrue="1">
      <formula>AND(AG34&gt;=8000,AG34&lt;=9999)</formula>
    </cfRule>
    <cfRule type="expression" dxfId="23246" priority="9340" stopIfTrue="1">
      <formula>AND(AG34&gt;=78100,AG34&lt;=78199)</formula>
    </cfRule>
    <cfRule type="expression" dxfId="23245" priority="9341" stopIfTrue="1">
      <formula>AND(AG34&gt;=92000,AG34&lt;=98999)</formula>
    </cfRule>
    <cfRule type="expression" dxfId="23244" priority="9342" stopIfTrue="1">
      <formula>AND(AG34&gt;=78100,AG34&lt;=78199)</formula>
    </cfRule>
    <cfRule type="expression" dxfId="23243" priority="9343" stopIfTrue="1">
      <formula>AND(AG34&gt;=91000,AG34&lt;=91999)</formula>
    </cfRule>
  </conditionalFormatting>
  <conditionalFormatting sqref="T37">
    <cfRule type="expression" dxfId="23242" priority="9322">
      <formula>AND(U37&gt;=79001,U37&lt;79900)</formula>
    </cfRule>
    <cfRule type="expression" dxfId="23241" priority="9323" stopIfTrue="1">
      <formula>AND(U37&gt;=70101,U37&lt;=70301)</formula>
    </cfRule>
    <cfRule type="expression" dxfId="23240" priority="9324" stopIfTrue="1">
      <formula>AND(U37&gt;70000,U37&lt;70004)</formula>
    </cfRule>
    <cfRule type="expression" dxfId="23239" priority="9325" stopIfTrue="1">
      <formula>AND(U37&gt;=70010,U37&lt;=76000)</formula>
    </cfRule>
    <cfRule type="expression" dxfId="23238" priority="9326">
      <formula>AND(U37&gt;70000,U37&lt;70004)</formula>
    </cfRule>
    <cfRule type="expression" dxfId="23237" priority="9327" stopIfTrue="1">
      <formula>OR(AND(U37&gt;=10000,U37&lt;=56999),AND(U37&gt;=57000,U37&lt;=57999))</formula>
    </cfRule>
    <cfRule type="expression" dxfId="23236" priority="9328" stopIfTrue="1">
      <formula>AND(U37&gt;=8000,U37&lt;=9999)</formula>
    </cfRule>
    <cfRule type="expression" dxfId="23235" priority="9329" stopIfTrue="1">
      <formula>AND(U37&gt;=78100,U37&lt;=78199)</formula>
    </cfRule>
    <cfRule type="expression" dxfId="23234" priority="9330" stopIfTrue="1">
      <formula>AND(U37&gt;=92000,U37&lt;=98999)</formula>
    </cfRule>
    <cfRule type="expression" dxfId="23233" priority="9331" stopIfTrue="1">
      <formula>AND(U37&gt;=78100,U37&lt;=78199)</formula>
    </cfRule>
    <cfRule type="expression" dxfId="23232" priority="9332" stopIfTrue="1">
      <formula>AND(U37&gt;=91000,U37&lt;=91999)</formula>
    </cfRule>
  </conditionalFormatting>
  <conditionalFormatting sqref="T37">
    <cfRule type="expression" dxfId="23231" priority="9311">
      <formula>AND(U37&gt;=79001,U37&lt;79900)</formula>
    </cfRule>
    <cfRule type="expression" dxfId="23230" priority="9312" stopIfTrue="1">
      <formula>AND(U37&gt;=70101,U37&lt;=70301)</formula>
    </cfRule>
    <cfRule type="expression" dxfId="23229" priority="9313" stopIfTrue="1">
      <formula>AND(U37&gt;70000,U37&lt;70004)</formula>
    </cfRule>
    <cfRule type="expression" dxfId="23228" priority="9314" stopIfTrue="1">
      <formula>AND(U37&gt;=70010,U37&lt;=76000)</formula>
    </cfRule>
    <cfRule type="expression" dxfId="23227" priority="9315">
      <formula>AND(U37&gt;70000,U37&lt;70004)</formula>
    </cfRule>
    <cfRule type="expression" dxfId="23226" priority="9316" stopIfTrue="1">
      <formula>OR(AND(U37&gt;=10000,U37&lt;=56999),AND(U37&gt;=57000,U37&lt;=57999))</formula>
    </cfRule>
    <cfRule type="expression" dxfId="23225" priority="9317" stopIfTrue="1">
      <formula>AND(U37&gt;=8000,U37&lt;=9999)</formula>
    </cfRule>
    <cfRule type="expression" dxfId="23224" priority="9318" stopIfTrue="1">
      <formula>AND(U37&gt;=78100,U37&lt;=78199)</formula>
    </cfRule>
    <cfRule type="expression" dxfId="23223" priority="9319" stopIfTrue="1">
      <formula>AND(U37&gt;=92000,U37&lt;=98999)</formula>
    </cfRule>
    <cfRule type="expression" dxfId="23222" priority="9320" stopIfTrue="1">
      <formula>AND(U37&gt;=78100,U37&lt;=78199)</formula>
    </cfRule>
    <cfRule type="expression" dxfId="23221" priority="9321" stopIfTrue="1">
      <formula>AND(U37&gt;=91000,U37&lt;=91999)</formula>
    </cfRule>
  </conditionalFormatting>
  <conditionalFormatting sqref="T37">
    <cfRule type="expression" dxfId="23220" priority="9300">
      <formula>AND(U37&gt;=79001,U37&lt;79900)</formula>
    </cfRule>
    <cfRule type="expression" dxfId="23219" priority="9301" stopIfTrue="1">
      <formula>AND(U37&gt;=70101,U37&lt;=70301)</formula>
    </cfRule>
    <cfRule type="expression" dxfId="23218" priority="9302" stopIfTrue="1">
      <formula>AND(U37&gt;70000,U37&lt;70004)</formula>
    </cfRule>
    <cfRule type="expression" dxfId="23217" priority="9303" stopIfTrue="1">
      <formula>AND(U37&gt;=70010,U37&lt;=76000)</formula>
    </cfRule>
    <cfRule type="expression" dxfId="23216" priority="9304">
      <formula>AND(U37&gt;70000,U37&lt;70004)</formula>
    </cfRule>
    <cfRule type="expression" dxfId="23215" priority="9305" stopIfTrue="1">
      <formula>OR(AND(U37&gt;=10000,U37&lt;=56999),AND(U37&gt;=57000,U37&lt;=57999))</formula>
    </cfRule>
    <cfRule type="expression" dxfId="23214" priority="9306" stopIfTrue="1">
      <formula>AND(U37&gt;=8000,U37&lt;=9999)</formula>
    </cfRule>
    <cfRule type="expression" dxfId="23213" priority="9307" stopIfTrue="1">
      <formula>AND(U37&gt;=78100,U37&lt;=78199)</formula>
    </cfRule>
    <cfRule type="expression" dxfId="23212" priority="9308" stopIfTrue="1">
      <formula>AND(U37&gt;=92000,U37&lt;=98999)</formula>
    </cfRule>
    <cfRule type="expression" dxfId="23211" priority="9309" stopIfTrue="1">
      <formula>AND(U37&gt;=78100,U37&lt;=78199)</formula>
    </cfRule>
    <cfRule type="expression" dxfId="23210" priority="9310" stopIfTrue="1">
      <formula>AND(U37&gt;=91000,U37&lt;=91999)</formula>
    </cfRule>
  </conditionalFormatting>
  <conditionalFormatting sqref="T37">
    <cfRule type="expression" dxfId="23209" priority="9289">
      <formula>AND(U37&gt;=79001,U37&lt;79900)</formula>
    </cfRule>
    <cfRule type="expression" dxfId="23208" priority="9290" stopIfTrue="1">
      <formula>AND(U37&gt;=70101,U37&lt;=70301)</formula>
    </cfRule>
    <cfRule type="expression" dxfId="23207" priority="9291" stopIfTrue="1">
      <formula>AND(U37&gt;70000,U37&lt;70004)</formula>
    </cfRule>
    <cfRule type="expression" dxfId="23206" priority="9292" stopIfTrue="1">
      <formula>AND(U37&gt;=70010,U37&lt;=76000)</formula>
    </cfRule>
    <cfRule type="expression" dxfId="23205" priority="9293">
      <formula>AND(U37&gt;70000,U37&lt;70004)</formula>
    </cfRule>
    <cfRule type="expression" dxfId="23204" priority="9294" stopIfTrue="1">
      <formula>OR(AND(U37&gt;=10000,U37&lt;=56999),AND(U37&gt;=57000,U37&lt;=57999))</formula>
    </cfRule>
    <cfRule type="expression" dxfId="23203" priority="9295" stopIfTrue="1">
      <formula>AND(U37&gt;=8000,U37&lt;=9999)</formula>
    </cfRule>
    <cfRule type="expression" dxfId="23202" priority="9296" stopIfTrue="1">
      <formula>AND(U37&gt;=78100,U37&lt;=78199)</formula>
    </cfRule>
    <cfRule type="expression" dxfId="23201" priority="9297" stopIfTrue="1">
      <formula>AND(U37&gt;=92000,U37&lt;=98999)</formula>
    </cfRule>
    <cfRule type="expression" dxfId="23200" priority="9298" stopIfTrue="1">
      <formula>AND(U37&gt;=78100,U37&lt;=78199)</formula>
    </cfRule>
    <cfRule type="expression" dxfId="23199" priority="9299" stopIfTrue="1">
      <formula>AND(U37&gt;=91000,U37&lt;=91999)</formula>
    </cfRule>
  </conditionalFormatting>
  <conditionalFormatting sqref="X37">
    <cfRule type="expression" dxfId="23198" priority="9278">
      <formula>AND(Y37&gt;=79001,Y37&lt;79900)</formula>
    </cfRule>
    <cfRule type="expression" dxfId="23197" priority="9279" stopIfTrue="1">
      <formula>AND(Y37&gt;=70101,Y37&lt;=70301)</formula>
    </cfRule>
    <cfRule type="expression" dxfId="23196" priority="9280" stopIfTrue="1">
      <formula>AND(Y37&gt;70000,Y37&lt;70004)</formula>
    </cfRule>
    <cfRule type="expression" dxfId="23195" priority="9281" stopIfTrue="1">
      <formula>AND(Y37&gt;=70010,Y37&lt;=76000)</formula>
    </cfRule>
    <cfRule type="expression" dxfId="23194" priority="9282">
      <formula>AND(Y37&gt;70000,Y37&lt;70004)</formula>
    </cfRule>
    <cfRule type="expression" dxfId="23193" priority="9283" stopIfTrue="1">
      <formula>OR(AND(Y37&gt;=10000,Y37&lt;=56999),AND(Y37&gt;=57000,Y37&lt;=57999))</formula>
    </cfRule>
    <cfRule type="expression" dxfId="23192" priority="9284" stopIfTrue="1">
      <formula>AND(Y37&gt;=8000,Y37&lt;=9999)</formula>
    </cfRule>
    <cfRule type="expression" dxfId="23191" priority="9285" stopIfTrue="1">
      <formula>AND(Y37&gt;=78100,Y37&lt;=78199)</formula>
    </cfRule>
    <cfRule type="expression" dxfId="23190" priority="9286" stopIfTrue="1">
      <formula>AND(Y37&gt;=92000,Y37&lt;=98999)</formula>
    </cfRule>
    <cfRule type="expression" dxfId="23189" priority="9287" stopIfTrue="1">
      <formula>AND(Y37&gt;=78100,Y37&lt;=78199)</formula>
    </cfRule>
    <cfRule type="expression" dxfId="23188" priority="9288" stopIfTrue="1">
      <formula>AND(Y37&gt;=91000,Y37&lt;=91999)</formula>
    </cfRule>
  </conditionalFormatting>
  <conditionalFormatting sqref="X37">
    <cfRule type="expression" dxfId="23187" priority="9267">
      <formula>AND(Y37&gt;=79001,Y37&lt;79900)</formula>
    </cfRule>
    <cfRule type="expression" dxfId="23186" priority="9268" stopIfTrue="1">
      <formula>AND(Y37&gt;=70101,Y37&lt;=70301)</formula>
    </cfRule>
    <cfRule type="expression" dxfId="23185" priority="9269" stopIfTrue="1">
      <formula>AND(Y37&gt;70000,Y37&lt;70004)</formula>
    </cfRule>
    <cfRule type="expression" dxfId="23184" priority="9270" stopIfTrue="1">
      <formula>AND(Y37&gt;=70010,Y37&lt;=76000)</formula>
    </cfRule>
    <cfRule type="expression" dxfId="23183" priority="9271">
      <formula>AND(Y37&gt;70000,Y37&lt;70004)</formula>
    </cfRule>
    <cfRule type="expression" dxfId="23182" priority="9272" stopIfTrue="1">
      <formula>OR(AND(Y37&gt;=10000,Y37&lt;=56999),AND(Y37&gt;=57000,Y37&lt;=57999))</formula>
    </cfRule>
    <cfRule type="expression" dxfId="23181" priority="9273" stopIfTrue="1">
      <formula>AND(Y37&gt;=8000,Y37&lt;=9999)</formula>
    </cfRule>
    <cfRule type="expression" dxfId="23180" priority="9274" stopIfTrue="1">
      <formula>AND(Y37&gt;=78100,Y37&lt;=78199)</formula>
    </cfRule>
    <cfRule type="expression" dxfId="23179" priority="9275" stopIfTrue="1">
      <formula>AND(Y37&gt;=92000,Y37&lt;=98999)</formula>
    </cfRule>
    <cfRule type="expression" dxfId="23178" priority="9276" stopIfTrue="1">
      <formula>AND(Y37&gt;=78100,Y37&lt;=78199)</formula>
    </cfRule>
    <cfRule type="expression" dxfId="23177" priority="9277" stopIfTrue="1">
      <formula>AND(Y37&gt;=91000,Y37&lt;=91999)</formula>
    </cfRule>
  </conditionalFormatting>
  <conditionalFormatting sqref="X37">
    <cfRule type="expression" dxfId="23176" priority="9256">
      <formula>AND(Y37&gt;=79001,Y37&lt;79900)</formula>
    </cfRule>
    <cfRule type="expression" dxfId="23175" priority="9257" stopIfTrue="1">
      <formula>AND(Y37&gt;=70101,Y37&lt;=70301)</formula>
    </cfRule>
    <cfRule type="expression" dxfId="23174" priority="9258" stopIfTrue="1">
      <formula>AND(Y37&gt;70000,Y37&lt;70004)</formula>
    </cfRule>
    <cfRule type="expression" dxfId="23173" priority="9259" stopIfTrue="1">
      <formula>AND(Y37&gt;=70010,Y37&lt;=76000)</formula>
    </cfRule>
    <cfRule type="expression" dxfId="23172" priority="9260">
      <formula>AND(Y37&gt;70000,Y37&lt;70004)</formula>
    </cfRule>
    <cfRule type="expression" dxfId="23171" priority="9261" stopIfTrue="1">
      <formula>OR(AND(Y37&gt;=10000,Y37&lt;=56999),AND(Y37&gt;=57000,Y37&lt;=57999))</formula>
    </cfRule>
    <cfRule type="expression" dxfId="23170" priority="9262" stopIfTrue="1">
      <formula>AND(Y37&gt;=8000,Y37&lt;=9999)</formula>
    </cfRule>
    <cfRule type="expression" dxfId="23169" priority="9263" stopIfTrue="1">
      <formula>AND(Y37&gt;=78100,Y37&lt;=78199)</formula>
    </cfRule>
    <cfRule type="expression" dxfId="23168" priority="9264" stopIfTrue="1">
      <formula>AND(Y37&gt;=92000,Y37&lt;=98999)</formula>
    </cfRule>
    <cfRule type="expression" dxfId="23167" priority="9265" stopIfTrue="1">
      <formula>AND(Y37&gt;=78100,Y37&lt;=78199)</formula>
    </cfRule>
    <cfRule type="expression" dxfId="23166" priority="9266" stopIfTrue="1">
      <formula>AND(Y37&gt;=91000,Y37&lt;=91999)</formula>
    </cfRule>
  </conditionalFormatting>
  <conditionalFormatting sqref="X37">
    <cfRule type="expression" dxfId="23165" priority="9245">
      <formula>AND(Y37&gt;=79001,Y37&lt;79900)</formula>
    </cfRule>
    <cfRule type="expression" dxfId="23164" priority="9246" stopIfTrue="1">
      <formula>AND(Y37&gt;=70101,Y37&lt;=70301)</formula>
    </cfRule>
    <cfRule type="expression" dxfId="23163" priority="9247" stopIfTrue="1">
      <formula>AND(Y37&gt;70000,Y37&lt;70004)</formula>
    </cfRule>
    <cfRule type="expression" dxfId="23162" priority="9248" stopIfTrue="1">
      <formula>AND(Y37&gt;=70010,Y37&lt;=76000)</formula>
    </cfRule>
    <cfRule type="expression" dxfId="23161" priority="9249">
      <formula>AND(Y37&gt;70000,Y37&lt;70004)</formula>
    </cfRule>
    <cfRule type="expression" dxfId="23160" priority="9250" stopIfTrue="1">
      <formula>OR(AND(Y37&gt;=10000,Y37&lt;=56999),AND(Y37&gt;=57000,Y37&lt;=57999))</formula>
    </cfRule>
    <cfRule type="expression" dxfId="23159" priority="9251" stopIfTrue="1">
      <formula>AND(Y37&gt;=8000,Y37&lt;=9999)</formula>
    </cfRule>
    <cfRule type="expression" dxfId="23158" priority="9252" stopIfTrue="1">
      <formula>AND(Y37&gt;=78100,Y37&lt;=78199)</formula>
    </cfRule>
    <cfRule type="expression" dxfId="23157" priority="9253" stopIfTrue="1">
      <formula>AND(Y37&gt;=92000,Y37&lt;=98999)</formula>
    </cfRule>
    <cfRule type="expression" dxfId="23156" priority="9254" stopIfTrue="1">
      <formula>AND(Y37&gt;=78100,Y37&lt;=78199)</formula>
    </cfRule>
    <cfRule type="expression" dxfId="23155" priority="9255" stopIfTrue="1">
      <formula>AND(Y37&gt;=91000,Y37&lt;=91999)</formula>
    </cfRule>
  </conditionalFormatting>
  <conditionalFormatting sqref="AB37">
    <cfRule type="expression" dxfId="23154" priority="9234">
      <formula>AND(AC37&gt;=79001,AC37&lt;79900)</formula>
    </cfRule>
    <cfRule type="expression" dxfId="23153" priority="9235" stopIfTrue="1">
      <formula>AND(AC37&gt;=70101,AC37&lt;=70301)</formula>
    </cfRule>
    <cfRule type="expression" dxfId="23152" priority="9236" stopIfTrue="1">
      <formula>AND(AC37&gt;70000,AC37&lt;70004)</formula>
    </cfRule>
    <cfRule type="expression" dxfId="23151" priority="9237" stopIfTrue="1">
      <formula>AND(AC37&gt;=70010,AC37&lt;=76000)</formula>
    </cfRule>
    <cfRule type="expression" dxfId="23150" priority="9238">
      <formula>AND(AC37&gt;70000,AC37&lt;70004)</formula>
    </cfRule>
    <cfRule type="expression" dxfId="23149" priority="9239" stopIfTrue="1">
      <formula>OR(AND(AC37&gt;=10000,AC37&lt;=56999),AND(AC37&gt;=57000,AC37&lt;=57999))</formula>
    </cfRule>
    <cfRule type="expression" dxfId="23148" priority="9240" stopIfTrue="1">
      <formula>AND(AC37&gt;=8000,AC37&lt;=9999)</formula>
    </cfRule>
    <cfRule type="expression" dxfId="23147" priority="9241" stopIfTrue="1">
      <formula>AND(AC37&gt;=78100,AC37&lt;=78199)</formula>
    </cfRule>
    <cfRule type="expression" dxfId="23146" priority="9242" stopIfTrue="1">
      <formula>AND(AC37&gt;=92000,AC37&lt;=98999)</formula>
    </cfRule>
    <cfRule type="expression" dxfId="23145" priority="9243" stopIfTrue="1">
      <formula>AND(AC37&gt;=78100,AC37&lt;=78199)</formula>
    </cfRule>
    <cfRule type="expression" dxfId="23144" priority="9244" stopIfTrue="1">
      <formula>AND(AC37&gt;=91000,AC37&lt;=91999)</formula>
    </cfRule>
  </conditionalFormatting>
  <conditionalFormatting sqref="AB37">
    <cfRule type="expression" dxfId="23143" priority="9223">
      <formula>AND(AC37&gt;=79001,AC37&lt;79900)</formula>
    </cfRule>
    <cfRule type="expression" dxfId="23142" priority="9224" stopIfTrue="1">
      <formula>AND(AC37&gt;=70101,AC37&lt;=70301)</formula>
    </cfRule>
    <cfRule type="expression" dxfId="23141" priority="9225" stopIfTrue="1">
      <formula>AND(AC37&gt;70000,AC37&lt;70004)</formula>
    </cfRule>
    <cfRule type="expression" dxfId="23140" priority="9226" stopIfTrue="1">
      <formula>AND(AC37&gt;=70010,AC37&lt;=76000)</formula>
    </cfRule>
    <cfRule type="expression" dxfId="23139" priority="9227">
      <formula>AND(AC37&gt;70000,AC37&lt;70004)</formula>
    </cfRule>
    <cfRule type="expression" dxfId="23138" priority="9228" stopIfTrue="1">
      <formula>OR(AND(AC37&gt;=10000,AC37&lt;=56999),AND(AC37&gt;=57000,AC37&lt;=57999))</formula>
    </cfRule>
    <cfRule type="expression" dxfId="23137" priority="9229" stopIfTrue="1">
      <formula>AND(AC37&gt;=8000,AC37&lt;=9999)</formula>
    </cfRule>
    <cfRule type="expression" dxfId="23136" priority="9230" stopIfTrue="1">
      <formula>AND(AC37&gt;=78100,AC37&lt;=78199)</formula>
    </cfRule>
    <cfRule type="expression" dxfId="23135" priority="9231" stopIfTrue="1">
      <formula>AND(AC37&gt;=92000,AC37&lt;=98999)</formula>
    </cfRule>
    <cfRule type="expression" dxfId="23134" priority="9232" stopIfTrue="1">
      <formula>AND(AC37&gt;=78100,AC37&lt;=78199)</formula>
    </cfRule>
    <cfRule type="expression" dxfId="23133" priority="9233" stopIfTrue="1">
      <formula>AND(AC37&gt;=91000,AC37&lt;=91999)</formula>
    </cfRule>
  </conditionalFormatting>
  <conditionalFormatting sqref="AB37">
    <cfRule type="expression" dxfId="23132" priority="9212">
      <formula>AND(AC37&gt;=79001,AC37&lt;79900)</formula>
    </cfRule>
    <cfRule type="expression" dxfId="23131" priority="9213" stopIfTrue="1">
      <formula>AND(AC37&gt;=70101,AC37&lt;=70301)</formula>
    </cfRule>
    <cfRule type="expression" dxfId="23130" priority="9214" stopIfTrue="1">
      <formula>AND(AC37&gt;70000,AC37&lt;70004)</formula>
    </cfRule>
    <cfRule type="expression" dxfId="23129" priority="9215" stopIfTrue="1">
      <formula>AND(AC37&gt;=70010,AC37&lt;=76000)</formula>
    </cfRule>
    <cfRule type="expression" dxfId="23128" priority="9216">
      <formula>AND(AC37&gt;70000,AC37&lt;70004)</formula>
    </cfRule>
    <cfRule type="expression" dxfId="23127" priority="9217" stopIfTrue="1">
      <formula>OR(AND(AC37&gt;=10000,AC37&lt;=56999),AND(AC37&gt;=57000,AC37&lt;=57999))</formula>
    </cfRule>
    <cfRule type="expression" dxfId="23126" priority="9218" stopIfTrue="1">
      <formula>AND(AC37&gt;=8000,AC37&lt;=9999)</formula>
    </cfRule>
    <cfRule type="expression" dxfId="23125" priority="9219" stopIfTrue="1">
      <formula>AND(AC37&gt;=78100,AC37&lt;=78199)</formula>
    </cfRule>
    <cfRule type="expression" dxfId="23124" priority="9220" stopIfTrue="1">
      <formula>AND(AC37&gt;=92000,AC37&lt;=98999)</formula>
    </cfRule>
    <cfRule type="expression" dxfId="23123" priority="9221" stopIfTrue="1">
      <formula>AND(AC37&gt;=78100,AC37&lt;=78199)</formula>
    </cfRule>
    <cfRule type="expression" dxfId="23122" priority="9222" stopIfTrue="1">
      <formula>AND(AC37&gt;=91000,AC37&lt;=91999)</formula>
    </cfRule>
  </conditionalFormatting>
  <conditionalFormatting sqref="AB37">
    <cfRule type="expression" dxfId="23121" priority="9201">
      <formula>AND(AC37&gt;=79001,AC37&lt;79900)</formula>
    </cfRule>
    <cfRule type="expression" dxfId="23120" priority="9202" stopIfTrue="1">
      <formula>AND(AC37&gt;=70101,AC37&lt;=70301)</formula>
    </cfRule>
    <cfRule type="expression" dxfId="23119" priority="9203" stopIfTrue="1">
      <formula>AND(AC37&gt;70000,AC37&lt;70004)</formula>
    </cfRule>
    <cfRule type="expression" dxfId="23118" priority="9204" stopIfTrue="1">
      <formula>AND(AC37&gt;=70010,AC37&lt;=76000)</formula>
    </cfRule>
    <cfRule type="expression" dxfId="23117" priority="9205">
      <formula>AND(AC37&gt;70000,AC37&lt;70004)</formula>
    </cfRule>
    <cfRule type="expression" dxfId="23116" priority="9206" stopIfTrue="1">
      <formula>OR(AND(AC37&gt;=10000,AC37&lt;=56999),AND(AC37&gt;=57000,AC37&lt;=57999))</formula>
    </cfRule>
    <cfRule type="expression" dxfId="23115" priority="9207" stopIfTrue="1">
      <formula>AND(AC37&gt;=8000,AC37&lt;=9999)</formula>
    </cfRule>
    <cfRule type="expression" dxfId="23114" priority="9208" stopIfTrue="1">
      <formula>AND(AC37&gt;=78100,AC37&lt;=78199)</formula>
    </cfRule>
    <cfRule type="expression" dxfId="23113" priority="9209" stopIfTrue="1">
      <formula>AND(AC37&gt;=92000,AC37&lt;=98999)</formula>
    </cfRule>
    <cfRule type="expression" dxfId="23112" priority="9210" stopIfTrue="1">
      <formula>AND(AC37&gt;=78100,AC37&lt;=78199)</formula>
    </cfRule>
    <cfRule type="expression" dxfId="23111" priority="9211" stopIfTrue="1">
      <formula>AND(AC37&gt;=91000,AC37&lt;=91999)</formula>
    </cfRule>
  </conditionalFormatting>
  <conditionalFormatting sqref="AF37">
    <cfRule type="expression" dxfId="23110" priority="9190">
      <formula>AND(AG37&gt;=79001,AG37&lt;79900)</formula>
    </cfRule>
    <cfRule type="expression" dxfId="23109" priority="9191" stopIfTrue="1">
      <formula>AND(AG37&gt;=70101,AG37&lt;=70301)</formula>
    </cfRule>
    <cfRule type="expression" dxfId="23108" priority="9192" stopIfTrue="1">
      <formula>AND(AG37&gt;70000,AG37&lt;70004)</formula>
    </cfRule>
    <cfRule type="expression" dxfId="23107" priority="9193" stopIfTrue="1">
      <formula>AND(AG37&gt;=70010,AG37&lt;=76000)</formula>
    </cfRule>
    <cfRule type="expression" dxfId="23106" priority="9194">
      <formula>AND(AG37&gt;70000,AG37&lt;70004)</formula>
    </cfRule>
    <cfRule type="expression" dxfId="23105" priority="9195" stopIfTrue="1">
      <formula>OR(AND(AG37&gt;=10000,AG37&lt;=56999),AND(AG37&gt;=57000,AG37&lt;=57999))</formula>
    </cfRule>
    <cfRule type="expression" dxfId="23104" priority="9196" stopIfTrue="1">
      <formula>AND(AG37&gt;=8000,AG37&lt;=9999)</formula>
    </cfRule>
    <cfRule type="expression" dxfId="23103" priority="9197" stopIfTrue="1">
      <formula>AND(AG37&gt;=78100,AG37&lt;=78199)</formula>
    </cfRule>
    <cfRule type="expression" dxfId="23102" priority="9198" stopIfTrue="1">
      <formula>AND(AG37&gt;=92000,AG37&lt;=98999)</formula>
    </cfRule>
    <cfRule type="expression" dxfId="23101" priority="9199" stopIfTrue="1">
      <formula>AND(AG37&gt;=78100,AG37&lt;=78199)</formula>
    </cfRule>
    <cfRule type="expression" dxfId="23100" priority="9200" stopIfTrue="1">
      <formula>AND(AG37&gt;=91000,AG37&lt;=91999)</formula>
    </cfRule>
  </conditionalFormatting>
  <conditionalFormatting sqref="AF37">
    <cfRule type="expression" dxfId="23099" priority="9179">
      <formula>AND(AG37&gt;=79001,AG37&lt;79900)</formula>
    </cfRule>
    <cfRule type="expression" dxfId="23098" priority="9180" stopIfTrue="1">
      <formula>AND(AG37&gt;=70101,AG37&lt;=70301)</formula>
    </cfRule>
    <cfRule type="expression" dxfId="23097" priority="9181" stopIfTrue="1">
      <formula>AND(AG37&gt;70000,AG37&lt;70004)</formula>
    </cfRule>
    <cfRule type="expression" dxfId="23096" priority="9182" stopIfTrue="1">
      <formula>AND(AG37&gt;=70010,AG37&lt;=76000)</formula>
    </cfRule>
    <cfRule type="expression" dxfId="23095" priority="9183">
      <formula>AND(AG37&gt;70000,AG37&lt;70004)</formula>
    </cfRule>
    <cfRule type="expression" dxfId="23094" priority="9184" stopIfTrue="1">
      <formula>OR(AND(AG37&gt;=10000,AG37&lt;=56999),AND(AG37&gt;=57000,AG37&lt;=57999))</formula>
    </cfRule>
    <cfRule type="expression" dxfId="23093" priority="9185" stopIfTrue="1">
      <formula>AND(AG37&gt;=8000,AG37&lt;=9999)</formula>
    </cfRule>
    <cfRule type="expression" dxfId="23092" priority="9186" stopIfTrue="1">
      <formula>AND(AG37&gt;=78100,AG37&lt;=78199)</formula>
    </cfRule>
    <cfRule type="expression" dxfId="23091" priority="9187" stopIfTrue="1">
      <formula>AND(AG37&gt;=92000,AG37&lt;=98999)</formula>
    </cfRule>
    <cfRule type="expression" dxfId="23090" priority="9188" stopIfTrue="1">
      <formula>AND(AG37&gt;=78100,AG37&lt;=78199)</formula>
    </cfRule>
    <cfRule type="expression" dxfId="23089" priority="9189" stopIfTrue="1">
      <formula>AND(AG37&gt;=91000,AG37&lt;=91999)</formula>
    </cfRule>
  </conditionalFormatting>
  <conditionalFormatting sqref="AF37">
    <cfRule type="expression" dxfId="23088" priority="9168">
      <formula>AND(AG37&gt;=79001,AG37&lt;79900)</formula>
    </cfRule>
    <cfRule type="expression" dxfId="23087" priority="9169" stopIfTrue="1">
      <formula>AND(AG37&gt;=70101,AG37&lt;=70301)</formula>
    </cfRule>
    <cfRule type="expression" dxfId="23086" priority="9170" stopIfTrue="1">
      <formula>AND(AG37&gt;70000,AG37&lt;70004)</formula>
    </cfRule>
    <cfRule type="expression" dxfId="23085" priority="9171" stopIfTrue="1">
      <formula>AND(AG37&gt;=70010,AG37&lt;=76000)</formula>
    </cfRule>
    <cfRule type="expression" dxfId="23084" priority="9172">
      <formula>AND(AG37&gt;70000,AG37&lt;70004)</formula>
    </cfRule>
    <cfRule type="expression" dxfId="23083" priority="9173" stopIfTrue="1">
      <formula>OR(AND(AG37&gt;=10000,AG37&lt;=56999),AND(AG37&gt;=57000,AG37&lt;=57999))</formula>
    </cfRule>
    <cfRule type="expression" dxfId="23082" priority="9174" stopIfTrue="1">
      <formula>AND(AG37&gt;=8000,AG37&lt;=9999)</formula>
    </cfRule>
    <cfRule type="expression" dxfId="23081" priority="9175" stopIfTrue="1">
      <formula>AND(AG37&gt;=78100,AG37&lt;=78199)</formula>
    </cfRule>
    <cfRule type="expression" dxfId="23080" priority="9176" stopIfTrue="1">
      <formula>AND(AG37&gt;=92000,AG37&lt;=98999)</formula>
    </cfRule>
    <cfRule type="expression" dxfId="23079" priority="9177" stopIfTrue="1">
      <formula>AND(AG37&gt;=78100,AG37&lt;=78199)</formula>
    </cfRule>
    <cfRule type="expression" dxfId="23078" priority="9178" stopIfTrue="1">
      <formula>AND(AG37&gt;=91000,AG37&lt;=91999)</formula>
    </cfRule>
  </conditionalFormatting>
  <conditionalFormatting sqref="AF37">
    <cfRule type="expression" dxfId="23077" priority="9157">
      <formula>AND(AG37&gt;=79001,AG37&lt;79900)</formula>
    </cfRule>
    <cfRule type="expression" dxfId="23076" priority="9158" stopIfTrue="1">
      <formula>AND(AG37&gt;=70101,AG37&lt;=70301)</formula>
    </cfRule>
    <cfRule type="expression" dxfId="23075" priority="9159" stopIfTrue="1">
      <formula>AND(AG37&gt;70000,AG37&lt;70004)</formula>
    </cfRule>
    <cfRule type="expression" dxfId="23074" priority="9160" stopIfTrue="1">
      <formula>AND(AG37&gt;=70010,AG37&lt;=76000)</formula>
    </cfRule>
    <cfRule type="expression" dxfId="23073" priority="9161">
      <formula>AND(AG37&gt;70000,AG37&lt;70004)</formula>
    </cfRule>
    <cfRule type="expression" dxfId="23072" priority="9162" stopIfTrue="1">
      <formula>OR(AND(AG37&gt;=10000,AG37&lt;=56999),AND(AG37&gt;=57000,AG37&lt;=57999))</formula>
    </cfRule>
    <cfRule type="expression" dxfId="23071" priority="9163" stopIfTrue="1">
      <formula>AND(AG37&gt;=8000,AG37&lt;=9999)</formula>
    </cfRule>
    <cfRule type="expression" dxfId="23070" priority="9164" stopIfTrue="1">
      <formula>AND(AG37&gt;=78100,AG37&lt;=78199)</formula>
    </cfRule>
    <cfRule type="expression" dxfId="23069" priority="9165" stopIfTrue="1">
      <formula>AND(AG37&gt;=92000,AG37&lt;=98999)</formula>
    </cfRule>
    <cfRule type="expression" dxfId="23068" priority="9166" stopIfTrue="1">
      <formula>AND(AG37&gt;=78100,AG37&lt;=78199)</formula>
    </cfRule>
    <cfRule type="expression" dxfId="23067" priority="9167" stopIfTrue="1">
      <formula>AND(AG37&gt;=91000,AG37&lt;=91999)</formula>
    </cfRule>
  </conditionalFormatting>
  <conditionalFormatting sqref="T40">
    <cfRule type="expression" dxfId="23066" priority="9146">
      <formula>AND(U40&gt;=79001,U40&lt;79900)</formula>
    </cfRule>
    <cfRule type="expression" dxfId="23065" priority="9147" stopIfTrue="1">
      <formula>AND(U40&gt;=70101,U40&lt;=70301)</formula>
    </cfRule>
    <cfRule type="expression" dxfId="23064" priority="9148" stopIfTrue="1">
      <formula>AND(U40&gt;70000,U40&lt;70004)</formula>
    </cfRule>
    <cfRule type="expression" dxfId="23063" priority="9149" stopIfTrue="1">
      <formula>AND(U40&gt;=70010,U40&lt;=76000)</formula>
    </cfRule>
    <cfRule type="expression" dxfId="23062" priority="9150">
      <formula>AND(U40&gt;70000,U40&lt;70004)</formula>
    </cfRule>
    <cfRule type="expression" dxfId="23061" priority="9151" stopIfTrue="1">
      <formula>OR(AND(U40&gt;=10000,U40&lt;=56999),AND(U40&gt;=57000,U40&lt;=57999))</formula>
    </cfRule>
    <cfRule type="expression" dxfId="23060" priority="9152" stopIfTrue="1">
      <formula>AND(U40&gt;=8000,U40&lt;=9999)</formula>
    </cfRule>
    <cfRule type="expression" dxfId="23059" priority="9153" stopIfTrue="1">
      <formula>AND(U40&gt;=78100,U40&lt;=78199)</formula>
    </cfRule>
    <cfRule type="expression" dxfId="23058" priority="9154" stopIfTrue="1">
      <formula>AND(U40&gt;=92000,U40&lt;=98999)</formula>
    </cfRule>
    <cfRule type="expression" dxfId="23057" priority="9155" stopIfTrue="1">
      <formula>AND(U40&gt;=78100,U40&lt;=78199)</formula>
    </cfRule>
    <cfRule type="expression" dxfId="23056" priority="9156" stopIfTrue="1">
      <formula>AND(U40&gt;=91000,U40&lt;=91999)</formula>
    </cfRule>
  </conditionalFormatting>
  <conditionalFormatting sqref="T40">
    <cfRule type="expression" dxfId="23055" priority="9135">
      <formula>AND(U40&gt;=79001,U40&lt;79900)</formula>
    </cfRule>
    <cfRule type="expression" dxfId="23054" priority="9136" stopIfTrue="1">
      <formula>AND(U40&gt;=70101,U40&lt;=70301)</formula>
    </cfRule>
    <cfRule type="expression" dxfId="23053" priority="9137" stopIfTrue="1">
      <formula>AND(U40&gt;70000,U40&lt;70004)</formula>
    </cfRule>
    <cfRule type="expression" dxfId="23052" priority="9138" stopIfTrue="1">
      <formula>AND(U40&gt;=70010,U40&lt;=76000)</formula>
    </cfRule>
    <cfRule type="expression" dxfId="23051" priority="9139">
      <formula>AND(U40&gt;70000,U40&lt;70004)</formula>
    </cfRule>
    <cfRule type="expression" dxfId="23050" priority="9140" stopIfTrue="1">
      <formula>OR(AND(U40&gt;=10000,U40&lt;=56999),AND(U40&gt;=57000,U40&lt;=57999))</formula>
    </cfRule>
    <cfRule type="expression" dxfId="23049" priority="9141" stopIfTrue="1">
      <formula>AND(U40&gt;=8000,U40&lt;=9999)</formula>
    </cfRule>
    <cfRule type="expression" dxfId="23048" priority="9142" stopIfTrue="1">
      <formula>AND(U40&gt;=78100,U40&lt;=78199)</formula>
    </cfRule>
    <cfRule type="expression" dxfId="23047" priority="9143" stopIfTrue="1">
      <formula>AND(U40&gt;=92000,U40&lt;=98999)</formula>
    </cfRule>
    <cfRule type="expression" dxfId="23046" priority="9144" stopIfTrue="1">
      <formula>AND(U40&gt;=78100,U40&lt;=78199)</formula>
    </cfRule>
    <cfRule type="expression" dxfId="23045" priority="9145" stopIfTrue="1">
      <formula>AND(U40&gt;=91000,U40&lt;=91999)</formula>
    </cfRule>
  </conditionalFormatting>
  <conditionalFormatting sqref="T40">
    <cfRule type="expression" dxfId="23044" priority="9124">
      <formula>AND(U40&gt;=79001,U40&lt;79900)</formula>
    </cfRule>
    <cfRule type="expression" dxfId="23043" priority="9125" stopIfTrue="1">
      <formula>AND(U40&gt;=70101,U40&lt;=70301)</formula>
    </cfRule>
    <cfRule type="expression" dxfId="23042" priority="9126" stopIfTrue="1">
      <formula>AND(U40&gt;70000,U40&lt;70004)</formula>
    </cfRule>
    <cfRule type="expression" dxfId="23041" priority="9127" stopIfTrue="1">
      <formula>AND(U40&gt;=70010,U40&lt;=76000)</formula>
    </cfRule>
    <cfRule type="expression" dxfId="23040" priority="9128">
      <formula>AND(U40&gt;70000,U40&lt;70004)</formula>
    </cfRule>
    <cfRule type="expression" dxfId="23039" priority="9129" stopIfTrue="1">
      <formula>OR(AND(U40&gt;=10000,U40&lt;=56999),AND(U40&gt;=57000,U40&lt;=57999))</formula>
    </cfRule>
    <cfRule type="expression" dxfId="23038" priority="9130" stopIfTrue="1">
      <formula>AND(U40&gt;=8000,U40&lt;=9999)</formula>
    </cfRule>
    <cfRule type="expression" dxfId="23037" priority="9131" stopIfTrue="1">
      <formula>AND(U40&gt;=78100,U40&lt;=78199)</formula>
    </cfRule>
    <cfRule type="expression" dxfId="23036" priority="9132" stopIfTrue="1">
      <formula>AND(U40&gt;=92000,U40&lt;=98999)</formula>
    </cfRule>
    <cfRule type="expression" dxfId="23035" priority="9133" stopIfTrue="1">
      <formula>AND(U40&gt;=78100,U40&lt;=78199)</formula>
    </cfRule>
    <cfRule type="expression" dxfId="23034" priority="9134" stopIfTrue="1">
      <formula>AND(U40&gt;=91000,U40&lt;=91999)</formula>
    </cfRule>
  </conditionalFormatting>
  <conditionalFormatting sqref="T40">
    <cfRule type="expression" dxfId="23033" priority="9113">
      <formula>AND(U40&gt;=79001,U40&lt;79900)</formula>
    </cfRule>
    <cfRule type="expression" dxfId="23032" priority="9114" stopIfTrue="1">
      <formula>AND(U40&gt;=70101,U40&lt;=70301)</formula>
    </cfRule>
    <cfRule type="expression" dxfId="23031" priority="9115" stopIfTrue="1">
      <formula>AND(U40&gt;70000,U40&lt;70004)</formula>
    </cfRule>
    <cfRule type="expression" dxfId="23030" priority="9116" stopIfTrue="1">
      <formula>AND(U40&gt;=70010,U40&lt;=76000)</formula>
    </cfRule>
    <cfRule type="expression" dxfId="23029" priority="9117">
      <formula>AND(U40&gt;70000,U40&lt;70004)</formula>
    </cfRule>
    <cfRule type="expression" dxfId="23028" priority="9118" stopIfTrue="1">
      <formula>OR(AND(U40&gt;=10000,U40&lt;=56999),AND(U40&gt;=57000,U40&lt;=57999))</formula>
    </cfRule>
    <cfRule type="expression" dxfId="23027" priority="9119" stopIfTrue="1">
      <formula>AND(U40&gt;=8000,U40&lt;=9999)</formula>
    </cfRule>
    <cfRule type="expression" dxfId="23026" priority="9120" stopIfTrue="1">
      <formula>AND(U40&gt;=78100,U40&lt;=78199)</formula>
    </cfRule>
    <cfRule type="expression" dxfId="23025" priority="9121" stopIfTrue="1">
      <formula>AND(U40&gt;=92000,U40&lt;=98999)</formula>
    </cfRule>
    <cfRule type="expression" dxfId="23024" priority="9122" stopIfTrue="1">
      <formula>AND(U40&gt;=78100,U40&lt;=78199)</formula>
    </cfRule>
    <cfRule type="expression" dxfId="23023" priority="9123" stopIfTrue="1">
      <formula>AND(U40&gt;=91000,U40&lt;=91999)</formula>
    </cfRule>
  </conditionalFormatting>
  <conditionalFormatting sqref="X40">
    <cfRule type="expression" dxfId="23022" priority="9102">
      <formula>AND(Y40&gt;=79001,Y40&lt;79900)</formula>
    </cfRule>
    <cfRule type="expression" dxfId="23021" priority="9103" stopIfTrue="1">
      <formula>AND(Y40&gt;=70101,Y40&lt;=70301)</formula>
    </cfRule>
    <cfRule type="expression" dxfId="23020" priority="9104" stopIfTrue="1">
      <formula>AND(Y40&gt;70000,Y40&lt;70004)</formula>
    </cfRule>
    <cfRule type="expression" dxfId="23019" priority="9105" stopIfTrue="1">
      <formula>AND(Y40&gt;=70010,Y40&lt;=76000)</formula>
    </cfRule>
    <cfRule type="expression" dxfId="23018" priority="9106">
      <formula>AND(Y40&gt;70000,Y40&lt;70004)</formula>
    </cfRule>
    <cfRule type="expression" dxfId="23017" priority="9107" stopIfTrue="1">
      <formula>OR(AND(Y40&gt;=10000,Y40&lt;=56999),AND(Y40&gt;=57000,Y40&lt;=57999))</formula>
    </cfRule>
    <cfRule type="expression" dxfId="23016" priority="9108" stopIfTrue="1">
      <formula>AND(Y40&gt;=8000,Y40&lt;=9999)</formula>
    </cfRule>
    <cfRule type="expression" dxfId="23015" priority="9109" stopIfTrue="1">
      <formula>AND(Y40&gt;=78100,Y40&lt;=78199)</formula>
    </cfRule>
    <cfRule type="expression" dxfId="23014" priority="9110" stopIfTrue="1">
      <formula>AND(Y40&gt;=92000,Y40&lt;=98999)</formula>
    </cfRule>
    <cfRule type="expression" dxfId="23013" priority="9111" stopIfTrue="1">
      <formula>AND(Y40&gt;=78100,Y40&lt;=78199)</formula>
    </cfRule>
    <cfRule type="expression" dxfId="23012" priority="9112" stopIfTrue="1">
      <formula>AND(Y40&gt;=91000,Y40&lt;=91999)</formula>
    </cfRule>
  </conditionalFormatting>
  <conditionalFormatting sqref="X40">
    <cfRule type="expression" dxfId="23011" priority="9091">
      <formula>AND(Y40&gt;=79001,Y40&lt;79900)</formula>
    </cfRule>
    <cfRule type="expression" dxfId="23010" priority="9092" stopIfTrue="1">
      <formula>AND(Y40&gt;=70101,Y40&lt;=70301)</formula>
    </cfRule>
    <cfRule type="expression" dxfId="23009" priority="9093" stopIfTrue="1">
      <formula>AND(Y40&gt;70000,Y40&lt;70004)</formula>
    </cfRule>
    <cfRule type="expression" dxfId="23008" priority="9094" stopIfTrue="1">
      <formula>AND(Y40&gt;=70010,Y40&lt;=76000)</formula>
    </cfRule>
    <cfRule type="expression" dxfId="23007" priority="9095">
      <formula>AND(Y40&gt;70000,Y40&lt;70004)</formula>
    </cfRule>
    <cfRule type="expression" dxfId="23006" priority="9096" stopIfTrue="1">
      <formula>OR(AND(Y40&gt;=10000,Y40&lt;=56999),AND(Y40&gt;=57000,Y40&lt;=57999))</formula>
    </cfRule>
    <cfRule type="expression" dxfId="23005" priority="9097" stopIfTrue="1">
      <formula>AND(Y40&gt;=8000,Y40&lt;=9999)</formula>
    </cfRule>
    <cfRule type="expression" dxfId="23004" priority="9098" stopIfTrue="1">
      <formula>AND(Y40&gt;=78100,Y40&lt;=78199)</formula>
    </cfRule>
    <cfRule type="expression" dxfId="23003" priority="9099" stopIfTrue="1">
      <formula>AND(Y40&gt;=92000,Y40&lt;=98999)</formula>
    </cfRule>
    <cfRule type="expression" dxfId="23002" priority="9100" stopIfTrue="1">
      <formula>AND(Y40&gt;=78100,Y40&lt;=78199)</formula>
    </cfRule>
    <cfRule type="expression" dxfId="23001" priority="9101" stopIfTrue="1">
      <formula>AND(Y40&gt;=91000,Y40&lt;=91999)</formula>
    </cfRule>
  </conditionalFormatting>
  <conditionalFormatting sqref="X40">
    <cfRule type="expression" dxfId="23000" priority="9080">
      <formula>AND(Y40&gt;=79001,Y40&lt;79900)</formula>
    </cfRule>
    <cfRule type="expression" dxfId="22999" priority="9081" stopIfTrue="1">
      <formula>AND(Y40&gt;=70101,Y40&lt;=70301)</formula>
    </cfRule>
    <cfRule type="expression" dxfId="22998" priority="9082" stopIfTrue="1">
      <formula>AND(Y40&gt;70000,Y40&lt;70004)</formula>
    </cfRule>
    <cfRule type="expression" dxfId="22997" priority="9083" stopIfTrue="1">
      <formula>AND(Y40&gt;=70010,Y40&lt;=76000)</formula>
    </cfRule>
    <cfRule type="expression" dxfId="22996" priority="9084">
      <formula>AND(Y40&gt;70000,Y40&lt;70004)</formula>
    </cfRule>
    <cfRule type="expression" dxfId="22995" priority="9085" stopIfTrue="1">
      <formula>OR(AND(Y40&gt;=10000,Y40&lt;=56999),AND(Y40&gt;=57000,Y40&lt;=57999))</formula>
    </cfRule>
    <cfRule type="expression" dxfId="22994" priority="9086" stopIfTrue="1">
      <formula>AND(Y40&gt;=8000,Y40&lt;=9999)</formula>
    </cfRule>
    <cfRule type="expression" dxfId="22993" priority="9087" stopIfTrue="1">
      <formula>AND(Y40&gt;=78100,Y40&lt;=78199)</formula>
    </cfRule>
    <cfRule type="expression" dxfId="22992" priority="9088" stopIfTrue="1">
      <formula>AND(Y40&gt;=92000,Y40&lt;=98999)</formula>
    </cfRule>
    <cfRule type="expression" dxfId="22991" priority="9089" stopIfTrue="1">
      <formula>AND(Y40&gt;=78100,Y40&lt;=78199)</formula>
    </cfRule>
    <cfRule type="expression" dxfId="22990" priority="9090" stopIfTrue="1">
      <formula>AND(Y40&gt;=91000,Y40&lt;=91999)</formula>
    </cfRule>
  </conditionalFormatting>
  <conditionalFormatting sqref="X40">
    <cfRule type="expression" dxfId="22989" priority="9069">
      <formula>AND(Y40&gt;=79001,Y40&lt;79900)</formula>
    </cfRule>
    <cfRule type="expression" dxfId="22988" priority="9070" stopIfTrue="1">
      <formula>AND(Y40&gt;=70101,Y40&lt;=70301)</formula>
    </cfRule>
    <cfRule type="expression" dxfId="22987" priority="9071" stopIfTrue="1">
      <formula>AND(Y40&gt;70000,Y40&lt;70004)</formula>
    </cfRule>
    <cfRule type="expression" dxfId="22986" priority="9072" stopIfTrue="1">
      <formula>AND(Y40&gt;=70010,Y40&lt;=76000)</formula>
    </cfRule>
    <cfRule type="expression" dxfId="22985" priority="9073">
      <formula>AND(Y40&gt;70000,Y40&lt;70004)</formula>
    </cfRule>
    <cfRule type="expression" dxfId="22984" priority="9074" stopIfTrue="1">
      <formula>OR(AND(Y40&gt;=10000,Y40&lt;=56999),AND(Y40&gt;=57000,Y40&lt;=57999))</formula>
    </cfRule>
    <cfRule type="expression" dxfId="22983" priority="9075" stopIfTrue="1">
      <formula>AND(Y40&gt;=8000,Y40&lt;=9999)</formula>
    </cfRule>
    <cfRule type="expression" dxfId="22982" priority="9076" stopIfTrue="1">
      <formula>AND(Y40&gt;=78100,Y40&lt;=78199)</formula>
    </cfRule>
    <cfRule type="expression" dxfId="22981" priority="9077" stopIfTrue="1">
      <formula>AND(Y40&gt;=92000,Y40&lt;=98999)</formula>
    </cfRule>
    <cfRule type="expression" dxfId="22980" priority="9078" stopIfTrue="1">
      <formula>AND(Y40&gt;=78100,Y40&lt;=78199)</formula>
    </cfRule>
    <cfRule type="expression" dxfId="22979" priority="9079" stopIfTrue="1">
      <formula>AND(Y40&gt;=91000,Y40&lt;=91999)</formula>
    </cfRule>
  </conditionalFormatting>
  <conditionalFormatting sqref="AB40">
    <cfRule type="expression" dxfId="22978" priority="9058">
      <formula>AND(AC40&gt;=79001,AC40&lt;79900)</formula>
    </cfRule>
    <cfRule type="expression" dxfId="22977" priority="9059" stopIfTrue="1">
      <formula>AND(AC40&gt;=70101,AC40&lt;=70301)</formula>
    </cfRule>
    <cfRule type="expression" dxfId="22976" priority="9060" stopIfTrue="1">
      <formula>AND(AC40&gt;70000,AC40&lt;70004)</formula>
    </cfRule>
    <cfRule type="expression" dxfId="22975" priority="9061" stopIfTrue="1">
      <formula>AND(AC40&gt;=70010,AC40&lt;=76000)</formula>
    </cfRule>
    <cfRule type="expression" dxfId="22974" priority="9062">
      <formula>AND(AC40&gt;70000,AC40&lt;70004)</formula>
    </cfRule>
    <cfRule type="expression" dxfId="22973" priority="9063" stopIfTrue="1">
      <formula>OR(AND(AC40&gt;=10000,AC40&lt;=56999),AND(AC40&gt;=57000,AC40&lt;=57999))</formula>
    </cfRule>
    <cfRule type="expression" dxfId="22972" priority="9064" stopIfTrue="1">
      <formula>AND(AC40&gt;=8000,AC40&lt;=9999)</formula>
    </cfRule>
    <cfRule type="expression" dxfId="22971" priority="9065" stopIfTrue="1">
      <formula>AND(AC40&gt;=78100,AC40&lt;=78199)</formula>
    </cfRule>
    <cfRule type="expression" dxfId="22970" priority="9066" stopIfTrue="1">
      <formula>AND(AC40&gt;=92000,AC40&lt;=98999)</formula>
    </cfRule>
    <cfRule type="expression" dxfId="22969" priority="9067" stopIfTrue="1">
      <formula>AND(AC40&gt;=78100,AC40&lt;=78199)</formula>
    </cfRule>
    <cfRule type="expression" dxfId="22968" priority="9068" stopIfTrue="1">
      <formula>AND(AC40&gt;=91000,AC40&lt;=91999)</formula>
    </cfRule>
  </conditionalFormatting>
  <conditionalFormatting sqref="AB40">
    <cfRule type="expression" dxfId="22967" priority="9047">
      <formula>AND(AC40&gt;=79001,AC40&lt;79900)</formula>
    </cfRule>
    <cfRule type="expression" dxfId="22966" priority="9048" stopIfTrue="1">
      <formula>AND(AC40&gt;=70101,AC40&lt;=70301)</formula>
    </cfRule>
    <cfRule type="expression" dxfId="22965" priority="9049" stopIfTrue="1">
      <formula>AND(AC40&gt;70000,AC40&lt;70004)</formula>
    </cfRule>
    <cfRule type="expression" dxfId="22964" priority="9050" stopIfTrue="1">
      <formula>AND(AC40&gt;=70010,AC40&lt;=76000)</formula>
    </cfRule>
    <cfRule type="expression" dxfId="22963" priority="9051">
      <formula>AND(AC40&gt;70000,AC40&lt;70004)</formula>
    </cfRule>
    <cfRule type="expression" dxfId="22962" priority="9052" stopIfTrue="1">
      <formula>OR(AND(AC40&gt;=10000,AC40&lt;=56999),AND(AC40&gt;=57000,AC40&lt;=57999))</formula>
    </cfRule>
    <cfRule type="expression" dxfId="22961" priority="9053" stopIfTrue="1">
      <formula>AND(AC40&gt;=8000,AC40&lt;=9999)</formula>
    </cfRule>
    <cfRule type="expression" dxfId="22960" priority="9054" stopIfTrue="1">
      <formula>AND(AC40&gt;=78100,AC40&lt;=78199)</formula>
    </cfRule>
    <cfRule type="expression" dxfId="22959" priority="9055" stopIfTrue="1">
      <formula>AND(AC40&gt;=92000,AC40&lt;=98999)</formula>
    </cfRule>
    <cfRule type="expression" dxfId="22958" priority="9056" stopIfTrue="1">
      <formula>AND(AC40&gt;=78100,AC40&lt;=78199)</formula>
    </cfRule>
    <cfRule type="expression" dxfId="22957" priority="9057" stopIfTrue="1">
      <formula>AND(AC40&gt;=91000,AC40&lt;=91999)</formula>
    </cfRule>
  </conditionalFormatting>
  <conditionalFormatting sqref="AB40">
    <cfRule type="expression" dxfId="22956" priority="9036">
      <formula>AND(AC40&gt;=79001,AC40&lt;79900)</formula>
    </cfRule>
    <cfRule type="expression" dxfId="22955" priority="9037" stopIfTrue="1">
      <formula>AND(AC40&gt;=70101,AC40&lt;=70301)</formula>
    </cfRule>
    <cfRule type="expression" dxfId="22954" priority="9038" stopIfTrue="1">
      <formula>AND(AC40&gt;70000,AC40&lt;70004)</formula>
    </cfRule>
    <cfRule type="expression" dxfId="22953" priority="9039" stopIfTrue="1">
      <formula>AND(AC40&gt;=70010,AC40&lt;=76000)</formula>
    </cfRule>
    <cfRule type="expression" dxfId="22952" priority="9040">
      <formula>AND(AC40&gt;70000,AC40&lt;70004)</formula>
    </cfRule>
    <cfRule type="expression" dxfId="22951" priority="9041" stopIfTrue="1">
      <formula>OR(AND(AC40&gt;=10000,AC40&lt;=56999),AND(AC40&gt;=57000,AC40&lt;=57999))</formula>
    </cfRule>
    <cfRule type="expression" dxfId="22950" priority="9042" stopIfTrue="1">
      <formula>AND(AC40&gt;=8000,AC40&lt;=9999)</formula>
    </cfRule>
    <cfRule type="expression" dxfId="22949" priority="9043" stopIfTrue="1">
      <formula>AND(AC40&gt;=78100,AC40&lt;=78199)</formula>
    </cfRule>
    <cfRule type="expression" dxfId="22948" priority="9044" stopIfTrue="1">
      <formula>AND(AC40&gt;=92000,AC40&lt;=98999)</formula>
    </cfRule>
    <cfRule type="expression" dxfId="22947" priority="9045" stopIfTrue="1">
      <formula>AND(AC40&gt;=78100,AC40&lt;=78199)</formula>
    </cfRule>
    <cfRule type="expression" dxfId="22946" priority="9046" stopIfTrue="1">
      <formula>AND(AC40&gt;=91000,AC40&lt;=91999)</formula>
    </cfRule>
  </conditionalFormatting>
  <conditionalFormatting sqref="AB40">
    <cfRule type="expression" dxfId="22945" priority="9025">
      <formula>AND(AC40&gt;=79001,AC40&lt;79900)</formula>
    </cfRule>
    <cfRule type="expression" dxfId="22944" priority="9026" stopIfTrue="1">
      <formula>AND(AC40&gt;=70101,AC40&lt;=70301)</formula>
    </cfRule>
    <cfRule type="expression" dxfId="22943" priority="9027" stopIfTrue="1">
      <formula>AND(AC40&gt;70000,AC40&lt;70004)</formula>
    </cfRule>
    <cfRule type="expression" dxfId="22942" priority="9028" stopIfTrue="1">
      <formula>AND(AC40&gt;=70010,AC40&lt;=76000)</formula>
    </cfRule>
    <cfRule type="expression" dxfId="22941" priority="9029">
      <formula>AND(AC40&gt;70000,AC40&lt;70004)</formula>
    </cfRule>
    <cfRule type="expression" dxfId="22940" priority="9030" stopIfTrue="1">
      <formula>OR(AND(AC40&gt;=10000,AC40&lt;=56999),AND(AC40&gt;=57000,AC40&lt;=57999))</formula>
    </cfRule>
    <cfRule type="expression" dxfId="22939" priority="9031" stopIfTrue="1">
      <formula>AND(AC40&gt;=8000,AC40&lt;=9999)</formula>
    </cfRule>
    <cfRule type="expression" dxfId="22938" priority="9032" stopIfTrue="1">
      <formula>AND(AC40&gt;=78100,AC40&lt;=78199)</formula>
    </cfRule>
    <cfRule type="expression" dxfId="22937" priority="9033" stopIfTrue="1">
      <formula>AND(AC40&gt;=92000,AC40&lt;=98999)</formula>
    </cfRule>
    <cfRule type="expression" dxfId="22936" priority="9034" stopIfTrue="1">
      <formula>AND(AC40&gt;=78100,AC40&lt;=78199)</formula>
    </cfRule>
    <cfRule type="expression" dxfId="22935" priority="9035" stopIfTrue="1">
      <formula>AND(AC40&gt;=91000,AC40&lt;=91999)</formula>
    </cfRule>
  </conditionalFormatting>
  <conditionalFormatting sqref="AF40">
    <cfRule type="expression" dxfId="22934" priority="9014">
      <formula>AND(AG40&gt;=79001,AG40&lt;79900)</formula>
    </cfRule>
    <cfRule type="expression" dxfId="22933" priority="9015" stopIfTrue="1">
      <formula>AND(AG40&gt;=70101,AG40&lt;=70301)</formula>
    </cfRule>
    <cfRule type="expression" dxfId="22932" priority="9016" stopIfTrue="1">
      <formula>AND(AG40&gt;70000,AG40&lt;70004)</formula>
    </cfRule>
    <cfRule type="expression" dxfId="22931" priority="9017" stopIfTrue="1">
      <formula>AND(AG40&gt;=70010,AG40&lt;=76000)</formula>
    </cfRule>
    <cfRule type="expression" dxfId="22930" priority="9018">
      <formula>AND(AG40&gt;70000,AG40&lt;70004)</formula>
    </cfRule>
    <cfRule type="expression" dxfId="22929" priority="9019" stopIfTrue="1">
      <formula>OR(AND(AG40&gt;=10000,AG40&lt;=56999),AND(AG40&gt;=57000,AG40&lt;=57999))</formula>
    </cfRule>
    <cfRule type="expression" dxfId="22928" priority="9020" stopIfTrue="1">
      <formula>AND(AG40&gt;=8000,AG40&lt;=9999)</formula>
    </cfRule>
    <cfRule type="expression" dxfId="22927" priority="9021" stopIfTrue="1">
      <formula>AND(AG40&gt;=78100,AG40&lt;=78199)</formula>
    </cfRule>
    <cfRule type="expression" dxfId="22926" priority="9022" stopIfTrue="1">
      <formula>AND(AG40&gt;=92000,AG40&lt;=98999)</formula>
    </cfRule>
    <cfRule type="expression" dxfId="22925" priority="9023" stopIfTrue="1">
      <formula>AND(AG40&gt;=78100,AG40&lt;=78199)</formula>
    </cfRule>
    <cfRule type="expression" dxfId="22924" priority="9024" stopIfTrue="1">
      <formula>AND(AG40&gt;=91000,AG40&lt;=91999)</formula>
    </cfRule>
  </conditionalFormatting>
  <conditionalFormatting sqref="AF40">
    <cfRule type="expression" dxfId="22923" priority="9003">
      <formula>AND(AG40&gt;=79001,AG40&lt;79900)</formula>
    </cfRule>
    <cfRule type="expression" dxfId="22922" priority="9004" stopIfTrue="1">
      <formula>AND(AG40&gt;=70101,AG40&lt;=70301)</formula>
    </cfRule>
    <cfRule type="expression" dxfId="22921" priority="9005" stopIfTrue="1">
      <formula>AND(AG40&gt;70000,AG40&lt;70004)</formula>
    </cfRule>
    <cfRule type="expression" dxfId="22920" priority="9006" stopIfTrue="1">
      <formula>AND(AG40&gt;=70010,AG40&lt;=76000)</formula>
    </cfRule>
    <cfRule type="expression" dxfId="22919" priority="9007">
      <formula>AND(AG40&gt;70000,AG40&lt;70004)</formula>
    </cfRule>
    <cfRule type="expression" dxfId="22918" priority="9008" stopIfTrue="1">
      <formula>OR(AND(AG40&gt;=10000,AG40&lt;=56999),AND(AG40&gt;=57000,AG40&lt;=57999))</formula>
    </cfRule>
    <cfRule type="expression" dxfId="22917" priority="9009" stopIfTrue="1">
      <formula>AND(AG40&gt;=8000,AG40&lt;=9999)</formula>
    </cfRule>
    <cfRule type="expression" dxfId="22916" priority="9010" stopIfTrue="1">
      <formula>AND(AG40&gt;=78100,AG40&lt;=78199)</formula>
    </cfRule>
    <cfRule type="expression" dxfId="22915" priority="9011" stopIfTrue="1">
      <formula>AND(AG40&gt;=92000,AG40&lt;=98999)</formula>
    </cfRule>
    <cfRule type="expression" dxfId="22914" priority="9012" stopIfTrue="1">
      <formula>AND(AG40&gt;=78100,AG40&lt;=78199)</formula>
    </cfRule>
    <cfRule type="expression" dxfId="22913" priority="9013" stopIfTrue="1">
      <formula>AND(AG40&gt;=91000,AG40&lt;=91999)</formula>
    </cfRule>
  </conditionalFormatting>
  <conditionalFormatting sqref="AF40">
    <cfRule type="expression" dxfId="22912" priority="8992">
      <formula>AND(AG40&gt;=79001,AG40&lt;79900)</formula>
    </cfRule>
    <cfRule type="expression" dxfId="22911" priority="8993" stopIfTrue="1">
      <formula>AND(AG40&gt;=70101,AG40&lt;=70301)</formula>
    </cfRule>
    <cfRule type="expression" dxfId="22910" priority="8994" stopIfTrue="1">
      <formula>AND(AG40&gt;70000,AG40&lt;70004)</formula>
    </cfRule>
    <cfRule type="expression" dxfId="22909" priority="8995" stopIfTrue="1">
      <formula>AND(AG40&gt;=70010,AG40&lt;=76000)</formula>
    </cfRule>
    <cfRule type="expression" dxfId="22908" priority="8996">
      <formula>AND(AG40&gt;70000,AG40&lt;70004)</formula>
    </cfRule>
    <cfRule type="expression" dxfId="22907" priority="8997" stopIfTrue="1">
      <formula>OR(AND(AG40&gt;=10000,AG40&lt;=56999),AND(AG40&gt;=57000,AG40&lt;=57999))</formula>
    </cfRule>
    <cfRule type="expression" dxfId="22906" priority="8998" stopIfTrue="1">
      <formula>AND(AG40&gt;=8000,AG40&lt;=9999)</formula>
    </cfRule>
    <cfRule type="expression" dxfId="22905" priority="8999" stopIfTrue="1">
      <formula>AND(AG40&gt;=78100,AG40&lt;=78199)</formula>
    </cfRule>
    <cfRule type="expression" dxfId="22904" priority="9000" stopIfTrue="1">
      <formula>AND(AG40&gt;=92000,AG40&lt;=98999)</formula>
    </cfRule>
    <cfRule type="expression" dxfId="22903" priority="9001" stopIfTrue="1">
      <formula>AND(AG40&gt;=78100,AG40&lt;=78199)</formula>
    </cfRule>
    <cfRule type="expression" dxfId="22902" priority="9002" stopIfTrue="1">
      <formula>AND(AG40&gt;=91000,AG40&lt;=91999)</formula>
    </cfRule>
  </conditionalFormatting>
  <conditionalFormatting sqref="AF40">
    <cfRule type="expression" dxfId="22901" priority="8981">
      <formula>AND(AG40&gt;=79001,AG40&lt;79900)</formula>
    </cfRule>
    <cfRule type="expression" dxfId="22900" priority="8982" stopIfTrue="1">
      <formula>AND(AG40&gt;=70101,AG40&lt;=70301)</formula>
    </cfRule>
    <cfRule type="expression" dxfId="22899" priority="8983" stopIfTrue="1">
      <formula>AND(AG40&gt;70000,AG40&lt;70004)</formula>
    </cfRule>
    <cfRule type="expression" dxfId="22898" priority="8984" stopIfTrue="1">
      <formula>AND(AG40&gt;=70010,AG40&lt;=76000)</formula>
    </cfRule>
    <cfRule type="expression" dxfId="22897" priority="8985">
      <formula>AND(AG40&gt;70000,AG40&lt;70004)</formula>
    </cfRule>
    <cfRule type="expression" dxfId="22896" priority="8986" stopIfTrue="1">
      <formula>OR(AND(AG40&gt;=10000,AG40&lt;=56999),AND(AG40&gt;=57000,AG40&lt;=57999))</formula>
    </cfRule>
    <cfRule type="expression" dxfId="22895" priority="8987" stopIfTrue="1">
      <formula>AND(AG40&gt;=8000,AG40&lt;=9999)</formula>
    </cfRule>
    <cfRule type="expression" dxfId="22894" priority="8988" stopIfTrue="1">
      <formula>AND(AG40&gt;=78100,AG40&lt;=78199)</formula>
    </cfRule>
    <cfRule type="expression" dxfId="22893" priority="8989" stopIfTrue="1">
      <formula>AND(AG40&gt;=92000,AG40&lt;=98999)</formula>
    </cfRule>
    <cfRule type="expression" dxfId="22892" priority="8990" stopIfTrue="1">
      <formula>AND(AG40&gt;=78100,AG40&lt;=78199)</formula>
    </cfRule>
    <cfRule type="expression" dxfId="22891" priority="8991" stopIfTrue="1">
      <formula>AND(AG40&gt;=91000,AG40&lt;=91999)</formula>
    </cfRule>
  </conditionalFormatting>
  <conditionalFormatting sqref="X43">
    <cfRule type="expression" dxfId="22890" priority="8970">
      <formula>AND(Y43&gt;=79001,Y43&lt;79900)</formula>
    </cfRule>
    <cfRule type="expression" dxfId="22889" priority="8971" stopIfTrue="1">
      <formula>AND(Y43&gt;=70101,Y43&lt;=70301)</formula>
    </cfRule>
    <cfRule type="expression" dxfId="22888" priority="8972" stopIfTrue="1">
      <formula>AND(Y43&gt;70000,Y43&lt;70004)</formula>
    </cfRule>
    <cfRule type="expression" dxfId="22887" priority="8973" stopIfTrue="1">
      <formula>AND(Y43&gt;=70010,Y43&lt;=76000)</formula>
    </cfRule>
    <cfRule type="expression" dxfId="22886" priority="8974">
      <formula>AND(Y43&gt;70000,Y43&lt;70004)</formula>
    </cfRule>
    <cfRule type="expression" dxfId="22885" priority="8975" stopIfTrue="1">
      <formula>OR(AND(Y43&gt;=10000,Y43&lt;=56999),AND(Y43&gt;=57000,Y43&lt;=57999))</formula>
    </cfRule>
    <cfRule type="expression" dxfId="22884" priority="8976" stopIfTrue="1">
      <formula>AND(Y43&gt;=8000,Y43&lt;=9999)</formula>
    </cfRule>
    <cfRule type="expression" dxfId="22883" priority="8977" stopIfTrue="1">
      <formula>AND(Y43&gt;=78100,Y43&lt;=78199)</formula>
    </cfRule>
    <cfRule type="expression" dxfId="22882" priority="8978" stopIfTrue="1">
      <formula>AND(Y43&gt;=92000,Y43&lt;=98999)</formula>
    </cfRule>
    <cfRule type="expression" dxfId="22881" priority="8979" stopIfTrue="1">
      <formula>AND(Y43&gt;=78100,Y43&lt;=78199)</formula>
    </cfRule>
    <cfRule type="expression" dxfId="22880" priority="8980" stopIfTrue="1">
      <formula>AND(Y43&gt;=91000,Y43&lt;=91999)</formula>
    </cfRule>
  </conditionalFormatting>
  <conditionalFormatting sqref="X43">
    <cfRule type="expression" dxfId="22879" priority="8959">
      <formula>AND(Y43&gt;=79001,Y43&lt;79900)</formula>
    </cfRule>
    <cfRule type="expression" dxfId="22878" priority="8960" stopIfTrue="1">
      <formula>AND(Y43&gt;=70101,Y43&lt;=70301)</formula>
    </cfRule>
    <cfRule type="expression" dxfId="22877" priority="8961" stopIfTrue="1">
      <formula>AND(Y43&gt;70000,Y43&lt;70004)</formula>
    </cfRule>
    <cfRule type="expression" dxfId="22876" priority="8962" stopIfTrue="1">
      <formula>AND(Y43&gt;=70010,Y43&lt;=76000)</formula>
    </cfRule>
    <cfRule type="expression" dxfId="22875" priority="8963">
      <formula>AND(Y43&gt;70000,Y43&lt;70004)</formula>
    </cfRule>
    <cfRule type="expression" dxfId="22874" priority="8964" stopIfTrue="1">
      <formula>OR(AND(Y43&gt;=10000,Y43&lt;=56999),AND(Y43&gt;=57000,Y43&lt;=57999))</formula>
    </cfRule>
    <cfRule type="expression" dxfId="22873" priority="8965" stopIfTrue="1">
      <formula>AND(Y43&gt;=8000,Y43&lt;=9999)</formula>
    </cfRule>
    <cfRule type="expression" dxfId="22872" priority="8966" stopIfTrue="1">
      <formula>AND(Y43&gt;=78100,Y43&lt;=78199)</formula>
    </cfRule>
    <cfRule type="expression" dxfId="22871" priority="8967" stopIfTrue="1">
      <formula>AND(Y43&gt;=92000,Y43&lt;=98999)</formula>
    </cfRule>
    <cfRule type="expression" dxfId="22870" priority="8968" stopIfTrue="1">
      <formula>AND(Y43&gt;=78100,Y43&lt;=78199)</formula>
    </cfRule>
    <cfRule type="expression" dxfId="22869" priority="8969" stopIfTrue="1">
      <formula>AND(Y43&gt;=91000,Y43&lt;=91999)</formula>
    </cfRule>
  </conditionalFormatting>
  <conditionalFormatting sqref="X43">
    <cfRule type="expression" dxfId="22868" priority="8948">
      <formula>AND(Y43&gt;=79001,Y43&lt;79900)</formula>
    </cfRule>
    <cfRule type="expression" dxfId="22867" priority="8949" stopIfTrue="1">
      <formula>AND(Y43&gt;=70101,Y43&lt;=70301)</formula>
    </cfRule>
    <cfRule type="expression" dxfId="22866" priority="8950" stopIfTrue="1">
      <formula>AND(Y43&gt;70000,Y43&lt;70004)</formula>
    </cfRule>
    <cfRule type="expression" dxfId="22865" priority="8951" stopIfTrue="1">
      <formula>AND(Y43&gt;=70010,Y43&lt;=76000)</formula>
    </cfRule>
    <cfRule type="expression" dxfId="22864" priority="8952">
      <formula>AND(Y43&gt;70000,Y43&lt;70004)</formula>
    </cfRule>
    <cfRule type="expression" dxfId="22863" priority="8953" stopIfTrue="1">
      <formula>OR(AND(Y43&gt;=10000,Y43&lt;=56999),AND(Y43&gt;=57000,Y43&lt;=57999))</formula>
    </cfRule>
    <cfRule type="expression" dxfId="22862" priority="8954" stopIfTrue="1">
      <formula>AND(Y43&gt;=8000,Y43&lt;=9999)</formula>
    </cfRule>
    <cfRule type="expression" dxfId="22861" priority="8955" stopIfTrue="1">
      <formula>AND(Y43&gt;=78100,Y43&lt;=78199)</formula>
    </cfRule>
    <cfRule type="expression" dxfId="22860" priority="8956" stopIfTrue="1">
      <formula>AND(Y43&gt;=92000,Y43&lt;=98999)</formula>
    </cfRule>
    <cfRule type="expression" dxfId="22859" priority="8957" stopIfTrue="1">
      <formula>AND(Y43&gt;=78100,Y43&lt;=78199)</formula>
    </cfRule>
    <cfRule type="expression" dxfId="22858" priority="8958" stopIfTrue="1">
      <formula>AND(Y43&gt;=91000,Y43&lt;=91999)</formula>
    </cfRule>
  </conditionalFormatting>
  <conditionalFormatting sqref="X43">
    <cfRule type="expression" dxfId="22857" priority="8937">
      <formula>AND(Y43&gt;=79001,Y43&lt;79900)</formula>
    </cfRule>
    <cfRule type="expression" dxfId="22856" priority="8938" stopIfTrue="1">
      <formula>AND(Y43&gt;=70101,Y43&lt;=70301)</formula>
    </cfRule>
    <cfRule type="expression" dxfId="22855" priority="8939" stopIfTrue="1">
      <formula>AND(Y43&gt;70000,Y43&lt;70004)</formula>
    </cfRule>
    <cfRule type="expression" dxfId="22854" priority="8940" stopIfTrue="1">
      <formula>AND(Y43&gt;=70010,Y43&lt;=76000)</formula>
    </cfRule>
    <cfRule type="expression" dxfId="22853" priority="8941">
      <formula>AND(Y43&gt;70000,Y43&lt;70004)</formula>
    </cfRule>
    <cfRule type="expression" dxfId="22852" priority="8942" stopIfTrue="1">
      <formula>OR(AND(Y43&gt;=10000,Y43&lt;=56999),AND(Y43&gt;=57000,Y43&lt;=57999))</formula>
    </cfRule>
    <cfRule type="expression" dxfId="22851" priority="8943" stopIfTrue="1">
      <formula>AND(Y43&gt;=8000,Y43&lt;=9999)</formula>
    </cfRule>
    <cfRule type="expression" dxfId="22850" priority="8944" stopIfTrue="1">
      <formula>AND(Y43&gt;=78100,Y43&lt;=78199)</formula>
    </cfRule>
    <cfRule type="expression" dxfId="22849" priority="8945" stopIfTrue="1">
      <formula>AND(Y43&gt;=92000,Y43&lt;=98999)</formula>
    </cfRule>
    <cfRule type="expression" dxfId="22848" priority="8946" stopIfTrue="1">
      <formula>AND(Y43&gt;=78100,Y43&lt;=78199)</formula>
    </cfRule>
    <cfRule type="expression" dxfId="22847" priority="8947" stopIfTrue="1">
      <formula>AND(Y43&gt;=91000,Y43&lt;=91999)</formula>
    </cfRule>
  </conditionalFormatting>
  <conditionalFormatting sqref="AB43">
    <cfRule type="expression" dxfId="22846" priority="8926">
      <formula>AND(AC43&gt;=79001,AC43&lt;79900)</formula>
    </cfRule>
    <cfRule type="expression" dxfId="22845" priority="8927" stopIfTrue="1">
      <formula>AND(AC43&gt;=70101,AC43&lt;=70301)</formula>
    </cfRule>
    <cfRule type="expression" dxfId="22844" priority="8928" stopIfTrue="1">
      <formula>AND(AC43&gt;70000,AC43&lt;70004)</formula>
    </cfRule>
    <cfRule type="expression" dxfId="22843" priority="8929" stopIfTrue="1">
      <formula>AND(AC43&gt;=70010,AC43&lt;=76000)</formula>
    </cfRule>
    <cfRule type="expression" dxfId="22842" priority="8930">
      <formula>AND(AC43&gt;70000,AC43&lt;70004)</formula>
    </cfRule>
    <cfRule type="expression" dxfId="22841" priority="8931" stopIfTrue="1">
      <formula>OR(AND(AC43&gt;=10000,AC43&lt;=56999),AND(AC43&gt;=57000,AC43&lt;=57999))</formula>
    </cfRule>
    <cfRule type="expression" dxfId="22840" priority="8932" stopIfTrue="1">
      <formula>AND(AC43&gt;=8000,AC43&lt;=9999)</formula>
    </cfRule>
    <cfRule type="expression" dxfId="22839" priority="8933" stopIfTrue="1">
      <formula>AND(AC43&gt;=78100,AC43&lt;=78199)</formula>
    </cfRule>
    <cfRule type="expression" dxfId="22838" priority="8934" stopIfTrue="1">
      <formula>AND(AC43&gt;=92000,AC43&lt;=98999)</formula>
    </cfRule>
    <cfRule type="expression" dxfId="22837" priority="8935" stopIfTrue="1">
      <formula>AND(AC43&gt;=78100,AC43&lt;=78199)</formula>
    </cfRule>
    <cfRule type="expression" dxfId="22836" priority="8936" stopIfTrue="1">
      <formula>AND(AC43&gt;=91000,AC43&lt;=91999)</formula>
    </cfRule>
  </conditionalFormatting>
  <conditionalFormatting sqref="AB43">
    <cfRule type="expression" dxfId="22835" priority="8915">
      <formula>AND(AC43&gt;=79001,AC43&lt;79900)</formula>
    </cfRule>
    <cfRule type="expression" dxfId="22834" priority="8916" stopIfTrue="1">
      <formula>AND(AC43&gt;=70101,AC43&lt;=70301)</formula>
    </cfRule>
    <cfRule type="expression" dxfId="22833" priority="8917" stopIfTrue="1">
      <formula>AND(AC43&gt;70000,AC43&lt;70004)</formula>
    </cfRule>
    <cfRule type="expression" dxfId="22832" priority="8918" stopIfTrue="1">
      <formula>AND(AC43&gt;=70010,AC43&lt;=76000)</formula>
    </cfRule>
    <cfRule type="expression" dxfId="22831" priority="8919">
      <formula>AND(AC43&gt;70000,AC43&lt;70004)</formula>
    </cfRule>
    <cfRule type="expression" dxfId="22830" priority="8920" stopIfTrue="1">
      <formula>OR(AND(AC43&gt;=10000,AC43&lt;=56999),AND(AC43&gt;=57000,AC43&lt;=57999))</formula>
    </cfRule>
    <cfRule type="expression" dxfId="22829" priority="8921" stopIfTrue="1">
      <formula>AND(AC43&gt;=8000,AC43&lt;=9999)</formula>
    </cfRule>
    <cfRule type="expression" dxfId="22828" priority="8922" stopIfTrue="1">
      <formula>AND(AC43&gt;=78100,AC43&lt;=78199)</formula>
    </cfRule>
    <cfRule type="expression" dxfId="22827" priority="8923" stopIfTrue="1">
      <formula>AND(AC43&gt;=92000,AC43&lt;=98999)</formula>
    </cfRule>
    <cfRule type="expression" dxfId="22826" priority="8924" stopIfTrue="1">
      <formula>AND(AC43&gt;=78100,AC43&lt;=78199)</formula>
    </cfRule>
    <cfRule type="expression" dxfId="22825" priority="8925" stopIfTrue="1">
      <formula>AND(AC43&gt;=91000,AC43&lt;=91999)</formula>
    </cfRule>
  </conditionalFormatting>
  <conditionalFormatting sqref="AB43">
    <cfRule type="expression" dxfId="22824" priority="8904">
      <formula>AND(AC43&gt;=79001,AC43&lt;79900)</formula>
    </cfRule>
    <cfRule type="expression" dxfId="22823" priority="8905" stopIfTrue="1">
      <formula>AND(AC43&gt;=70101,AC43&lt;=70301)</formula>
    </cfRule>
    <cfRule type="expression" dxfId="22822" priority="8906" stopIfTrue="1">
      <formula>AND(AC43&gt;70000,AC43&lt;70004)</formula>
    </cfRule>
    <cfRule type="expression" dxfId="22821" priority="8907" stopIfTrue="1">
      <formula>AND(AC43&gt;=70010,AC43&lt;=76000)</formula>
    </cfRule>
    <cfRule type="expression" dxfId="22820" priority="8908">
      <formula>AND(AC43&gt;70000,AC43&lt;70004)</formula>
    </cfRule>
    <cfRule type="expression" dxfId="22819" priority="8909" stopIfTrue="1">
      <formula>OR(AND(AC43&gt;=10000,AC43&lt;=56999),AND(AC43&gt;=57000,AC43&lt;=57999))</formula>
    </cfRule>
    <cfRule type="expression" dxfId="22818" priority="8910" stopIfTrue="1">
      <formula>AND(AC43&gt;=8000,AC43&lt;=9999)</formula>
    </cfRule>
    <cfRule type="expression" dxfId="22817" priority="8911" stopIfTrue="1">
      <formula>AND(AC43&gt;=78100,AC43&lt;=78199)</formula>
    </cfRule>
    <cfRule type="expression" dxfId="22816" priority="8912" stopIfTrue="1">
      <formula>AND(AC43&gt;=92000,AC43&lt;=98999)</formula>
    </cfRule>
    <cfRule type="expression" dxfId="22815" priority="8913" stopIfTrue="1">
      <formula>AND(AC43&gt;=78100,AC43&lt;=78199)</formula>
    </cfRule>
    <cfRule type="expression" dxfId="22814" priority="8914" stopIfTrue="1">
      <formula>AND(AC43&gt;=91000,AC43&lt;=91999)</formula>
    </cfRule>
  </conditionalFormatting>
  <conditionalFormatting sqref="AB43">
    <cfRule type="expression" dxfId="22813" priority="8893">
      <formula>AND(AC43&gt;=79001,AC43&lt;79900)</formula>
    </cfRule>
    <cfRule type="expression" dxfId="22812" priority="8894" stopIfTrue="1">
      <formula>AND(AC43&gt;=70101,AC43&lt;=70301)</formula>
    </cfRule>
    <cfRule type="expression" dxfId="22811" priority="8895" stopIfTrue="1">
      <formula>AND(AC43&gt;70000,AC43&lt;70004)</formula>
    </cfRule>
    <cfRule type="expression" dxfId="22810" priority="8896" stopIfTrue="1">
      <formula>AND(AC43&gt;=70010,AC43&lt;=76000)</formula>
    </cfRule>
    <cfRule type="expression" dxfId="22809" priority="8897">
      <formula>AND(AC43&gt;70000,AC43&lt;70004)</formula>
    </cfRule>
    <cfRule type="expression" dxfId="22808" priority="8898" stopIfTrue="1">
      <formula>OR(AND(AC43&gt;=10000,AC43&lt;=56999),AND(AC43&gt;=57000,AC43&lt;=57999))</formula>
    </cfRule>
    <cfRule type="expression" dxfId="22807" priority="8899" stopIfTrue="1">
      <formula>AND(AC43&gt;=8000,AC43&lt;=9999)</formula>
    </cfRule>
    <cfRule type="expression" dxfId="22806" priority="8900" stopIfTrue="1">
      <formula>AND(AC43&gt;=78100,AC43&lt;=78199)</formula>
    </cfRule>
    <cfRule type="expression" dxfId="22805" priority="8901" stopIfTrue="1">
      <formula>AND(AC43&gt;=92000,AC43&lt;=98999)</formula>
    </cfRule>
    <cfRule type="expression" dxfId="22804" priority="8902" stopIfTrue="1">
      <formula>AND(AC43&gt;=78100,AC43&lt;=78199)</formula>
    </cfRule>
    <cfRule type="expression" dxfId="22803" priority="8903" stopIfTrue="1">
      <formula>AND(AC43&gt;=91000,AC43&lt;=91999)</formula>
    </cfRule>
  </conditionalFormatting>
  <conditionalFormatting sqref="AF43">
    <cfRule type="expression" dxfId="22802" priority="8882">
      <formula>AND(AG43&gt;=79001,AG43&lt;79900)</formula>
    </cfRule>
    <cfRule type="expression" dxfId="22801" priority="8883" stopIfTrue="1">
      <formula>AND(AG43&gt;=70101,AG43&lt;=70301)</formula>
    </cfRule>
    <cfRule type="expression" dxfId="22800" priority="8884" stopIfTrue="1">
      <formula>AND(AG43&gt;70000,AG43&lt;70004)</formula>
    </cfRule>
    <cfRule type="expression" dxfId="22799" priority="8885" stopIfTrue="1">
      <formula>AND(AG43&gt;=70010,AG43&lt;=76000)</formula>
    </cfRule>
    <cfRule type="expression" dxfId="22798" priority="8886">
      <formula>AND(AG43&gt;70000,AG43&lt;70004)</formula>
    </cfRule>
    <cfRule type="expression" dxfId="22797" priority="8887" stopIfTrue="1">
      <formula>OR(AND(AG43&gt;=10000,AG43&lt;=56999),AND(AG43&gt;=57000,AG43&lt;=57999))</formula>
    </cfRule>
    <cfRule type="expression" dxfId="22796" priority="8888" stopIfTrue="1">
      <formula>AND(AG43&gt;=8000,AG43&lt;=9999)</formula>
    </cfRule>
    <cfRule type="expression" dxfId="22795" priority="8889" stopIfTrue="1">
      <formula>AND(AG43&gt;=78100,AG43&lt;=78199)</formula>
    </cfRule>
    <cfRule type="expression" dxfId="22794" priority="8890" stopIfTrue="1">
      <formula>AND(AG43&gt;=92000,AG43&lt;=98999)</formula>
    </cfRule>
    <cfRule type="expression" dxfId="22793" priority="8891" stopIfTrue="1">
      <formula>AND(AG43&gt;=78100,AG43&lt;=78199)</formula>
    </cfRule>
    <cfRule type="expression" dxfId="22792" priority="8892" stopIfTrue="1">
      <formula>AND(AG43&gt;=91000,AG43&lt;=91999)</formula>
    </cfRule>
  </conditionalFormatting>
  <conditionalFormatting sqref="AF43">
    <cfRule type="expression" dxfId="22791" priority="8871">
      <formula>AND(AG43&gt;=79001,AG43&lt;79900)</formula>
    </cfRule>
    <cfRule type="expression" dxfId="22790" priority="8872" stopIfTrue="1">
      <formula>AND(AG43&gt;=70101,AG43&lt;=70301)</formula>
    </cfRule>
    <cfRule type="expression" dxfId="22789" priority="8873" stopIfTrue="1">
      <formula>AND(AG43&gt;70000,AG43&lt;70004)</formula>
    </cfRule>
    <cfRule type="expression" dxfId="22788" priority="8874" stopIfTrue="1">
      <formula>AND(AG43&gt;=70010,AG43&lt;=76000)</formula>
    </cfRule>
    <cfRule type="expression" dxfId="22787" priority="8875">
      <formula>AND(AG43&gt;70000,AG43&lt;70004)</formula>
    </cfRule>
    <cfRule type="expression" dxfId="22786" priority="8876" stopIfTrue="1">
      <formula>OR(AND(AG43&gt;=10000,AG43&lt;=56999),AND(AG43&gt;=57000,AG43&lt;=57999))</formula>
    </cfRule>
    <cfRule type="expression" dxfId="22785" priority="8877" stopIfTrue="1">
      <formula>AND(AG43&gt;=8000,AG43&lt;=9999)</formula>
    </cfRule>
    <cfRule type="expression" dxfId="22784" priority="8878" stopIfTrue="1">
      <formula>AND(AG43&gt;=78100,AG43&lt;=78199)</formula>
    </cfRule>
    <cfRule type="expression" dxfId="22783" priority="8879" stopIfTrue="1">
      <formula>AND(AG43&gt;=92000,AG43&lt;=98999)</formula>
    </cfRule>
    <cfRule type="expression" dxfId="22782" priority="8880" stopIfTrue="1">
      <formula>AND(AG43&gt;=78100,AG43&lt;=78199)</formula>
    </cfRule>
    <cfRule type="expression" dxfId="22781" priority="8881" stopIfTrue="1">
      <formula>AND(AG43&gt;=91000,AG43&lt;=91999)</formula>
    </cfRule>
  </conditionalFormatting>
  <conditionalFormatting sqref="AF43">
    <cfRule type="expression" dxfId="22780" priority="8860">
      <formula>AND(AG43&gt;=79001,AG43&lt;79900)</formula>
    </cfRule>
    <cfRule type="expression" dxfId="22779" priority="8861" stopIfTrue="1">
      <formula>AND(AG43&gt;=70101,AG43&lt;=70301)</formula>
    </cfRule>
    <cfRule type="expression" dxfId="22778" priority="8862" stopIfTrue="1">
      <formula>AND(AG43&gt;70000,AG43&lt;70004)</formula>
    </cfRule>
    <cfRule type="expression" dxfId="22777" priority="8863" stopIfTrue="1">
      <formula>AND(AG43&gt;=70010,AG43&lt;=76000)</formula>
    </cfRule>
    <cfRule type="expression" dxfId="22776" priority="8864">
      <formula>AND(AG43&gt;70000,AG43&lt;70004)</formula>
    </cfRule>
    <cfRule type="expression" dxfId="22775" priority="8865" stopIfTrue="1">
      <formula>OR(AND(AG43&gt;=10000,AG43&lt;=56999),AND(AG43&gt;=57000,AG43&lt;=57999))</formula>
    </cfRule>
    <cfRule type="expression" dxfId="22774" priority="8866" stopIfTrue="1">
      <formula>AND(AG43&gt;=8000,AG43&lt;=9999)</formula>
    </cfRule>
    <cfRule type="expression" dxfId="22773" priority="8867" stopIfTrue="1">
      <formula>AND(AG43&gt;=78100,AG43&lt;=78199)</formula>
    </cfRule>
    <cfRule type="expression" dxfId="22772" priority="8868" stopIfTrue="1">
      <formula>AND(AG43&gt;=92000,AG43&lt;=98999)</formula>
    </cfRule>
    <cfRule type="expression" dxfId="22771" priority="8869" stopIfTrue="1">
      <formula>AND(AG43&gt;=78100,AG43&lt;=78199)</formula>
    </cfRule>
    <cfRule type="expression" dxfId="22770" priority="8870" stopIfTrue="1">
      <formula>AND(AG43&gt;=91000,AG43&lt;=91999)</formula>
    </cfRule>
  </conditionalFormatting>
  <conditionalFormatting sqref="AF43">
    <cfRule type="expression" dxfId="22769" priority="8849">
      <formula>AND(AG43&gt;=79001,AG43&lt;79900)</formula>
    </cfRule>
    <cfRule type="expression" dxfId="22768" priority="8850" stopIfTrue="1">
      <formula>AND(AG43&gt;=70101,AG43&lt;=70301)</formula>
    </cfRule>
    <cfRule type="expression" dxfId="22767" priority="8851" stopIfTrue="1">
      <formula>AND(AG43&gt;70000,AG43&lt;70004)</formula>
    </cfRule>
    <cfRule type="expression" dxfId="22766" priority="8852" stopIfTrue="1">
      <formula>AND(AG43&gt;=70010,AG43&lt;=76000)</formula>
    </cfRule>
    <cfRule type="expression" dxfId="22765" priority="8853">
      <formula>AND(AG43&gt;70000,AG43&lt;70004)</formula>
    </cfRule>
    <cfRule type="expression" dxfId="22764" priority="8854" stopIfTrue="1">
      <formula>OR(AND(AG43&gt;=10000,AG43&lt;=56999),AND(AG43&gt;=57000,AG43&lt;=57999))</formula>
    </cfRule>
    <cfRule type="expression" dxfId="22763" priority="8855" stopIfTrue="1">
      <formula>AND(AG43&gt;=8000,AG43&lt;=9999)</formula>
    </cfRule>
    <cfRule type="expression" dxfId="22762" priority="8856" stopIfTrue="1">
      <formula>AND(AG43&gt;=78100,AG43&lt;=78199)</formula>
    </cfRule>
    <cfRule type="expression" dxfId="22761" priority="8857" stopIfTrue="1">
      <formula>AND(AG43&gt;=92000,AG43&lt;=98999)</formula>
    </cfRule>
    <cfRule type="expression" dxfId="22760" priority="8858" stopIfTrue="1">
      <formula>AND(AG43&gt;=78100,AG43&lt;=78199)</formula>
    </cfRule>
    <cfRule type="expression" dxfId="22759" priority="8859" stopIfTrue="1">
      <formula>AND(AG43&gt;=91000,AG43&lt;=91999)</formula>
    </cfRule>
  </conditionalFormatting>
  <conditionalFormatting sqref="X46">
    <cfRule type="expression" dxfId="22758" priority="8838">
      <formula>AND(Y46&gt;=79001,Y46&lt;79900)</formula>
    </cfRule>
    <cfRule type="expression" dxfId="22757" priority="8839" stopIfTrue="1">
      <formula>AND(Y46&gt;=70101,Y46&lt;=70301)</formula>
    </cfRule>
    <cfRule type="expression" dxfId="22756" priority="8840" stopIfTrue="1">
      <formula>AND(Y46&gt;70000,Y46&lt;70004)</formula>
    </cfRule>
    <cfRule type="expression" dxfId="22755" priority="8841" stopIfTrue="1">
      <formula>AND(Y46&gt;=70010,Y46&lt;=76000)</formula>
    </cfRule>
    <cfRule type="expression" dxfId="22754" priority="8842">
      <formula>AND(Y46&gt;70000,Y46&lt;70004)</formula>
    </cfRule>
    <cfRule type="expression" dxfId="22753" priority="8843" stopIfTrue="1">
      <formula>OR(AND(Y46&gt;=10000,Y46&lt;=56999),AND(Y46&gt;=57000,Y46&lt;=57999))</formula>
    </cfRule>
    <cfRule type="expression" dxfId="22752" priority="8844" stopIfTrue="1">
      <formula>AND(Y46&gt;=8000,Y46&lt;=9999)</formula>
    </cfRule>
    <cfRule type="expression" dxfId="22751" priority="8845" stopIfTrue="1">
      <formula>AND(Y46&gt;=78100,Y46&lt;=78199)</formula>
    </cfRule>
    <cfRule type="expression" dxfId="22750" priority="8846" stopIfTrue="1">
      <formula>AND(Y46&gt;=92000,Y46&lt;=98999)</formula>
    </cfRule>
    <cfRule type="expression" dxfId="22749" priority="8847" stopIfTrue="1">
      <formula>AND(Y46&gt;=78100,Y46&lt;=78199)</formula>
    </cfRule>
    <cfRule type="expression" dxfId="22748" priority="8848" stopIfTrue="1">
      <formula>AND(Y46&gt;=91000,Y46&lt;=91999)</formula>
    </cfRule>
  </conditionalFormatting>
  <conditionalFormatting sqref="X46">
    <cfRule type="expression" dxfId="22747" priority="8827">
      <formula>AND(Y46&gt;=79001,Y46&lt;79900)</formula>
    </cfRule>
    <cfRule type="expression" dxfId="22746" priority="8828" stopIfTrue="1">
      <formula>AND(Y46&gt;=70101,Y46&lt;=70301)</formula>
    </cfRule>
    <cfRule type="expression" dxfId="22745" priority="8829" stopIfTrue="1">
      <formula>AND(Y46&gt;70000,Y46&lt;70004)</formula>
    </cfRule>
    <cfRule type="expression" dxfId="22744" priority="8830" stopIfTrue="1">
      <formula>AND(Y46&gt;=70010,Y46&lt;=76000)</formula>
    </cfRule>
    <cfRule type="expression" dxfId="22743" priority="8831">
      <formula>AND(Y46&gt;70000,Y46&lt;70004)</formula>
    </cfRule>
    <cfRule type="expression" dxfId="22742" priority="8832" stopIfTrue="1">
      <formula>OR(AND(Y46&gt;=10000,Y46&lt;=56999),AND(Y46&gt;=57000,Y46&lt;=57999))</formula>
    </cfRule>
    <cfRule type="expression" dxfId="22741" priority="8833" stopIfTrue="1">
      <formula>AND(Y46&gt;=8000,Y46&lt;=9999)</formula>
    </cfRule>
    <cfRule type="expression" dxfId="22740" priority="8834" stopIfTrue="1">
      <formula>AND(Y46&gt;=78100,Y46&lt;=78199)</formula>
    </cfRule>
    <cfRule type="expression" dxfId="22739" priority="8835" stopIfTrue="1">
      <formula>AND(Y46&gt;=92000,Y46&lt;=98999)</formula>
    </cfRule>
    <cfRule type="expression" dxfId="22738" priority="8836" stopIfTrue="1">
      <formula>AND(Y46&gt;=78100,Y46&lt;=78199)</formula>
    </cfRule>
    <cfRule type="expression" dxfId="22737" priority="8837" stopIfTrue="1">
      <formula>AND(Y46&gt;=91000,Y46&lt;=91999)</formula>
    </cfRule>
  </conditionalFormatting>
  <conditionalFormatting sqref="X46">
    <cfRule type="expression" dxfId="22736" priority="8816">
      <formula>AND(Y46&gt;=79001,Y46&lt;79900)</formula>
    </cfRule>
    <cfRule type="expression" dxfId="22735" priority="8817" stopIfTrue="1">
      <formula>AND(Y46&gt;=70101,Y46&lt;=70301)</formula>
    </cfRule>
    <cfRule type="expression" dxfId="22734" priority="8818" stopIfTrue="1">
      <formula>AND(Y46&gt;70000,Y46&lt;70004)</formula>
    </cfRule>
    <cfRule type="expression" dxfId="22733" priority="8819" stopIfTrue="1">
      <formula>AND(Y46&gt;=70010,Y46&lt;=76000)</formula>
    </cfRule>
    <cfRule type="expression" dxfId="22732" priority="8820">
      <formula>AND(Y46&gt;70000,Y46&lt;70004)</formula>
    </cfRule>
    <cfRule type="expression" dxfId="22731" priority="8821" stopIfTrue="1">
      <formula>OR(AND(Y46&gt;=10000,Y46&lt;=56999),AND(Y46&gt;=57000,Y46&lt;=57999))</formula>
    </cfRule>
    <cfRule type="expression" dxfId="22730" priority="8822" stopIfTrue="1">
      <formula>AND(Y46&gt;=8000,Y46&lt;=9999)</formula>
    </cfRule>
    <cfRule type="expression" dxfId="22729" priority="8823" stopIfTrue="1">
      <formula>AND(Y46&gt;=78100,Y46&lt;=78199)</formula>
    </cfRule>
    <cfRule type="expression" dxfId="22728" priority="8824" stopIfTrue="1">
      <formula>AND(Y46&gt;=92000,Y46&lt;=98999)</formula>
    </cfRule>
    <cfRule type="expression" dxfId="22727" priority="8825" stopIfTrue="1">
      <formula>AND(Y46&gt;=78100,Y46&lt;=78199)</formula>
    </cfRule>
    <cfRule type="expression" dxfId="22726" priority="8826" stopIfTrue="1">
      <formula>AND(Y46&gt;=91000,Y46&lt;=91999)</formula>
    </cfRule>
  </conditionalFormatting>
  <conditionalFormatting sqref="X46">
    <cfRule type="expression" dxfId="22725" priority="8805">
      <formula>AND(Y46&gt;=79001,Y46&lt;79900)</formula>
    </cfRule>
    <cfRule type="expression" dxfId="22724" priority="8806" stopIfTrue="1">
      <formula>AND(Y46&gt;=70101,Y46&lt;=70301)</formula>
    </cfRule>
    <cfRule type="expression" dxfId="22723" priority="8807" stopIfTrue="1">
      <formula>AND(Y46&gt;70000,Y46&lt;70004)</formula>
    </cfRule>
    <cfRule type="expression" dxfId="22722" priority="8808" stopIfTrue="1">
      <formula>AND(Y46&gt;=70010,Y46&lt;=76000)</formula>
    </cfRule>
    <cfRule type="expression" dxfId="22721" priority="8809">
      <formula>AND(Y46&gt;70000,Y46&lt;70004)</formula>
    </cfRule>
    <cfRule type="expression" dxfId="22720" priority="8810" stopIfTrue="1">
      <formula>OR(AND(Y46&gt;=10000,Y46&lt;=56999),AND(Y46&gt;=57000,Y46&lt;=57999))</formula>
    </cfRule>
    <cfRule type="expression" dxfId="22719" priority="8811" stopIfTrue="1">
      <formula>AND(Y46&gt;=8000,Y46&lt;=9999)</formula>
    </cfRule>
    <cfRule type="expression" dxfId="22718" priority="8812" stopIfTrue="1">
      <formula>AND(Y46&gt;=78100,Y46&lt;=78199)</formula>
    </cfRule>
    <cfRule type="expression" dxfId="22717" priority="8813" stopIfTrue="1">
      <formula>AND(Y46&gt;=92000,Y46&lt;=98999)</formula>
    </cfRule>
    <cfRule type="expression" dxfId="22716" priority="8814" stopIfTrue="1">
      <formula>AND(Y46&gt;=78100,Y46&lt;=78199)</formula>
    </cfRule>
    <cfRule type="expression" dxfId="22715" priority="8815" stopIfTrue="1">
      <formula>AND(Y46&gt;=91000,Y46&lt;=91999)</formula>
    </cfRule>
  </conditionalFormatting>
  <conditionalFormatting sqref="AB46">
    <cfRule type="expression" dxfId="22714" priority="8794">
      <formula>AND(AC46&gt;=79001,AC46&lt;79900)</formula>
    </cfRule>
    <cfRule type="expression" dxfId="22713" priority="8795" stopIfTrue="1">
      <formula>AND(AC46&gt;=70101,AC46&lt;=70301)</formula>
    </cfRule>
    <cfRule type="expression" dxfId="22712" priority="8796" stopIfTrue="1">
      <formula>AND(AC46&gt;70000,AC46&lt;70004)</formula>
    </cfRule>
    <cfRule type="expression" dxfId="22711" priority="8797" stopIfTrue="1">
      <formula>AND(AC46&gt;=70010,AC46&lt;=76000)</formula>
    </cfRule>
    <cfRule type="expression" dxfId="22710" priority="8798">
      <formula>AND(AC46&gt;70000,AC46&lt;70004)</formula>
    </cfRule>
    <cfRule type="expression" dxfId="22709" priority="8799" stopIfTrue="1">
      <formula>OR(AND(AC46&gt;=10000,AC46&lt;=56999),AND(AC46&gt;=57000,AC46&lt;=57999))</formula>
    </cfRule>
    <cfRule type="expression" dxfId="22708" priority="8800" stopIfTrue="1">
      <formula>AND(AC46&gt;=8000,AC46&lt;=9999)</formula>
    </cfRule>
    <cfRule type="expression" dxfId="22707" priority="8801" stopIfTrue="1">
      <formula>AND(AC46&gt;=78100,AC46&lt;=78199)</formula>
    </cfRule>
    <cfRule type="expression" dxfId="22706" priority="8802" stopIfTrue="1">
      <formula>AND(AC46&gt;=92000,AC46&lt;=98999)</formula>
    </cfRule>
    <cfRule type="expression" dxfId="22705" priority="8803" stopIfTrue="1">
      <formula>AND(AC46&gt;=78100,AC46&lt;=78199)</formula>
    </cfRule>
    <cfRule type="expression" dxfId="22704" priority="8804" stopIfTrue="1">
      <formula>AND(AC46&gt;=91000,AC46&lt;=91999)</formula>
    </cfRule>
  </conditionalFormatting>
  <conditionalFormatting sqref="AB46">
    <cfRule type="expression" dxfId="22703" priority="8783">
      <formula>AND(AC46&gt;=79001,AC46&lt;79900)</formula>
    </cfRule>
    <cfRule type="expression" dxfId="22702" priority="8784" stopIfTrue="1">
      <formula>AND(AC46&gt;=70101,AC46&lt;=70301)</formula>
    </cfRule>
    <cfRule type="expression" dxfId="22701" priority="8785" stopIfTrue="1">
      <formula>AND(AC46&gt;70000,AC46&lt;70004)</formula>
    </cfRule>
    <cfRule type="expression" dxfId="22700" priority="8786" stopIfTrue="1">
      <formula>AND(AC46&gt;=70010,AC46&lt;=76000)</formula>
    </cfRule>
    <cfRule type="expression" dxfId="22699" priority="8787">
      <formula>AND(AC46&gt;70000,AC46&lt;70004)</formula>
    </cfRule>
    <cfRule type="expression" dxfId="22698" priority="8788" stopIfTrue="1">
      <formula>OR(AND(AC46&gt;=10000,AC46&lt;=56999),AND(AC46&gt;=57000,AC46&lt;=57999))</formula>
    </cfRule>
    <cfRule type="expression" dxfId="22697" priority="8789" stopIfTrue="1">
      <formula>AND(AC46&gt;=8000,AC46&lt;=9999)</formula>
    </cfRule>
    <cfRule type="expression" dxfId="22696" priority="8790" stopIfTrue="1">
      <formula>AND(AC46&gt;=78100,AC46&lt;=78199)</formula>
    </cfRule>
    <cfRule type="expression" dxfId="22695" priority="8791" stopIfTrue="1">
      <formula>AND(AC46&gt;=92000,AC46&lt;=98999)</formula>
    </cfRule>
    <cfRule type="expression" dxfId="22694" priority="8792" stopIfTrue="1">
      <formula>AND(AC46&gt;=78100,AC46&lt;=78199)</formula>
    </cfRule>
    <cfRule type="expression" dxfId="22693" priority="8793" stopIfTrue="1">
      <formula>AND(AC46&gt;=91000,AC46&lt;=91999)</formula>
    </cfRule>
  </conditionalFormatting>
  <conditionalFormatting sqref="AB46">
    <cfRule type="expression" dxfId="22692" priority="8772">
      <formula>AND(AC46&gt;=79001,AC46&lt;79900)</formula>
    </cfRule>
    <cfRule type="expression" dxfId="22691" priority="8773" stopIfTrue="1">
      <formula>AND(AC46&gt;=70101,AC46&lt;=70301)</formula>
    </cfRule>
    <cfRule type="expression" dxfId="22690" priority="8774" stopIfTrue="1">
      <formula>AND(AC46&gt;70000,AC46&lt;70004)</formula>
    </cfRule>
    <cfRule type="expression" dxfId="22689" priority="8775" stopIfTrue="1">
      <formula>AND(AC46&gt;=70010,AC46&lt;=76000)</formula>
    </cfRule>
    <cfRule type="expression" dxfId="22688" priority="8776">
      <formula>AND(AC46&gt;70000,AC46&lt;70004)</formula>
    </cfRule>
    <cfRule type="expression" dxfId="22687" priority="8777" stopIfTrue="1">
      <formula>OR(AND(AC46&gt;=10000,AC46&lt;=56999),AND(AC46&gt;=57000,AC46&lt;=57999))</formula>
    </cfRule>
    <cfRule type="expression" dxfId="22686" priority="8778" stopIfTrue="1">
      <formula>AND(AC46&gt;=8000,AC46&lt;=9999)</formula>
    </cfRule>
    <cfRule type="expression" dxfId="22685" priority="8779" stopIfTrue="1">
      <formula>AND(AC46&gt;=78100,AC46&lt;=78199)</formula>
    </cfRule>
    <cfRule type="expression" dxfId="22684" priority="8780" stopIfTrue="1">
      <formula>AND(AC46&gt;=92000,AC46&lt;=98999)</formula>
    </cfRule>
    <cfRule type="expression" dxfId="22683" priority="8781" stopIfTrue="1">
      <formula>AND(AC46&gt;=78100,AC46&lt;=78199)</formula>
    </cfRule>
    <cfRule type="expression" dxfId="22682" priority="8782" stopIfTrue="1">
      <formula>AND(AC46&gt;=91000,AC46&lt;=91999)</formula>
    </cfRule>
  </conditionalFormatting>
  <conditionalFormatting sqref="AB46">
    <cfRule type="expression" dxfId="22681" priority="8761">
      <formula>AND(AC46&gt;=79001,AC46&lt;79900)</formula>
    </cfRule>
    <cfRule type="expression" dxfId="22680" priority="8762" stopIfTrue="1">
      <formula>AND(AC46&gt;=70101,AC46&lt;=70301)</formula>
    </cfRule>
    <cfRule type="expression" dxfId="22679" priority="8763" stopIfTrue="1">
      <formula>AND(AC46&gt;70000,AC46&lt;70004)</formula>
    </cfRule>
    <cfRule type="expression" dxfId="22678" priority="8764" stopIfTrue="1">
      <formula>AND(AC46&gt;=70010,AC46&lt;=76000)</formula>
    </cfRule>
    <cfRule type="expression" dxfId="22677" priority="8765">
      <formula>AND(AC46&gt;70000,AC46&lt;70004)</formula>
    </cfRule>
    <cfRule type="expression" dxfId="22676" priority="8766" stopIfTrue="1">
      <formula>OR(AND(AC46&gt;=10000,AC46&lt;=56999),AND(AC46&gt;=57000,AC46&lt;=57999))</formula>
    </cfRule>
    <cfRule type="expression" dxfId="22675" priority="8767" stopIfTrue="1">
      <formula>AND(AC46&gt;=8000,AC46&lt;=9999)</formula>
    </cfRule>
    <cfRule type="expression" dxfId="22674" priority="8768" stopIfTrue="1">
      <formula>AND(AC46&gt;=78100,AC46&lt;=78199)</formula>
    </cfRule>
    <cfRule type="expression" dxfId="22673" priority="8769" stopIfTrue="1">
      <formula>AND(AC46&gt;=92000,AC46&lt;=98999)</formula>
    </cfRule>
    <cfRule type="expression" dxfId="22672" priority="8770" stopIfTrue="1">
      <formula>AND(AC46&gt;=78100,AC46&lt;=78199)</formula>
    </cfRule>
    <cfRule type="expression" dxfId="22671" priority="8771" stopIfTrue="1">
      <formula>AND(AC46&gt;=91000,AC46&lt;=91999)</formula>
    </cfRule>
  </conditionalFormatting>
  <conditionalFormatting sqref="AF46">
    <cfRule type="expression" dxfId="22670" priority="8750">
      <formula>AND(AG46&gt;=79001,AG46&lt;79900)</formula>
    </cfRule>
    <cfRule type="expression" dxfId="22669" priority="8751" stopIfTrue="1">
      <formula>AND(AG46&gt;=70101,AG46&lt;=70301)</formula>
    </cfRule>
    <cfRule type="expression" dxfId="22668" priority="8752" stopIfTrue="1">
      <formula>AND(AG46&gt;70000,AG46&lt;70004)</formula>
    </cfRule>
    <cfRule type="expression" dxfId="22667" priority="8753" stopIfTrue="1">
      <formula>AND(AG46&gt;=70010,AG46&lt;=76000)</formula>
    </cfRule>
    <cfRule type="expression" dxfId="22666" priority="8754">
      <formula>AND(AG46&gt;70000,AG46&lt;70004)</formula>
    </cfRule>
    <cfRule type="expression" dxfId="22665" priority="8755" stopIfTrue="1">
      <formula>OR(AND(AG46&gt;=10000,AG46&lt;=56999),AND(AG46&gt;=57000,AG46&lt;=57999))</formula>
    </cfRule>
    <cfRule type="expression" dxfId="22664" priority="8756" stopIfTrue="1">
      <formula>AND(AG46&gt;=8000,AG46&lt;=9999)</formula>
    </cfRule>
    <cfRule type="expression" dxfId="22663" priority="8757" stopIfTrue="1">
      <formula>AND(AG46&gt;=78100,AG46&lt;=78199)</formula>
    </cfRule>
    <cfRule type="expression" dxfId="22662" priority="8758" stopIfTrue="1">
      <formula>AND(AG46&gt;=92000,AG46&lt;=98999)</formula>
    </cfRule>
    <cfRule type="expression" dxfId="22661" priority="8759" stopIfTrue="1">
      <formula>AND(AG46&gt;=78100,AG46&lt;=78199)</formula>
    </cfRule>
    <cfRule type="expression" dxfId="22660" priority="8760" stopIfTrue="1">
      <formula>AND(AG46&gt;=91000,AG46&lt;=91999)</formula>
    </cfRule>
  </conditionalFormatting>
  <conditionalFormatting sqref="AF46">
    <cfRule type="expression" dxfId="22659" priority="8739">
      <formula>AND(AG46&gt;=79001,AG46&lt;79900)</formula>
    </cfRule>
    <cfRule type="expression" dxfId="22658" priority="8740" stopIfTrue="1">
      <formula>AND(AG46&gt;=70101,AG46&lt;=70301)</formula>
    </cfRule>
    <cfRule type="expression" dxfId="22657" priority="8741" stopIfTrue="1">
      <formula>AND(AG46&gt;70000,AG46&lt;70004)</formula>
    </cfRule>
    <cfRule type="expression" dxfId="22656" priority="8742" stopIfTrue="1">
      <formula>AND(AG46&gt;=70010,AG46&lt;=76000)</formula>
    </cfRule>
    <cfRule type="expression" dxfId="22655" priority="8743">
      <formula>AND(AG46&gt;70000,AG46&lt;70004)</formula>
    </cfRule>
    <cfRule type="expression" dxfId="22654" priority="8744" stopIfTrue="1">
      <formula>OR(AND(AG46&gt;=10000,AG46&lt;=56999),AND(AG46&gt;=57000,AG46&lt;=57999))</formula>
    </cfRule>
    <cfRule type="expression" dxfId="22653" priority="8745" stopIfTrue="1">
      <formula>AND(AG46&gt;=8000,AG46&lt;=9999)</formula>
    </cfRule>
    <cfRule type="expression" dxfId="22652" priority="8746" stopIfTrue="1">
      <formula>AND(AG46&gt;=78100,AG46&lt;=78199)</formula>
    </cfRule>
    <cfRule type="expression" dxfId="22651" priority="8747" stopIfTrue="1">
      <formula>AND(AG46&gt;=92000,AG46&lt;=98999)</formula>
    </cfRule>
    <cfRule type="expression" dxfId="22650" priority="8748" stopIfTrue="1">
      <formula>AND(AG46&gt;=78100,AG46&lt;=78199)</formula>
    </cfRule>
    <cfRule type="expression" dxfId="22649" priority="8749" stopIfTrue="1">
      <formula>AND(AG46&gt;=91000,AG46&lt;=91999)</formula>
    </cfRule>
  </conditionalFormatting>
  <conditionalFormatting sqref="AF46">
    <cfRule type="expression" dxfId="22648" priority="8728">
      <formula>AND(AG46&gt;=79001,AG46&lt;79900)</formula>
    </cfRule>
    <cfRule type="expression" dxfId="22647" priority="8729" stopIfTrue="1">
      <formula>AND(AG46&gt;=70101,AG46&lt;=70301)</formula>
    </cfRule>
    <cfRule type="expression" dxfId="22646" priority="8730" stopIfTrue="1">
      <formula>AND(AG46&gt;70000,AG46&lt;70004)</formula>
    </cfRule>
    <cfRule type="expression" dxfId="22645" priority="8731" stopIfTrue="1">
      <formula>AND(AG46&gt;=70010,AG46&lt;=76000)</formula>
    </cfRule>
    <cfRule type="expression" dxfId="22644" priority="8732">
      <formula>AND(AG46&gt;70000,AG46&lt;70004)</formula>
    </cfRule>
    <cfRule type="expression" dxfId="22643" priority="8733" stopIfTrue="1">
      <formula>OR(AND(AG46&gt;=10000,AG46&lt;=56999),AND(AG46&gt;=57000,AG46&lt;=57999))</formula>
    </cfRule>
    <cfRule type="expression" dxfId="22642" priority="8734" stopIfTrue="1">
      <formula>AND(AG46&gt;=8000,AG46&lt;=9999)</formula>
    </cfRule>
    <cfRule type="expression" dxfId="22641" priority="8735" stopIfTrue="1">
      <formula>AND(AG46&gt;=78100,AG46&lt;=78199)</formula>
    </cfRule>
    <cfRule type="expression" dxfId="22640" priority="8736" stopIfTrue="1">
      <formula>AND(AG46&gt;=92000,AG46&lt;=98999)</formula>
    </cfRule>
    <cfRule type="expression" dxfId="22639" priority="8737" stopIfTrue="1">
      <formula>AND(AG46&gt;=78100,AG46&lt;=78199)</formula>
    </cfRule>
    <cfRule type="expression" dxfId="22638" priority="8738" stopIfTrue="1">
      <formula>AND(AG46&gt;=91000,AG46&lt;=91999)</formula>
    </cfRule>
  </conditionalFormatting>
  <conditionalFormatting sqref="AF46">
    <cfRule type="expression" dxfId="22637" priority="8717">
      <formula>AND(AG46&gt;=79001,AG46&lt;79900)</formula>
    </cfRule>
    <cfRule type="expression" dxfId="22636" priority="8718" stopIfTrue="1">
      <formula>AND(AG46&gt;=70101,AG46&lt;=70301)</formula>
    </cfRule>
    <cfRule type="expression" dxfId="22635" priority="8719" stopIfTrue="1">
      <formula>AND(AG46&gt;70000,AG46&lt;70004)</formula>
    </cfRule>
    <cfRule type="expression" dxfId="22634" priority="8720" stopIfTrue="1">
      <formula>AND(AG46&gt;=70010,AG46&lt;=76000)</formula>
    </cfRule>
    <cfRule type="expression" dxfId="22633" priority="8721">
      <formula>AND(AG46&gt;70000,AG46&lt;70004)</formula>
    </cfRule>
    <cfRule type="expression" dxfId="22632" priority="8722" stopIfTrue="1">
      <formula>OR(AND(AG46&gt;=10000,AG46&lt;=56999),AND(AG46&gt;=57000,AG46&lt;=57999))</formula>
    </cfRule>
    <cfRule type="expression" dxfId="22631" priority="8723" stopIfTrue="1">
      <formula>AND(AG46&gt;=8000,AG46&lt;=9999)</formula>
    </cfRule>
    <cfRule type="expression" dxfId="22630" priority="8724" stopIfTrue="1">
      <formula>AND(AG46&gt;=78100,AG46&lt;=78199)</formula>
    </cfRule>
    <cfRule type="expression" dxfId="22629" priority="8725" stopIfTrue="1">
      <formula>AND(AG46&gt;=92000,AG46&lt;=98999)</formula>
    </cfRule>
    <cfRule type="expression" dxfId="22628" priority="8726" stopIfTrue="1">
      <formula>AND(AG46&gt;=78100,AG46&lt;=78199)</formula>
    </cfRule>
    <cfRule type="expression" dxfId="22627" priority="8727" stopIfTrue="1">
      <formula>AND(AG46&gt;=91000,AG46&lt;=91999)</formula>
    </cfRule>
  </conditionalFormatting>
  <conditionalFormatting sqref="T46">
    <cfRule type="expression" dxfId="22626" priority="8706">
      <formula>AND(U46&gt;=79001,U46&lt;79900)</formula>
    </cfRule>
    <cfRule type="expression" dxfId="22625" priority="8707" stopIfTrue="1">
      <formula>AND(U46&gt;=70101,U46&lt;=70301)</formula>
    </cfRule>
    <cfRule type="expression" dxfId="22624" priority="8708" stopIfTrue="1">
      <formula>AND(U46&gt;70000,U46&lt;70004)</formula>
    </cfRule>
    <cfRule type="expression" dxfId="22623" priority="8709" stopIfTrue="1">
      <formula>AND(U46&gt;=70010,U46&lt;=76000)</formula>
    </cfRule>
    <cfRule type="expression" dxfId="22622" priority="8710">
      <formula>AND(U46&gt;70000,U46&lt;70004)</formula>
    </cfRule>
    <cfRule type="expression" dxfId="22621" priority="8711" stopIfTrue="1">
      <formula>OR(AND(U46&gt;=10000,U46&lt;=56999),AND(U46&gt;=57000,U46&lt;=57999))</formula>
    </cfRule>
    <cfRule type="expression" dxfId="22620" priority="8712" stopIfTrue="1">
      <formula>AND(U46&gt;=8000,U46&lt;=9999)</formula>
    </cfRule>
    <cfRule type="expression" dxfId="22619" priority="8713" stopIfTrue="1">
      <formula>AND(U46&gt;=78100,U46&lt;=78199)</formula>
    </cfRule>
    <cfRule type="expression" dxfId="22618" priority="8714" stopIfTrue="1">
      <formula>AND(U46&gt;=92000,U46&lt;=98999)</formula>
    </cfRule>
    <cfRule type="expression" dxfId="22617" priority="8715" stopIfTrue="1">
      <formula>AND(U46&gt;=78100,U46&lt;=78199)</formula>
    </cfRule>
    <cfRule type="expression" dxfId="22616" priority="8716" stopIfTrue="1">
      <formula>AND(U46&gt;=91000,U46&lt;=91999)</formula>
    </cfRule>
  </conditionalFormatting>
  <conditionalFormatting sqref="T46">
    <cfRule type="expression" dxfId="22615" priority="8695">
      <formula>AND(U46&gt;=79001,U46&lt;79900)</formula>
    </cfRule>
    <cfRule type="expression" dxfId="22614" priority="8696" stopIfTrue="1">
      <formula>AND(U46&gt;=70101,U46&lt;=70301)</formula>
    </cfRule>
    <cfRule type="expression" dxfId="22613" priority="8697" stopIfTrue="1">
      <formula>AND(U46&gt;70000,U46&lt;70004)</formula>
    </cfRule>
    <cfRule type="expression" dxfId="22612" priority="8698" stopIfTrue="1">
      <formula>AND(U46&gt;=70010,U46&lt;=76000)</formula>
    </cfRule>
    <cfRule type="expression" dxfId="22611" priority="8699">
      <formula>AND(U46&gt;70000,U46&lt;70004)</formula>
    </cfRule>
    <cfRule type="expression" dxfId="22610" priority="8700" stopIfTrue="1">
      <formula>OR(AND(U46&gt;=10000,U46&lt;=56999),AND(U46&gt;=57000,U46&lt;=57999))</formula>
    </cfRule>
    <cfRule type="expression" dxfId="22609" priority="8701" stopIfTrue="1">
      <formula>AND(U46&gt;=8000,U46&lt;=9999)</formula>
    </cfRule>
    <cfRule type="expression" dxfId="22608" priority="8702" stopIfTrue="1">
      <formula>AND(U46&gt;=78100,U46&lt;=78199)</formula>
    </cfRule>
    <cfRule type="expression" dxfId="22607" priority="8703" stopIfTrue="1">
      <formula>AND(U46&gt;=92000,U46&lt;=98999)</formula>
    </cfRule>
    <cfRule type="expression" dxfId="22606" priority="8704" stopIfTrue="1">
      <formula>AND(U46&gt;=78100,U46&lt;=78199)</formula>
    </cfRule>
    <cfRule type="expression" dxfId="22605" priority="8705" stopIfTrue="1">
      <formula>AND(U46&gt;=91000,U46&lt;=91999)</formula>
    </cfRule>
  </conditionalFormatting>
  <conditionalFormatting sqref="T46">
    <cfRule type="expression" dxfId="22604" priority="8684">
      <formula>AND(U46&gt;=79001,U46&lt;79900)</formula>
    </cfRule>
    <cfRule type="expression" dxfId="22603" priority="8685" stopIfTrue="1">
      <formula>AND(U46&gt;=70101,U46&lt;=70301)</formula>
    </cfRule>
    <cfRule type="expression" dxfId="22602" priority="8686" stopIfTrue="1">
      <formula>AND(U46&gt;70000,U46&lt;70004)</formula>
    </cfRule>
    <cfRule type="expression" dxfId="22601" priority="8687" stopIfTrue="1">
      <formula>AND(U46&gt;=70010,U46&lt;=76000)</formula>
    </cfRule>
    <cfRule type="expression" dxfId="22600" priority="8688">
      <formula>AND(U46&gt;70000,U46&lt;70004)</formula>
    </cfRule>
    <cfRule type="expression" dxfId="22599" priority="8689" stopIfTrue="1">
      <formula>OR(AND(U46&gt;=10000,U46&lt;=56999),AND(U46&gt;=57000,U46&lt;=57999))</formula>
    </cfRule>
    <cfRule type="expression" dxfId="22598" priority="8690" stopIfTrue="1">
      <formula>AND(U46&gt;=8000,U46&lt;=9999)</formula>
    </cfRule>
    <cfRule type="expression" dxfId="22597" priority="8691" stopIfTrue="1">
      <formula>AND(U46&gt;=78100,U46&lt;=78199)</formula>
    </cfRule>
    <cfRule type="expression" dxfId="22596" priority="8692" stopIfTrue="1">
      <formula>AND(U46&gt;=92000,U46&lt;=98999)</formula>
    </cfRule>
    <cfRule type="expression" dxfId="22595" priority="8693" stopIfTrue="1">
      <formula>AND(U46&gt;=78100,U46&lt;=78199)</formula>
    </cfRule>
    <cfRule type="expression" dxfId="22594" priority="8694" stopIfTrue="1">
      <formula>AND(U46&gt;=91000,U46&lt;=91999)</formula>
    </cfRule>
  </conditionalFormatting>
  <conditionalFormatting sqref="T46">
    <cfRule type="expression" dxfId="22593" priority="8673">
      <formula>AND(U46&gt;=79001,U46&lt;79900)</formula>
    </cfRule>
    <cfRule type="expression" dxfId="22592" priority="8674" stopIfTrue="1">
      <formula>AND(U46&gt;=70101,U46&lt;=70301)</formula>
    </cfRule>
    <cfRule type="expression" dxfId="22591" priority="8675" stopIfTrue="1">
      <formula>AND(U46&gt;70000,U46&lt;70004)</formula>
    </cfRule>
    <cfRule type="expression" dxfId="22590" priority="8676" stopIfTrue="1">
      <formula>AND(U46&gt;=70010,U46&lt;=76000)</formula>
    </cfRule>
    <cfRule type="expression" dxfId="22589" priority="8677">
      <formula>AND(U46&gt;70000,U46&lt;70004)</formula>
    </cfRule>
    <cfRule type="expression" dxfId="22588" priority="8678" stopIfTrue="1">
      <formula>OR(AND(U46&gt;=10000,U46&lt;=56999),AND(U46&gt;=57000,U46&lt;=57999))</formula>
    </cfRule>
    <cfRule type="expression" dxfId="22587" priority="8679" stopIfTrue="1">
      <formula>AND(U46&gt;=8000,U46&lt;=9999)</formula>
    </cfRule>
    <cfRule type="expression" dxfId="22586" priority="8680" stopIfTrue="1">
      <formula>AND(U46&gt;=78100,U46&lt;=78199)</formula>
    </cfRule>
    <cfRule type="expression" dxfId="22585" priority="8681" stopIfTrue="1">
      <formula>AND(U46&gt;=92000,U46&lt;=98999)</formula>
    </cfRule>
    <cfRule type="expression" dxfId="22584" priority="8682" stopIfTrue="1">
      <formula>AND(U46&gt;=78100,U46&lt;=78199)</formula>
    </cfRule>
    <cfRule type="expression" dxfId="22583" priority="8683" stopIfTrue="1">
      <formula>AND(U46&gt;=91000,U46&lt;=91999)</formula>
    </cfRule>
  </conditionalFormatting>
  <conditionalFormatting sqref="X47">
    <cfRule type="expression" dxfId="22582" priority="8662">
      <formula>AND(Y47&gt;=79001,Y47&lt;79900)</formula>
    </cfRule>
    <cfRule type="expression" dxfId="22581" priority="8663" stopIfTrue="1">
      <formula>AND(Y47&gt;=70101,Y47&lt;=70301)</formula>
    </cfRule>
    <cfRule type="expression" dxfId="22580" priority="8664" stopIfTrue="1">
      <formula>AND(Y47&gt;70000,Y47&lt;70004)</formula>
    </cfRule>
    <cfRule type="expression" dxfId="22579" priority="8665" stopIfTrue="1">
      <formula>AND(Y47&gt;=70010,Y47&lt;=76000)</formula>
    </cfRule>
    <cfRule type="expression" dxfId="22578" priority="8666">
      <formula>AND(Y47&gt;70000,Y47&lt;70004)</formula>
    </cfRule>
    <cfRule type="expression" dxfId="22577" priority="8667" stopIfTrue="1">
      <formula>OR(AND(Y47&gt;=10000,Y47&lt;=56999),AND(Y47&gt;=57000,Y47&lt;=57999))</formula>
    </cfRule>
    <cfRule type="expression" dxfId="22576" priority="8668" stopIfTrue="1">
      <formula>AND(Y47&gt;=8000,Y47&lt;=9999)</formula>
    </cfRule>
    <cfRule type="expression" dxfId="22575" priority="8669" stopIfTrue="1">
      <formula>AND(Y47&gt;=78100,Y47&lt;=78199)</formula>
    </cfRule>
    <cfRule type="expression" dxfId="22574" priority="8670" stopIfTrue="1">
      <formula>AND(Y47&gt;=92000,Y47&lt;=98999)</formula>
    </cfRule>
    <cfRule type="expression" dxfId="22573" priority="8671" stopIfTrue="1">
      <formula>AND(Y47&gt;=78100,Y47&lt;=78199)</formula>
    </cfRule>
    <cfRule type="expression" dxfId="22572" priority="8672" stopIfTrue="1">
      <formula>AND(Y47&gt;=91000,Y47&lt;=91999)</formula>
    </cfRule>
  </conditionalFormatting>
  <conditionalFormatting sqref="X47">
    <cfRule type="expression" dxfId="22571" priority="8651">
      <formula>AND(Y47&gt;=79001,Y47&lt;79900)</formula>
    </cfRule>
    <cfRule type="expression" dxfId="22570" priority="8652" stopIfTrue="1">
      <formula>AND(Y47&gt;=70101,Y47&lt;=70301)</formula>
    </cfRule>
    <cfRule type="expression" dxfId="22569" priority="8653" stopIfTrue="1">
      <formula>AND(Y47&gt;70000,Y47&lt;70004)</formula>
    </cfRule>
    <cfRule type="expression" dxfId="22568" priority="8654" stopIfTrue="1">
      <formula>AND(Y47&gt;=70010,Y47&lt;=76000)</formula>
    </cfRule>
    <cfRule type="expression" dxfId="22567" priority="8655">
      <formula>AND(Y47&gt;70000,Y47&lt;70004)</formula>
    </cfRule>
    <cfRule type="expression" dxfId="22566" priority="8656" stopIfTrue="1">
      <formula>OR(AND(Y47&gt;=10000,Y47&lt;=56999),AND(Y47&gt;=57000,Y47&lt;=57999))</formula>
    </cfRule>
    <cfRule type="expression" dxfId="22565" priority="8657" stopIfTrue="1">
      <formula>AND(Y47&gt;=8000,Y47&lt;=9999)</formula>
    </cfRule>
    <cfRule type="expression" dxfId="22564" priority="8658" stopIfTrue="1">
      <formula>AND(Y47&gt;=78100,Y47&lt;=78199)</formula>
    </cfRule>
    <cfRule type="expression" dxfId="22563" priority="8659" stopIfTrue="1">
      <formula>AND(Y47&gt;=92000,Y47&lt;=98999)</formula>
    </cfRule>
    <cfRule type="expression" dxfId="22562" priority="8660" stopIfTrue="1">
      <formula>AND(Y47&gt;=78100,Y47&lt;=78199)</formula>
    </cfRule>
    <cfRule type="expression" dxfId="22561" priority="8661" stopIfTrue="1">
      <formula>AND(Y47&gt;=91000,Y47&lt;=91999)</formula>
    </cfRule>
  </conditionalFormatting>
  <conditionalFormatting sqref="X47">
    <cfRule type="expression" dxfId="22560" priority="8640">
      <formula>AND(Y47&gt;=79001,Y47&lt;79900)</formula>
    </cfRule>
    <cfRule type="expression" dxfId="22559" priority="8641" stopIfTrue="1">
      <formula>AND(Y47&gt;=70101,Y47&lt;=70301)</formula>
    </cfRule>
    <cfRule type="expression" dxfId="22558" priority="8642" stopIfTrue="1">
      <formula>AND(Y47&gt;70000,Y47&lt;70004)</formula>
    </cfRule>
    <cfRule type="expression" dxfId="22557" priority="8643" stopIfTrue="1">
      <formula>AND(Y47&gt;=70010,Y47&lt;=76000)</formula>
    </cfRule>
    <cfRule type="expression" dxfId="22556" priority="8644">
      <formula>AND(Y47&gt;70000,Y47&lt;70004)</formula>
    </cfRule>
    <cfRule type="expression" dxfId="22555" priority="8645" stopIfTrue="1">
      <formula>OR(AND(Y47&gt;=10000,Y47&lt;=56999),AND(Y47&gt;=57000,Y47&lt;=57999))</formula>
    </cfRule>
    <cfRule type="expression" dxfId="22554" priority="8646" stopIfTrue="1">
      <formula>AND(Y47&gt;=8000,Y47&lt;=9999)</formula>
    </cfRule>
    <cfRule type="expression" dxfId="22553" priority="8647" stopIfTrue="1">
      <formula>AND(Y47&gt;=78100,Y47&lt;=78199)</formula>
    </cfRule>
    <cfRule type="expression" dxfId="22552" priority="8648" stopIfTrue="1">
      <formula>AND(Y47&gt;=92000,Y47&lt;=98999)</formula>
    </cfRule>
    <cfRule type="expression" dxfId="22551" priority="8649" stopIfTrue="1">
      <formula>AND(Y47&gt;=78100,Y47&lt;=78199)</formula>
    </cfRule>
    <cfRule type="expression" dxfId="22550" priority="8650" stopIfTrue="1">
      <formula>AND(Y47&gt;=91000,Y47&lt;=91999)</formula>
    </cfRule>
  </conditionalFormatting>
  <conditionalFormatting sqref="X47">
    <cfRule type="expression" dxfId="22549" priority="8629">
      <formula>AND(Y47&gt;=79001,Y47&lt;79900)</formula>
    </cfRule>
    <cfRule type="expression" dxfId="22548" priority="8630" stopIfTrue="1">
      <formula>AND(Y47&gt;=70101,Y47&lt;=70301)</formula>
    </cfRule>
    <cfRule type="expression" dxfId="22547" priority="8631" stopIfTrue="1">
      <formula>AND(Y47&gt;70000,Y47&lt;70004)</formula>
    </cfRule>
    <cfRule type="expression" dxfId="22546" priority="8632" stopIfTrue="1">
      <formula>AND(Y47&gt;=70010,Y47&lt;=76000)</formula>
    </cfRule>
    <cfRule type="expression" dxfId="22545" priority="8633">
      <formula>AND(Y47&gt;70000,Y47&lt;70004)</formula>
    </cfRule>
    <cfRule type="expression" dxfId="22544" priority="8634" stopIfTrue="1">
      <formula>OR(AND(Y47&gt;=10000,Y47&lt;=56999),AND(Y47&gt;=57000,Y47&lt;=57999))</formula>
    </cfRule>
    <cfRule type="expression" dxfId="22543" priority="8635" stopIfTrue="1">
      <formula>AND(Y47&gt;=8000,Y47&lt;=9999)</formula>
    </cfRule>
    <cfRule type="expression" dxfId="22542" priority="8636" stopIfTrue="1">
      <formula>AND(Y47&gt;=78100,Y47&lt;=78199)</formula>
    </cfRule>
    <cfRule type="expression" dxfId="22541" priority="8637" stopIfTrue="1">
      <formula>AND(Y47&gt;=92000,Y47&lt;=98999)</formula>
    </cfRule>
    <cfRule type="expression" dxfId="22540" priority="8638" stopIfTrue="1">
      <formula>AND(Y47&gt;=78100,Y47&lt;=78199)</formula>
    </cfRule>
    <cfRule type="expression" dxfId="22539" priority="8639" stopIfTrue="1">
      <formula>AND(Y47&gt;=91000,Y47&lt;=91999)</formula>
    </cfRule>
  </conditionalFormatting>
  <conditionalFormatting sqref="AB47">
    <cfRule type="expression" dxfId="22538" priority="8618">
      <formula>AND(AC47&gt;=79001,AC47&lt;79900)</formula>
    </cfRule>
    <cfRule type="expression" dxfId="22537" priority="8619" stopIfTrue="1">
      <formula>AND(AC47&gt;=70101,AC47&lt;=70301)</formula>
    </cfRule>
    <cfRule type="expression" dxfId="22536" priority="8620" stopIfTrue="1">
      <formula>AND(AC47&gt;70000,AC47&lt;70004)</formula>
    </cfRule>
    <cfRule type="expression" dxfId="22535" priority="8621" stopIfTrue="1">
      <formula>AND(AC47&gt;=70010,AC47&lt;=76000)</formula>
    </cfRule>
    <cfRule type="expression" dxfId="22534" priority="8622">
      <formula>AND(AC47&gt;70000,AC47&lt;70004)</formula>
    </cfRule>
    <cfRule type="expression" dxfId="22533" priority="8623" stopIfTrue="1">
      <formula>OR(AND(AC47&gt;=10000,AC47&lt;=56999),AND(AC47&gt;=57000,AC47&lt;=57999))</formula>
    </cfRule>
    <cfRule type="expression" dxfId="22532" priority="8624" stopIfTrue="1">
      <formula>AND(AC47&gt;=8000,AC47&lt;=9999)</formula>
    </cfRule>
    <cfRule type="expression" dxfId="22531" priority="8625" stopIfTrue="1">
      <formula>AND(AC47&gt;=78100,AC47&lt;=78199)</formula>
    </cfRule>
    <cfRule type="expression" dxfId="22530" priority="8626" stopIfTrue="1">
      <formula>AND(AC47&gt;=92000,AC47&lt;=98999)</formula>
    </cfRule>
    <cfRule type="expression" dxfId="22529" priority="8627" stopIfTrue="1">
      <formula>AND(AC47&gt;=78100,AC47&lt;=78199)</formula>
    </cfRule>
    <cfRule type="expression" dxfId="22528" priority="8628" stopIfTrue="1">
      <formula>AND(AC47&gt;=91000,AC47&lt;=91999)</formula>
    </cfRule>
  </conditionalFormatting>
  <conditionalFormatting sqref="AB47">
    <cfRule type="expression" dxfId="22527" priority="8607">
      <formula>AND(AC47&gt;=79001,AC47&lt;79900)</formula>
    </cfRule>
    <cfRule type="expression" dxfId="22526" priority="8608" stopIfTrue="1">
      <formula>AND(AC47&gt;=70101,AC47&lt;=70301)</formula>
    </cfRule>
    <cfRule type="expression" dxfId="22525" priority="8609" stopIfTrue="1">
      <formula>AND(AC47&gt;70000,AC47&lt;70004)</formula>
    </cfRule>
    <cfRule type="expression" dxfId="22524" priority="8610" stopIfTrue="1">
      <formula>AND(AC47&gt;=70010,AC47&lt;=76000)</formula>
    </cfRule>
    <cfRule type="expression" dxfId="22523" priority="8611">
      <formula>AND(AC47&gt;70000,AC47&lt;70004)</formula>
    </cfRule>
    <cfRule type="expression" dxfId="22522" priority="8612" stopIfTrue="1">
      <formula>OR(AND(AC47&gt;=10000,AC47&lt;=56999),AND(AC47&gt;=57000,AC47&lt;=57999))</formula>
    </cfRule>
    <cfRule type="expression" dxfId="22521" priority="8613" stopIfTrue="1">
      <formula>AND(AC47&gt;=8000,AC47&lt;=9999)</formula>
    </cfRule>
    <cfRule type="expression" dxfId="22520" priority="8614" stopIfTrue="1">
      <formula>AND(AC47&gt;=78100,AC47&lt;=78199)</formula>
    </cfRule>
    <cfRule type="expression" dxfId="22519" priority="8615" stopIfTrue="1">
      <formula>AND(AC47&gt;=92000,AC47&lt;=98999)</formula>
    </cfRule>
    <cfRule type="expression" dxfId="22518" priority="8616" stopIfTrue="1">
      <formula>AND(AC47&gt;=78100,AC47&lt;=78199)</formula>
    </cfRule>
    <cfRule type="expression" dxfId="22517" priority="8617" stopIfTrue="1">
      <formula>AND(AC47&gt;=91000,AC47&lt;=91999)</formula>
    </cfRule>
  </conditionalFormatting>
  <conditionalFormatting sqref="AF47">
    <cfRule type="expression" dxfId="22516" priority="8596">
      <formula>AND(AG47&gt;=79001,AG47&lt;79900)</formula>
    </cfRule>
    <cfRule type="expression" dxfId="22515" priority="8597" stopIfTrue="1">
      <formula>AND(AG47&gt;=70101,AG47&lt;=70301)</formula>
    </cfRule>
    <cfRule type="expression" dxfId="22514" priority="8598" stopIfTrue="1">
      <formula>AND(AG47&gt;70000,AG47&lt;70004)</formula>
    </cfRule>
    <cfRule type="expression" dxfId="22513" priority="8599" stopIfTrue="1">
      <formula>AND(AG47&gt;=70010,AG47&lt;=76000)</formula>
    </cfRule>
    <cfRule type="expression" dxfId="22512" priority="8600">
      <formula>AND(AG47&gt;70000,AG47&lt;70004)</formula>
    </cfRule>
    <cfRule type="expression" dxfId="22511" priority="8601" stopIfTrue="1">
      <formula>OR(AND(AG47&gt;=10000,AG47&lt;=56999),AND(AG47&gt;=57000,AG47&lt;=57999))</formula>
    </cfRule>
    <cfRule type="expression" dxfId="22510" priority="8602" stopIfTrue="1">
      <formula>AND(AG47&gt;=8000,AG47&lt;=9999)</formula>
    </cfRule>
    <cfRule type="expression" dxfId="22509" priority="8603" stopIfTrue="1">
      <formula>AND(AG47&gt;=78100,AG47&lt;=78199)</formula>
    </cfRule>
    <cfRule type="expression" dxfId="22508" priority="8604" stopIfTrue="1">
      <formula>AND(AG47&gt;=92000,AG47&lt;=98999)</formula>
    </cfRule>
    <cfRule type="expression" dxfId="22507" priority="8605" stopIfTrue="1">
      <formula>AND(AG47&gt;=78100,AG47&lt;=78199)</formula>
    </cfRule>
    <cfRule type="expression" dxfId="22506" priority="8606" stopIfTrue="1">
      <formula>AND(AG47&gt;=91000,AG47&lt;=91999)</formula>
    </cfRule>
  </conditionalFormatting>
  <conditionalFormatting sqref="AJ47">
    <cfRule type="expression" dxfId="22505" priority="8585">
      <formula>AND(AK47&gt;=79001,AK47&lt;79900)</formula>
    </cfRule>
    <cfRule type="expression" dxfId="22504" priority="8586" stopIfTrue="1">
      <formula>AND(AK47&gt;=70101,AK47&lt;=70301)</formula>
    </cfRule>
    <cfRule type="expression" dxfId="22503" priority="8587" stopIfTrue="1">
      <formula>AND(AK47&gt;70000,AK47&lt;70004)</formula>
    </cfRule>
    <cfRule type="expression" dxfId="22502" priority="8588" stopIfTrue="1">
      <formula>AND(AK47&gt;=70010,AK47&lt;=76000)</formula>
    </cfRule>
    <cfRule type="expression" dxfId="22501" priority="8589">
      <formula>AND(AK47&gt;70000,AK47&lt;70004)</formula>
    </cfRule>
    <cfRule type="expression" dxfId="22500" priority="8590" stopIfTrue="1">
      <formula>OR(AND(AK47&gt;=10000,AK47&lt;=56999),AND(AK47&gt;=57000,AK47&lt;=57999))</formula>
    </cfRule>
    <cfRule type="expression" dxfId="22499" priority="8591" stopIfTrue="1">
      <formula>AND(AK47&gt;=8000,AK47&lt;=9999)</formula>
    </cfRule>
    <cfRule type="expression" dxfId="22498" priority="8592" stopIfTrue="1">
      <formula>AND(AK47&gt;=78100,AK47&lt;=78199)</formula>
    </cfRule>
    <cfRule type="expression" dxfId="22497" priority="8593" stopIfTrue="1">
      <formula>AND(AK47&gt;=92000,AK47&lt;=98999)</formula>
    </cfRule>
    <cfRule type="expression" dxfId="22496" priority="8594" stopIfTrue="1">
      <formula>AND(AK47&gt;=78100,AK47&lt;=78199)</formula>
    </cfRule>
    <cfRule type="expression" dxfId="22495" priority="8595" stopIfTrue="1">
      <formula>AND(AK47&gt;=91000,AK47&lt;=91999)</formula>
    </cfRule>
  </conditionalFormatting>
  <conditionalFormatting sqref="AF47">
    <cfRule type="expression" dxfId="22494" priority="8574">
      <formula>AND(AG47&gt;=79001,AG47&lt;79900)</formula>
    </cfRule>
    <cfRule type="expression" dxfId="22493" priority="8575" stopIfTrue="1">
      <formula>AND(AG47&gt;=70101,AG47&lt;=70301)</formula>
    </cfRule>
    <cfRule type="expression" dxfId="22492" priority="8576" stopIfTrue="1">
      <formula>AND(AG47&gt;70000,AG47&lt;70004)</formula>
    </cfRule>
    <cfRule type="expression" dxfId="22491" priority="8577" stopIfTrue="1">
      <formula>AND(AG47&gt;=70010,AG47&lt;=76000)</formula>
    </cfRule>
    <cfRule type="expression" dxfId="22490" priority="8578">
      <formula>AND(AG47&gt;70000,AG47&lt;70004)</formula>
    </cfRule>
    <cfRule type="expression" dxfId="22489" priority="8579" stopIfTrue="1">
      <formula>OR(AND(AG47&gt;=10000,AG47&lt;=56999),AND(AG47&gt;=57000,AG47&lt;=57999))</formula>
    </cfRule>
    <cfRule type="expression" dxfId="22488" priority="8580" stopIfTrue="1">
      <formula>AND(AG47&gt;=8000,AG47&lt;=9999)</formula>
    </cfRule>
    <cfRule type="expression" dxfId="22487" priority="8581" stopIfTrue="1">
      <formula>AND(AG47&gt;=78100,AG47&lt;=78199)</formula>
    </cfRule>
    <cfRule type="expression" dxfId="22486" priority="8582" stopIfTrue="1">
      <formula>AND(AG47&gt;=92000,AG47&lt;=98999)</formula>
    </cfRule>
    <cfRule type="expression" dxfId="22485" priority="8583" stopIfTrue="1">
      <formula>AND(AG47&gt;=78100,AG47&lt;=78199)</formula>
    </cfRule>
    <cfRule type="expression" dxfId="22484" priority="8584" stopIfTrue="1">
      <formula>AND(AG47&gt;=91000,AG47&lt;=91999)</formula>
    </cfRule>
  </conditionalFormatting>
  <conditionalFormatting sqref="AJ47">
    <cfRule type="expression" dxfId="22483" priority="8563">
      <formula>AND(AK47&gt;=79001,AK47&lt;79900)</formula>
    </cfRule>
    <cfRule type="expression" dxfId="22482" priority="8564" stopIfTrue="1">
      <formula>AND(AK47&gt;=70101,AK47&lt;=70301)</formula>
    </cfRule>
    <cfRule type="expression" dxfId="22481" priority="8565" stopIfTrue="1">
      <formula>AND(AK47&gt;70000,AK47&lt;70004)</formula>
    </cfRule>
    <cfRule type="expression" dxfId="22480" priority="8566" stopIfTrue="1">
      <formula>AND(AK47&gt;=70010,AK47&lt;=76000)</formula>
    </cfRule>
    <cfRule type="expression" dxfId="22479" priority="8567">
      <formula>AND(AK47&gt;70000,AK47&lt;70004)</formula>
    </cfRule>
    <cfRule type="expression" dxfId="22478" priority="8568" stopIfTrue="1">
      <formula>OR(AND(AK47&gt;=10000,AK47&lt;=56999),AND(AK47&gt;=57000,AK47&lt;=57999))</formula>
    </cfRule>
    <cfRule type="expression" dxfId="22477" priority="8569" stopIfTrue="1">
      <formula>AND(AK47&gt;=8000,AK47&lt;=9999)</formula>
    </cfRule>
    <cfRule type="expression" dxfId="22476" priority="8570" stopIfTrue="1">
      <formula>AND(AK47&gt;=78100,AK47&lt;=78199)</formula>
    </cfRule>
    <cfRule type="expression" dxfId="22475" priority="8571" stopIfTrue="1">
      <formula>AND(AK47&gt;=92000,AK47&lt;=98999)</formula>
    </cfRule>
    <cfRule type="expression" dxfId="22474" priority="8572" stopIfTrue="1">
      <formula>AND(AK47&gt;=78100,AK47&lt;=78199)</formula>
    </cfRule>
    <cfRule type="expression" dxfId="22473" priority="8573" stopIfTrue="1">
      <formula>AND(AK47&gt;=91000,AK47&lt;=91999)</formula>
    </cfRule>
  </conditionalFormatting>
  <conditionalFormatting sqref="AM47">
    <cfRule type="colorScale" priority="8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47">
    <cfRule type="colorScale" priority="8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7">
    <cfRule type="colorScale" priority="8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47">
    <cfRule type="colorScale" priority="8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7">
    <cfRule type="colorScale" priority="8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7">
    <cfRule type="colorScale" priority="8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7">
    <cfRule type="expression" dxfId="22472" priority="8546">
      <formula>AND(U47&gt;=79001,U47&lt;79900)</formula>
    </cfRule>
    <cfRule type="expression" dxfId="22471" priority="8547" stopIfTrue="1">
      <formula>AND(U47&gt;=70101,U47&lt;=70301)</formula>
    </cfRule>
    <cfRule type="expression" dxfId="22470" priority="8548" stopIfTrue="1">
      <formula>AND(U47&gt;70000,U47&lt;70004)</formula>
    </cfRule>
    <cfRule type="expression" dxfId="22469" priority="8549" stopIfTrue="1">
      <formula>AND(U47&gt;=70010,U47&lt;=76000)</formula>
    </cfRule>
    <cfRule type="expression" dxfId="22468" priority="8550">
      <formula>AND(U47&gt;70000,U47&lt;70004)</formula>
    </cfRule>
    <cfRule type="expression" dxfId="22467" priority="8551" stopIfTrue="1">
      <formula>OR(AND(U47&gt;=10000,U47&lt;=56999),AND(U47&gt;=57000,U47&lt;=57999))</formula>
    </cfRule>
    <cfRule type="expression" dxfId="22466" priority="8552" stopIfTrue="1">
      <formula>AND(U47&gt;=8000,U47&lt;=9999)</formula>
    </cfRule>
    <cfRule type="expression" dxfId="22465" priority="8553" stopIfTrue="1">
      <formula>AND(U47&gt;=78100,U47&lt;=78199)</formula>
    </cfRule>
    <cfRule type="expression" dxfId="22464" priority="8554" stopIfTrue="1">
      <formula>AND(U47&gt;=92000,U47&lt;=98999)</formula>
    </cfRule>
    <cfRule type="expression" dxfId="22463" priority="8555" stopIfTrue="1">
      <formula>AND(U47&gt;=78100,U47&lt;=78199)</formula>
    </cfRule>
    <cfRule type="expression" dxfId="22462" priority="8556" stopIfTrue="1">
      <formula>AND(U47&gt;=91000,U47&lt;=91999)</formula>
    </cfRule>
  </conditionalFormatting>
  <conditionalFormatting sqref="T47">
    <cfRule type="expression" dxfId="22461" priority="8535">
      <formula>AND(U47&gt;=79001,U47&lt;79900)</formula>
    </cfRule>
    <cfRule type="expression" dxfId="22460" priority="8536" stopIfTrue="1">
      <formula>AND(U47&gt;=70101,U47&lt;=70301)</formula>
    </cfRule>
    <cfRule type="expression" dxfId="22459" priority="8537" stopIfTrue="1">
      <formula>AND(U47&gt;70000,U47&lt;70004)</formula>
    </cfRule>
    <cfRule type="expression" dxfId="22458" priority="8538" stopIfTrue="1">
      <formula>AND(U47&gt;=70010,U47&lt;=76000)</formula>
    </cfRule>
    <cfRule type="expression" dxfId="22457" priority="8539">
      <formula>AND(U47&gt;70000,U47&lt;70004)</formula>
    </cfRule>
    <cfRule type="expression" dxfId="22456" priority="8540" stopIfTrue="1">
      <formula>OR(AND(U47&gt;=10000,U47&lt;=56999),AND(U47&gt;=57000,U47&lt;=57999))</formula>
    </cfRule>
    <cfRule type="expression" dxfId="22455" priority="8541" stopIfTrue="1">
      <formula>AND(U47&gt;=8000,U47&lt;=9999)</formula>
    </cfRule>
    <cfRule type="expression" dxfId="22454" priority="8542" stopIfTrue="1">
      <formula>AND(U47&gt;=78100,U47&lt;=78199)</formula>
    </cfRule>
    <cfRule type="expression" dxfId="22453" priority="8543" stopIfTrue="1">
      <formula>AND(U47&gt;=92000,U47&lt;=98999)</formula>
    </cfRule>
    <cfRule type="expression" dxfId="22452" priority="8544" stopIfTrue="1">
      <formula>AND(U47&gt;=78100,U47&lt;=78199)</formula>
    </cfRule>
    <cfRule type="expression" dxfId="22451" priority="8545" stopIfTrue="1">
      <formula>AND(U47&gt;=91000,U47&lt;=91999)</formula>
    </cfRule>
  </conditionalFormatting>
  <conditionalFormatting sqref="T47">
    <cfRule type="expression" dxfId="22450" priority="8524">
      <formula>AND(U47&gt;=79001,U47&lt;79900)</formula>
    </cfRule>
    <cfRule type="expression" dxfId="22449" priority="8525" stopIfTrue="1">
      <formula>AND(U47&gt;=70101,U47&lt;=70301)</formula>
    </cfRule>
    <cfRule type="expression" dxfId="22448" priority="8526" stopIfTrue="1">
      <formula>AND(U47&gt;70000,U47&lt;70004)</formula>
    </cfRule>
    <cfRule type="expression" dxfId="22447" priority="8527" stopIfTrue="1">
      <formula>AND(U47&gt;=70010,U47&lt;=76000)</formula>
    </cfRule>
    <cfRule type="expression" dxfId="22446" priority="8528">
      <formula>AND(U47&gt;70000,U47&lt;70004)</formula>
    </cfRule>
    <cfRule type="expression" dxfId="22445" priority="8529" stopIfTrue="1">
      <formula>OR(AND(U47&gt;=10000,U47&lt;=56999),AND(U47&gt;=57000,U47&lt;=57999))</formula>
    </cfRule>
    <cfRule type="expression" dxfId="22444" priority="8530" stopIfTrue="1">
      <formula>AND(U47&gt;=8000,U47&lt;=9999)</formula>
    </cfRule>
    <cfRule type="expression" dxfId="22443" priority="8531" stopIfTrue="1">
      <formula>AND(U47&gt;=78100,U47&lt;=78199)</formula>
    </cfRule>
    <cfRule type="expression" dxfId="22442" priority="8532" stopIfTrue="1">
      <formula>AND(U47&gt;=92000,U47&lt;=98999)</formula>
    </cfRule>
    <cfRule type="expression" dxfId="22441" priority="8533" stopIfTrue="1">
      <formula>AND(U47&gt;=78100,U47&lt;=78199)</formula>
    </cfRule>
    <cfRule type="expression" dxfId="22440" priority="8534" stopIfTrue="1">
      <formula>AND(U47&gt;=91000,U47&lt;=91999)</formula>
    </cfRule>
  </conditionalFormatting>
  <conditionalFormatting sqref="T47">
    <cfRule type="expression" dxfId="22439" priority="8513">
      <formula>AND(U47&gt;=79001,U47&lt;79900)</formula>
    </cfRule>
    <cfRule type="expression" dxfId="22438" priority="8514" stopIfTrue="1">
      <formula>AND(U47&gt;=70101,U47&lt;=70301)</formula>
    </cfRule>
    <cfRule type="expression" dxfId="22437" priority="8515" stopIfTrue="1">
      <formula>AND(U47&gt;70000,U47&lt;70004)</formula>
    </cfRule>
    <cfRule type="expression" dxfId="22436" priority="8516" stopIfTrue="1">
      <formula>AND(U47&gt;=70010,U47&lt;=76000)</formula>
    </cfRule>
    <cfRule type="expression" dxfId="22435" priority="8517">
      <formula>AND(U47&gt;70000,U47&lt;70004)</formula>
    </cfRule>
    <cfRule type="expression" dxfId="22434" priority="8518" stopIfTrue="1">
      <formula>OR(AND(U47&gt;=10000,U47&lt;=56999),AND(U47&gt;=57000,U47&lt;=57999))</formula>
    </cfRule>
    <cfRule type="expression" dxfId="22433" priority="8519" stopIfTrue="1">
      <formula>AND(U47&gt;=8000,U47&lt;=9999)</formula>
    </cfRule>
    <cfRule type="expression" dxfId="22432" priority="8520" stopIfTrue="1">
      <formula>AND(U47&gt;=78100,U47&lt;=78199)</formula>
    </cfRule>
    <cfRule type="expression" dxfId="22431" priority="8521" stopIfTrue="1">
      <formula>AND(U47&gt;=92000,U47&lt;=98999)</formula>
    </cfRule>
    <cfRule type="expression" dxfId="22430" priority="8522" stopIfTrue="1">
      <formula>AND(U47&gt;=78100,U47&lt;=78199)</formula>
    </cfRule>
    <cfRule type="expression" dxfId="22429" priority="8523" stopIfTrue="1">
      <formula>AND(U47&gt;=91000,U47&lt;=91999)</formula>
    </cfRule>
  </conditionalFormatting>
  <conditionalFormatting sqref="AJ61:AK61 AM61">
    <cfRule type="expression" dxfId="22428" priority="8502">
      <formula>AND(AK61&gt;=79001,AK61&lt;79900)</formula>
    </cfRule>
    <cfRule type="expression" dxfId="22427" priority="8503" stopIfTrue="1">
      <formula>AND(AK61&gt;=70101,AK61&lt;=70301)</formula>
    </cfRule>
    <cfRule type="expression" dxfId="22426" priority="8504" stopIfTrue="1">
      <formula>AND(AK61&gt;70000,AK61&lt;70004)</formula>
    </cfRule>
    <cfRule type="expression" dxfId="22425" priority="8505" stopIfTrue="1">
      <formula>AND(AK61&gt;=70010,AK61&lt;=76000)</formula>
    </cfRule>
    <cfRule type="expression" dxfId="22424" priority="8506">
      <formula>AND(AK61&gt;70000,AK61&lt;70004)</formula>
    </cfRule>
    <cfRule type="expression" dxfId="22423" priority="8507" stopIfTrue="1">
      <formula>OR(AND(AK61&gt;=10000,AK61&lt;=56999),AND(AK61&gt;=57000,AK61&lt;=57999))</formula>
    </cfRule>
    <cfRule type="expression" dxfId="22422" priority="8508" stopIfTrue="1">
      <formula>AND(AK61&gt;=8000,AK61&lt;=9999)</formula>
    </cfRule>
    <cfRule type="expression" dxfId="22421" priority="8509" stopIfTrue="1">
      <formula>AND(AK61&gt;=78100,AK61&lt;=78199)</formula>
    </cfRule>
    <cfRule type="expression" dxfId="22420" priority="8510" stopIfTrue="1">
      <formula>AND(AK61&gt;=92000,AK61&lt;=98999)</formula>
    </cfRule>
    <cfRule type="expression" dxfId="22419" priority="8511" stopIfTrue="1">
      <formula>AND(AK61&gt;=78100,AK61&lt;=78199)</formula>
    </cfRule>
    <cfRule type="expression" dxfId="22418" priority="8512" stopIfTrue="1">
      <formula>AND(AK61&gt;=91000,AK61&lt;=91999)</formula>
    </cfRule>
  </conditionalFormatting>
  <conditionalFormatting sqref="AJ61:AK61 AM61">
    <cfRule type="expression" dxfId="22417" priority="8491">
      <formula>AND(AK61&gt;=79001,AK61&lt;79900)</formula>
    </cfRule>
    <cfRule type="expression" dxfId="22416" priority="8492" stopIfTrue="1">
      <formula>AND(AK61&gt;=70101,AK61&lt;=70301)</formula>
    </cfRule>
    <cfRule type="expression" dxfId="22415" priority="8493" stopIfTrue="1">
      <formula>AND(AK61&gt;70000,AK61&lt;70004)</formula>
    </cfRule>
    <cfRule type="expression" dxfId="22414" priority="8494" stopIfTrue="1">
      <formula>AND(AK61&gt;=70010,AK61&lt;=76000)</formula>
    </cfRule>
    <cfRule type="expression" dxfId="22413" priority="8495">
      <formula>AND(AK61&gt;70000,AK61&lt;70004)</formula>
    </cfRule>
    <cfRule type="expression" dxfId="22412" priority="8496" stopIfTrue="1">
      <formula>OR(AND(AK61&gt;=10000,AK61&lt;=56999),AND(AK61&gt;=57000,AK61&lt;=57999))</formula>
    </cfRule>
    <cfRule type="expression" dxfId="22411" priority="8497" stopIfTrue="1">
      <formula>AND(AK61&gt;=8000,AK61&lt;=9999)</formula>
    </cfRule>
    <cfRule type="expression" dxfId="22410" priority="8498" stopIfTrue="1">
      <formula>AND(AK61&gt;=78100,AK61&lt;=78199)</formula>
    </cfRule>
    <cfRule type="expression" dxfId="22409" priority="8499" stopIfTrue="1">
      <formula>AND(AK61&gt;=92000,AK61&lt;=98999)</formula>
    </cfRule>
    <cfRule type="expression" dxfId="22408" priority="8500" stopIfTrue="1">
      <formula>AND(AK61&gt;=78100,AK61&lt;=78199)</formula>
    </cfRule>
    <cfRule type="expression" dxfId="22407" priority="8501" stopIfTrue="1">
      <formula>AND(AK61&gt;=91000,AK61&lt;=91999)</formula>
    </cfRule>
  </conditionalFormatting>
  <conditionalFormatting sqref="AJ61:AK61 AM61">
    <cfRule type="expression" dxfId="22406" priority="8480">
      <formula>AND(AK61&gt;=79001,AK61&lt;79900)</formula>
    </cfRule>
    <cfRule type="expression" dxfId="22405" priority="8481" stopIfTrue="1">
      <formula>AND(AK61&gt;=70101,AK61&lt;=70301)</formula>
    </cfRule>
    <cfRule type="expression" dxfId="22404" priority="8482" stopIfTrue="1">
      <formula>AND(AK61&gt;70000,AK61&lt;70004)</formula>
    </cfRule>
    <cfRule type="expression" dxfId="22403" priority="8483" stopIfTrue="1">
      <formula>AND(AK61&gt;=70010,AK61&lt;=76000)</formula>
    </cfRule>
    <cfRule type="expression" dxfId="22402" priority="8484">
      <formula>AND(AK61&gt;70000,AK61&lt;70004)</formula>
    </cfRule>
    <cfRule type="expression" dxfId="22401" priority="8485" stopIfTrue="1">
      <formula>OR(AND(AK61&gt;=10000,AK61&lt;=56999),AND(AK61&gt;=57000,AK61&lt;=57999))</formula>
    </cfRule>
    <cfRule type="expression" dxfId="22400" priority="8486" stopIfTrue="1">
      <formula>AND(AK61&gt;=8000,AK61&lt;=9999)</formula>
    </cfRule>
    <cfRule type="expression" dxfId="22399" priority="8487" stopIfTrue="1">
      <formula>AND(AK61&gt;=78100,AK61&lt;=78199)</formula>
    </cfRule>
    <cfRule type="expression" dxfId="22398" priority="8488" stopIfTrue="1">
      <formula>AND(AK61&gt;=92000,AK61&lt;=98999)</formula>
    </cfRule>
    <cfRule type="expression" dxfId="22397" priority="8489" stopIfTrue="1">
      <formula>AND(AK61&gt;=78100,AK61&lt;=78199)</formula>
    </cfRule>
    <cfRule type="expression" dxfId="22396" priority="8490" stopIfTrue="1">
      <formula>AND(AK61&gt;=91000,AK61&lt;=91999)</formula>
    </cfRule>
  </conditionalFormatting>
  <conditionalFormatting sqref="AJ61:AK61 AM61">
    <cfRule type="expression" dxfId="22395" priority="8469">
      <formula>AND(AK61&gt;=79001,AK61&lt;79900)</formula>
    </cfRule>
    <cfRule type="expression" dxfId="22394" priority="8470" stopIfTrue="1">
      <formula>AND(AK61&gt;=70101,AK61&lt;=70301)</formula>
    </cfRule>
    <cfRule type="expression" dxfId="22393" priority="8471" stopIfTrue="1">
      <formula>AND(AK61&gt;70000,AK61&lt;70004)</formula>
    </cfRule>
    <cfRule type="expression" dxfId="22392" priority="8472" stopIfTrue="1">
      <formula>AND(AK61&gt;=70010,AK61&lt;=76000)</formula>
    </cfRule>
    <cfRule type="expression" dxfId="22391" priority="8473">
      <formula>AND(AK61&gt;70000,AK61&lt;70004)</formula>
    </cfRule>
    <cfRule type="expression" dxfId="22390" priority="8474" stopIfTrue="1">
      <formula>OR(AND(AK61&gt;=10000,AK61&lt;=56999),AND(AK61&gt;=57000,AK61&lt;=57999))</formula>
    </cfRule>
    <cfRule type="expression" dxfId="22389" priority="8475" stopIfTrue="1">
      <formula>AND(AK61&gt;=8000,AK61&lt;=9999)</formula>
    </cfRule>
    <cfRule type="expression" dxfId="22388" priority="8476" stopIfTrue="1">
      <formula>AND(AK61&gt;=78100,AK61&lt;=78199)</formula>
    </cfRule>
    <cfRule type="expression" dxfId="22387" priority="8477" stopIfTrue="1">
      <formula>AND(AK61&gt;=92000,AK61&lt;=98999)</formula>
    </cfRule>
    <cfRule type="expression" dxfId="22386" priority="8478" stopIfTrue="1">
      <formula>AND(AK61&gt;=78100,AK61&lt;=78199)</formula>
    </cfRule>
    <cfRule type="expression" dxfId="22385" priority="8479" stopIfTrue="1">
      <formula>AND(AK61&gt;=91000,AK61&lt;=91999)</formula>
    </cfRule>
  </conditionalFormatting>
  <conditionalFormatting sqref="T49">
    <cfRule type="expression" dxfId="22384" priority="8458">
      <formula>AND(U49&gt;=79001,U49&lt;79900)</formula>
    </cfRule>
    <cfRule type="expression" dxfId="22383" priority="8459" stopIfTrue="1">
      <formula>AND(U49&gt;=70101,U49&lt;=70301)</formula>
    </cfRule>
    <cfRule type="expression" dxfId="22382" priority="8460" stopIfTrue="1">
      <formula>AND(U49&gt;70000,U49&lt;70004)</formula>
    </cfRule>
    <cfRule type="expression" dxfId="22381" priority="8461" stopIfTrue="1">
      <formula>AND(U49&gt;=70010,U49&lt;=76000)</formula>
    </cfRule>
    <cfRule type="expression" dxfId="22380" priority="8462">
      <formula>AND(U49&gt;70000,U49&lt;70004)</formula>
    </cfRule>
    <cfRule type="expression" dxfId="22379" priority="8463" stopIfTrue="1">
      <formula>OR(AND(U49&gt;=10000,U49&lt;=56999),AND(U49&gt;=57000,U49&lt;=57999))</formula>
    </cfRule>
    <cfRule type="expression" dxfId="22378" priority="8464" stopIfTrue="1">
      <formula>AND(U49&gt;=8000,U49&lt;=9999)</formula>
    </cfRule>
    <cfRule type="expression" dxfId="22377" priority="8465" stopIfTrue="1">
      <formula>AND(U49&gt;=78100,U49&lt;=78199)</formula>
    </cfRule>
    <cfRule type="expression" dxfId="22376" priority="8466" stopIfTrue="1">
      <formula>AND(U49&gt;=92000,U49&lt;=98999)</formula>
    </cfRule>
    <cfRule type="expression" dxfId="22375" priority="8467" stopIfTrue="1">
      <formula>AND(U49&gt;=78100,U49&lt;=78199)</formula>
    </cfRule>
    <cfRule type="expression" dxfId="22374" priority="8468" stopIfTrue="1">
      <formula>AND(U49&gt;=91000,U49&lt;=91999)</formula>
    </cfRule>
  </conditionalFormatting>
  <conditionalFormatting sqref="T49">
    <cfRule type="expression" dxfId="22373" priority="8447">
      <formula>AND(U49&gt;=79001,U49&lt;79900)</formula>
    </cfRule>
    <cfRule type="expression" dxfId="22372" priority="8448" stopIfTrue="1">
      <formula>AND(U49&gt;=70101,U49&lt;=70301)</formula>
    </cfRule>
    <cfRule type="expression" dxfId="22371" priority="8449" stopIfTrue="1">
      <formula>AND(U49&gt;70000,U49&lt;70004)</formula>
    </cfRule>
    <cfRule type="expression" dxfId="22370" priority="8450" stopIfTrue="1">
      <formula>AND(U49&gt;=70010,U49&lt;=76000)</formula>
    </cfRule>
    <cfRule type="expression" dxfId="22369" priority="8451">
      <formula>AND(U49&gt;70000,U49&lt;70004)</formula>
    </cfRule>
    <cfRule type="expression" dxfId="22368" priority="8452" stopIfTrue="1">
      <formula>OR(AND(U49&gt;=10000,U49&lt;=56999),AND(U49&gt;=57000,U49&lt;=57999))</formula>
    </cfRule>
    <cfRule type="expression" dxfId="22367" priority="8453" stopIfTrue="1">
      <formula>AND(U49&gt;=8000,U49&lt;=9999)</formula>
    </cfRule>
    <cfRule type="expression" dxfId="22366" priority="8454" stopIfTrue="1">
      <formula>AND(U49&gt;=78100,U49&lt;=78199)</formula>
    </cfRule>
    <cfRule type="expression" dxfId="22365" priority="8455" stopIfTrue="1">
      <formula>AND(U49&gt;=92000,U49&lt;=98999)</formula>
    </cfRule>
    <cfRule type="expression" dxfId="22364" priority="8456" stopIfTrue="1">
      <formula>AND(U49&gt;=78100,U49&lt;=78199)</formula>
    </cfRule>
    <cfRule type="expression" dxfId="22363" priority="8457" stopIfTrue="1">
      <formula>AND(U49&gt;=91000,U49&lt;=91999)</formula>
    </cfRule>
  </conditionalFormatting>
  <conditionalFormatting sqref="T49">
    <cfRule type="expression" dxfId="22362" priority="8436">
      <formula>AND(U49&gt;=79001,U49&lt;79900)</formula>
    </cfRule>
    <cfRule type="expression" dxfId="22361" priority="8437" stopIfTrue="1">
      <formula>AND(U49&gt;=70101,U49&lt;=70301)</formula>
    </cfRule>
    <cfRule type="expression" dxfId="22360" priority="8438" stopIfTrue="1">
      <formula>AND(U49&gt;70000,U49&lt;70004)</formula>
    </cfRule>
    <cfRule type="expression" dxfId="22359" priority="8439" stopIfTrue="1">
      <formula>AND(U49&gt;=70010,U49&lt;=76000)</formula>
    </cfRule>
    <cfRule type="expression" dxfId="22358" priority="8440">
      <formula>AND(U49&gt;70000,U49&lt;70004)</formula>
    </cfRule>
    <cfRule type="expression" dxfId="22357" priority="8441" stopIfTrue="1">
      <formula>OR(AND(U49&gt;=10000,U49&lt;=56999),AND(U49&gt;=57000,U49&lt;=57999))</formula>
    </cfRule>
    <cfRule type="expression" dxfId="22356" priority="8442" stopIfTrue="1">
      <formula>AND(U49&gt;=8000,U49&lt;=9999)</formula>
    </cfRule>
    <cfRule type="expression" dxfId="22355" priority="8443" stopIfTrue="1">
      <formula>AND(U49&gt;=78100,U49&lt;=78199)</formula>
    </cfRule>
    <cfRule type="expression" dxfId="22354" priority="8444" stopIfTrue="1">
      <formula>AND(U49&gt;=92000,U49&lt;=98999)</formula>
    </cfRule>
    <cfRule type="expression" dxfId="22353" priority="8445" stopIfTrue="1">
      <formula>AND(U49&gt;=78100,U49&lt;=78199)</formula>
    </cfRule>
    <cfRule type="expression" dxfId="22352" priority="8446" stopIfTrue="1">
      <formula>AND(U49&gt;=91000,U49&lt;=91999)</formula>
    </cfRule>
  </conditionalFormatting>
  <conditionalFormatting sqref="T49">
    <cfRule type="expression" dxfId="22351" priority="8425">
      <formula>AND(U49&gt;=79001,U49&lt;79900)</formula>
    </cfRule>
    <cfRule type="expression" dxfId="22350" priority="8426" stopIfTrue="1">
      <formula>AND(U49&gt;=70101,U49&lt;=70301)</formula>
    </cfRule>
    <cfRule type="expression" dxfId="22349" priority="8427" stopIfTrue="1">
      <formula>AND(U49&gt;70000,U49&lt;70004)</formula>
    </cfRule>
    <cfRule type="expression" dxfId="22348" priority="8428" stopIfTrue="1">
      <formula>AND(U49&gt;=70010,U49&lt;=76000)</formula>
    </cfRule>
    <cfRule type="expression" dxfId="22347" priority="8429">
      <formula>AND(U49&gt;70000,U49&lt;70004)</formula>
    </cfRule>
    <cfRule type="expression" dxfId="22346" priority="8430" stopIfTrue="1">
      <formula>OR(AND(U49&gt;=10000,U49&lt;=56999),AND(U49&gt;=57000,U49&lt;=57999))</formula>
    </cfRule>
    <cfRule type="expression" dxfId="22345" priority="8431" stopIfTrue="1">
      <formula>AND(U49&gt;=8000,U49&lt;=9999)</formula>
    </cfRule>
    <cfRule type="expression" dxfId="22344" priority="8432" stopIfTrue="1">
      <formula>AND(U49&gt;=78100,U49&lt;=78199)</formula>
    </cfRule>
    <cfRule type="expression" dxfId="22343" priority="8433" stopIfTrue="1">
      <formula>AND(U49&gt;=92000,U49&lt;=98999)</formula>
    </cfRule>
    <cfRule type="expression" dxfId="22342" priority="8434" stopIfTrue="1">
      <formula>AND(U49&gt;=78100,U49&lt;=78199)</formula>
    </cfRule>
    <cfRule type="expression" dxfId="22341" priority="8435" stopIfTrue="1">
      <formula>AND(U49&gt;=91000,U49&lt;=91999)</formula>
    </cfRule>
  </conditionalFormatting>
  <conditionalFormatting sqref="T58">
    <cfRule type="expression" dxfId="22340" priority="8414">
      <formula>AND(U58&gt;=79001,U58&lt;79900)</formula>
    </cfRule>
    <cfRule type="expression" dxfId="22339" priority="8415" stopIfTrue="1">
      <formula>AND(U58&gt;=70101,U58&lt;=70301)</formula>
    </cfRule>
    <cfRule type="expression" dxfId="22338" priority="8416" stopIfTrue="1">
      <formula>AND(U58&gt;70000,U58&lt;70004)</formula>
    </cfRule>
    <cfRule type="expression" dxfId="22337" priority="8417" stopIfTrue="1">
      <formula>AND(U58&gt;=70010,U58&lt;=76000)</formula>
    </cfRule>
    <cfRule type="expression" dxfId="22336" priority="8418">
      <formula>AND(U58&gt;70000,U58&lt;70004)</formula>
    </cfRule>
    <cfRule type="expression" dxfId="22335" priority="8419" stopIfTrue="1">
      <formula>OR(AND(U58&gt;=10000,U58&lt;=56999),AND(U58&gt;=57000,U58&lt;=57999))</formula>
    </cfRule>
    <cfRule type="expression" dxfId="22334" priority="8420" stopIfTrue="1">
      <formula>AND(U58&gt;=8000,U58&lt;=9999)</formula>
    </cfRule>
    <cfRule type="expression" dxfId="22333" priority="8421" stopIfTrue="1">
      <formula>AND(U58&gt;=78100,U58&lt;=78199)</formula>
    </cfRule>
    <cfRule type="expression" dxfId="22332" priority="8422" stopIfTrue="1">
      <formula>AND(U58&gt;=92000,U58&lt;=98999)</formula>
    </cfRule>
    <cfRule type="expression" dxfId="22331" priority="8423" stopIfTrue="1">
      <formula>AND(U58&gt;=78100,U58&lt;=78199)</formula>
    </cfRule>
    <cfRule type="expression" dxfId="22330" priority="8424" stopIfTrue="1">
      <formula>AND(U58&gt;=91000,U58&lt;=91999)</formula>
    </cfRule>
  </conditionalFormatting>
  <conditionalFormatting sqref="T58">
    <cfRule type="expression" dxfId="22329" priority="8403">
      <formula>AND(U58&gt;=79001,U58&lt;79900)</formula>
    </cfRule>
    <cfRule type="expression" dxfId="22328" priority="8404" stopIfTrue="1">
      <formula>AND(U58&gt;=70101,U58&lt;=70301)</formula>
    </cfRule>
    <cfRule type="expression" dxfId="22327" priority="8405" stopIfTrue="1">
      <formula>AND(U58&gt;70000,U58&lt;70004)</formula>
    </cfRule>
    <cfRule type="expression" dxfId="22326" priority="8406" stopIfTrue="1">
      <formula>AND(U58&gt;=70010,U58&lt;=76000)</formula>
    </cfRule>
    <cfRule type="expression" dxfId="22325" priority="8407">
      <formula>AND(U58&gt;70000,U58&lt;70004)</formula>
    </cfRule>
    <cfRule type="expression" dxfId="22324" priority="8408" stopIfTrue="1">
      <formula>OR(AND(U58&gt;=10000,U58&lt;=56999),AND(U58&gt;=57000,U58&lt;=57999))</formula>
    </cfRule>
    <cfRule type="expression" dxfId="22323" priority="8409" stopIfTrue="1">
      <formula>AND(U58&gt;=8000,U58&lt;=9999)</formula>
    </cfRule>
    <cfRule type="expression" dxfId="22322" priority="8410" stopIfTrue="1">
      <formula>AND(U58&gt;=78100,U58&lt;=78199)</formula>
    </cfRule>
    <cfRule type="expression" dxfId="22321" priority="8411" stopIfTrue="1">
      <formula>AND(U58&gt;=92000,U58&lt;=98999)</formula>
    </cfRule>
    <cfRule type="expression" dxfId="22320" priority="8412" stopIfTrue="1">
      <formula>AND(U58&gt;=78100,U58&lt;=78199)</formula>
    </cfRule>
    <cfRule type="expression" dxfId="22319" priority="8413" stopIfTrue="1">
      <formula>AND(U58&gt;=91000,U58&lt;=91999)</formula>
    </cfRule>
  </conditionalFormatting>
  <conditionalFormatting sqref="T58">
    <cfRule type="expression" dxfId="22318" priority="8392">
      <formula>AND(U58&gt;=79001,U58&lt;79900)</formula>
    </cfRule>
    <cfRule type="expression" dxfId="22317" priority="8393" stopIfTrue="1">
      <formula>AND(U58&gt;=70101,U58&lt;=70301)</formula>
    </cfRule>
    <cfRule type="expression" dxfId="22316" priority="8394" stopIfTrue="1">
      <formula>AND(U58&gt;70000,U58&lt;70004)</formula>
    </cfRule>
    <cfRule type="expression" dxfId="22315" priority="8395" stopIfTrue="1">
      <formula>AND(U58&gt;=70010,U58&lt;=76000)</formula>
    </cfRule>
    <cfRule type="expression" dxfId="22314" priority="8396">
      <formula>AND(U58&gt;70000,U58&lt;70004)</formula>
    </cfRule>
    <cfRule type="expression" dxfId="22313" priority="8397" stopIfTrue="1">
      <formula>OR(AND(U58&gt;=10000,U58&lt;=56999),AND(U58&gt;=57000,U58&lt;=57999))</formula>
    </cfRule>
    <cfRule type="expression" dxfId="22312" priority="8398" stopIfTrue="1">
      <formula>AND(U58&gt;=8000,U58&lt;=9999)</formula>
    </cfRule>
    <cfRule type="expression" dxfId="22311" priority="8399" stopIfTrue="1">
      <formula>AND(U58&gt;=78100,U58&lt;=78199)</formula>
    </cfRule>
    <cfRule type="expression" dxfId="22310" priority="8400" stopIfTrue="1">
      <formula>AND(U58&gt;=92000,U58&lt;=98999)</formula>
    </cfRule>
    <cfRule type="expression" dxfId="22309" priority="8401" stopIfTrue="1">
      <formula>AND(U58&gt;=78100,U58&lt;=78199)</formula>
    </cfRule>
    <cfRule type="expression" dxfId="22308" priority="8402" stopIfTrue="1">
      <formula>AND(U58&gt;=91000,U58&lt;=91999)</formula>
    </cfRule>
  </conditionalFormatting>
  <conditionalFormatting sqref="T58">
    <cfRule type="expression" dxfId="22307" priority="8381">
      <formula>AND(U58&gt;=79001,U58&lt;79900)</formula>
    </cfRule>
    <cfRule type="expression" dxfId="22306" priority="8382" stopIfTrue="1">
      <formula>AND(U58&gt;=70101,U58&lt;=70301)</formula>
    </cfRule>
    <cfRule type="expression" dxfId="22305" priority="8383" stopIfTrue="1">
      <formula>AND(U58&gt;70000,U58&lt;70004)</formula>
    </cfRule>
    <cfRule type="expression" dxfId="22304" priority="8384" stopIfTrue="1">
      <formula>AND(U58&gt;=70010,U58&lt;=76000)</formula>
    </cfRule>
    <cfRule type="expression" dxfId="22303" priority="8385">
      <formula>AND(U58&gt;70000,U58&lt;70004)</formula>
    </cfRule>
    <cfRule type="expression" dxfId="22302" priority="8386" stopIfTrue="1">
      <formula>OR(AND(U58&gt;=10000,U58&lt;=56999),AND(U58&gt;=57000,U58&lt;=57999))</formula>
    </cfRule>
    <cfRule type="expression" dxfId="22301" priority="8387" stopIfTrue="1">
      <formula>AND(U58&gt;=8000,U58&lt;=9999)</formula>
    </cfRule>
    <cfRule type="expression" dxfId="22300" priority="8388" stopIfTrue="1">
      <formula>AND(U58&gt;=78100,U58&lt;=78199)</formula>
    </cfRule>
    <cfRule type="expression" dxfId="22299" priority="8389" stopIfTrue="1">
      <formula>AND(U58&gt;=92000,U58&lt;=98999)</formula>
    </cfRule>
    <cfRule type="expression" dxfId="22298" priority="8390" stopIfTrue="1">
      <formula>AND(U58&gt;=78100,U58&lt;=78199)</formula>
    </cfRule>
    <cfRule type="expression" dxfId="22297" priority="8391" stopIfTrue="1">
      <formula>AND(U58&gt;=91000,U58&lt;=91999)</formula>
    </cfRule>
  </conditionalFormatting>
  <conditionalFormatting sqref="X49">
    <cfRule type="expression" dxfId="22296" priority="8370">
      <formula>AND(Y49&gt;=79001,Y49&lt;79900)</formula>
    </cfRule>
    <cfRule type="expression" dxfId="22295" priority="8371" stopIfTrue="1">
      <formula>AND(Y49&gt;=70101,Y49&lt;=70301)</formula>
    </cfRule>
    <cfRule type="expression" dxfId="22294" priority="8372" stopIfTrue="1">
      <formula>AND(Y49&gt;70000,Y49&lt;70004)</formula>
    </cfRule>
    <cfRule type="expression" dxfId="22293" priority="8373" stopIfTrue="1">
      <formula>AND(Y49&gt;=70010,Y49&lt;=76000)</formula>
    </cfRule>
    <cfRule type="expression" dxfId="22292" priority="8374">
      <formula>AND(Y49&gt;70000,Y49&lt;70004)</formula>
    </cfRule>
    <cfRule type="expression" dxfId="22291" priority="8375" stopIfTrue="1">
      <formula>OR(AND(Y49&gt;=10000,Y49&lt;=56999),AND(Y49&gt;=57000,Y49&lt;=57999))</formula>
    </cfRule>
    <cfRule type="expression" dxfId="22290" priority="8376" stopIfTrue="1">
      <formula>AND(Y49&gt;=8000,Y49&lt;=9999)</formula>
    </cfRule>
    <cfRule type="expression" dxfId="22289" priority="8377" stopIfTrue="1">
      <formula>AND(Y49&gt;=78100,Y49&lt;=78199)</formula>
    </cfRule>
    <cfRule type="expression" dxfId="22288" priority="8378" stopIfTrue="1">
      <formula>AND(Y49&gt;=92000,Y49&lt;=98999)</formula>
    </cfRule>
    <cfRule type="expression" dxfId="22287" priority="8379" stopIfTrue="1">
      <formula>AND(Y49&gt;=78100,Y49&lt;=78199)</formula>
    </cfRule>
    <cfRule type="expression" dxfId="22286" priority="8380" stopIfTrue="1">
      <formula>AND(Y49&gt;=91000,Y49&lt;=91999)</formula>
    </cfRule>
  </conditionalFormatting>
  <conditionalFormatting sqref="X49">
    <cfRule type="expression" dxfId="22285" priority="8359">
      <formula>AND(Y49&gt;=79001,Y49&lt;79900)</formula>
    </cfRule>
    <cfRule type="expression" dxfId="22284" priority="8360" stopIfTrue="1">
      <formula>AND(Y49&gt;=70101,Y49&lt;=70301)</formula>
    </cfRule>
    <cfRule type="expression" dxfId="22283" priority="8361" stopIfTrue="1">
      <formula>AND(Y49&gt;70000,Y49&lt;70004)</formula>
    </cfRule>
    <cfRule type="expression" dxfId="22282" priority="8362" stopIfTrue="1">
      <formula>AND(Y49&gt;=70010,Y49&lt;=76000)</formula>
    </cfRule>
    <cfRule type="expression" dxfId="22281" priority="8363">
      <formula>AND(Y49&gt;70000,Y49&lt;70004)</formula>
    </cfRule>
    <cfRule type="expression" dxfId="22280" priority="8364" stopIfTrue="1">
      <formula>OR(AND(Y49&gt;=10000,Y49&lt;=56999),AND(Y49&gt;=57000,Y49&lt;=57999))</formula>
    </cfRule>
    <cfRule type="expression" dxfId="22279" priority="8365" stopIfTrue="1">
      <formula>AND(Y49&gt;=8000,Y49&lt;=9999)</formula>
    </cfRule>
    <cfRule type="expression" dxfId="22278" priority="8366" stopIfTrue="1">
      <formula>AND(Y49&gt;=78100,Y49&lt;=78199)</formula>
    </cfRule>
    <cfRule type="expression" dxfId="22277" priority="8367" stopIfTrue="1">
      <formula>AND(Y49&gt;=92000,Y49&lt;=98999)</formula>
    </cfRule>
    <cfRule type="expression" dxfId="22276" priority="8368" stopIfTrue="1">
      <formula>AND(Y49&gt;=78100,Y49&lt;=78199)</formula>
    </cfRule>
    <cfRule type="expression" dxfId="22275" priority="8369" stopIfTrue="1">
      <formula>AND(Y49&gt;=91000,Y49&lt;=91999)</formula>
    </cfRule>
  </conditionalFormatting>
  <conditionalFormatting sqref="X49">
    <cfRule type="expression" dxfId="22274" priority="8348">
      <formula>AND(Y49&gt;=79001,Y49&lt;79900)</formula>
    </cfRule>
    <cfRule type="expression" dxfId="22273" priority="8349" stopIfTrue="1">
      <formula>AND(Y49&gt;=70101,Y49&lt;=70301)</formula>
    </cfRule>
    <cfRule type="expression" dxfId="22272" priority="8350" stopIfTrue="1">
      <formula>AND(Y49&gt;70000,Y49&lt;70004)</formula>
    </cfRule>
    <cfRule type="expression" dxfId="22271" priority="8351" stopIfTrue="1">
      <formula>AND(Y49&gt;=70010,Y49&lt;=76000)</formula>
    </cfRule>
    <cfRule type="expression" dxfId="22270" priority="8352">
      <formula>AND(Y49&gt;70000,Y49&lt;70004)</formula>
    </cfRule>
    <cfRule type="expression" dxfId="22269" priority="8353" stopIfTrue="1">
      <formula>OR(AND(Y49&gt;=10000,Y49&lt;=56999),AND(Y49&gt;=57000,Y49&lt;=57999))</formula>
    </cfRule>
    <cfRule type="expression" dxfId="22268" priority="8354" stopIfTrue="1">
      <formula>AND(Y49&gt;=8000,Y49&lt;=9999)</formula>
    </cfRule>
    <cfRule type="expression" dxfId="22267" priority="8355" stopIfTrue="1">
      <formula>AND(Y49&gt;=78100,Y49&lt;=78199)</formula>
    </cfRule>
    <cfRule type="expression" dxfId="22266" priority="8356" stopIfTrue="1">
      <formula>AND(Y49&gt;=92000,Y49&lt;=98999)</formula>
    </cfRule>
    <cfRule type="expression" dxfId="22265" priority="8357" stopIfTrue="1">
      <formula>AND(Y49&gt;=78100,Y49&lt;=78199)</formula>
    </cfRule>
    <cfRule type="expression" dxfId="22264" priority="8358" stopIfTrue="1">
      <formula>AND(Y49&gt;=91000,Y49&lt;=91999)</formula>
    </cfRule>
  </conditionalFormatting>
  <conditionalFormatting sqref="X49">
    <cfRule type="expression" dxfId="22263" priority="8337">
      <formula>AND(Y49&gt;=79001,Y49&lt;79900)</formula>
    </cfRule>
    <cfRule type="expression" dxfId="22262" priority="8338" stopIfTrue="1">
      <formula>AND(Y49&gt;=70101,Y49&lt;=70301)</formula>
    </cfRule>
    <cfRule type="expression" dxfId="22261" priority="8339" stopIfTrue="1">
      <formula>AND(Y49&gt;70000,Y49&lt;70004)</formula>
    </cfRule>
    <cfRule type="expression" dxfId="22260" priority="8340" stopIfTrue="1">
      <formula>AND(Y49&gt;=70010,Y49&lt;=76000)</formula>
    </cfRule>
    <cfRule type="expression" dxfId="22259" priority="8341">
      <formula>AND(Y49&gt;70000,Y49&lt;70004)</formula>
    </cfRule>
    <cfRule type="expression" dxfId="22258" priority="8342" stopIfTrue="1">
      <formula>OR(AND(Y49&gt;=10000,Y49&lt;=56999),AND(Y49&gt;=57000,Y49&lt;=57999))</formula>
    </cfRule>
    <cfRule type="expression" dxfId="22257" priority="8343" stopIfTrue="1">
      <formula>AND(Y49&gt;=8000,Y49&lt;=9999)</formula>
    </cfRule>
    <cfRule type="expression" dxfId="22256" priority="8344" stopIfTrue="1">
      <formula>AND(Y49&gt;=78100,Y49&lt;=78199)</formula>
    </cfRule>
    <cfRule type="expression" dxfId="22255" priority="8345" stopIfTrue="1">
      <formula>AND(Y49&gt;=92000,Y49&lt;=98999)</formula>
    </cfRule>
    <cfRule type="expression" dxfId="22254" priority="8346" stopIfTrue="1">
      <formula>AND(Y49&gt;=78100,Y49&lt;=78199)</formula>
    </cfRule>
    <cfRule type="expression" dxfId="22253" priority="8347" stopIfTrue="1">
      <formula>AND(Y49&gt;=91000,Y49&lt;=91999)</formula>
    </cfRule>
  </conditionalFormatting>
  <conditionalFormatting sqref="AB49">
    <cfRule type="expression" dxfId="22252" priority="8326">
      <formula>AND(AC49&gt;=79001,AC49&lt;79900)</formula>
    </cfRule>
    <cfRule type="expression" dxfId="22251" priority="8327" stopIfTrue="1">
      <formula>AND(AC49&gt;=70101,AC49&lt;=70301)</formula>
    </cfRule>
    <cfRule type="expression" dxfId="22250" priority="8328" stopIfTrue="1">
      <formula>AND(AC49&gt;70000,AC49&lt;70004)</formula>
    </cfRule>
    <cfRule type="expression" dxfId="22249" priority="8329" stopIfTrue="1">
      <formula>AND(AC49&gt;=70010,AC49&lt;=76000)</formula>
    </cfRule>
    <cfRule type="expression" dxfId="22248" priority="8330">
      <formula>AND(AC49&gt;70000,AC49&lt;70004)</formula>
    </cfRule>
    <cfRule type="expression" dxfId="22247" priority="8331" stopIfTrue="1">
      <formula>OR(AND(AC49&gt;=10000,AC49&lt;=56999),AND(AC49&gt;=57000,AC49&lt;=57999))</formula>
    </cfRule>
    <cfRule type="expression" dxfId="22246" priority="8332" stopIfTrue="1">
      <formula>AND(AC49&gt;=8000,AC49&lt;=9999)</formula>
    </cfRule>
    <cfRule type="expression" dxfId="22245" priority="8333" stopIfTrue="1">
      <formula>AND(AC49&gt;=78100,AC49&lt;=78199)</formula>
    </cfRule>
    <cfRule type="expression" dxfId="22244" priority="8334" stopIfTrue="1">
      <formula>AND(AC49&gt;=92000,AC49&lt;=98999)</formula>
    </cfRule>
    <cfRule type="expression" dxfId="22243" priority="8335" stopIfTrue="1">
      <formula>AND(AC49&gt;=78100,AC49&lt;=78199)</formula>
    </cfRule>
    <cfRule type="expression" dxfId="22242" priority="8336" stopIfTrue="1">
      <formula>AND(AC49&gt;=91000,AC49&lt;=91999)</formula>
    </cfRule>
  </conditionalFormatting>
  <conditionalFormatting sqref="AB49">
    <cfRule type="expression" dxfId="22241" priority="8315">
      <formula>AND(AC49&gt;=79001,AC49&lt;79900)</formula>
    </cfRule>
    <cfRule type="expression" dxfId="22240" priority="8316" stopIfTrue="1">
      <formula>AND(AC49&gt;=70101,AC49&lt;=70301)</formula>
    </cfRule>
    <cfRule type="expression" dxfId="22239" priority="8317" stopIfTrue="1">
      <formula>AND(AC49&gt;70000,AC49&lt;70004)</formula>
    </cfRule>
    <cfRule type="expression" dxfId="22238" priority="8318" stopIfTrue="1">
      <formula>AND(AC49&gt;=70010,AC49&lt;=76000)</formula>
    </cfRule>
    <cfRule type="expression" dxfId="22237" priority="8319">
      <formula>AND(AC49&gt;70000,AC49&lt;70004)</formula>
    </cfRule>
    <cfRule type="expression" dxfId="22236" priority="8320" stopIfTrue="1">
      <formula>OR(AND(AC49&gt;=10000,AC49&lt;=56999),AND(AC49&gt;=57000,AC49&lt;=57999))</formula>
    </cfRule>
    <cfRule type="expression" dxfId="22235" priority="8321" stopIfTrue="1">
      <formula>AND(AC49&gt;=8000,AC49&lt;=9999)</formula>
    </cfRule>
    <cfRule type="expression" dxfId="22234" priority="8322" stopIfTrue="1">
      <formula>AND(AC49&gt;=78100,AC49&lt;=78199)</formula>
    </cfRule>
    <cfRule type="expression" dxfId="22233" priority="8323" stopIfTrue="1">
      <formula>AND(AC49&gt;=92000,AC49&lt;=98999)</formula>
    </cfRule>
    <cfRule type="expression" dxfId="22232" priority="8324" stopIfTrue="1">
      <formula>AND(AC49&gt;=78100,AC49&lt;=78199)</formula>
    </cfRule>
    <cfRule type="expression" dxfId="22231" priority="8325" stopIfTrue="1">
      <formula>AND(AC49&gt;=91000,AC49&lt;=91999)</formula>
    </cfRule>
  </conditionalFormatting>
  <conditionalFormatting sqref="AB49">
    <cfRule type="expression" dxfId="22230" priority="8304">
      <formula>AND(AC49&gt;=79001,AC49&lt;79900)</formula>
    </cfRule>
    <cfRule type="expression" dxfId="22229" priority="8305" stopIfTrue="1">
      <formula>AND(AC49&gt;=70101,AC49&lt;=70301)</formula>
    </cfRule>
    <cfRule type="expression" dxfId="22228" priority="8306" stopIfTrue="1">
      <formula>AND(AC49&gt;70000,AC49&lt;70004)</formula>
    </cfRule>
    <cfRule type="expression" dxfId="22227" priority="8307" stopIfTrue="1">
      <formula>AND(AC49&gt;=70010,AC49&lt;=76000)</formula>
    </cfRule>
    <cfRule type="expression" dxfId="22226" priority="8308">
      <formula>AND(AC49&gt;70000,AC49&lt;70004)</formula>
    </cfRule>
    <cfRule type="expression" dxfId="22225" priority="8309" stopIfTrue="1">
      <formula>OR(AND(AC49&gt;=10000,AC49&lt;=56999),AND(AC49&gt;=57000,AC49&lt;=57999))</formula>
    </cfRule>
    <cfRule type="expression" dxfId="22224" priority="8310" stopIfTrue="1">
      <formula>AND(AC49&gt;=8000,AC49&lt;=9999)</formula>
    </cfRule>
    <cfRule type="expression" dxfId="22223" priority="8311" stopIfTrue="1">
      <formula>AND(AC49&gt;=78100,AC49&lt;=78199)</formula>
    </cfRule>
    <cfRule type="expression" dxfId="22222" priority="8312" stopIfTrue="1">
      <formula>AND(AC49&gt;=92000,AC49&lt;=98999)</formula>
    </cfRule>
    <cfRule type="expression" dxfId="22221" priority="8313" stopIfTrue="1">
      <formula>AND(AC49&gt;=78100,AC49&lt;=78199)</formula>
    </cfRule>
    <cfRule type="expression" dxfId="22220" priority="8314" stopIfTrue="1">
      <formula>AND(AC49&gt;=91000,AC49&lt;=91999)</formula>
    </cfRule>
  </conditionalFormatting>
  <conditionalFormatting sqref="AB49">
    <cfRule type="expression" dxfId="22219" priority="8293">
      <formula>AND(AC49&gt;=79001,AC49&lt;79900)</formula>
    </cfRule>
    <cfRule type="expression" dxfId="22218" priority="8294" stopIfTrue="1">
      <formula>AND(AC49&gt;=70101,AC49&lt;=70301)</formula>
    </cfRule>
    <cfRule type="expression" dxfId="22217" priority="8295" stopIfTrue="1">
      <formula>AND(AC49&gt;70000,AC49&lt;70004)</formula>
    </cfRule>
    <cfRule type="expression" dxfId="22216" priority="8296" stopIfTrue="1">
      <formula>AND(AC49&gt;=70010,AC49&lt;=76000)</formula>
    </cfRule>
    <cfRule type="expression" dxfId="22215" priority="8297">
      <formula>AND(AC49&gt;70000,AC49&lt;70004)</formula>
    </cfRule>
    <cfRule type="expression" dxfId="22214" priority="8298" stopIfTrue="1">
      <formula>OR(AND(AC49&gt;=10000,AC49&lt;=56999),AND(AC49&gt;=57000,AC49&lt;=57999))</formula>
    </cfRule>
    <cfRule type="expression" dxfId="22213" priority="8299" stopIfTrue="1">
      <formula>AND(AC49&gt;=8000,AC49&lt;=9999)</formula>
    </cfRule>
    <cfRule type="expression" dxfId="22212" priority="8300" stopIfTrue="1">
      <formula>AND(AC49&gt;=78100,AC49&lt;=78199)</formula>
    </cfRule>
    <cfRule type="expression" dxfId="22211" priority="8301" stopIfTrue="1">
      <formula>AND(AC49&gt;=92000,AC49&lt;=98999)</formula>
    </cfRule>
    <cfRule type="expression" dxfId="22210" priority="8302" stopIfTrue="1">
      <formula>AND(AC49&gt;=78100,AC49&lt;=78199)</formula>
    </cfRule>
    <cfRule type="expression" dxfId="22209" priority="8303" stopIfTrue="1">
      <formula>AND(AC49&gt;=91000,AC49&lt;=91999)</formula>
    </cfRule>
  </conditionalFormatting>
  <conditionalFormatting sqref="AF49">
    <cfRule type="expression" dxfId="22208" priority="8282">
      <formula>AND(AG49&gt;=79001,AG49&lt;79900)</formula>
    </cfRule>
    <cfRule type="expression" dxfId="22207" priority="8283" stopIfTrue="1">
      <formula>AND(AG49&gt;=70101,AG49&lt;=70301)</formula>
    </cfRule>
    <cfRule type="expression" dxfId="22206" priority="8284" stopIfTrue="1">
      <formula>AND(AG49&gt;70000,AG49&lt;70004)</formula>
    </cfRule>
    <cfRule type="expression" dxfId="22205" priority="8285" stopIfTrue="1">
      <formula>AND(AG49&gt;=70010,AG49&lt;=76000)</formula>
    </cfRule>
    <cfRule type="expression" dxfId="22204" priority="8286">
      <formula>AND(AG49&gt;70000,AG49&lt;70004)</formula>
    </cfRule>
    <cfRule type="expression" dxfId="22203" priority="8287" stopIfTrue="1">
      <formula>OR(AND(AG49&gt;=10000,AG49&lt;=56999),AND(AG49&gt;=57000,AG49&lt;=57999))</formula>
    </cfRule>
    <cfRule type="expression" dxfId="22202" priority="8288" stopIfTrue="1">
      <formula>AND(AG49&gt;=8000,AG49&lt;=9999)</formula>
    </cfRule>
    <cfRule type="expression" dxfId="22201" priority="8289" stopIfTrue="1">
      <formula>AND(AG49&gt;=78100,AG49&lt;=78199)</formula>
    </cfRule>
    <cfRule type="expression" dxfId="22200" priority="8290" stopIfTrue="1">
      <formula>AND(AG49&gt;=92000,AG49&lt;=98999)</formula>
    </cfRule>
    <cfRule type="expression" dxfId="22199" priority="8291" stopIfTrue="1">
      <formula>AND(AG49&gt;=78100,AG49&lt;=78199)</formula>
    </cfRule>
    <cfRule type="expression" dxfId="22198" priority="8292" stopIfTrue="1">
      <formula>AND(AG49&gt;=91000,AG49&lt;=91999)</formula>
    </cfRule>
  </conditionalFormatting>
  <conditionalFormatting sqref="AF49">
    <cfRule type="expression" dxfId="22197" priority="8271">
      <formula>AND(AG49&gt;=79001,AG49&lt;79900)</formula>
    </cfRule>
    <cfRule type="expression" dxfId="22196" priority="8272" stopIfTrue="1">
      <formula>AND(AG49&gt;=70101,AG49&lt;=70301)</formula>
    </cfRule>
    <cfRule type="expression" dxfId="22195" priority="8273" stopIfTrue="1">
      <formula>AND(AG49&gt;70000,AG49&lt;70004)</formula>
    </cfRule>
    <cfRule type="expression" dxfId="22194" priority="8274" stopIfTrue="1">
      <formula>AND(AG49&gt;=70010,AG49&lt;=76000)</formula>
    </cfRule>
    <cfRule type="expression" dxfId="22193" priority="8275">
      <formula>AND(AG49&gt;70000,AG49&lt;70004)</formula>
    </cfRule>
    <cfRule type="expression" dxfId="22192" priority="8276" stopIfTrue="1">
      <formula>OR(AND(AG49&gt;=10000,AG49&lt;=56999),AND(AG49&gt;=57000,AG49&lt;=57999))</formula>
    </cfRule>
    <cfRule type="expression" dxfId="22191" priority="8277" stopIfTrue="1">
      <formula>AND(AG49&gt;=8000,AG49&lt;=9999)</formula>
    </cfRule>
    <cfRule type="expression" dxfId="22190" priority="8278" stopIfTrue="1">
      <formula>AND(AG49&gt;=78100,AG49&lt;=78199)</formula>
    </cfRule>
    <cfRule type="expression" dxfId="22189" priority="8279" stopIfTrue="1">
      <formula>AND(AG49&gt;=92000,AG49&lt;=98999)</formula>
    </cfRule>
    <cfRule type="expression" dxfId="22188" priority="8280" stopIfTrue="1">
      <formula>AND(AG49&gt;=78100,AG49&lt;=78199)</formula>
    </cfRule>
    <cfRule type="expression" dxfId="22187" priority="8281" stopIfTrue="1">
      <formula>AND(AG49&gt;=91000,AG49&lt;=91999)</formula>
    </cfRule>
  </conditionalFormatting>
  <conditionalFormatting sqref="AF49">
    <cfRule type="expression" dxfId="22186" priority="8260">
      <formula>AND(AG49&gt;=79001,AG49&lt;79900)</formula>
    </cfRule>
    <cfRule type="expression" dxfId="22185" priority="8261" stopIfTrue="1">
      <formula>AND(AG49&gt;=70101,AG49&lt;=70301)</formula>
    </cfRule>
    <cfRule type="expression" dxfId="22184" priority="8262" stopIfTrue="1">
      <formula>AND(AG49&gt;70000,AG49&lt;70004)</formula>
    </cfRule>
    <cfRule type="expression" dxfId="22183" priority="8263" stopIfTrue="1">
      <formula>AND(AG49&gt;=70010,AG49&lt;=76000)</formula>
    </cfRule>
    <cfRule type="expression" dxfId="22182" priority="8264">
      <formula>AND(AG49&gt;70000,AG49&lt;70004)</formula>
    </cfRule>
    <cfRule type="expression" dxfId="22181" priority="8265" stopIfTrue="1">
      <formula>OR(AND(AG49&gt;=10000,AG49&lt;=56999),AND(AG49&gt;=57000,AG49&lt;=57999))</formula>
    </cfRule>
    <cfRule type="expression" dxfId="22180" priority="8266" stopIfTrue="1">
      <formula>AND(AG49&gt;=8000,AG49&lt;=9999)</formula>
    </cfRule>
    <cfRule type="expression" dxfId="22179" priority="8267" stopIfTrue="1">
      <formula>AND(AG49&gt;=78100,AG49&lt;=78199)</formula>
    </cfRule>
    <cfRule type="expression" dxfId="22178" priority="8268" stopIfTrue="1">
      <formula>AND(AG49&gt;=92000,AG49&lt;=98999)</formula>
    </cfRule>
    <cfRule type="expression" dxfId="22177" priority="8269" stopIfTrue="1">
      <formula>AND(AG49&gt;=78100,AG49&lt;=78199)</formula>
    </cfRule>
    <cfRule type="expression" dxfId="22176" priority="8270" stopIfTrue="1">
      <formula>AND(AG49&gt;=91000,AG49&lt;=91999)</formula>
    </cfRule>
  </conditionalFormatting>
  <conditionalFormatting sqref="AF49">
    <cfRule type="expression" dxfId="22175" priority="8249">
      <formula>AND(AG49&gt;=79001,AG49&lt;79900)</formula>
    </cfRule>
    <cfRule type="expression" dxfId="22174" priority="8250" stopIfTrue="1">
      <formula>AND(AG49&gt;=70101,AG49&lt;=70301)</formula>
    </cfRule>
    <cfRule type="expression" dxfId="22173" priority="8251" stopIfTrue="1">
      <formula>AND(AG49&gt;70000,AG49&lt;70004)</formula>
    </cfRule>
    <cfRule type="expression" dxfId="22172" priority="8252" stopIfTrue="1">
      <formula>AND(AG49&gt;=70010,AG49&lt;=76000)</formula>
    </cfRule>
    <cfRule type="expression" dxfId="22171" priority="8253">
      <formula>AND(AG49&gt;70000,AG49&lt;70004)</formula>
    </cfRule>
    <cfRule type="expression" dxfId="22170" priority="8254" stopIfTrue="1">
      <formula>OR(AND(AG49&gt;=10000,AG49&lt;=56999),AND(AG49&gt;=57000,AG49&lt;=57999))</formula>
    </cfRule>
    <cfRule type="expression" dxfId="22169" priority="8255" stopIfTrue="1">
      <formula>AND(AG49&gt;=8000,AG49&lt;=9999)</formula>
    </cfRule>
    <cfRule type="expression" dxfId="22168" priority="8256" stopIfTrue="1">
      <formula>AND(AG49&gt;=78100,AG49&lt;=78199)</formula>
    </cfRule>
    <cfRule type="expression" dxfId="22167" priority="8257" stopIfTrue="1">
      <formula>AND(AG49&gt;=92000,AG49&lt;=98999)</formula>
    </cfRule>
    <cfRule type="expression" dxfId="22166" priority="8258" stopIfTrue="1">
      <formula>AND(AG49&gt;=78100,AG49&lt;=78199)</formula>
    </cfRule>
    <cfRule type="expression" dxfId="22165" priority="8259" stopIfTrue="1">
      <formula>AND(AG49&gt;=91000,AG49&lt;=91999)</formula>
    </cfRule>
  </conditionalFormatting>
  <conditionalFormatting sqref="T52">
    <cfRule type="expression" dxfId="22164" priority="8238">
      <formula>AND(U52&gt;=79001,U52&lt;79900)</formula>
    </cfRule>
    <cfRule type="expression" dxfId="22163" priority="8239" stopIfTrue="1">
      <formula>AND(U52&gt;=70101,U52&lt;=70301)</formula>
    </cfRule>
    <cfRule type="expression" dxfId="22162" priority="8240" stopIfTrue="1">
      <formula>AND(U52&gt;70000,U52&lt;70004)</formula>
    </cfRule>
    <cfRule type="expression" dxfId="22161" priority="8241" stopIfTrue="1">
      <formula>AND(U52&gt;=70010,U52&lt;=76000)</formula>
    </cfRule>
    <cfRule type="expression" dxfId="22160" priority="8242">
      <formula>AND(U52&gt;70000,U52&lt;70004)</formula>
    </cfRule>
    <cfRule type="expression" dxfId="22159" priority="8243" stopIfTrue="1">
      <formula>OR(AND(U52&gt;=10000,U52&lt;=56999),AND(U52&gt;=57000,U52&lt;=57999))</formula>
    </cfRule>
    <cfRule type="expression" dxfId="22158" priority="8244" stopIfTrue="1">
      <formula>AND(U52&gt;=8000,U52&lt;=9999)</formula>
    </cfRule>
    <cfRule type="expression" dxfId="22157" priority="8245" stopIfTrue="1">
      <formula>AND(U52&gt;=78100,U52&lt;=78199)</formula>
    </cfRule>
    <cfRule type="expression" dxfId="22156" priority="8246" stopIfTrue="1">
      <formula>AND(U52&gt;=92000,U52&lt;=98999)</formula>
    </cfRule>
    <cfRule type="expression" dxfId="22155" priority="8247" stopIfTrue="1">
      <formula>AND(U52&gt;=78100,U52&lt;=78199)</formula>
    </cfRule>
    <cfRule type="expression" dxfId="22154" priority="8248" stopIfTrue="1">
      <formula>AND(U52&gt;=91000,U52&lt;=91999)</formula>
    </cfRule>
  </conditionalFormatting>
  <conditionalFormatting sqref="T52">
    <cfRule type="expression" dxfId="22153" priority="8227">
      <formula>AND(U52&gt;=79001,U52&lt;79900)</formula>
    </cfRule>
    <cfRule type="expression" dxfId="22152" priority="8228" stopIfTrue="1">
      <formula>AND(U52&gt;=70101,U52&lt;=70301)</formula>
    </cfRule>
    <cfRule type="expression" dxfId="22151" priority="8229" stopIfTrue="1">
      <formula>AND(U52&gt;70000,U52&lt;70004)</formula>
    </cfRule>
    <cfRule type="expression" dxfId="22150" priority="8230" stopIfTrue="1">
      <formula>AND(U52&gt;=70010,U52&lt;=76000)</formula>
    </cfRule>
    <cfRule type="expression" dxfId="22149" priority="8231">
      <formula>AND(U52&gt;70000,U52&lt;70004)</formula>
    </cfRule>
    <cfRule type="expression" dxfId="22148" priority="8232" stopIfTrue="1">
      <formula>OR(AND(U52&gt;=10000,U52&lt;=56999),AND(U52&gt;=57000,U52&lt;=57999))</formula>
    </cfRule>
    <cfRule type="expression" dxfId="22147" priority="8233" stopIfTrue="1">
      <formula>AND(U52&gt;=8000,U52&lt;=9999)</formula>
    </cfRule>
    <cfRule type="expression" dxfId="22146" priority="8234" stopIfTrue="1">
      <formula>AND(U52&gt;=78100,U52&lt;=78199)</formula>
    </cfRule>
    <cfRule type="expression" dxfId="22145" priority="8235" stopIfTrue="1">
      <formula>AND(U52&gt;=92000,U52&lt;=98999)</formula>
    </cfRule>
    <cfRule type="expression" dxfId="22144" priority="8236" stopIfTrue="1">
      <formula>AND(U52&gt;=78100,U52&lt;=78199)</formula>
    </cfRule>
    <cfRule type="expression" dxfId="22143" priority="8237" stopIfTrue="1">
      <formula>AND(U52&gt;=91000,U52&lt;=91999)</formula>
    </cfRule>
  </conditionalFormatting>
  <conditionalFormatting sqref="T52">
    <cfRule type="expression" dxfId="22142" priority="8216">
      <formula>AND(U52&gt;=79001,U52&lt;79900)</formula>
    </cfRule>
    <cfRule type="expression" dxfId="22141" priority="8217" stopIfTrue="1">
      <formula>AND(U52&gt;=70101,U52&lt;=70301)</formula>
    </cfRule>
    <cfRule type="expression" dxfId="22140" priority="8218" stopIfTrue="1">
      <formula>AND(U52&gt;70000,U52&lt;70004)</formula>
    </cfRule>
    <cfRule type="expression" dxfId="22139" priority="8219" stopIfTrue="1">
      <formula>AND(U52&gt;=70010,U52&lt;=76000)</formula>
    </cfRule>
    <cfRule type="expression" dxfId="22138" priority="8220">
      <formula>AND(U52&gt;70000,U52&lt;70004)</formula>
    </cfRule>
    <cfRule type="expression" dxfId="22137" priority="8221" stopIfTrue="1">
      <formula>OR(AND(U52&gt;=10000,U52&lt;=56999),AND(U52&gt;=57000,U52&lt;=57999))</formula>
    </cfRule>
    <cfRule type="expression" dxfId="22136" priority="8222" stopIfTrue="1">
      <formula>AND(U52&gt;=8000,U52&lt;=9999)</formula>
    </cfRule>
    <cfRule type="expression" dxfId="22135" priority="8223" stopIfTrue="1">
      <formula>AND(U52&gt;=78100,U52&lt;=78199)</formula>
    </cfRule>
    <cfRule type="expression" dxfId="22134" priority="8224" stopIfTrue="1">
      <formula>AND(U52&gt;=92000,U52&lt;=98999)</formula>
    </cfRule>
    <cfRule type="expression" dxfId="22133" priority="8225" stopIfTrue="1">
      <formula>AND(U52&gt;=78100,U52&lt;=78199)</formula>
    </cfRule>
    <cfRule type="expression" dxfId="22132" priority="8226" stopIfTrue="1">
      <formula>AND(U52&gt;=91000,U52&lt;=91999)</formula>
    </cfRule>
  </conditionalFormatting>
  <conditionalFormatting sqref="T52">
    <cfRule type="expression" dxfId="22131" priority="8205">
      <formula>AND(U52&gt;=79001,U52&lt;79900)</formula>
    </cfRule>
    <cfRule type="expression" dxfId="22130" priority="8206" stopIfTrue="1">
      <formula>AND(U52&gt;=70101,U52&lt;=70301)</formula>
    </cfRule>
    <cfRule type="expression" dxfId="22129" priority="8207" stopIfTrue="1">
      <formula>AND(U52&gt;70000,U52&lt;70004)</formula>
    </cfRule>
    <cfRule type="expression" dxfId="22128" priority="8208" stopIfTrue="1">
      <formula>AND(U52&gt;=70010,U52&lt;=76000)</formula>
    </cfRule>
    <cfRule type="expression" dxfId="22127" priority="8209">
      <formula>AND(U52&gt;70000,U52&lt;70004)</formula>
    </cfRule>
    <cfRule type="expression" dxfId="22126" priority="8210" stopIfTrue="1">
      <formula>OR(AND(U52&gt;=10000,U52&lt;=56999),AND(U52&gt;=57000,U52&lt;=57999))</formula>
    </cfRule>
    <cfRule type="expression" dxfId="22125" priority="8211" stopIfTrue="1">
      <formula>AND(U52&gt;=8000,U52&lt;=9999)</formula>
    </cfRule>
    <cfRule type="expression" dxfId="22124" priority="8212" stopIfTrue="1">
      <formula>AND(U52&gt;=78100,U52&lt;=78199)</formula>
    </cfRule>
    <cfRule type="expression" dxfId="22123" priority="8213" stopIfTrue="1">
      <formula>AND(U52&gt;=92000,U52&lt;=98999)</formula>
    </cfRule>
    <cfRule type="expression" dxfId="22122" priority="8214" stopIfTrue="1">
      <formula>AND(U52&gt;=78100,U52&lt;=78199)</formula>
    </cfRule>
    <cfRule type="expression" dxfId="22121" priority="8215" stopIfTrue="1">
      <formula>AND(U52&gt;=91000,U52&lt;=91999)</formula>
    </cfRule>
  </conditionalFormatting>
  <conditionalFormatting sqref="X52">
    <cfRule type="expression" dxfId="22120" priority="8194">
      <formula>AND(Y52&gt;=79001,Y52&lt;79900)</formula>
    </cfRule>
    <cfRule type="expression" dxfId="22119" priority="8195" stopIfTrue="1">
      <formula>AND(Y52&gt;=70101,Y52&lt;=70301)</formula>
    </cfRule>
    <cfRule type="expression" dxfId="22118" priority="8196" stopIfTrue="1">
      <formula>AND(Y52&gt;70000,Y52&lt;70004)</formula>
    </cfRule>
    <cfRule type="expression" dxfId="22117" priority="8197" stopIfTrue="1">
      <formula>AND(Y52&gt;=70010,Y52&lt;=76000)</formula>
    </cfRule>
    <cfRule type="expression" dxfId="22116" priority="8198">
      <formula>AND(Y52&gt;70000,Y52&lt;70004)</formula>
    </cfRule>
    <cfRule type="expression" dxfId="22115" priority="8199" stopIfTrue="1">
      <formula>OR(AND(Y52&gt;=10000,Y52&lt;=56999),AND(Y52&gt;=57000,Y52&lt;=57999))</formula>
    </cfRule>
    <cfRule type="expression" dxfId="22114" priority="8200" stopIfTrue="1">
      <formula>AND(Y52&gt;=8000,Y52&lt;=9999)</formula>
    </cfRule>
    <cfRule type="expression" dxfId="22113" priority="8201" stopIfTrue="1">
      <formula>AND(Y52&gt;=78100,Y52&lt;=78199)</formula>
    </cfRule>
    <cfRule type="expression" dxfId="22112" priority="8202" stopIfTrue="1">
      <formula>AND(Y52&gt;=92000,Y52&lt;=98999)</formula>
    </cfRule>
    <cfRule type="expression" dxfId="22111" priority="8203" stopIfTrue="1">
      <formula>AND(Y52&gt;=78100,Y52&lt;=78199)</formula>
    </cfRule>
    <cfRule type="expression" dxfId="22110" priority="8204" stopIfTrue="1">
      <formula>AND(Y52&gt;=91000,Y52&lt;=91999)</formula>
    </cfRule>
  </conditionalFormatting>
  <conditionalFormatting sqref="X52">
    <cfRule type="expression" dxfId="22109" priority="8183">
      <formula>AND(Y52&gt;=79001,Y52&lt;79900)</formula>
    </cfRule>
    <cfRule type="expression" dxfId="22108" priority="8184" stopIfTrue="1">
      <formula>AND(Y52&gt;=70101,Y52&lt;=70301)</formula>
    </cfRule>
    <cfRule type="expression" dxfId="22107" priority="8185" stopIfTrue="1">
      <formula>AND(Y52&gt;70000,Y52&lt;70004)</formula>
    </cfRule>
    <cfRule type="expression" dxfId="22106" priority="8186" stopIfTrue="1">
      <formula>AND(Y52&gt;=70010,Y52&lt;=76000)</formula>
    </cfRule>
    <cfRule type="expression" dxfId="22105" priority="8187">
      <formula>AND(Y52&gt;70000,Y52&lt;70004)</formula>
    </cfRule>
    <cfRule type="expression" dxfId="22104" priority="8188" stopIfTrue="1">
      <formula>OR(AND(Y52&gt;=10000,Y52&lt;=56999),AND(Y52&gt;=57000,Y52&lt;=57999))</formula>
    </cfRule>
    <cfRule type="expression" dxfId="22103" priority="8189" stopIfTrue="1">
      <formula>AND(Y52&gt;=8000,Y52&lt;=9999)</formula>
    </cfRule>
    <cfRule type="expression" dxfId="22102" priority="8190" stopIfTrue="1">
      <formula>AND(Y52&gt;=78100,Y52&lt;=78199)</formula>
    </cfRule>
    <cfRule type="expression" dxfId="22101" priority="8191" stopIfTrue="1">
      <formula>AND(Y52&gt;=92000,Y52&lt;=98999)</formula>
    </cfRule>
    <cfRule type="expression" dxfId="22100" priority="8192" stopIfTrue="1">
      <formula>AND(Y52&gt;=78100,Y52&lt;=78199)</formula>
    </cfRule>
    <cfRule type="expression" dxfId="22099" priority="8193" stopIfTrue="1">
      <formula>AND(Y52&gt;=91000,Y52&lt;=91999)</formula>
    </cfRule>
  </conditionalFormatting>
  <conditionalFormatting sqref="X52">
    <cfRule type="expression" dxfId="22098" priority="8172">
      <formula>AND(Y52&gt;=79001,Y52&lt;79900)</formula>
    </cfRule>
    <cfRule type="expression" dxfId="22097" priority="8173" stopIfTrue="1">
      <formula>AND(Y52&gt;=70101,Y52&lt;=70301)</formula>
    </cfRule>
    <cfRule type="expression" dxfId="22096" priority="8174" stopIfTrue="1">
      <formula>AND(Y52&gt;70000,Y52&lt;70004)</formula>
    </cfRule>
    <cfRule type="expression" dxfId="22095" priority="8175" stopIfTrue="1">
      <formula>AND(Y52&gt;=70010,Y52&lt;=76000)</formula>
    </cfRule>
    <cfRule type="expression" dxfId="22094" priority="8176">
      <formula>AND(Y52&gt;70000,Y52&lt;70004)</formula>
    </cfRule>
    <cfRule type="expression" dxfId="22093" priority="8177" stopIfTrue="1">
      <formula>OR(AND(Y52&gt;=10000,Y52&lt;=56999),AND(Y52&gt;=57000,Y52&lt;=57999))</formula>
    </cfRule>
    <cfRule type="expression" dxfId="22092" priority="8178" stopIfTrue="1">
      <formula>AND(Y52&gt;=8000,Y52&lt;=9999)</formula>
    </cfRule>
    <cfRule type="expression" dxfId="22091" priority="8179" stopIfTrue="1">
      <formula>AND(Y52&gt;=78100,Y52&lt;=78199)</formula>
    </cfRule>
    <cfRule type="expression" dxfId="22090" priority="8180" stopIfTrue="1">
      <formula>AND(Y52&gt;=92000,Y52&lt;=98999)</formula>
    </cfRule>
    <cfRule type="expression" dxfId="22089" priority="8181" stopIfTrue="1">
      <formula>AND(Y52&gt;=78100,Y52&lt;=78199)</formula>
    </cfRule>
    <cfRule type="expression" dxfId="22088" priority="8182" stopIfTrue="1">
      <formula>AND(Y52&gt;=91000,Y52&lt;=91999)</formula>
    </cfRule>
  </conditionalFormatting>
  <conditionalFormatting sqref="X52">
    <cfRule type="expression" dxfId="22087" priority="8161">
      <formula>AND(Y52&gt;=79001,Y52&lt;79900)</formula>
    </cfRule>
    <cfRule type="expression" dxfId="22086" priority="8162" stopIfTrue="1">
      <formula>AND(Y52&gt;=70101,Y52&lt;=70301)</formula>
    </cfRule>
    <cfRule type="expression" dxfId="22085" priority="8163" stopIfTrue="1">
      <formula>AND(Y52&gt;70000,Y52&lt;70004)</formula>
    </cfRule>
    <cfRule type="expression" dxfId="22084" priority="8164" stopIfTrue="1">
      <formula>AND(Y52&gt;=70010,Y52&lt;=76000)</formula>
    </cfRule>
    <cfRule type="expression" dxfId="22083" priority="8165">
      <formula>AND(Y52&gt;70000,Y52&lt;70004)</formula>
    </cfRule>
    <cfRule type="expression" dxfId="22082" priority="8166" stopIfTrue="1">
      <formula>OR(AND(Y52&gt;=10000,Y52&lt;=56999),AND(Y52&gt;=57000,Y52&lt;=57999))</formula>
    </cfRule>
    <cfRule type="expression" dxfId="22081" priority="8167" stopIfTrue="1">
      <formula>AND(Y52&gt;=8000,Y52&lt;=9999)</formula>
    </cfRule>
    <cfRule type="expression" dxfId="22080" priority="8168" stopIfTrue="1">
      <formula>AND(Y52&gt;=78100,Y52&lt;=78199)</formula>
    </cfRule>
    <cfRule type="expression" dxfId="22079" priority="8169" stopIfTrue="1">
      <formula>AND(Y52&gt;=92000,Y52&lt;=98999)</formula>
    </cfRule>
    <cfRule type="expression" dxfId="22078" priority="8170" stopIfTrue="1">
      <formula>AND(Y52&gt;=78100,Y52&lt;=78199)</formula>
    </cfRule>
    <cfRule type="expression" dxfId="22077" priority="8171" stopIfTrue="1">
      <formula>AND(Y52&gt;=91000,Y52&lt;=91999)</formula>
    </cfRule>
  </conditionalFormatting>
  <conditionalFormatting sqref="AB52">
    <cfRule type="expression" dxfId="22076" priority="8150">
      <formula>AND(AC52&gt;=79001,AC52&lt;79900)</formula>
    </cfRule>
    <cfRule type="expression" dxfId="22075" priority="8151" stopIfTrue="1">
      <formula>AND(AC52&gt;=70101,AC52&lt;=70301)</formula>
    </cfRule>
    <cfRule type="expression" dxfId="22074" priority="8152" stopIfTrue="1">
      <formula>AND(AC52&gt;70000,AC52&lt;70004)</formula>
    </cfRule>
    <cfRule type="expression" dxfId="22073" priority="8153" stopIfTrue="1">
      <formula>AND(AC52&gt;=70010,AC52&lt;=76000)</formula>
    </cfRule>
    <cfRule type="expression" dxfId="22072" priority="8154">
      <formula>AND(AC52&gt;70000,AC52&lt;70004)</formula>
    </cfRule>
    <cfRule type="expression" dxfId="22071" priority="8155" stopIfTrue="1">
      <formula>OR(AND(AC52&gt;=10000,AC52&lt;=56999),AND(AC52&gt;=57000,AC52&lt;=57999))</formula>
    </cfRule>
    <cfRule type="expression" dxfId="22070" priority="8156" stopIfTrue="1">
      <formula>AND(AC52&gt;=8000,AC52&lt;=9999)</formula>
    </cfRule>
    <cfRule type="expression" dxfId="22069" priority="8157" stopIfTrue="1">
      <formula>AND(AC52&gt;=78100,AC52&lt;=78199)</formula>
    </cfRule>
    <cfRule type="expression" dxfId="22068" priority="8158" stopIfTrue="1">
      <formula>AND(AC52&gt;=92000,AC52&lt;=98999)</formula>
    </cfRule>
    <cfRule type="expression" dxfId="22067" priority="8159" stopIfTrue="1">
      <formula>AND(AC52&gt;=78100,AC52&lt;=78199)</formula>
    </cfRule>
    <cfRule type="expression" dxfId="22066" priority="8160" stopIfTrue="1">
      <formula>AND(AC52&gt;=91000,AC52&lt;=91999)</formula>
    </cfRule>
  </conditionalFormatting>
  <conditionalFormatting sqref="AB52">
    <cfRule type="expression" dxfId="22065" priority="8139">
      <formula>AND(AC52&gt;=79001,AC52&lt;79900)</formula>
    </cfRule>
    <cfRule type="expression" dxfId="22064" priority="8140" stopIfTrue="1">
      <formula>AND(AC52&gt;=70101,AC52&lt;=70301)</formula>
    </cfRule>
    <cfRule type="expression" dxfId="22063" priority="8141" stopIfTrue="1">
      <formula>AND(AC52&gt;70000,AC52&lt;70004)</formula>
    </cfRule>
    <cfRule type="expression" dxfId="22062" priority="8142" stopIfTrue="1">
      <formula>AND(AC52&gt;=70010,AC52&lt;=76000)</formula>
    </cfRule>
    <cfRule type="expression" dxfId="22061" priority="8143">
      <formula>AND(AC52&gt;70000,AC52&lt;70004)</formula>
    </cfRule>
    <cfRule type="expression" dxfId="22060" priority="8144" stopIfTrue="1">
      <formula>OR(AND(AC52&gt;=10000,AC52&lt;=56999),AND(AC52&gt;=57000,AC52&lt;=57999))</formula>
    </cfRule>
    <cfRule type="expression" dxfId="22059" priority="8145" stopIfTrue="1">
      <formula>AND(AC52&gt;=8000,AC52&lt;=9999)</formula>
    </cfRule>
    <cfRule type="expression" dxfId="22058" priority="8146" stopIfTrue="1">
      <formula>AND(AC52&gt;=78100,AC52&lt;=78199)</formula>
    </cfRule>
    <cfRule type="expression" dxfId="22057" priority="8147" stopIfTrue="1">
      <formula>AND(AC52&gt;=92000,AC52&lt;=98999)</formula>
    </cfRule>
    <cfRule type="expression" dxfId="22056" priority="8148" stopIfTrue="1">
      <formula>AND(AC52&gt;=78100,AC52&lt;=78199)</formula>
    </cfRule>
    <cfRule type="expression" dxfId="22055" priority="8149" stopIfTrue="1">
      <formula>AND(AC52&gt;=91000,AC52&lt;=91999)</formula>
    </cfRule>
  </conditionalFormatting>
  <conditionalFormatting sqref="AB52">
    <cfRule type="expression" dxfId="22054" priority="8128">
      <formula>AND(AC52&gt;=79001,AC52&lt;79900)</formula>
    </cfRule>
    <cfRule type="expression" dxfId="22053" priority="8129" stopIfTrue="1">
      <formula>AND(AC52&gt;=70101,AC52&lt;=70301)</formula>
    </cfRule>
    <cfRule type="expression" dxfId="22052" priority="8130" stopIfTrue="1">
      <formula>AND(AC52&gt;70000,AC52&lt;70004)</formula>
    </cfRule>
    <cfRule type="expression" dxfId="22051" priority="8131" stopIfTrue="1">
      <formula>AND(AC52&gt;=70010,AC52&lt;=76000)</formula>
    </cfRule>
    <cfRule type="expression" dxfId="22050" priority="8132">
      <formula>AND(AC52&gt;70000,AC52&lt;70004)</formula>
    </cfRule>
    <cfRule type="expression" dxfId="22049" priority="8133" stopIfTrue="1">
      <formula>OR(AND(AC52&gt;=10000,AC52&lt;=56999),AND(AC52&gt;=57000,AC52&lt;=57999))</formula>
    </cfRule>
    <cfRule type="expression" dxfId="22048" priority="8134" stopIfTrue="1">
      <formula>AND(AC52&gt;=8000,AC52&lt;=9999)</formula>
    </cfRule>
    <cfRule type="expression" dxfId="22047" priority="8135" stopIfTrue="1">
      <formula>AND(AC52&gt;=78100,AC52&lt;=78199)</formula>
    </cfRule>
    <cfRule type="expression" dxfId="22046" priority="8136" stopIfTrue="1">
      <formula>AND(AC52&gt;=92000,AC52&lt;=98999)</formula>
    </cfRule>
    <cfRule type="expression" dxfId="22045" priority="8137" stopIfTrue="1">
      <formula>AND(AC52&gt;=78100,AC52&lt;=78199)</formula>
    </cfRule>
    <cfRule type="expression" dxfId="22044" priority="8138" stopIfTrue="1">
      <formula>AND(AC52&gt;=91000,AC52&lt;=91999)</formula>
    </cfRule>
  </conditionalFormatting>
  <conditionalFormatting sqref="AB52">
    <cfRule type="expression" dxfId="22043" priority="8117">
      <formula>AND(AC52&gt;=79001,AC52&lt;79900)</formula>
    </cfRule>
    <cfRule type="expression" dxfId="22042" priority="8118" stopIfTrue="1">
      <formula>AND(AC52&gt;=70101,AC52&lt;=70301)</formula>
    </cfRule>
    <cfRule type="expression" dxfId="22041" priority="8119" stopIfTrue="1">
      <formula>AND(AC52&gt;70000,AC52&lt;70004)</formula>
    </cfRule>
    <cfRule type="expression" dxfId="22040" priority="8120" stopIfTrue="1">
      <formula>AND(AC52&gt;=70010,AC52&lt;=76000)</formula>
    </cfRule>
    <cfRule type="expression" dxfId="22039" priority="8121">
      <formula>AND(AC52&gt;70000,AC52&lt;70004)</formula>
    </cfRule>
    <cfRule type="expression" dxfId="22038" priority="8122" stopIfTrue="1">
      <formula>OR(AND(AC52&gt;=10000,AC52&lt;=56999),AND(AC52&gt;=57000,AC52&lt;=57999))</formula>
    </cfRule>
    <cfRule type="expression" dxfId="22037" priority="8123" stopIfTrue="1">
      <formula>AND(AC52&gt;=8000,AC52&lt;=9999)</formula>
    </cfRule>
    <cfRule type="expression" dxfId="22036" priority="8124" stopIfTrue="1">
      <formula>AND(AC52&gt;=78100,AC52&lt;=78199)</formula>
    </cfRule>
    <cfRule type="expression" dxfId="22035" priority="8125" stopIfTrue="1">
      <formula>AND(AC52&gt;=92000,AC52&lt;=98999)</formula>
    </cfRule>
    <cfRule type="expression" dxfId="22034" priority="8126" stopIfTrue="1">
      <formula>AND(AC52&gt;=78100,AC52&lt;=78199)</formula>
    </cfRule>
    <cfRule type="expression" dxfId="22033" priority="8127" stopIfTrue="1">
      <formula>AND(AC52&gt;=91000,AC52&lt;=91999)</formula>
    </cfRule>
  </conditionalFormatting>
  <conditionalFormatting sqref="AF52">
    <cfRule type="expression" dxfId="22032" priority="8106">
      <formula>AND(AG52&gt;=79001,AG52&lt;79900)</formula>
    </cfRule>
    <cfRule type="expression" dxfId="22031" priority="8107" stopIfTrue="1">
      <formula>AND(AG52&gt;=70101,AG52&lt;=70301)</formula>
    </cfRule>
    <cfRule type="expression" dxfId="22030" priority="8108" stopIfTrue="1">
      <formula>AND(AG52&gt;70000,AG52&lt;70004)</formula>
    </cfRule>
    <cfRule type="expression" dxfId="22029" priority="8109" stopIfTrue="1">
      <formula>AND(AG52&gt;=70010,AG52&lt;=76000)</formula>
    </cfRule>
    <cfRule type="expression" dxfId="22028" priority="8110">
      <formula>AND(AG52&gt;70000,AG52&lt;70004)</formula>
    </cfRule>
    <cfRule type="expression" dxfId="22027" priority="8111" stopIfTrue="1">
      <formula>OR(AND(AG52&gt;=10000,AG52&lt;=56999),AND(AG52&gt;=57000,AG52&lt;=57999))</formula>
    </cfRule>
    <cfRule type="expression" dxfId="22026" priority="8112" stopIfTrue="1">
      <formula>AND(AG52&gt;=8000,AG52&lt;=9999)</formula>
    </cfRule>
    <cfRule type="expression" dxfId="22025" priority="8113" stopIfTrue="1">
      <formula>AND(AG52&gt;=78100,AG52&lt;=78199)</formula>
    </cfRule>
    <cfRule type="expression" dxfId="22024" priority="8114" stopIfTrue="1">
      <formula>AND(AG52&gt;=92000,AG52&lt;=98999)</formula>
    </cfRule>
    <cfRule type="expression" dxfId="22023" priority="8115" stopIfTrue="1">
      <formula>AND(AG52&gt;=78100,AG52&lt;=78199)</formula>
    </cfRule>
    <cfRule type="expression" dxfId="22022" priority="8116" stopIfTrue="1">
      <formula>AND(AG52&gt;=91000,AG52&lt;=91999)</formula>
    </cfRule>
  </conditionalFormatting>
  <conditionalFormatting sqref="AF52">
    <cfRule type="expression" dxfId="22021" priority="8095">
      <formula>AND(AG52&gt;=79001,AG52&lt;79900)</formula>
    </cfRule>
    <cfRule type="expression" dxfId="22020" priority="8096" stopIfTrue="1">
      <formula>AND(AG52&gt;=70101,AG52&lt;=70301)</formula>
    </cfRule>
    <cfRule type="expression" dxfId="22019" priority="8097" stopIfTrue="1">
      <formula>AND(AG52&gt;70000,AG52&lt;70004)</formula>
    </cfRule>
    <cfRule type="expression" dxfId="22018" priority="8098" stopIfTrue="1">
      <formula>AND(AG52&gt;=70010,AG52&lt;=76000)</formula>
    </cfRule>
    <cfRule type="expression" dxfId="22017" priority="8099">
      <formula>AND(AG52&gt;70000,AG52&lt;70004)</formula>
    </cfRule>
    <cfRule type="expression" dxfId="22016" priority="8100" stopIfTrue="1">
      <formula>OR(AND(AG52&gt;=10000,AG52&lt;=56999),AND(AG52&gt;=57000,AG52&lt;=57999))</formula>
    </cfRule>
    <cfRule type="expression" dxfId="22015" priority="8101" stopIfTrue="1">
      <formula>AND(AG52&gt;=8000,AG52&lt;=9999)</formula>
    </cfRule>
    <cfRule type="expression" dxfId="22014" priority="8102" stopIfTrue="1">
      <formula>AND(AG52&gt;=78100,AG52&lt;=78199)</formula>
    </cfRule>
    <cfRule type="expression" dxfId="22013" priority="8103" stopIfTrue="1">
      <formula>AND(AG52&gt;=92000,AG52&lt;=98999)</formula>
    </cfRule>
    <cfRule type="expression" dxfId="22012" priority="8104" stopIfTrue="1">
      <formula>AND(AG52&gt;=78100,AG52&lt;=78199)</formula>
    </cfRule>
    <cfRule type="expression" dxfId="22011" priority="8105" stopIfTrue="1">
      <formula>AND(AG52&gt;=91000,AG52&lt;=91999)</formula>
    </cfRule>
  </conditionalFormatting>
  <conditionalFormatting sqref="AF52">
    <cfRule type="expression" dxfId="22010" priority="8084">
      <formula>AND(AG52&gt;=79001,AG52&lt;79900)</formula>
    </cfRule>
    <cfRule type="expression" dxfId="22009" priority="8085" stopIfTrue="1">
      <formula>AND(AG52&gt;=70101,AG52&lt;=70301)</formula>
    </cfRule>
    <cfRule type="expression" dxfId="22008" priority="8086" stopIfTrue="1">
      <formula>AND(AG52&gt;70000,AG52&lt;70004)</formula>
    </cfRule>
    <cfRule type="expression" dxfId="22007" priority="8087" stopIfTrue="1">
      <formula>AND(AG52&gt;=70010,AG52&lt;=76000)</formula>
    </cfRule>
    <cfRule type="expression" dxfId="22006" priority="8088">
      <formula>AND(AG52&gt;70000,AG52&lt;70004)</formula>
    </cfRule>
    <cfRule type="expression" dxfId="22005" priority="8089" stopIfTrue="1">
      <formula>OR(AND(AG52&gt;=10000,AG52&lt;=56999),AND(AG52&gt;=57000,AG52&lt;=57999))</formula>
    </cfRule>
    <cfRule type="expression" dxfId="22004" priority="8090" stopIfTrue="1">
      <formula>AND(AG52&gt;=8000,AG52&lt;=9999)</formula>
    </cfRule>
    <cfRule type="expression" dxfId="22003" priority="8091" stopIfTrue="1">
      <formula>AND(AG52&gt;=78100,AG52&lt;=78199)</formula>
    </cfRule>
    <cfRule type="expression" dxfId="22002" priority="8092" stopIfTrue="1">
      <formula>AND(AG52&gt;=92000,AG52&lt;=98999)</formula>
    </cfRule>
    <cfRule type="expression" dxfId="22001" priority="8093" stopIfTrue="1">
      <formula>AND(AG52&gt;=78100,AG52&lt;=78199)</formula>
    </cfRule>
    <cfRule type="expression" dxfId="22000" priority="8094" stopIfTrue="1">
      <formula>AND(AG52&gt;=91000,AG52&lt;=91999)</formula>
    </cfRule>
  </conditionalFormatting>
  <conditionalFormatting sqref="AF52">
    <cfRule type="expression" dxfId="21999" priority="8073">
      <formula>AND(AG52&gt;=79001,AG52&lt;79900)</formula>
    </cfRule>
    <cfRule type="expression" dxfId="21998" priority="8074" stopIfTrue="1">
      <formula>AND(AG52&gt;=70101,AG52&lt;=70301)</formula>
    </cfRule>
    <cfRule type="expression" dxfId="21997" priority="8075" stopIfTrue="1">
      <formula>AND(AG52&gt;70000,AG52&lt;70004)</formula>
    </cfRule>
    <cfRule type="expression" dxfId="21996" priority="8076" stopIfTrue="1">
      <formula>AND(AG52&gt;=70010,AG52&lt;=76000)</formula>
    </cfRule>
    <cfRule type="expression" dxfId="21995" priority="8077">
      <formula>AND(AG52&gt;70000,AG52&lt;70004)</formula>
    </cfRule>
    <cfRule type="expression" dxfId="21994" priority="8078" stopIfTrue="1">
      <formula>OR(AND(AG52&gt;=10000,AG52&lt;=56999),AND(AG52&gt;=57000,AG52&lt;=57999))</formula>
    </cfRule>
    <cfRule type="expression" dxfId="21993" priority="8079" stopIfTrue="1">
      <formula>AND(AG52&gt;=8000,AG52&lt;=9999)</formula>
    </cfRule>
    <cfRule type="expression" dxfId="21992" priority="8080" stopIfTrue="1">
      <formula>AND(AG52&gt;=78100,AG52&lt;=78199)</formula>
    </cfRule>
    <cfRule type="expression" dxfId="21991" priority="8081" stopIfTrue="1">
      <formula>AND(AG52&gt;=92000,AG52&lt;=98999)</formula>
    </cfRule>
    <cfRule type="expression" dxfId="21990" priority="8082" stopIfTrue="1">
      <formula>AND(AG52&gt;=78100,AG52&lt;=78199)</formula>
    </cfRule>
    <cfRule type="expression" dxfId="21989" priority="8083" stopIfTrue="1">
      <formula>AND(AG52&gt;=91000,AG52&lt;=91999)</formula>
    </cfRule>
  </conditionalFormatting>
  <conditionalFormatting sqref="T55">
    <cfRule type="expression" dxfId="21988" priority="8062">
      <formula>AND(U55&gt;=79001,U55&lt;79900)</formula>
    </cfRule>
    <cfRule type="expression" dxfId="21987" priority="8063" stopIfTrue="1">
      <formula>AND(U55&gt;=70101,U55&lt;=70301)</formula>
    </cfRule>
    <cfRule type="expression" dxfId="21986" priority="8064" stopIfTrue="1">
      <formula>AND(U55&gt;70000,U55&lt;70004)</formula>
    </cfRule>
    <cfRule type="expression" dxfId="21985" priority="8065" stopIfTrue="1">
      <formula>AND(U55&gt;=70010,U55&lt;=76000)</formula>
    </cfRule>
    <cfRule type="expression" dxfId="21984" priority="8066">
      <formula>AND(U55&gt;70000,U55&lt;70004)</formula>
    </cfRule>
    <cfRule type="expression" dxfId="21983" priority="8067" stopIfTrue="1">
      <formula>OR(AND(U55&gt;=10000,U55&lt;=56999),AND(U55&gt;=57000,U55&lt;=57999))</formula>
    </cfRule>
    <cfRule type="expression" dxfId="21982" priority="8068" stopIfTrue="1">
      <formula>AND(U55&gt;=8000,U55&lt;=9999)</formula>
    </cfRule>
    <cfRule type="expression" dxfId="21981" priority="8069" stopIfTrue="1">
      <formula>AND(U55&gt;=78100,U55&lt;=78199)</formula>
    </cfRule>
    <cfRule type="expression" dxfId="21980" priority="8070" stopIfTrue="1">
      <formula>AND(U55&gt;=92000,U55&lt;=98999)</formula>
    </cfRule>
    <cfRule type="expression" dxfId="21979" priority="8071" stopIfTrue="1">
      <formula>AND(U55&gt;=78100,U55&lt;=78199)</formula>
    </cfRule>
    <cfRule type="expression" dxfId="21978" priority="8072" stopIfTrue="1">
      <formula>AND(U55&gt;=91000,U55&lt;=91999)</formula>
    </cfRule>
  </conditionalFormatting>
  <conditionalFormatting sqref="T55">
    <cfRule type="expression" dxfId="21977" priority="8051">
      <formula>AND(U55&gt;=79001,U55&lt;79900)</formula>
    </cfRule>
    <cfRule type="expression" dxfId="21976" priority="8052" stopIfTrue="1">
      <formula>AND(U55&gt;=70101,U55&lt;=70301)</formula>
    </cfRule>
    <cfRule type="expression" dxfId="21975" priority="8053" stopIfTrue="1">
      <formula>AND(U55&gt;70000,U55&lt;70004)</formula>
    </cfRule>
    <cfRule type="expression" dxfId="21974" priority="8054" stopIfTrue="1">
      <formula>AND(U55&gt;=70010,U55&lt;=76000)</formula>
    </cfRule>
    <cfRule type="expression" dxfId="21973" priority="8055">
      <formula>AND(U55&gt;70000,U55&lt;70004)</formula>
    </cfRule>
    <cfRule type="expression" dxfId="21972" priority="8056" stopIfTrue="1">
      <formula>OR(AND(U55&gt;=10000,U55&lt;=56999),AND(U55&gt;=57000,U55&lt;=57999))</formula>
    </cfRule>
    <cfRule type="expression" dxfId="21971" priority="8057" stopIfTrue="1">
      <formula>AND(U55&gt;=8000,U55&lt;=9999)</formula>
    </cfRule>
    <cfRule type="expression" dxfId="21970" priority="8058" stopIfTrue="1">
      <formula>AND(U55&gt;=78100,U55&lt;=78199)</formula>
    </cfRule>
    <cfRule type="expression" dxfId="21969" priority="8059" stopIfTrue="1">
      <formula>AND(U55&gt;=92000,U55&lt;=98999)</formula>
    </cfRule>
    <cfRule type="expression" dxfId="21968" priority="8060" stopIfTrue="1">
      <formula>AND(U55&gt;=78100,U55&lt;=78199)</formula>
    </cfRule>
    <cfRule type="expression" dxfId="21967" priority="8061" stopIfTrue="1">
      <formula>AND(U55&gt;=91000,U55&lt;=91999)</formula>
    </cfRule>
  </conditionalFormatting>
  <conditionalFormatting sqref="T55">
    <cfRule type="expression" dxfId="21966" priority="8040">
      <formula>AND(U55&gt;=79001,U55&lt;79900)</formula>
    </cfRule>
    <cfRule type="expression" dxfId="21965" priority="8041" stopIfTrue="1">
      <formula>AND(U55&gt;=70101,U55&lt;=70301)</formula>
    </cfRule>
    <cfRule type="expression" dxfId="21964" priority="8042" stopIfTrue="1">
      <formula>AND(U55&gt;70000,U55&lt;70004)</formula>
    </cfRule>
    <cfRule type="expression" dxfId="21963" priority="8043" stopIfTrue="1">
      <formula>AND(U55&gt;=70010,U55&lt;=76000)</formula>
    </cfRule>
    <cfRule type="expression" dxfId="21962" priority="8044">
      <formula>AND(U55&gt;70000,U55&lt;70004)</formula>
    </cfRule>
    <cfRule type="expression" dxfId="21961" priority="8045" stopIfTrue="1">
      <formula>OR(AND(U55&gt;=10000,U55&lt;=56999),AND(U55&gt;=57000,U55&lt;=57999))</formula>
    </cfRule>
    <cfRule type="expression" dxfId="21960" priority="8046" stopIfTrue="1">
      <formula>AND(U55&gt;=8000,U55&lt;=9999)</formula>
    </cfRule>
    <cfRule type="expression" dxfId="21959" priority="8047" stopIfTrue="1">
      <formula>AND(U55&gt;=78100,U55&lt;=78199)</formula>
    </cfRule>
    <cfRule type="expression" dxfId="21958" priority="8048" stopIfTrue="1">
      <formula>AND(U55&gt;=92000,U55&lt;=98999)</formula>
    </cfRule>
    <cfRule type="expression" dxfId="21957" priority="8049" stopIfTrue="1">
      <formula>AND(U55&gt;=78100,U55&lt;=78199)</formula>
    </cfRule>
    <cfRule type="expression" dxfId="21956" priority="8050" stopIfTrue="1">
      <formula>AND(U55&gt;=91000,U55&lt;=91999)</formula>
    </cfRule>
  </conditionalFormatting>
  <conditionalFormatting sqref="T55">
    <cfRule type="expression" dxfId="21955" priority="8029">
      <formula>AND(U55&gt;=79001,U55&lt;79900)</formula>
    </cfRule>
    <cfRule type="expression" dxfId="21954" priority="8030" stopIfTrue="1">
      <formula>AND(U55&gt;=70101,U55&lt;=70301)</formula>
    </cfRule>
    <cfRule type="expression" dxfId="21953" priority="8031" stopIfTrue="1">
      <formula>AND(U55&gt;70000,U55&lt;70004)</formula>
    </cfRule>
    <cfRule type="expression" dxfId="21952" priority="8032" stopIfTrue="1">
      <formula>AND(U55&gt;=70010,U55&lt;=76000)</formula>
    </cfRule>
    <cfRule type="expression" dxfId="21951" priority="8033">
      <formula>AND(U55&gt;70000,U55&lt;70004)</formula>
    </cfRule>
    <cfRule type="expression" dxfId="21950" priority="8034" stopIfTrue="1">
      <formula>OR(AND(U55&gt;=10000,U55&lt;=56999),AND(U55&gt;=57000,U55&lt;=57999))</formula>
    </cfRule>
    <cfRule type="expression" dxfId="21949" priority="8035" stopIfTrue="1">
      <formula>AND(U55&gt;=8000,U55&lt;=9999)</formula>
    </cfRule>
    <cfRule type="expression" dxfId="21948" priority="8036" stopIfTrue="1">
      <formula>AND(U55&gt;=78100,U55&lt;=78199)</formula>
    </cfRule>
    <cfRule type="expression" dxfId="21947" priority="8037" stopIfTrue="1">
      <formula>AND(U55&gt;=92000,U55&lt;=98999)</formula>
    </cfRule>
    <cfRule type="expression" dxfId="21946" priority="8038" stopIfTrue="1">
      <formula>AND(U55&gt;=78100,U55&lt;=78199)</formula>
    </cfRule>
    <cfRule type="expression" dxfId="21945" priority="8039" stopIfTrue="1">
      <formula>AND(U55&gt;=91000,U55&lt;=91999)</formula>
    </cfRule>
  </conditionalFormatting>
  <conditionalFormatting sqref="X55">
    <cfRule type="expression" dxfId="21944" priority="8018">
      <formula>AND(Y55&gt;=79001,Y55&lt;79900)</formula>
    </cfRule>
    <cfRule type="expression" dxfId="21943" priority="8019" stopIfTrue="1">
      <formula>AND(Y55&gt;=70101,Y55&lt;=70301)</formula>
    </cfRule>
    <cfRule type="expression" dxfId="21942" priority="8020" stopIfTrue="1">
      <formula>AND(Y55&gt;70000,Y55&lt;70004)</formula>
    </cfRule>
    <cfRule type="expression" dxfId="21941" priority="8021" stopIfTrue="1">
      <formula>AND(Y55&gt;=70010,Y55&lt;=76000)</formula>
    </cfRule>
    <cfRule type="expression" dxfId="21940" priority="8022">
      <formula>AND(Y55&gt;70000,Y55&lt;70004)</formula>
    </cfRule>
    <cfRule type="expression" dxfId="21939" priority="8023" stopIfTrue="1">
      <formula>OR(AND(Y55&gt;=10000,Y55&lt;=56999),AND(Y55&gt;=57000,Y55&lt;=57999))</formula>
    </cfRule>
    <cfRule type="expression" dxfId="21938" priority="8024" stopIfTrue="1">
      <formula>AND(Y55&gt;=8000,Y55&lt;=9999)</formula>
    </cfRule>
    <cfRule type="expression" dxfId="21937" priority="8025" stopIfTrue="1">
      <formula>AND(Y55&gt;=78100,Y55&lt;=78199)</formula>
    </cfRule>
    <cfRule type="expression" dxfId="21936" priority="8026" stopIfTrue="1">
      <formula>AND(Y55&gt;=92000,Y55&lt;=98999)</formula>
    </cfRule>
    <cfRule type="expression" dxfId="21935" priority="8027" stopIfTrue="1">
      <formula>AND(Y55&gt;=78100,Y55&lt;=78199)</formula>
    </cfRule>
    <cfRule type="expression" dxfId="21934" priority="8028" stopIfTrue="1">
      <formula>AND(Y55&gt;=91000,Y55&lt;=91999)</formula>
    </cfRule>
  </conditionalFormatting>
  <conditionalFormatting sqref="X55">
    <cfRule type="expression" dxfId="21933" priority="8007">
      <formula>AND(Y55&gt;=79001,Y55&lt;79900)</formula>
    </cfRule>
    <cfRule type="expression" dxfId="21932" priority="8008" stopIfTrue="1">
      <formula>AND(Y55&gt;=70101,Y55&lt;=70301)</formula>
    </cfRule>
    <cfRule type="expression" dxfId="21931" priority="8009" stopIfTrue="1">
      <formula>AND(Y55&gt;70000,Y55&lt;70004)</formula>
    </cfRule>
    <cfRule type="expression" dxfId="21930" priority="8010" stopIfTrue="1">
      <formula>AND(Y55&gt;=70010,Y55&lt;=76000)</formula>
    </cfRule>
    <cfRule type="expression" dxfId="21929" priority="8011">
      <formula>AND(Y55&gt;70000,Y55&lt;70004)</formula>
    </cfRule>
    <cfRule type="expression" dxfId="21928" priority="8012" stopIfTrue="1">
      <formula>OR(AND(Y55&gt;=10000,Y55&lt;=56999),AND(Y55&gt;=57000,Y55&lt;=57999))</formula>
    </cfRule>
    <cfRule type="expression" dxfId="21927" priority="8013" stopIfTrue="1">
      <formula>AND(Y55&gt;=8000,Y55&lt;=9999)</formula>
    </cfRule>
    <cfRule type="expression" dxfId="21926" priority="8014" stopIfTrue="1">
      <formula>AND(Y55&gt;=78100,Y55&lt;=78199)</formula>
    </cfRule>
    <cfRule type="expression" dxfId="21925" priority="8015" stopIfTrue="1">
      <formula>AND(Y55&gt;=92000,Y55&lt;=98999)</formula>
    </cfRule>
    <cfRule type="expression" dxfId="21924" priority="8016" stopIfTrue="1">
      <formula>AND(Y55&gt;=78100,Y55&lt;=78199)</formula>
    </cfRule>
    <cfRule type="expression" dxfId="21923" priority="8017" stopIfTrue="1">
      <formula>AND(Y55&gt;=91000,Y55&lt;=91999)</formula>
    </cfRule>
  </conditionalFormatting>
  <conditionalFormatting sqref="X55">
    <cfRule type="expression" dxfId="21922" priority="7996">
      <formula>AND(Y55&gt;=79001,Y55&lt;79900)</formula>
    </cfRule>
    <cfRule type="expression" dxfId="21921" priority="7997" stopIfTrue="1">
      <formula>AND(Y55&gt;=70101,Y55&lt;=70301)</formula>
    </cfRule>
    <cfRule type="expression" dxfId="21920" priority="7998" stopIfTrue="1">
      <formula>AND(Y55&gt;70000,Y55&lt;70004)</formula>
    </cfRule>
    <cfRule type="expression" dxfId="21919" priority="7999" stopIfTrue="1">
      <formula>AND(Y55&gt;=70010,Y55&lt;=76000)</formula>
    </cfRule>
    <cfRule type="expression" dxfId="21918" priority="8000">
      <formula>AND(Y55&gt;70000,Y55&lt;70004)</formula>
    </cfRule>
    <cfRule type="expression" dxfId="21917" priority="8001" stopIfTrue="1">
      <formula>OR(AND(Y55&gt;=10000,Y55&lt;=56999),AND(Y55&gt;=57000,Y55&lt;=57999))</formula>
    </cfRule>
    <cfRule type="expression" dxfId="21916" priority="8002" stopIfTrue="1">
      <formula>AND(Y55&gt;=8000,Y55&lt;=9999)</formula>
    </cfRule>
    <cfRule type="expression" dxfId="21915" priority="8003" stopIfTrue="1">
      <formula>AND(Y55&gt;=78100,Y55&lt;=78199)</formula>
    </cfRule>
    <cfRule type="expression" dxfId="21914" priority="8004" stopIfTrue="1">
      <formula>AND(Y55&gt;=92000,Y55&lt;=98999)</formula>
    </cfRule>
    <cfRule type="expression" dxfId="21913" priority="8005" stopIfTrue="1">
      <formula>AND(Y55&gt;=78100,Y55&lt;=78199)</formula>
    </cfRule>
    <cfRule type="expression" dxfId="21912" priority="8006" stopIfTrue="1">
      <formula>AND(Y55&gt;=91000,Y55&lt;=91999)</formula>
    </cfRule>
  </conditionalFormatting>
  <conditionalFormatting sqref="X55">
    <cfRule type="expression" dxfId="21911" priority="7985">
      <formula>AND(Y55&gt;=79001,Y55&lt;79900)</formula>
    </cfRule>
    <cfRule type="expression" dxfId="21910" priority="7986" stopIfTrue="1">
      <formula>AND(Y55&gt;=70101,Y55&lt;=70301)</formula>
    </cfRule>
    <cfRule type="expression" dxfId="21909" priority="7987" stopIfTrue="1">
      <formula>AND(Y55&gt;70000,Y55&lt;70004)</formula>
    </cfRule>
    <cfRule type="expression" dxfId="21908" priority="7988" stopIfTrue="1">
      <formula>AND(Y55&gt;=70010,Y55&lt;=76000)</formula>
    </cfRule>
    <cfRule type="expression" dxfId="21907" priority="7989">
      <formula>AND(Y55&gt;70000,Y55&lt;70004)</formula>
    </cfRule>
    <cfRule type="expression" dxfId="21906" priority="7990" stopIfTrue="1">
      <formula>OR(AND(Y55&gt;=10000,Y55&lt;=56999),AND(Y55&gt;=57000,Y55&lt;=57999))</formula>
    </cfRule>
    <cfRule type="expression" dxfId="21905" priority="7991" stopIfTrue="1">
      <formula>AND(Y55&gt;=8000,Y55&lt;=9999)</formula>
    </cfRule>
    <cfRule type="expression" dxfId="21904" priority="7992" stopIfTrue="1">
      <formula>AND(Y55&gt;=78100,Y55&lt;=78199)</formula>
    </cfRule>
    <cfRule type="expression" dxfId="21903" priority="7993" stopIfTrue="1">
      <formula>AND(Y55&gt;=92000,Y55&lt;=98999)</formula>
    </cfRule>
    <cfRule type="expression" dxfId="21902" priority="7994" stopIfTrue="1">
      <formula>AND(Y55&gt;=78100,Y55&lt;=78199)</formula>
    </cfRule>
    <cfRule type="expression" dxfId="21901" priority="7995" stopIfTrue="1">
      <formula>AND(Y55&gt;=91000,Y55&lt;=91999)</formula>
    </cfRule>
  </conditionalFormatting>
  <conditionalFormatting sqref="AB55">
    <cfRule type="expression" dxfId="21900" priority="7974">
      <formula>AND(AC55&gt;=79001,AC55&lt;79900)</formula>
    </cfRule>
    <cfRule type="expression" dxfId="21899" priority="7975" stopIfTrue="1">
      <formula>AND(AC55&gt;=70101,AC55&lt;=70301)</formula>
    </cfRule>
    <cfRule type="expression" dxfId="21898" priority="7976" stopIfTrue="1">
      <formula>AND(AC55&gt;70000,AC55&lt;70004)</formula>
    </cfRule>
    <cfRule type="expression" dxfId="21897" priority="7977" stopIfTrue="1">
      <formula>AND(AC55&gt;=70010,AC55&lt;=76000)</formula>
    </cfRule>
    <cfRule type="expression" dxfId="21896" priority="7978">
      <formula>AND(AC55&gt;70000,AC55&lt;70004)</formula>
    </cfRule>
    <cfRule type="expression" dxfId="21895" priority="7979" stopIfTrue="1">
      <formula>OR(AND(AC55&gt;=10000,AC55&lt;=56999),AND(AC55&gt;=57000,AC55&lt;=57999))</formula>
    </cfRule>
    <cfRule type="expression" dxfId="21894" priority="7980" stopIfTrue="1">
      <formula>AND(AC55&gt;=8000,AC55&lt;=9999)</formula>
    </cfRule>
    <cfRule type="expression" dxfId="21893" priority="7981" stopIfTrue="1">
      <formula>AND(AC55&gt;=78100,AC55&lt;=78199)</formula>
    </cfRule>
    <cfRule type="expression" dxfId="21892" priority="7982" stopIfTrue="1">
      <formula>AND(AC55&gt;=92000,AC55&lt;=98999)</formula>
    </cfRule>
    <cfRule type="expression" dxfId="21891" priority="7983" stopIfTrue="1">
      <formula>AND(AC55&gt;=78100,AC55&lt;=78199)</formula>
    </cfRule>
    <cfRule type="expression" dxfId="21890" priority="7984" stopIfTrue="1">
      <formula>AND(AC55&gt;=91000,AC55&lt;=91999)</formula>
    </cfRule>
  </conditionalFormatting>
  <conditionalFormatting sqref="AB55">
    <cfRule type="expression" dxfId="21889" priority="7963">
      <formula>AND(AC55&gt;=79001,AC55&lt;79900)</formula>
    </cfRule>
    <cfRule type="expression" dxfId="21888" priority="7964" stopIfTrue="1">
      <formula>AND(AC55&gt;=70101,AC55&lt;=70301)</formula>
    </cfRule>
    <cfRule type="expression" dxfId="21887" priority="7965" stopIfTrue="1">
      <formula>AND(AC55&gt;70000,AC55&lt;70004)</formula>
    </cfRule>
    <cfRule type="expression" dxfId="21886" priority="7966" stopIfTrue="1">
      <formula>AND(AC55&gt;=70010,AC55&lt;=76000)</formula>
    </cfRule>
    <cfRule type="expression" dxfId="21885" priority="7967">
      <formula>AND(AC55&gt;70000,AC55&lt;70004)</formula>
    </cfRule>
    <cfRule type="expression" dxfId="21884" priority="7968" stopIfTrue="1">
      <formula>OR(AND(AC55&gt;=10000,AC55&lt;=56999),AND(AC55&gt;=57000,AC55&lt;=57999))</formula>
    </cfRule>
    <cfRule type="expression" dxfId="21883" priority="7969" stopIfTrue="1">
      <formula>AND(AC55&gt;=8000,AC55&lt;=9999)</formula>
    </cfRule>
    <cfRule type="expression" dxfId="21882" priority="7970" stopIfTrue="1">
      <formula>AND(AC55&gt;=78100,AC55&lt;=78199)</formula>
    </cfRule>
    <cfRule type="expression" dxfId="21881" priority="7971" stopIfTrue="1">
      <formula>AND(AC55&gt;=92000,AC55&lt;=98999)</formula>
    </cfRule>
    <cfRule type="expression" dxfId="21880" priority="7972" stopIfTrue="1">
      <formula>AND(AC55&gt;=78100,AC55&lt;=78199)</formula>
    </cfRule>
    <cfRule type="expression" dxfId="21879" priority="7973" stopIfTrue="1">
      <formula>AND(AC55&gt;=91000,AC55&lt;=91999)</formula>
    </cfRule>
  </conditionalFormatting>
  <conditionalFormatting sqref="AB55">
    <cfRule type="expression" dxfId="21878" priority="7952">
      <formula>AND(AC55&gt;=79001,AC55&lt;79900)</formula>
    </cfRule>
    <cfRule type="expression" dxfId="21877" priority="7953" stopIfTrue="1">
      <formula>AND(AC55&gt;=70101,AC55&lt;=70301)</formula>
    </cfRule>
    <cfRule type="expression" dxfId="21876" priority="7954" stopIfTrue="1">
      <formula>AND(AC55&gt;70000,AC55&lt;70004)</formula>
    </cfRule>
    <cfRule type="expression" dxfId="21875" priority="7955" stopIfTrue="1">
      <formula>AND(AC55&gt;=70010,AC55&lt;=76000)</formula>
    </cfRule>
    <cfRule type="expression" dxfId="21874" priority="7956">
      <formula>AND(AC55&gt;70000,AC55&lt;70004)</formula>
    </cfRule>
    <cfRule type="expression" dxfId="21873" priority="7957" stopIfTrue="1">
      <formula>OR(AND(AC55&gt;=10000,AC55&lt;=56999),AND(AC55&gt;=57000,AC55&lt;=57999))</formula>
    </cfRule>
    <cfRule type="expression" dxfId="21872" priority="7958" stopIfTrue="1">
      <formula>AND(AC55&gt;=8000,AC55&lt;=9999)</formula>
    </cfRule>
    <cfRule type="expression" dxfId="21871" priority="7959" stopIfTrue="1">
      <formula>AND(AC55&gt;=78100,AC55&lt;=78199)</formula>
    </cfRule>
    <cfRule type="expression" dxfId="21870" priority="7960" stopIfTrue="1">
      <formula>AND(AC55&gt;=92000,AC55&lt;=98999)</formula>
    </cfRule>
    <cfRule type="expression" dxfId="21869" priority="7961" stopIfTrue="1">
      <formula>AND(AC55&gt;=78100,AC55&lt;=78199)</formula>
    </cfRule>
    <cfRule type="expression" dxfId="21868" priority="7962" stopIfTrue="1">
      <formula>AND(AC55&gt;=91000,AC55&lt;=91999)</formula>
    </cfRule>
  </conditionalFormatting>
  <conditionalFormatting sqref="AB55">
    <cfRule type="expression" dxfId="21867" priority="7941">
      <formula>AND(AC55&gt;=79001,AC55&lt;79900)</formula>
    </cfRule>
    <cfRule type="expression" dxfId="21866" priority="7942" stopIfTrue="1">
      <formula>AND(AC55&gt;=70101,AC55&lt;=70301)</formula>
    </cfRule>
    <cfRule type="expression" dxfId="21865" priority="7943" stopIfTrue="1">
      <formula>AND(AC55&gt;70000,AC55&lt;70004)</formula>
    </cfRule>
    <cfRule type="expression" dxfId="21864" priority="7944" stopIfTrue="1">
      <formula>AND(AC55&gt;=70010,AC55&lt;=76000)</formula>
    </cfRule>
    <cfRule type="expression" dxfId="21863" priority="7945">
      <formula>AND(AC55&gt;70000,AC55&lt;70004)</formula>
    </cfRule>
    <cfRule type="expression" dxfId="21862" priority="7946" stopIfTrue="1">
      <formula>OR(AND(AC55&gt;=10000,AC55&lt;=56999),AND(AC55&gt;=57000,AC55&lt;=57999))</formula>
    </cfRule>
    <cfRule type="expression" dxfId="21861" priority="7947" stopIfTrue="1">
      <formula>AND(AC55&gt;=8000,AC55&lt;=9999)</formula>
    </cfRule>
    <cfRule type="expression" dxfId="21860" priority="7948" stopIfTrue="1">
      <formula>AND(AC55&gt;=78100,AC55&lt;=78199)</formula>
    </cfRule>
    <cfRule type="expression" dxfId="21859" priority="7949" stopIfTrue="1">
      <formula>AND(AC55&gt;=92000,AC55&lt;=98999)</formula>
    </cfRule>
    <cfRule type="expression" dxfId="21858" priority="7950" stopIfTrue="1">
      <formula>AND(AC55&gt;=78100,AC55&lt;=78199)</formula>
    </cfRule>
    <cfRule type="expression" dxfId="21857" priority="7951" stopIfTrue="1">
      <formula>AND(AC55&gt;=91000,AC55&lt;=91999)</formula>
    </cfRule>
  </conditionalFormatting>
  <conditionalFormatting sqref="AF55">
    <cfRule type="expression" dxfId="21856" priority="7930">
      <formula>AND(AG55&gt;=79001,AG55&lt;79900)</formula>
    </cfRule>
    <cfRule type="expression" dxfId="21855" priority="7931" stopIfTrue="1">
      <formula>AND(AG55&gt;=70101,AG55&lt;=70301)</formula>
    </cfRule>
    <cfRule type="expression" dxfId="21854" priority="7932" stopIfTrue="1">
      <formula>AND(AG55&gt;70000,AG55&lt;70004)</formula>
    </cfRule>
    <cfRule type="expression" dxfId="21853" priority="7933" stopIfTrue="1">
      <formula>AND(AG55&gt;=70010,AG55&lt;=76000)</formula>
    </cfRule>
    <cfRule type="expression" dxfId="21852" priority="7934">
      <formula>AND(AG55&gt;70000,AG55&lt;70004)</formula>
    </cfRule>
    <cfRule type="expression" dxfId="21851" priority="7935" stopIfTrue="1">
      <formula>OR(AND(AG55&gt;=10000,AG55&lt;=56999),AND(AG55&gt;=57000,AG55&lt;=57999))</formula>
    </cfRule>
    <cfRule type="expression" dxfId="21850" priority="7936" stopIfTrue="1">
      <formula>AND(AG55&gt;=8000,AG55&lt;=9999)</formula>
    </cfRule>
    <cfRule type="expression" dxfId="21849" priority="7937" stopIfTrue="1">
      <formula>AND(AG55&gt;=78100,AG55&lt;=78199)</formula>
    </cfRule>
    <cfRule type="expression" dxfId="21848" priority="7938" stopIfTrue="1">
      <formula>AND(AG55&gt;=92000,AG55&lt;=98999)</formula>
    </cfRule>
    <cfRule type="expression" dxfId="21847" priority="7939" stopIfTrue="1">
      <formula>AND(AG55&gt;=78100,AG55&lt;=78199)</formula>
    </cfRule>
    <cfRule type="expression" dxfId="21846" priority="7940" stopIfTrue="1">
      <formula>AND(AG55&gt;=91000,AG55&lt;=91999)</formula>
    </cfRule>
  </conditionalFormatting>
  <conditionalFormatting sqref="AF55">
    <cfRule type="expression" dxfId="21845" priority="7919">
      <formula>AND(AG55&gt;=79001,AG55&lt;79900)</formula>
    </cfRule>
    <cfRule type="expression" dxfId="21844" priority="7920" stopIfTrue="1">
      <formula>AND(AG55&gt;=70101,AG55&lt;=70301)</formula>
    </cfRule>
    <cfRule type="expression" dxfId="21843" priority="7921" stopIfTrue="1">
      <formula>AND(AG55&gt;70000,AG55&lt;70004)</formula>
    </cfRule>
    <cfRule type="expression" dxfId="21842" priority="7922" stopIfTrue="1">
      <formula>AND(AG55&gt;=70010,AG55&lt;=76000)</formula>
    </cfRule>
    <cfRule type="expression" dxfId="21841" priority="7923">
      <formula>AND(AG55&gt;70000,AG55&lt;70004)</formula>
    </cfRule>
    <cfRule type="expression" dxfId="21840" priority="7924" stopIfTrue="1">
      <formula>OR(AND(AG55&gt;=10000,AG55&lt;=56999),AND(AG55&gt;=57000,AG55&lt;=57999))</formula>
    </cfRule>
    <cfRule type="expression" dxfId="21839" priority="7925" stopIfTrue="1">
      <formula>AND(AG55&gt;=8000,AG55&lt;=9999)</formula>
    </cfRule>
    <cfRule type="expression" dxfId="21838" priority="7926" stopIfTrue="1">
      <formula>AND(AG55&gt;=78100,AG55&lt;=78199)</formula>
    </cfRule>
    <cfRule type="expression" dxfId="21837" priority="7927" stopIfTrue="1">
      <formula>AND(AG55&gt;=92000,AG55&lt;=98999)</formula>
    </cfRule>
    <cfRule type="expression" dxfId="21836" priority="7928" stopIfTrue="1">
      <formula>AND(AG55&gt;=78100,AG55&lt;=78199)</formula>
    </cfRule>
    <cfRule type="expression" dxfId="21835" priority="7929" stopIfTrue="1">
      <formula>AND(AG55&gt;=91000,AG55&lt;=91999)</formula>
    </cfRule>
  </conditionalFormatting>
  <conditionalFormatting sqref="AF55">
    <cfRule type="expression" dxfId="21834" priority="7908">
      <formula>AND(AG55&gt;=79001,AG55&lt;79900)</formula>
    </cfRule>
    <cfRule type="expression" dxfId="21833" priority="7909" stopIfTrue="1">
      <formula>AND(AG55&gt;=70101,AG55&lt;=70301)</formula>
    </cfRule>
    <cfRule type="expression" dxfId="21832" priority="7910" stopIfTrue="1">
      <formula>AND(AG55&gt;70000,AG55&lt;70004)</formula>
    </cfRule>
    <cfRule type="expression" dxfId="21831" priority="7911" stopIfTrue="1">
      <formula>AND(AG55&gt;=70010,AG55&lt;=76000)</formula>
    </cfRule>
    <cfRule type="expression" dxfId="21830" priority="7912">
      <formula>AND(AG55&gt;70000,AG55&lt;70004)</formula>
    </cfRule>
    <cfRule type="expression" dxfId="21829" priority="7913" stopIfTrue="1">
      <formula>OR(AND(AG55&gt;=10000,AG55&lt;=56999),AND(AG55&gt;=57000,AG55&lt;=57999))</formula>
    </cfRule>
    <cfRule type="expression" dxfId="21828" priority="7914" stopIfTrue="1">
      <formula>AND(AG55&gt;=8000,AG55&lt;=9999)</formula>
    </cfRule>
    <cfRule type="expression" dxfId="21827" priority="7915" stopIfTrue="1">
      <formula>AND(AG55&gt;=78100,AG55&lt;=78199)</formula>
    </cfRule>
    <cfRule type="expression" dxfId="21826" priority="7916" stopIfTrue="1">
      <formula>AND(AG55&gt;=92000,AG55&lt;=98999)</formula>
    </cfRule>
    <cfRule type="expression" dxfId="21825" priority="7917" stopIfTrue="1">
      <formula>AND(AG55&gt;=78100,AG55&lt;=78199)</formula>
    </cfRule>
    <cfRule type="expression" dxfId="21824" priority="7918" stopIfTrue="1">
      <formula>AND(AG55&gt;=91000,AG55&lt;=91999)</formula>
    </cfRule>
  </conditionalFormatting>
  <conditionalFormatting sqref="AF55">
    <cfRule type="expression" dxfId="21823" priority="7897">
      <formula>AND(AG55&gt;=79001,AG55&lt;79900)</formula>
    </cfRule>
    <cfRule type="expression" dxfId="21822" priority="7898" stopIfTrue="1">
      <formula>AND(AG55&gt;=70101,AG55&lt;=70301)</formula>
    </cfRule>
    <cfRule type="expression" dxfId="21821" priority="7899" stopIfTrue="1">
      <formula>AND(AG55&gt;70000,AG55&lt;70004)</formula>
    </cfRule>
    <cfRule type="expression" dxfId="21820" priority="7900" stopIfTrue="1">
      <formula>AND(AG55&gt;=70010,AG55&lt;=76000)</formula>
    </cfRule>
    <cfRule type="expression" dxfId="21819" priority="7901">
      <formula>AND(AG55&gt;70000,AG55&lt;70004)</formula>
    </cfRule>
    <cfRule type="expression" dxfId="21818" priority="7902" stopIfTrue="1">
      <formula>OR(AND(AG55&gt;=10000,AG55&lt;=56999),AND(AG55&gt;=57000,AG55&lt;=57999))</formula>
    </cfRule>
    <cfRule type="expression" dxfId="21817" priority="7903" stopIfTrue="1">
      <formula>AND(AG55&gt;=8000,AG55&lt;=9999)</formula>
    </cfRule>
    <cfRule type="expression" dxfId="21816" priority="7904" stopIfTrue="1">
      <formula>AND(AG55&gt;=78100,AG55&lt;=78199)</formula>
    </cfRule>
    <cfRule type="expression" dxfId="21815" priority="7905" stopIfTrue="1">
      <formula>AND(AG55&gt;=92000,AG55&lt;=98999)</formula>
    </cfRule>
    <cfRule type="expression" dxfId="21814" priority="7906" stopIfTrue="1">
      <formula>AND(AG55&gt;=78100,AG55&lt;=78199)</formula>
    </cfRule>
    <cfRule type="expression" dxfId="21813" priority="7907" stopIfTrue="1">
      <formula>AND(AG55&gt;=91000,AG55&lt;=91999)</formula>
    </cfRule>
  </conditionalFormatting>
  <conditionalFormatting sqref="X58">
    <cfRule type="expression" dxfId="21812" priority="7886">
      <formula>AND(Y58&gt;=79001,Y58&lt;79900)</formula>
    </cfRule>
    <cfRule type="expression" dxfId="21811" priority="7887" stopIfTrue="1">
      <formula>AND(Y58&gt;=70101,Y58&lt;=70301)</formula>
    </cfRule>
    <cfRule type="expression" dxfId="21810" priority="7888" stopIfTrue="1">
      <formula>AND(Y58&gt;70000,Y58&lt;70004)</formula>
    </cfRule>
    <cfRule type="expression" dxfId="21809" priority="7889" stopIfTrue="1">
      <formula>AND(Y58&gt;=70010,Y58&lt;=76000)</formula>
    </cfRule>
    <cfRule type="expression" dxfId="21808" priority="7890">
      <formula>AND(Y58&gt;70000,Y58&lt;70004)</formula>
    </cfRule>
    <cfRule type="expression" dxfId="21807" priority="7891" stopIfTrue="1">
      <formula>OR(AND(Y58&gt;=10000,Y58&lt;=56999),AND(Y58&gt;=57000,Y58&lt;=57999))</formula>
    </cfRule>
    <cfRule type="expression" dxfId="21806" priority="7892" stopIfTrue="1">
      <formula>AND(Y58&gt;=8000,Y58&lt;=9999)</formula>
    </cfRule>
    <cfRule type="expression" dxfId="21805" priority="7893" stopIfTrue="1">
      <formula>AND(Y58&gt;=78100,Y58&lt;=78199)</formula>
    </cfRule>
    <cfRule type="expression" dxfId="21804" priority="7894" stopIfTrue="1">
      <formula>AND(Y58&gt;=92000,Y58&lt;=98999)</formula>
    </cfRule>
    <cfRule type="expression" dxfId="21803" priority="7895" stopIfTrue="1">
      <formula>AND(Y58&gt;=78100,Y58&lt;=78199)</formula>
    </cfRule>
    <cfRule type="expression" dxfId="21802" priority="7896" stopIfTrue="1">
      <formula>AND(Y58&gt;=91000,Y58&lt;=91999)</formula>
    </cfRule>
  </conditionalFormatting>
  <conditionalFormatting sqref="X58">
    <cfRule type="expression" dxfId="21801" priority="7875">
      <formula>AND(Y58&gt;=79001,Y58&lt;79900)</formula>
    </cfRule>
    <cfRule type="expression" dxfId="21800" priority="7876" stopIfTrue="1">
      <formula>AND(Y58&gt;=70101,Y58&lt;=70301)</formula>
    </cfRule>
    <cfRule type="expression" dxfId="21799" priority="7877" stopIfTrue="1">
      <formula>AND(Y58&gt;70000,Y58&lt;70004)</formula>
    </cfRule>
    <cfRule type="expression" dxfId="21798" priority="7878" stopIfTrue="1">
      <formula>AND(Y58&gt;=70010,Y58&lt;=76000)</formula>
    </cfRule>
    <cfRule type="expression" dxfId="21797" priority="7879">
      <formula>AND(Y58&gt;70000,Y58&lt;70004)</formula>
    </cfRule>
    <cfRule type="expression" dxfId="21796" priority="7880" stopIfTrue="1">
      <formula>OR(AND(Y58&gt;=10000,Y58&lt;=56999),AND(Y58&gt;=57000,Y58&lt;=57999))</formula>
    </cfRule>
    <cfRule type="expression" dxfId="21795" priority="7881" stopIfTrue="1">
      <formula>AND(Y58&gt;=8000,Y58&lt;=9999)</formula>
    </cfRule>
    <cfRule type="expression" dxfId="21794" priority="7882" stopIfTrue="1">
      <formula>AND(Y58&gt;=78100,Y58&lt;=78199)</formula>
    </cfRule>
    <cfRule type="expression" dxfId="21793" priority="7883" stopIfTrue="1">
      <formula>AND(Y58&gt;=92000,Y58&lt;=98999)</formula>
    </cfRule>
    <cfRule type="expression" dxfId="21792" priority="7884" stopIfTrue="1">
      <formula>AND(Y58&gt;=78100,Y58&lt;=78199)</formula>
    </cfRule>
    <cfRule type="expression" dxfId="21791" priority="7885" stopIfTrue="1">
      <formula>AND(Y58&gt;=91000,Y58&lt;=91999)</formula>
    </cfRule>
  </conditionalFormatting>
  <conditionalFormatting sqref="X58">
    <cfRule type="expression" dxfId="21790" priority="7864">
      <formula>AND(Y58&gt;=79001,Y58&lt;79900)</formula>
    </cfRule>
    <cfRule type="expression" dxfId="21789" priority="7865" stopIfTrue="1">
      <formula>AND(Y58&gt;=70101,Y58&lt;=70301)</formula>
    </cfRule>
    <cfRule type="expression" dxfId="21788" priority="7866" stopIfTrue="1">
      <formula>AND(Y58&gt;70000,Y58&lt;70004)</formula>
    </cfRule>
    <cfRule type="expression" dxfId="21787" priority="7867" stopIfTrue="1">
      <formula>AND(Y58&gt;=70010,Y58&lt;=76000)</formula>
    </cfRule>
    <cfRule type="expression" dxfId="21786" priority="7868">
      <formula>AND(Y58&gt;70000,Y58&lt;70004)</formula>
    </cfRule>
    <cfRule type="expression" dxfId="21785" priority="7869" stopIfTrue="1">
      <formula>OR(AND(Y58&gt;=10000,Y58&lt;=56999),AND(Y58&gt;=57000,Y58&lt;=57999))</formula>
    </cfRule>
    <cfRule type="expression" dxfId="21784" priority="7870" stopIfTrue="1">
      <formula>AND(Y58&gt;=8000,Y58&lt;=9999)</formula>
    </cfRule>
    <cfRule type="expression" dxfId="21783" priority="7871" stopIfTrue="1">
      <formula>AND(Y58&gt;=78100,Y58&lt;=78199)</formula>
    </cfRule>
    <cfRule type="expression" dxfId="21782" priority="7872" stopIfTrue="1">
      <formula>AND(Y58&gt;=92000,Y58&lt;=98999)</formula>
    </cfRule>
    <cfRule type="expression" dxfId="21781" priority="7873" stopIfTrue="1">
      <formula>AND(Y58&gt;=78100,Y58&lt;=78199)</formula>
    </cfRule>
    <cfRule type="expression" dxfId="21780" priority="7874" stopIfTrue="1">
      <formula>AND(Y58&gt;=91000,Y58&lt;=91999)</formula>
    </cfRule>
  </conditionalFormatting>
  <conditionalFormatting sqref="X58">
    <cfRule type="expression" dxfId="21779" priority="7853">
      <formula>AND(Y58&gt;=79001,Y58&lt;79900)</formula>
    </cfRule>
    <cfRule type="expression" dxfId="21778" priority="7854" stopIfTrue="1">
      <formula>AND(Y58&gt;=70101,Y58&lt;=70301)</formula>
    </cfRule>
    <cfRule type="expression" dxfId="21777" priority="7855" stopIfTrue="1">
      <formula>AND(Y58&gt;70000,Y58&lt;70004)</formula>
    </cfRule>
    <cfRule type="expression" dxfId="21776" priority="7856" stopIfTrue="1">
      <formula>AND(Y58&gt;=70010,Y58&lt;=76000)</formula>
    </cfRule>
    <cfRule type="expression" dxfId="21775" priority="7857">
      <formula>AND(Y58&gt;70000,Y58&lt;70004)</formula>
    </cfRule>
    <cfRule type="expression" dxfId="21774" priority="7858" stopIfTrue="1">
      <formula>OR(AND(Y58&gt;=10000,Y58&lt;=56999),AND(Y58&gt;=57000,Y58&lt;=57999))</formula>
    </cfRule>
    <cfRule type="expression" dxfId="21773" priority="7859" stopIfTrue="1">
      <formula>AND(Y58&gt;=8000,Y58&lt;=9999)</formula>
    </cfRule>
    <cfRule type="expression" dxfId="21772" priority="7860" stopIfTrue="1">
      <formula>AND(Y58&gt;=78100,Y58&lt;=78199)</formula>
    </cfRule>
    <cfRule type="expression" dxfId="21771" priority="7861" stopIfTrue="1">
      <formula>AND(Y58&gt;=92000,Y58&lt;=98999)</formula>
    </cfRule>
    <cfRule type="expression" dxfId="21770" priority="7862" stopIfTrue="1">
      <formula>AND(Y58&gt;=78100,Y58&lt;=78199)</formula>
    </cfRule>
    <cfRule type="expression" dxfId="21769" priority="7863" stopIfTrue="1">
      <formula>AND(Y58&gt;=91000,Y58&lt;=91999)</formula>
    </cfRule>
  </conditionalFormatting>
  <conditionalFormatting sqref="AB58">
    <cfRule type="expression" dxfId="21768" priority="7842">
      <formula>AND(AC58&gt;=79001,AC58&lt;79900)</formula>
    </cfRule>
    <cfRule type="expression" dxfId="21767" priority="7843" stopIfTrue="1">
      <formula>AND(AC58&gt;=70101,AC58&lt;=70301)</formula>
    </cfRule>
    <cfRule type="expression" dxfId="21766" priority="7844" stopIfTrue="1">
      <formula>AND(AC58&gt;70000,AC58&lt;70004)</formula>
    </cfRule>
    <cfRule type="expression" dxfId="21765" priority="7845" stopIfTrue="1">
      <formula>AND(AC58&gt;=70010,AC58&lt;=76000)</formula>
    </cfRule>
    <cfRule type="expression" dxfId="21764" priority="7846">
      <formula>AND(AC58&gt;70000,AC58&lt;70004)</formula>
    </cfRule>
    <cfRule type="expression" dxfId="21763" priority="7847" stopIfTrue="1">
      <formula>OR(AND(AC58&gt;=10000,AC58&lt;=56999),AND(AC58&gt;=57000,AC58&lt;=57999))</formula>
    </cfRule>
    <cfRule type="expression" dxfId="21762" priority="7848" stopIfTrue="1">
      <formula>AND(AC58&gt;=8000,AC58&lt;=9999)</formula>
    </cfRule>
    <cfRule type="expression" dxfId="21761" priority="7849" stopIfTrue="1">
      <formula>AND(AC58&gt;=78100,AC58&lt;=78199)</formula>
    </cfRule>
    <cfRule type="expression" dxfId="21760" priority="7850" stopIfTrue="1">
      <formula>AND(AC58&gt;=92000,AC58&lt;=98999)</formula>
    </cfRule>
    <cfRule type="expression" dxfId="21759" priority="7851" stopIfTrue="1">
      <formula>AND(AC58&gt;=78100,AC58&lt;=78199)</formula>
    </cfRule>
    <cfRule type="expression" dxfId="21758" priority="7852" stopIfTrue="1">
      <formula>AND(AC58&gt;=91000,AC58&lt;=91999)</formula>
    </cfRule>
  </conditionalFormatting>
  <conditionalFormatting sqref="AB58">
    <cfRule type="expression" dxfId="21757" priority="7831">
      <formula>AND(AC58&gt;=79001,AC58&lt;79900)</formula>
    </cfRule>
    <cfRule type="expression" dxfId="21756" priority="7832" stopIfTrue="1">
      <formula>AND(AC58&gt;=70101,AC58&lt;=70301)</formula>
    </cfRule>
    <cfRule type="expression" dxfId="21755" priority="7833" stopIfTrue="1">
      <formula>AND(AC58&gt;70000,AC58&lt;70004)</formula>
    </cfRule>
    <cfRule type="expression" dxfId="21754" priority="7834" stopIfTrue="1">
      <formula>AND(AC58&gt;=70010,AC58&lt;=76000)</formula>
    </cfRule>
    <cfRule type="expression" dxfId="21753" priority="7835">
      <formula>AND(AC58&gt;70000,AC58&lt;70004)</formula>
    </cfRule>
    <cfRule type="expression" dxfId="21752" priority="7836" stopIfTrue="1">
      <formula>OR(AND(AC58&gt;=10000,AC58&lt;=56999),AND(AC58&gt;=57000,AC58&lt;=57999))</formula>
    </cfRule>
    <cfRule type="expression" dxfId="21751" priority="7837" stopIfTrue="1">
      <formula>AND(AC58&gt;=8000,AC58&lt;=9999)</formula>
    </cfRule>
    <cfRule type="expression" dxfId="21750" priority="7838" stopIfTrue="1">
      <formula>AND(AC58&gt;=78100,AC58&lt;=78199)</formula>
    </cfRule>
    <cfRule type="expression" dxfId="21749" priority="7839" stopIfTrue="1">
      <formula>AND(AC58&gt;=92000,AC58&lt;=98999)</formula>
    </cfRule>
    <cfRule type="expression" dxfId="21748" priority="7840" stopIfTrue="1">
      <formula>AND(AC58&gt;=78100,AC58&lt;=78199)</formula>
    </cfRule>
    <cfRule type="expression" dxfId="21747" priority="7841" stopIfTrue="1">
      <formula>AND(AC58&gt;=91000,AC58&lt;=91999)</formula>
    </cfRule>
  </conditionalFormatting>
  <conditionalFormatting sqref="AB58">
    <cfRule type="expression" dxfId="21746" priority="7820">
      <formula>AND(AC58&gt;=79001,AC58&lt;79900)</formula>
    </cfRule>
    <cfRule type="expression" dxfId="21745" priority="7821" stopIfTrue="1">
      <formula>AND(AC58&gt;=70101,AC58&lt;=70301)</formula>
    </cfRule>
    <cfRule type="expression" dxfId="21744" priority="7822" stopIfTrue="1">
      <formula>AND(AC58&gt;70000,AC58&lt;70004)</formula>
    </cfRule>
    <cfRule type="expression" dxfId="21743" priority="7823" stopIfTrue="1">
      <formula>AND(AC58&gt;=70010,AC58&lt;=76000)</formula>
    </cfRule>
    <cfRule type="expression" dxfId="21742" priority="7824">
      <formula>AND(AC58&gt;70000,AC58&lt;70004)</formula>
    </cfRule>
    <cfRule type="expression" dxfId="21741" priority="7825" stopIfTrue="1">
      <formula>OR(AND(AC58&gt;=10000,AC58&lt;=56999),AND(AC58&gt;=57000,AC58&lt;=57999))</formula>
    </cfRule>
    <cfRule type="expression" dxfId="21740" priority="7826" stopIfTrue="1">
      <formula>AND(AC58&gt;=8000,AC58&lt;=9999)</formula>
    </cfRule>
    <cfRule type="expression" dxfId="21739" priority="7827" stopIfTrue="1">
      <formula>AND(AC58&gt;=78100,AC58&lt;=78199)</formula>
    </cfRule>
    <cfRule type="expression" dxfId="21738" priority="7828" stopIfTrue="1">
      <formula>AND(AC58&gt;=92000,AC58&lt;=98999)</formula>
    </cfRule>
    <cfRule type="expression" dxfId="21737" priority="7829" stopIfTrue="1">
      <formula>AND(AC58&gt;=78100,AC58&lt;=78199)</formula>
    </cfRule>
    <cfRule type="expression" dxfId="21736" priority="7830" stopIfTrue="1">
      <formula>AND(AC58&gt;=91000,AC58&lt;=91999)</formula>
    </cfRule>
  </conditionalFormatting>
  <conditionalFormatting sqref="AB58">
    <cfRule type="expression" dxfId="21735" priority="7809">
      <formula>AND(AC58&gt;=79001,AC58&lt;79900)</formula>
    </cfRule>
    <cfRule type="expression" dxfId="21734" priority="7810" stopIfTrue="1">
      <formula>AND(AC58&gt;=70101,AC58&lt;=70301)</formula>
    </cfRule>
    <cfRule type="expression" dxfId="21733" priority="7811" stopIfTrue="1">
      <formula>AND(AC58&gt;70000,AC58&lt;70004)</formula>
    </cfRule>
    <cfRule type="expression" dxfId="21732" priority="7812" stopIfTrue="1">
      <formula>AND(AC58&gt;=70010,AC58&lt;=76000)</formula>
    </cfRule>
    <cfRule type="expression" dxfId="21731" priority="7813">
      <formula>AND(AC58&gt;70000,AC58&lt;70004)</formula>
    </cfRule>
    <cfRule type="expression" dxfId="21730" priority="7814" stopIfTrue="1">
      <formula>OR(AND(AC58&gt;=10000,AC58&lt;=56999),AND(AC58&gt;=57000,AC58&lt;=57999))</formula>
    </cfRule>
    <cfRule type="expression" dxfId="21729" priority="7815" stopIfTrue="1">
      <formula>AND(AC58&gt;=8000,AC58&lt;=9999)</formula>
    </cfRule>
    <cfRule type="expression" dxfId="21728" priority="7816" stopIfTrue="1">
      <formula>AND(AC58&gt;=78100,AC58&lt;=78199)</formula>
    </cfRule>
    <cfRule type="expression" dxfId="21727" priority="7817" stopIfTrue="1">
      <formula>AND(AC58&gt;=92000,AC58&lt;=98999)</formula>
    </cfRule>
    <cfRule type="expression" dxfId="21726" priority="7818" stopIfTrue="1">
      <formula>AND(AC58&gt;=78100,AC58&lt;=78199)</formula>
    </cfRule>
    <cfRule type="expression" dxfId="21725" priority="7819" stopIfTrue="1">
      <formula>AND(AC58&gt;=91000,AC58&lt;=91999)</formula>
    </cfRule>
  </conditionalFormatting>
  <conditionalFormatting sqref="AF58">
    <cfRule type="expression" dxfId="21724" priority="7798">
      <formula>AND(AG58&gt;=79001,AG58&lt;79900)</formula>
    </cfRule>
    <cfRule type="expression" dxfId="21723" priority="7799" stopIfTrue="1">
      <formula>AND(AG58&gt;=70101,AG58&lt;=70301)</formula>
    </cfRule>
    <cfRule type="expression" dxfId="21722" priority="7800" stopIfTrue="1">
      <formula>AND(AG58&gt;70000,AG58&lt;70004)</formula>
    </cfRule>
    <cfRule type="expression" dxfId="21721" priority="7801" stopIfTrue="1">
      <formula>AND(AG58&gt;=70010,AG58&lt;=76000)</formula>
    </cfRule>
    <cfRule type="expression" dxfId="21720" priority="7802">
      <formula>AND(AG58&gt;70000,AG58&lt;70004)</formula>
    </cfRule>
    <cfRule type="expression" dxfId="21719" priority="7803" stopIfTrue="1">
      <formula>OR(AND(AG58&gt;=10000,AG58&lt;=56999),AND(AG58&gt;=57000,AG58&lt;=57999))</formula>
    </cfRule>
    <cfRule type="expression" dxfId="21718" priority="7804" stopIfTrue="1">
      <formula>AND(AG58&gt;=8000,AG58&lt;=9999)</formula>
    </cfRule>
    <cfRule type="expression" dxfId="21717" priority="7805" stopIfTrue="1">
      <formula>AND(AG58&gt;=78100,AG58&lt;=78199)</formula>
    </cfRule>
    <cfRule type="expression" dxfId="21716" priority="7806" stopIfTrue="1">
      <formula>AND(AG58&gt;=92000,AG58&lt;=98999)</formula>
    </cfRule>
    <cfRule type="expression" dxfId="21715" priority="7807" stopIfTrue="1">
      <formula>AND(AG58&gt;=78100,AG58&lt;=78199)</formula>
    </cfRule>
    <cfRule type="expression" dxfId="21714" priority="7808" stopIfTrue="1">
      <formula>AND(AG58&gt;=91000,AG58&lt;=91999)</formula>
    </cfRule>
  </conditionalFormatting>
  <conditionalFormatting sqref="AF58">
    <cfRule type="expression" dxfId="21713" priority="7787">
      <formula>AND(AG58&gt;=79001,AG58&lt;79900)</formula>
    </cfRule>
    <cfRule type="expression" dxfId="21712" priority="7788" stopIfTrue="1">
      <formula>AND(AG58&gt;=70101,AG58&lt;=70301)</formula>
    </cfRule>
    <cfRule type="expression" dxfId="21711" priority="7789" stopIfTrue="1">
      <formula>AND(AG58&gt;70000,AG58&lt;70004)</formula>
    </cfRule>
    <cfRule type="expression" dxfId="21710" priority="7790" stopIfTrue="1">
      <formula>AND(AG58&gt;=70010,AG58&lt;=76000)</formula>
    </cfRule>
    <cfRule type="expression" dxfId="21709" priority="7791">
      <formula>AND(AG58&gt;70000,AG58&lt;70004)</formula>
    </cfRule>
    <cfRule type="expression" dxfId="21708" priority="7792" stopIfTrue="1">
      <formula>OR(AND(AG58&gt;=10000,AG58&lt;=56999),AND(AG58&gt;=57000,AG58&lt;=57999))</formula>
    </cfRule>
    <cfRule type="expression" dxfId="21707" priority="7793" stopIfTrue="1">
      <formula>AND(AG58&gt;=8000,AG58&lt;=9999)</formula>
    </cfRule>
    <cfRule type="expression" dxfId="21706" priority="7794" stopIfTrue="1">
      <formula>AND(AG58&gt;=78100,AG58&lt;=78199)</formula>
    </cfRule>
    <cfRule type="expression" dxfId="21705" priority="7795" stopIfTrue="1">
      <formula>AND(AG58&gt;=92000,AG58&lt;=98999)</formula>
    </cfRule>
    <cfRule type="expression" dxfId="21704" priority="7796" stopIfTrue="1">
      <formula>AND(AG58&gt;=78100,AG58&lt;=78199)</formula>
    </cfRule>
    <cfRule type="expression" dxfId="21703" priority="7797" stopIfTrue="1">
      <formula>AND(AG58&gt;=91000,AG58&lt;=91999)</formula>
    </cfRule>
  </conditionalFormatting>
  <conditionalFormatting sqref="AF58">
    <cfRule type="expression" dxfId="21702" priority="7776">
      <formula>AND(AG58&gt;=79001,AG58&lt;79900)</formula>
    </cfRule>
    <cfRule type="expression" dxfId="21701" priority="7777" stopIfTrue="1">
      <formula>AND(AG58&gt;=70101,AG58&lt;=70301)</formula>
    </cfRule>
    <cfRule type="expression" dxfId="21700" priority="7778" stopIfTrue="1">
      <formula>AND(AG58&gt;70000,AG58&lt;70004)</formula>
    </cfRule>
    <cfRule type="expression" dxfId="21699" priority="7779" stopIfTrue="1">
      <formula>AND(AG58&gt;=70010,AG58&lt;=76000)</formula>
    </cfRule>
    <cfRule type="expression" dxfId="21698" priority="7780">
      <formula>AND(AG58&gt;70000,AG58&lt;70004)</formula>
    </cfRule>
    <cfRule type="expression" dxfId="21697" priority="7781" stopIfTrue="1">
      <formula>OR(AND(AG58&gt;=10000,AG58&lt;=56999),AND(AG58&gt;=57000,AG58&lt;=57999))</formula>
    </cfRule>
    <cfRule type="expression" dxfId="21696" priority="7782" stopIfTrue="1">
      <formula>AND(AG58&gt;=8000,AG58&lt;=9999)</formula>
    </cfRule>
    <cfRule type="expression" dxfId="21695" priority="7783" stopIfTrue="1">
      <formula>AND(AG58&gt;=78100,AG58&lt;=78199)</formula>
    </cfRule>
    <cfRule type="expression" dxfId="21694" priority="7784" stopIfTrue="1">
      <formula>AND(AG58&gt;=92000,AG58&lt;=98999)</formula>
    </cfRule>
    <cfRule type="expression" dxfId="21693" priority="7785" stopIfTrue="1">
      <formula>AND(AG58&gt;=78100,AG58&lt;=78199)</formula>
    </cfRule>
    <cfRule type="expression" dxfId="21692" priority="7786" stopIfTrue="1">
      <formula>AND(AG58&gt;=91000,AG58&lt;=91999)</formula>
    </cfRule>
  </conditionalFormatting>
  <conditionalFormatting sqref="AF58">
    <cfRule type="expression" dxfId="21691" priority="7765">
      <formula>AND(AG58&gt;=79001,AG58&lt;79900)</formula>
    </cfRule>
    <cfRule type="expression" dxfId="21690" priority="7766" stopIfTrue="1">
      <formula>AND(AG58&gt;=70101,AG58&lt;=70301)</formula>
    </cfRule>
    <cfRule type="expression" dxfId="21689" priority="7767" stopIfTrue="1">
      <formula>AND(AG58&gt;70000,AG58&lt;70004)</formula>
    </cfRule>
    <cfRule type="expression" dxfId="21688" priority="7768" stopIfTrue="1">
      <formula>AND(AG58&gt;=70010,AG58&lt;=76000)</formula>
    </cfRule>
    <cfRule type="expression" dxfId="21687" priority="7769">
      <formula>AND(AG58&gt;70000,AG58&lt;70004)</formula>
    </cfRule>
    <cfRule type="expression" dxfId="21686" priority="7770" stopIfTrue="1">
      <formula>OR(AND(AG58&gt;=10000,AG58&lt;=56999),AND(AG58&gt;=57000,AG58&lt;=57999))</formula>
    </cfRule>
    <cfRule type="expression" dxfId="21685" priority="7771" stopIfTrue="1">
      <formula>AND(AG58&gt;=8000,AG58&lt;=9999)</formula>
    </cfRule>
    <cfRule type="expression" dxfId="21684" priority="7772" stopIfTrue="1">
      <formula>AND(AG58&gt;=78100,AG58&lt;=78199)</formula>
    </cfRule>
    <cfRule type="expression" dxfId="21683" priority="7773" stopIfTrue="1">
      <formula>AND(AG58&gt;=92000,AG58&lt;=98999)</formula>
    </cfRule>
    <cfRule type="expression" dxfId="21682" priority="7774" stopIfTrue="1">
      <formula>AND(AG58&gt;=78100,AG58&lt;=78199)</formula>
    </cfRule>
    <cfRule type="expression" dxfId="21681" priority="7775" stopIfTrue="1">
      <formula>AND(AG58&gt;=91000,AG58&lt;=91999)</formula>
    </cfRule>
  </conditionalFormatting>
  <conditionalFormatting sqref="X61">
    <cfRule type="expression" dxfId="21680" priority="7754">
      <formula>AND(Y61&gt;=79001,Y61&lt;79900)</formula>
    </cfRule>
    <cfRule type="expression" dxfId="21679" priority="7755" stopIfTrue="1">
      <formula>AND(Y61&gt;=70101,Y61&lt;=70301)</formula>
    </cfRule>
    <cfRule type="expression" dxfId="21678" priority="7756" stopIfTrue="1">
      <formula>AND(Y61&gt;70000,Y61&lt;70004)</formula>
    </cfRule>
    <cfRule type="expression" dxfId="21677" priority="7757" stopIfTrue="1">
      <formula>AND(Y61&gt;=70010,Y61&lt;=76000)</formula>
    </cfRule>
    <cfRule type="expression" dxfId="21676" priority="7758">
      <formula>AND(Y61&gt;70000,Y61&lt;70004)</formula>
    </cfRule>
    <cfRule type="expression" dxfId="21675" priority="7759" stopIfTrue="1">
      <formula>OR(AND(Y61&gt;=10000,Y61&lt;=56999),AND(Y61&gt;=57000,Y61&lt;=57999))</formula>
    </cfRule>
    <cfRule type="expression" dxfId="21674" priority="7760" stopIfTrue="1">
      <formula>AND(Y61&gt;=8000,Y61&lt;=9999)</formula>
    </cfRule>
    <cfRule type="expression" dxfId="21673" priority="7761" stopIfTrue="1">
      <formula>AND(Y61&gt;=78100,Y61&lt;=78199)</formula>
    </cfRule>
    <cfRule type="expression" dxfId="21672" priority="7762" stopIfTrue="1">
      <formula>AND(Y61&gt;=92000,Y61&lt;=98999)</formula>
    </cfRule>
    <cfRule type="expression" dxfId="21671" priority="7763" stopIfTrue="1">
      <formula>AND(Y61&gt;=78100,Y61&lt;=78199)</formula>
    </cfRule>
    <cfRule type="expression" dxfId="21670" priority="7764" stopIfTrue="1">
      <formula>AND(Y61&gt;=91000,Y61&lt;=91999)</formula>
    </cfRule>
  </conditionalFormatting>
  <conditionalFormatting sqref="X61">
    <cfRule type="expression" dxfId="21669" priority="7743">
      <formula>AND(Y61&gt;=79001,Y61&lt;79900)</formula>
    </cfRule>
    <cfRule type="expression" dxfId="21668" priority="7744" stopIfTrue="1">
      <formula>AND(Y61&gt;=70101,Y61&lt;=70301)</formula>
    </cfRule>
    <cfRule type="expression" dxfId="21667" priority="7745" stopIfTrue="1">
      <formula>AND(Y61&gt;70000,Y61&lt;70004)</formula>
    </cfRule>
    <cfRule type="expression" dxfId="21666" priority="7746" stopIfTrue="1">
      <formula>AND(Y61&gt;=70010,Y61&lt;=76000)</formula>
    </cfRule>
    <cfRule type="expression" dxfId="21665" priority="7747">
      <formula>AND(Y61&gt;70000,Y61&lt;70004)</formula>
    </cfRule>
    <cfRule type="expression" dxfId="21664" priority="7748" stopIfTrue="1">
      <formula>OR(AND(Y61&gt;=10000,Y61&lt;=56999),AND(Y61&gt;=57000,Y61&lt;=57999))</formula>
    </cfRule>
    <cfRule type="expression" dxfId="21663" priority="7749" stopIfTrue="1">
      <formula>AND(Y61&gt;=8000,Y61&lt;=9999)</formula>
    </cfRule>
    <cfRule type="expression" dxfId="21662" priority="7750" stopIfTrue="1">
      <formula>AND(Y61&gt;=78100,Y61&lt;=78199)</formula>
    </cfRule>
    <cfRule type="expression" dxfId="21661" priority="7751" stopIfTrue="1">
      <formula>AND(Y61&gt;=92000,Y61&lt;=98999)</formula>
    </cfRule>
    <cfRule type="expression" dxfId="21660" priority="7752" stopIfTrue="1">
      <formula>AND(Y61&gt;=78100,Y61&lt;=78199)</formula>
    </cfRule>
    <cfRule type="expression" dxfId="21659" priority="7753" stopIfTrue="1">
      <formula>AND(Y61&gt;=91000,Y61&lt;=91999)</formula>
    </cfRule>
  </conditionalFormatting>
  <conditionalFormatting sqref="X61">
    <cfRule type="expression" dxfId="21658" priority="7732">
      <formula>AND(Y61&gt;=79001,Y61&lt;79900)</formula>
    </cfRule>
    <cfRule type="expression" dxfId="21657" priority="7733" stopIfTrue="1">
      <formula>AND(Y61&gt;=70101,Y61&lt;=70301)</formula>
    </cfRule>
    <cfRule type="expression" dxfId="21656" priority="7734" stopIfTrue="1">
      <formula>AND(Y61&gt;70000,Y61&lt;70004)</formula>
    </cfRule>
    <cfRule type="expression" dxfId="21655" priority="7735" stopIfTrue="1">
      <formula>AND(Y61&gt;=70010,Y61&lt;=76000)</formula>
    </cfRule>
    <cfRule type="expression" dxfId="21654" priority="7736">
      <formula>AND(Y61&gt;70000,Y61&lt;70004)</formula>
    </cfRule>
    <cfRule type="expression" dxfId="21653" priority="7737" stopIfTrue="1">
      <formula>OR(AND(Y61&gt;=10000,Y61&lt;=56999),AND(Y61&gt;=57000,Y61&lt;=57999))</formula>
    </cfRule>
    <cfRule type="expression" dxfId="21652" priority="7738" stopIfTrue="1">
      <formula>AND(Y61&gt;=8000,Y61&lt;=9999)</formula>
    </cfRule>
    <cfRule type="expression" dxfId="21651" priority="7739" stopIfTrue="1">
      <formula>AND(Y61&gt;=78100,Y61&lt;=78199)</formula>
    </cfRule>
    <cfRule type="expression" dxfId="21650" priority="7740" stopIfTrue="1">
      <formula>AND(Y61&gt;=92000,Y61&lt;=98999)</formula>
    </cfRule>
    <cfRule type="expression" dxfId="21649" priority="7741" stopIfTrue="1">
      <formula>AND(Y61&gt;=78100,Y61&lt;=78199)</formula>
    </cfRule>
    <cfRule type="expression" dxfId="21648" priority="7742" stopIfTrue="1">
      <formula>AND(Y61&gt;=91000,Y61&lt;=91999)</formula>
    </cfRule>
  </conditionalFormatting>
  <conditionalFormatting sqref="X61">
    <cfRule type="expression" dxfId="21647" priority="7721">
      <formula>AND(Y61&gt;=79001,Y61&lt;79900)</formula>
    </cfRule>
    <cfRule type="expression" dxfId="21646" priority="7722" stopIfTrue="1">
      <formula>AND(Y61&gt;=70101,Y61&lt;=70301)</formula>
    </cfRule>
    <cfRule type="expression" dxfId="21645" priority="7723" stopIfTrue="1">
      <formula>AND(Y61&gt;70000,Y61&lt;70004)</formula>
    </cfRule>
    <cfRule type="expression" dxfId="21644" priority="7724" stopIfTrue="1">
      <formula>AND(Y61&gt;=70010,Y61&lt;=76000)</formula>
    </cfRule>
    <cfRule type="expression" dxfId="21643" priority="7725">
      <formula>AND(Y61&gt;70000,Y61&lt;70004)</formula>
    </cfRule>
    <cfRule type="expression" dxfId="21642" priority="7726" stopIfTrue="1">
      <formula>OR(AND(Y61&gt;=10000,Y61&lt;=56999),AND(Y61&gt;=57000,Y61&lt;=57999))</formula>
    </cfRule>
    <cfRule type="expression" dxfId="21641" priority="7727" stopIfTrue="1">
      <formula>AND(Y61&gt;=8000,Y61&lt;=9999)</formula>
    </cfRule>
    <cfRule type="expression" dxfId="21640" priority="7728" stopIfTrue="1">
      <formula>AND(Y61&gt;=78100,Y61&lt;=78199)</formula>
    </cfRule>
    <cfRule type="expression" dxfId="21639" priority="7729" stopIfTrue="1">
      <formula>AND(Y61&gt;=92000,Y61&lt;=98999)</formula>
    </cfRule>
    <cfRule type="expression" dxfId="21638" priority="7730" stopIfTrue="1">
      <formula>AND(Y61&gt;=78100,Y61&lt;=78199)</formula>
    </cfRule>
    <cfRule type="expression" dxfId="21637" priority="7731" stopIfTrue="1">
      <formula>AND(Y61&gt;=91000,Y61&lt;=91999)</formula>
    </cfRule>
  </conditionalFormatting>
  <conditionalFormatting sqref="AB61">
    <cfRule type="expression" dxfId="21636" priority="7710">
      <formula>AND(AC61&gt;=79001,AC61&lt;79900)</formula>
    </cfRule>
    <cfRule type="expression" dxfId="21635" priority="7711" stopIfTrue="1">
      <formula>AND(AC61&gt;=70101,AC61&lt;=70301)</formula>
    </cfRule>
    <cfRule type="expression" dxfId="21634" priority="7712" stopIfTrue="1">
      <formula>AND(AC61&gt;70000,AC61&lt;70004)</formula>
    </cfRule>
    <cfRule type="expression" dxfId="21633" priority="7713" stopIfTrue="1">
      <formula>AND(AC61&gt;=70010,AC61&lt;=76000)</formula>
    </cfRule>
    <cfRule type="expression" dxfId="21632" priority="7714">
      <formula>AND(AC61&gt;70000,AC61&lt;70004)</formula>
    </cfRule>
    <cfRule type="expression" dxfId="21631" priority="7715" stopIfTrue="1">
      <formula>OR(AND(AC61&gt;=10000,AC61&lt;=56999),AND(AC61&gt;=57000,AC61&lt;=57999))</formula>
    </cfRule>
    <cfRule type="expression" dxfId="21630" priority="7716" stopIfTrue="1">
      <formula>AND(AC61&gt;=8000,AC61&lt;=9999)</formula>
    </cfRule>
    <cfRule type="expression" dxfId="21629" priority="7717" stopIfTrue="1">
      <formula>AND(AC61&gt;=78100,AC61&lt;=78199)</formula>
    </cfRule>
    <cfRule type="expression" dxfId="21628" priority="7718" stopIfTrue="1">
      <formula>AND(AC61&gt;=92000,AC61&lt;=98999)</formula>
    </cfRule>
    <cfRule type="expression" dxfId="21627" priority="7719" stopIfTrue="1">
      <formula>AND(AC61&gt;=78100,AC61&lt;=78199)</formula>
    </cfRule>
    <cfRule type="expression" dxfId="21626" priority="7720" stopIfTrue="1">
      <formula>AND(AC61&gt;=91000,AC61&lt;=91999)</formula>
    </cfRule>
  </conditionalFormatting>
  <conditionalFormatting sqref="AB61">
    <cfRule type="expression" dxfId="21625" priority="7699">
      <formula>AND(AC61&gt;=79001,AC61&lt;79900)</formula>
    </cfRule>
    <cfRule type="expression" dxfId="21624" priority="7700" stopIfTrue="1">
      <formula>AND(AC61&gt;=70101,AC61&lt;=70301)</formula>
    </cfRule>
    <cfRule type="expression" dxfId="21623" priority="7701" stopIfTrue="1">
      <formula>AND(AC61&gt;70000,AC61&lt;70004)</formula>
    </cfRule>
    <cfRule type="expression" dxfId="21622" priority="7702" stopIfTrue="1">
      <formula>AND(AC61&gt;=70010,AC61&lt;=76000)</formula>
    </cfRule>
    <cfRule type="expression" dxfId="21621" priority="7703">
      <formula>AND(AC61&gt;70000,AC61&lt;70004)</formula>
    </cfRule>
    <cfRule type="expression" dxfId="21620" priority="7704" stopIfTrue="1">
      <formula>OR(AND(AC61&gt;=10000,AC61&lt;=56999),AND(AC61&gt;=57000,AC61&lt;=57999))</formula>
    </cfRule>
    <cfRule type="expression" dxfId="21619" priority="7705" stopIfTrue="1">
      <formula>AND(AC61&gt;=8000,AC61&lt;=9999)</formula>
    </cfRule>
    <cfRule type="expression" dxfId="21618" priority="7706" stopIfTrue="1">
      <formula>AND(AC61&gt;=78100,AC61&lt;=78199)</formula>
    </cfRule>
    <cfRule type="expression" dxfId="21617" priority="7707" stopIfTrue="1">
      <formula>AND(AC61&gt;=92000,AC61&lt;=98999)</formula>
    </cfRule>
    <cfRule type="expression" dxfId="21616" priority="7708" stopIfTrue="1">
      <formula>AND(AC61&gt;=78100,AC61&lt;=78199)</formula>
    </cfRule>
    <cfRule type="expression" dxfId="21615" priority="7709" stopIfTrue="1">
      <formula>AND(AC61&gt;=91000,AC61&lt;=91999)</formula>
    </cfRule>
  </conditionalFormatting>
  <conditionalFormatting sqref="AB61">
    <cfRule type="expression" dxfId="21614" priority="7688">
      <formula>AND(AC61&gt;=79001,AC61&lt;79900)</formula>
    </cfRule>
    <cfRule type="expression" dxfId="21613" priority="7689" stopIfTrue="1">
      <formula>AND(AC61&gt;=70101,AC61&lt;=70301)</formula>
    </cfRule>
    <cfRule type="expression" dxfId="21612" priority="7690" stopIfTrue="1">
      <formula>AND(AC61&gt;70000,AC61&lt;70004)</formula>
    </cfRule>
    <cfRule type="expression" dxfId="21611" priority="7691" stopIfTrue="1">
      <formula>AND(AC61&gt;=70010,AC61&lt;=76000)</formula>
    </cfRule>
    <cfRule type="expression" dxfId="21610" priority="7692">
      <formula>AND(AC61&gt;70000,AC61&lt;70004)</formula>
    </cfRule>
    <cfRule type="expression" dxfId="21609" priority="7693" stopIfTrue="1">
      <formula>OR(AND(AC61&gt;=10000,AC61&lt;=56999),AND(AC61&gt;=57000,AC61&lt;=57999))</formula>
    </cfRule>
    <cfRule type="expression" dxfId="21608" priority="7694" stopIfTrue="1">
      <formula>AND(AC61&gt;=8000,AC61&lt;=9999)</formula>
    </cfRule>
    <cfRule type="expression" dxfId="21607" priority="7695" stopIfTrue="1">
      <formula>AND(AC61&gt;=78100,AC61&lt;=78199)</formula>
    </cfRule>
    <cfRule type="expression" dxfId="21606" priority="7696" stopIfTrue="1">
      <formula>AND(AC61&gt;=92000,AC61&lt;=98999)</formula>
    </cfRule>
    <cfRule type="expression" dxfId="21605" priority="7697" stopIfTrue="1">
      <formula>AND(AC61&gt;=78100,AC61&lt;=78199)</formula>
    </cfRule>
    <cfRule type="expression" dxfId="21604" priority="7698" stopIfTrue="1">
      <formula>AND(AC61&gt;=91000,AC61&lt;=91999)</formula>
    </cfRule>
  </conditionalFormatting>
  <conditionalFormatting sqref="AB61">
    <cfRule type="expression" dxfId="21603" priority="7677">
      <formula>AND(AC61&gt;=79001,AC61&lt;79900)</formula>
    </cfRule>
    <cfRule type="expression" dxfId="21602" priority="7678" stopIfTrue="1">
      <formula>AND(AC61&gt;=70101,AC61&lt;=70301)</formula>
    </cfRule>
    <cfRule type="expression" dxfId="21601" priority="7679" stopIfTrue="1">
      <formula>AND(AC61&gt;70000,AC61&lt;70004)</formula>
    </cfRule>
    <cfRule type="expression" dxfId="21600" priority="7680" stopIfTrue="1">
      <formula>AND(AC61&gt;=70010,AC61&lt;=76000)</formula>
    </cfRule>
    <cfRule type="expression" dxfId="21599" priority="7681">
      <formula>AND(AC61&gt;70000,AC61&lt;70004)</formula>
    </cfRule>
    <cfRule type="expression" dxfId="21598" priority="7682" stopIfTrue="1">
      <formula>OR(AND(AC61&gt;=10000,AC61&lt;=56999),AND(AC61&gt;=57000,AC61&lt;=57999))</formula>
    </cfRule>
    <cfRule type="expression" dxfId="21597" priority="7683" stopIfTrue="1">
      <formula>AND(AC61&gt;=8000,AC61&lt;=9999)</formula>
    </cfRule>
    <cfRule type="expression" dxfId="21596" priority="7684" stopIfTrue="1">
      <formula>AND(AC61&gt;=78100,AC61&lt;=78199)</formula>
    </cfRule>
    <cfRule type="expression" dxfId="21595" priority="7685" stopIfTrue="1">
      <formula>AND(AC61&gt;=92000,AC61&lt;=98999)</formula>
    </cfRule>
    <cfRule type="expression" dxfId="21594" priority="7686" stopIfTrue="1">
      <formula>AND(AC61&gt;=78100,AC61&lt;=78199)</formula>
    </cfRule>
    <cfRule type="expression" dxfId="21593" priority="7687" stopIfTrue="1">
      <formula>AND(AC61&gt;=91000,AC61&lt;=91999)</formula>
    </cfRule>
  </conditionalFormatting>
  <conditionalFormatting sqref="AF61">
    <cfRule type="expression" dxfId="21592" priority="7666">
      <formula>AND(AG61&gt;=79001,AG61&lt;79900)</formula>
    </cfRule>
    <cfRule type="expression" dxfId="21591" priority="7667" stopIfTrue="1">
      <formula>AND(AG61&gt;=70101,AG61&lt;=70301)</formula>
    </cfRule>
    <cfRule type="expression" dxfId="21590" priority="7668" stopIfTrue="1">
      <formula>AND(AG61&gt;70000,AG61&lt;70004)</formula>
    </cfRule>
    <cfRule type="expression" dxfId="21589" priority="7669" stopIfTrue="1">
      <formula>AND(AG61&gt;=70010,AG61&lt;=76000)</formula>
    </cfRule>
    <cfRule type="expression" dxfId="21588" priority="7670">
      <formula>AND(AG61&gt;70000,AG61&lt;70004)</formula>
    </cfRule>
    <cfRule type="expression" dxfId="21587" priority="7671" stopIfTrue="1">
      <formula>OR(AND(AG61&gt;=10000,AG61&lt;=56999),AND(AG61&gt;=57000,AG61&lt;=57999))</formula>
    </cfRule>
    <cfRule type="expression" dxfId="21586" priority="7672" stopIfTrue="1">
      <formula>AND(AG61&gt;=8000,AG61&lt;=9999)</formula>
    </cfRule>
    <cfRule type="expression" dxfId="21585" priority="7673" stopIfTrue="1">
      <formula>AND(AG61&gt;=78100,AG61&lt;=78199)</formula>
    </cfRule>
    <cfRule type="expression" dxfId="21584" priority="7674" stopIfTrue="1">
      <formula>AND(AG61&gt;=92000,AG61&lt;=98999)</formula>
    </cfRule>
    <cfRule type="expression" dxfId="21583" priority="7675" stopIfTrue="1">
      <formula>AND(AG61&gt;=78100,AG61&lt;=78199)</formula>
    </cfRule>
    <cfRule type="expression" dxfId="21582" priority="7676" stopIfTrue="1">
      <formula>AND(AG61&gt;=91000,AG61&lt;=91999)</formula>
    </cfRule>
  </conditionalFormatting>
  <conditionalFormatting sqref="AF61">
    <cfRule type="expression" dxfId="21581" priority="7655">
      <formula>AND(AG61&gt;=79001,AG61&lt;79900)</formula>
    </cfRule>
    <cfRule type="expression" dxfId="21580" priority="7656" stopIfTrue="1">
      <formula>AND(AG61&gt;=70101,AG61&lt;=70301)</formula>
    </cfRule>
    <cfRule type="expression" dxfId="21579" priority="7657" stopIfTrue="1">
      <formula>AND(AG61&gt;70000,AG61&lt;70004)</formula>
    </cfRule>
    <cfRule type="expression" dxfId="21578" priority="7658" stopIfTrue="1">
      <formula>AND(AG61&gt;=70010,AG61&lt;=76000)</formula>
    </cfRule>
    <cfRule type="expression" dxfId="21577" priority="7659">
      <formula>AND(AG61&gt;70000,AG61&lt;70004)</formula>
    </cfRule>
    <cfRule type="expression" dxfId="21576" priority="7660" stopIfTrue="1">
      <formula>OR(AND(AG61&gt;=10000,AG61&lt;=56999),AND(AG61&gt;=57000,AG61&lt;=57999))</formula>
    </cfRule>
    <cfRule type="expression" dxfId="21575" priority="7661" stopIfTrue="1">
      <formula>AND(AG61&gt;=8000,AG61&lt;=9999)</formula>
    </cfRule>
    <cfRule type="expression" dxfId="21574" priority="7662" stopIfTrue="1">
      <formula>AND(AG61&gt;=78100,AG61&lt;=78199)</formula>
    </cfRule>
    <cfRule type="expression" dxfId="21573" priority="7663" stopIfTrue="1">
      <formula>AND(AG61&gt;=92000,AG61&lt;=98999)</formula>
    </cfRule>
    <cfRule type="expression" dxfId="21572" priority="7664" stopIfTrue="1">
      <formula>AND(AG61&gt;=78100,AG61&lt;=78199)</formula>
    </cfRule>
    <cfRule type="expression" dxfId="21571" priority="7665" stopIfTrue="1">
      <formula>AND(AG61&gt;=91000,AG61&lt;=91999)</formula>
    </cfRule>
  </conditionalFormatting>
  <conditionalFormatting sqref="AF61">
    <cfRule type="expression" dxfId="21570" priority="7644">
      <formula>AND(AG61&gt;=79001,AG61&lt;79900)</formula>
    </cfRule>
    <cfRule type="expression" dxfId="21569" priority="7645" stopIfTrue="1">
      <formula>AND(AG61&gt;=70101,AG61&lt;=70301)</formula>
    </cfRule>
    <cfRule type="expression" dxfId="21568" priority="7646" stopIfTrue="1">
      <formula>AND(AG61&gt;70000,AG61&lt;70004)</formula>
    </cfRule>
    <cfRule type="expression" dxfId="21567" priority="7647" stopIfTrue="1">
      <formula>AND(AG61&gt;=70010,AG61&lt;=76000)</formula>
    </cfRule>
    <cfRule type="expression" dxfId="21566" priority="7648">
      <formula>AND(AG61&gt;70000,AG61&lt;70004)</formula>
    </cfRule>
    <cfRule type="expression" dxfId="21565" priority="7649" stopIfTrue="1">
      <formula>OR(AND(AG61&gt;=10000,AG61&lt;=56999),AND(AG61&gt;=57000,AG61&lt;=57999))</formula>
    </cfRule>
    <cfRule type="expression" dxfId="21564" priority="7650" stopIfTrue="1">
      <formula>AND(AG61&gt;=8000,AG61&lt;=9999)</formula>
    </cfRule>
    <cfRule type="expression" dxfId="21563" priority="7651" stopIfTrue="1">
      <formula>AND(AG61&gt;=78100,AG61&lt;=78199)</formula>
    </cfRule>
    <cfRule type="expression" dxfId="21562" priority="7652" stopIfTrue="1">
      <formula>AND(AG61&gt;=92000,AG61&lt;=98999)</formula>
    </cfRule>
    <cfRule type="expression" dxfId="21561" priority="7653" stopIfTrue="1">
      <formula>AND(AG61&gt;=78100,AG61&lt;=78199)</formula>
    </cfRule>
    <cfRule type="expression" dxfId="21560" priority="7654" stopIfTrue="1">
      <formula>AND(AG61&gt;=91000,AG61&lt;=91999)</formula>
    </cfRule>
  </conditionalFormatting>
  <conditionalFormatting sqref="AF61">
    <cfRule type="expression" dxfId="21559" priority="7633">
      <formula>AND(AG61&gt;=79001,AG61&lt;79900)</formula>
    </cfRule>
    <cfRule type="expression" dxfId="21558" priority="7634" stopIfTrue="1">
      <formula>AND(AG61&gt;=70101,AG61&lt;=70301)</formula>
    </cfRule>
    <cfRule type="expression" dxfId="21557" priority="7635" stopIfTrue="1">
      <formula>AND(AG61&gt;70000,AG61&lt;70004)</formula>
    </cfRule>
    <cfRule type="expression" dxfId="21556" priority="7636" stopIfTrue="1">
      <formula>AND(AG61&gt;=70010,AG61&lt;=76000)</formula>
    </cfRule>
    <cfRule type="expression" dxfId="21555" priority="7637">
      <formula>AND(AG61&gt;70000,AG61&lt;70004)</formula>
    </cfRule>
    <cfRule type="expression" dxfId="21554" priority="7638" stopIfTrue="1">
      <formula>OR(AND(AG61&gt;=10000,AG61&lt;=56999),AND(AG61&gt;=57000,AG61&lt;=57999))</formula>
    </cfRule>
    <cfRule type="expression" dxfId="21553" priority="7639" stopIfTrue="1">
      <formula>AND(AG61&gt;=8000,AG61&lt;=9999)</formula>
    </cfRule>
    <cfRule type="expression" dxfId="21552" priority="7640" stopIfTrue="1">
      <formula>AND(AG61&gt;=78100,AG61&lt;=78199)</formula>
    </cfRule>
    <cfRule type="expression" dxfId="21551" priority="7641" stopIfTrue="1">
      <formula>AND(AG61&gt;=92000,AG61&lt;=98999)</formula>
    </cfRule>
    <cfRule type="expression" dxfId="21550" priority="7642" stopIfTrue="1">
      <formula>AND(AG61&gt;=78100,AG61&lt;=78199)</formula>
    </cfRule>
    <cfRule type="expression" dxfId="21549" priority="7643" stopIfTrue="1">
      <formula>AND(AG61&gt;=91000,AG61&lt;=91999)</formula>
    </cfRule>
  </conditionalFormatting>
  <conditionalFormatting sqref="T61">
    <cfRule type="expression" dxfId="21548" priority="7622">
      <formula>AND(U61&gt;=79001,U61&lt;79900)</formula>
    </cfRule>
    <cfRule type="expression" dxfId="21547" priority="7623" stopIfTrue="1">
      <formula>AND(U61&gt;=70101,U61&lt;=70301)</formula>
    </cfRule>
    <cfRule type="expression" dxfId="21546" priority="7624" stopIfTrue="1">
      <formula>AND(U61&gt;70000,U61&lt;70004)</formula>
    </cfRule>
    <cfRule type="expression" dxfId="21545" priority="7625" stopIfTrue="1">
      <formula>AND(U61&gt;=70010,U61&lt;=76000)</formula>
    </cfRule>
    <cfRule type="expression" dxfId="21544" priority="7626">
      <formula>AND(U61&gt;70000,U61&lt;70004)</formula>
    </cfRule>
    <cfRule type="expression" dxfId="21543" priority="7627" stopIfTrue="1">
      <formula>OR(AND(U61&gt;=10000,U61&lt;=56999),AND(U61&gt;=57000,U61&lt;=57999))</formula>
    </cfRule>
    <cfRule type="expression" dxfId="21542" priority="7628" stopIfTrue="1">
      <formula>AND(U61&gt;=8000,U61&lt;=9999)</formula>
    </cfRule>
    <cfRule type="expression" dxfId="21541" priority="7629" stopIfTrue="1">
      <formula>AND(U61&gt;=78100,U61&lt;=78199)</formula>
    </cfRule>
    <cfRule type="expression" dxfId="21540" priority="7630" stopIfTrue="1">
      <formula>AND(U61&gt;=92000,U61&lt;=98999)</formula>
    </cfRule>
    <cfRule type="expression" dxfId="21539" priority="7631" stopIfTrue="1">
      <formula>AND(U61&gt;=78100,U61&lt;=78199)</formula>
    </cfRule>
    <cfRule type="expression" dxfId="21538" priority="7632" stopIfTrue="1">
      <formula>AND(U61&gt;=91000,U61&lt;=91999)</formula>
    </cfRule>
  </conditionalFormatting>
  <conditionalFormatting sqref="T61">
    <cfRule type="expression" dxfId="21537" priority="7611">
      <formula>AND(U61&gt;=79001,U61&lt;79900)</formula>
    </cfRule>
    <cfRule type="expression" dxfId="21536" priority="7612" stopIfTrue="1">
      <formula>AND(U61&gt;=70101,U61&lt;=70301)</formula>
    </cfRule>
    <cfRule type="expression" dxfId="21535" priority="7613" stopIfTrue="1">
      <formula>AND(U61&gt;70000,U61&lt;70004)</formula>
    </cfRule>
    <cfRule type="expression" dxfId="21534" priority="7614" stopIfTrue="1">
      <formula>AND(U61&gt;=70010,U61&lt;=76000)</formula>
    </cfRule>
    <cfRule type="expression" dxfId="21533" priority="7615">
      <formula>AND(U61&gt;70000,U61&lt;70004)</formula>
    </cfRule>
    <cfRule type="expression" dxfId="21532" priority="7616" stopIfTrue="1">
      <formula>OR(AND(U61&gt;=10000,U61&lt;=56999),AND(U61&gt;=57000,U61&lt;=57999))</formula>
    </cfRule>
    <cfRule type="expression" dxfId="21531" priority="7617" stopIfTrue="1">
      <formula>AND(U61&gt;=8000,U61&lt;=9999)</formula>
    </cfRule>
    <cfRule type="expression" dxfId="21530" priority="7618" stopIfTrue="1">
      <formula>AND(U61&gt;=78100,U61&lt;=78199)</formula>
    </cfRule>
    <cfRule type="expression" dxfId="21529" priority="7619" stopIfTrue="1">
      <formula>AND(U61&gt;=92000,U61&lt;=98999)</formula>
    </cfRule>
    <cfRule type="expression" dxfId="21528" priority="7620" stopIfTrue="1">
      <formula>AND(U61&gt;=78100,U61&lt;=78199)</formula>
    </cfRule>
    <cfRule type="expression" dxfId="21527" priority="7621" stopIfTrue="1">
      <formula>AND(U61&gt;=91000,U61&lt;=91999)</formula>
    </cfRule>
  </conditionalFormatting>
  <conditionalFormatting sqref="T61">
    <cfRule type="expression" dxfId="21526" priority="7600">
      <formula>AND(U61&gt;=79001,U61&lt;79900)</formula>
    </cfRule>
    <cfRule type="expression" dxfId="21525" priority="7601" stopIfTrue="1">
      <formula>AND(U61&gt;=70101,U61&lt;=70301)</formula>
    </cfRule>
    <cfRule type="expression" dxfId="21524" priority="7602" stopIfTrue="1">
      <formula>AND(U61&gt;70000,U61&lt;70004)</formula>
    </cfRule>
    <cfRule type="expression" dxfId="21523" priority="7603" stopIfTrue="1">
      <formula>AND(U61&gt;=70010,U61&lt;=76000)</formula>
    </cfRule>
    <cfRule type="expression" dxfId="21522" priority="7604">
      <formula>AND(U61&gt;70000,U61&lt;70004)</formula>
    </cfRule>
    <cfRule type="expression" dxfId="21521" priority="7605" stopIfTrue="1">
      <formula>OR(AND(U61&gt;=10000,U61&lt;=56999),AND(U61&gt;=57000,U61&lt;=57999))</formula>
    </cfRule>
    <cfRule type="expression" dxfId="21520" priority="7606" stopIfTrue="1">
      <formula>AND(U61&gt;=8000,U61&lt;=9999)</formula>
    </cfRule>
    <cfRule type="expression" dxfId="21519" priority="7607" stopIfTrue="1">
      <formula>AND(U61&gt;=78100,U61&lt;=78199)</formula>
    </cfRule>
    <cfRule type="expression" dxfId="21518" priority="7608" stopIfTrue="1">
      <formula>AND(U61&gt;=92000,U61&lt;=98999)</formula>
    </cfRule>
    <cfRule type="expression" dxfId="21517" priority="7609" stopIfTrue="1">
      <formula>AND(U61&gt;=78100,U61&lt;=78199)</formula>
    </cfRule>
    <cfRule type="expression" dxfId="21516" priority="7610" stopIfTrue="1">
      <formula>AND(U61&gt;=91000,U61&lt;=91999)</formula>
    </cfRule>
  </conditionalFormatting>
  <conditionalFormatting sqref="T61">
    <cfRule type="expression" dxfId="21515" priority="7589">
      <formula>AND(U61&gt;=79001,U61&lt;79900)</formula>
    </cfRule>
    <cfRule type="expression" dxfId="21514" priority="7590" stopIfTrue="1">
      <formula>AND(U61&gt;=70101,U61&lt;=70301)</formula>
    </cfRule>
    <cfRule type="expression" dxfId="21513" priority="7591" stopIfTrue="1">
      <formula>AND(U61&gt;70000,U61&lt;70004)</formula>
    </cfRule>
    <cfRule type="expression" dxfId="21512" priority="7592" stopIfTrue="1">
      <formula>AND(U61&gt;=70010,U61&lt;=76000)</formula>
    </cfRule>
    <cfRule type="expression" dxfId="21511" priority="7593">
      <formula>AND(U61&gt;70000,U61&lt;70004)</formula>
    </cfRule>
    <cfRule type="expression" dxfId="21510" priority="7594" stopIfTrue="1">
      <formula>OR(AND(U61&gt;=10000,U61&lt;=56999),AND(U61&gt;=57000,U61&lt;=57999))</formula>
    </cfRule>
    <cfRule type="expression" dxfId="21509" priority="7595" stopIfTrue="1">
      <formula>AND(U61&gt;=8000,U61&lt;=9999)</formula>
    </cfRule>
    <cfRule type="expression" dxfId="21508" priority="7596" stopIfTrue="1">
      <formula>AND(U61&gt;=78100,U61&lt;=78199)</formula>
    </cfRule>
    <cfRule type="expression" dxfId="21507" priority="7597" stopIfTrue="1">
      <formula>AND(U61&gt;=92000,U61&lt;=98999)</formula>
    </cfRule>
    <cfRule type="expression" dxfId="21506" priority="7598" stopIfTrue="1">
      <formula>AND(U61&gt;=78100,U61&lt;=78199)</formula>
    </cfRule>
    <cfRule type="expression" dxfId="21505" priority="7599" stopIfTrue="1">
      <formula>AND(U61&gt;=91000,U61&lt;=91999)</formula>
    </cfRule>
  </conditionalFormatting>
  <conditionalFormatting sqref="X62">
    <cfRule type="expression" dxfId="21504" priority="7578">
      <formula>AND(Y62&gt;=79001,Y62&lt;79900)</formula>
    </cfRule>
    <cfRule type="expression" dxfId="21503" priority="7579" stopIfTrue="1">
      <formula>AND(Y62&gt;=70101,Y62&lt;=70301)</formula>
    </cfRule>
    <cfRule type="expression" dxfId="21502" priority="7580" stopIfTrue="1">
      <formula>AND(Y62&gt;70000,Y62&lt;70004)</formula>
    </cfRule>
    <cfRule type="expression" dxfId="21501" priority="7581" stopIfTrue="1">
      <formula>AND(Y62&gt;=70010,Y62&lt;=76000)</formula>
    </cfRule>
    <cfRule type="expression" dxfId="21500" priority="7582">
      <formula>AND(Y62&gt;70000,Y62&lt;70004)</formula>
    </cfRule>
    <cfRule type="expression" dxfId="21499" priority="7583" stopIfTrue="1">
      <formula>OR(AND(Y62&gt;=10000,Y62&lt;=56999),AND(Y62&gt;=57000,Y62&lt;=57999))</formula>
    </cfRule>
    <cfRule type="expression" dxfId="21498" priority="7584" stopIfTrue="1">
      <formula>AND(Y62&gt;=8000,Y62&lt;=9999)</formula>
    </cfRule>
    <cfRule type="expression" dxfId="21497" priority="7585" stopIfTrue="1">
      <formula>AND(Y62&gt;=78100,Y62&lt;=78199)</formula>
    </cfRule>
    <cfRule type="expression" dxfId="21496" priority="7586" stopIfTrue="1">
      <formula>AND(Y62&gt;=92000,Y62&lt;=98999)</formula>
    </cfRule>
    <cfRule type="expression" dxfId="21495" priority="7587" stopIfTrue="1">
      <formula>AND(Y62&gt;=78100,Y62&lt;=78199)</formula>
    </cfRule>
    <cfRule type="expression" dxfId="21494" priority="7588" stopIfTrue="1">
      <formula>AND(Y62&gt;=91000,Y62&lt;=91999)</formula>
    </cfRule>
  </conditionalFormatting>
  <conditionalFormatting sqref="X62">
    <cfRule type="expression" dxfId="21493" priority="7567">
      <formula>AND(Y62&gt;=79001,Y62&lt;79900)</formula>
    </cfRule>
    <cfRule type="expression" dxfId="21492" priority="7568" stopIfTrue="1">
      <formula>AND(Y62&gt;=70101,Y62&lt;=70301)</formula>
    </cfRule>
    <cfRule type="expression" dxfId="21491" priority="7569" stopIfTrue="1">
      <formula>AND(Y62&gt;70000,Y62&lt;70004)</formula>
    </cfRule>
    <cfRule type="expression" dxfId="21490" priority="7570" stopIfTrue="1">
      <formula>AND(Y62&gt;=70010,Y62&lt;=76000)</formula>
    </cfRule>
    <cfRule type="expression" dxfId="21489" priority="7571">
      <formula>AND(Y62&gt;70000,Y62&lt;70004)</formula>
    </cfRule>
    <cfRule type="expression" dxfId="21488" priority="7572" stopIfTrue="1">
      <formula>OR(AND(Y62&gt;=10000,Y62&lt;=56999),AND(Y62&gt;=57000,Y62&lt;=57999))</formula>
    </cfRule>
    <cfRule type="expression" dxfId="21487" priority="7573" stopIfTrue="1">
      <formula>AND(Y62&gt;=8000,Y62&lt;=9999)</formula>
    </cfRule>
    <cfRule type="expression" dxfId="21486" priority="7574" stopIfTrue="1">
      <formula>AND(Y62&gt;=78100,Y62&lt;=78199)</formula>
    </cfRule>
    <cfRule type="expression" dxfId="21485" priority="7575" stopIfTrue="1">
      <formula>AND(Y62&gt;=92000,Y62&lt;=98999)</formula>
    </cfRule>
    <cfRule type="expression" dxfId="21484" priority="7576" stopIfTrue="1">
      <formula>AND(Y62&gt;=78100,Y62&lt;=78199)</formula>
    </cfRule>
    <cfRule type="expression" dxfId="21483" priority="7577" stopIfTrue="1">
      <formula>AND(Y62&gt;=91000,Y62&lt;=91999)</formula>
    </cfRule>
  </conditionalFormatting>
  <conditionalFormatting sqref="X62">
    <cfRule type="expression" dxfId="21482" priority="7556">
      <formula>AND(Y62&gt;=79001,Y62&lt;79900)</formula>
    </cfRule>
    <cfRule type="expression" dxfId="21481" priority="7557" stopIfTrue="1">
      <formula>AND(Y62&gt;=70101,Y62&lt;=70301)</formula>
    </cfRule>
    <cfRule type="expression" dxfId="21480" priority="7558" stopIfTrue="1">
      <formula>AND(Y62&gt;70000,Y62&lt;70004)</formula>
    </cfRule>
    <cfRule type="expression" dxfId="21479" priority="7559" stopIfTrue="1">
      <formula>AND(Y62&gt;=70010,Y62&lt;=76000)</formula>
    </cfRule>
    <cfRule type="expression" dxfId="21478" priority="7560">
      <formula>AND(Y62&gt;70000,Y62&lt;70004)</formula>
    </cfRule>
    <cfRule type="expression" dxfId="21477" priority="7561" stopIfTrue="1">
      <formula>OR(AND(Y62&gt;=10000,Y62&lt;=56999),AND(Y62&gt;=57000,Y62&lt;=57999))</formula>
    </cfRule>
    <cfRule type="expression" dxfId="21476" priority="7562" stopIfTrue="1">
      <formula>AND(Y62&gt;=8000,Y62&lt;=9999)</formula>
    </cfRule>
    <cfRule type="expression" dxfId="21475" priority="7563" stopIfTrue="1">
      <formula>AND(Y62&gt;=78100,Y62&lt;=78199)</formula>
    </cfRule>
    <cfRule type="expression" dxfId="21474" priority="7564" stopIfTrue="1">
      <formula>AND(Y62&gt;=92000,Y62&lt;=98999)</formula>
    </cfRule>
    <cfRule type="expression" dxfId="21473" priority="7565" stopIfTrue="1">
      <formula>AND(Y62&gt;=78100,Y62&lt;=78199)</formula>
    </cfRule>
    <cfRule type="expression" dxfId="21472" priority="7566" stopIfTrue="1">
      <formula>AND(Y62&gt;=91000,Y62&lt;=91999)</formula>
    </cfRule>
  </conditionalFormatting>
  <conditionalFormatting sqref="X62">
    <cfRule type="expression" dxfId="21471" priority="7545">
      <formula>AND(Y62&gt;=79001,Y62&lt;79900)</formula>
    </cfRule>
    <cfRule type="expression" dxfId="21470" priority="7546" stopIfTrue="1">
      <formula>AND(Y62&gt;=70101,Y62&lt;=70301)</formula>
    </cfRule>
    <cfRule type="expression" dxfId="21469" priority="7547" stopIfTrue="1">
      <formula>AND(Y62&gt;70000,Y62&lt;70004)</formula>
    </cfRule>
    <cfRule type="expression" dxfId="21468" priority="7548" stopIfTrue="1">
      <formula>AND(Y62&gt;=70010,Y62&lt;=76000)</formula>
    </cfRule>
    <cfRule type="expression" dxfId="21467" priority="7549">
      <formula>AND(Y62&gt;70000,Y62&lt;70004)</formula>
    </cfRule>
    <cfRule type="expression" dxfId="21466" priority="7550" stopIfTrue="1">
      <formula>OR(AND(Y62&gt;=10000,Y62&lt;=56999),AND(Y62&gt;=57000,Y62&lt;=57999))</formula>
    </cfRule>
    <cfRule type="expression" dxfId="21465" priority="7551" stopIfTrue="1">
      <formula>AND(Y62&gt;=8000,Y62&lt;=9999)</formula>
    </cfRule>
    <cfRule type="expression" dxfId="21464" priority="7552" stopIfTrue="1">
      <formula>AND(Y62&gt;=78100,Y62&lt;=78199)</formula>
    </cfRule>
    <cfRule type="expression" dxfId="21463" priority="7553" stopIfTrue="1">
      <formula>AND(Y62&gt;=92000,Y62&lt;=98999)</formula>
    </cfRule>
    <cfRule type="expression" dxfId="21462" priority="7554" stopIfTrue="1">
      <formula>AND(Y62&gt;=78100,Y62&lt;=78199)</formula>
    </cfRule>
    <cfRule type="expression" dxfId="21461" priority="7555" stopIfTrue="1">
      <formula>AND(Y62&gt;=91000,Y62&lt;=91999)</formula>
    </cfRule>
  </conditionalFormatting>
  <conditionalFormatting sqref="AB62">
    <cfRule type="expression" dxfId="21460" priority="7534">
      <formula>AND(AC62&gt;=79001,AC62&lt;79900)</formula>
    </cfRule>
    <cfRule type="expression" dxfId="21459" priority="7535" stopIfTrue="1">
      <formula>AND(AC62&gt;=70101,AC62&lt;=70301)</formula>
    </cfRule>
    <cfRule type="expression" dxfId="21458" priority="7536" stopIfTrue="1">
      <formula>AND(AC62&gt;70000,AC62&lt;70004)</formula>
    </cfRule>
    <cfRule type="expression" dxfId="21457" priority="7537" stopIfTrue="1">
      <formula>AND(AC62&gt;=70010,AC62&lt;=76000)</formula>
    </cfRule>
    <cfRule type="expression" dxfId="21456" priority="7538">
      <formula>AND(AC62&gt;70000,AC62&lt;70004)</formula>
    </cfRule>
    <cfRule type="expression" dxfId="21455" priority="7539" stopIfTrue="1">
      <formula>OR(AND(AC62&gt;=10000,AC62&lt;=56999),AND(AC62&gt;=57000,AC62&lt;=57999))</formula>
    </cfRule>
    <cfRule type="expression" dxfId="21454" priority="7540" stopIfTrue="1">
      <formula>AND(AC62&gt;=8000,AC62&lt;=9999)</formula>
    </cfRule>
    <cfRule type="expression" dxfId="21453" priority="7541" stopIfTrue="1">
      <formula>AND(AC62&gt;=78100,AC62&lt;=78199)</formula>
    </cfRule>
    <cfRule type="expression" dxfId="21452" priority="7542" stopIfTrue="1">
      <formula>AND(AC62&gt;=92000,AC62&lt;=98999)</formula>
    </cfRule>
    <cfRule type="expression" dxfId="21451" priority="7543" stopIfTrue="1">
      <formula>AND(AC62&gt;=78100,AC62&lt;=78199)</formula>
    </cfRule>
    <cfRule type="expression" dxfId="21450" priority="7544" stopIfTrue="1">
      <formula>AND(AC62&gt;=91000,AC62&lt;=91999)</formula>
    </cfRule>
  </conditionalFormatting>
  <conditionalFormatting sqref="AB62">
    <cfRule type="expression" dxfId="21449" priority="7523">
      <formula>AND(AC62&gt;=79001,AC62&lt;79900)</formula>
    </cfRule>
    <cfRule type="expression" dxfId="21448" priority="7524" stopIfTrue="1">
      <formula>AND(AC62&gt;=70101,AC62&lt;=70301)</formula>
    </cfRule>
    <cfRule type="expression" dxfId="21447" priority="7525" stopIfTrue="1">
      <formula>AND(AC62&gt;70000,AC62&lt;70004)</formula>
    </cfRule>
    <cfRule type="expression" dxfId="21446" priority="7526" stopIfTrue="1">
      <formula>AND(AC62&gt;=70010,AC62&lt;=76000)</formula>
    </cfRule>
    <cfRule type="expression" dxfId="21445" priority="7527">
      <formula>AND(AC62&gt;70000,AC62&lt;70004)</formula>
    </cfRule>
    <cfRule type="expression" dxfId="21444" priority="7528" stopIfTrue="1">
      <formula>OR(AND(AC62&gt;=10000,AC62&lt;=56999),AND(AC62&gt;=57000,AC62&lt;=57999))</formula>
    </cfRule>
    <cfRule type="expression" dxfId="21443" priority="7529" stopIfTrue="1">
      <formula>AND(AC62&gt;=8000,AC62&lt;=9999)</formula>
    </cfRule>
    <cfRule type="expression" dxfId="21442" priority="7530" stopIfTrue="1">
      <formula>AND(AC62&gt;=78100,AC62&lt;=78199)</formula>
    </cfRule>
    <cfRule type="expression" dxfId="21441" priority="7531" stopIfTrue="1">
      <formula>AND(AC62&gt;=92000,AC62&lt;=98999)</formula>
    </cfRule>
    <cfRule type="expression" dxfId="21440" priority="7532" stopIfTrue="1">
      <formula>AND(AC62&gt;=78100,AC62&lt;=78199)</formula>
    </cfRule>
    <cfRule type="expression" dxfId="21439" priority="7533" stopIfTrue="1">
      <formula>AND(AC62&gt;=91000,AC62&lt;=91999)</formula>
    </cfRule>
  </conditionalFormatting>
  <conditionalFormatting sqref="AF62">
    <cfRule type="expression" dxfId="21438" priority="7512">
      <formula>AND(AG62&gt;=79001,AG62&lt;79900)</formula>
    </cfRule>
    <cfRule type="expression" dxfId="21437" priority="7513" stopIfTrue="1">
      <formula>AND(AG62&gt;=70101,AG62&lt;=70301)</formula>
    </cfRule>
    <cfRule type="expression" dxfId="21436" priority="7514" stopIfTrue="1">
      <formula>AND(AG62&gt;70000,AG62&lt;70004)</formula>
    </cfRule>
    <cfRule type="expression" dxfId="21435" priority="7515" stopIfTrue="1">
      <formula>AND(AG62&gt;=70010,AG62&lt;=76000)</formula>
    </cfRule>
    <cfRule type="expression" dxfId="21434" priority="7516">
      <formula>AND(AG62&gt;70000,AG62&lt;70004)</formula>
    </cfRule>
    <cfRule type="expression" dxfId="21433" priority="7517" stopIfTrue="1">
      <formula>OR(AND(AG62&gt;=10000,AG62&lt;=56999),AND(AG62&gt;=57000,AG62&lt;=57999))</formula>
    </cfRule>
    <cfRule type="expression" dxfId="21432" priority="7518" stopIfTrue="1">
      <formula>AND(AG62&gt;=8000,AG62&lt;=9999)</formula>
    </cfRule>
    <cfRule type="expression" dxfId="21431" priority="7519" stopIfTrue="1">
      <formula>AND(AG62&gt;=78100,AG62&lt;=78199)</formula>
    </cfRule>
    <cfRule type="expression" dxfId="21430" priority="7520" stopIfTrue="1">
      <formula>AND(AG62&gt;=92000,AG62&lt;=98999)</formula>
    </cfRule>
    <cfRule type="expression" dxfId="21429" priority="7521" stopIfTrue="1">
      <formula>AND(AG62&gt;=78100,AG62&lt;=78199)</formula>
    </cfRule>
    <cfRule type="expression" dxfId="21428" priority="7522" stopIfTrue="1">
      <formula>AND(AG62&gt;=91000,AG62&lt;=91999)</formula>
    </cfRule>
  </conditionalFormatting>
  <conditionalFormatting sqref="AJ62">
    <cfRule type="expression" dxfId="21427" priority="7501">
      <formula>AND(AK62&gt;=79001,AK62&lt;79900)</formula>
    </cfRule>
    <cfRule type="expression" dxfId="21426" priority="7502" stopIfTrue="1">
      <formula>AND(AK62&gt;=70101,AK62&lt;=70301)</formula>
    </cfRule>
    <cfRule type="expression" dxfId="21425" priority="7503" stopIfTrue="1">
      <formula>AND(AK62&gt;70000,AK62&lt;70004)</formula>
    </cfRule>
    <cfRule type="expression" dxfId="21424" priority="7504" stopIfTrue="1">
      <formula>AND(AK62&gt;=70010,AK62&lt;=76000)</formula>
    </cfRule>
    <cfRule type="expression" dxfId="21423" priority="7505">
      <formula>AND(AK62&gt;70000,AK62&lt;70004)</formula>
    </cfRule>
    <cfRule type="expression" dxfId="21422" priority="7506" stopIfTrue="1">
      <formula>OR(AND(AK62&gt;=10000,AK62&lt;=56999),AND(AK62&gt;=57000,AK62&lt;=57999))</formula>
    </cfRule>
    <cfRule type="expression" dxfId="21421" priority="7507" stopIfTrue="1">
      <formula>AND(AK62&gt;=8000,AK62&lt;=9999)</formula>
    </cfRule>
    <cfRule type="expression" dxfId="21420" priority="7508" stopIfTrue="1">
      <formula>AND(AK62&gt;=78100,AK62&lt;=78199)</formula>
    </cfRule>
    <cfRule type="expression" dxfId="21419" priority="7509" stopIfTrue="1">
      <formula>AND(AK62&gt;=92000,AK62&lt;=98999)</formula>
    </cfRule>
    <cfRule type="expression" dxfId="21418" priority="7510" stopIfTrue="1">
      <formula>AND(AK62&gt;=78100,AK62&lt;=78199)</formula>
    </cfRule>
    <cfRule type="expression" dxfId="21417" priority="7511" stopIfTrue="1">
      <formula>AND(AK62&gt;=91000,AK62&lt;=91999)</formula>
    </cfRule>
  </conditionalFormatting>
  <conditionalFormatting sqref="AF62">
    <cfRule type="expression" dxfId="21416" priority="7490">
      <formula>AND(AG62&gt;=79001,AG62&lt;79900)</formula>
    </cfRule>
    <cfRule type="expression" dxfId="21415" priority="7491" stopIfTrue="1">
      <formula>AND(AG62&gt;=70101,AG62&lt;=70301)</formula>
    </cfRule>
    <cfRule type="expression" dxfId="21414" priority="7492" stopIfTrue="1">
      <formula>AND(AG62&gt;70000,AG62&lt;70004)</formula>
    </cfRule>
    <cfRule type="expression" dxfId="21413" priority="7493" stopIfTrue="1">
      <formula>AND(AG62&gt;=70010,AG62&lt;=76000)</formula>
    </cfRule>
    <cfRule type="expression" dxfId="21412" priority="7494">
      <formula>AND(AG62&gt;70000,AG62&lt;70004)</formula>
    </cfRule>
    <cfRule type="expression" dxfId="21411" priority="7495" stopIfTrue="1">
      <formula>OR(AND(AG62&gt;=10000,AG62&lt;=56999),AND(AG62&gt;=57000,AG62&lt;=57999))</formula>
    </cfRule>
    <cfRule type="expression" dxfId="21410" priority="7496" stopIfTrue="1">
      <formula>AND(AG62&gt;=8000,AG62&lt;=9999)</formula>
    </cfRule>
    <cfRule type="expression" dxfId="21409" priority="7497" stopIfTrue="1">
      <formula>AND(AG62&gt;=78100,AG62&lt;=78199)</formula>
    </cfRule>
    <cfRule type="expression" dxfId="21408" priority="7498" stopIfTrue="1">
      <formula>AND(AG62&gt;=92000,AG62&lt;=98999)</formula>
    </cfRule>
    <cfRule type="expression" dxfId="21407" priority="7499" stopIfTrue="1">
      <formula>AND(AG62&gt;=78100,AG62&lt;=78199)</formula>
    </cfRule>
    <cfRule type="expression" dxfId="21406" priority="7500" stopIfTrue="1">
      <formula>AND(AG62&gt;=91000,AG62&lt;=91999)</formula>
    </cfRule>
  </conditionalFormatting>
  <conditionalFormatting sqref="AJ62">
    <cfRule type="expression" dxfId="21405" priority="7479">
      <formula>AND(AK62&gt;=79001,AK62&lt;79900)</formula>
    </cfRule>
    <cfRule type="expression" dxfId="21404" priority="7480" stopIfTrue="1">
      <formula>AND(AK62&gt;=70101,AK62&lt;=70301)</formula>
    </cfRule>
    <cfRule type="expression" dxfId="21403" priority="7481" stopIfTrue="1">
      <formula>AND(AK62&gt;70000,AK62&lt;70004)</formula>
    </cfRule>
    <cfRule type="expression" dxfId="21402" priority="7482" stopIfTrue="1">
      <formula>AND(AK62&gt;=70010,AK62&lt;=76000)</formula>
    </cfRule>
    <cfRule type="expression" dxfId="21401" priority="7483">
      <formula>AND(AK62&gt;70000,AK62&lt;70004)</formula>
    </cfRule>
    <cfRule type="expression" dxfId="21400" priority="7484" stopIfTrue="1">
      <formula>OR(AND(AK62&gt;=10000,AK62&lt;=56999),AND(AK62&gt;=57000,AK62&lt;=57999))</formula>
    </cfRule>
    <cfRule type="expression" dxfId="21399" priority="7485" stopIfTrue="1">
      <formula>AND(AK62&gt;=8000,AK62&lt;=9999)</formula>
    </cfRule>
    <cfRule type="expression" dxfId="21398" priority="7486" stopIfTrue="1">
      <formula>AND(AK62&gt;=78100,AK62&lt;=78199)</formula>
    </cfRule>
    <cfRule type="expression" dxfId="21397" priority="7487" stopIfTrue="1">
      <formula>AND(AK62&gt;=92000,AK62&lt;=98999)</formula>
    </cfRule>
    <cfRule type="expression" dxfId="21396" priority="7488" stopIfTrue="1">
      <formula>AND(AK62&gt;=78100,AK62&lt;=78199)</formula>
    </cfRule>
    <cfRule type="expression" dxfId="21395" priority="7489" stopIfTrue="1">
      <formula>AND(AK62&gt;=91000,AK62&lt;=91999)</formula>
    </cfRule>
  </conditionalFormatting>
  <conditionalFormatting sqref="AM62">
    <cfRule type="colorScale" priority="7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62">
    <cfRule type="colorScale" priority="7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2">
    <cfRule type="colorScale" priority="7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62">
    <cfRule type="colorScale" priority="7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2">
    <cfRule type="colorScale" priority="7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62">
    <cfRule type="colorScale" priority="7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2">
    <cfRule type="expression" dxfId="21394" priority="7462">
      <formula>AND(U62&gt;=79001,U62&lt;79900)</formula>
    </cfRule>
    <cfRule type="expression" dxfId="21393" priority="7463" stopIfTrue="1">
      <formula>AND(U62&gt;=70101,U62&lt;=70301)</formula>
    </cfRule>
    <cfRule type="expression" dxfId="21392" priority="7464" stopIfTrue="1">
      <formula>AND(U62&gt;70000,U62&lt;70004)</formula>
    </cfRule>
    <cfRule type="expression" dxfId="21391" priority="7465" stopIfTrue="1">
      <formula>AND(U62&gt;=70010,U62&lt;=76000)</formula>
    </cfRule>
    <cfRule type="expression" dxfId="21390" priority="7466">
      <formula>AND(U62&gt;70000,U62&lt;70004)</formula>
    </cfRule>
    <cfRule type="expression" dxfId="21389" priority="7467" stopIfTrue="1">
      <formula>OR(AND(U62&gt;=10000,U62&lt;=56999),AND(U62&gt;=57000,U62&lt;=57999))</formula>
    </cfRule>
    <cfRule type="expression" dxfId="21388" priority="7468" stopIfTrue="1">
      <formula>AND(U62&gt;=8000,U62&lt;=9999)</formula>
    </cfRule>
    <cfRule type="expression" dxfId="21387" priority="7469" stopIfTrue="1">
      <formula>AND(U62&gt;=78100,U62&lt;=78199)</formula>
    </cfRule>
    <cfRule type="expression" dxfId="21386" priority="7470" stopIfTrue="1">
      <formula>AND(U62&gt;=92000,U62&lt;=98999)</formula>
    </cfRule>
    <cfRule type="expression" dxfId="21385" priority="7471" stopIfTrue="1">
      <formula>AND(U62&gt;=78100,U62&lt;=78199)</formula>
    </cfRule>
    <cfRule type="expression" dxfId="21384" priority="7472" stopIfTrue="1">
      <formula>AND(U62&gt;=91000,U62&lt;=91999)</formula>
    </cfRule>
  </conditionalFormatting>
  <conditionalFormatting sqref="T62">
    <cfRule type="expression" dxfId="21383" priority="7451">
      <formula>AND(U62&gt;=79001,U62&lt;79900)</formula>
    </cfRule>
    <cfRule type="expression" dxfId="21382" priority="7452" stopIfTrue="1">
      <formula>AND(U62&gt;=70101,U62&lt;=70301)</formula>
    </cfRule>
    <cfRule type="expression" dxfId="21381" priority="7453" stopIfTrue="1">
      <formula>AND(U62&gt;70000,U62&lt;70004)</formula>
    </cfRule>
    <cfRule type="expression" dxfId="21380" priority="7454" stopIfTrue="1">
      <formula>AND(U62&gt;=70010,U62&lt;=76000)</formula>
    </cfRule>
    <cfRule type="expression" dxfId="21379" priority="7455">
      <formula>AND(U62&gt;70000,U62&lt;70004)</formula>
    </cfRule>
    <cfRule type="expression" dxfId="21378" priority="7456" stopIfTrue="1">
      <formula>OR(AND(U62&gt;=10000,U62&lt;=56999),AND(U62&gt;=57000,U62&lt;=57999))</formula>
    </cfRule>
    <cfRule type="expression" dxfId="21377" priority="7457" stopIfTrue="1">
      <formula>AND(U62&gt;=8000,U62&lt;=9999)</formula>
    </cfRule>
    <cfRule type="expression" dxfId="21376" priority="7458" stopIfTrue="1">
      <formula>AND(U62&gt;=78100,U62&lt;=78199)</formula>
    </cfRule>
    <cfRule type="expression" dxfId="21375" priority="7459" stopIfTrue="1">
      <formula>AND(U62&gt;=92000,U62&lt;=98999)</formula>
    </cfRule>
    <cfRule type="expression" dxfId="21374" priority="7460" stopIfTrue="1">
      <formula>AND(U62&gt;=78100,U62&lt;=78199)</formula>
    </cfRule>
    <cfRule type="expression" dxfId="21373" priority="7461" stopIfTrue="1">
      <formula>AND(U62&gt;=91000,U62&lt;=91999)</formula>
    </cfRule>
  </conditionalFormatting>
  <conditionalFormatting sqref="T62">
    <cfRule type="expression" dxfId="21372" priority="7440">
      <formula>AND(U62&gt;=79001,U62&lt;79900)</formula>
    </cfRule>
    <cfRule type="expression" dxfId="21371" priority="7441" stopIfTrue="1">
      <formula>AND(U62&gt;=70101,U62&lt;=70301)</formula>
    </cfRule>
    <cfRule type="expression" dxfId="21370" priority="7442" stopIfTrue="1">
      <formula>AND(U62&gt;70000,U62&lt;70004)</formula>
    </cfRule>
    <cfRule type="expression" dxfId="21369" priority="7443" stopIfTrue="1">
      <formula>AND(U62&gt;=70010,U62&lt;=76000)</formula>
    </cfRule>
    <cfRule type="expression" dxfId="21368" priority="7444">
      <formula>AND(U62&gt;70000,U62&lt;70004)</formula>
    </cfRule>
    <cfRule type="expression" dxfId="21367" priority="7445" stopIfTrue="1">
      <formula>OR(AND(U62&gt;=10000,U62&lt;=56999),AND(U62&gt;=57000,U62&lt;=57999))</formula>
    </cfRule>
    <cfRule type="expression" dxfId="21366" priority="7446" stopIfTrue="1">
      <formula>AND(U62&gt;=8000,U62&lt;=9999)</formula>
    </cfRule>
    <cfRule type="expression" dxfId="21365" priority="7447" stopIfTrue="1">
      <formula>AND(U62&gt;=78100,U62&lt;=78199)</formula>
    </cfRule>
    <cfRule type="expression" dxfId="21364" priority="7448" stopIfTrue="1">
      <formula>AND(U62&gt;=92000,U62&lt;=98999)</formula>
    </cfRule>
    <cfRule type="expression" dxfId="21363" priority="7449" stopIfTrue="1">
      <formula>AND(U62&gt;=78100,U62&lt;=78199)</formula>
    </cfRule>
    <cfRule type="expression" dxfId="21362" priority="7450" stopIfTrue="1">
      <formula>AND(U62&gt;=91000,U62&lt;=91999)</formula>
    </cfRule>
  </conditionalFormatting>
  <conditionalFormatting sqref="T62">
    <cfRule type="expression" dxfId="21361" priority="7429">
      <formula>AND(U62&gt;=79001,U62&lt;79900)</formula>
    </cfRule>
    <cfRule type="expression" dxfId="21360" priority="7430" stopIfTrue="1">
      <formula>AND(U62&gt;=70101,U62&lt;=70301)</formula>
    </cfRule>
    <cfRule type="expression" dxfId="21359" priority="7431" stopIfTrue="1">
      <formula>AND(U62&gt;70000,U62&lt;70004)</formula>
    </cfRule>
    <cfRule type="expression" dxfId="21358" priority="7432" stopIfTrue="1">
      <formula>AND(U62&gt;=70010,U62&lt;=76000)</formula>
    </cfRule>
    <cfRule type="expression" dxfId="21357" priority="7433">
      <formula>AND(U62&gt;70000,U62&lt;70004)</formula>
    </cfRule>
    <cfRule type="expression" dxfId="21356" priority="7434" stopIfTrue="1">
      <formula>OR(AND(U62&gt;=10000,U62&lt;=56999),AND(U62&gt;=57000,U62&lt;=57999))</formula>
    </cfRule>
    <cfRule type="expression" dxfId="21355" priority="7435" stopIfTrue="1">
      <formula>AND(U62&gt;=8000,U62&lt;=9999)</formula>
    </cfRule>
    <cfRule type="expression" dxfId="21354" priority="7436" stopIfTrue="1">
      <formula>AND(U62&gt;=78100,U62&lt;=78199)</formula>
    </cfRule>
    <cfRule type="expression" dxfId="21353" priority="7437" stopIfTrue="1">
      <formula>AND(U62&gt;=92000,U62&lt;=98999)</formula>
    </cfRule>
    <cfRule type="expression" dxfId="21352" priority="7438" stopIfTrue="1">
      <formula>AND(U62&gt;=78100,U62&lt;=78199)</formula>
    </cfRule>
    <cfRule type="expression" dxfId="21351" priority="7439" stopIfTrue="1">
      <formula>AND(U62&gt;=91000,U62&lt;=91999)</formula>
    </cfRule>
  </conditionalFormatting>
  <conditionalFormatting sqref="AJ76:AK76 AM76">
    <cfRule type="expression" dxfId="21350" priority="7418">
      <formula>AND(AK76&gt;=79001,AK76&lt;79900)</formula>
    </cfRule>
    <cfRule type="expression" dxfId="21349" priority="7419" stopIfTrue="1">
      <formula>AND(AK76&gt;=70101,AK76&lt;=70301)</formula>
    </cfRule>
    <cfRule type="expression" dxfId="21348" priority="7420" stopIfTrue="1">
      <formula>AND(AK76&gt;70000,AK76&lt;70004)</formula>
    </cfRule>
    <cfRule type="expression" dxfId="21347" priority="7421" stopIfTrue="1">
      <formula>AND(AK76&gt;=70010,AK76&lt;=76000)</formula>
    </cfRule>
    <cfRule type="expression" dxfId="21346" priority="7422">
      <formula>AND(AK76&gt;70000,AK76&lt;70004)</formula>
    </cfRule>
    <cfRule type="expression" dxfId="21345" priority="7423" stopIfTrue="1">
      <formula>OR(AND(AK76&gt;=10000,AK76&lt;=56999),AND(AK76&gt;=57000,AK76&lt;=57999))</formula>
    </cfRule>
    <cfRule type="expression" dxfId="21344" priority="7424" stopIfTrue="1">
      <formula>AND(AK76&gt;=8000,AK76&lt;=9999)</formula>
    </cfRule>
    <cfRule type="expression" dxfId="21343" priority="7425" stopIfTrue="1">
      <formula>AND(AK76&gt;=78100,AK76&lt;=78199)</formula>
    </cfRule>
    <cfRule type="expression" dxfId="21342" priority="7426" stopIfTrue="1">
      <formula>AND(AK76&gt;=92000,AK76&lt;=98999)</formula>
    </cfRule>
    <cfRule type="expression" dxfId="21341" priority="7427" stopIfTrue="1">
      <formula>AND(AK76&gt;=78100,AK76&lt;=78199)</formula>
    </cfRule>
    <cfRule type="expression" dxfId="21340" priority="7428" stopIfTrue="1">
      <formula>AND(AK76&gt;=91000,AK76&lt;=91999)</formula>
    </cfRule>
  </conditionalFormatting>
  <conditionalFormatting sqref="AJ76:AK76 AM76">
    <cfRule type="expression" dxfId="21339" priority="7407">
      <formula>AND(AK76&gt;=79001,AK76&lt;79900)</formula>
    </cfRule>
    <cfRule type="expression" dxfId="21338" priority="7408" stopIfTrue="1">
      <formula>AND(AK76&gt;=70101,AK76&lt;=70301)</formula>
    </cfRule>
    <cfRule type="expression" dxfId="21337" priority="7409" stopIfTrue="1">
      <formula>AND(AK76&gt;70000,AK76&lt;70004)</formula>
    </cfRule>
    <cfRule type="expression" dxfId="21336" priority="7410" stopIfTrue="1">
      <formula>AND(AK76&gt;=70010,AK76&lt;=76000)</formula>
    </cfRule>
    <cfRule type="expression" dxfId="21335" priority="7411">
      <formula>AND(AK76&gt;70000,AK76&lt;70004)</formula>
    </cfRule>
    <cfRule type="expression" dxfId="21334" priority="7412" stopIfTrue="1">
      <formula>OR(AND(AK76&gt;=10000,AK76&lt;=56999),AND(AK76&gt;=57000,AK76&lt;=57999))</formula>
    </cfRule>
    <cfRule type="expression" dxfId="21333" priority="7413" stopIfTrue="1">
      <formula>AND(AK76&gt;=8000,AK76&lt;=9999)</formula>
    </cfRule>
    <cfRule type="expression" dxfId="21332" priority="7414" stopIfTrue="1">
      <formula>AND(AK76&gt;=78100,AK76&lt;=78199)</formula>
    </cfRule>
    <cfRule type="expression" dxfId="21331" priority="7415" stopIfTrue="1">
      <formula>AND(AK76&gt;=92000,AK76&lt;=98999)</formula>
    </cfRule>
    <cfRule type="expression" dxfId="21330" priority="7416" stopIfTrue="1">
      <formula>AND(AK76&gt;=78100,AK76&lt;=78199)</formula>
    </cfRule>
    <cfRule type="expression" dxfId="21329" priority="7417" stopIfTrue="1">
      <formula>AND(AK76&gt;=91000,AK76&lt;=91999)</formula>
    </cfRule>
  </conditionalFormatting>
  <conditionalFormatting sqref="AJ76:AK76 AM76">
    <cfRule type="expression" dxfId="21328" priority="7396">
      <formula>AND(AK76&gt;=79001,AK76&lt;79900)</formula>
    </cfRule>
    <cfRule type="expression" dxfId="21327" priority="7397" stopIfTrue="1">
      <formula>AND(AK76&gt;=70101,AK76&lt;=70301)</formula>
    </cfRule>
    <cfRule type="expression" dxfId="21326" priority="7398" stopIfTrue="1">
      <formula>AND(AK76&gt;70000,AK76&lt;70004)</formula>
    </cfRule>
    <cfRule type="expression" dxfId="21325" priority="7399" stopIfTrue="1">
      <formula>AND(AK76&gt;=70010,AK76&lt;=76000)</formula>
    </cfRule>
    <cfRule type="expression" dxfId="21324" priority="7400">
      <formula>AND(AK76&gt;70000,AK76&lt;70004)</formula>
    </cfRule>
    <cfRule type="expression" dxfId="21323" priority="7401" stopIfTrue="1">
      <formula>OR(AND(AK76&gt;=10000,AK76&lt;=56999),AND(AK76&gt;=57000,AK76&lt;=57999))</formula>
    </cfRule>
    <cfRule type="expression" dxfId="21322" priority="7402" stopIfTrue="1">
      <formula>AND(AK76&gt;=8000,AK76&lt;=9999)</formula>
    </cfRule>
    <cfRule type="expression" dxfId="21321" priority="7403" stopIfTrue="1">
      <formula>AND(AK76&gt;=78100,AK76&lt;=78199)</formula>
    </cfRule>
    <cfRule type="expression" dxfId="21320" priority="7404" stopIfTrue="1">
      <formula>AND(AK76&gt;=92000,AK76&lt;=98999)</formula>
    </cfRule>
    <cfRule type="expression" dxfId="21319" priority="7405" stopIfTrue="1">
      <formula>AND(AK76&gt;=78100,AK76&lt;=78199)</formula>
    </cfRule>
    <cfRule type="expression" dxfId="21318" priority="7406" stopIfTrue="1">
      <formula>AND(AK76&gt;=91000,AK76&lt;=91999)</formula>
    </cfRule>
  </conditionalFormatting>
  <conditionalFormatting sqref="AJ76:AK76 AM76">
    <cfRule type="expression" dxfId="21317" priority="7385">
      <formula>AND(AK76&gt;=79001,AK76&lt;79900)</formula>
    </cfRule>
    <cfRule type="expression" dxfId="21316" priority="7386" stopIfTrue="1">
      <formula>AND(AK76&gt;=70101,AK76&lt;=70301)</formula>
    </cfRule>
    <cfRule type="expression" dxfId="21315" priority="7387" stopIfTrue="1">
      <formula>AND(AK76&gt;70000,AK76&lt;70004)</formula>
    </cfRule>
    <cfRule type="expression" dxfId="21314" priority="7388" stopIfTrue="1">
      <formula>AND(AK76&gt;=70010,AK76&lt;=76000)</formula>
    </cfRule>
    <cfRule type="expression" dxfId="21313" priority="7389">
      <formula>AND(AK76&gt;70000,AK76&lt;70004)</formula>
    </cfRule>
    <cfRule type="expression" dxfId="21312" priority="7390" stopIfTrue="1">
      <formula>OR(AND(AK76&gt;=10000,AK76&lt;=56999),AND(AK76&gt;=57000,AK76&lt;=57999))</formula>
    </cfRule>
    <cfRule type="expression" dxfId="21311" priority="7391" stopIfTrue="1">
      <formula>AND(AK76&gt;=8000,AK76&lt;=9999)</formula>
    </cfRule>
    <cfRule type="expression" dxfId="21310" priority="7392" stopIfTrue="1">
      <formula>AND(AK76&gt;=78100,AK76&lt;=78199)</formula>
    </cfRule>
    <cfRule type="expression" dxfId="21309" priority="7393" stopIfTrue="1">
      <formula>AND(AK76&gt;=92000,AK76&lt;=98999)</formula>
    </cfRule>
    <cfRule type="expression" dxfId="21308" priority="7394" stopIfTrue="1">
      <formula>AND(AK76&gt;=78100,AK76&lt;=78199)</formula>
    </cfRule>
    <cfRule type="expression" dxfId="21307" priority="7395" stopIfTrue="1">
      <formula>AND(AK76&gt;=91000,AK76&lt;=91999)</formula>
    </cfRule>
  </conditionalFormatting>
  <conditionalFormatting sqref="T64">
    <cfRule type="expression" dxfId="21306" priority="7374">
      <formula>AND(U64&gt;=79001,U64&lt;79900)</formula>
    </cfRule>
    <cfRule type="expression" dxfId="21305" priority="7375" stopIfTrue="1">
      <formula>AND(U64&gt;=70101,U64&lt;=70301)</formula>
    </cfRule>
    <cfRule type="expression" dxfId="21304" priority="7376" stopIfTrue="1">
      <formula>AND(U64&gt;70000,U64&lt;70004)</formula>
    </cfRule>
    <cfRule type="expression" dxfId="21303" priority="7377" stopIfTrue="1">
      <formula>AND(U64&gt;=70010,U64&lt;=76000)</formula>
    </cfRule>
    <cfRule type="expression" dxfId="21302" priority="7378">
      <formula>AND(U64&gt;70000,U64&lt;70004)</formula>
    </cfRule>
    <cfRule type="expression" dxfId="21301" priority="7379" stopIfTrue="1">
      <formula>OR(AND(U64&gt;=10000,U64&lt;=56999),AND(U64&gt;=57000,U64&lt;=57999))</formula>
    </cfRule>
    <cfRule type="expression" dxfId="21300" priority="7380" stopIfTrue="1">
      <formula>AND(U64&gt;=8000,U64&lt;=9999)</formula>
    </cfRule>
    <cfRule type="expression" dxfId="21299" priority="7381" stopIfTrue="1">
      <formula>AND(U64&gt;=78100,U64&lt;=78199)</formula>
    </cfRule>
    <cfRule type="expression" dxfId="21298" priority="7382" stopIfTrue="1">
      <formula>AND(U64&gt;=92000,U64&lt;=98999)</formula>
    </cfRule>
    <cfRule type="expression" dxfId="21297" priority="7383" stopIfTrue="1">
      <formula>AND(U64&gt;=78100,U64&lt;=78199)</formula>
    </cfRule>
    <cfRule type="expression" dxfId="21296" priority="7384" stopIfTrue="1">
      <formula>AND(U64&gt;=91000,U64&lt;=91999)</formula>
    </cfRule>
  </conditionalFormatting>
  <conditionalFormatting sqref="T64">
    <cfRule type="expression" dxfId="21295" priority="7363">
      <formula>AND(U64&gt;=79001,U64&lt;79900)</formula>
    </cfRule>
    <cfRule type="expression" dxfId="21294" priority="7364" stopIfTrue="1">
      <formula>AND(U64&gt;=70101,U64&lt;=70301)</formula>
    </cfRule>
    <cfRule type="expression" dxfId="21293" priority="7365" stopIfTrue="1">
      <formula>AND(U64&gt;70000,U64&lt;70004)</formula>
    </cfRule>
    <cfRule type="expression" dxfId="21292" priority="7366" stopIfTrue="1">
      <formula>AND(U64&gt;=70010,U64&lt;=76000)</formula>
    </cfRule>
    <cfRule type="expression" dxfId="21291" priority="7367">
      <formula>AND(U64&gt;70000,U64&lt;70004)</formula>
    </cfRule>
    <cfRule type="expression" dxfId="21290" priority="7368" stopIfTrue="1">
      <formula>OR(AND(U64&gt;=10000,U64&lt;=56999),AND(U64&gt;=57000,U64&lt;=57999))</formula>
    </cfRule>
    <cfRule type="expression" dxfId="21289" priority="7369" stopIfTrue="1">
      <formula>AND(U64&gt;=8000,U64&lt;=9999)</formula>
    </cfRule>
    <cfRule type="expression" dxfId="21288" priority="7370" stopIfTrue="1">
      <formula>AND(U64&gt;=78100,U64&lt;=78199)</formula>
    </cfRule>
    <cfRule type="expression" dxfId="21287" priority="7371" stopIfTrue="1">
      <formula>AND(U64&gt;=92000,U64&lt;=98999)</formula>
    </cfRule>
    <cfRule type="expression" dxfId="21286" priority="7372" stopIfTrue="1">
      <formula>AND(U64&gt;=78100,U64&lt;=78199)</formula>
    </cfRule>
    <cfRule type="expression" dxfId="21285" priority="7373" stopIfTrue="1">
      <formula>AND(U64&gt;=91000,U64&lt;=91999)</formula>
    </cfRule>
  </conditionalFormatting>
  <conditionalFormatting sqref="T64">
    <cfRule type="expression" dxfId="21284" priority="7352">
      <formula>AND(U64&gt;=79001,U64&lt;79900)</formula>
    </cfRule>
    <cfRule type="expression" dxfId="21283" priority="7353" stopIfTrue="1">
      <formula>AND(U64&gt;=70101,U64&lt;=70301)</formula>
    </cfRule>
    <cfRule type="expression" dxfId="21282" priority="7354" stopIfTrue="1">
      <formula>AND(U64&gt;70000,U64&lt;70004)</formula>
    </cfRule>
    <cfRule type="expression" dxfId="21281" priority="7355" stopIfTrue="1">
      <formula>AND(U64&gt;=70010,U64&lt;=76000)</formula>
    </cfRule>
    <cfRule type="expression" dxfId="21280" priority="7356">
      <formula>AND(U64&gt;70000,U64&lt;70004)</formula>
    </cfRule>
    <cfRule type="expression" dxfId="21279" priority="7357" stopIfTrue="1">
      <formula>OR(AND(U64&gt;=10000,U64&lt;=56999),AND(U64&gt;=57000,U64&lt;=57999))</formula>
    </cfRule>
    <cfRule type="expression" dxfId="21278" priority="7358" stopIfTrue="1">
      <formula>AND(U64&gt;=8000,U64&lt;=9999)</formula>
    </cfRule>
    <cfRule type="expression" dxfId="21277" priority="7359" stopIfTrue="1">
      <formula>AND(U64&gt;=78100,U64&lt;=78199)</formula>
    </cfRule>
    <cfRule type="expression" dxfId="21276" priority="7360" stopIfTrue="1">
      <formula>AND(U64&gt;=92000,U64&lt;=98999)</formula>
    </cfRule>
    <cfRule type="expression" dxfId="21275" priority="7361" stopIfTrue="1">
      <formula>AND(U64&gt;=78100,U64&lt;=78199)</formula>
    </cfRule>
    <cfRule type="expression" dxfId="21274" priority="7362" stopIfTrue="1">
      <formula>AND(U64&gt;=91000,U64&lt;=91999)</formula>
    </cfRule>
  </conditionalFormatting>
  <conditionalFormatting sqref="T64">
    <cfRule type="expression" dxfId="21273" priority="7341">
      <formula>AND(U64&gt;=79001,U64&lt;79900)</formula>
    </cfRule>
    <cfRule type="expression" dxfId="21272" priority="7342" stopIfTrue="1">
      <formula>AND(U64&gt;=70101,U64&lt;=70301)</formula>
    </cfRule>
    <cfRule type="expression" dxfId="21271" priority="7343" stopIfTrue="1">
      <formula>AND(U64&gt;70000,U64&lt;70004)</formula>
    </cfRule>
    <cfRule type="expression" dxfId="21270" priority="7344" stopIfTrue="1">
      <formula>AND(U64&gt;=70010,U64&lt;=76000)</formula>
    </cfRule>
    <cfRule type="expression" dxfId="21269" priority="7345">
      <formula>AND(U64&gt;70000,U64&lt;70004)</formula>
    </cfRule>
    <cfRule type="expression" dxfId="21268" priority="7346" stopIfTrue="1">
      <formula>OR(AND(U64&gt;=10000,U64&lt;=56999),AND(U64&gt;=57000,U64&lt;=57999))</formula>
    </cfRule>
    <cfRule type="expression" dxfId="21267" priority="7347" stopIfTrue="1">
      <formula>AND(U64&gt;=8000,U64&lt;=9999)</formula>
    </cfRule>
    <cfRule type="expression" dxfId="21266" priority="7348" stopIfTrue="1">
      <formula>AND(U64&gt;=78100,U64&lt;=78199)</formula>
    </cfRule>
    <cfRule type="expression" dxfId="21265" priority="7349" stopIfTrue="1">
      <formula>AND(U64&gt;=92000,U64&lt;=98999)</formula>
    </cfRule>
    <cfRule type="expression" dxfId="21264" priority="7350" stopIfTrue="1">
      <formula>AND(U64&gt;=78100,U64&lt;=78199)</formula>
    </cfRule>
    <cfRule type="expression" dxfId="21263" priority="7351" stopIfTrue="1">
      <formula>AND(U64&gt;=91000,U64&lt;=91999)</formula>
    </cfRule>
  </conditionalFormatting>
  <conditionalFormatting sqref="T73">
    <cfRule type="expression" dxfId="21262" priority="7330">
      <formula>AND(U73&gt;=79001,U73&lt;79900)</formula>
    </cfRule>
    <cfRule type="expression" dxfId="21261" priority="7331" stopIfTrue="1">
      <formula>AND(U73&gt;=70101,U73&lt;=70301)</formula>
    </cfRule>
    <cfRule type="expression" dxfId="21260" priority="7332" stopIfTrue="1">
      <formula>AND(U73&gt;70000,U73&lt;70004)</formula>
    </cfRule>
    <cfRule type="expression" dxfId="21259" priority="7333" stopIfTrue="1">
      <formula>AND(U73&gt;=70010,U73&lt;=76000)</formula>
    </cfRule>
    <cfRule type="expression" dxfId="21258" priority="7334">
      <formula>AND(U73&gt;70000,U73&lt;70004)</formula>
    </cfRule>
    <cfRule type="expression" dxfId="21257" priority="7335" stopIfTrue="1">
      <formula>OR(AND(U73&gt;=10000,U73&lt;=56999),AND(U73&gt;=57000,U73&lt;=57999))</formula>
    </cfRule>
    <cfRule type="expression" dxfId="21256" priority="7336" stopIfTrue="1">
      <formula>AND(U73&gt;=8000,U73&lt;=9999)</formula>
    </cfRule>
    <cfRule type="expression" dxfId="21255" priority="7337" stopIfTrue="1">
      <formula>AND(U73&gt;=78100,U73&lt;=78199)</formula>
    </cfRule>
    <cfRule type="expression" dxfId="21254" priority="7338" stopIfTrue="1">
      <formula>AND(U73&gt;=92000,U73&lt;=98999)</formula>
    </cfRule>
    <cfRule type="expression" dxfId="21253" priority="7339" stopIfTrue="1">
      <formula>AND(U73&gt;=78100,U73&lt;=78199)</formula>
    </cfRule>
    <cfRule type="expression" dxfId="21252" priority="7340" stopIfTrue="1">
      <formula>AND(U73&gt;=91000,U73&lt;=91999)</formula>
    </cfRule>
  </conditionalFormatting>
  <conditionalFormatting sqref="T73">
    <cfRule type="expression" dxfId="21251" priority="7319">
      <formula>AND(U73&gt;=79001,U73&lt;79900)</formula>
    </cfRule>
    <cfRule type="expression" dxfId="21250" priority="7320" stopIfTrue="1">
      <formula>AND(U73&gt;=70101,U73&lt;=70301)</formula>
    </cfRule>
    <cfRule type="expression" dxfId="21249" priority="7321" stopIfTrue="1">
      <formula>AND(U73&gt;70000,U73&lt;70004)</formula>
    </cfRule>
    <cfRule type="expression" dxfId="21248" priority="7322" stopIfTrue="1">
      <formula>AND(U73&gt;=70010,U73&lt;=76000)</formula>
    </cfRule>
    <cfRule type="expression" dxfId="21247" priority="7323">
      <formula>AND(U73&gt;70000,U73&lt;70004)</formula>
    </cfRule>
    <cfRule type="expression" dxfId="21246" priority="7324" stopIfTrue="1">
      <formula>OR(AND(U73&gt;=10000,U73&lt;=56999),AND(U73&gt;=57000,U73&lt;=57999))</formula>
    </cfRule>
    <cfRule type="expression" dxfId="21245" priority="7325" stopIfTrue="1">
      <formula>AND(U73&gt;=8000,U73&lt;=9999)</formula>
    </cfRule>
    <cfRule type="expression" dxfId="21244" priority="7326" stopIfTrue="1">
      <formula>AND(U73&gt;=78100,U73&lt;=78199)</formula>
    </cfRule>
    <cfRule type="expression" dxfId="21243" priority="7327" stopIfTrue="1">
      <formula>AND(U73&gt;=92000,U73&lt;=98999)</formula>
    </cfRule>
    <cfRule type="expression" dxfId="21242" priority="7328" stopIfTrue="1">
      <formula>AND(U73&gt;=78100,U73&lt;=78199)</formula>
    </cfRule>
    <cfRule type="expression" dxfId="21241" priority="7329" stopIfTrue="1">
      <formula>AND(U73&gt;=91000,U73&lt;=91999)</formula>
    </cfRule>
  </conditionalFormatting>
  <conditionalFormatting sqref="T73">
    <cfRule type="expression" dxfId="21240" priority="7308">
      <formula>AND(U73&gt;=79001,U73&lt;79900)</formula>
    </cfRule>
    <cfRule type="expression" dxfId="21239" priority="7309" stopIfTrue="1">
      <formula>AND(U73&gt;=70101,U73&lt;=70301)</formula>
    </cfRule>
    <cfRule type="expression" dxfId="21238" priority="7310" stopIfTrue="1">
      <formula>AND(U73&gt;70000,U73&lt;70004)</formula>
    </cfRule>
    <cfRule type="expression" dxfId="21237" priority="7311" stopIfTrue="1">
      <formula>AND(U73&gt;=70010,U73&lt;=76000)</formula>
    </cfRule>
    <cfRule type="expression" dxfId="21236" priority="7312">
      <formula>AND(U73&gt;70000,U73&lt;70004)</formula>
    </cfRule>
    <cfRule type="expression" dxfId="21235" priority="7313" stopIfTrue="1">
      <formula>OR(AND(U73&gt;=10000,U73&lt;=56999),AND(U73&gt;=57000,U73&lt;=57999))</formula>
    </cfRule>
    <cfRule type="expression" dxfId="21234" priority="7314" stopIfTrue="1">
      <formula>AND(U73&gt;=8000,U73&lt;=9999)</formula>
    </cfRule>
    <cfRule type="expression" dxfId="21233" priority="7315" stopIfTrue="1">
      <formula>AND(U73&gt;=78100,U73&lt;=78199)</formula>
    </cfRule>
    <cfRule type="expression" dxfId="21232" priority="7316" stopIfTrue="1">
      <formula>AND(U73&gt;=92000,U73&lt;=98999)</formula>
    </cfRule>
    <cfRule type="expression" dxfId="21231" priority="7317" stopIfTrue="1">
      <formula>AND(U73&gt;=78100,U73&lt;=78199)</formula>
    </cfRule>
    <cfRule type="expression" dxfId="21230" priority="7318" stopIfTrue="1">
      <formula>AND(U73&gt;=91000,U73&lt;=91999)</formula>
    </cfRule>
  </conditionalFormatting>
  <conditionalFormatting sqref="T73">
    <cfRule type="expression" dxfId="21229" priority="7297">
      <formula>AND(U73&gt;=79001,U73&lt;79900)</formula>
    </cfRule>
    <cfRule type="expression" dxfId="21228" priority="7298" stopIfTrue="1">
      <formula>AND(U73&gt;=70101,U73&lt;=70301)</formula>
    </cfRule>
    <cfRule type="expression" dxfId="21227" priority="7299" stopIfTrue="1">
      <formula>AND(U73&gt;70000,U73&lt;70004)</formula>
    </cfRule>
    <cfRule type="expression" dxfId="21226" priority="7300" stopIfTrue="1">
      <formula>AND(U73&gt;=70010,U73&lt;=76000)</formula>
    </cfRule>
    <cfRule type="expression" dxfId="21225" priority="7301">
      <formula>AND(U73&gt;70000,U73&lt;70004)</formula>
    </cfRule>
    <cfRule type="expression" dxfId="21224" priority="7302" stopIfTrue="1">
      <formula>OR(AND(U73&gt;=10000,U73&lt;=56999),AND(U73&gt;=57000,U73&lt;=57999))</formula>
    </cfRule>
    <cfRule type="expression" dxfId="21223" priority="7303" stopIfTrue="1">
      <formula>AND(U73&gt;=8000,U73&lt;=9999)</formula>
    </cfRule>
    <cfRule type="expression" dxfId="21222" priority="7304" stopIfTrue="1">
      <formula>AND(U73&gt;=78100,U73&lt;=78199)</formula>
    </cfRule>
    <cfRule type="expression" dxfId="21221" priority="7305" stopIfTrue="1">
      <formula>AND(U73&gt;=92000,U73&lt;=98999)</formula>
    </cfRule>
    <cfRule type="expression" dxfId="21220" priority="7306" stopIfTrue="1">
      <formula>AND(U73&gt;=78100,U73&lt;=78199)</formula>
    </cfRule>
    <cfRule type="expression" dxfId="21219" priority="7307" stopIfTrue="1">
      <formula>AND(U73&gt;=91000,U73&lt;=91999)</formula>
    </cfRule>
  </conditionalFormatting>
  <conditionalFormatting sqref="X64">
    <cfRule type="expression" dxfId="21218" priority="7286">
      <formula>AND(Y64&gt;=79001,Y64&lt;79900)</formula>
    </cfRule>
    <cfRule type="expression" dxfId="21217" priority="7287" stopIfTrue="1">
      <formula>AND(Y64&gt;=70101,Y64&lt;=70301)</formula>
    </cfRule>
    <cfRule type="expression" dxfId="21216" priority="7288" stopIfTrue="1">
      <formula>AND(Y64&gt;70000,Y64&lt;70004)</formula>
    </cfRule>
    <cfRule type="expression" dxfId="21215" priority="7289" stopIfTrue="1">
      <formula>AND(Y64&gt;=70010,Y64&lt;=76000)</formula>
    </cfRule>
    <cfRule type="expression" dxfId="21214" priority="7290">
      <formula>AND(Y64&gt;70000,Y64&lt;70004)</formula>
    </cfRule>
    <cfRule type="expression" dxfId="21213" priority="7291" stopIfTrue="1">
      <formula>OR(AND(Y64&gt;=10000,Y64&lt;=56999),AND(Y64&gt;=57000,Y64&lt;=57999))</formula>
    </cfRule>
    <cfRule type="expression" dxfId="21212" priority="7292" stopIfTrue="1">
      <formula>AND(Y64&gt;=8000,Y64&lt;=9999)</formula>
    </cfRule>
    <cfRule type="expression" dxfId="21211" priority="7293" stopIfTrue="1">
      <formula>AND(Y64&gt;=78100,Y64&lt;=78199)</formula>
    </cfRule>
    <cfRule type="expression" dxfId="21210" priority="7294" stopIfTrue="1">
      <formula>AND(Y64&gt;=92000,Y64&lt;=98999)</formula>
    </cfRule>
    <cfRule type="expression" dxfId="21209" priority="7295" stopIfTrue="1">
      <formula>AND(Y64&gt;=78100,Y64&lt;=78199)</formula>
    </cfRule>
    <cfRule type="expression" dxfId="21208" priority="7296" stopIfTrue="1">
      <formula>AND(Y64&gt;=91000,Y64&lt;=91999)</formula>
    </cfRule>
  </conditionalFormatting>
  <conditionalFormatting sqref="X64">
    <cfRule type="expression" dxfId="21207" priority="7275">
      <formula>AND(Y64&gt;=79001,Y64&lt;79900)</formula>
    </cfRule>
    <cfRule type="expression" dxfId="21206" priority="7276" stopIfTrue="1">
      <formula>AND(Y64&gt;=70101,Y64&lt;=70301)</formula>
    </cfRule>
    <cfRule type="expression" dxfId="21205" priority="7277" stopIfTrue="1">
      <formula>AND(Y64&gt;70000,Y64&lt;70004)</formula>
    </cfRule>
    <cfRule type="expression" dxfId="21204" priority="7278" stopIfTrue="1">
      <formula>AND(Y64&gt;=70010,Y64&lt;=76000)</formula>
    </cfRule>
    <cfRule type="expression" dxfId="21203" priority="7279">
      <formula>AND(Y64&gt;70000,Y64&lt;70004)</formula>
    </cfRule>
    <cfRule type="expression" dxfId="21202" priority="7280" stopIfTrue="1">
      <formula>OR(AND(Y64&gt;=10000,Y64&lt;=56999),AND(Y64&gt;=57000,Y64&lt;=57999))</formula>
    </cfRule>
    <cfRule type="expression" dxfId="21201" priority="7281" stopIfTrue="1">
      <formula>AND(Y64&gt;=8000,Y64&lt;=9999)</formula>
    </cfRule>
    <cfRule type="expression" dxfId="21200" priority="7282" stopIfTrue="1">
      <formula>AND(Y64&gt;=78100,Y64&lt;=78199)</formula>
    </cfRule>
    <cfRule type="expression" dxfId="21199" priority="7283" stopIfTrue="1">
      <formula>AND(Y64&gt;=92000,Y64&lt;=98999)</formula>
    </cfRule>
    <cfRule type="expression" dxfId="21198" priority="7284" stopIfTrue="1">
      <formula>AND(Y64&gt;=78100,Y64&lt;=78199)</formula>
    </cfRule>
    <cfRule type="expression" dxfId="21197" priority="7285" stopIfTrue="1">
      <formula>AND(Y64&gt;=91000,Y64&lt;=91999)</formula>
    </cfRule>
  </conditionalFormatting>
  <conditionalFormatting sqref="X64">
    <cfRule type="expression" dxfId="21196" priority="7264">
      <formula>AND(Y64&gt;=79001,Y64&lt;79900)</formula>
    </cfRule>
    <cfRule type="expression" dxfId="21195" priority="7265" stopIfTrue="1">
      <formula>AND(Y64&gt;=70101,Y64&lt;=70301)</formula>
    </cfRule>
    <cfRule type="expression" dxfId="21194" priority="7266" stopIfTrue="1">
      <formula>AND(Y64&gt;70000,Y64&lt;70004)</formula>
    </cfRule>
    <cfRule type="expression" dxfId="21193" priority="7267" stopIfTrue="1">
      <formula>AND(Y64&gt;=70010,Y64&lt;=76000)</formula>
    </cfRule>
    <cfRule type="expression" dxfId="21192" priority="7268">
      <formula>AND(Y64&gt;70000,Y64&lt;70004)</formula>
    </cfRule>
    <cfRule type="expression" dxfId="21191" priority="7269" stopIfTrue="1">
      <formula>OR(AND(Y64&gt;=10000,Y64&lt;=56999),AND(Y64&gt;=57000,Y64&lt;=57999))</formula>
    </cfRule>
    <cfRule type="expression" dxfId="21190" priority="7270" stopIfTrue="1">
      <formula>AND(Y64&gt;=8000,Y64&lt;=9999)</formula>
    </cfRule>
    <cfRule type="expression" dxfId="21189" priority="7271" stopIfTrue="1">
      <formula>AND(Y64&gt;=78100,Y64&lt;=78199)</formula>
    </cfRule>
    <cfRule type="expression" dxfId="21188" priority="7272" stopIfTrue="1">
      <formula>AND(Y64&gt;=92000,Y64&lt;=98999)</formula>
    </cfRule>
    <cfRule type="expression" dxfId="21187" priority="7273" stopIfTrue="1">
      <formula>AND(Y64&gt;=78100,Y64&lt;=78199)</formula>
    </cfRule>
    <cfRule type="expression" dxfId="21186" priority="7274" stopIfTrue="1">
      <formula>AND(Y64&gt;=91000,Y64&lt;=91999)</formula>
    </cfRule>
  </conditionalFormatting>
  <conditionalFormatting sqref="X64">
    <cfRule type="expression" dxfId="21185" priority="7253">
      <formula>AND(Y64&gt;=79001,Y64&lt;79900)</formula>
    </cfRule>
    <cfRule type="expression" dxfId="21184" priority="7254" stopIfTrue="1">
      <formula>AND(Y64&gt;=70101,Y64&lt;=70301)</formula>
    </cfRule>
    <cfRule type="expression" dxfId="21183" priority="7255" stopIfTrue="1">
      <formula>AND(Y64&gt;70000,Y64&lt;70004)</formula>
    </cfRule>
    <cfRule type="expression" dxfId="21182" priority="7256" stopIfTrue="1">
      <formula>AND(Y64&gt;=70010,Y64&lt;=76000)</formula>
    </cfRule>
    <cfRule type="expression" dxfId="21181" priority="7257">
      <formula>AND(Y64&gt;70000,Y64&lt;70004)</formula>
    </cfRule>
    <cfRule type="expression" dxfId="21180" priority="7258" stopIfTrue="1">
      <formula>OR(AND(Y64&gt;=10000,Y64&lt;=56999),AND(Y64&gt;=57000,Y64&lt;=57999))</formula>
    </cfRule>
    <cfRule type="expression" dxfId="21179" priority="7259" stopIfTrue="1">
      <formula>AND(Y64&gt;=8000,Y64&lt;=9999)</formula>
    </cfRule>
    <cfRule type="expression" dxfId="21178" priority="7260" stopIfTrue="1">
      <formula>AND(Y64&gt;=78100,Y64&lt;=78199)</formula>
    </cfRule>
    <cfRule type="expression" dxfId="21177" priority="7261" stopIfTrue="1">
      <formula>AND(Y64&gt;=92000,Y64&lt;=98999)</formula>
    </cfRule>
    <cfRule type="expression" dxfId="21176" priority="7262" stopIfTrue="1">
      <formula>AND(Y64&gt;=78100,Y64&lt;=78199)</formula>
    </cfRule>
    <cfRule type="expression" dxfId="21175" priority="7263" stopIfTrue="1">
      <formula>AND(Y64&gt;=91000,Y64&lt;=91999)</formula>
    </cfRule>
  </conditionalFormatting>
  <conditionalFormatting sqref="AB64">
    <cfRule type="expression" dxfId="21174" priority="7242">
      <formula>AND(AC64&gt;=79001,AC64&lt;79900)</formula>
    </cfRule>
    <cfRule type="expression" dxfId="21173" priority="7243" stopIfTrue="1">
      <formula>AND(AC64&gt;=70101,AC64&lt;=70301)</formula>
    </cfRule>
    <cfRule type="expression" dxfId="21172" priority="7244" stopIfTrue="1">
      <formula>AND(AC64&gt;70000,AC64&lt;70004)</formula>
    </cfRule>
    <cfRule type="expression" dxfId="21171" priority="7245" stopIfTrue="1">
      <formula>AND(AC64&gt;=70010,AC64&lt;=76000)</formula>
    </cfRule>
    <cfRule type="expression" dxfId="21170" priority="7246">
      <formula>AND(AC64&gt;70000,AC64&lt;70004)</formula>
    </cfRule>
    <cfRule type="expression" dxfId="21169" priority="7247" stopIfTrue="1">
      <formula>OR(AND(AC64&gt;=10000,AC64&lt;=56999),AND(AC64&gt;=57000,AC64&lt;=57999))</formula>
    </cfRule>
    <cfRule type="expression" dxfId="21168" priority="7248" stopIfTrue="1">
      <formula>AND(AC64&gt;=8000,AC64&lt;=9999)</formula>
    </cfRule>
    <cfRule type="expression" dxfId="21167" priority="7249" stopIfTrue="1">
      <formula>AND(AC64&gt;=78100,AC64&lt;=78199)</formula>
    </cfRule>
    <cfRule type="expression" dxfId="21166" priority="7250" stopIfTrue="1">
      <formula>AND(AC64&gt;=92000,AC64&lt;=98999)</formula>
    </cfRule>
    <cfRule type="expression" dxfId="21165" priority="7251" stopIfTrue="1">
      <formula>AND(AC64&gt;=78100,AC64&lt;=78199)</formula>
    </cfRule>
    <cfRule type="expression" dxfId="21164" priority="7252" stopIfTrue="1">
      <formula>AND(AC64&gt;=91000,AC64&lt;=91999)</formula>
    </cfRule>
  </conditionalFormatting>
  <conditionalFormatting sqref="AB64">
    <cfRule type="expression" dxfId="21163" priority="7231">
      <formula>AND(AC64&gt;=79001,AC64&lt;79900)</formula>
    </cfRule>
    <cfRule type="expression" dxfId="21162" priority="7232" stopIfTrue="1">
      <formula>AND(AC64&gt;=70101,AC64&lt;=70301)</formula>
    </cfRule>
    <cfRule type="expression" dxfId="21161" priority="7233" stopIfTrue="1">
      <formula>AND(AC64&gt;70000,AC64&lt;70004)</formula>
    </cfRule>
    <cfRule type="expression" dxfId="21160" priority="7234" stopIfTrue="1">
      <formula>AND(AC64&gt;=70010,AC64&lt;=76000)</formula>
    </cfRule>
    <cfRule type="expression" dxfId="21159" priority="7235">
      <formula>AND(AC64&gt;70000,AC64&lt;70004)</formula>
    </cfRule>
    <cfRule type="expression" dxfId="21158" priority="7236" stopIfTrue="1">
      <formula>OR(AND(AC64&gt;=10000,AC64&lt;=56999),AND(AC64&gt;=57000,AC64&lt;=57999))</formula>
    </cfRule>
    <cfRule type="expression" dxfId="21157" priority="7237" stopIfTrue="1">
      <formula>AND(AC64&gt;=8000,AC64&lt;=9999)</formula>
    </cfRule>
    <cfRule type="expression" dxfId="21156" priority="7238" stopIfTrue="1">
      <formula>AND(AC64&gt;=78100,AC64&lt;=78199)</formula>
    </cfRule>
    <cfRule type="expression" dxfId="21155" priority="7239" stopIfTrue="1">
      <formula>AND(AC64&gt;=92000,AC64&lt;=98999)</formula>
    </cfRule>
    <cfRule type="expression" dxfId="21154" priority="7240" stopIfTrue="1">
      <formula>AND(AC64&gt;=78100,AC64&lt;=78199)</formula>
    </cfRule>
    <cfRule type="expression" dxfId="21153" priority="7241" stopIfTrue="1">
      <formula>AND(AC64&gt;=91000,AC64&lt;=91999)</formula>
    </cfRule>
  </conditionalFormatting>
  <conditionalFormatting sqref="AB64">
    <cfRule type="expression" dxfId="21152" priority="7220">
      <formula>AND(AC64&gt;=79001,AC64&lt;79900)</formula>
    </cfRule>
    <cfRule type="expression" dxfId="21151" priority="7221" stopIfTrue="1">
      <formula>AND(AC64&gt;=70101,AC64&lt;=70301)</formula>
    </cfRule>
    <cfRule type="expression" dxfId="21150" priority="7222" stopIfTrue="1">
      <formula>AND(AC64&gt;70000,AC64&lt;70004)</formula>
    </cfRule>
    <cfRule type="expression" dxfId="21149" priority="7223" stopIfTrue="1">
      <formula>AND(AC64&gt;=70010,AC64&lt;=76000)</formula>
    </cfRule>
    <cfRule type="expression" dxfId="21148" priority="7224">
      <formula>AND(AC64&gt;70000,AC64&lt;70004)</formula>
    </cfRule>
    <cfRule type="expression" dxfId="21147" priority="7225" stopIfTrue="1">
      <formula>OR(AND(AC64&gt;=10000,AC64&lt;=56999),AND(AC64&gt;=57000,AC64&lt;=57999))</formula>
    </cfRule>
    <cfRule type="expression" dxfId="21146" priority="7226" stopIfTrue="1">
      <formula>AND(AC64&gt;=8000,AC64&lt;=9999)</formula>
    </cfRule>
    <cfRule type="expression" dxfId="21145" priority="7227" stopIfTrue="1">
      <formula>AND(AC64&gt;=78100,AC64&lt;=78199)</formula>
    </cfRule>
    <cfRule type="expression" dxfId="21144" priority="7228" stopIfTrue="1">
      <formula>AND(AC64&gt;=92000,AC64&lt;=98999)</formula>
    </cfRule>
    <cfRule type="expression" dxfId="21143" priority="7229" stopIfTrue="1">
      <formula>AND(AC64&gt;=78100,AC64&lt;=78199)</formula>
    </cfRule>
    <cfRule type="expression" dxfId="21142" priority="7230" stopIfTrue="1">
      <formula>AND(AC64&gt;=91000,AC64&lt;=91999)</formula>
    </cfRule>
  </conditionalFormatting>
  <conditionalFormatting sqref="AB64">
    <cfRule type="expression" dxfId="21141" priority="7209">
      <formula>AND(AC64&gt;=79001,AC64&lt;79900)</formula>
    </cfRule>
    <cfRule type="expression" dxfId="21140" priority="7210" stopIfTrue="1">
      <formula>AND(AC64&gt;=70101,AC64&lt;=70301)</formula>
    </cfRule>
    <cfRule type="expression" dxfId="21139" priority="7211" stopIfTrue="1">
      <formula>AND(AC64&gt;70000,AC64&lt;70004)</formula>
    </cfRule>
    <cfRule type="expression" dxfId="21138" priority="7212" stopIfTrue="1">
      <formula>AND(AC64&gt;=70010,AC64&lt;=76000)</formula>
    </cfRule>
    <cfRule type="expression" dxfId="21137" priority="7213">
      <formula>AND(AC64&gt;70000,AC64&lt;70004)</formula>
    </cfRule>
    <cfRule type="expression" dxfId="21136" priority="7214" stopIfTrue="1">
      <formula>OR(AND(AC64&gt;=10000,AC64&lt;=56999),AND(AC64&gt;=57000,AC64&lt;=57999))</formula>
    </cfRule>
    <cfRule type="expression" dxfId="21135" priority="7215" stopIfTrue="1">
      <formula>AND(AC64&gt;=8000,AC64&lt;=9999)</formula>
    </cfRule>
    <cfRule type="expression" dxfId="21134" priority="7216" stopIfTrue="1">
      <formula>AND(AC64&gt;=78100,AC64&lt;=78199)</formula>
    </cfRule>
    <cfRule type="expression" dxfId="21133" priority="7217" stopIfTrue="1">
      <formula>AND(AC64&gt;=92000,AC64&lt;=98999)</formula>
    </cfRule>
    <cfRule type="expression" dxfId="21132" priority="7218" stopIfTrue="1">
      <formula>AND(AC64&gt;=78100,AC64&lt;=78199)</formula>
    </cfRule>
    <cfRule type="expression" dxfId="21131" priority="7219" stopIfTrue="1">
      <formula>AND(AC64&gt;=91000,AC64&lt;=91999)</formula>
    </cfRule>
  </conditionalFormatting>
  <conditionalFormatting sqref="AF64">
    <cfRule type="expression" dxfId="21130" priority="7198">
      <formula>AND(AG64&gt;=79001,AG64&lt;79900)</formula>
    </cfRule>
    <cfRule type="expression" dxfId="21129" priority="7199" stopIfTrue="1">
      <formula>AND(AG64&gt;=70101,AG64&lt;=70301)</formula>
    </cfRule>
    <cfRule type="expression" dxfId="21128" priority="7200" stopIfTrue="1">
      <formula>AND(AG64&gt;70000,AG64&lt;70004)</formula>
    </cfRule>
    <cfRule type="expression" dxfId="21127" priority="7201" stopIfTrue="1">
      <formula>AND(AG64&gt;=70010,AG64&lt;=76000)</formula>
    </cfRule>
    <cfRule type="expression" dxfId="21126" priority="7202">
      <formula>AND(AG64&gt;70000,AG64&lt;70004)</formula>
    </cfRule>
    <cfRule type="expression" dxfId="21125" priority="7203" stopIfTrue="1">
      <formula>OR(AND(AG64&gt;=10000,AG64&lt;=56999),AND(AG64&gt;=57000,AG64&lt;=57999))</formula>
    </cfRule>
    <cfRule type="expression" dxfId="21124" priority="7204" stopIfTrue="1">
      <formula>AND(AG64&gt;=8000,AG64&lt;=9999)</formula>
    </cfRule>
    <cfRule type="expression" dxfId="21123" priority="7205" stopIfTrue="1">
      <formula>AND(AG64&gt;=78100,AG64&lt;=78199)</formula>
    </cfRule>
    <cfRule type="expression" dxfId="21122" priority="7206" stopIfTrue="1">
      <formula>AND(AG64&gt;=92000,AG64&lt;=98999)</formula>
    </cfRule>
    <cfRule type="expression" dxfId="21121" priority="7207" stopIfTrue="1">
      <formula>AND(AG64&gt;=78100,AG64&lt;=78199)</formula>
    </cfRule>
    <cfRule type="expression" dxfId="21120" priority="7208" stopIfTrue="1">
      <formula>AND(AG64&gt;=91000,AG64&lt;=91999)</formula>
    </cfRule>
  </conditionalFormatting>
  <conditionalFormatting sqref="AF64">
    <cfRule type="expression" dxfId="21119" priority="7187">
      <formula>AND(AG64&gt;=79001,AG64&lt;79900)</formula>
    </cfRule>
    <cfRule type="expression" dxfId="21118" priority="7188" stopIfTrue="1">
      <formula>AND(AG64&gt;=70101,AG64&lt;=70301)</formula>
    </cfRule>
    <cfRule type="expression" dxfId="21117" priority="7189" stopIfTrue="1">
      <formula>AND(AG64&gt;70000,AG64&lt;70004)</formula>
    </cfRule>
    <cfRule type="expression" dxfId="21116" priority="7190" stopIfTrue="1">
      <formula>AND(AG64&gt;=70010,AG64&lt;=76000)</formula>
    </cfRule>
    <cfRule type="expression" dxfId="21115" priority="7191">
      <formula>AND(AG64&gt;70000,AG64&lt;70004)</formula>
    </cfRule>
    <cfRule type="expression" dxfId="21114" priority="7192" stopIfTrue="1">
      <formula>OR(AND(AG64&gt;=10000,AG64&lt;=56999),AND(AG64&gt;=57000,AG64&lt;=57999))</formula>
    </cfRule>
    <cfRule type="expression" dxfId="21113" priority="7193" stopIfTrue="1">
      <formula>AND(AG64&gt;=8000,AG64&lt;=9999)</formula>
    </cfRule>
    <cfRule type="expression" dxfId="21112" priority="7194" stopIfTrue="1">
      <formula>AND(AG64&gt;=78100,AG64&lt;=78199)</formula>
    </cfRule>
    <cfRule type="expression" dxfId="21111" priority="7195" stopIfTrue="1">
      <formula>AND(AG64&gt;=92000,AG64&lt;=98999)</formula>
    </cfRule>
    <cfRule type="expression" dxfId="21110" priority="7196" stopIfTrue="1">
      <formula>AND(AG64&gt;=78100,AG64&lt;=78199)</formula>
    </cfRule>
    <cfRule type="expression" dxfId="21109" priority="7197" stopIfTrue="1">
      <formula>AND(AG64&gt;=91000,AG64&lt;=91999)</formula>
    </cfRule>
  </conditionalFormatting>
  <conditionalFormatting sqref="AF64">
    <cfRule type="expression" dxfId="21108" priority="7176">
      <formula>AND(AG64&gt;=79001,AG64&lt;79900)</formula>
    </cfRule>
    <cfRule type="expression" dxfId="21107" priority="7177" stopIfTrue="1">
      <formula>AND(AG64&gt;=70101,AG64&lt;=70301)</formula>
    </cfRule>
    <cfRule type="expression" dxfId="21106" priority="7178" stopIfTrue="1">
      <formula>AND(AG64&gt;70000,AG64&lt;70004)</formula>
    </cfRule>
    <cfRule type="expression" dxfId="21105" priority="7179" stopIfTrue="1">
      <formula>AND(AG64&gt;=70010,AG64&lt;=76000)</formula>
    </cfRule>
    <cfRule type="expression" dxfId="21104" priority="7180">
      <formula>AND(AG64&gt;70000,AG64&lt;70004)</formula>
    </cfRule>
    <cfRule type="expression" dxfId="21103" priority="7181" stopIfTrue="1">
      <formula>OR(AND(AG64&gt;=10000,AG64&lt;=56999),AND(AG64&gt;=57000,AG64&lt;=57999))</formula>
    </cfRule>
    <cfRule type="expression" dxfId="21102" priority="7182" stopIfTrue="1">
      <formula>AND(AG64&gt;=8000,AG64&lt;=9999)</formula>
    </cfRule>
    <cfRule type="expression" dxfId="21101" priority="7183" stopIfTrue="1">
      <formula>AND(AG64&gt;=78100,AG64&lt;=78199)</formula>
    </cfRule>
    <cfRule type="expression" dxfId="21100" priority="7184" stopIfTrue="1">
      <formula>AND(AG64&gt;=92000,AG64&lt;=98999)</formula>
    </cfRule>
    <cfRule type="expression" dxfId="21099" priority="7185" stopIfTrue="1">
      <formula>AND(AG64&gt;=78100,AG64&lt;=78199)</formula>
    </cfRule>
    <cfRule type="expression" dxfId="21098" priority="7186" stopIfTrue="1">
      <formula>AND(AG64&gt;=91000,AG64&lt;=91999)</formula>
    </cfRule>
  </conditionalFormatting>
  <conditionalFormatting sqref="AF64">
    <cfRule type="expression" dxfId="21097" priority="7165">
      <formula>AND(AG64&gt;=79001,AG64&lt;79900)</formula>
    </cfRule>
    <cfRule type="expression" dxfId="21096" priority="7166" stopIfTrue="1">
      <formula>AND(AG64&gt;=70101,AG64&lt;=70301)</formula>
    </cfRule>
    <cfRule type="expression" dxfId="21095" priority="7167" stopIfTrue="1">
      <formula>AND(AG64&gt;70000,AG64&lt;70004)</formula>
    </cfRule>
    <cfRule type="expression" dxfId="21094" priority="7168" stopIfTrue="1">
      <formula>AND(AG64&gt;=70010,AG64&lt;=76000)</formula>
    </cfRule>
    <cfRule type="expression" dxfId="21093" priority="7169">
      <formula>AND(AG64&gt;70000,AG64&lt;70004)</formula>
    </cfRule>
    <cfRule type="expression" dxfId="21092" priority="7170" stopIfTrue="1">
      <formula>OR(AND(AG64&gt;=10000,AG64&lt;=56999),AND(AG64&gt;=57000,AG64&lt;=57999))</formula>
    </cfRule>
    <cfRule type="expression" dxfId="21091" priority="7171" stopIfTrue="1">
      <formula>AND(AG64&gt;=8000,AG64&lt;=9999)</formula>
    </cfRule>
    <cfRule type="expression" dxfId="21090" priority="7172" stopIfTrue="1">
      <formula>AND(AG64&gt;=78100,AG64&lt;=78199)</formula>
    </cfRule>
    <cfRule type="expression" dxfId="21089" priority="7173" stopIfTrue="1">
      <formula>AND(AG64&gt;=92000,AG64&lt;=98999)</formula>
    </cfRule>
    <cfRule type="expression" dxfId="21088" priority="7174" stopIfTrue="1">
      <formula>AND(AG64&gt;=78100,AG64&lt;=78199)</formula>
    </cfRule>
    <cfRule type="expression" dxfId="21087" priority="7175" stopIfTrue="1">
      <formula>AND(AG64&gt;=91000,AG64&lt;=91999)</formula>
    </cfRule>
  </conditionalFormatting>
  <conditionalFormatting sqref="T67">
    <cfRule type="expression" dxfId="21086" priority="7154">
      <formula>AND(U67&gt;=79001,U67&lt;79900)</formula>
    </cfRule>
    <cfRule type="expression" dxfId="21085" priority="7155" stopIfTrue="1">
      <formula>AND(U67&gt;=70101,U67&lt;=70301)</formula>
    </cfRule>
    <cfRule type="expression" dxfId="21084" priority="7156" stopIfTrue="1">
      <formula>AND(U67&gt;70000,U67&lt;70004)</formula>
    </cfRule>
    <cfRule type="expression" dxfId="21083" priority="7157" stopIfTrue="1">
      <formula>AND(U67&gt;=70010,U67&lt;=76000)</formula>
    </cfRule>
    <cfRule type="expression" dxfId="21082" priority="7158">
      <formula>AND(U67&gt;70000,U67&lt;70004)</formula>
    </cfRule>
    <cfRule type="expression" dxfId="21081" priority="7159" stopIfTrue="1">
      <formula>OR(AND(U67&gt;=10000,U67&lt;=56999),AND(U67&gt;=57000,U67&lt;=57999))</formula>
    </cfRule>
    <cfRule type="expression" dxfId="21080" priority="7160" stopIfTrue="1">
      <formula>AND(U67&gt;=8000,U67&lt;=9999)</formula>
    </cfRule>
    <cfRule type="expression" dxfId="21079" priority="7161" stopIfTrue="1">
      <formula>AND(U67&gt;=78100,U67&lt;=78199)</formula>
    </cfRule>
    <cfRule type="expression" dxfId="21078" priority="7162" stopIfTrue="1">
      <formula>AND(U67&gt;=92000,U67&lt;=98999)</formula>
    </cfRule>
    <cfRule type="expression" dxfId="21077" priority="7163" stopIfTrue="1">
      <formula>AND(U67&gt;=78100,U67&lt;=78199)</formula>
    </cfRule>
    <cfRule type="expression" dxfId="21076" priority="7164" stopIfTrue="1">
      <formula>AND(U67&gt;=91000,U67&lt;=91999)</formula>
    </cfRule>
  </conditionalFormatting>
  <conditionalFormatting sqref="T67">
    <cfRule type="expression" dxfId="21075" priority="7143">
      <formula>AND(U67&gt;=79001,U67&lt;79900)</formula>
    </cfRule>
    <cfRule type="expression" dxfId="21074" priority="7144" stopIfTrue="1">
      <formula>AND(U67&gt;=70101,U67&lt;=70301)</formula>
    </cfRule>
    <cfRule type="expression" dxfId="21073" priority="7145" stopIfTrue="1">
      <formula>AND(U67&gt;70000,U67&lt;70004)</formula>
    </cfRule>
    <cfRule type="expression" dxfId="21072" priority="7146" stopIfTrue="1">
      <formula>AND(U67&gt;=70010,U67&lt;=76000)</formula>
    </cfRule>
    <cfRule type="expression" dxfId="21071" priority="7147">
      <formula>AND(U67&gt;70000,U67&lt;70004)</formula>
    </cfRule>
    <cfRule type="expression" dxfId="21070" priority="7148" stopIfTrue="1">
      <formula>OR(AND(U67&gt;=10000,U67&lt;=56999),AND(U67&gt;=57000,U67&lt;=57999))</formula>
    </cfRule>
    <cfRule type="expression" dxfId="21069" priority="7149" stopIfTrue="1">
      <formula>AND(U67&gt;=8000,U67&lt;=9999)</formula>
    </cfRule>
    <cfRule type="expression" dxfId="21068" priority="7150" stopIfTrue="1">
      <formula>AND(U67&gt;=78100,U67&lt;=78199)</formula>
    </cfRule>
    <cfRule type="expression" dxfId="21067" priority="7151" stopIfTrue="1">
      <formula>AND(U67&gt;=92000,U67&lt;=98999)</formula>
    </cfRule>
    <cfRule type="expression" dxfId="21066" priority="7152" stopIfTrue="1">
      <formula>AND(U67&gt;=78100,U67&lt;=78199)</formula>
    </cfRule>
    <cfRule type="expression" dxfId="21065" priority="7153" stopIfTrue="1">
      <formula>AND(U67&gt;=91000,U67&lt;=91999)</formula>
    </cfRule>
  </conditionalFormatting>
  <conditionalFormatting sqref="T67">
    <cfRule type="expression" dxfId="21064" priority="7132">
      <formula>AND(U67&gt;=79001,U67&lt;79900)</formula>
    </cfRule>
    <cfRule type="expression" dxfId="21063" priority="7133" stopIfTrue="1">
      <formula>AND(U67&gt;=70101,U67&lt;=70301)</formula>
    </cfRule>
    <cfRule type="expression" dxfId="21062" priority="7134" stopIfTrue="1">
      <formula>AND(U67&gt;70000,U67&lt;70004)</formula>
    </cfRule>
    <cfRule type="expression" dxfId="21061" priority="7135" stopIfTrue="1">
      <formula>AND(U67&gt;=70010,U67&lt;=76000)</formula>
    </cfRule>
    <cfRule type="expression" dxfId="21060" priority="7136">
      <formula>AND(U67&gt;70000,U67&lt;70004)</formula>
    </cfRule>
    <cfRule type="expression" dxfId="21059" priority="7137" stopIfTrue="1">
      <formula>OR(AND(U67&gt;=10000,U67&lt;=56999),AND(U67&gt;=57000,U67&lt;=57999))</formula>
    </cfRule>
    <cfRule type="expression" dxfId="21058" priority="7138" stopIfTrue="1">
      <formula>AND(U67&gt;=8000,U67&lt;=9999)</formula>
    </cfRule>
    <cfRule type="expression" dxfId="21057" priority="7139" stopIfTrue="1">
      <formula>AND(U67&gt;=78100,U67&lt;=78199)</formula>
    </cfRule>
    <cfRule type="expression" dxfId="21056" priority="7140" stopIfTrue="1">
      <formula>AND(U67&gt;=92000,U67&lt;=98999)</formula>
    </cfRule>
    <cfRule type="expression" dxfId="21055" priority="7141" stopIfTrue="1">
      <formula>AND(U67&gt;=78100,U67&lt;=78199)</formula>
    </cfRule>
    <cfRule type="expression" dxfId="21054" priority="7142" stopIfTrue="1">
      <formula>AND(U67&gt;=91000,U67&lt;=91999)</formula>
    </cfRule>
  </conditionalFormatting>
  <conditionalFormatting sqref="T67">
    <cfRule type="expression" dxfId="21053" priority="7121">
      <formula>AND(U67&gt;=79001,U67&lt;79900)</formula>
    </cfRule>
    <cfRule type="expression" dxfId="21052" priority="7122" stopIfTrue="1">
      <formula>AND(U67&gt;=70101,U67&lt;=70301)</formula>
    </cfRule>
    <cfRule type="expression" dxfId="21051" priority="7123" stopIfTrue="1">
      <formula>AND(U67&gt;70000,U67&lt;70004)</formula>
    </cfRule>
    <cfRule type="expression" dxfId="21050" priority="7124" stopIfTrue="1">
      <formula>AND(U67&gt;=70010,U67&lt;=76000)</formula>
    </cfRule>
    <cfRule type="expression" dxfId="21049" priority="7125">
      <formula>AND(U67&gt;70000,U67&lt;70004)</formula>
    </cfRule>
    <cfRule type="expression" dxfId="21048" priority="7126" stopIfTrue="1">
      <formula>OR(AND(U67&gt;=10000,U67&lt;=56999),AND(U67&gt;=57000,U67&lt;=57999))</formula>
    </cfRule>
    <cfRule type="expression" dxfId="21047" priority="7127" stopIfTrue="1">
      <formula>AND(U67&gt;=8000,U67&lt;=9999)</formula>
    </cfRule>
    <cfRule type="expression" dxfId="21046" priority="7128" stopIfTrue="1">
      <formula>AND(U67&gt;=78100,U67&lt;=78199)</formula>
    </cfRule>
    <cfRule type="expression" dxfId="21045" priority="7129" stopIfTrue="1">
      <formula>AND(U67&gt;=92000,U67&lt;=98999)</formula>
    </cfRule>
    <cfRule type="expression" dxfId="21044" priority="7130" stopIfTrue="1">
      <formula>AND(U67&gt;=78100,U67&lt;=78199)</formula>
    </cfRule>
    <cfRule type="expression" dxfId="21043" priority="7131" stopIfTrue="1">
      <formula>AND(U67&gt;=91000,U67&lt;=91999)</formula>
    </cfRule>
  </conditionalFormatting>
  <conditionalFormatting sqref="X67">
    <cfRule type="expression" dxfId="21042" priority="7110">
      <formula>AND(Y67&gt;=79001,Y67&lt;79900)</formula>
    </cfRule>
    <cfRule type="expression" dxfId="21041" priority="7111" stopIfTrue="1">
      <formula>AND(Y67&gt;=70101,Y67&lt;=70301)</formula>
    </cfRule>
    <cfRule type="expression" dxfId="21040" priority="7112" stopIfTrue="1">
      <formula>AND(Y67&gt;70000,Y67&lt;70004)</formula>
    </cfRule>
    <cfRule type="expression" dxfId="21039" priority="7113" stopIfTrue="1">
      <formula>AND(Y67&gt;=70010,Y67&lt;=76000)</formula>
    </cfRule>
    <cfRule type="expression" dxfId="21038" priority="7114">
      <formula>AND(Y67&gt;70000,Y67&lt;70004)</formula>
    </cfRule>
    <cfRule type="expression" dxfId="21037" priority="7115" stopIfTrue="1">
      <formula>OR(AND(Y67&gt;=10000,Y67&lt;=56999),AND(Y67&gt;=57000,Y67&lt;=57999))</formula>
    </cfRule>
    <cfRule type="expression" dxfId="21036" priority="7116" stopIfTrue="1">
      <formula>AND(Y67&gt;=8000,Y67&lt;=9999)</formula>
    </cfRule>
    <cfRule type="expression" dxfId="21035" priority="7117" stopIfTrue="1">
      <formula>AND(Y67&gt;=78100,Y67&lt;=78199)</formula>
    </cfRule>
    <cfRule type="expression" dxfId="21034" priority="7118" stopIfTrue="1">
      <formula>AND(Y67&gt;=92000,Y67&lt;=98999)</formula>
    </cfRule>
    <cfRule type="expression" dxfId="21033" priority="7119" stopIfTrue="1">
      <formula>AND(Y67&gt;=78100,Y67&lt;=78199)</formula>
    </cfRule>
    <cfRule type="expression" dxfId="21032" priority="7120" stopIfTrue="1">
      <formula>AND(Y67&gt;=91000,Y67&lt;=91999)</formula>
    </cfRule>
  </conditionalFormatting>
  <conditionalFormatting sqref="X67">
    <cfRule type="expression" dxfId="21031" priority="7099">
      <formula>AND(Y67&gt;=79001,Y67&lt;79900)</formula>
    </cfRule>
    <cfRule type="expression" dxfId="21030" priority="7100" stopIfTrue="1">
      <formula>AND(Y67&gt;=70101,Y67&lt;=70301)</formula>
    </cfRule>
    <cfRule type="expression" dxfId="21029" priority="7101" stopIfTrue="1">
      <formula>AND(Y67&gt;70000,Y67&lt;70004)</formula>
    </cfRule>
    <cfRule type="expression" dxfId="21028" priority="7102" stopIfTrue="1">
      <formula>AND(Y67&gt;=70010,Y67&lt;=76000)</formula>
    </cfRule>
    <cfRule type="expression" dxfId="21027" priority="7103">
      <formula>AND(Y67&gt;70000,Y67&lt;70004)</formula>
    </cfRule>
    <cfRule type="expression" dxfId="21026" priority="7104" stopIfTrue="1">
      <formula>OR(AND(Y67&gt;=10000,Y67&lt;=56999),AND(Y67&gt;=57000,Y67&lt;=57999))</formula>
    </cfRule>
    <cfRule type="expression" dxfId="21025" priority="7105" stopIfTrue="1">
      <formula>AND(Y67&gt;=8000,Y67&lt;=9999)</formula>
    </cfRule>
    <cfRule type="expression" dxfId="21024" priority="7106" stopIfTrue="1">
      <formula>AND(Y67&gt;=78100,Y67&lt;=78199)</formula>
    </cfRule>
    <cfRule type="expression" dxfId="21023" priority="7107" stopIfTrue="1">
      <formula>AND(Y67&gt;=92000,Y67&lt;=98999)</formula>
    </cfRule>
    <cfRule type="expression" dxfId="21022" priority="7108" stopIfTrue="1">
      <formula>AND(Y67&gt;=78100,Y67&lt;=78199)</formula>
    </cfRule>
    <cfRule type="expression" dxfId="21021" priority="7109" stopIfTrue="1">
      <formula>AND(Y67&gt;=91000,Y67&lt;=91999)</formula>
    </cfRule>
  </conditionalFormatting>
  <conditionalFormatting sqref="X67">
    <cfRule type="expression" dxfId="21020" priority="7088">
      <formula>AND(Y67&gt;=79001,Y67&lt;79900)</formula>
    </cfRule>
    <cfRule type="expression" dxfId="21019" priority="7089" stopIfTrue="1">
      <formula>AND(Y67&gt;=70101,Y67&lt;=70301)</formula>
    </cfRule>
    <cfRule type="expression" dxfId="21018" priority="7090" stopIfTrue="1">
      <formula>AND(Y67&gt;70000,Y67&lt;70004)</formula>
    </cfRule>
    <cfRule type="expression" dxfId="21017" priority="7091" stopIfTrue="1">
      <formula>AND(Y67&gt;=70010,Y67&lt;=76000)</formula>
    </cfRule>
    <cfRule type="expression" dxfId="21016" priority="7092">
      <formula>AND(Y67&gt;70000,Y67&lt;70004)</formula>
    </cfRule>
    <cfRule type="expression" dxfId="21015" priority="7093" stopIfTrue="1">
      <formula>OR(AND(Y67&gt;=10000,Y67&lt;=56999),AND(Y67&gt;=57000,Y67&lt;=57999))</formula>
    </cfRule>
    <cfRule type="expression" dxfId="21014" priority="7094" stopIfTrue="1">
      <formula>AND(Y67&gt;=8000,Y67&lt;=9999)</formula>
    </cfRule>
    <cfRule type="expression" dxfId="21013" priority="7095" stopIfTrue="1">
      <formula>AND(Y67&gt;=78100,Y67&lt;=78199)</formula>
    </cfRule>
    <cfRule type="expression" dxfId="21012" priority="7096" stopIfTrue="1">
      <formula>AND(Y67&gt;=92000,Y67&lt;=98999)</formula>
    </cfRule>
    <cfRule type="expression" dxfId="21011" priority="7097" stopIfTrue="1">
      <formula>AND(Y67&gt;=78100,Y67&lt;=78199)</formula>
    </cfRule>
    <cfRule type="expression" dxfId="21010" priority="7098" stopIfTrue="1">
      <formula>AND(Y67&gt;=91000,Y67&lt;=91999)</formula>
    </cfRule>
  </conditionalFormatting>
  <conditionalFormatting sqref="X67">
    <cfRule type="expression" dxfId="21009" priority="7077">
      <formula>AND(Y67&gt;=79001,Y67&lt;79900)</formula>
    </cfRule>
    <cfRule type="expression" dxfId="21008" priority="7078" stopIfTrue="1">
      <formula>AND(Y67&gt;=70101,Y67&lt;=70301)</formula>
    </cfRule>
    <cfRule type="expression" dxfId="21007" priority="7079" stopIfTrue="1">
      <formula>AND(Y67&gt;70000,Y67&lt;70004)</formula>
    </cfRule>
    <cfRule type="expression" dxfId="21006" priority="7080" stopIfTrue="1">
      <formula>AND(Y67&gt;=70010,Y67&lt;=76000)</formula>
    </cfRule>
    <cfRule type="expression" dxfId="21005" priority="7081">
      <formula>AND(Y67&gt;70000,Y67&lt;70004)</formula>
    </cfRule>
    <cfRule type="expression" dxfId="21004" priority="7082" stopIfTrue="1">
      <formula>OR(AND(Y67&gt;=10000,Y67&lt;=56999),AND(Y67&gt;=57000,Y67&lt;=57999))</formula>
    </cfRule>
    <cfRule type="expression" dxfId="21003" priority="7083" stopIfTrue="1">
      <formula>AND(Y67&gt;=8000,Y67&lt;=9999)</formula>
    </cfRule>
    <cfRule type="expression" dxfId="21002" priority="7084" stopIfTrue="1">
      <formula>AND(Y67&gt;=78100,Y67&lt;=78199)</formula>
    </cfRule>
    <cfRule type="expression" dxfId="21001" priority="7085" stopIfTrue="1">
      <formula>AND(Y67&gt;=92000,Y67&lt;=98999)</formula>
    </cfRule>
    <cfRule type="expression" dxfId="21000" priority="7086" stopIfTrue="1">
      <formula>AND(Y67&gt;=78100,Y67&lt;=78199)</formula>
    </cfRule>
    <cfRule type="expression" dxfId="20999" priority="7087" stopIfTrue="1">
      <formula>AND(Y67&gt;=91000,Y67&lt;=91999)</formula>
    </cfRule>
  </conditionalFormatting>
  <conditionalFormatting sqref="AB67">
    <cfRule type="expression" dxfId="20998" priority="7066">
      <formula>AND(AC67&gt;=79001,AC67&lt;79900)</formula>
    </cfRule>
    <cfRule type="expression" dxfId="20997" priority="7067" stopIfTrue="1">
      <formula>AND(AC67&gt;=70101,AC67&lt;=70301)</formula>
    </cfRule>
    <cfRule type="expression" dxfId="20996" priority="7068" stopIfTrue="1">
      <formula>AND(AC67&gt;70000,AC67&lt;70004)</formula>
    </cfRule>
    <cfRule type="expression" dxfId="20995" priority="7069" stopIfTrue="1">
      <formula>AND(AC67&gt;=70010,AC67&lt;=76000)</formula>
    </cfRule>
    <cfRule type="expression" dxfId="20994" priority="7070">
      <formula>AND(AC67&gt;70000,AC67&lt;70004)</formula>
    </cfRule>
    <cfRule type="expression" dxfId="20993" priority="7071" stopIfTrue="1">
      <formula>OR(AND(AC67&gt;=10000,AC67&lt;=56999),AND(AC67&gt;=57000,AC67&lt;=57999))</formula>
    </cfRule>
    <cfRule type="expression" dxfId="20992" priority="7072" stopIfTrue="1">
      <formula>AND(AC67&gt;=8000,AC67&lt;=9999)</formula>
    </cfRule>
    <cfRule type="expression" dxfId="20991" priority="7073" stopIfTrue="1">
      <formula>AND(AC67&gt;=78100,AC67&lt;=78199)</formula>
    </cfRule>
    <cfRule type="expression" dxfId="20990" priority="7074" stopIfTrue="1">
      <formula>AND(AC67&gt;=92000,AC67&lt;=98999)</formula>
    </cfRule>
    <cfRule type="expression" dxfId="20989" priority="7075" stopIfTrue="1">
      <formula>AND(AC67&gt;=78100,AC67&lt;=78199)</formula>
    </cfRule>
    <cfRule type="expression" dxfId="20988" priority="7076" stopIfTrue="1">
      <formula>AND(AC67&gt;=91000,AC67&lt;=91999)</formula>
    </cfRule>
  </conditionalFormatting>
  <conditionalFormatting sqref="AB67">
    <cfRule type="expression" dxfId="20987" priority="7055">
      <formula>AND(AC67&gt;=79001,AC67&lt;79900)</formula>
    </cfRule>
    <cfRule type="expression" dxfId="20986" priority="7056" stopIfTrue="1">
      <formula>AND(AC67&gt;=70101,AC67&lt;=70301)</formula>
    </cfRule>
    <cfRule type="expression" dxfId="20985" priority="7057" stopIfTrue="1">
      <formula>AND(AC67&gt;70000,AC67&lt;70004)</formula>
    </cfRule>
    <cfRule type="expression" dxfId="20984" priority="7058" stopIfTrue="1">
      <formula>AND(AC67&gt;=70010,AC67&lt;=76000)</formula>
    </cfRule>
    <cfRule type="expression" dxfId="20983" priority="7059">
      <formula>AND(AC67&gt;70000,AC67&lt;70004)</formula>
    </cfRule>
    <cfRule type="expression" dxfId="20982" priority="7060" stopIfTrue="1">
      <formula>OR(AND(AC67&gt;=10000,AC67&lt;=56999),AND(AC67&gt;=57000,AC67&lt;=57999))</formula>
    </cfRule>
    <cfRule type="expression" dxfId="20981" priority="7061" stopIfTrue="1">
      <formula>AND(AC67&gt;=8000,AC67&lt;=9999)</formula>
    </cfRule>
    <cfRule type="expression" dxfId="20980" priority="7062" stopIfTrue="1">
      <formula>AND(AC67&gt;=78100,AC67&lt;=78199)</formula>
    </cfRule>
    <cfRule type="expression" dxfId="20979" priority="7063" stopIfTrue="1">
      <formula>AND(AC67&gt;=92000,AC67&lt;=98999)</formula>
    </cfRule>
    <cfRule type="expression" dxfId="20978" priority="7064" stopIfTrue="1">
      <formula>AND(AC67&gt;=78100,AC67&lt;=78199)</formula>
    </cfRule>
    <cfRule type="expression" dxfId="20977" priority="7065" stopIfTrue="1">
      <formula>AND(AC67&gt;=91000,AC67&lt;=91999)</formula>
    </cfRule>
  </conditionalFormatting>
  <conditionalFormatting sqref="AB67">
    <cfRule type="expression" dxfId="20976" priority="7044">
      <formula>AND(AC67&gt;=79001,AC67&lt;79900)</formula>
    </cfRule>
    <cfRule type="expression" dxfId="20975" priority="7045" stopIfTrue="1">
      <formula>AND(AC67&gt;=70101,AC67&lt;=70301)</formula>
    </cfRule>
    <cfRule type="expression" dxfId="20974" priority="7046" stopIfTrue="1">
      <formula>AND(AC67&gt;70000,AC67&lt;70004)</formula>
    </cfRule>
    <cfRule type="expression" dxfId="20973" priority="7047" stopIfTrue="1">
      <formula>AND(AC67&gt;=70010,AC67&lt;=76000)</formula>
    </cfRule>
    <cfRule type="expression" dxfId="20972" priority="7048">
      <formula>AND(AC67&gt;70000,AC67&lt;70004)</formula>
    </cfRule>
    <cfRule type="expression" dxfId="20971" priority="7049" stopIfTrue="1">
      <formula>OR(AND(AC67&gt;=10000,AC67&lt;=56999),AND(AC67&gt;=57000,AC67&lt;=57999))</formula>
    </cfRule>
    <cfRule type="expression" dxfId="20970" priority="7050" stopIfTrue="1">
      <formula>AND(AC67&gt;=8000,AC67&lt;=9999)</formula>
    </cfRule>
    <cfRule type="expression" dxfId="20969" priority="7051" stopIfTrue="1">
      <formula>AND(AC67&gt;=78100,AC67&lt;=78199)</formula>
    </cfRule>
    <cfRule type="expression" dxfId="20968" priority="7052" stopIfTrue="1">
      <formula>AND(AC67&gt;=92000,AC67&lt;=98999)</formula>
    </cfRule>
    <cfRule type="expression" dxfId="20967" priority="7053" stopIfTrue="1">
      <formula>AND(AC67&gt;=78100,AC67&lt;=78199)</formula>
    </cfRule>
    <cfRule type="expression" dxfId="20966" priority="7054" stopIfTrue="1">
      <formula>AND(AC67&gt;=91000,AC67&lt;=91999)</formula>
    </cfRule>
  </conditionalFormatting>
  <conditionalFormatting sqref="AB67">
    <cfRule type="expression" dxfId="20965" priority="7033">
      <formula>AND(AC67&gt;=79001,AC67&lt;79900)</formula>
    </cfRule>
    <cfRule type="expression" dxfId="20964" priority="7034" stopIfTrue="1">
      <formula>AND(AC67&gt;=70101,AC67&lt;=70301)</formula>
    </cfRule>
    <cfRule type="expression" dxfId="20963" priority="7035" stopIfTrue="1">
      <formula>AND(AC67&gt;70000,AC67&lt;70004)</formula>
    </cfRule>
    <cfRule type="expression" dxfId="20962" priority="7036" stopIfTrue="1">
      <formula>AND(AC67&gt;=70010,AC67&lt;=76000)</formula>
    </cfRule>
    <cfRule type="expression" dxfId="20961" priority="7037">
      <formula>AND(AC67&gt;70000,AC67&lt;70004)</formula>
    </cfRule>
    <cfRule type="expression" dxfId="20960" priority="7038" stopIfTrue="1">
      <formula>OR(AND(AC67&gt;=10000,AC67&lt;=56999),AND(AC67&gt;=57000,AC67&lt;=57999))</formula>
    </cfRule>
    <cfRule type="expression" dxfId="20959" priority="7039" stopIfTrue="1">
      <formula>AND(AC67&gt;=8000,AC67&lt;=9999)</formula>
    </cfRule>
    <cfRule type="expression" dxfId="20958" priority="7040" stopIfTrue="1">
      <formula>AND(AC67&gt;=78100,AC67&lt;=78199)</formula>
    </cfRule>
    <cfRule type="expression" dxfId="20957" priority="7041" stopIfTrue="1">
      <formula>AND(AC67&gt;=92000,AC67&lt;=98999)</formula>
    </cfRule>
    <cfRule type="expression" dxfId="20956" priority="7042" stopIfTrue="1">
      <formula>AND(AC67&gt;=78100,AC67&lt;=78199)</formula>
    </cfRule>
    <cfRule type="expression" dxfId="20955" priority="7043" stopIfTrue="1">
      <formula>AND(AC67&gt;=91000,AC67&lt;=91999)</formula>
    </cfRule>
  </conditionalFormatting>
  <conditionalFormatting sqref="AF67">
    <cfRule type="expression" dxfId="20954" priority="7022">
      <formula>AND(AG67&gt;=79001,AG67&lt;79900)</formula>
    </cfRule>
    <cfRule type="expression" dxfId="20953" priority="7023" stopIfTrue="1">
      <formula>AND(AG67&gt;=70101,AG67&lt;=70301)</formula>
    </cfRule>
    <cfRule type="expression" dxfId="20952" priority="7024" stopIfTrue="1">
      <formula>AND(AG67&gt;70000,AG67&lt;70004)</formula>
    </cfRule>
    <cfRule type="expression" dxfId="20951" priority="7025" stopIfTrue="1">
      <formula>AND(AG67&gt;=70010,AG67&lt;=76000)</formula>
    </cfRule>
    <cfRule type="expression" dxfId="20950" priority="7026">
      <formula>AND(AG67&gt;70000,AG67&lt;70004)</formula>
    </cfRule>
    <cfRule type="expression" dxfId="20949" priority="7027" stopIfTrue="1">
      <formula>OR(AND(AG67&gt;=10000,AG67&lt;=56999),AND(AG67&gt;=57000,AG67&lt;=57999))</formula>
    </cfRule>
    <cfRule type="expression" dxfId="20948" priority="7028" stopIfTrue="1">
      <formula>AND(AG67&gt;=8000,AG67&lt;=9999)</formula>
    </cfRule>
    <cfRule type="expression" dxfId="20947" priority="7029" stopIfTrue="1">
      <formula>AND(AG67&gt;=78100,AG67&lt;=78199)</formula>
    </cfRule>
    <cfRule type="expression" dxfId="20946" priority="7030" stopIfTrue="1">
      <formula>AND(AG67&gt;=92000,AG67&lt;=98999)</formula>
    </cfRule>
    <cfRule type="expression" dxfId="20945" priority="7031" stopIfTrue="1">
      <formula>AND(AG67&gt;=78100,AG67&lt;=78199)</formula>
    </cfRule>
    <cfRule type="expression" dxfId="20944" priority="7032" stopIfTrue="1">
      <formula>AND(AG67&gt;=91000,AG67&lt;=91999)</formula>
    </cfRule>
  </conditionalFormatting>
  <conditionalFormatting sqref="AF67">
    <cfRule type="expression" dxfId="20943" priority="7011">
      <formula>AND(AG67&gt;=79001,AG67&lt;79900)</formula>
    </cfRule>
    <cfRule type="expression" dxfId="20942" priority="7012" stopIfTrue="1">
      <formula>AND(AG67&gt;=70101,AG67&lt;=70301)</formula>
    </cfRule>
    <cfRule type="expression" dxfId="20941" priority="7013" stopIfTrue="1">
      <formula>AND(AG67&gt;70000,AG67&lt;70004)</formula>
    </cfRule>
    <cfRule type="expression" dxfId="20940" priority="7014" stopIfTrue="1">
      <formula>AND(AG67&gt;=70010,AG67&lt;=76000)</formula>
    </cfRule>
    <cfRule type="expression" dxfId="20939" priority="7015">
      <formula>AND(AG67&gt;70000,AG67&lt;70004)</formula>
    </cfRule>
    <cfRule type="expression" dxfId="20938" priority="7016" stopIfTrue="1">
      <formula>OR(AND(AG67&gt;=10000,AG67&lt;=56999),AND(AG67&gt;=57000,AG67&lt;=57999))</formula>
    </cfRule>
    <cfRule type="expression" dxfId="20937" priority="7017" stopIfTrue="1">
      <formula>AND(AG67&gt;=8000,AG67&lt;=9999)</formula>
    </cfRule>
    <cfRule type="expression" dxfId="20936" priority="7018" stopIfTrue="1">
      <formula>AND(AG67&gt;=78100,AG67&lt;=78199)</formula>
    </cfRule>
    <cfRule type="expression" dxfId="20935" priority="7019" stopIfTrue="1">
      <formula>AND(AG67&gt;=92000,AG67&lt;=98999)</formula>
    </cfRule>
    <cfRule type="expression" dxfId="20934" priority="7020" stopIfTrue="1">
      <formula>AND(AG67&gt;=78100,AG67&lt;=78199)</formula>
    </cfRule>
    <cfRule type="expression" dxfId="20933" priority="7021" stopIfTrue="1">
      <formula>AND(AG67&gt;=91000,AG67&lt;=91999)</formula>
    </cfRule>
  </conditionalFormatting>
  <conditionalFormatting sqref="AF67">
    <cfRule type="expression" dxfId="20932" priority="7000">
      <formula>AND(AG67&gt;=79001,AG67&lt;79900)</formula>
    </cfRule>
    <cfRule type="expression" dxfId="20931" priority="7001" stopIfTrue="1">
      <formula>AND(AG67&gt;=70101,AG67&lt;=70301)</formula>
    </cfRule>
    <cfRule type="expression" dxfId="20930" priority="7002" stopIfTrue="1">
      <formula>AND(AG67&gt;70000,AG67&lt;70004)</formula>
    </cfRule>
    <cfRule type="expression" dxfId="20929" priority="7003" stopIfTrue="1">
      <formula>AND(AG67&gt;=70010,AG67&lt;=76000)</formula>
    </cfRule>
    <cfRule type="expression" dxfId="20928" priority="7004">
      <formula>AND(AG67&gt;70000,AG67&lt;70004)</formula>
    </cfRule>
    <cfRule type="expression" dxfId="20927" priority="7005" stopIfTrue="1">
      <formula>OR(AND(AG67&gt;=10000,AG67&lt;=56999),AND(AG67&gt;=57000,AG67&lt;=57999))</formula>
    </cfRule>
    <cfRule type="expression" dxfId="20926" priority="7006" stopIfTrue="1">
      <formula>AND(AG67&gt;=8000,AG67&lt;=9999)</formula>
    </cfRule>
    <cfRule type="expression" dxfId="20925" priority="7007" stopIfTrue="1">
      <formula>AND(AG67&gt;=78100,AG67&lt;=78199)</formula>
    </cfRule>
    <cfRule type="expression" dxfId="20924" priority="7008" stopIfTrue="1">
      <formula>AND(AG67&gt;=92000,AG67&lt;=98999)</formula>
    </cfRule>
    <cfRule type="expression" dxfId="20923" priority="7009" stopIfTrue="1">
      <formula>AND(AG67&gt;=78100,AG67&lt;=78199)</formula>
    </cfRule>
    <cfRule type="expression" dxfId="20922" priority="7010" stopIfTrue="1">
      <formula>AND(AG67&gt;=91000,AG67&lt;=91999)</formula>
    </cfRule>
  </conditionalFormatting>
  <conditionalFormatting sqref="AF67">
    <cfRule type="expression" dxfId="20921" priority="6989">
      <formula>AND(AG67&gt;=79001,AG67&lt;79900)</formula>
    </cfRule>
    <cfRule type="expression" dxfId="20920" priority="6990" stopIfTrue="1">
      <formula>AND(AG67&gt;=70101,AG67&lt;=70301)</formula>
    </cfRule>
    <cfRule type="expression" dxfId="20919" priority="6991" stopIfTrue="1">
      <formula>AND(AG67&gt;70000,AG67&lt;70004)</formula>
    </cfRule>
    <cfRule type="expression" dxfId="20918" priority="6992" stopIfTrue="1">
      <formula>AND(AG67&gt;=70010,AG67&lt;=76000)</formula>
    </cfRule>
    <cfRule type="expression" dxfId="20917" priority="6993">
      <formula>AND(AG67&gt;70000,AG67&lt;70004)</formula>
    </cfRule>
    <cfRule type="expression" dxfId="20916" priority="6994" stopIfTrue="1">
      <formula>OR(AND(AG67&gt;=10000,AG67&lt;=56999),AND(AG67&gt;=57000,AG67&lt;=57999))</formula>
    </cfRule>
    <cfRule type="expression" dxfId="20915" priority="6995" stopIfTrue="1">
      <formula>AND(AG67&gt;=8000,AG67&lt;=9999)</formula>
    </cfRule>
    <cfRule type="expression" dxfId="20914" priority="6996" stopIfTrue="1">
      <formula>AND(AG67&gt;=78100,AG67&lt;=78199)</formula>
    </cfRule>
    <cfRule type="expression" dxfId="20913" priority="6997" stopIfTrue="1">
      <formula>AND(AG67&gt;=92000,AG67&lt;=98999)</formula>
    </cfRule>
    <cfRule type="expression" dxfId="20912" priority="6998" stopIfTrue="1">
      <formula>AND(AG67&gt;=78100,AG67&lt;=78199)</formula>
    </cfRule>
    <cfRule type="expression" dxfId="20911" priority="6999" stopIfTrue="1">
      <formula>AND(AG67&gt;=91000,AG67&lt;=91999)</formula>
    </cfRule>
  </conditionalFormatting>
  <conditionalFormatting sqref="T70">
    <cfRule type="expression" dxfId="20910" priority="6978">
      <formula>AND(U70&gt;=79001,U70&lt;79900)</formula>
    </cfRule>
    <cfRule type="expression" dxfId="20909" priority="6979" stopIfTrue="1">
      <formula>AND(U70&gt;=70101,U70&lt;=70301)</formula>
    </cfRule>
    <cfRule type="expression" dxfId="20908" priority="6980" stopIfTrue="1">
      <formula>AND(U70&gt;70000,U70&lt;70004)</formula>
    </cfRule>
    <cfRule type="expression" dxfId="20907" priority="6981" stopIfTrue="1">
      <formula>AND(U70&gt;=70010,U70&lt;=76000)</formula>
    </cfRule>
    <cfRule type="expression" dxfId="20906" priority="6982">
      <formula>AND(U70&gt;70000,U70&lt;70004)</formula>
    </cfRule>
    <cfRule type="expression" dxfId="20905" priority="6983" stopIfTrue="1">
      <formula>OR(AND(U70&gt;=10000,U70&lt;=56999),AND(U70&gt;=57000,U70&lt;=57999))</formula>
    </cfRule>
    <cfRule type="expression" dxfId="20904" priority="6984" stopIfTrue="1">
      <formula>AND(U70&gt;=8000,U70&lt;=9999)</formula>
    </cfRule>
    <cfRule type="expression" dxfId="20903" priority="6985" stopIfTrue="1">
      <formula>AND(U70&gt;=78100,U70&lt;=78199)</formula>
    </cfRule>
    <cfRule type="expression" dxfId="20902" priority="6986" stopIfTrue="1">
      <formula>AND(U70&gt;=92000,U70&lt;=98999)</formula>
    </cfRule>
    <cfRule type="expression" dxfId="20901" priority="6987" stopIfTrue="1">
      <formula>AND(U70&gt;=78100,U70&lt;=78199)</formula>
    </cfRule>
    <cfRule type="expression" dxfId="20900" priority="6988" stopIfTrue="1">
      <formula>AND(U70&gt;=91000,U70&lt;=91999)</formula>
    </cfRule>
  </conditionalFormatting>
  <conditionalFormatting sqref="T70">
    <cfRule type="expression" dxfId="20899" priority="6967">
      <formula>AND(U70&gt;=79001,U70&lt;79900)</formula>
    </cfRule>
    <cfRule type="expression" dxfId="20898" priority="6968" stopIfTrue="1">
      <formula>AND(U70&gt;=70101,U70&lt;=70301)</formula>
    </cfRule>
    <cfRule type="expression" dxfId="20897" priority="6969" stopIfTrue="1">
      <formula>AND(U70&gt;70000,U70&lt;70004)</formula>
    </cfRule>
    <cfRule type="expression" dxfId="20896" priority="6970" stopIfTrue="1">
      <formula>AND(U70&gt;=70010,U70&lt;=76000)</formula>
    </cfRule>
    <cfRule type="expression" dxfId="20895" priority="6971">
      <formula>AND(U70&gt;70000,U70&lt;70004)</formula>
    </cfRule>
    <cfRule type="expression" dxfId="20894" priority="6972" stopIfTrue="1">
      <formula>OR(AND(U70&gt;=10000,U70&lt;=56999),AND(U70&gt;=57000,U70&lt;=57999))</formula>
    </cfRule>
    <cfRule type="expression" dxfId="20893" priority="6973" stopIfTrue="1">
      <formula>AND(U70&gt;=8000,U70&lt;=9999)</formula>
    </cfRule>
    <cfRule type="expression" dxfId="20892" priority="6974" stopIfTrue="1">
      <formula>AND(U70&gt;=78100,U70&lt;=78199)</formula>
    </cfRule>
    <cfRule type="expression" dxfId="20891" priority="6975" stopIfTrue="1">
      <formula>AND(U70&gt;=92000,U70&lt;=98999)</formula>
    </cfRule>
    <cfRule type="expression" dxfId="20890" priority="6976" stopIfTrue="1">
      <formula>AND(U70&gt;=78100,U70&lt;=78199)</formula>
    </cfRule>
    <cfRule type="expression" dxfId="20889" priority="6977" stopIfTrue="1">
      <formula>AND(U70&gt;=91000,U70&lt;=91999)</formula>
    </cfRule>
  </conditionalFormatting>
  <conditionalFormatting sqref="T70">
    <cfRule type="expression" dxfId="20888" priority="6956">
      <formula>AND(U70&gt;=79001,U70&lt;79900)</formula>
    </cfRule>
    <cfRule type="expression" dxfId="20887" priority="6957" stopIfTrue="1">
      <formula>AND(U70&gt;=70101,U70&lt;=70301)</formula>
    </cfRule>
    <cfRule type="expression" dxfId="20886" priority="6958" stopIfTrue="1">
      <formula>AND(U70&gt;70000,U70&lt;70004)</formula>
    </cfRule>
    <cfRule type="expression" dxfId="20885" priority="6959" stopIfTrue="1">
      <formula>AND(U70&gt;=70010,U70&lt;=76000)</formula>
    </cfRule>
    <cfRule type="expression" dxfId="20884" priority="6960">
      <formula>AND(U70&gt;70000,U70&lt;70004)</formula>
    </cfRule>
    <cfRule type="expression" dxfId="20883" priority="6961" stopIfTrue="1">
      <formula>OR(AND(U70&gt;=10000,U70&lt;=56999),AND(U70&gt;=57000,U70&lt;=57999))</formula>
    </cfRule>
    <cfRule type="expression" dxfId="20882" priority="6962" stopIfTrue="1">
      <formula>AND(U70&gt;=8000,U70&lt;=9999)</formula>
    </cfRule>
    <cfRule type="expression" dxfId="20881" priority="6963" stopIfTrue="1">
      <formula>AND(U70&gt;=78100,U70&lt;=78199)</formula>
    </cfRule>
    <cfRule type="expression" dxfId="20880" priority="6964" stopIfTrue="1">
      <formula>AND(U70&gt;=92000,U70&lt;=98999)</formula>
    </cfRule>
    <cfRule type="expression" dxfId="20879" priority="6965" stopIfTrue="1">
      <formula>AND(U70&gt;=78100,U70&lt;=78199)</formula>
    </cfRule>
    <cfRule type="expression" dxfId="20878" priority="6966" stopIfTrue="1">
      <formula>AND(U70&gt;=91000,U70&lt;=91999)</formula>
    </cfRule>
  </conditionalFormatting>
  <conditionalFormatting sqref="T70">
    <cfRule type="expression" dxfId="20877" priority="6945">
      <formula>AND(U70&gt;=79001,U70&lt;79900)</formula>
    </cfRule>
    <cfRule type="expression" dxfId="20876" priority="6946" stopIfTrue="1">
      <formula>AND(U70&gt;=70101,U70&lt;=70301)</formula>
    </cfRule>
    <cfRule type="expression" dxfId="20875" priority="6947" stopIfTrue="1">
      <formula>AND(U70&gt;70000,U70&lt;70004)</formula>
    </cfRule>
    <cfRule type="expression" dxfId="20874" priority="6948" stopIfTrue="1">
      <formula>AND(U70&gt;=70010,U70&lt;=76000)</formula>
    </cfRule>
    <cfRule type="expression" dxfId="20873" priority="6949">
      <formula>AND(U70&gt;70000,U70&lt;70004)</formula>
    </cfRule>
    <cfRule type="expression" dxfId="20872" priority="6950" stopIfTrue="1">
      <formula>OR(AND(U70&gt;=10000,U70&lt;=56999),AND(U70&gt;=57000,U70&lt;=57999))</formula>
    </cfRule>
    <cfRule type="expression" dxfId="20871" priority="6951" stopIfTrue="1">
      <formula>AND(U70&gt;=8000,U70&lt;=9999)</formula>
    </cfRule>
    <cfRule type="expression" dxfId="20870" priority="6952" stopIfTrue="1">
      <formula>AND(U70&gt;=78100,U70&lt;=78199)</formula>
    </cfRule>
    <cfRule type="expression" dxfId="20869" priority="6953" stopIfTrue="1">
      <formula>AND(U70&gt;=92000,U70&lt;=98999)</formula>
    </cfRule>
    <cfRule type="expression" dxfId="20868" priority="6954" stopIfTrue="1">
      <formula>AND(U70&gt;=78100,U70&lt;=78199)</formula>
    </cfRule>
    <cfRule type="expression" dxfId="20867" priority="6955" stopIfTrue="1">
      <formula>AND(U70&gt;=91000,U70&lt;=91999)</formula>
    </cfRule>
  </conditionalFormatting>
  <conditionalFormatting sqref="X70">
    <cfRule type="expression" dxfId="20866" priority="6934">
      <formula>AND(Y70&gt;=79001,Y70&lt;79900)</formula>
    </cfRule>
    <cfRule type="expression" dxfId="20865" priority="6935" stopIfTrue="1">
      <formula>AND(Y70&gt;=70101,Y70&lt;=70301)</formula>
    </cfRule>
    <cfRule type="expression" dxfId="20864" priority="6936" stopIfTrue="1">
      <formula>AND(Y70&gt;70000,Y70&lt;70004)</formula>
    </cfRule>
    <cfRule type="expression" dxfId="20863" priority="6937" stopIfTrue="1">
      <formula>AND(Y70&gt;=70010,Y70&lt;=76000)</formula>
    </cfRule>
    <cfRule type="expression" dxfId="20862" priority="6938">
      <formula>AND(Y70&gt;70000,Y70&lt;70004)</formula>
    </cfRule>
    <cfRule type="expression" dxfId="20861" priority="6939" stopIfTrue="1">
      <formula>OR(AND(Y70&gt;=10000,Y70&lt;=56999),AND(Y70&gt;=57000,Y70&lt;=57999))</formula>
    </cfRule>
    <cfRule type="expression" dxfId="20860" priority="6940" stopIfTrue="1">
      <formula>AND(Y70&gt;=8000,Y70&lt;=9999)</formula>
    </cfRule>
    <cfRule type="expression" dxfId="20859" priority="6941" stopIfTrue="1">
      <formula>AND(Y70&gt;=78100,Y70&lt;=78199)</formula>
    </cfRule>
    <cfRule type="expression" dxfId="20858" priority="6942" stopIfTrue="1">
      <formula>AND(Y70&gt;=92000,Y70&lt;=98999)</formula>
    </cfRule>
    <cfRule type="expression" dxfId="20857" priority="6943" stopIfTrue="1">
      <formula>AND(Y70&gt;=78100,Y70&lt;=78199)</formula>
    </cfRule>
    <cfRule type="expression" dxfId="20856" priority="6944" stopIfTrue="1">
      <formula>AND(Y70&gt;=91000,Y70&lt;=91999)</formula>
    </cfRule>
  </conditionalFormatting>
  <conditionalFormatting sqref="X70">
    <cfRule type="expression" dxfId="20855" priority="6923">
      <formula>AND(Y70&gt;=79001,Y70&lt;79900)</formula>
    </cfRule>
    <cfRule type="expression" dxfId="20854" priority="6924" stopIfTrue="1">
      <formula>AND(Y70&gt;=70101,Y70&lt;=70301)</formula>
    </cfRule>
    <cfRule type="expression" dxfId="20853" priority="6925" stopIfTrue="1">
      <formula>AND(Y70&gt;70000,Y70&lt;70004)</formula>
    </cfRule>
    <cfRule type="expression" dxfId="20852" priority="6926" stopIfTrue="1">
      <formula>AND(Y70&gt;=70010,Y70&lt;=76000)</formula>
    </cfRule>
    <cfRule type="expression" dxfId="20851" priority="6927">
      <formula>AND(Y70&gt;70000,Y70&lt;70004)</formula>
    </cfRule>
    <cfRule type="expression" dxfId="20850" priority="6928" stopIfTrue="1">
      <formula>OR(AND(Y70&gt;=10000,Y70&lt;=56999),AND(Y70&gt;=57000,Y70&lt;=57999))</formula>
    </cfRule>
    <cfRule type="expression" dxfId="20849" priority="6929" stopIfTrue="1">
      <formula>AND(Y70&gt;=8000,Y70&lt;=9999)</formula>
    </cfRule>
    <cfRule type="expression" dxfId="20848" priority="6930" stopIfTrue="1">
      <formula>AND(Y70&gt;=78100,Y70&lt;=78199)</formula>
    </cfRule>
    <cfRule type="expression" dxfId="20847" priority="6931" stopIfTrue="1">
      <formula>AND(Y70&gt;=92000,Y70&lt;=98999)</formula>
    </cfRule>
    <cfRule type="expression" dxfId="20846" priority="6932" stopIfTrue="1">
      <formula>AND(Y70&gt;=78100,Y70&lt;=78199)</formula>
    </cfRule>
    <cfRule type="expression" dxfId="20845" priority="6933" stopIfTrue="1">
      <formula>AND(Y70&gt;=91000,Y70&lt;=91999)</formula>
    </cfRule>
  </conditionalFormatting>
  <conditionalFormatting sqref="X70">
    <cfRule type="expression" dxfId="20844" priority="6912">
      <formula>AND(Y70&gt;=79001,Y70&lt;79900)</formula>
    </cfRule>
    <cfRule type="expression" dxfId="20843" priority="6913" stopIfTrue="1">
      <formula>AND(Y70&gt;=70101,Y70&lt;=70301)</formula>
    </cfRule>
    <cfRule type="expression" dxfId="20842" priority="6914" stopIfTrue="1">
      <formula>AND(Y70&gt;70000,Y70&lt;70004)</formula>
    </cfRule>
    <cfRule type="expression" dxfId="20841" priority="6915" stopIfTrue="1">
      <formula>AND(Y70&gt;=70010,Y70&lt;=76000)</formula>
    </cfRule>
    <cfRule type="expression" dxfId="20840" priority="6916">
      <formula>AND(Y70&gt;70000,Y70&lt;70004)</formula>
    </cfRule>
    <cfRule type="expression" dxfId="20839" priority="6917" stopIfTrue="1">
      <formula>OR(AND(Y70&gt;=10000,Y70&lt;=56999),AND(Y70&gt;=57000,Y70&lt;=57999))</formula>
    </cfRule>
    <cfRule type="expression" dxfId="20838" priority="6918" stopIfTrue="1">
      <formula>AND(Y70&gt;=8000,Y70&lt;=9999)</formula>
    </cfRule>
    <cfRule type="expression" dxfId="20837" priority="6919" stopIfTrue="1">
      <formula>AND(Y70&gt;=78100,Y70&lt;=78199)</formula>
    </cfRule>
    <cfRule type="expression" dxfId="20836" priority="6920" stopIfTrue="1">
      <formula>AND(Y70&gt;=92000,Y70&lt;=98999)</formula>
    </cfRule>
    <cfRule type="expression" dxfId="20835" priority="6921" stopIfTrue="1">
      <formula>AND(Y70&gt;=78100,Y70&lt;=78199)</formula>
    </cfRule>
    <cfRule type="expression" dxfId="20834" priority="6922" stopIfTrue="1">
      <formula>AND(Y70&gt;=91000,Y70&lt;=91999)</formula>
    </cfRule>
  </conditionalFormatting>
  <conditionalFormatting sqref="X70">
    <cfRule type="expression" dxfId="20833" priority="6901">
      <formula>AND(Y70&gt;=79001,Y70&lt;79900)</formula>
    </cfRule>
    <cfRule type="expression" dxfId="20832" priority="6902" stopIfTrue="1">
      <formula>AND(Y70&gt;=70101,Y70&lt;=70301)</formula>
    </cfRule>
    <cfRule type="expression" dxfId="20831" priority="6903" stopIfTrue="1">
      <formula>AND(Y70&gt;70000,Y70&lt;70004)</formula>
    </cfRule>
    <cfRule type="expression" dxfId="20830" priority="6904" stopIfTrue="1">
      <formula>AND(Y70&gt;=70010,Y70&lt;=76000)</formula>
    </cfRule>
    <cfRule type="expression" dxfId="20829" priority="6905">
      <formula>AND(Y70&gt;70000,Y70&lt;70004)</formula>
    </cfRule>
    <cfRule type="expression" dxfId="20828" priority="6906" stopIfTrue="1">
      <formula>OR(AND(Y70&gt;=10000,Y70&lt;=56999),AND(Y70&gt;=57000,Y70&lt;=57999))</formula>
    </cfRule>
    <cfRule type="expression" dxfId="20827" priority="6907" stopIfTrue="1">
      <formula>AND(Y70&gt;=8000,Y70&lt;=9999)</formula>
    </cfRule>
    <cfRule type="expression" dxfId="20826" priority="6908" stopIfTrue="1">
      <formula>AND(Y70&gt;=78100,Y70&lt;=78199)</formula>
    </cfRule>
    <cfRule type="expression" dxfId="20825" priority="6909" stopIfTrue="1">
      <formula>AND(Y70&gt;=92000,Y70&lt;=98999)</formula>
    </cfRule>
    <cfRule type="expression" dxfId="20824" priority="6910" stopIfTrue="1">
      <formula>AND(Y70&gt;=78100,Y70&lt;=78199)</formula>
    </cfRule>
    <cfRule type="expression" dxfId="20823" priority="6911" stopIfTrue="1">
      <formula>AND(Y70&gt;=91000,Y70&lt;=91999)</formula>
    </cfRule>
  </conditionalFormatting>
  <conditionalFormatting sqref="AB70">
    <cfRule type="expression" dxfId="20822" priority="6890">
      <formula>AND(AC70&gt;=79001,AC70&lt;79900)</formula>
    </cfRule>
    <cfRule type="expression" dxfId="20821" priority="6891" stopIfTrue="1">
      <formula>AND(AC70&gt;=70101,AC70&lt;=70301)</formula>
    </cfRule>
    <cfRule type="expression" dxfId="20820" priority="6892" stopIfTrue="1">
      <formula>AND(AC70&gt;70000,AC70&lt;70004)</formula>
    </cfRule>
    <cfRule type="expression" dxfId="20819" priority="6893" stopIfTrue="1">
      <formula>AND(AC70&gt;=70010,AC70&lt;=76000)</formula>
    </cfRule>
    <cfRule type="expression" dxfId="20818" priority="6894">
      <formula>AND(AC70&gt;70000,AC70&lt;70004)</formula>
    </cfRule>
    <cfRule type="expression" dxfId="20817" priority="6895" stopIfTrue="1">
      <formula>OR(AND(AC70&gt;=10000,AC70&lt;=56999),AND(AC70&gt;=57000,AC70&lt;=57999))</formula>
    </cfRule>
    <cfRule type="expression" dxfId="20816" priority="6896" stopIfTrue="1">
      <formula>AND(AC70&gt;=8000,AC70&lt;=9999)</formula>
    </cfRule>
    <cfRule type="expression" dxfId="20815" priority="6897" stopIfTrue="1">
      <formula>AND(AC70&gt;=78100,AC70&lt;=78199)</formula>
    </cfRule>
    <cfRule type="expression" dxfId="20814" priority="6898" stopIfTrue="1">
      <formula>AND(AC70&gt;=92000,AC70&lt;=98999)</formula>
    </cfRule>
    <cfRule type="expression" dxfId="20813" priority="6899" stopIfTrue="1">
      <formula>AND(AC70&gt;=78100,AC70&lt;=78199)</formula>
    </cfRule>
    <cfRule type="expression" dxfId="20812" priority="6900" stopIfTrue="1">
      <formula>AND(AC70&gt;=91000,AC70&lt;=91999)</formula>
    </cfRule>
  </conditionalFormatting>
  <conditionalFormatting sqref="AB70">
    <cfRule type="expression" dxfId="20811" priority="6879">
      <formula>AND(AC70&gt;=79001,AC70&lt;79900)</formula>
    </cfRule>
    <cfRule type="expression" dxfId="20810" priority="6880" stopIfTrue="1">
      <formula>AND(AC70&gt;=70101,AC70&lt;=70301)</formula>
    </cfRule>
    <cfRule type="expression" dxfId="20809" priority="6881" stopIfTrue="1">
      <formula>AND(AC70&gt;70000,AC70&lt;70004)</formula>
    </cfRule>
    <cfRule type="expression" dxfId="20808" priority="6882" stopIfTrue="1">
      <formula>AND(AC70&gt;=70010,AC70&lt;=76000)</formula>
    </cfRule>
    <cfRule type="expression" dxfId="20807" priority="6883">
      <formula>AND(AC70&gt;70000,AC70&lt;70004)</formula>
    </cfRule>
    <cfRule type="expression" dxfId="20806" priority="6884" stopIfTrue="1">
      <formula>OR(AND(AC70&gt;=10000,AC70&lt;=56999),AND(AC70&gt;=57000,AC70&lt;=57999))</formula>
    </cfRule>
    <cfRule type="expression" dxfId="20805" priority="6885" stopIfTrue="1">
      <formula>AND(AC70&gt;=8000,AC70&lt;=9999)</formula>
    </cfRule>
    <cfRule type="expression" dxfId="20804" priority="6886" stopIfTrue="1">
      <formula>AND(AC70&gt;=78100,AC70&lt;=78199)</formula>
    </cfRule>
    <cfRule type="expression" dxfId="20803" priority="6887" stopIfTrue="1">
      <formula>AND(AC70&gt;=92000,AC70&lt;=98999)</formula>
    </cfRule>
    <cfRule type="expression" dxfId="20802" priority="6888" stopIfTrue="1">
      <formula>AND(AC70&gt;=78100,AC70&lt;=78199)</formula>
    </cfRule>
    <cfRule type="expression" dxfId="20801" priority="6889" stopIfTrue="1">
      <formula>AND(AC70&gt;=91000,AC70&lt;=91999)</formula>
    </cfRule>
  </conditionalFormatting>
  <conditionalFormatting sqref="AB70">
    <cfRule type="expression" dxfId="20800" priority="6868">
      <formula>AND(AC70&gt;=79001,AC70&lt;79900)</formula>
    </cfRule>
    <cfRule type="expression" dxfId="20799" priority="6869" stopIfTrue="1">
      <formula>AND(AC70&gt;=70101,AC70&lt;=70301)</formula>
    </cfRule>
    <cfRule type="expression" dxfId="20798" priority="6870" stopIfTrue="1">
      <formula>AND(AC70&gt;70000,AC70&lt;70004)</formula>
    </cfRule>
    <cfRule type="expression" dxfId="20797" priority="6871" stopIfTrue="1">
      <formula>AND(AC70&gt;=70010,AC70&lt;=76000)</formula>
    </cfRule>
    <cfRule type="expression" dxfId="20796" priority="6872">
      <formula>AND(AC70&gt;70000,AC70&lt;70004)</formula>
    </cfRule>
    <cfRule type="expression" dxfId="20795" priority="6873" stopIfTrue="1">
      <formula>OR(AND(AC70&gt;=10000,AC70&lt;=56999),AND(AC70&gt;=57000,AC70&lt;=57999))</formula>
    </cfRule>
    <cfRule type="expression" dxfId="20794" priority="6874" stopIfTrue="1">
      <formula>AND(AC70&gt;=8000,AC70&lt;=9999)</formula>
    </cfRule>
    <cfRule type="expression" dxfId="20793" priority="6875" stopIfTrue="1">
      <formula>AND(AC70&gt;=78100,AC70&lt;=78199)</formula>
    </cfRule>
    <cfRule type="expression" dxfId="20792" priority="6876" stopIfTrue="1">
      <formula>AND(AC70&gt;=92000,AC70&lt;=98999)</formula>
    </cfRule>
    <cfRule type="expression" dxfId="20791" priority="6877" stopIfTrue="1">
      <formula>AND(AC70&gt;=78100,AC70&lt;=78199)</formula>
    </cfRule>
    <cfRule type="expression" dxfId="20790" priority="6878" stopIfTrue="1">
      <formula>AND(AC70&gt;=91000,AC70&lt;=91999)</formula>
    </cfRule>
  </conditionalFormatting>
  <conditionalFormatting sqref="AB70">
    <cfRule type="expression" dxfId="20789" priority="6857">
      <formula>AND(AC70&gt;=79001,AC70&lt;79900)</formula>
    </cfRule>
    <cfRule type="expression" dxfId="20788" priority="6858" stopIfTrue="1">
      <formula>AND(AC70&gt;=70101,AC70&lt;=70301)</formula>
    </cfRule>
    <cfRule type="expression" dxfId="20787" priority="6859" stopIfTrue="1">
      <formula>AND(AC70&gt;70000,AC70&lt;70004)</formula>
    </cfRule>
    <cfRule type="expression" dxfId="20786" priority="6860" stopIfTrue="1">
      <formula>AND(AC70&gt;=70010,AC70&lt;=76000)</formula>
    </cfRule>
    <cfRule type="expression" dxfId="20785" priority="6861">
      <formula>AND(AC70&gt;70000,AC70&lt;70004)</formula>
    </cfRule>
    <cfRule type="expression" dxfId="20784" priority="6862" stopIfTrue="1">
      <formula>OR(AND(AC70&gt;=10000,AC70&lt;=56999),AND(AC70&gt;=57000,AC70&lt;=57999))</formula>
    </cfRule>
    <cfRule type="expression" dxfId="20783" priority="6863" stopIfTrue="1">
      <formula>AND(AC70&gt;=8000,AC70&lt;=9999)</formula>
    </cfRule>
    <cfRule type="expression" dxfId="20782" priority="6864" stopIfTrue="1">
      <formula>AND(AC70&gt;=78100,AC70&lt;=78199)</formula>
    </cfRule>
    <cfRule type="expression" dxfId="20781" priority="6865" stopIfTrue="1">
      <formula>AND(AC70&gt;=92000,AC70&lt;=98999)</formula>
    </cfRule>
    <cfRule type="expression" dxfId="20780" priority="6866" stopIfTrue="1">
      <formula>AND(AC70&gt;=78100,AC70&lt;=78199)</formula>
    </cfRule>
    <cfRule type="expression" dxfId="20779" priority="6867" stopIfTrue="1">
      <formula>AND(AC70&gt;=91000,AC70&lt;=91999)</formula>
    </cfRule>
  </conditionalFormatting>
  <conditionalFormatting sqref="AF70">
    <cfRule type="expression" dxfId="20778" priority="6846">
      <formula>AND(AG70&gt;=79001,AG70&lt;79900)</formula>
    </cfRule>
    <cfRule type="expression" dxfId="20777" priority="6847" stopIfTrue="1">
      <formula>AND(AG70&gt;=70101,AG70&lt;=70301)</formula>
    </cfRule>
    <cfRule type="expression" dxfId="20776" priority="6848" stopIfTrue="1">
      <formula>AND(AG70&gt;70000,AG70&lt;70004)</formula>
    </cfRule>
    <cfRule type="expression" dxfId="20775" priority="6849" stopIfTrue="1">
      <formula>AND(AG70&gt;=70010,AG70&lt;=76000)</formula>
    </cfRule>
    <cfRule type="expression" dxfId="20774" priority="6850">
      <formula>AND(AG70&gt;70000,AG70&lt;70004)</formula>
    </cfRule>
    <cfRule type="expression" dxfId="20773" priority="6851" stopIfTrue="1">
      <formula>OR(AND(AG70&gt;=10000,AG70&lt;=56999),AND(AG70&gt;=57000,AG70&lt;=57999))</formula>
    </cfRule>
    <cfRule type="expression" dxfId="20772" priority="6852" stopIfTrue="1">
      <formula>AND(AG70&gt;=8000,AG70&lt;=9999)</formula>
    </cfRule>
    <cfRule type="expression" dxfId="20771" priority="6853" stopIfTrue="1">
      <formula>AND(AG70&gt;=78100,AG70&lt;=78199)</formula>
    </cfRule>
    <cfRule type="expression" dxfId="20770" priority="6854" stopIfTrue="1">
      <formula>AND(AG70&gt;=92000,AG70&lt;=98999)</formula>
    </cfRule>
    <cfRule type="expression" dxfId="20769" priority="6855" stopIfTrue="1">
      <formula>AND(AG70&gt;=78100,AG70&lt;=78199)</formula>
    </cfRule>
    <cfRule type="expression" dxfId="20768" priority="6856" stopIfTrue="1">
      <formula>AND(AG70&gt;=91000,AG70&lt;=91999)</formula>
    </cfRule>
  </conditionalFormatting>
  <conditionalFormatting sqref="AF70">
    <cfRule type="expression" dxfId="20767" priority="6835">
      <formula>AND(AG70&gt;=79001,AG70&lt;79900)</formula>
    </cfRule>
    <cfRule type="expression" dxfId="20766" priority="6836" stopIfTrue="1">
      <formula>AND(AG70&gt;=70101,AG70&lt;=70301)</formula>
    </cfRule>
    <cfRule type="expression" dxfId="20765" priority="6837" stopIfTrue="1">
      <formula>AND(AG70&gt;70000,AG70&lt;70004)</formula>
    </cfRule>
    <cfRule type="expression" dxfId="20764" priority="6838" stopIfTrue="1">
      <formula>AND(AG70&gt;=70010,AG70&lt;=76000)</formula>
    </cfRule>
    <cfRule type="expression" dxfId="20763" priority="6839">
      <formula>AND(AG70&gt;70000,AG70&lt;70004)</formula>
    </cfRule>
    <cfRule type="expression" dxfId="20762" priority="6840" stopIfTrue="1">
      <formula>OR(AND(AG70&gt;=10000,AG70&lt;=56999),AND(AG70&gt;=57000,AG70&lt;=57999))</formula>
    </cfRule>
    <cfRule type="expression" dxfId="20761" priority="6841" stopIfTrue="1">
      <formula>AND(AG70&gt;=8000,AG70&lt;=9999)</formula>
    </cfRule>
    <cfRule type="expression" dxfId="20760" priority="6842" stopIfTrue="1">
      <formula>AND(AG70&gt;=78100,AG70&lt;=78199)</formula>
    </cfRule>
    <cfRule type="expression" dxfId="20759" priority="6843" stopIfTrue="1">
      <formula>AND(AG70&gt;=92000,AG70&lt;=98999)</formula>
    </cfRule>
    <cfRule type="expression" dxfId="20758" priority="6844" stopIfTrue="1">
      <formula>AND(AG70&gt;=78100,AG70&lt;=78199)</formula>
    </cfRule>
    <cfRule type="expression" dxfId="20757" priority="6845" stopIfTrue="1">
      <formula>AND(AG70&gt;=91000,AG70&lt;=91999)</formula>
    </cfRule>
  </conditionalFormatting>
  <conditionalFormatting sqref="AF70">
    <cfRule type="expression" dxfId="20756" priority="6824">
      <formula>AND(AG70&gt;=79001,AG70&lt;79900)</formula>
    </cfRule>
    <cfRule type="expression" dxfId="20755" priority="6825" stopIfTrue="1">
      <formula>AND(AG70&gt;=70101,AG70&lt;=70301)</formula>
    </cfRule>
    <cfRule type="expression" dxfId="20754" priority="6826" stopIfTrue="1">
      <formula>AND(AG70&gt;70000,AG70&lt;70004)</formula>
    </cfRule>
    <cfRule type="expression" dxfId="20753" priority="6827" stopIfTrue="1">
      <formula>AND(AG70&gt;=70010,AG70&lt;=76000)</formula>
    </cfRule>
    <cfRule type="expression" dxfId="20752" priority="6828">
      <formula>AND(AG70&gt;70000,AG70&lt;70004)</formula>
    </cfRule>
    <cfRule type="expression" dxfId="20751" priority="6829" stopIfTrue="1">
      <formula>OR(AND(AG70&gt;=10000,AG70&lt;=56999),AND(AG70&gt;=57000,AG70&lt;=57999))</formula>
    </cfRule>
    <cfRule type="expression" dxfId="20750" priority="6830" stopIfTrue="1">
      <formula>AND(AG70&gt;=8000,AG70&lt;=9999)</formula>
    </cfRule>
    <cfRule type="expression" dxfId="20749" priority="6831" stopIfTrue="1">
      <formula>AND(AG70&gt;=78100,AG70&lt;=78199)</formula>
    </cfRule>
    <cfRule type="expression" dxfId="20748" priority="6832" stopIfTrue="1">
      <formula>AND(AG70&gt;=92000,AG70&lt;=98999)</formula>
    </cfRule>
    <cfRule type="expression" dxfId="20747" priority="6833" stopIfTrue="1">
      <formula>AND(AG70&gt;=78100,AG70&lt;=78199)</formula>
    </cfRule>
    <cfRule type="expression" dxfId="20746" priority="6834" stopIfTrue="1">
      <formula>AND(AG70&gt;=91000,AG70&lt;=91999)</formula>
    </cfRule>
  </conditionalFormatting>
  <conditionalFormatting sqref="AF70">
    <cfRule type="expression" dxfId="20745" priority="6813">
      <formula>AND(AG70&gt;=79001,AG70&lt;79900)</formula>
    </cfRule>
    <cfRule type="expression" dxfId="20744" priority="6814" stopIfTrue="1">
      <formula>AND(AG70&gt;=70101,AG70&lt;=70301)</formula>
    </cfRule>
    <cfRule type="expression" dxfId="20743" priority="6815" stopIfTrue="1">
      <formula>AND(AG70&gt;70000,AG70&lt;70004)</formula>
    </cfRule>
    <cfRule type="expression" dxfId="20742" priority="6816" stopIfTrue="1">
      <formula>AND(AG70&gt;=70010,AG70&lt;=76000)</formula>
    </cfRule>
    <cfRule type="expression" dxfId="20741" priority="6817">
      <formula>AND(AG70&gt;70000,AG70&lt;70004)</formula>
    </cfRule>
    <cfRule type="expression" dxfId="20740" priority="6818" stopIfTrue="1">
      <formula>OR(AND(AG70&gt;=10000,AG70&lt;=56999),AND(AG70&gt;=57000,AG70&lt;=57999))</formula>
    </cfRule>
    <cfRule type="expression" dxfId="20739" priority="6819" stopIfTrue="1">
      <formula>AND(AG70&gt;=8000,AG70&lt;=9999)</formula>
    </cfRule>
    <cfRule type="expression" dxfId="20738" priority="6820" stopIfTrue="1">
      <formula>AND(AG70&gt;=78100,AG70&lt;=78199)</formula>
    </cfRule>
    <cfRule type="expression" dxfId="20737" priority="6821" stopIfTrue="1">
      <formula>AND(AG70&gt;=92000,AG70&lt;=98999)</formula>
    </cfRule>
    <cfRule type="expression" dxfId="20736" priority="6822" stopIfTrue="1">
      <formula>AND(AG70&gt;=78100,AG70&lt;=78199)</formula>
    </cfRule>
    <cfRule type="expression" dxfId="20735" priority="6823" stopIfTrue="1">
      <formula>AND(AG70&gt;=91000,AG70&lt;=91999)</formula>
    </cfRule>
  </conditionalFormatting>
  <conditionalFormatting sqref="X73">
    <cfRule type="expression" dxfId="20734" priority="6802">
      <formula>AND(Y73&gt;=79001,Y73&lt;79900)</formula>
    </cfRule>
    <cfRule type="expression" dxfId="20733" priority="6803" stopIfTrue="1">
      <formula>AND(Y73&gt;=70101,Y73&lt;=70301)</formula>
    </cfRule>
    <cfRule type="expression" dxfId="20732" priority="6804" stopIfTrue="1">
      <formula>AND(Y73&gt;70000,Y73&lt;70004)</formula>
    </cfRule>
    <cfRule type="expression" dxfId="20731" priority="6805" stopIfTrue="1">
      <formula>AND(Y73&gt;=70010,Y73&lt;=76000)</formula>
    </cfRule>
    <cfRule type="expression" dxfId="20730" priority="6806">
      <formula>AND(Y73&gt;70000,Y73&lt;70004)</formula>
    </cfRule>
    <cfRule type="expression" dxfId="20729" priority="6807" stopIfTrue="1">
      <formula>OR(AND(Y73&gt;=10000,Y73&lt;=56999),AND(Y73&gt;=57000,Y73&lt;=57999))</formula>
    </cfRule>
    <cfRule type="expression" dxfId="20728" priority="6808" stopIfTrue="1">
      <formula>AND(Y73&gt;=8000,Y73&lt;=9999)</formula>
    </cfRule>
    <cfRule type="expression" dxfId="20727" priority="6809" stopIfTrue="1">
      <formula>AND(Y73&gt;=78100,Y73&lt;=78199)</formula>
    </cfRule>
    <cfRule type="expression" dxfId="20726" priority="6810" stopIfTrue="1">
      <formula>AND(Y73&gt;=92000,Y73&lt;=98999)</formula>
    </cfRule>
    <cfRule type="expression" dxfId="20725" priority="6811" stopIfTrue="1">
      <formula>AND(Y73&gt;=78100,Y73&lt;=78199)</formula>
    </cfRule>
    <cfRule type="expression" dxfId="20724" priority="6812" stopIfTrue="1">
      <formula>AND(Y73&gt;=91000,Y73&lt;=91999)</formula>
    </cfRule>
  </conditionalFormatting>
  <conditionalFormatting sqref="X73">
    <cfRule type="expression" dxfId="20723" priority="6791">
      <formula>AND(Y73&gt;=79001,Y73&lt;79900)</formula>
    </cfRule>
    <cfRule type="expression" dxfId="20722" priority="6792" stopIfTrue="1">
      <formula>AND(Y73&gt;=70101,Y73&lt;=70301)</formula>
    </cfRule>
    <cfRule type="expression" dxfId="20721" priority="6793" stopIfTrue="1">
      <formula>AND(Y73&gt;70000,Y73&lt;70004)</formula>
    </cfRule>
    <cfRule type="expression" dxfId="20720" priority="6794" stopIfTrue="1">
      <formula>AND(Y73&gt;=70010,Y73&lt;=76000)</formula>
    </cfRule>
    <cfRule type="expression" dxfId="20719" priority="6795">
      <formula>AND(Y73&gt;70000,Y73&lt;70004)</formula>
    </cfRule>
    <cfRule type="expression" dxfId="20718" priority="6796" stopIfTrue="1">
      <formula>OR(AND(Y73&gt;=10000,Y73&lt;=56999),AND(Y73&gt;=57000,Y73&lt;=57999))</formula>
    </cfRule>
    <cfRule type="expression" dxfId="20717" priority="6797" stopIfTrue="1">
      <formula>AND(Y73&gt;=8000,Y73&lt;=9999)</formula>
    </cfRule>
    <cfRule type="expression" dxfId="20716" priority="6798" stopIfTrue="1">
      <formula>AND(Y73&gt;=78100,Y73&lt;=78199)</formula>
    </cfRule>
    <cfRule type="expression" dxfId="20715" priority="6799" stopIfTrue="1">
      <formula>AND(Y73&gt;=92000,Y73&lt;=98999)</formula>
    </cfRule>
    <cfRule type="expression" dxfId="20714" priority="6800" stopIfTrue="1">
      <formula>AND(Y73&gt;=78100,Y73&lt;=78199)</formula>
    </cfRule>
    <cfRule type="expression" dxfId="20713" priority="6801" stopIfTrue="1">
      <formula>AND(Y73&gt;=91000,Y73&lt;=91999)</formula>
    </cfRule>
  </conditionalFormatting>
  <conditionalFormatting sqref="X73">
    <cfRule type="expression" dxfId="20712" priority="6780">
      <formula>AND(Y73&gt;=79001,Y73&lt;79900)</formula>
    </cfRule>
    <cfRule type="expression" dxfId="20711" priority="6781" stopIfTrue="1">
      <formula>AND(Y73&gt;=70101,Y73&lt;=70301)</formula>
    </cfRule>
    <cfRule type="expression" dxfId="20710" priority="6782" stopIfTrue="1">
      <formula>AND(Y73&gt;70000,Y73&lt;70004)</formula>
    </cfRule>
    <cfRule type="expression" dxfId="20709" priority="6783" stopIfTrue="1">
      <formula>AND(Y73&gt;=70010,Y73&lt;=76000)</formula>
    </cfRule>
    <cfRule type="expression" dxfId="20708" priority="6784">
      <formula>AND(Y73&gt;70000,Y73&lt;70004)</formula>
    </cfRule>
    <cfRule type="expression" dxfId="20707" priority="6785" stopIfTrue="1">
      <formula>OR(AND(Y73&gt;=10000,Y73&lt;=56999),AND(Y73&gt;=57000,Y73&lt;=57999))</formula>
    </cfRule>
    <cfRule type="expression" dxfId="20706" priority="6786" stopIfTrue="1">
      <formula>AND(Y73&gt;=8000,Y73&lt;=9999)</formula>
    </cfRule>
    <cfRule type="expression" dxfId="20705" priority="6787" stopIfTrue="1">
      <formula>AND(Y73&gt;=78100,Y73&lt;=78199)</formula>
    </cfRule>
    <cfRule type="expression" dxfId="20704" priority="6788" stopIfTrue="1">
      <formula>AND(Y73&gt;=92000,Y73&lt;=98999)</formula>
    </cfRule>
    <cfRule type="expression" dxfId="20703" priority="6789" stopIfTrue="1">
      <formula>AND(Y73&gt;=78100,Y73&lt;=78199)</formula>
    </cfRule>
    <cfRule type="expression" dxfId="20702" priority="6790" stopIfTrue="1">
      <formula>AND(Y73&gt;=91000,Y73&lt;=91999)</formula>
    </cfRule>
  </conditionalFormatting>
  <conditionalFormatting sqref="X73">
    <cfRule type="expression" dxfId="20701" priority="6769">
      <formula>AND(Y73&gt;=79001,Y73&lt;79900)</formula>
    </cfRule>
    <cfRule type="expression" dxfId="20700" priority="6770" stopIfTrue="1">
      <formula>AND(Y73&gt;=70101,Y73&lt;=70301)</formula>
    </cfRule>
    <cfRule type="expression" dxfId="20699" priority="6771" stopIfTrue="1">
      <formula>AND(Y73&gt;70000,Y73&lt;70004)</formula>
    </cfRule>
    <cfRule type="expression" dxfId="20698" priority="6772" stopIfTrue="1">
      <formula>AND(Y73&gt;=70010,Y73&lt;=76000)</formula>
    </cfRule>
    <cfRule type="expression" dxfId="20697" priority="6773">
      <formula>AND(Y73&gt;70000,Y73&lt;70004)</formula>
    </cfRule>
    <cfRule type="expression" dxfId="20696" priority="6774" stopIfTrue="1">
      <formula>OR(AND(Y73&gt;=10000,Y73&lt;=56999),AND(Y73&gt;=57000,Y73&lt;=57999))</formula>
    </cfRule>
    <cfRule type="expression" dxfId="20695" priority="6775" stopIfTrue="1">
      <formula>AND(Y73&gt;=8000,Y73&lt;=9999)</formula>
    </cfRule>
    <cfRule type="expression" dxfId="20694" priority="6776" stopIfTrue="1">
      <formula>AND(Y73&gt;=78100,Y73&lt;=78199)</formula>
    </cfRule>
    <cfRule type="expression" dxfId="20693" priority="6777" stopIfTrue="1">
      <formula>AND(Y73&gt;=92000,Y73&lt;=98999)</formula>
    </cfRule>
    <cfRule type="expression" dxfId="20692" priority="6778" stopIfTrue="1">
      <formula>AND(Y73&gt;=78100,Y73&lt;=78199)</formula>
    </cfRule>
    <cfRule type="expression" dxfId="20691" priority="6779" stopIfTrue="1">
      <formula>AND(Y73&gt;=91000,Y73&lt;=91999)</formula>
    </cfRule>
  </conditionalFormatting>
  <conditionalFormatting sqref="AB73">
    <cfRule type="expression" dxfId="20690" priority="6758">
      <formula>AND(AC73&gt;=79001,AC73&lt;79900)</formula>
    </cfRule>
    <cfRule type="expression" dxfId="20689" priority="6759" stopIfTrue="1">
      <formula>AND(AC73&gt;=70101,AC73&lt;=70301)</formula>
    </cfRule>
    <cfRule type="expression" dxfId="20688" priority="6760" stopIfTrue="1">
      <formula>AND(AC73&gt;70000,AC73&lt;70004)</formula>
    </cfRule>
    <cfRule type="expression" dxfId="20687" priority="6761" stopIfTrue="1">
      <formula>AND(AC73&gt;=70010,AC73&lt;=76000)</formula>
    </cfRule>
    <cfRule type="expression" dxfId="20686" priority="6762">
      <formula>AND(AC73&gt;70000,AC73&lt;70004)</formula>
    </cfRule>
    <cfRule type="expression" dxfId="20685" priority="6763" stopIfTrue="1">
      <formula>OR(AND(AC73&gt;=10000,AC73&lt;=56999),AND(AC73&gt;=57000,AC73&lt;=57999))</formula>
    </cfRule>
    <cfRule type="expression" dxfId="20684" priority="6764" stopIfTrue="1">
      <formula>AND(AC73&gt;=8000,AC73&lt;=9999)</formula>
    </cfRule>
    <cfRule type="expression" dxfId="20683" priority="6765" stopIfTrue="1">
      <formula>AND(AC73&gt;=78100,AC73&lt;=78199)</formula>
    </cfRule>
    <cfRule type="expression" dxfId="20682" priority="6766" stopIfTrue="1">
      <formula>AND(AC73&gt;=92000,AC73&lt;=98999)</formula>
    </cfRule>
    <cfRule type="expression" dxfId="20681" priority="6767" stopIfTrue="1">
      <formula>AND(AC73&gt;=78100,AC73&lt;=78199)</formula>
    </cfRule>
    <cfRule type="expression" dxfId="20680" priority="6768" stopIfTrue="1">
      <formula>AND(AC73&gt;=91000,AC73&lt;=91999)</formula>
    </cfRule>
  </conditionalFormatting>
  <conditionalFormatting sqref="AB73">
    <cfRule type="expression" dxfId="20679" priority="6747">
      <formula>AND(AC73&gt;=79001,AC73&lt;79900)</formula>
    </cfRule>
    <cfRule type="expression" dxfId="20678" priority="6748" stopIfTrue="1">
      <formula>AND(AC73&gt;=70101,AC73&lt;=70301)</formula>
    </cfRule>
    <cfRule type="expression" dxfId="20677" priority="6749" stopIfTrue="1">
      <formula>AND(AC73&gt;70000,AC73&lt;70004)</formula>
    </cfRule>
    <cfRule type="expression" dxfId="20676" priority="6750" stopIfTrue="1">
      <formula>AND(AC73&gt;=70010,AC73&lt;=76000)</formula>
    </cfRule>
    <cfRule type="expression" dxfId="20675" priority="6751">
      <formula>AND(AC73&gt;70000,AC73&lt;70004)</formula>
    </cfRule>
    <cfRule type="expression" dxfId="20674" priority="6752" stopIfTrue="1">
      <formula>OR(AND(AC73&gt;=10000,AC73&lt;=56999),AND(AC73&gt;=57000,AC73&lt;=57999))</formula>
    </cfRule>
    <cfRule type="expression" dxfId="20673" priority="6753" stopIfTrue="1">
      <formula>AND(AC73&gt;=8000,AC73&lt;=9999)</formula>
    </cfRule>
    <cfRule type="expression" dxfId="20672" priority="6754" stopIfTrue="1">
      <formula>AND(AC73&gt;=78100,AC73&lt;=78199)</formula>
    </cfRule>
    <cfRule type="expression" dxfId="20671" priority="6755" stopIfTrue="1">
      <formula>AND(AC73&gt;=92000,AC73&lt;=98999)</formula>
    </cfRule>
    <cfRule type="expression" dxfId="20670" priority="6756" stopIfTrue="1">
      <formula>AND(AC73&gt;=78100,AC73&lt;=78199)</formula>
    </cfRule>
    <cfRule type="expression" dxfId="20669" priority="6757" stopIfTrue="1">
      <formula>AND(AC73&gt;=91000,AC73&lt;=91999)</formula>
    </cfRule>
  </conditionalFormatting>
  <conditionalFormatting sqref="AB73">
    <cfRule type="expression" dxfId="20668" priority="6736">
      <formula>AND(AC73&gt;=79001,AC73&lt;79900)</formula>
    </cfRule>
    <cfRule type="expression" dxfId="20667" priority="6737" stopIfTrue="1">
      <formula>AND(AC73&gt;=70101,AC73&lt;=70301)</formula>
    </cfRule>
    <cfRule type="expression" dxfId="20666" priority="6738" stopIfTrue="1">
      <formula>AND(AC73&gt;70000,AC73&lt;70004)</formula>
    </cfRule>
    <cfRule type="expression" dxfId="20665" priority="6739" stopIfTrue="1">
      <formula>AND(AC73&gt;=70010,AC73&lt;=76000)</formula>
    </cfRule>
    <cfRule type="expression" dxfId="20664" priority="6740">
      <formula>AND(AC73&gt;70000,AC73&lt;70004)</formula>
    </cfRule>
    <cfRule type="expression" dxfId="20663" priority="6741" stopIfTrue="1">
      <formula>OR(AND(AC73&gt;=10000,AC73&lt;=56999),AND(AC73&gt;=57000,AC73&lt;=57999))</formula>
    </cfRule>
    <cfRule type="expression" dxfId="20662" priority="6742" stopIfTrue="1">
      <formula>AND(AC73&gt;=8000,AC73&lt;=9999)</formula>
    </cfRule>
    <cfRule type="expression" dxfId="20661" priority="6743" stopIfTrue="1">
      <formula>AND(AC73&gt;=78100,AC73&lt;=78199)</formula>
    </cfRule>
    <cfRule type="expression" dxfId="20660" priority="6744" stopIfTrue="1">
      <formula>AND(AC73&gt;=92000,AC73&lt;=98999)</formula>
    </cfRule>
    <cfRule type="expression" dxfId="20659" priority="6745" stopIfTrue="1">
      <formula>AND(AC73&gt;=78100,AC73&lt;=78199)</formula>
    </cfRule>
    <cfRule type="expression" dxfId="20658" priority="6746" stopIfTrue="1">
      <formula>AND(AC73&gt;=91000,AC73&lt;=91999)</formula>
    </cfRule>
  </conditionalFormatting>
  <conditionalFormatting sqref="AB73">
    <cfRule type="expression" dxfId="20657" priority="6725">
      <formula>AND(AC73&gt;=79001,AC73&lt;79900)</formula>
    </cfRule>
    <cfRule type="expression" dxfId="20656" priority="6726" stopIfTrue="1">
      <formula>AND(AC73&gt;=70101,AC73&lt;=70301)</formula>
    </cfRule>
    <cfRule type="expression" dxfId="20655" priority="6727" stopIfTrue="1">
      <formula>AND(AC73&gt;70000,AC73&lt;70004)</formula>
    </cfRule>
    <cfRule type="expression" dxfId="20654" priority="6728" stopIfTrue="1">
      <formula>AND(AC73&gt;=70010,AC73&lt;=76000)</formula>
    </cfRule>
    <cfRule type="expression" dxfId="20653" priority="6729">
      <formula>AND(AC73&gt;70000,AC73&lt;70004)</formula>
    </cfRule>
    <cfRule type="expression" dxfId="20652" priority="6730" stopIfTrue="1">
      <formula>OR(AND(AC73&gt;=10000,AC73&lt;=56999),AND(AC73&gt;=57000,AC73&lt;=57999))</formula>
    </cfRule>
    <cfRule type="expression" dxfId="20651" priority="6731" stopIfTrue="1">
      <formula>AND(AC73&gt;=8000,AC73&lt;=9999)</formula>
    </cfRule>
    <cfRule type="expression" dxfId="20650" priority="6732" stopIfTrue="1">
      <formula>AND(AC73&gt;=78100,AC73&lt;=78199)</formula>
    </cfRule>
    <cfRule type="expression" dxfId="20649" priority="6733" stopIfTrue="1">
      <formula>AND(AC73&gt;=92000,AC73&lt;=98999)</formula>
    </cfRule>
    <cfRule type="expression" dxfId="20648" priority="6734" stopIfTrue="1">
      <formula>AND(AC73&gt;=78100,AC73&lt;=78199)</formula>
    </cfRule>
    <cfRule type="expression" dxfId="20647" priority="6735" stopIfTrue="1">
      <formula>AND(AC73&gt;=91000,AC73&lt;=91999)</formula>
    </cfRule>
  </conditionalFormatting>
  <conditionalFormatting sqref="AF73">
    <cfRule type="expression" dxfId="20646" priority="6714">
      <formula>AND(AG73&gt;=79001,AG73&lt;79900)</formula>
    </cfRule>
    <cfRule type="expression" dxfId="20645" priority="6715" stopIfTrue="1">
      <formula>AND(AG73&gt;=70101,AG73&lt;=70301)</formula>
    </cfRule>
    <cfRule type="expression" dxfId="20644" priority="6716" stopIfTrue="1">
      <formula>AND(AG73&gt;70000,AG73&lt;70004)</formula>
    </cfRule>
    <cfRule type="expression" dxfId="20643" priority="6717" stopIfTrue="1">
      <formula>AND(AG73&gt;=70010,AG73&lt;=76000)</formula>
    </cfRule>
    <cfRule type="expression" dxfId="20642" priority="6718">
      <formula>AND(AG73&gt;70000,AG73&lt;70004)</formula>
    </cfRule>
    <cfRule type="expression" dxfId="20641" priority="6719" stopIfTrue="1">
      <formula>OR(AND(AG73&gt;=10000,AG73&lt;=56999),AND(AG73&gt;=57000,AG73&lt;=57999))</formula>
    </cfRule>
    <cfRule type="expression" dxfId="20640" priority="6720" stopIfTrue="1">
      <formula>AND(AG73&gt;=8000,AG73&lt;=9999)</formula>
    </cfRule>
    <cfRule type="expression" dxfId="20639" priority="6721" stopIfTrue="1">
      <formula>AND(AG73&gt;=78100,AG73&lt;=78199)</formula>
    </cfRule>
    <cfRule type="expression" dxfId="20638" priority="6722" stopIfTrue="1">
      <formula>AND(AG73&gt;=92000,AG73&lt;=98999)</formula>
    </cfRule>
    <cfRule type="expression" dxfId="20637" priority="6723" stopIfTrue="1">
      <formula>AND(AG73&gt;=78100,AG73&lt;=78199)</formula>
    </cfRule>
    <cfRule type="expression" dxfId="20636" priority="6724" stopIfTrue="1">
      <formula>AND(AG73&gt;=91000,AG73&lt;=91999)</formula>
    </cfRule>
  </conditionalFormatting>
  <conditionalFormatting sqref="AF73">
    <cfRule type="expression" dxfId="20635" priority="6703">
      <formula>AND(AG73&gt;=79001,AG73&lt;79900)</formula>
    </cfRule>
    <cfRule type="expression" dxfId="20634" priority="6704" stopIfTrue="1">
      <formula>AND(AG73&gt;=70101,AG73&lt;=70301)</formula>
    </cfRule>
    <cfRule type="expression" dxfId="20633" priority="6705" stopIfTrue="1">
      <formula>AND(AG73&gt;70000,AG73&lt;70004)</formula>
    </cfRule>
    <cfRule type="expression" dxfId="20632" priority="6706" stopIfTrue="1">
      <formula>AND(AG73&gt;=70010,AG73&lt;=76000)</formula>
    </cfRule>
    <cfRule type="expression" dxfId="20631" priority="6707">
      <formula>AND(AG73&gt;70000,AG73&lt;70004)</formula>
    </cfRule>
    <cfRule type="expression" dxfId="20630" priority="6708" stopIfTrue="1">
      <formula>OR(AND(AG73&gt;=10000,AG73&lt;=56999),AND(AG73&gt;=57000,AG73&lt;=57999))</formula>
    </cfRule>
    <cfRule type="expression" dxfId="20629" priority="6709" stopIfTrue="1">
      <formula>AND(AG73&gt;=8000,AG73&lt;=9999)</formula>
    </cfRule>
    <cfRule type="expression" dxfId="20628" priority="6710" stopIfTrue="1">
      <formula>AND(AG73&gt;=78100,AG73&lt;=78199)</formula>
    </cfRule>
    <cfRule type="expression" dxfId="20627" priority="6711" stopIfTrue="1">
      <formula>AND(AG73&gt;=92000,AG73&lt;=98999)</formula>
    </cfRule>
    <cfRule type="expression" dxfId="20626" priority="6712" stopIfTrue="1">
      <formula>AND(AG73&gt;=78100,AG73&lt;=78199)</formula>
    </cfRule>
    <cfRule type="expression" dxfId="20625" priority="6713" stopIfTrue="1">
      <formula>AND(AG73&gt;=91000,AG73&lt;=91999)</formula>
    </cfRule>
  </conditionalFormatting>
  <conditionalFormatting sqref="AF73">
    <cfRule type="expression" dxfId="20624" priority="6692">
      <formula>AND(AG73&gt;=79001,AG73&lt;79900)</formula>
    </cfRule>
    <cfRule type="expression" dxfId="20623" priority="6693" stopIfTrue="1">
      <formula>AND(AG73&gt;=70101,AG73&lt;=70301)</formula>
    </cfRule>
    <cfRule type="expression" dxfId="20622" priority="6694" stopIfTrue="1">
      <formula>AND(AG73&gt;70000,AG73&lt;70004)</formula>
    </cfRule>
    <cfRule type="expression" dxfId="20621" priority="6695" stopIfTrue="1">
      <formula>AND(AG73&gt;=70010,AG73&lt;=76000)</formula>
    </cfRule>
    <cfRule type="expression" dxfId="20620" priority="6696">
      <formula>AND(AG73&gt;70000,AG73&lt;70004)</formula>
    </cfRule>
    <cfRule type="expression" dxfId="20619" priority="6697" stopIfTrue="1">
      <formula>OR(AND(AG73&gt;=10000,AG73&lt;=56999),AND(AG73&gt;=57000,AG73&lt;=57999))</formula>
    </cfRule>
    <cfRule type="expression" dxfId="20618" priority="6698" stopIfTrue="1">
      <formula>AND(AG73&gt;=8000,AG73&lt;=9999)</formula>
    </cfRule>
    <cfRule type="expression" dxfId="20617" priority="6699" stopIfTrue="1">
      <formula>AND(AG73&gt;=78100,AG73&lt;=78199)</formula>
    </cfRule>
    <cfRule type="expression" dxfId="20616" priority="6700" stopIfTrue="1">
      <formula>AND(AG73&gt;=92000,AG73&lt;=98999)</formula>
    </cfRule>
    <cfRule type="expression" dxfId="20615" priority="6701" stopIfTrue="1">
      <formula>AND(AG73&gt;=78100,AG73&lt;=78199)</formula>
    </cfRule>
    <cfRule type="expression" dxfId="20614" priority="6702" stopIfTrue="1">
      <formula>AND(AG73&gt;=91000,AG73&lt;=91999)</formula>
    </cfRule>
  </conditionalFormatting>
  <conditionalFormatting sqref="AF73">
    <cfRule type="expression" dxfId="20613" priority="6681">
      <formula>AND(AG73&gt;=79001,AG73&lt;79900)</formula>
    </cfRule>
    <cfRule type="expression" dxfId="20612" priority="6682" stopIfTrue="1">
      <formula>AND(AG73&gt;=70101,AG73&lt;=70301)</formula>
    </cfRule>
    <cfRule type="expression" dxfId="20611" priority="6683" stopIfTrue="1">
      <formula>AND(AG73&gt;70000,AG73&lt;70004)</formula>
    </cfRule>
    <cfRule type="expression" dxfId="20610" priority="6684" stopIfTrue="1">
      <formula>AND(AG73&gt;=70010,AG73&lt;=76000)</formula>
    </cfRule>
    <cfRule type="expression" dxfId="20609" priority="6685">
      <formula>AND(AG73&gt;70000,AG73&lt;70004)</formula>
    </cfRule>
    <cfRule type="expression" dxfId="20608" priority="6686" stopIfTrue="1">
      <formula>OR(AND(AG73&gt;=10000,AG73&lt;=56999),AND(AG73&gt;=57000,AG73&lt;=57999))</formula>
    </cfRule>
    <cfRule type="expression" dxfId="20607" priority="6687" stopIfTrue="1">
      <formula>AND(AG73&gt;=8000,AG73&lt;=9999)</formula>
    </cfRule>
    <cfRule type="expression" dxfId="20606" priority="6688" stopIfTrue="1">
      <formula>AND(AG73&gt;=78100,AG73&lt;=78199)</formula>
    </cfRule>
    <cfRule type="expression" dxfId="20605" priority="6689" stopIfTrue="1">
      <formula>AND(AG73&gt;=92000,AG73&lt;=98999)</formula>
    </cfRule>
    <cfRule type="expression" dxfId="20604" priority="6690" stopIfTrue="1">
      <formula>AND(AG73&gt;=78100,AG73&lt;=78199)</formula>
    </cfRule>
    <cfRule type="expression" dxfId="20603" priority="6691" stopIfTrue="1">
      <formula>AND(AG73&gt;=91000,AG73&lt;=91999)</formula>
    </cfRule>
  </conditionalFormatting>
  <conditionalFormatting sqref="X76">
    <cfRule type="expression" dxfId="20602" priority="6670">
      <formula>AND(Y76&gt;=79001,Y76&lt;79900)</formula>
    </cfRule>
    <cfRule type="expression" dxfId="20601" priority="6671" stopIfTrue="1">
      <formula>AND(Y76&gt;=70101,Y76&lt;=70301)</formula>
    </cfRule>
    <cfRule type="expression" dxfId="20600" priority="6672" stopIfTrue="1">
      <formula>AND(Y76&gt;70000,Y76&lt;70004)</formula>
    </cfRule>
    <cfRule type="expression" dxfId="20599" priority="6673" stopIfTrue="1">
      <formula>AND(Y76&gt;=70010,Y76&lt;=76000)</formula>
    </cfRule>
    <cfRule type="expression" dxfId="20598" priority="6674">
      <formula>AND(Y76&gt;70000,Y76&lt;70004)</formula>
    </cfRule>
    <cfRule type="expression" dxfId="20597" priority="6675" stopIfTrue="1">
      <formula>OR(AND(Y76&gt;=10000,Y76&lt;=56999),AND(Y76&gt;=57000,Y76&lt;=57999))</formula>
    </cfRule>
    <cfRule type="expression" dxfId="20596" priority="6676" stopIfTrue="1">
      <formula>AND(Y76&gt;=8000,Y76&lt;=9999)</formula>
    </cfRule>
    <cfRule type="expression" dxfId="20595" priority="6677" stopIfTrue="1">
      <formula>AND(Y76&gt;=78100,Y76&lt;=78199)</formula>
    </cfRule>
    <cfRule type="expression" dxfId="20594" priority="6678" stopIfTrue="1">
      <formula>AND(Y76&gt;=92000,Y76&lt;=98999)</formula>
    </cfRule>
    <cfRule type="expression" dxfId="20593" priority="6679" stopIfTrue="1">
      <formula>AND(Y76&gt;=78100,Y76&lt;=78199)</formula>
    </cfRule>
    <cfRule type="expression" dxfId="20592" priority="6680" stopIfTrue="1">
      <formula>AND(Y76&gt;=91000,Y76&lt;=91999)</formula>
    </cfRule>
  </conditionalFormatting>
  <conditionalFormatting sqref="X76">
    <cfRule type="expression" dxfId="20591" priority="6659">
      <formula>AND(Y76&gt;=79001,Y76&lt;79900)</formula>
    </cfRule>
    <cfRule type="expression" dxfId="20590" priority="6660" stopIfTrue="1">
      <formula>AND(Y76&gt;=70101,Y76&lt;=70301)</formula>
    </cfRule>
    <cfRule type="expression" dxfId="20589" priority="6661" stopIfTrue="1">
      <formula>AND(Y76&gt;70000,Y76&lt;70004)</formula>
    </cfRule>
    <cfRule type="expression" dxfId="20588" priority="6662" stopIfTrue="1">
      <formula>AND(Y76&gt;=70010,Y76&lt;=76000)</formula>
    </cfRule>
    <cfRule type="expression" dxfId="20587" priority="6663">
      <formula>AND(Y76&gt;70000,Y76&lt;70004)</formula>
    </cfRule>
    <cfRule type="expression" dxfId="20586" priority="6664" stopIfTrue="1">
      <formula>OR(AND(Y76&gt;=10000,Y76&lt;=56999),AND(Y76&gt;=57000,Y76&lt;=57999))</formula>
    </cfRule>
    <cfRule type="expression" dxfId="20585" priority="6665" stopIfTrue="1">
      <formula>AND(Y76&gt;=8000,Y76&lt;=9999)</formula>
    </cfRule>
    <cfRule type="expression" dxfId="20584" priority="6666" stopIfTrue="1">
      <formula>AND(Y76&gt;=78100,Y76&lt;=78199)</formula>
    </cfRule>
    <cfRule type="expression" dxfId="20583" priority="6667" stopIfTrue="1">
      <formula>AND(Y76&gt;=92000,Y76&lt;=98999)</formula>
    </cfRule>
    <cfRule type="expression" dxfId="20582" priority="6668" stopIfTrue="1">
      <formula>AND(Y76&gt;=78100,Y76&lt;=78199)</formula>
    </cfRule>
    <cfRule type="expression" dxfId="20581" priority="6669" stopIfTrue="1">
      <formula>AND(Y76&gt;=91000,Y76&lt;=91999)</formula>
    </cfRule>
  </conditionalFormatting>
  <conditionalFormatting sqref="X76">
    <cfRule type="expression" dxfId="20580" priority="6648">
      <formula>AND(Y76&gt;=79001,Y76&lt;79900)</formula>
    </cfRule>
    <cfRule type="expression" dxfId="20579" priority="6649" stopIfTrue="1">
      <formula>AND(Y76&gt;=70101,Y76&lt;=70301)</formula>
    </cfRule>
    <cfRule type="expression" dxfId="20578" priority="6650" stopIfTrue="1">
      <formula>AND(Y76&gt;70000,Y76&lt;70004)</formula>
    </cfRule>
    <cfRule type="expression" dxfId="20577" priority="6651" stopIfTrue="1">
      <formula>AND(Y76&gt;=70010,Y76&lt;=76000)</formula>
    </cfRule>
    <cfRule type="expression" dxfId="20576" priority="6652">
      <formula>AND(Y76&gt;70000,Y76&lt;70004)</formula>
    </cfRule>
    <cfRule type="expression" dxfId="20575" priority="6653" stopIfTrue="1">
      <formula>OR(AND(Y76&gt;=10000,Y76&lt;=56999),AND(Y76&gt;=57000,Y76&lt;=57999))</formula>
    </cfRule>
    <cfRule type="expression" dxfId="20574" priority="6654" stopIfTrue="1">
      <formula>AND(Y76&gt;=8000,Y76&lt;=9999)</formula>
    </cfRule>
    <cfRule type="expression" dxfId="20573" priority="6655" stopIfTrue="1">
      <formula>AND(Y76&gt;=78100,Y76&lt;=78199)</formula>
    </cfRule>
    <cfRule type="expression" dxfId="20572" priority="6656" stopIfTrue="1">
      <formula>AND(Y76&gt;=92000,Y76&lt;=98999)</formula>
    </cfRule>
    <cfRule type="expression" dxfId="20571" priority="6657" stopIfTrue="1">
      <formula>AND(Y76&gt;=78100,Y76&lt;=78199)</formula>
    </cfRule>
    <cfRule type="expression" dxfId="20570" priority="6658" stopIfTrue="1">
      <formula>AND(Y76&gt;=91000,Y76&lt;=91999)</formula>
    </cfRule>
  </conditionalFormatting>
  <conditionalFormatting sqref="X76">
    <cfRule type="expression" dxfId="20569" priority="6637">
      <formula>AND(Y76&gt;=79001,Y76&lt;79900)</formula>
    </cfRule>
    <cfRule type="expression" dxfId="20568" priority="6638" stopIfTrue="1">
      <formula>AND(Y76&gt;=70101,Y76&lt;=70301)</formula>
    </cfRule>
    <cfRule type="expression" dxfId="20567" priority="6639" stopIfTrue="1">
      <formula>AND(Y76&gt;70000,Y76&lt;70004)</formula>
    </cfRule>
    <cfRule type="expression" dxfId="20566" priority="6640" stopIfTrue="1">
      <formula>AND(Y76&gt;=70010,Y76&lt;=76000)</formula>
    </cfRule>
    <cfRule type="expression" dxfId="20565" priority="6641">
      <formula>AND(Y76&gt;70000,Y76&lt;70004)</formula>
    </cfRule>
    <cfRule type="expression" dxfId="20564" priority="6642" stopIfTrue="1">
      <formula>OR(AND(Y76&gt;=10000,Y76&lt;=56999),AND(Y76&gt;=57000,Y76&lt;=57999))</formula>
    </cfRule>
    <cfRule type="expression" dxfId="20563" priority="6643" stopIfTrue="1">
      <formula>AND(Y76&gt;=8000,Y76&lt;=9999)</formula>
    </cfRule>
    <cfRule type="expression" dxfId="20562" priority="6644" stopIfTrue="1">
      <formula>AND(Y76&gt;=78100,Y76&lt;=78199)</formula>
    </cfRule>
    <cfRule type="expression" dxfId="20561" priority="6645" stopIfTrue="1">
      <formula>AND(Y76&gt;=92000,Y76&lt;=98999)</formula>
    </cfRule>
    <cfRule type="expression" dxfId="20560" priority="6646" stopIfTrue="1">
      <formula>AND(Y76&gt;=78100,Y76&lt;=78199)</formula>
    </cfRule>
    <cfRule type="expression" dxfId="20559" priority="6647" stopIfTrue="1">
      <formula>AND(Y76&gt;=91000,Y76&lt;=91999)</formula>
    </cfRule>
  </conditionalFormatting>
  <conditionalFormatting sqref="AB76">
    <cfRule type="expression" dxfId="20558" priority="6626">
      <formula>AND(AC76&gt;=79001,AC76&lt;79900)</formula>
    </cfRule>
    <cfRule type="expression" dxfId="20557" priority="6627" stopIfTrue="1">
      <formula>AND(AC76&gt;=70101,AC76&lt;=70301)</formula>
    </cfRule>
    <cfRule type="expression" dxfId="20556" priority="6628" stopIfTrue="1">
      <formula>AND(AC76&gt;70000,AC76&lt;70004)</formula>
    </cfRule>
    <cfRule type="expression" dxfId="20555" priority="6629" stopIfTrue="1">
      <formula>AND(AC76&gt;=70010,AC76&lt;=76000)</formula>
    </cfRule>
    <cfRule type="expression" dxfId="20554" priority="6630">
      <formula>AND(AC76&gt;70000,AC76&lt;70004)</formula>
    </cfRule>
    <cfRule type="expression" dxfId="20553" priority="6631" stopIfTrue="1">
      <formula>OR(AND(AC76&gt;=10000,AC76&lt;=56999),AND(AC76&gt;=57000,AC76&lt;=57999))</formula>
    </cfRule>
    <cfRule type="expression" dxfId="20552" priority="6632" stopIfTrue="1">
      <formula>AND(AC76&gt;=8000,AC76&lt;=9999)</formula>
    </cfRule>
    <cfRule type="expression" dxfId="20551" priority="6633" stopIfTrue="1">
      <formula>AND(AC76&gt;=78100,AC76&lt;=78199)</formula>
    </cfRule>
    <cfRule type="expression" dxfId="20550" priority="6634" stopIfTrue="1">
      <formula>AND(AC76&gt;=92000,AC76&lt;=98999)</formula>
    </cfRule>
    <cfRule type="expression" dxfId="20549" priority="6635" stopIfTrue="1">
      <formula>AND(AC76&gt;=78100,AC76&lt;=78199)</formula>
    </cfRule>
    <cfRule type="expression" dxfId="20548" priority="6636" stopIfTrue="1">
      <formula>AND(AC76&gt;=91000,AC76&lt;=91999)</formula>
    </cfRule>
  </conditionalFormatting>
  <conditionalFormatting sqref="AB76">
    <cfRule type="expression" dxfId="20547" priority="6615">
      <formula>AND(AC76&gt;=79001,AC76&lt;79900)</formula>
    </cfRule>
    <cfRule type="expression" dxfId="20546" priority="6616" stopIfTrue="1">
      <formula>AND(AC76&gt;=70101,AC76&lt;=70301)</formula>
    </cfRule>
    <cfRule type="expression" dxfId="20545" priority="6617" stopIfTrue="1">
      <formula>AND(AC76&gt;70000,AC76&lt;70004)</formula>
    </cfRule>
    <cfRule type="expression" dxfId="20544" priority="6618" stopIfTrue="1">
      <formula>AND(AC76&gt;=70010,AC76&lt;=76000)</formula>
    </cfRule>
    <cfRule type="expression" dxfId="20543" priority="6619">
      <formula>AND(AC76&gt;70000,AC76&lt;70004)</formula>
    </cfRule>
    <cfRule type="expression" dxfId="20542" priority="6620" stopIfTrue="1">
      <formula>OR(AND(AC76&gt;=10000,AC76&lt;=56999),AND(AC76&gt;=57000,AC76&lt;=57999))</formula>
    </cfRule>
    <cfRule type="expression" dxfId="20541" priority="6621" stopIfTrue="1">
      <formula>AND(AC76&gt;=8000,AC76&lt;=9999)</formula>
    </cfRule>
    <cfRule type="expression" dxfId="20540" priority="6622" stopIfTrue="1">
      <formula>AND(AC76&gt;=78100,AC76&lt;=78199)</formula>
    </cfRule>
    <cfRule type="expression" dxfId="20539" priority="6623" stopIfTrue="1">
      <formula>AND(AC76&gt;=92000,AC76&lt;=98999)</formula>
    </cfRule>
    <cfRule type="expression" dxfId="20538" priority="6624" stopIfTrue="1">
      <formula>AND(AC76&gt;=78100,AC76&lt;=78199)</formula>
    </cfRule>
    <cfRule type="expression" dxfId="20537" priority="6625" stopIfTrue="1">
      <formula>AND(AC76&gt;=91000,AC76&lt;=91999)</formula>
    </cfRule>
  </conditionalFormatting>
  <conditionalFormatting sqref="AB76">
    <cfRule type="expression" dxfId="20536" priority="6604">
      <formula>AND(AC76&gt;=79001,AC76&lt;79900)</formula>
    </cfRule>
    <cfRule type="expression" dxfId="20535" priority="6605" stopIfTrue="1">
      <formula>AND(AC76&gt;=70101,AC76&lt;=70301)</formula>
    </cfRule>
    <cfRule type="expression" dxfId="20534" priority="6606" stopIfTrue="1">
      <formula>AND(AC76&gt;70000,AC76&lt;70004)</formula>
    </cfRule>
    <cfRule type="expression" dxfId="20533" priority="6607" stopIfTrue="1">
      <formula>AND(AC76&gt;=70010,AC76&lt;=76000)</formula>
    </cfRule>
    <cfRule type="expression" dxfId="20532" priority="6608">
      <formula>AND(AC76&gt;70000,AC76&lt;70004)</formula>
    </cfRule>
    <cfRule type="expression" dxfId="20531" priority="6609" stopIfTrue="1">
      <formula>OR(AND(AC76&gt;=10000,AC76&lt;=56999),AND(AC76&gt;=57000,AC76&lt;=57999))</formula>
    </cfRule>
    <cfRule type="expression" dxfId="20530" priority="6610" stopIfTrue="1">
      <formula>AND(AC76&gt;=8000,AC76&lt;=9999)</formula>
    </cfRule>
    <cfRule type="expression" dxfId="20529" priority="6611" stopIfTrue="1">
      <formula>AND(AC76&gt;=78100,AC76&lt;=78199)</formula>
    </cfRule>
    <cfRule type="expression" dxfId="20528" priority="6612" stopIfTrue="1">
      <formula>AND(AC76&gt;=92000,AC76&lt;=98999)</formula>
    </cfRule>
    <cfRule type="expression" dxfId="20527" priority="6613" stopIfTrue="1">
      <formula>AND(AC76&gt;=78100,AC76&lt;=78199)</formula>
    </cfRule>
    <cfRule type="expression" dxfId="20526" priority="6614" stopIfTrue="1">
      <formula>AND(AC76&gt;=91000,AC76&lt;=91999)</formula>
    </cfRule>
  </conditionalFormatting>
  <conditionalFormatting sqref="AB76">
    <cfRule type="expression" dxfId="20525" priority="6593">
      <formula>AND(AC76&gt;=79001,AC76&lt;79900)</formula>
    </cfRule>
    <cfRule type="expression" dxfId="20524" priority="6594" stopIfTrue="1">
      <formula>AND(AC76&gt;=70101,AC76&lt;=70301)</formula>
    </cfRule>
    <cfRule type="expression" dxfId="20523" priority="6595" stopIfTrue="1">
      <formula>AND(AC76&gt;70000,AC76&lt;70004)</formula>
    </cfRule>
    <cfRule type="expression" dxfId="20522" priority="6596" stopIfTrue="1">
      <formula>AND(AC76&gt;=70010,AC76&lt;=76000)</formula>
    </cfRule>
    <cfRule type="expression" dxfId="20521" priority="6597">
      <formula>AND(AC76&gt;70000,AC76&lt;70004)</formula>
    </cfRule>
    <cfRule type="expression" dxfId="20520" priority="6598" stopIfTrue="1">
      <formula>OR(AND(AC76&gt;=10000,AC76&lt;=56999),AND(AC76&gt;=57000,AC76&lt;=57999))</formula>
    </cfRule>
    <cfRule type="expression" dxfId="20519" priority="6599" stopIfTrue="1">
      <formula>AND(AC76&gt;=8000,AC76&lt;=9999)</formula>
    </cfRule>
    <cfRule type="expression" dxfId="20518" priority="6600" stopIfTrue="1">
      <formula>AND(AC76&gt;=78100,AC76&lt;=78199)</formula>
    </cfRule>
    <cfRule type="expression" dxfId="20517" priority="6601" stopIfTrue="1">
      <formula>AND(AC76&gt;=92000,AC76&lt;=98999)</formula>
    </cfRule>
    <cfRule type="expression" dxfId="20516" priority="6602" stopIfTrue="1">
      <formula>AND(AC76&gt;=78100,AC76&lt;=78199)</formula>
    </cfRule>
    <cfRule type="expression" dxfId="20515" priority="6603" stopIfTrue="1">
      <formula>AND(AC76&gt;=91000,AC76&lt;=91999)</formula>
    </cfRule>
  </conditionalFormatting>
  <conditionalFormatting sqref="AF76">
    <cfRule type="expression" dxfId="20514" priority="6582">
      <formula>AND(AG76&gt;=79001,AG76&lt;79900)</formula>
    </cfRule>
    <cfRule type="expression" dxfId="20513" priority="6583" stopIfTrue="1">
      <formula>AND(AG76&gt;=70101,AG76&lt;=70301)</formula>
    </cfRule>
    <cfRule type="expression" dxfId="20512" priority="6584" stopIfTrue="1">
      <formula>AND(AG76&gt;70000,AG76&lt;70004)</formula>
    </cfRule>
    <cfRule type="expression" dxfId="20511" priority="6585" stopIfTrue="1">
      <formula>AND(AG76&gt;=70010,AG76&lt;=76000)</formula>
    </cfRule>
    <cfRule type="expression" dxfId="20510" priority="6586">
      <formula>AND(AG76&gt;70000,AG76&lt;70004)</formula>
    </cfRule>
    <cfRule type="expression" dxfId="20509" priority="6587" stopIfTrue="1">
      <formula>OR(AND(AG76&gt;=10000,AG76&lt;=56999),AND(AG76&gt;=57000,AG76&lt;=57999))</formula>
    </cfRule>
    <cfRule type="expression" dxfId="20508" priority="6588" stopIfTrue="1">
      <formula>AND(AG76&gt;=8000,AG76&lt;=9999)</formula>
    </cfRule>
    <cfRule type="expression" dxfId="20507" priority="6589" stopIfTrue="1">
      <formula>AND(AG76&gt;=78100,AG76&lt;=78199)</formula>
    </cfRule>
    <cfRule type="expression" dxfId="20506" priority="6590" stopIfTrue="1">
      <formula>AND(AG76&gt;=92000,AG76&lt;=98999)</formula>
    </cfRule>
    <cfRule type="expression" dxfId="20505" priority="6591" stopIfTrue="1">
      <formula>AND(AG76&gt;=78100,AG76&lt;=78199)</formula>
    </cfRule>
    <cfRule type="expression" dxfId="20504" priority="6592" stopIfTrue="1">
      <formula>AND(AG76&gt;=91000,AG76&lt;=91999)</formula>
    </cfRule>
  </conditionalFormatting>
  <conditionalFormatting sqref="AF76">
    <cfRule type="expression" dxfId="20503" priority="6571">
      <formula>AND(AG76&gt;=79001,AG76&lt;79900)</formula>
    </cfRule>
    <cfRule type="expression" dxfId="20502" priority="6572" stopIfTrue="1">
      <formula>AND(AG76&gt;=70101,AG76&lt;=70301)</formula>
    </cfRule>
    <cfRule type="expression" dxfId="20501" priority="6573" stopIfTrue="1">
      <formula>AND(AG76&gt;70000,AG76&lt;70004)</formula>
    </cfRule>
    <cfRule type="expression" dxfId="20500" priority="6574" stopIfTrue="1">
      <formula>AND(AG76&gt;=70010,AG76&lt;=76000)</formula>
    </cfRule>
    <cfRule type="expression" dxfId="20499" priority="6575">
      <formula>AND(AG76&gt;70000,AG76&lt;70004)</formula>
    </cfRule>
    <cfRule type="expression" dxfId="20498" priority="6576" stopIfTrue="1">
      <formula>OR(AND(AG76&gt;=10000,AG76&lt;=56999),AND(AG76&gt;=57000,AG76&lt;=57999))</formula>
    </cfRule>
    <cfRule type="expression" dxfId="20497" priority="6577" stopIfTrue="1">
      <formula>AND(AG76&gt;=8000,AG76&lt;=9999)</formula>
    </cfRule>
    <cfRule type="expression" dxfId="20496" priority="6578" stopIfTrue="1">
      <formula>AND(AG76&gt;=78100,AG76&lt;=78199)</formula>
    </cfRule>
    <cfRule type="expression" dxfId="20495" priority="6579" stopIfTrue="1">
      <formula>AND(AG76&gt;=92000,AG76&lt;=98999)</formula>
    </cfRule>
    <cfRule type="expression" dxfId="20494" priority="6580" stopIfTrue="1">
      <formula>AND(AG76&gt;=78100,AG76&lt;=78199)</formula>
    </cfRule>
    <cfRule type="expression" dxfId="20493" priority="6581" stopIfTrue="1">
      <formula>AND(AG76&gt;=91000,AG76&lt;=91999)</formula>
    </cfRule>
  </conditionalFormatting>
  <conditionalFormatting sqref="AF76">
    <cfRule type="expression" dxfId="20492" priority="6560">
      <formula>AND(AG76&gt;=79001,AG76&lt;79900)</formula>
    </cfRule>
    <cfRule type="expression" dxfId="20491" priority="6561" stopIfTrue="1">
      <formula>AND(AG76&gt;=70101,AG76&lt;=70301)</formula>
    </cfRule>
    <cfRule type="expression" dxfId="20490" priority="6562" stopIfTrue="1">
      <formula>AND(AG76&gt;70000,AG76&lt;70004)</formula>
    </cfRule>
    <cfRule type="expression" dxfId="20489" priority="6563" stopIfTrue="1">
      <formula>AND(AG76&gt;=70010,AG76&lt;=76000)</formula>
    </cfRule>
    <cfRule type="expression" dxfId="20488" priority="6564">
      <formula>AND(AG76&gt;70000,AG76&lt;70004)</formula>
    </cfRule>
    <cfRule type="expression" dxfId="20487" priority="6565" stopIfTrue="1">
      <formula>OR(AND(AG76&gt;=10000,AG76&lt;=56999),AND(AG76&gt;=57000,AG76&lt;=57999))</formula>
    </cfRule>
    <cfRule type="expression" dxfId="20486" priority="6566" stopIfTrue="1">
      <formula>AND(AG76&gt;=8000,AG76&lt;=9999)</formula>
    </cfRule>
    <cfRule type="expression" dxfId="20485" priority="6567" stopIfTrue="1">
      <formula>AND(AG76&gt;=78100,AG76&lt;=78199)</formula>
    </cfRule>
    <cfRule type="expression" dxfId="20484" priority="6568" stopIfTrue="1">
      <formula>AND(AG76&gt;=92000,AG76&lt;=98999)</formula>
    </cfRule>
    <cfRule type="expression" dxfId="20483" priority="6569" stopIfTrue="1">
      <formula>AND(AG76&gt;=78100,AG76&lt;=78199)</formula>
    </cfRule>
    <cfRule type="expression" dxfId="20482" priority="6570" stopIfTrue="1">
      <formula>AND(AG76&gt;=91000,AG76&lt;=91999)</formula>
    </cfRule>
  </conditionalFormatting>
  <conditionalFormatting sqref="AF76">
    <cfRule type="expression" dxfId="20481" priority="6549">
      <formula>AND(AG76&gt;=79001,AG76&lt;79900)</formula>
    </cfRule>
    <cfRule type="expression" dxfId="20480" priority="6550" stopIfTrue="1">
      <formula>AND(AG76&gt;=70101,AG76&lt;=70301)</formula>
    </cfRule>
    <cfRule type="expression" dxfId="20479" priority="6551" stopIfTrue="1">
      <formula>AND(AG76&gt;70000,AG76&lt;70004)</formula>
    </cfRule>
    <cfRule type="expression" dxfId="20478" priority="6552" stopIfTrue="1">
      <formula>AND(AG76&gt;=70010,AG76&lt;=76000)</formula>
    </cfRule>
    <cfRule type="expression" dxfId="20477" priority="6553">
      <formula>AND(AG76&gt;70000,AG76&lt;70004)</formula>
    </cfRule>
    <cfRule type="expression" dxfId="20476" priority="6554" stopIfTrue="1">
      <formula>OR(AND(AG76&gt;=10000,AG76&lt;=56999),AND(AG76&gt;=57000,AG76&lt;=57999))</formula>
    </cfRule>
    <cfRule type="expression" dxfId="20475" priority="6555" stopIfTrue="1">
      <formula>AND(AG76&gt;=8000,AG76&lt;=9999)</formula>
    </cfRule>
    <cfRule type="expression" dxfId="20474" priority="6556" stopIfTrue="1">
      <formula>AND(AG76&gt;=78100,AG76&lt;=78199)</formula>
    </cfRule>
    <cfRule type="expression" dxfId="20473" priority="6557" stopIfTrue="1">
      <formula>AND(AG76&gt;=92000,AG76&lt;=98999)</formula>
    </cfRule>
    <cfRule type="expression" dxfId="20472" priority="6558" stopIfTrue="1">
      <formula>AND(AG76&gt;=78100,AG76&lt;=78199)</formula>
    </cfRule>
    <cfRule type="expression" dxfId="20471" priority="6559" stopIfTrue="1">
      <formula>AND(AG76&gt;=91000,AG76&lt;=91999)</formula>
    </cfRule>
  </conditionalFormatting>
  <conditionalFormatting sqref="T76">
    <cfRule type="expression" dxfId="20470" priority="6538">
      <formula>AND(U76&gt;=79001,U76&lt;79900)</formula>
    </cfRule>
    <cfRule type="expression" dxfId="20469" priority="6539" stopIfTrue="1">
      <formula>AND(U76&gt;=70101,U76&lt;=70301)</formula>
    </cfRule>
    <cfRule type="expression" dxfId="20468" priority="6540" stopIfTrue="1">
      <formula>AND(U76&gt;70000,U76&lt;70004)</formula>
    </cfRule>
    <cfRule type="expression" dxfId="20467" priority="6541" stopIfTrue="1">
      <formula>AND(U76&gt;=70010,U76&lt;=76000)</formula>
    </cfRule>
    <cfRule type="expression" dxfId="20466" priority="6542">
      <formula>AND(U76&gt;70000,U76&lt;70004)</formula>
    </cfRule>
    <cfRule type="expression" dxfId="20465" priority="6543" stopIfTrue="1">
      <formula>OR(AND(U76&gt;=10000,U76&lt;=56999),AND(U76&gt;=57000,U76&lt;=57999))</formula>
    </cfRule>
    <cfRule type="expression" dxfId="20464" priority="6544" stopIfTrue="1">
      <formula>AND(U76&gt;=8000,U76&lt;=9999)</formula>
    </cfRule>
    <cfRule type="expression" dxfId="20463" priority="6545" stopIfTrue="1">
      <formula>AND(U76&gt;=78100,U76&lt;=78199)</formula>
    </cfRule>
    <cfRule type="expression" dxfId="20462" priority="6546" stopIfTrue="1">
      <formula>AND(U76&gt;=92000,U76&lt;=98999)</formula>
    </cfRule>
    <cfRule type="expression" dxfId="20461" priority="6547" stopIfTrue="1">
      <formula>AND(U76&gt;=78100,U76&lt;=78199)</formula>
    </cfRule>
    <cfRule type="expression" dxfId="20460" priority="6548" stopIfTrue="1">
      <formula>AND(U76&gt;=91000,U76&lt;=91999)</formula>
    </cfRule>
  </conditionalFormatting>
  <conditionalFormatting sqref="T76">
    <cfRule type="expression" dxfId="20459" priority="6527">
      <formula>AND(U76&gt;=79001,U76&lt;79900)</formula>
    </cfRule>
    <cfRule type="expression" dxfId="20458" priority="6528" stopIfTrue="1">
      <formula>AND(U76&gt;=70101,U76&lt;=70301)</formula>
    </cfRule>
    <cfRule type="expression" dxfId="20457" priority="6529" stopIfTrue="1">
      <formula>AND(U76&gt;70000,U76&lt;70004)</formula>
    </cfRule>
    <cfRule type="expression" dxfId="20456" priority="6530" stopIfTrue="1">
      <formula>AND(U76&gt;=70010,U76&lt;=76000)</formula>
    </cfRule>
    <cfRule type="expression" dxfId="20455" priority="6531">
      <formula>AND(U76&gt;70000,U76&lt;70004)</formula>
    </cfRule>
    <cfRule type="expression" dxfId="20454" priority="6532" stopIfTrue="1">
      <formula>OR(AND(U76&gt;=10000,U76&lt;=56999),AND(U76&gt;=57000,U76&lt;=57999))</formula>
    </cfRule>
    <cfRule type="expression" dxfId="20453" priority="6533" stopIfTrue="1">
      <formula>AND(U76&gt;=8000,U76&lt;=9999)</formula>
    </cfRule>
    <cfRule type="expression" dxfId="20452" priority="6534" stopIfTrue="1">
      <formula>AND(U76&gt;=78100,U76&lt;=78199)</formula>
    </cfRule>
    <cfRule type="expression" dxfId="20451" priority="6535" stopIfTrue="1">
      <formula>AND(U76&gt;=92000,U76&lt;=98999)</formula>
    </cfRule>
    <cfRule type="expression" dxfId="20450" priority="6536" stopIfTrue="1">
      <formula>AND(U76&gt;=78100,U76&lt;=78199)</formula>
    </cfRule>
    <cfRule type="expression" dxfId="20449" priority="6537" stopIfTrue="1">
      <formula>AND(U76&gt;=91000,U76&lt;=91999)</formula>
    </cfRule>
  </conditionalFormatting>
  <conditionalFormatting sqref="T76">
    <cfRule type="expression" dxfId="20448" priority="6516">
      <formula>AND(U76&gt;=79001,U76&lt;79900)</formula>
    </cfRule>
    <cfRule type="expression" dxfId="20447" priority="6517" stopIfTrue="1">
      <formula>AND(U76&gt;=70101,U76&lt;=70301)</formula>
    </cfRule>
    <cfRule type="expression" dxfId="20446" priority="6518" stopIfTrue="1">
      <formula>AND(U76&gt;70000,U76&lt;70004)</formula>
    </cfRule>
    <cfRule type="expression" dxfId="20445" priority="6519" stopIfTrue="1">
      <formula>AND(U76&gt;=70010,U76&lt;=76000)</formula>
    </cfRule>
    <cfRule type="expression" dxfId="20444" priority="6520">
      <formula>AND(U76&gt;70000,U76&lt;70004)</formula>
    </cfRule>
    <cfRule type="expression" dxfId="20443" priority="6521" stopIfTrue="1">
      <formula>OR(AND(U76&gt;=10000,U76&lt;=56999),AND(U76&gt;=57000,U76&lt;=57999))</formula>
    </cfRule>
    <cfRule type="expression" dxfId="20442" priority="6522" stopIfTrue="1">
      <formula>AND(U76&gt;=8000,U76&lt;=9999)</formula>
    </cfRule>
    <cfRule type="expression" dxfId="20441" priority="6523" stopIfTrue="1">
      <formula>AND(U76&gt;=78100,U76&lt;=78199)</formula>
    </cfRule>
    <cfRule type="expression" dxfId="20440" priority="6524" stopIfTrue="1">
      <formula>AND(U76&gt;=92000,U76&lt;=98999)</formula>
    </cfRule>
    <cfRule type="expression" dxfId="20439" priority="6525" stopIfTrue="1">
      <formula>AND(U76&gt;=78100,U76&lt;=78199)</formula>
    </cfRule>
    <cfRule type="expression" dxfId="20438" priority="6526" stopIfTrue="1">
      <formula>AND(U76&gt;=91000,U76&lt;=91999)</formula>
    </cfRule>
  </conditionalFormatting>
  <conditionalFormatting sqref="T76">
    <cfRule type="expression" dxfId="20437" priority="6505">
      <formula>AND(U76&gt;=79001,U76&lt;79900)</formula>
    </cfRule>
    <cfRule type="expression" dxfId="20436" priority="6506" stopIfTrue="1">
      <formula>AND(U76&gt;=70101,U76&lt;=70301)</formula>
    </cfRule>
    <cfRule type="expression" dxfId="20435" priority="6507" stopIfTrue="1">
      <formula>AND(U76&gt;70000,U76&lt;70004)</formula>
    </cfRule>
    <cfRule type="expression" dxfId="20434" priority="6508" stopIfTrue="1">
      <formula>AND(U76&gt;=70010,U76&lt;=76000)</formula>
    </cfRule>
    <cfRule type="expression" dxfId="20433" priority="6509">
      <formula>AND(U76&gt;70000,U76&lt;70004)</formula>
    </cfRule>
    <cfRule type="expression" dxfId="20432" priority="6510" stopIfTrue="1">
      <formula>OR(AND(U76&gt;=10000,U76&lt;=56999),AND(U76&gt;=57000,U76&lt;=57999))</formula>
    </cfRule>
    <cfRule type="expression" dxfId="20431" priority="6511" stopIfTrue="1">
      <formula>AND(U76&gt;=8000,U76&lt;=9999)</formula>
    </cfRule>
    <cfRule type="expression" dxfId="20430" priority="6512" stopIfTrue="1">
      <formula>AND(U76&gt;=78100,U76&lt;=78199)</formula>
    </cfRule>
    <cfRule type="expression" dxfId="20429" priority="6513" stopIfTrue="1">
      <formula>AND(U76&gt;=92000,U76&lt;=98999)</formula>
    </cfRule>
    <cfRule type="expression" dxfId="20428" priority="6514" stopIfTrue="1">
      <formula>AND(U76&gt;=78100,U76&lt;=78199)</formula>
    </cfRule>
    <cfRule type="expression" dxfId="20427" priority="6515" stopIfTrue="1">
      <formula>AND(U76&gt;=91000,U76&lt;=91999)</formula>
    </cfRule>
  </conditionalFormatting>
  <conditionalFormatting sqref="X77">
    <cfRule type="expression" dxfId="20426" priority="6494">
      <formula>AND(Y77&gt;=79001,Y77&lt;79900)</formula>
    </cfRule>
    <cfRule type="expression" dxfId="20425" priority="6495" stopIfTrue="1">
      <formula>AND(Y77&gt;=70101,Y77&lt;=70301)</formula>
    </cfRule>
    <cfRule type="expression" dxfId="20424" priority="6496" stopIfTrue="1">
      <formula>AND(Y77&gt;70000,Y77&lt;70004)</formula>
    </cfRule>
    <cfRule type="expression" dxfId="20423" priority="6497" stopIfTrue="1">
      <formula>AND(Y77&gt;=70010,Y77&lt;=76000)</formula>
    </cfRule>
    <cfRule type="expression" dxfId="20422" priority="6498">
      <formula>AND(Y77&gt;70000,Y77&lt;70004)</formula>
    </cfRule>
    <cfRule type="expression" dxfId="20421" priority="6499" stopIfTrue="1">
      <formula>OR(AND(Y77&gt;=10000,Y77&lt;=56999),AND(Y77&gt;=57000,Y77&lt;=57999))</formula>
    </cfRule>
    <cfRule type="expression" dxfId="20420" priority="6500" stopIfTrue="1">
      <formula>AND(Y77&gt;=8000,Y77&lt;=9999)</formula>
    </cfRule>
    <cfRule type="expression" dxfId="20419" priority="6501" stopIfTrue="1">
      <formula>AND(Y77&gt;=78100,Y77&lt;=78199)</formula>
    </cfRule>
    <cfRule type="expression" dxfId="20418" priority="6502" stopIfTrue="1">
      <formula>AND(Y77&gt;=92000,Y77&lt;=98999)</formula>
    </cfRule>
    <cfRule type="expression" dxfId="20417" priority="6503" stopIfTrue="1">
      <formula>AND(Y77&gt;=78100,Y77&lt;=78199)</formula>
    </cfRule>
    <cfRule type="expression" dxfId="20416" priority="6504" stopIfTrue="1">
      <formula>AND(Y77&gt;=91000,Y77&lt;=91999)</formula>
    </cfRule>
  </conditionalFormatting>
  <conditionalFormatting sqref="X77">
    <cfRule type="expression" dxfId="20415" priority="6483">
      <formula>AND(Y77&gt;=79001,Y77&lt;79900)</formula>
    </cfRule>
    <cfRule type="expression" dxfId="20414" priority="6484" stopIfTrue="1">
      <formula>AND(Y77&gt;=70101,Y77&lt;=70301)</formula>
    </cfRule>
    <cfRule type="expression" dxfId="20413" priority="6485" stopIfTrue="1">
      <formula>AND(Y77&gt;70000,Y77&lt;70004)</formula>
    </cfRule>
    <cfRule type="expression" dxfId="20412" priority="6486" stopIfTrue="1">
      <formula>AND(Y77&gt;=70010,Y77&lt;=76000)</formula>
    </cfRule>
    <cfRule type="expression" dxfId="20411" priority="6487">
      <formula>AND(Y77&gt;70000,Y77&lt;70004)</formula>
    </cfRule>
    <cfRule type="expression" dxfId="20410" priority="6488" stopIfTrue="1">
      <formula>OR(AND(Y77&gt;=10000,Y77&lt;=56999),AND(Y77&gt;=57000,Y77&lt;=57999))</formula>
    </cfRule>
    <cfRule type="expression" dxfId="20409" priority="6489" stopIfTrue="1">
      <formula>AND(Y77&gt;=8000,Y77&lt;=9999)</formula>
    </cfRule>
    <cfRule type="expression" dxfId="20408" priority="6490" stopIfTrue="1">
      <formula>AND(Y77&gt;=78100,Y77&lt;=78199)</formula>
    </cfRule>
    <cfRule type="expression" dxfId="20407" priority="6491" stopIfTrue="1">
      <formula>AND(Y77&gt;=92000,Y77&lt;=98999)</formula>
    </cfRule>
    <cfRule type="expression" dxfId="20406" priority="6492" stopIfTrue="1">
      <formula>AND(Y77&gt;=78100,Y77&lt;=78199)</formula>
    </cfRule>
    <cfRule type="expression" dxfId="20405" priority="6493" stopIfTrue="1">
      <formula>AND(Y77&gt;=91000,Y77&lt;=91999)</formula>
    </cfRule>
  </conditionalFormatting>
  <conditionalFormatting sqref="X77">
    <cfRule type="expression" dxfId="20404" priority="6472">
      <formula>AND(Y77&gt;=79001,Y77&lt;79900)</formula>
    </cfRule>
    <cfRule type="expression" dxfId="20403" priority="6473" stopIfTrue="1">
      <formula>AND(Y77&gt;=70101,Y77&lt;=70301)</formula>
    </cfRule>
    <cfRule type="expression" dxfId="20402" priority="6474" stopIfTrue="1">
      <formula>AND(Y77&gt;70000,Y77&lt;70004)</formula>
    </cfRule>
    <cfRule type="expression" dxfId="20401" priority="6475" stopIfTrue="1">
      <formula>AND(Y77&gt;=70010,Y77&lt;=76000)</formula>
    </cfRule>
    <cfRule type="expression" dxfId="20400" priority="6476">
      <formula>AND(Y77&gt;70000,Y77&lt;70004)</formula>
    </cfRule>
    <cfRule type="expression" dxfId="20399" priority="6477" stopIfTrue="1">
      <formula>OR(AND(Y77&gt;=10000,Y77&lt;=56999),AND(Y77&gt;=57000,Y77&lt;=57999))</formula>
    </cfRule>
    <cfRule type="expression" dxfId="20398" priority="6478" stopIfTrue="1">
      <formula>AND(Y77&gt;=8000,Y77&lt;=9999)</formula>
    </cfRule>
    <cfRule type="expression" dxfId="20397" priority="6479" stopIfTrue="1">
      <formula>AND(Y77&gt;=78100,Y77&lt;=78199)</formula>
    </cfRule>
    <cfRule type="expression" dxfId="20396" priority="6480" stopIfTrue="1">
      <formula>AND(Y77&gt;=92000,Y77&lt;=98999)</formula>
    </cfRule>
    <cfRule type="expression" dxfId="20395" priority="6481" stopIfTrue="1">
      <formula>AND(Y77&gt;=78100,Y77&lt;=78199)</formula>
    </cfRule>
    <cfRule type="expression" dxfId="20394" priority="6482" stopIfTrue="1">
      <formula>AND(Y77&gt;=91000,Y77&lt;=91999)</formula>
    </cfRule>
  </conditionalFormatting>
  <conditionalFormatting sqref="X77">
    <cfRule type="expression" dxfId="20393" priority="6461">
      <formula>AND(Y77&gt;=79001,Y77&lt;79900)</formula>
    </cfRule>
    <cfRule type="expression" dxfId="20392" priority="6462" stopIfTrue="1">
      <formula>AND(Y77&gt;=70101,Y77&lt;=70301)</formula>
    </cfRule>
    <cfRule type="expression" dxfId="20391" priority="6463" stopIfTrue="1">
      <formula>AND(Y77&gt;70000,Y77&lt;70004)</formula>
    </cfRule>
    <cfRule type="expression" dxfId="20390" priority="6464" stopIfTrue="1">
      <formula>AND(Y77&gt;=70010,Y77&lt;=76000)</formula>
    </cfRule>
    <cfRule type="expression" dxfId="20389" priority="6465">
      <formula>AND(Y77&gt;70000,Y77&lt;70004)</formula>
    </cfRule>
    <cfRule type="expression" dxfId="20388" priority="6466" stopIfTrue="1">
      <formula>OR(AND(Y77&gt;=10000,Y77&lt;=56999),AND(Y77&gt;=57000,Y77&lt;=57999))</formula>
    </cfRule>
    <cfRule type="expression" dxfId="20387" priority="6467" stopIfTrue="1">
      <formula>AND(Y77&gt;=8000,Y77&lt;=9999)</formula>
    </cfRule>
    <cfRule type="expression" dxfId="20386" priority="6468" stopIfTrue="1">
      <formula>AND(Y77&gt;=78100,Y77&lt;=78199)</formula>
    </cfRule>
    <cfRule type="expression" dxfId="20385" priority="6469" stopIfTrue="1">
      <formula>AND(Y77&gt;=92000,Y77&lt;=98999)</formula>
    </cfRule>
    <cfRule type="expression" dxfId="20384" priority="6470" stopIfTrue="1">
      <formula>AND(Y77&gt;=78100,Y77&lt;=78199)</formula>
    </cfRule>
    <cfRule type="expression" dxfId="20383" priority="6471" stopIfTrue="1">
      <formula>AND(Y77&gt;=91000,Y77&lt;=91999)</formula>
    </cfRule>
  </conditionalFormatting>
  <conditionalFormatting sqref="AB77">
    <cfRule type="expression" dxfId="20382" priority="6450">
      <formula>AND(AC77&gt;=79001,AC77&lt;79900)</formula>
    </cfRule>
    <cfRule type="expression" dxfId="20381" priority="6451" stopIfTrue="1">
      <formula>AND(AC77&gt;=70101,AC77&lt;=70301)</formula>
    </cfRule>
    <cfRule type="expression" dxfId="20380" priority="6452" stopIfTrue="1">
      <formula>AND(AC77&gt;70000,AC77&lt;70004)</formula>
    </cfRule>
    <cfRule type="expression" dxfId="20379" priority="6453" stopIfTrue="1">
      <formula>AND(AC77&gt;=70010,AC77&lt;=76000)</formula>
    </cfRule>
    <cfRule type="expression" dxfId="20378" priority="6454">
      <formula>AND(AC77&gt;70000,AC77&lt;70004)</formula>
    </cfRule>
    <cfRule type="expression" dxfId="20377" priority="6455" stopIfTrue="1">
      <formula>OR(AND(AC77&gt;=10000,AC77&lt;=56999),AND(AC77&gt;=57000,AC77&lt;=57999))</formula>
    </cfRule>
    <cfRule type="expression" dxfId="20376" priority="6456" stopIfTrue="1">
      <formula>AND(AC77&gt;=8000,AC77&lt;=9999)</formula>
    </cfRule>
    <cfRule type="expression" dxfId="20375" priority="6457" stopIfTrue="1">
      <formula>AND(AC77&gt;=78100,AC77&lt;=78199)</formula>
    </cfRule>
    <cfRule type="expression" dxfId="20374" priority="6458" stopIfTrue="1">
      <formula>AND(AC77&gt;=92000,AC77&lt;=98999)</formula>
    </cfRule>
    <cfRule type="expression" dxfId="20373" priority="6459" stopIfTrue="1">
      <formula>AND(AC77&gt;=78100,AC77&lt;=78199)</formula>
    </cfRule>
    <cfRule type="expression" dxfId="20372" priority="6460" stopIfTrue="1">
      <formula>AND(AC77&gt;=91000,AC77&lt;=91999)</formula>
    </cfRule>
  </conditionalFormatting>
  <conditionalFormatting sqref="AB77">
    <cfRule type="expression" dxfId="20371" priority="6439">
      <formula>AND(AC77&gt;=79001,AC77&lt;79900)</formula>
    </cfRule>
    <cfRule type="expression" dxfId="20370" priority="6440" stopIfTrue="1">
      <formula>AND(AC77&gt;=70101,AC77&lt;=70301)</formula>
    </cfRule>
    <cfRule type="expression" dxfId="20369" priority="6441" stopIfTrue="1">
      <formula>AND(AC77&gt;70000,AC77&lt;70004)</formula>
    </cfRule>
    <cfRule type="expression" dxfId="20368" priority="6442" stopIfTrue="1">
      <formula>AND(AC77&gt;=70010,AC77&lt;=76000)</formula>
    </cfRule>
    <cfRule type="expression" dxfId="20367" priority="6443">
      <formula>AND(AC77&gt;70000,AC77&lt;70004)</formula>
    </cfRule>
    <cfRule type="expression" dxfId="20366" priority="6444" stopIfTrue="1">
      <formula>OR(AND(AC77&gt;=10000,AC77&lt;=56999),AND(AC77&gt;=57000,AC77&lt;=57999))</formula>
    </cfRule>
    <cfRule type="expression" dxfId="20365" priority="6445" stopIfTrue="1">
      <formula>AND(AC77&gt;=8000,AC77&lt;=9999)</formula>
    </cfRule>
    <cfRule type="expression" dxfId="20364" priority="6446" stopIfTrue="1">
      <formula>AND(AC77&gt;=78100,AC77&lt;=78199)</formula>
    </cfRule>
    <cfRule type="expression" dxfId="20363" priority="6447" stopIfTrue="1">
      <formula>AND(AC77&gt;=92000,AC77&lt;=98999)</formula>
    </cfRule>
    <cfRule type="expression" dxfId="20362" priority="6448" stopIfTrue="1">
      <formula>AND(AC77&gt;=78100,AC77&lt;=78199)</formula>
    </cfRule>
    <cfRule type="expression" dxfId="20361" priority="6449" stopIfTrue="1">
      <formula>AND(AC77&gt;=91000,AC77&lt;=91999)</formula>
    </cfRule>
  </conditionalFormatting>
  <conditionalFormatting sqref="AF77">
    <cfRule type="expression" dxfId="20360" priority="6428">
      <formula>AND(AG77&gt;=79001,AG77&lt;79900)</formula>
    </cfRule>
    <cfRule type="expression" dxfId="20359" priority="6429" stopIfTrue="1">
      <formula>AND(AG77&gt;=70101,AG77&lt;=70301)</formula>
    </cfRule>
    <cfRule type="expression" dxfId="20358" priority="6430" stopIfTrue="1">
      <formula>AND(AG77&gt;70000,AG77&lt;70004)</formula>
    </cfRule>
    <cfRule type="expression" dxfId="20357" priority="6431" stopIfTrue="1">
      <formula>AND(AG77&gt;=70010,AG77&lt;=76000)</formula>
    </cfRule>
    <cfRule type="expression" dxfId="20356" priority="6432">
      <formula>AND(AG77&gt;70000,AG77&lt;70004)</formula>
    </cfRule>
    <cfRule type="expression" dxfId="20355" priority="6433" stopIfTrue="1">
      <formula>OR(AND(AG77&gt;=10000,AG77&lt;=56999),AND(AG77&gt;=57000,AG77&lt;=57999))</formula>
    </cfRule>
    <cfRule type="expression" dxfId="20354" priority="6434" stopIfTrue="1">
      <formula>AND(AG77&gt;=8000,AG77&lt;=9999)</formula>
    </cfRule>
    <cfRule type="expression" dxfId="20353" priority="6435" stopIfTrue="1">
      <formula>AND(AG77&gt;=78100,AG77&lt;=78199)</formula>
    </cfRule>
    <cfRule type="expression" dxfId="20352" priority="6436" stopIfTrue="1">
      <formula>AND(AG77&gt;=92000,AG77&lt;=98999)</formula>
    </cfRule>
    <cfRule type="expression" dxfId="20351" priority="6437" stopIfTrue="1">
      <formula>AND(AG77&gt;=78100,AG77&lt;=78199)</formula>
    </cfRule>
    <cfRule type="expression" dxfId="20350" priority="6438" stopIfTrue="1">
      <formula>AND(AG77&gt;=91000,AG77&lt;=91999)</formula>
    </cfRule>
  </conditionalFormatting>
  <conditionalFormatting sqref="AJ77">
    <cfRule type="expression" dxfId="20349" priority="6417">
      <formula>AND(AK77&gt;=79001,AK77&lt;79900)</formula>
    </cfRule>
    <cfRule type="expression" dxfId="20348" priority="6418" stopIfTrue="1">
      <formula>AND(AK77&gt;=70101,AK77&lt;=70301)</formula>
    </cfRule>
    <cfRule type="expression" dxfId="20347" priority="6419" stopIfTrue="1">
      <formula>AND(AK77&gt;70000,AK77&lt;70004)</formula>
    </cfRule>
    <cfRule type="expression" dxfId="20346" priority="6420" stopIfTrue="1">
      <formula>AND(AK77&gt;=70010,AK77&lt;=76000)</formula>
    </cfRule>
    <cfRule type="expression" dxfId="20345" priority="6421">
      <formula>AND(AK77&gt;70000,AK77&lt;70004)</formula>
    </cfRule>
    <cfRule type="expression" dxfId="20344" priority="6422" stopIfTrue="1">
      <formula>OR(AND(AK77&gt;=10000,AK77&lt;=56999),AND(AK77&gt;=57000,AK77&lt;=57999))</formula>
    </cfRule>
    <cfRule type="expression" dxfId="20343" priority="6423" stopIfTrue="1">
      <formula>AND(AK77&gt;=8000,AK77&lt;=9999)</formula>
    </cfRule>
    <cfRule type="expression" dxfId="20342" priority="6424" stopIfTrue="1">
      <formula>AND(AK77&gt;=78100,AK77&lt;=78199)</formula>
    </cfRule>
    <cfRule type="expression" dxfId="20341" priority="6425" stopIfTrue="1">
      <formula>AND(AK77&gt;=92000,AK77&lt;=98999)</formula>
    </cfRule>
    <cfRule type="expression" dxfId="20340" priority="6426" stopIfTrue="1">
      <formula>AND(AK77&gt;=78100,AK77&lt;=78199)</formula>
    </cfRule>
    <cfRule type="expression" dxfId="20339" priority="6427" stopIfTrue="1">
      <formula>AND(AK77&gt;=91000,AK77&lt;=91999)</formula>
    </cfRule>
  </conditionalFormatting>
  <conditionalFormatting sqref="AF77">
    <cfRule type="expression" dxfId="20338" priority="6406">
      <formula>AND(AG77&gt;=79001,AG77&lt;79900)</formula>
    </cfRule>
    <cfRule type="expression" dxfId="20337" priority="6407" stopIfTrue="1">
      <formula>AND(AG77&gt;=70101,AG77&lt;=70301)</formula>
    </cfRule>
    <cfRule type="expression" dxfId="20336" priority="6408" stopIfTrue="1">
      <formula>AND(AG77&gt;70000,AG77&lt;70004)</formula>
    </cfRule>
    <cfRule type="expression" dxfId="20335" priority="6409" stopIfTrue="1">
      <formula>AND(AG77&gt;=70010,AG77&lt;=76000)</formula>
    </cfRule>
    <cfRule type="expression" dxfId="20334" priority="6410">
      <formula>AND(AG77&gt;70000,AG77&lt;70004)</formula>
    </cfRule>
    <cfRule type="expression" dxfId="20333" priority="6411" stopIfTrue="1">
      <formula>OR(AND(AG77&gt;=10000,AG77&lt;=56999),AND(AG77&gt;=57000,AG77&lt;=57999))</formula>
    </cfRule>
    <cfRule type="expression" dxfId="20332" priority="6412" stopIfTrue="1">
      <formula>AND(AG77&gt;=8000,AG77&lt;=9999)</formula>
    </cfRule>
    <cfRule type="expression" dxfId="20331" priority="6413" stopIfTrue="1">
      <formula>AND(AG77&gt;=78100,AG77&lt;=78199)</formula>
    </cfRule>
    <cfRule type="expression" dxfId="20330" priority="6414" stopIfTrue="1">
      <formula>AND(AG77&gt;=92000,AG77&lt;=98999)</formula>
    </cfRule>
    <cfRule type="expression" dxfId="20329" priority="6415" stopIfTrue="1">
      <formula>AND(AG77&gt;=78100,AG77&lt;=78199)</formula>
    </cfRule>
    <cfRule type="expression" dxfId="20328" priority="6416" stopIfTrue="1">
      <formula>AND(AG77&gt;=91000,AG77&lt;=91999)</formula>
    </cfRule>
  </conditionalFormatting>
  <conditionalFormatting sqref="AJ77">
    <cfRule type="expression" dxfId="20327" priority="6395">
      <formula>AND(AK77&gt;=79001,AK77&lt;79900)</formula>
    </cfRule>
    <cfRule type="expression" dxfId="20326" priority="6396" stopIfTrue="1">
      <formula>AND(AK77&gt;=70101,AK77&lt;=70301)</formula>
    </cfRule>
    <cfRule type="expression" dxfId="20325" priority="6397" stopIfTrue="1">
      <formula>AND(AK77&gt;70000,AK77&lt;70004)</formula>
    </cfRule>
    <cfRule type="expression" dxfId="20324" priority="6398" stopIfTrue="1">
      <formula>AND(AK77&gt;=70010,AK77&lt;=76000)</formula>
    </cfRule>
    <cfRule type="expression" dxfId="20323" priority="6399">
      <formula>AND(AK77&gt;70000,AK77&lt;70004)</formula>
    </cfRule>
    <cfRule type="expression" dxfId="20322" priority="6400" stopIfTrue="1">
      <formula>OR(AND(AK77&gt;=10000,AK77&lt;=56999),AND(AK77&gt;=57000,AK77&lt;=57999))</formula>
    </cfRule>
    <cfRule type="expression" dxfId="20321" priority="6401" stopIfTrue="1">
      <formula>AND(AK77&gt;=8000,AK77&lt;=9999)</formula>
    </cfRule>
    <cfRule type="expression" dxfId="20320" priority="6402" stopIfTrue="1">
      <formula>AND(AK77&gt;=78100,AK77&lt;=78199)</formula>
    </cfRule>
    <cfRule type="expression" dxfId="20319" priority="6403" stopIfTrue="1">
      <formula>AND(AK77&gt;=92000,AK77&lt;=98999)</formula>
    </cfRule>
    <cfRule type="expression" dxfId="20318" priority="6404" stopIfTrue="1">
      <formula>AND(AK77&gt;=78100,AK77&lt;=78199)</formula>
    </cfRule>
    <cfRule type="expression" dxfId="20317" priority="6405" stopIfTrue="1">
      <formula>AND(AK77&gt;=91000,AK77&lt;=91999)</formula>
    </cfRule>
  </conditionalFormatting>
  <conditionalFormatting sqref="AM77">
    <cfRule type="colorScale" priority="6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77">
    <cfRule type="colorScale" priority="6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7">
    <cfRule type="colorScale" priority="6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77">
    <cfRule type="colorScale" priority="6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77">
    <cfRule type="colorScale" priority="6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77">
    <cfRule type="colorScale" priority="6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7">
    <cfRule type="expression" dxfId="20316" priority="6378">
      <formula>AND(U77&gt;=79001,U77&lt;79900)</formula>
    </cfRule>
    <cfRule type="expression" dxfId="20315" priority="6379" stopIfTrue="1">
      <formula>AND(U77&gt;=70101,U77&lt;=70301)</formula>
    </cfRule>
    <cfRule type="expression" dxfId="20314" priority="6380" stopIfTrue="1">
      <formula>AND(U77&gt;70000,U77&lt;70004)</formula>
    </cfRule>
    <cfRule type="expression" dxfId="20313" priority="6381" stopIfTrue="1">
      <formula>AND(U77&gt;=70010,U77&lt;=76000)</formula>
    </cfRule>
    <cfRule type="expression" dxfId="20312" priority="6382">
      <formula>AND(U77&gt;70000,U77&lt;70004)</formula>
    </cfRule>
    <cfRule type="expression" dxfId="20311" priority="6383" stopIfTrue="1">
      <formula>OR(AND(U77&gt;=10000,U77&lt;=56999),AND(U77&gt;=57000,U77&lt;=57999))</formula>
    </cfRule>
    <cfRule type="expression" dxfId="20310" priority="6384" stopIfTrue="1">
      <formula>AND(U77&gt;=8000,U77&lt;=9999)</formula>
    </cfRule>
    <cfRule type="expression" dxfId="20309" priority="6385" stopIfTrue="1">
      <formula>AND(U77&gt;=78100,U77&lt;=78199)</formula>
    </cfRule>
    <cfRule type="expression" dxfId="20308" priority="6386" stopIfTrue="1">
      <formula>AND(U77&gt;=92000,U77&lt;=98999)</formula>
    </cfRule>
    <cfRule type="expression" dxfId="20307" priority="6387" stopIfTrue="1">
      <formula>AND(U77&gt;=78100,U77&lt;=78199)</formula>
    </cfRule>
    <cfRule type="expression" dxfId="20306" priority="6388" stopIfTrue="1">
      <formula>AND(U77&gt;=91000,U77&lt;=91999)</formula>
    </cfRule>
  </conditionalFormatting>
  <conditionalFormatting sqref="T77">
    <cfRule type="expression" dxfId="20305" priority="6367">
      <formula>AND(U77&gt;=79001,U77&lt;79900)</formula>
    </cfRule>
    <cfRule type="expression" dxfId="20304" priority="6368" stopIfTrue="1">
      <formula>AND(U77&gt;=70101,U77&lt;=70301)</formula>
    </cfRule>
    <cfRule type="expression" dxfId="20303" priority="6369" stopIfTrue="1">
      <formula>AND(U77&gt;70000,U77&lt;70004)</formula>
    </cfRule>
    <cfRule type="expression" dxfId="20302" priority="6370" stopIfTrue="1">
      <formula>AND(U77&gt;=70010,U77&lt;=76000)</formula>
    </cfRule>
    <cfRule type="expression" dxfId="20301" priority="6371">
      <formula>AND(U77&gt;70000,U77&lt;70004)</formula>
    </cfRule>
    <cfRule type="expression" dxfId="20300" priority="6372" stopIfTrue="1">
      <formula>OR(AND(U77&gt;=10000,U77&lt;=56999),AND(U77&gt;=57000,U77&lt;=57999))</formula>
    </cfRule>
    <cfRule type="expression" dxfId="20299" priority="6373" stopIfTrue="1">
      <formula>AND(U77&gt;=8000,U77&lt;=9999)</formula>
    </cfRule>
    <cfRule type="expression" dxfId="20298" priority="6374" stopIfTrue="1">
      <formula>AND(U77&gt;=78100,U77&lt;=78199)</formula>
    </cfRule>
    <cfRule type="expression" dxfId="20297" priority="6375" stopIfTrue="1">
      <formula>AND(U77&gt;=92000,U77&lt;=98999)</formula>
    </cfRule>
    <cfRule type="expression" dxfId="20296" priority="6376" stopIfTrue="1">
      <formula>AND(U77&gt;=78100,U77&lt;=78199)</formula>
    </cfRule>
    <cfRule type="expression" dxfId="20295" priority="6377" stopIfTrue="1">
      <formula>AND(U77&gt;=91000,U77&lt;=91999)</formula>
    </cfRule>
  </conditionalFormatting>
  <conditionalFormatting sqref="T77">
    <cfRule type="expression" dxfId="20294" priority="6356">
      <formula>AND(U77&gt;=79001,U77&lt;79900)</formula>
    </cfRule>
    <cfRule type="expression" dxfId="20293" priority="6357" stopIfTrue="1">
      <formula>AND(U77&gt;=70101,U77&lt;=70301)</formula>
    </cfRule>
    <cfRule type="expression" dxfId="20292" priority="6358" stopIfTrue="1">
      <formula>AND(U77&gt;70000,U77&lt;70004)</formula>
    </cfRule>
    <cfRule type="expression" dxfId="20291" priority="6359" stopIfTrue="1">
      <formula>AND(U77&gt;=70010,U77&lt;=76000)</formula>
    </cfRule>
    <cfRule type="expression" dxfId="20290" priority="6360">
      <formula>AND(U77&gt;70000,U77&lt;70004)</formula>
    </cfRule>
    <cfRule type="expression" dxfId="20289" priority="6361" stopIfTrue="1">
      <formula>OR(AND(U77&gt;=10000,U77&lt;=56999),AND(U77&gt;=57000,U77&lt;=57999))</formula>
    </cfRule>
    <cfRule type="expression" dxfId="20288" priority="6362" stopIfTrue="1">
      <formula>AND(U77&gt;=8000,U77&lt;=9999)</formula>
    </cfRule>
    <cfRule type="expression" dxfId="20287" priority="6363" stopIfTrue="1">
      <formula>AND(U77&gt;=78100,U77&lt;=78199)</formula>
    </cfRule>
    <cfRule type="expression" dxfId="20286" priority="6364" stopIfTrue="1">
      <formula>AND(U77&gt;=92000,U77&lt;=98999)</formula>
    </cfRule>
    <cfRule type="expression" dxfId="20285" priority="6365" stopIfTrue="1">
      <formula>AND(U77&gt;=78100,U77&lt;=78199)</formula>
    </cfRule>
    <cfRule type="expression" dxfId="20284" priority="6366" stopIfTrue="1">
      <formula>AND(U77&gt;=91000,U77&lt;=91999)</formula>
    </cfRule>
  </conditionalFormatting>
  <conditionalFormatting sqref="T77">
    <cfRule type="expression" dxfId="20283" priority="6345">
      <formula>AND(U77&gt;=79001,U77&lt;79900)</formula>
    </cfRule>
    <cfRule type="expression" dxfId="20282" priority="6346" stopIfTrue="1">
      <formula>AND(U77&gt;=70101,U77&lt;=70301)</formula>
    </cfRule>
    <cfRule type="expression" dxfId="20281" priority="6347" stopIfTrue="1">
      <formula>AND(U77&gt;70000,U77&lt;70004)</formula>
    </cfRule>
    <cfRule type="expression" dxfId="20280" priority="6348" stopIfTrue="1">
      <formula>AND(U77&gt;=70010,U77&lt;=76000)</formula>
    </cfRule>
    <cfRule type="expression" dxfId="20279" priority="6349">
      <formula>AND(U77&gt;70000,U77&lt;70004)</formula>
    </cfRule>
    <cfRule type="expression" dxfId="20278" priority="6350" stopIfTrue="1">
      <formula>OR(AND(U77&gt;=10000,U77&lt;=56999),AND(U77&gt;=57000,U77&lt;=57999))</formula>
    </cfRule>
    <cfRule type="expression" dxfId="20277" priority="6351" stopIfTrue="1">
      <formula>AND(U77&gt;=8000,U77&lt;=9999)</formula>
    </cfRule>
    <cfRule type="expression" dxfId="20276" priority="6352" stopIfTrue="1">
      <formula>AND(U77&gt;=78100,U77&lt;=78199)</formula>
    </cfRule>
    <cfRule type="expression" dxfId="20275" priority="6353" stopIfTrue="1">
      <formula>AND(U77&gt;=92000,U77&lt;=98999)</formula>
    </cfRule>
    <cfRule type="expression" dxfId="20274" priority="6354" stopIfTrue="1">
      <formula>AND(U77&gt;=78100,U77&lt;=78199)</formula>
    </cfRule>
    <cfRule type="expression" dxfId="20273" priority="6355" stopIfTrue="1">
      <formula>AND(U77&gt;=91000,U77&lt;=91999)</formula>
    </cfRule>
  </conditionalFormatting>
  <conditionalFormatting sqref="AJ91:AK91 AM91">
    <cfRule type="expression" dxfId="20272" priority="6334">
      <formula>AND(AK91&gt;=79001,AK91&lt;79900)</formula>
    </cfRule>
    <cfRule type="expression" dxfId="20271" priority="6335" stopIfTrue="1">
      <formula>AND(AK91&gt;=70101,AK91&lt;=70301)</formula>
    </cfRule>
    <cfRule type="expression" dxfId="20270" priority="6336" stopIfTrue="1">
      <formula>AND(AK91&gt;70000,AK91&lt;70004)</formula>
    </cfRule>
    <cfRule type="expression" dxfId="20269" priority="6337" stopIfTrue="1">
      <formula>AND(AK91&gt;=70010,AK91&lt;=76000)</formula>
    </cfRule>
    <cfRule type="expression" dxfId="20268" priority="6338">
      <formula>AND(AK91&gt;70000,AK91&lt;70004)</formula>
    </cfRule>
    <cfRule type="expression" dxfId="20267" priority="6339" stopIfTrue="1">
      <formula>OR(AND(AK91&gt;=10000,AK91&lt;=56999),AND(AK91&gt;=57000,AK91&lt;=57999))</formula>
    </cfRule>
    <cfRule type="expression" dxfId="20266" priority="6340" stopIfTrue="1">
      <formula>AND(AK91&gt;=8000,AK91&lt;=9999)</formula>
    </cfRule>
    <cfRule type="expression" dxfId="20265" priority="6341" stopIfTrue="1">
      <formula>AND(AK91&gt;=78100,AK91&lt;=78199)</formula>
    </cfRule>
    <cfRule type="expression" dxfId="20264" priority="6342" stopIfTrue="1">
      <formula>AND(AK91&gt;=92000,AK91&lt;=98999)</formula>
    </cfRule>
    <cfRule type="expression" dxfId="20263" priority="6343" stopIfTrue="1">
      <formula>AND(AK91&gt;=78100,AK91&lt;=78199)</formula>
    </cfRule>
    <cfRule type="expression" dxfId="20262" priority="6344" stopIfTrue="1">
      <formula>AND(AK91&gt;=91000,AK91&lt;=91999)</formula>
    </cfRule>
  </conditionalFormatting>
  <conditionalFormatting sqref="AJ91:AK91 AM91">
    <cfRule type="expression" dxfId="20261" priority="6323">
      <formula>AND(AK91&gt;=79001,AK91&lt;79900)</formula>
    </cfRule>
    <cfRule type="expression" dxfId="20260" priority="6324" stopIfTrue="1">
      <formula>AND(AK91&gt;=70101,AK91&lt;=70301)</formula>
    </cfRule>
    <cfRule type="expression" dxfId="20259" priority="6325" stopIfTrue="1">
      <formula>AND(AK91&gt;70000,AK91&lt;70004)</formula>
    </cfRule>
    <cfRule type="expression" dxfId="20258" priority="6326" stopIfTrue="1">
      <formula>AND(AK91&gt;=70010,AK91&lt;=76000)</formula>
    </cfRule>
    <cfRule type="expression" dxfId="20257" priority="6327">
      <formula>AND(AK91&gt;70000,AK91&lt;70004)</formula>
    </cfRule>
    <cfRule type="expression" dxfId="20256" priority="6328" stopIfTrue="1">
      <formula>OR(AND(AK91&gt;=10000,AK91&lt;=56999),AND(AK91&gt;=57000,AK91&lt;=57999))</formula>
    </cfRule>
    <cfRule type="expression" dxfId="20255" priority="6329" stopIfTrue="1">
      <formula>AND(AK91&gt;=8000,AK91&lt;=9999)</formula>
    </cfRule>
    <cfRule type="expression" dxfId="20254" priority="6330" stopIfTrue="1">
      <formula>AND(AK91&gt;=78100,AK91&lt;=78199)</formula>
    </cfRule>
    <cfRule type="expression" dxfId="20253" priority="6331" stopIfTrue="1">
      <formula>AND(AK91&gt;=92000,AK91&lt;=98999)</formula>
    </cfRule>
    <cfRule type="expression" dxfId="20252" priority="6332" stopIfTrue="1">
      <formula>AND(AK91&gt;=78100,AK91&lt;=78199)</formula>
    </cfRule>
    <cfRule type="expression" dxfId="20251" priority="6333" stopIfTrue="1">
      <formula>AND(AK91&gt;=91000,AK91&lt;=91999)</formula>
    </cfRule>
  </conditionalFormatting>
  <conditionalFormatting sqref="AJ91:AK91 AM91">
    <cfRule type="expression" dxfId="20250" priority="6312">
      <formula>AND(AK91&gt;=79001,AK91&lt;79900)</formula>
    </cfRule>
    <cfRule type="expression" dxfId="20249" priority="6313" stopIfTrue="1">
      <formula>AND(AK91&gt;=70101,AK91&lt;=70301)</formula>
    </cfRule>
    <cfRule type="expression" dxfId="20248" priority="6314" stopIfTrue="1">
      <formula>AND(AK91&gt;70000,AK91&lt;70004)</formula>
    </cfRule>
    <cfRule type="expression" dxfId="20247" priority="6315" stopIfTrue="1">
      <formula>AND(AK91&gt;=70010,AK91&lt;=76000)</formula>
    </cfRule>
    <cfRule type="expression" dxfId="20246" priority="6316">
      <formula>AND(AK91&gt;70000,AK91&lt;70004)</formula>
    </cfRule>
    <cfRule type="expression" dxfId="20245" priority="6317" stopIfTrue="1">
      <formula>OR(AND(AK91&gt;=10000,AK91&lt;=56999),AND(AK91&gt;=57000,AK91&lt;=57999))</formula>
    </cfRule>
    <cfRule type="expression" dxfId="20244" priority="6318" stopIfTrue="1">
      <formula>AND(AK91&gt;=8000,AK91&lt;=9999)</formula>
    </cfRule>
    <cfRule type="expression" dxfId="20243" priority="6319" stopIfTrue="1">
      <formula>AND(AK91&gt;=78100,AK91&lt;=78199)</formula>
    </cfRule>
    <cfRule type="expression" dxfId="20242" priority="6320" stopIfTrue="1">
      <formula>AND(AK91&gt;=92000,AK91&lt;=98999)</formula>
    </cfRule>
    <cfRule type="expression" dxfId="20241" priority="6321" stopIfTrue="1">
      <formula>AND(AK91&gt;=78100,AK91&lt;=78199)</formula>
    </cfRule>
    <cfRule type="expression" dxfId="20240" priority="6322" stopIfTrue="1">
      <formula>AND(AK91&gt;=91000,AK91&lt;=91999)</formula>
    </cfRule>
  </conditionalFormatting>
  <conditionalFormatting sqref="AJ91:AK91 AM91">
    <cfRule type="expression" dxfId="20239" priority="6301">
      <formula>AND(AK91&gt;=79001,AK91&lt;79900)</formula>
    </cfRule>
    <cfRule type="expression" dxfId="20238" priority="6302" stopIfTrue="1">
      <formula>AND(AK91&gt;=70101,AK91&lt;=70301)</formula>
    </cfRule>
    <cfRule type="expression" dxfId="20237" priority="6303" stopIfTrue="1">
      <formula>AND(AK91&gt;70000,AK91&lt;70004)</formula>
    </cfRule>
    <cfRule type="expression" dxfId="20236" priority="6304" stopIfTrue="1">
      <formula>AND(AK91&gt;=70010,AK91&lt;=76000)</formula>
    </cfRule>
    <cfRule type="expression" dxfId="20235" priority="6305">
      <formula>AND(AK91&gt;70000,AK91&lt;70004)</formula>
    </cfRule>
    <cfRule type="expression" dxfId="20234" priority="6306" stopIfTrue="1">
      <formula>OR(AND(AK91&gt;=10000,AK91&lt;=56999),AND(AK91&gt;=57000,AK91&lt;=57999))</formula>
    </cfRule>
    <cfRule type="expression" dxfId="20233" priority="6307" stopIfTrue="1">
      <formula>AND(AK91&gt;=8000,AK91&lt;=9999)</formula>
    </cfRule>
    <cfRule type="expression" dxfId="20232" priority="6308" stopIfTrue="1">
      <formula>AND(AK91&gt;=78100,AK91&lt;=78199)</formula>
    </cfRule>
    <cfRule type="expression" dxfId="20231" priority="6309" stopIfTrue="1">
      <formula>AND(AK91&gt;=92000,AK91&lt;=98999)</formula>
    </cfRule>
    <cfRule type="expression" dxfId="20230" priority="6310" stopIfTrue="1">
      <formula>AND(AK91&gt;=78100,AK91&lt;=78199)</formula>
    </cfRule>
    <cfRule type="expression" dxfId="20229" priority="6311" stopIfTrue="1">
      <formula>AND(AK91&gt;=91000,AK91&lt;=91999)</formula>
    </cfRule>
  </conditionalFormatting>
  <conditionalFormatting sqref="T79">
    <cfRule type="expression" dxfId="20228" priority="6290">
      <formula>AND(U79&gt;=79001,U79&lt;79900)</formula>
    </cfRule>
    <cfRule type="expression" dxfId="20227" priority="6291" stopIfTrue="1">
      <formula>AND(U79&gt;=70101,U79&lt;=70301)</formula>
    </cfRule>
    <cfRule type="expression" dxfId="20226" priority="6292" stopIfTrue="1">
      <formula>AND(U79&gt;70000,U79&lt;70004)</formula>
    </cfRule>
    <cfRule type="expression" dxfId="20225" priority="6293" stopIfTrue="1">
      <formula>AND(U79&gt;=70010,U79&lt;=76000)</formula>
    </cfRule>
    <cfRule type="expression" dxfId="20224" priority="6294">
      <formula>AND(U79&gt;70000,U79&lt;70004)</formula>
    </cfRule>
    <cfRule type="expression" dxfId="20223" priority="6295" stopIfTrue="1">
      <formula>OR(AND(U79&gt;=10000,U79&lt;=56999),AND(U79&gt;=57000,U79&lt;=57999))</formula>
    </cfRule>
    <cfRule type="expression" dxfId="20222" priority="6296" stopIfTrue="1">
      <formula>AND(U79&gt;=8000,U79&lt;=9999)</formula>
    </cfRule>
    <cfRule type="expression" dxfId="20221" priority="6297" stopIfTrue="1">
      <formula>AND(U79&gt;=78100,U79&lt;=78199)</formula>
    </cfRule>
    <cfRule type="expression" dxfId="20220" priority="6298" stopIfTrue="1">
      <formula>AND(U79&gt;=92000,U79&lt;=98999)</formula>
    </cfRule>
    <cfRule type="expression" dxfId="20219" priority="6299" stopIfTrue="1">
      <formula>AND(U79&gt;=78100,U79&lt;=78199)</formula>
    </cfRule>
    <cfRule type="expression" dxfId="20218" priority="6300" stopIfTrue="1">
      <formula>AND(U79&gt;=91000,U79&lt;=91999)</formula>
    </cfRule>
  </conditionalFormatting>
  <conditionalFormatting sqref="T79">
    <cfRule type="expression" dxfId="20217" priority="6279">
      <formula>AND(U79&gt;=79001,U79&lt;79900)</formula>
    </cfRule>
    <cfRule type="expression" dxfId="20216" priority="6280" stopIfTrue="1">
      <formula>AND(U79&gt;=70101,U79&lt;=70301)</formula>
    </cfRule>
    <cfRule type="expression" dxfId="20215" priority="6281" stopIfTrue="1">
      <formula>AND(U79&gt;70000,U79&lt;70004)</formula>
    </cfRule>
    <cfRule type="expression" dxfId="20214" priority="6282" stopIfTrue="1">
      <formula>AND(U79&gt;=70010,U79&lt;=76000)</formula>
    </cfRule>
    <cfRule type="expression" dxfId="20213" priority="6283">
      <formula>AND(U79&gt;70000,U79&lt;70004)</formula>
    </cfRule>
    <cfRule type="expression" dxfId="20212" priority="6284" stopIfTrue="1">
      <formula>OR(AND(U79&gt;=10000,U79&lt;=56999),AND(U79&gt;=57000,U79&lt;=57999))</formula>
    </cfRule>
    <cfRule type="expression" dxfId="20211" priority="6285" stopIfTrue="1">
      <formula>AND(U79&gt;=8000,U79&lt;=9999)</formula>
    </cfRule>
    <cfRule type="expression" dxfId="20210" priority="6286" stopIfTrue="1">
      <formula>AND(U79&gt;=78100,U79&lt;=78199)</formula>
    </cfRule>
    <cfRule type="expression" dxfId="20209" priority="6287" stopIfTrue="1">
      <formula>AND(U79&gt;=92000,U79&lt;=98999)</formula>
    </cfRule>
    <cfRule type="expression" dxfId="20208" priority="6288" stopIfTrue="1">
      <formula>AND(U79&gt;=78100,U79&lt;=78199)</formula>
    </cfRule>
    <cfRule type="expression" dxfId="20207" priority="6289" stopIfTrue="1">
      <formula>AND(U79&gt;=91000,U79&lt;=91999)</formula>
    </cfRule>
  </conditionalFormatting>
  <conditionalFormatting sqref="T79">
    <cfRule type="expression" dxfId="20206" priority="6268">
      <formula>AND(U79&gt;=79001,U79&lt;79900)</formula>
    </cfRule>
    <cfRule type="expression" dxfId="20205" priority="6269" stopIfTrue="1">
      <formula>AND(U79&gt;=70101,U79&lt;=70301)</formula>
    </cfRule>
    <cfRule type="expression" dxfId="20204" priority="6270" stopIfTrue="1">
      <formula>AND(U79&gt;70000,U79&lt;70004)</formula>
    </cfRule>
    <cfRule type="expression" dxfId="20203" priority="6271" stopIfTrue="1">
      <formula>AND(U79&gt;=70010,U79&lt;=76000)</formula>
    </cfRule>
    <cfRule type="expression" dxfId="20202" priority="6272">
      <formula>AND(U79&gt;70000,U79&lt;70004)</formula>
    </cfRule>
    <cfRule type="expression" dxfId="20201" priority="6273" stopIfTrue="1">
      <formula>OR(AND(U79&gt;=10000,U79&lt;=56999),AND(U79&gt;=57000,U79&lt;=57999))</formula>
    </cfRule>
    <cfRule type="expression" dxfId="20200" priority="6274" stopIfTrue="1">
      <formula>AND(U79&gt;=8000,U79&lt;=9999)</formula>
    </cfRule>
    <cfRule type="expression" dxfId="20199" priority="6275" stopIfTrue="1">
      <formula>AND(U79&gt;=78100,U79&lt;=78199)</formula>
    </cfRule>
    <cfRule type="expression" dxfId="20198" priority="6276" stopIfTrue="1">
      <formula>AND(U79&gt;=92000,U79&lt;=98999)</formula>
    </cfRule>
    <cfRule type="expression" dxfId="20197" priority="6277" stopIfTrue="1">
      <formula>AND(U79&gt;=78100,U79&lt;=78199)</formula>
    </cfRule>
    <cfRule type="expression" dxfId="20196" priority="6278" stopIfTrue="1">
      <formula>AND(U79&gt;=91000,U79&lt;=91999)</formula>
    </cfRule>
  </conditionalFormatting>
  <conditionalFormatting sqref="T79">
    <cfRule type="expression" dxfId="20195" priority="6257">
      <formula>AND(U79&gt;=79001,U79&lt;79900)</formula>
    </cfRule>
    <cfRule type="expression" dxfId="20194" priority="6258" stopIfTrue="1">
      <formula>AND(U79&gt;=70101,U79&lt;=70301)</formula>
    </cfRule>
    <cfRule type="expression" dxfId="20193" priority="6259" stopIfTrue="1">
      <formula>AND(U79&gt;70000,U79&lt;70004)</formula>
    </cfRule>
    <cfRule type="expression" dxfId="20192" priority="6260" stopIfTrue="1">
      <formula>AND(U79&gt;=70010,U79&lt;=76000)</formula>
    </cfRule>
    <cfRule type="expression" dxfId="20191" priority="6261">
      <formula>AND(U79&gt;70000,U79&lt;70004)</formula>
    </cfRule>
    <cfRule type="expression" dxfId="20190" priority="6262" stopIfTrue="1">
      <formula>OR(AND(U79&gt;=10000,U79&lt;=56999),AND(U79&gt;=57000,U79&lt;=57999))</formula>
    </cfRule>
    <cfRule type="expression" dxfId="20189" priority="6263" stopIfTrue="1">
      <formula>AND(U79&gt;=8000,U79&lt;=9999)</formula>
    </cfRule>
    <cfRule type="expression" dxfId="20188" priority="6264" stopIfTrue="1">
      <formula>AND(U79&gt;=78100,U79&lt;=78199)</formula>
    </cfRule>
    <cfRule type="expression" dxfId="20187" priority="6265" stopIfTrue="1">
      <formula>AND(U79&gt;=92000,U79&lt;=98999)</formula>
    </cfRule>
    <cfRule type="expression" dxfId="20186" priority="6266" stopIfTrue="1">
      <formula>AND(U79&gt;=78100,U79&lt;=78199)</formula>
    </cfRule>
    <cfRule type="expression" dxfId="20185" priority="6267" stopIfTrue="1">
      <formula>AND(U79&gt;=91000,U79&lt;=91999)</formula>
    </cfRule>
  </conditionalFormatting>
  <conditionalFormatting sqref="T88">
    <cfRule type="expression" dxfId="20184" priority="6246">
      <formula>AND(U88&gt;=79001,U88&lt;79900)</formula>
    </cfRule>
    <cfRule type="expression" dxfId="20183" priority="6247" stopIfTrue="1">
      <formula>AND(U88&gt;=70101,U88&lt;=70301)</formula>
    </cfRule>
    <cfRule type="expression" dxfId="20182" priority="6248" stopIfTrue="1">
      <formula>AND(U88&gt;70000,U88&lt;70004)</formula>
    </cfRule>
    <cfRule type="expression" dxfId="20181" priority="6249" stopIfTrue="1">
      <formula>AND(U88&gt;=70010,U88&lt;=76000)</formula>
    </cfRule>
    <cfRule type="expression" dxfId="20180" priority="6250">
      <formula>AND(U88&gt;70000,U88&lt;70004)</formula>
    </cfRule>
    <cfRule type="expression" dxfId="20179" priority="6251" stopIfTrue="1">
      <formula>OR(AND(U88&gt;=10000,U88&lt;=56999),AND(U88&gt;=57000,U88&lt;=57999))</formula>
    </cfRule>
    <cfRule type="expression" dxfId="20178" priority="6252" stopIfTrue="1">
      <formula>AND(U88&gt;=8000,U88&lt;=9999)</formula>
    </cfRule>
    <cfRule type="expression" dxfId="20177" priority="6253" stopIfTrue="1">
      <formula>AND(U88&gt;=78100,U88&lt;=78199)</formula>
    </cfRule>
    <cfRule type="expression" dxfId="20176" priority="6254" stopIfTrue="1">
      <formula>AND(U88&gt;=92000,U88&lt;=98999)</formula>
    </cfRule>
    <cfRule type="expression" dxfId="20175" priority="6255" stopIfTrue="1">
      <formula>AND(U88&gt;=78100,U88&lt;=78199)</formula>
    </cfRule>
    <cfRule type="expression" dxfId="20174" priority="6256" stopIfTrue="1">
      <formula>AND(U88&gt;=91000,U88&lt;=91999)</formula>
    </cfRule>
  </conditionalFormatting>
  <conditionalFormatting sqref="T88">
    <cfRule type="expression" dxfId="20173" priority="6235">
      <formula>AND(U88&gt;=79001,U88&lt;79900)</formula>
    </cfRule>
    <cfRule type="expression" dxfId="20172" priority="6236" stopIfTrue="1">
      <formula>AND(U88&gt;=70101,U88&lt;=70301)</formula>
    </cfRule>
    <cfRule type="expression" dxfId="20171" priority="6237" stopIfTrue="1">
      <formula>AND(U88&gt;70000,U88&lt;70004)</formula>
    </cfRule>
    <cfRule type="expression" dxfId="20170" priority="6238" stopIfTrue="1">
      <formula>AND(U88&gt;=70010,U88&lt;=76000)</formula>
    </cfRule>
    <cfRule type="expression" dxfId="20169" priority="6239">
      <formula>AND(U88&gt;70000,U88&lt;70004)</formula>
    </cfRule>
    <cfRule type="expression" dxfId="20168" priority="6240" stopIfTrue="1">
      <formula>OR(AND(U88&gt;=10000,U88&lt;=56999),AND(U88&gt;=57000,U88&lt;=57999))</formula>
    </cfRule>
    <cfRule type="expression" dxfId="20167" priority="6241" stopIfTrue="1">
      <formula>AND(U88&gt;=8000,U88&lt;=9999)</formula>
    </cfRule>
    <cfRule type="expression" dxfId="20166" priority="6242" stopIfTrue="1">
      <formula>AND(U88&gt;=78100,U88&lt;=78199)</formula>
    </cfRule>
    <cfRule type="expression" dxfId="20165" priority="6243" stopIfTrue="1">
      <formula>AND(U88&gt;=92000,U88&lt;=98999)</formula>
    </cfRule>
    <cfRule type="expression" dxfId="20164" priority="6244" stopIfTrue="1">
      <formula>AND(U88&gt;=78100,U88&lt;=78199)</formula>
    </cfRule>
    <cfRule type="expression" dxfId="20163" priority="6245" stopIfTrue="1">
      <formula>AND(U88&gt;=91000,U88&lt;=91999)</formula>
    </cfRule>
  </conditionalFormatting>
  <conditionalFormatting sqref="T88">
    <cfRule type="expression" dxfId="20162" priority="6224">
      <formula>AND(U88&gt;=79001,U88&lt;79900)</formula>
    </cfRule>
    <cfRule type="expression" dxfId="20161" priority="6225" stopIfTrue="1">
      <formula>AND(U88&gt;=70101,U88&lt;=70301)</formula>
    </cfRule>
    <cfRule type="expression" dxfId="20160" priority="6226" stopIfTrue="1">
      <formula>AND(U88&gt;70000,U88&lt;70004)</formula>
    </cfRule>
    <cfRule type="expression" dxfId="20159" priority="6227" stopIfTrue="1">
      <formula>AND(U88&gt;=70010,U88&lt;=76000)</formula>
    </cfRule>
    <cfRule type="expression" dxfId="20158" priority="6228">
      <formula>AND(U88&gt;70000,U88&lt;70004)</formula>
    </cfRule>
    <cfRule type="expression" dxfId="20157" priority="6229" stopIfTrue="1">
      <formula>OR(AND(U88&gt;=10000,U88&lt;=56999),AND(U88&gt;=57000,U88&lt;=57999))</formula>
    </cfRule>
    <cfRule type="expression" dxfId="20156" priority="6230" stopIfTrue="1">
      <formula>AND(U88&gt;=8000,U88&lt;=9999)</formula>
    </cfRule>
    <cfRule type="expression" dxfId="20155" priority="6231" stopIfTrue="1">
      <formula>AND(U88&gt;=78100,U88&lt;=78199)</formula>
    </cfRule>
    <cfRule type="expression" dxfId="20154" priority="6232" stopIfTrue="1">
      <formula>AND(U88&gt;=92000,U88&lt;=98999)</formula>
    </cfRule>
    <cfRule type="expression" dxfId="20153" priority="6233" stopIfTrue="1">
      <formula>AND(U88&gt;=78100,U88&lt;=78199)</formula>
    </cfRule>
    <cfRule type="expression" dxfId="20152" priority="6234" stopIfTrue="1">
      <formula>AND(U88&gt;=91000,U88&lt;=91999)</formula>
    </cfRule>
  </conditionalFormatting>
  <conditionalFormatting sqref="T88">
    <cfRule type="expression" dxfId="20151" priority="6213">
      <formula>AND(U88&gt;=79001,U88&lt;79900)</formula>
    </cfRule>
    <cfRule type="expression" dxfId="20150" priority="6214" stopIfTrue="1">
      <formula>AND(U88&gt;=70101,U88&lt;=70301)</formula>
    </cfRule>
    <cfRule type="expression" dxfId="20149" priority="6215" stopIfTrue="1">
      <formula>AND(U88&gt;70000,U88&lt;70004)</formula>
    </cfRule>
    <cfRule type="expression" dxfId="20148" priority="6216" stopIfTrue="1">
      <formula>AND(U88&gt;=70010,U88&lt;=76000)</formula>
    </cfRule>
    <cfRule type="expression" dxfId="20147" priority="6217">
      <formula>AND(U88&gt;70000,U88&lt;70004)</formula>
    </cfRule>
    <cfRule type="expression" dxfId="20146" priority="6218" stopIfTrue="1">
      <formula>OR(AND(U88&gt;=10000,U88&lt;=56999),AND(U88&gt;=57000,U88&lt;=57999))</formula>
    </cfRule>
    <cfRule type="expression" dxfId="20145" priority="6219" stopIfTrue="1">
      <formula>AND(U88&gt;=8000,U88&lt;=9999)</formula>
    </cfRule>
    <cfRule type="expression" dxfId="20144" priority="6220" stopIfTrue="1">
      <formula>AND(U88&gt;=78100,U88&lt;=78199)</formula>
    </cfRule>
    <cfRule type="expression" dxfId="20143" priority="6221" stopIfTrue="1">
      <formula>AND(U88&gt;=92000,U88&lt;=98999)</formula>
    </cfRule>
    <cfRule type="expression" dxfId="20142" priority="6222" stopIfTrue="1">
      <formula>AND(U88&gt;=78100,U88&lt;=78199)</formula>
    </cfRule>
    <cfRule type="expression" dxfId="20141" priority="6223" stopIfTrue="1">
      <formula>AND(U88&gt;=91000,U88&lt;=91999)</formula>
    </cfRule>
  </conditionalFormatting>
  <conditionalFormatting sqref="X79">
    <cfRule type="expression" dxfId="20140" priority="6202">
      <formula>AND(Y79&gt;=79001,Y79&lt;79900)</formula>
    </cfRule>
    <cfRule type="expression" dxfId="20139" priority="6203" stopIfTrue="1">
      <formula>AND(Y79&gt;=70101,Y79&lt;=70301)</formula>
    </cfRule>
    <cfRule type="expression" dxfId="20138" priority="6204" stopIfTrue="1">
      <formula>AND(Y79&gt;70000,Y79&lt;70004)</formula>
    </cfRule>
    <cfRule type="expression" dxfId="20137" priority="6205" stopIfTrue="1">
      <formula>AND(Y79&gt;=70010,Y79&lt;=76000)</formula>
    </cfRule>
    <cfRule type="expression" dxfId="20136" priority="6206">
      <formula>AND(Y79&gt;70000,Y79&lt;70004)</formula>
    </cfRule>
    <cfRule type="expression" dxfId="20135" priority="6207" stopIfTrue="1">
      <formula>OR(AND(Y79&gt;=10000,Y79&lt;=56999),AND(Y79&gt;=57000,Y79&lt;=57999))</formula>
    </cfRule>
    <cfRule type="expression" dxfId="20134" priority="6208" stopIfTrue="1">
      <formula>AND(Y79&gt;=8000,Y79&lt;=9999)</formula>
    </cfRule>
    <cfRule type="expression" dxfId="20133" priority="6209" stopIfTrue="1">
      <formula>AND(Y79&gt;=78100,Y79&lt;=78199)</formula>
    </cfRule>
    <cfRule type="expression" dxfId="20132" priority="6210" stopIfTrue="1">
      <formula>AND(Y79&gt;=92000,Y79&lt;=98999)</formula>
    </cfRule>
    <cfRule type="expression" dxfId="20131" priority="6211" stopIfTrue="1">
      <formula>AND(Y79&gt;=78100,Y79&lt;=78199)</formula>
    </cfRule>
    <cfRule type="expression" dxfId="20130" priority="6212" stopIfTrue="1">
      <formula>AND(Y79&gt;=91000,Y79&lt;=91999)</formula>
    </cfRule>
  </conditionalFormatting>
  <conditionalFormatting sqref="X79">
    <cfRule type="expression" dxfId="20129" priority="6191">
      <formula>AND(Y79&gt;=79001,Y79&lt;79900)</formula>
    </cfRule>
    <cfRule type="expression" dxfId="20128" priority="6192" stopIfTrue="1">
      <formula>AND(Y79&gt;=70101,Y79&lt;=70301)</formula>
    </cfRule>
    <cfRule type="expression" dxfId="20127" priority="6193" stopIfTrue="1">
      <formula>AND(Y79&gt;70000,Y79&lt;70004)</formula>
    </cfRule>
    <cfRule type="expression" dxfId="20126" priority="6194" stopIfTrue="1">
      <formula>AND(Y79&gt;=70010,Y79&lt;=76000)</formula>
    </cfRule>
    <cfRule type="expression" dxfId="20125" priority="6195">
      <formula>AND(Y79&gt;70000,Y79&lt;70004)</formula>
    </cfRule>
    <cfRule type="expression" dxfId="20124" priority="6196" stopIfTrue="1">
      <formula>OR(AND(Y79&gt;=10000,Y79&lt;=56999),AND(Y79&gt;=57000,Y79&lt;=57999))</formula>
    </cfRule>
    <cfRule type="expression" dxfId="20123" priority="6197" stopIfTrue="1">
      <formula>AND(Y79&gt;=8000,Y79&lt;=9999)</formula>
    </cfRule>
    <cfRule type="expression" dxfId="20122" priority="6198" stopIfTrue="1">
      <formula>AND(Y79&gt;=78100,Y79&lt;=78199)</formula>
    </cfRule>
    <cfRule type="expression" dxfId="20121" priority="6199" stopIfTrue="1">
      <formula>AND(Y79&gt;=92000,Y79&lt;=98999)</formula>
    </cfRule>
    <cfRule type="expression" dxfId="20120" priority="6200" stopIfTrue="1">
      <formula>AND(Y79&gt;=78100,Y79&lt;=78199)</formula>
    </cfRule>
    <cfRule type="expression" dxfId="20119" priority="6201" stopIfTrue="1">
      <formula>AND(Y79&gt;=91000,Y79&lt;=91999)</formula>
    </cfRule>
  </conditionalFormatting>
  <conditionalFormatting sqref="X79">
    <cfRule type="expression" dxfId="20118" priority="6180">
      <formula>AND(Y79&gt;=79001,Y79&lt;79900)</formula>
    </cfRule>
    <cfRule type="expression" dxfId="20117" priority="6181" stopIfTrue="1">
      <formula>AND(Y79&gt;=70101,Y79&lt;=70301)</formula>
    </cfRule>
    <cfRule type="expression" dxfId="20116" priority="6182" stopIfTrue="1">
      <formula>AND(Y79&gt;70000,Y79&lt;70004)</formula>
    </cfRule>
    <cfRule type="expression" dxfId="20115" priority="6183" stopIfTrue="1">
      <formula>AND(Y79&gt;=70010,Y79&lt;=76000)</formula>
    </cfRule>
    <cfRule type="expression" dxfId="20114" priority="6184">
      <formula>AND(Y79&gt;70000,Y79&lt;70004)</formula>
    </cfRule>
    <cfRule type="expression" dxfId="20113" priority="6185" stopIfTrue="1">
      <formula>OR(AND(Y79&gt;=10000,Y79&lt;=56999),AND(Y79&gt;=57000,Y79&lt;=57999))</formula>
    </cfRule>
    <cfRule type="expression" dxfId="20112" priority="6186" stopIfTrue="1">
      <formula>AND(Y79&gt;=8000,Y79&lt;=9999)</formula>
    </cfRule>
    <cfRule type="expression" dxfId="20111" priority="6187" stopIfTrue="1">
      <formula>AND(Y79&gt;=78100,Y79&lt;=78199)</formula>
    </cfRule>
    <cfRule type="expression" dxfId="20110" priority="6188" stopIfTrue="1">
      <formula>AND(Y79&gt;=92000,Y79&lt;=98999)</formula>
    </cfRule>
    <cfRule type="expression" dxfId="20109" priority="6189" stopIfTrue="1">
      <formula>AND(Y79&gt;=78100,Y79&lt;=78199)</formula>
    </cfRule>
    <cfRule type="expression" dxfId="20108" priority="6190" stopIfTrue="1">
      <formula>AND(Y79&gt;=91000,Y79&lt;=91999)</formula>
    </cfRule>
  </conditionalFormatting>
  <conditionalFormatting sqref="X79">
    <cfRule type="expression" dxfId="20107" priority="6169">
      <formula>AND(Y79&gt;=79001,Y79&lt;79900)</formula>
    </cfRule>
    <cfRule type="expression" dxfId="20106" priority="6170" stopIfTrue="1">
      <formula>AND(Y79&gt;=70101,Y79&lt;=70301)</formula>
    </cfRule>
    <cfRule type="expression" dxfId="20105" priority="6171" stopIfTrue="1">
      <formula>AND(Y79&gt;70000,Y79&lt;70004)</formula>
    </cfRule>
    <cfRule type="expression" dxfId="20104" priority="6172" stopIfTrue="1">
      <formula>AND(Y79&gt;=70010,Y79&lt;=76000)</formula>
    </cfRule>
    <cfRule type="expression" dxfId="20103" priority="6173">
      <formula>AND(Y79&gt;70000,Y79&lt;70004)</formula>
    </cfRule>
    <cfRule type="expression" dxfId="20102" priority="6174" stopIfTrue="1">
      <formula>OR(AND(Y79&gt;=10000,Y79&lt;=56999),AND(Y79&gt;=57000,Y79&lt;=57999))</formula>
    </cfRule>
    <cfRule type="expression" dxfId="20101" priority="6175" stopIfTrue="1">
      <formula>AND(Y79&gt;=8000,Y79&lt;=9999)</formula>
    </cfRule>
    <cfRule type="expression" dxfId="20100" priority="6176" stopIfTrue="1">
      <formula>AND(Y79&gt;=78100,Y79&lt;=78199)</formula>
    </cfRule>
    <cfRule type="expression" dxfId="20099" priority="6177" stopIfTrue="1">
      <formula>AND(Y79&gt;=92000,Y79&lt;=98999)</formula>
    </cfRule>
    <cfRule type="expression" dxfId="20098" priority="6178" stopIfTrue="1">
      <formula>AND(Y79&gt;=78100,Y79&lt;=78199)</formula>
    </cfRule>
    <cfRule type="expression" dxfId="20097" priority="6179" stopIfTrue="1">
      <formula>AND(Y79&gt;=91000,Y79&lt;=91999)</formula>
    </cfRule>
  </conditionalFormatting>
  <conditionalFormatting sqref="AB79">
    <cfRule type="expression" dxfId="20096" priority="6158">
      <formula>AND(AC79&gt;=79001,AC79&lt;79900)</formula>
    </cfRule>
    <cfRule type="expression" dxfId="20095" priority="6159" stopIfTrue="1">
      <formula>AND(AC79&gt;=70101,AC79&lt;=70301)</formula>
    </cfRule>
    <cfRule type="expression" dxfId="20094" priority="6160" stopIfTrue="1">
      <formula>AND(AC79&gt;70000,AC79&lt;70004)</formula>
    </cfRule>
    <cfRule type="expression" dxfId="20093" priority="6161" stopIfTrue="1">
      <formula>AND(AC79&gt;=70010,AC79&lt;=76000)</formula>
    </cfRule>
    <cfRule type="expression" dxfId="20092" priority="6162">
      <formula>AND(AC79&gt;70000,AC79&lt;70004)</formula>
    </cfRule>
    <cfRule type="expression" dxfId="20091" priority="6163" stopIfTrue="1">
      <formula>OR(AND(AC79&gt;=10000,AC79&lt;=56999),AND(AC79&gt;=57000,AC79&lt;=57999))</formula>
    </cfRule>
    <cfRule type="expression" dxfId="20090" priority="6164" stopIfTrue="1">
      <formula>AND(AC79&gt;=8000,AC79&lt;=9999)</formula>
    </cfRule>
    <cfRule type="expression" dxfId="20089" priority="6165" stopIfTrue="1">
      <formula>AND(AC79&gt;=78100,AC79&lt;=78199)</formula>
    </cfRule>
    <cfRule type="expression" dxfId="20088" priority="6166" stopIfTrue="1">
      <formula>AND(AC79&gt;=92000,AC79&lt;=98999)</formula>
    </cfRule>
    <cfRule type="expression" dxfId="20087" priority="6167" stopIfTrue="1">
      <formula>AND(AC79&gt;=78100,AC79&lt;=78199)</formula>
    </cfRule>
    <cfRule type="expression" dxfId="20086" priority="6168" stopIfTrue="1">
      <formula>AND(AC79&gt;=91000,AC79&lt;=91999)</formula>
    </cfRule>
  </conditionalFormatting>
  <conditionalFormatting sqref="AB79">
    <cfRule type="expression" dxfId="20085" priority="6147">
      <formula>AND(AC79&gt;=79001,AC79&lt;79900)</formula>
    </cfRule>
    <cfRule type="expression" dxfId="20084" priority="6148" stopIfTrue="1">
      <formula>AND(AC79&gt;=70101,AC79&lt;=70301)</formula>
    </cfRule>
    <cfRule type="expression" dxfId="20083" priority="6149" stopIfTrue="1">
      <formula>AND(AC79&gt;70000,AC79&lt;70004)</formula>
    </cfRule>
    <cfRule type="expression" dxfId="20082" priority="6150" stopIfTrue="1">
      <formula>AND(AC79&gt;=70010,AC79&lt;=76000)</formula>
    </cfRule>
    <cfRule type="expression" dxfId="20081" priority="6151">
      <formula>AND(AC79&gt;70000,AC79&lt;70004)</formula>
    </cfRule>
    <cfRule type="expression" dxfId="20080" priority="6152" stopIfTrue="1">
      <formula>OR(AND(AC79&gt;=10000,AC79&lt;=56999),AND(AC79&gt;=57000,AC79&lt;=57999))</formula>
    </cfRule>
    <cfRule type="expression" dxfId="20079" priority="6153" stopIfTrue="1">
      <formula>AND(AC79&gt;=8000,AC79&lt;=9999)</formula>
    </cfRule>
    <cfRule type="expression" dxfId="20078" priority="6154" stopIfTrue="1">
      <formula>AND(AC79&gt;=78100,AC79&lt;=78199)</formula>
    </cfRule>
    <cfRule type="expression" dxfId="20077" priority="6155" stopIfTrue="1">
      <formula>AND(AC79&gt;=92000,AC79&lt;=98999)</formula>
    </cfRule>
    <cfRule type="expression" dxfId="20076" priority="6156" stopIfTrue="1">
      <formula>AND(AC79&gt;=78100,AC79&lt;=78199)</formula>
    </cfRule>
    <cfRule type="expression" dxfId="20075" priority="6157" stopIfTrue="1">
      <formula>AND(AC79&gt;=91000,AC79&lt;=91999)</formula>
    </cfRule>
  </conditionalFormatting>
  <conditionalFormatting sqref="AB79">
    <cfRule type="expression" dxfId="20074" priority="6136">
      <formula>AND(AC79&gt;=79001,AC79&lt;79900)</formula>
    </cfRule>
    <cfRule type="expression" dxfId="20073" priority="6137" stopIfTrue="1">
      <formula>AND(AC79&gt;=70101,AC79&lt;=70301)</formula>
    </cfRule>
    <cfRule type="expression" dxfId="20072" priority="6138" stopIfTrue="1">
      <formula>AND(AC79&gt;70000,AC79&lt;70004)</formula>
    </cfRule>
    <cfRule type="expression" dxfId="20071" priority="6139" stopIfTrue="1">
      <formula>AND(AC79&gt;=70010,AC79&lt;=76000)</formula>
    </cfRule>
    <cfRule type="expression" dxfId="20070" priority="6140">
      <formula>AND(AC79&gt;70000,AC79&lt;70004)</formula>
    </cfRule>
    <cfRule type="expression" dxfId="20069" priority="6141" stopIfTrue="1">
      <formula>OR(AND(AC79&gt;=10000,AC79&lt;=56999),AND(AC79&gt;=57000,AC79&lt;=57999))</formula>
    </cfRule>
    <cfRule type="expression" dxfId="20068" priority="6142" stopIfTrue="1">
      <formula>AND(AC79&gt;=8000,AC79&lt;=9999)</formula>
    </cfRule>
    <cfRule type="expression" dxfId="20067" priority="6143" stopIfTrue="1">
      <formula>AND(AC79&gt;=78100,AC79&lt;=78199)</formula>
    </cfRule>
    <cfRule type="expression" dxfId="20066" priority="6144" stopIfTrue="1">
      <formula>AND(AC79&gt;=92000,AC79&lt;=98999)</formula>
    </cfRule>
    <cfRule type="expression" dxfId="20065" priority="6145" stopIfTrue="1">
      <formula>AND(AC79&gt;=78100,AC79&lt;=78199)</formula>
    </cfRule>
    <cfRule type="expression" dxfId="20064" priority="6146" stopIfTrue="1">
      <formula>AND(AC79&gt;=91000,AC79&lt;=91999)</formula>
    </cfRule>
  </conditionalFormatting>
  <conditionalFormatting sqref="AB79">
    <cfRule type="expression" dxfId="20063" priority="6125">
      <formula>AND(AC79&gt;=79001,AC79&lt;79900)</formula>
    </cfRule>
    <cfRule type="expression" dxfId="20062" priority="6126" stopIfTrue="1">
      <formula>AND(AC79&gt;=70101,AC79&lt;=70301)</formula>
    </cfRule>
    <cfRule type="expression" dxfId="20061" priority="6127" stopIfTrue="1">
      <formula>AND(AC79&gt;70000,AC79&lt;70004)</formula>
    </cfRule>
    <cfRule type="expression" dxfId="20060" priority="6128" stopIfTrue="1">
      <formula>AND(AC79&gt;=70010,AC79&lt;=76000)</formula>
    </cfRule>
    <cfRule type="expression" dxfId="20059" priority="6129">
      <formula>AND(AC79&gt;70000,AC79&lt;70004)</formula>
    </cfRule>
    <cfRule type="expression" dxfId="20058" priority="6130" stopIfTrue="1">
      <formula>OR(AND(AC79&gt;=10000,AC79&lt;=56999),AND(AC79&gt;=57000,AC79&lt;=57999))</formula>
    </cfRule>
    <cfRule type="expression" dxfId="20057" priority="6131" stopIfTrue="1">
      <formula>AND(AC79&gt;=8000,AC79&lt;=9999)</formula>
    </cfRule>
    <cfRule type="expression" dxfId="20056" priority="6132" stopIfTrue="1">
      <formula>AND(AC79&gt;=78100,AC79&lt;=78199)</formula>
    </cfRule>
    <cfRule type="expression" dxfId="20055" priority="6133" stopIfTrue="1">
      <formula>AND(AC79&gt;=92000,AC79&lt;=98999)</formula>
    </cfRule>
    <cfRule type="expression" dxfId="20054" priority="6134" stopIfTrue="1">
      <formula>AND(AC79&gt;=78100,AC79&lt;=78199)</formula>
    </cfRule>
    <cfRule type="expression" dxfId="20053" priority="6135" stopIfTrue="1">
      <formula>AND(AC79&gt;=91000,AC79&lt;=91999)</formula>
    </cfRule>
  </conditionalFormatting>
  <conditionalFormatting sqref="AF79">
    <cfRule type="expression" dxfId="20052" priority="6114">
      <formula>AND(AG79&gt;=79001,AG79&lt;79900)</formula>
    </cfRule>
    <cfRule type="expression" dxfId="20051" priority="6115" stopIfTrue="1">
      <formula>AND(AG79&gt;=70101,AG79&lt;=70301)</formula>
    </cfRule>
    <cfRule type="expression" dxfId="20050" priority="6116" stopIfTrue="1">
      <formula>AND(AG79&gt;70000,AG79&lt;70004)</formula>
    </cfRule>
    <cfRule type="expression" dxfId="20049" priority="6117" stopIfTrue="1">
      <formula>AND(AG79&gt;=70010,AG79&lt;=76000)</formula>
    </cfRule>
    <cfRule type="expression" dxfId="20048" priority="6118">
      <formula>AND(AG79&gt;70000,AG79&lt;70004)</formula>
    </cfRule>
    <cfRule type="expression" dxfId="20047" priority="6119" stopIfTrue="1">
      <formula>OR(AND(AG79&gt;=10000,AG79&lt;=56999),AND(AG79&gt;=57000,AG79&lt;=57999))</formula>
    </cfRule>
    <cfRule type="expression" dxfId="20046" priority="6120" stopIfTrue="1">
      <formula>AND(AG79&gt;=8000,AG79&lt;=9999)</formula>
    </cfRule>
    <cfRule type="expression" dxfId="20045" priority="6121" stopIfTrue="1">
      <formula>AND(AG79&gt;=78100,AG79&lt;=78199)</formula>
    </cfRule>
    <cfRule type="expression" dxfId="20044" priority="6122" stopIfTrue="1">
      <formula>AND(AG79&gt;=92000,AG79&lt;=98999)</formula>
    </cfRule>
    <cfRule type="expression" dxfId="20043" priority="6123" stopIfTrue="1">
      <formula>AND(AG79&gt;=78100,AG79&lt;=78199)</formula>
    </cfRule>
    <cfRule type="expression" dxfId="20042" priority="6124" stopIfTrue="1">
      <formula>AND(AG79&gt;=91000,AG79&lt;=91999)</formula>
    </cfRule>
  </conditionalFormatting>
  <conditionalFormatting sqref="AF79">
    <cfRule type="expression" dxfId="20041" priority="6103">
      <formula>AND(AG79&gt;=79001,AG79&lt;79900)</formula>
    </cfRule>
    <cfRule type="expression" dxfId="20040" priority="6104" stopIfTrue="1">
      <formula>AND(AG79&gt;=70101,AG79&lt;=70301)</formula>
    </cfRule>
    <cfRule type="expression" dxfId="20039" priority="6105" stopIfTrue="1">
      <formula>AND(AG79&gt;70000,AG79&lt;70004)</formula>
    </cfRule>
    <cfRule type="expression" dxfId="20038" priority="6106" stopIfTrue="1">
      <formula>AND(AG79&gt;=70010,AG79&lt;=76000)</formula>
    </cfRule>
    <cfRule type="expression" dxfId="20037" priority="6107">
      <formula>AND(AG79&gt;70000,AG79&lt;70004)</formula>
    </cfRule>
    <cfRule type="expression" dxfId="20036" priority="6108" stopIfTrue="1">
      <formula>OR(AND(AG79&gt;=10000,AG79&lt;=56999),AND(AG79&gt;=57000,AG79&lt;=57999))</formula>
    </cfRule>
    <cfRule type="expression" dxfId="20035" priority="6109" stopIfTrue="1">
      <formula>AND(AG79&gt;=8000,AG79&lt;=9999)</formula>
    </cfRule>
    <cfRule type="expression" dxfId="20034" priority="6110" stopIfTrue="1">
      <formula>AND(AG79&gt;=78100,AG79&lt;=78199)</formula>
    </cfRule>
    <cfRule type="expression" dxfId="20033" priority="6111" stopIfTrue="1">
      <formula>AND(AG79&gt;=92000,AG79&lt;=98999)</formula>
    </cfRule>
    <cfRule type="expression" dxfId="20032" priority="6112" stopIfTrue="1">
      <formula>AND(AG79&gt;=78100,AG79&lt;=78199)</formula>
    </cfRule>
    <cfRule type="expression" dxfId="20031" priority="6113" stopIfTrue="1">
      <formula>AND(AG79&gt;=91000,AG79&lt;=91999)</formula>
    </cfRule>
  </conditionalFormatting>
  <conditionalFormatting sqref="AF79">
    <cfRule type="expression" dxfId="20030" priority="6092">
      <formula>AND(AG79&gt;=79001,AG79&lt;79900)</formula>
    </cfRule>
    <cfRule type="expression" dxfId="20029" priority="6093" stopIfTrue="1">
      <formula>AND(AG79&gt;=70101,AG79&lt;=70301)</formula>
    </cfRule>
    <cfRule type="expression" dxfId="20028" priority="6094" stopIfTrue="1">
      <formula>AND(AG79&gt;70000,AG79&lt;70004)</formula>
    </cfRule>
    <cfRule type="expression" dxfId="20027" priority="6095" stopIfTrue="1">
      <formula>AND(AG79&gt;=70010,AG79&lt;=76000)</formula>
    </cfRule>
    <cfRule type="expression" dxfId="20026" priority="6096">
      <formula>AND(AG79&gt;70000,AG79&lt;70004)</formula>
    </cfRule>
    <cfRule type="expression" dxfId="20025" priority="6097" stopIfTrue="1">
      <formula>OR(AND(AG79&gt;=10000,AG79&lt;=56999),AND(AG79&gt;=57000,AG79&lt;=57999))</formula>
    </cfRule>
    <cfRule type="expression" dxfId="20024" priority="6098" stopIfTrue="1">
      <formula>AND(AG79&gt;=8000,AG79&lt;=9999)</formula>
    </cfRule>
    <cfRule type="expression" dxfId="20023" priority="6099" stopIfTrue="1">
      <formula>AND(AG79&gt;=78100,AG79&lt;=78199)</formula>
    </cfRule>
    <cfRule type="expression" dxfId="20022" priority="6100" stopIfTrue="1">
      <formula>AND(AG79&gt;=92000,AG79&lt;=98999)</formula>
    </cfRule>
    <cfRule type="expression" dxfId="20021" priority="6101" stopIfTrue="1">
      <formula>AND(AG79&gt;=78100,AG79&lt;=78199)</formula>
    </cfRule>
    <cfRule type="expression" dxfId="20020" priority="6102" stopIfTrue="1">
      <formula>AND(AG79&gt;=91000,AG79&lt;=91999)</formula>
    </cfRule>
  </conditionalFormatting>
  <conditionalFormatting sqref="AF79">
    <cfRule type="expression" dxfId="20019" priority="6081">
      <formula>AND(AG79&gt;=79001,AG79&lt;79900)</formula>
    </cfRule>
    <cfRule type="expression" dxfId="20018" priority="6082" stopIfTrue="1">
      <formula>AND(AG79&gt;=70101,AG79&lt;=70301)</formula>
    </cfRule>
    <cfRule type="expression" dxfId="20017" priority="6083" stopIfTrue="1">
      <formula>AND(AG79&gt;70000,AG79&lt;70004)</formula>
    </cfRule>
    <cfRule type="expression" dxfId="20016" priority="6084" stopIfTrue="1">
      <formula>AND(AG79&gt;=70010,AG79&lt;=76000)</formula>
    </cfRule>
    <cfRule type="expression" dxfId="20015" priority="6085">
      <formula>AND(AG79&gt;70000,AG79&lt;70004)</formula>
    </cfRule>
    <cfRule type="expression" dxfId="20014" priority="6086" stopIfTrue="1">
      <formula>OR(AND(AG79&gt;=10000,AG79&lt;=56999),AND(AG79&gt;=57000,AG79&lt;=57999))</formula>
    </cfRule>
    <cfRule type="expression" dxfId="20013" priority="6087" stopIfTrue="1">
      <formula>AND(AG79&gt;=8000,AG79&lt;=9999)</formula>
    </cfRule>
    <cfRule type="expression" dxfId="20012" priority="6088" stopIfTrue="1">
      <formula>AND(AG79&gt;=78100,AG79&lt;=78199)</formula>
    </cfRule>
    <cfRule type="expression" dxfId="20011" priority="6089" stopIfTrue="1">
      <formula>AND(AG79&gt;=92000,AG79&lt;=98999)</formula>
    </cfRule>
    <cfRule type="expression" dxfId="20010" priority="6090" stopIfTrue="1">
      <formula>AND(AG79&gt;=78100,AG79&lt;=78199)</formula>
    </cfRule>
    <cfRule type="expression" dxfId="20009" priority="6091" stopIfTrue="1">
      <formula>AND(AG79&gt;=91000,AG79&lt;=91999)</formula>
    </cfRule>
  </conditionalFormatting>
  <conditionalFormatting sqref="T82">
    <cfRule type="expression" dxfId="20008" priority="6070">
      <formula>AND(U82&gt;=79001,U82&lt;79900)</formula>
    </cfRule>
    <cfRule type="expression" dxfId="20007" priority="6071" stopIfTrue="1">
      <formula>AND(U82&gt;=70101,U82&lt;=70301)</formula>
    </cfRule>
    <cfRule type="expression" dxfId="20006" priority="6072" stopIfTrue="1">
      <formula>AND(U82&gt;70000,U82&lt;70004)</formula>
    </cfRule>
    <cfRule type="expression" dxfId="20005" priority="6073" stopIfTrue="1">
      <formula>AND(U82&gt;=70010,U82&lt;=76000)</formula>
    </cfRule>
    <cfRule type="expression" dxfId="20004" priority="6074">
      <formula>AND(U82&gt;70000,U82&lt;70004)</formula>
    </cfRule>
    <cfRule type="expression" dxfId="20003" priority="6075" stopIfTrue="1">
      <formula>OR(AND(U82&gt;=10000,U82&lt;=56999),AND(U82&gt;=57000,U82&lt;=57999))</formula>
    </cfRule>
    <cfRule type="expression" dxfId="20002" priority="6076" stopIfTrue="1">
      <formula>AND(U82&gt;=8000,U82&lt;=9999)</formula>
    </cfRule>
    <cfRule type="expression" dxfId="20001" priority="6077" stopIfTrue="1">
      <formula>AND(U82&gt;=78100,U82&lt;=78199)</formula>
    </cfRule>
    <cfRule type="expression" dxfId="20000" priority="6078" stopIfTrue="1">
      <formula>AND(U82&gt;=92000,U82&lt;=98999)</formula>
    </cfRule>
    <cfRule type="expression" dxfId="19999" priority="6079" stopIfTrue="1">
      <formula>AND(U82&gt;=78100,U82&lt;=78199)</formula>
    </cfRule>
    <cfRule type="expression" dxfId="19998" priority="6080" stopIfTrue="1">
      <formula>AND(U82&gt;=91000,U82&lt;=91999)</formula>
    </cfRule>
  </conditionalFormatting>
  <conditionalFormatting sqref="T82">
    <cfRule type="expression" dxfId="19997" priority="6059">
      <formula>AND(U82&gt;=79001,U82&lt;79900)</formula>
    </cfRule>
    <cfRule type="expression" dxfId="19996" priority="6060" stopIfTrue="1">
      <formula>AND(U82&gt;=70101,U82&lt;=70301)</formula>
    </cfRule>
    <cfRule type="expression" dxfId="19995" priority="6061" stopIfTrue="1">
      <formula>AND(U82&gt;70000,U82&lt;70004)</formula>
    </cfRule>
    <cfRule type="expression" dxfId="19994" priority="6062" stopIfTrue="1">
      <formula>AND(U82&gt;=70010,U82&lt;=76000)</formula>
    </cfRule>
    <cfRule type="expression" dxfId="19993" priority="6063">
      <formula>AND(U82&gt;70000,U82&lt;70004)</formula>
    </cfRule>
    <cfRule type="expression" dxfId="19992" priority="6064" stopIfTrue="1">
      <formula>OR(AND(U82&gt;=10000,U82&lt;=56999),AND(U82&gt;=57000,U82&lt;=57999))</formula>
    </cfRule>
    <cfRule type="expression" dxfId="19991" priority="6065" stopIfTrue="1">
      <formula>AND(U82&gt;=8000,U82&lt;=9999)</formula>
    </cfRule>
    <cfRule type="expression" dxfId="19990" priority="6066" stopIfTrue="1">
      <formula>AND(U82&gt;=78100,U82&lt;=78199)</formula>
    </cfRule>
    <cfRule type="expression" dxfId="19989" priority="6067" stopIfTrue="1">
      <formula>AND(U82&gt;=92000,U82&lt;=98999)</formula>
    </cfRule>
    <cfRule type="expression" dxfId="19988" priority="6068" stopIfTrue="1">
      <formula>AND(U82&gt;=78100,U82&lt;=78199)</formula>
    </cfRule>
    <cfRule type="expression" dxfId="19987" priority="6069" stopIfTrue="1">
      <formula>AND(U82&gt;=91000,U82&lt;=91999)</formula>
    </cfRule>
  </conditionalFormatting>
  <conditionalFormatting sqref="T82">
    <cfRule type="expression" dxfId="19986" priority="6048">
      <formula>AND(U82&gt;=79001,U82&lt;79900)</formula>
    </cfRule>
    <cfRule type="expression" dxfId="19985" priority="6049" stopIfTrue="1">
      <formula>AND(U82&gt;=70101,U82&lt;=70301)</formula>
    </cfRule>
    <cfRule type="expression" dxfId="19984" priority="6050" stopIfTrue="1">
      <formula>AND(U82&gt;70000,U82&lt;70004)</formula>
    </cfRule>
    <cfRule type="expression" dxfId="19983" priority="6051" stopIfTrue="1">
      <formula>AND(U82&gt;=70010,U82&lt;=76000)</formula>
    </cfRule>
    <cfRule type="expression" dxfId="19982" priority="6052">
      <formula>AND(U82&gt;70000,U82&lt;70004)</formula>
    </cfRule>
    <cfRule type="expression" dxfId="19981" priority="6053" stopIfTrue="1">
      <formula>OR(AND(U82&gt;=10000,U82&lt;=56999),AND(U82&gt;=57000,U82&lt;=57999))</formula>
    </cfRule>
    <cfRule type="expression" dxfId="19980" priority="6054" stopIfTrue="1">
      <formula>AND(U82&gt;=8000,U82&lt;=9999)</formula>
    </cfRule>
    <cfRule type="expression" dxfId="19979" priority="6055" stopIfTrue="1">
      <formula>AND(U82&gt;=78100,U82&lt;=78199)</formula>
    </cfRule>
    <cfRule type="expression" dxfId="19978" priority="6056" stopIfTrue="1">
      <formula>AND(U82&gt;=92000,U82&lt;=98999)</formula>
    </cfRule>
    <cfRule type="expression" dxfId="19977" priority="6057" stopIfTrue="1">
      <formula>AND(U82&gt;=78100,U82&lt;=78199)</formula>
    </cfRule>
    <cfRule type="expression" dxfId="19976" priority="6058" stopIfTrue="1">
      <formula>AND(U82&gt;=91000,U82&lt;=91999)</formula>
    </cfRule>
  </conditionalFormatting>
  <conditionalFormatting sqref="T82">
    <cfRule type="expression" dxfId="19975" priority="6037">
      <formula>AND(U82&gt;=79001,U82&lt;79900)</formula>
    </cfRule>
    <cfRule type="expression" dxfId="19974" priority="6038" stopIfTrue="1">
      <formula>AND(U82&gt;=70101,U82&lt;=70301)</formula>
    </cfRule>
    <cfRule type="expression" dxfId="19973" priority="6039" stopIfTrue="1">
      <formula>AND(U82&gt;70000,U82&lt;70004)</formula>
    </cfRule>
    <cfRule type="expression" dxfId="19972" priority="6040" stopIfTrue="1">
      <formula>AND(U82&gt;=70010,U82&lt;=76000)</formula>
    </cfRule>
    <cfRule type="expression" dxfId="19971" priority="6041">
      <formula>AND(U82&gt;70000,U82&lt;70004)</formula>
    </cfRule>
    <cfRule type="expression" dxfId="19970" priority="6042" stopIfTrue="1">
      <formula>OR(AND(U82&gt;=10000,U82&lt;=56999),AND(U82&gt;=57000,U82&lt;=57999))</formula>
    </cfRule>
    <cfRule type="expression" dxfId="19969" priority="6043" stopIfTrue="1">
      <formula>AND(U82&gt;=8000,U82&lt;=9999)</formula>
    </cfRule>
    <cfRule type="expression" dxfId="19968" priority="6044" stopIfTrue="1">
      <formula>AND(U82&gt;=78100,U82&lt;=78199)</formula>
    </cfRule>
    <cfRule type="expression" dxfId="19967" priority="6045" stopIfTrue="1">
      <formula>AND(U82&gt;=92000,U82&lt;=98999)</formula>
    </cfRule>
    <cfRule type="expression" dxfId="19966" priority="6046" stopIfTrue="1">
      <formula>AND(U82&gt;=78100,U82&lt;=78199)</formula>
    </cfRule>
    <cfRule type="expression" dxfId="19965" priority="6047" stopIfTrue="1">
      <formula>AND(U82&gt;=91000,U82&lt;=91999)</formula>
    </cfRule>
  </conditionalFormatting>
  <conditionalFormatting sqref="X82">
    <cfRule type="expression" dxfId="19964" priority="6026">
      <formula>AND(Y82&gt;=79001,Y82&lt;79900)</formula>
    </cfRule>
    <cfRule type="expression" dxfId="19963" priority="6027" stopIfTrue="1">
      <formula>AND(Y82&gt;=70101,Y82&lt;=70301)</formula>
    </cfRule>
    <cfRule type="expression" dxfId="19962" priority="6028" stopIfTrue="1">
      <formula>AND(Y82&gt;70000,Y82&lt;70004)</formula>
    </cfRule>
    <cfRule type="expression" dxfId="19961" priority="6029" stopIfTrue="1">
      <formula>AND(Y82&gt;=70010,Y82&lt;=76000)</formula>
    </cfRule>
    <cfRule type="expression" dxfId="19960" priority="6030">
      <formula>AND(Y82&gt;70000,Y82&lt;70004)</formula>
    </cfRule>
    <cfRule type="expression" dxfId="19959" priority="6031" stopIfTrue="1">
      <formula>OR(AND(Y82&gt;=10000,Y82&lt;=56999),AND(Y82&gt;=57000,Y82&lt;=57999))</formula>
    </cfRule>
    <cfRule type="expression" dxfId="19958" priority="6032" stopIfTrue="1">
      <formula>AND(Y82&gt;=8000,Y82&lt;=9999)</formula>
    </cfRule>
    <cfRule type="expression" dxfId="19957" priority="6033" stopIfTrue="1">
      <formula>AND(Y82&gt;=78100,Y82&lt;=78199)</formula>
    </cfRule>
    <cfRule type="expression" dxfId="19956" priority="6034" stopIfTrue="1">
      <formula>AND(Y82&gt;=92000,Y82&lt;=98999)</formula>
    </cfRule>
    <cfRule type="expression" dxfId="19955" priority="6035" stopIfTrue="1">
      <formula>AND(Y82&gt;=78100,Y82&lt;=78199)</formula>
    </cfRule>
    <cfRule type="expression" dxfId="19954" priority="6036" stopIfTrue="1">
      <formula>AND(Y82&gt;=91000,Y82&lt;=91999)</formula>
    </cfRule>
  </conditionalFormatting>
  <conditionalFormatting sqref="X82">
    <cfRule type="expression" dxfId="19953" priority="6015">
      <formula>AND(Y82&gt;=79001,Y82&lt;79900)</formula>
    </cfRule>
    <cfRule type="expression" dxfId="19952" priority="6016" stopIfTrue="1">
      <formula>AND(Y82&gt;=70101,Y82&lt;=70301)</formula>
    </cfRule>
    <cfRule type="expression" dxfId="19951" priority="6017" stopIfTrue="1">
      <formula>AND(Y82&gt;70000,Y82&lt;70004)</formula>
    </cfRule>
    <cfRule type="expression" dxfId="19950" priority="6018" stopIfTrue="1">
      <formula>AND(Y82&gt;=70010,Y82&lt;=76000)</formula>
    </cfRule>
    <cfRule type="expression" dxfId="19949" priority="6019">
      <formula>AND(Y82&gt;70000,Y82&lt;70004)</formula>
    </cfRule>
    <cfRule type="expression" dxfId="19948" priority="6020" stopIfTrue="1">
      <formula>OR(AND(Y82&gt;=10000,Y82&lt;=56999),AND(Y82&gt;=57000,Y82&lt;=57999))</formula>
    </cfRule>
    <cfRule type="expression" dxfId="19947" priority="6021" stopIfTrue="1">
      <formula>AND(Y82&gt;=8000,Y82&lt;=9999)</formula>
    </cfRule>
    <cfRule type="expression" dxfId="19946" priority="6022" stopIfTrue="1">
      <formula>AND(Y82&gt;=78100,Y82&lt;=78199)</formula>
    </cfRule>
    <cfRule type="expression" dxfId="19945" priority="6023" stopIfTrue="1">
      <formula>AND(Y82&gt;=92000,Y82&lt;=98999)</formula>
    </cfRule>
    <cfRule type="expression" dxfId="19944" priority="6024" stopIfTrue="1">
      <formula>AND(Y82&gt;=78100,Y82&lt;=78199)</formula>
    </cfRule>
    <cfRule type="expression" dxfId="19943" priority="6025" stopIfTrue="1">
      <formula>AND(Y82&gt;=91000,Y82&lt;=91999)</formula>
    </cfRule>
  </conditionalFormatting>
  <conditionalFormatting sqref="X82">
    <cfRule type="expression" dxfId="19942" priority="6004">
      <formula>AND(Y82&gt;=79001,Y82&lt;79900)</formula>
    </cfRule>
    <cfRule type="expression" dxfId="19941" priority="6005" stopIfTrue="1">
      <formula>AND(Y82&gt;=70101,Y82&lt;=70301)</formula>
    </cfRule>
    <cfRule type="expression" dxfId="19940" priority="6006" stopIfTrue="1">
      <formula>AND(Y82&gt;70000,Y82&lt;70004)</formula>
    </cfRule>
    <cfRule type="expression" dxfId="19939" priority="6007" stopIfTrue="1">
      <formula>AND(Y82&gt;=70010,Y82&lt;=76000)</formula>
    </cfRule>
    <cfRule type="expression" dxfId="19938" priority="6008">
      <formula>AND(Y82&gt;70000,Y82&lt;70004)</formula>
    </cfRule>
    <cfRule type="expression" dxfId="19937" priority="6009" stopIfTrue="1">
      <formula>OR(AND(Y82&gt;=10000,Y82&lt;=56999),AND(Y82&gt;=57000,Y82&lt;=57999))</formula>
    </cfRule>
    <cfRule type="expression" dxfId="19936" priority="6010" stopIfTrue="1">
      <formula>AND(Y82&gt;=8000,Y82&lt;=9999)</formula>
    </cfRule>
    <cfRule type="expression" dxfId="19935" priority="6011" stopIfTrue="1">
      <formula>AND(Y82&gt;=78100,Y82&lt;=78199)</formula>
    </cfRule>
    <cfRule type="expression" dxfId="19934" priority="6012" stopIfTrue="1">
      <formula>AND(Y82&gt;=92000,Y82&lt;=98999)</formula>
    </cfRule>
    <cfRule type="expression" dxfId="19933" priority="6013" stopIfTrue="1">
      <formula>AND(Y82&gt;=78100,Y82&lt;=78199)</formula>
    </cfRule>
    <cfRule type="expression" dxfId="19932" priority="6014" stopIfTrue="1">
      <formula>AND(Y82&gt;=91000,Y82&lt;=91999)</formula>
    </cfRule>
  </conditionalFormatting>
  <conditionalFormatting sqref="X82">
    <cfRule type="expression" dxfId="19931" priority="5993">
      <formula>AND(Y82&gt;=79001,Y82&lt;79900)</formula>
    </cfRule>
    <cfRule type="expression" dxfId="19930" priority="5994" stopIfTrue="1">
      <formula>AND(Y82&gt;=70101,Y82&lt;=70301)</formula>
    </cfRule>
    <cfRule type="expression" dxfId="19929" priority="5995" stopIfTrue="1">
      <formula>AND(Y82&gt;70000,Y82&lt;70004)</formula>
    </cfRule>
    <cfRule type="expression" dxfId="19928" priority="5996" stopIfTrue="1">
      <formula>AND(Y82&gt;=70010,Y82&lt;=76000)</formula>
    </cfRule>
    <cfRule type="expression" dxfId="19927" priority="5997">
      <formula>AND(Y82&gt;70000,Y82&lt;70004)</formula>
    </cfRule>
    <cfRule type="expression" dxfId="19926" priority="5998" stopIfTrue="1">
      <formula>OR(AND(Y82&gt;=10000,Y82&lt;=56999),AND(Y82&gt;=57000,Y82&lt;=57999))</formula>
    </cfRule>
    <cfRule type="expression" dxfId="19925" priority="5999" stopIfTrue="1">
      <formula>AND(Y82&gt;=8000,Y82&lt;=9999)</formula>
    </cfRule>
    <cfRule type="expression" dxfId="19924" priority="6000" stopIfTrue="1">
      <formula>AND(Y82&gt;=78100,Y82&lt;=78199)</formula>
    </cfRule>
    <cfRule type="expression" dxfId="19923" priority="6001" stopIfTrue="1">
      <formula>AND(Y82&gt;=92000,Y82&lt;=98999)</formula>
    </cfRule>
    <cfRule type="expression" dxfId="19922" priority="6002" stopIfTrue="1">
      <formula>AND(Y82&gt;=78100,Y82&lt;=78199)</formula>
    </cfRule>
    <cfRule type="expression" dxfId="19921" priority="6003" stopIfTrue="1">
      <formula>AND(Y82&gt;=91000,Y82&lt;=91999)</formula>
    </cfRule>
  </conditionalFormatting>
  <conditionalFormatting sqref="AB82">
    <cfRule type="expression" dxfId="19920" priority="5982">
      <formula>AND(AC82&gt;=79001,AC82&lt;79900)</formula>
    </cfRule>
    <cfRule type="expression" dxfId="19919" priority="5983" stopIfTrue="1">
      <formula>AND(AC82&gt;=70101,AC82&lt;=70301)</formula>
    </cfRule>
    <cfRule type="expression" dxfId="19918" priority="5984" stopIfTrue="1">
      <formula>AND(AC82&gt;70000,AC82&lt;70004)</formula>
    </cfRule>
    <cfRule type="expression" dxfId="19917" priority="5985" stopIfTrue="1">
      <formula>AND(AC82&gt;=70010,AC82&lt;=76000)</formula>
    </cfRule>
    <cfRule type="expression" dxfId="19916" priority="5986">
      <formula>AND(AC82&gt;70000,AC82&lt;70004)</formula>
    </cfRule>
    <cfRule type="expression" dxfId="19915" priority="5987" stopIfTrue="1">
      <formula>OR(AND(AC82&gt;=10000,AC82&lt;=56999),AND(AC82&gt;=57000,AC82&lt;=57999))</formula>
    </cfRule>
    <cfRule type="expression" dxfId="19914" priority="5988" stopIfTrue="1">
      <formula>AND(AC82&gt;=8000,AC82&lt;=9999)</formula>
    </cfRule>
    <cfRule type="expression" dxfId="19913" priority="5989" stopIfTrue="1">
      <formula>AND(AC82&gt;=78100,AC82&lt;=78199)</formula>
    </cfRule>
    <cfRule type="expression" dxfId="19912" priority="5990" stopIfTrue="1">
      <formula>AND(AC82&gt;=92000,AC82&lt;=98999)</formula>
    </cfRule>
    <cfRule type="expression" dxfId="19911" priority="5991" stopIfTrue="1">
      <formula>AND(AC82&gt;=78100,AC82&lt;=78199)</formula>
    </cfRule>
    <cfRule type="expression" dxfId="19910" priority="5992" stopIfTrue="1">
      <formula>AND(AC82&gt;=91000,AC82&lt;=91999)</formula>
    </cfRule>
  </conditionalFormatting>
  <conditionalFormatting sqref="AB82">
    <cfRule type="expression" dxfId="19909" priority="5971">
      <formula>AND(AC82&gt;=79001,AC82&lt;79900)</formula>
    </cfRule>
    <cfRule type="expression" dxfId="19908" priority="5972" stopIfTrue="1">
      <formula>AND(AC82&gt;=70101,AC82&lt;=70301)</formula>
    </cfRule>
    <cfRule type="expression" dxfId="19907" priority="5973" stopIfTrue="1">
      <formula>AND(AC82&gt;70000,AC82&lt;70004)</formula>
    </cfRule>
    <cfRule type="expression" dxfId="19906" priority="5974" stopIfTrue="1">
      <formula>AND(AC82&gt;=70010,AC82&lt;=76000)</formula>
    </cfRule>
    <cfRule type="expression" dxfId="19905" priority="5975">
      <formula>AND(AC82&gt;70000,AC82&lt;70004)</formula>
    </cfRule>
    <cfRule type="expression" dxfId="19904" priority="5976" stopIfTrue="1">
      <formula>OR(AND(AC82&gt;=10000,AC82&lt;=56999),AND(AC82&gt;=57000,AC82&lt;=57999))</formula>
    </cfRule>
    <cfRule type="expression" dxfId="19903" priority="5977" stopIfTrue="1">
      <formula>AND(AC82&gt;=8000,AC82&lt;=9999)</formula>
    </cfRule>
    <cfRule type="expression" dxfId="19902" priority="5978" stopIfTrue="1">
      <formula>AND(AC82&gt;=78100,AC82&lt;=78199)</formula>
    </cfRule>
    <cfRule type="expression" dxfId="19901" priority="5979" stopIfTrue="1">
      <formula>AND(AC82&gt;=92000,AC82&lt;=98999)</formula>
    </cfRule>
    <cfRule type="expression" dxfId="19900" priority="5980" stopIfTrue="1">
      <formula>AND(AC82&gt;=78100,AC82&lt;=78199)</formula>
    </cfRule>
    <cfRule type="expression" dxfId="19899" priority="5981" stopIfTrue="1">
      <formula>AND(AC82&gt;=91000,AC82&lt;=91999)</formula>
    </cfRule>
  </conditionalFormatting>
  <conditionalFormatting sqref="AB82">
    <cfRule type="expression" dxfId="19898" priority="5960">
      <formula>AND(AC82&gt;=79001,AC82&lt;79900)</formula>
    </cfRule>
    <cfRule type="expression" dxfId="19897" priority="5961" stopIfTrue="1">
      <formula>AND(AC82&gt;=70101,AC82&lt;=70301)</formula>
    </cfRule>
    <cfRule type="expression" dxfId="19896" priority="5962" stopIfTrue="1">
      <formula>AND(AC82&gt;70000,AC82&lt;70004)</formula>
    </cfRule>
    <cfRule type="expression" dxfId="19895" priority="5963" stopIfTrue="1">
      <formula>AND(AC82&gt;=70010,AC82&lt;=76000)</formula>
    </cfRule>
    <cfRule type="expression" dxfId="19894" priority="5964">
      <formula>AND(AC82&gt;70000,AC82&lt;70004)</formula>
    </cfRule>
    <cfRule type="expression" dxfId="19893" priority="5965" stopIfTrue="1">
      <formula>OR(AND(AC82&gt;=10000,AC82&lt;=56999),AND(AC82&gt;=57000,AC82&lt;=57999))</formula>
    </cfRule>
    <cfRule type="expression" dxfId="19892" priority="5966" stopIfTrue="1">
      <formula>AND(AC82&gt;=8000,AC82&lt;=9999)</formula>
    </cfRule>
    <cfRule type="expression" dxfId="19891" priority="5967" stopIfTrue="1">
      <formula>AND(AC82&gt;=78100,AC82&lt;=78199)</formula>
    </cfRule>
    <cfRule type="expression" dxfId="19890" priority="5968" stopIfTrue="1">
      <formula>AND(AC82&gt;=92000,AC82&lt;=98999)</formula>
    </cfRule>
    <cfRule type="expression" dxfId="19889" priority="5969" stopIfTrue="1">
      <formula>AND(AC82&gt;=78100,AC82&lt;=78199)</formula>
    </cfRule>
    <cfRule type="expression" dxfId="19888" priority="5970" stopIfTrue="1">
      <formula>AND(AC82&gt;=91000,AC82&lt;=91999)</formula>
    </cfRule>
  </conditionalFormatting>
  <conditionalFormatting sqref="AB82">
    <cfRule type="expression" dxfId="19887" priority="5949">
      <formula>AND(AC82&gt;=79001,AC82&lt;79900)</formula>
    </cfRule>
    <cfRule type="expression" dxfId="19886" priority="5950" stopIfTrue="1">
      <formula>AND(AC82&gt;=70101,AC82&lt;=70301)</formula>
    </cfRule>
    <cfRule type="expression" dxfId="19885" priority="5951" stopIfTrue="1">
      <formula>AND(AC82&gt;70000,AC82&lt;70004)</formula>
    </cfRule>
    <cfRule type="expression" dxfId="19884" priority="5952" stopIfTrue="1">
      <formula>AND(AC82&gt;=70010,AC82&lt;=76000)</formula>
    </cfRule>
    <cfRule type="expression" dxfId="19883" priority="5953">
      <formula>AND(AC82&gt;70000,AC82&lt;70004)</formula>
    </cfRule>
    <cfRule type="expression" dxfId="19882" priority="5954" stopIfTrue="1">
      <formula>OR(AND(AC82&gt;=10000,AC82&lt;=56999),AND(AC82&gt;=57000,AC82&lt;=57999))</formula>
    </cfRule>
    <cfRule type="expression" dxfId="19881" priority="5955" stopIfTrue="1">
      <formula>AND(AC82&gt;=8000,AC82&lt;=9999)</formula>
    </cfRule>
    <cfRule type="expression" dxfId="19880" priority="5956" stopIfTrue="1">
      <formula>AND(AC82&gt;=78100,AC82&lt;=78199)</formula>
    </cfRule>
    <cfRule type="expression" dxfId="19879" priority="5957" stopIfTrue="1">
      <formula>AND(AC82&gt;=92000,AC82&lt;=98999)</formula>
    </cfRule>
    <cfRule type="expression" dxfId="19878" priority="5958" stopIfTrue="1">
      <formula>AND(AC82&gt;=78100,AC82&lt;=78199)</formula>
    </cfRule>
    <cfRule type="expression" dxfId="19877" priority="5959" stopIfTrue="1">
      <formula>AND(AC82&gt;=91000,AC82&lt;=91999)</formula>
    </cfRule>
  </conditionalFormatting>
  <conditionalFormatting sqref="AF82">
    <cfRule type="expression" dxfId="19876" priority="5938">
      <formula>AND(AG82&gt;=79001,AG82&lt;79900)</formula>
    </cfRule>
    <cfRule type="expression" dxfId="19875" priority="5939" stopIfTrue="1">
      <formula>AND(AG82&gt;=70101,AG82&lt;=70301)</formula>
    </cfRule>
    <cfRule type="expression" dxfId="19874" priority="5940" stopIfTrue="1">
      <formula>AND(AG82&gt;70000,AG82&lt;70004)</formula>
    </cfRule>
    <cfRule type="expression" dxfId="19873" priority="5941" stopIfTrue="1">
      <formula>AND(AG82&gt;=70010,AG82&lt;=76000)</formula>
    </cfRule>
    <cfRule type="expression" dxfId="19872" priority="5942">
      <formula>AND(AG82&gt;70000,AG82&lt;70004)</formula>
    </cfRule>
    <cfRule type="expression" dxfId="19871" priority="5943" stopIfTrue="1">
      <formula>OR(AND(AG82&gt;=10000,AG82&lt;=56999),AND(AG82&gt;=57000,AG82&lt;=57999))</formula>
    </cfRule>
    <cfRule type="expression" dxfId="19870" priority="5944" stopIfTrue="1">
      <formula>AND(AG82&gt;=8000,AG82&lt;=9999)</formula>
    </cfRule>
    <cfRule type="expression" dxfId="19869" priority="5945" stopIfTrue="1">
      <formula>AND(AG82&gt;=78100,AG82&lt;=78199)</formula>
    </cfRule>
    <cfRule type="expression" dxfId="19868" priority="5946" stopIfTrue="1">
      <formula>AND(AG82&gt;=92000,AG82&lt;=98999)</formula>
    </cfRule>
    <cfRule type="expression" dxfId="19867" priority="5947" stopIfTrue="1">
      <formula>AND(AG82&gt;=78100,AG82&lt;=78199)</formula>
    </cfRule>
    <cfRule type="expression" dxfId="19866" priority="5948" stopIfTrue="1">
      <formula>AND(AG82&gt;=91000,AG82&lt;=91999)</formula>
    </cfRule>
  </conditionalFormatting>
  <conditionalFormatting sqref="AF82">
    <cfRule type="expression" dxfId="19865" priority="5927">
      <formula>AND(AG82&gt;=79001,AG82&lt;79900)</formula>
    </cfRule>
    <cfRule type="expression" dxfId="19864" priority="5928" stopIfTrue="1">
      <formula>AND(AG82&gt;=70101,AG82&lt;=70301)</formula>
    </cfRule>
    <cfRule type="expression" dxfId="19863" priority="5929" stopIfTrue="1">
      <formula>AND(AG82&gt;70000,AG82&lt;70004)</formula>
    </cfRule>
    <cfRule type="expression" dxfId="19862" priority="5930" stopIfTrue="1">
      <formula>AND(AG82&gt;=70010,AG82&lt;=76000)</formula>
    </cfRule>
    <cfRule type="expression" dxfId="19861" priority="5931">
      <formula>AND(AG82&gt;70000,AG82&lt;70004)</formula>
    </cfRule>
    <cfRule type="expression" dxfId="19860" priority="5932" stopIfTrue="1">
      <formula>OR(AND(AG82&gt;=10000,AG82&lt;=56999),AND(AG82&gt;=57000,AG82&lt;=57999))</formula>
    </cfRule>
    <cfRule type="expression" dxfId="19859" priority="5933" stopIfTrue="1">
      <formula>AND(AG82&gt;=8000,AG82&lt;=9999)</formula>
    </cfRule>
    <cfRule type="expression" dxfId="19858" priority="5934" stopIfTrue="1">
      <formula>AND(AG82&gt;=78100,AG82&lt;=78199)</formula>
    </cfRule>
    <cfRule type="expression" dxfId="19857" priority="5935" stopIfTrue="1">
      <formula>AND(AG82&gt;=92000,AG82&lt;=98999)</formula>
    </cfRule>
    <cfRule type="expression" dxfId="19856" priority="5936" stopIfTrue="1">
      <formula>AND(AG82&gt;=78100,AG82&lt;=78199)</formula>
    </cfRule>
    <cfRule type="expression" dxfId="19855" priority="5937" stopIfTrue="1">
      <formula>AND(AG82&gt;=91000,AG82&lt;=91999)</formula>
    </cfRule>
  </conditionalFormatting>
  <conditionalFormatting sqref="AF82">
    <cfRule type="expression" dxfId="19854" priority="5916">
      <formula>AND(AG82&gt;=79001,AG82&lt;79900)</formula>
    </cfRule>
    <cfRule type="expression" dxfId="19853" priority="5917" stopIfTrue="1">
      <formula>AND(AG82&gt;=70101,AG82&lt;=70301)</formula>
    </cfRule>
    <cfRule type="expression" dxfId="19852" priority="5918" stopIfTrue="1">
      <formula>AND(AG82&gt;70000,AG82&lt;70004)</formula>
    </cfRule>
    <cfRule type="expression" dxfId="19851" priority="5919" stopIfTrue="1">
      <formula>AND(AG82&gt;=70010,AG82&lt;=76000)</formula>
    </cfRule>
    <cfRule type="expression" dxfId="19850" priority="5920">
      <formula>AND(AG82&gt;70000,AG82&lt;70004)</formula>
    </cfRule>
    <cfRule type="expression" dxfId="19849" priority="5921" stopIfTrue="1">
      <formula>OR(AND(AG82&gt;=10000,AG82&lt;=56999),AND(AG82&gt;=57000,AG82&lt;=57999))</formula>
    </cfRule>
    <cfRule type="expression" dxfId="19848" priority="5922" stopIfTrue="1">
      <formula>AND(AG82&gt;=8000,AG82&lt;=9999)</formula>
    </cfRule>
    <cfRule type="expression" dxfId="19847" priority="5923" stopIfTrue="1">
      <formula>AND(AG82&gt;=78100,AG82&lt;=78199)</formula>
    </cfRule>
    <cfRule type="expression" dxfId="19846" priority="5924" stopIfTrue="1">
      <formula>AND(AG82&gt;=92000,AG82&lt;=98999)</formula>
    </cfRule>
    <cfRule type="expression" dxfId="19845" priority="5925" stopIfTrue="1">
      <formula>AND(AG82&gt;=78100,AG82&lt;=78199)</formula>
    </cfRule>
    <cfRule type="expression" dxfId="19844" priority="5926" stopIfTrue="1">
      <formula>AND(AG82&gt;=91000,AG82&lt;=91999)</formula>
    </cfRule>
  </conditionalFormatting>
  <conditionalFormatting sqref="AF82">
    <cfRule type="expression" dxfId="19843" priority="5905">
      <formula>AND(AG82&gt;=79001,AG82&lt;79900)</formula>
    </cfRule>
    <cfRule type="expression" dxfId="19842" priority="5906" stopIfTrue="1">
      <formula>AND(AG82&gt;=70101,AG82&lt;=70301)</formula>
    </cfRule>
    <cfRule type="expression" dxfId="19841" priority="5907" stopIfTrue="1">
      <formula>AND(AG82&gt;70000,AG82&lt;70004)</formula>
    </cfRule>
    <cfRule type="expression" dxfId="19840" priority="5908" stopIfTrue="1">
      <formula>AND(AG82&gt;=70010,AG82&lt;=76000)</formula>
    </cfRule>
    <cfRule type="expression" dxfId="19839" priority="5909">
      <formula>AND(AG82&gt;70000,AG82&lt;70004)</formula>
    </cfRule>
    <cfRule type="expression" dxfId="19838" priority="5910" stopIfTrue="1">
      <formula>OR(AND(AG82&gt;=10000,AG82&lt;=56999),AND(AG82&gt;=57000,AG82&lt;=57999))</formula>
    </cfRule>
    <cfRule type="expression" dxfId="19837" priority="5911" stopIfTrue="1">
      <formula>AND(AG82&gt;=8000,AG82&lt;=9999)</formula>
    </cfRule>
    <cfRule type="expression" dxfId="19836" priority="5912" stopIfTrue="1">
      <formula>AND(AG82&gt;=78100,AG82&lt;=78199)</formula>
    </cfRule>
    <cfRule type="expression" dxfId="19835" priority="5913" stopIfTrue="1">
      <formula>AND(AG82&gt;=92000,AG82&lt;=98999)</formula>
    </cfRule>
    <cfRule type="expression" dxfId="19834" priority="5914" stopIfTrue="1">
      <formula>AND(AG82&gt;=78100,AG82&lt;=78199)</formula>
    </cfRule>
    <cfRule type="expression" dxfId="19833" priority="5915" stopIfTrue="1">
      <formula>AND(AG82&gt;=91000,AG82&lt;=91999)</formula>
    </cfRule>
  </conditionalFormatting>
  <conditionalFormatting sqref="T85">
    <cfRule type="expression" dxfId="19832" priority="5894">
      <formula>AND(U85&gt;=79001,U85&lt;79900)</formula>
    </cfRule>
    <cfRule type="expression" dxfId="19831" priority="5895" stopIfTrue="1">
      <formula>AND(U85&gt;=70101,U85&lt;=70301)</formula>
    </cfRule>
    <cfRule type="expression" dxfId="19830" priority="5896" stopIfTrue="1">
      <formula>AND(U85&gt;70000,U85&lt;70004)</formula>
    </cfRule>
    <cfRule type="expression" dxfId="19829" priority="5897" stopIfTrue="1">
      <formula>AND(U85&gt;=70010,U85&lt;=76000)</formula>
    </cfRule>
    <cfRule type="expression" dxfId="19828" priority="5898">
      <formula>AND(U85&gt;70000,U85&lt;70004)</formula>
    </cfRule>
    <cfRule type="expression" dxfId="19827" priority="5899" stopIfTrue="1">
      <formula>OR(AND(U85&gt;=10000,U85&lt;=56999),AND(U85&gt;=57000,U85&lt;=57999))</formula>
    </cfRule>
    <cfRule type="expression" dxfId="19826" priority="5900" stopIfTrue="1">
      <formula>AND(U85&gt;=8000,U85&lt;=9999)</formula>
    </cfRule>
    <cfRule type="expression" dxfId="19825" priority="5901" stopIfTrue="1">
      <formula>AND(U85&gt;=78100,U85&lt;=78199)</formula>
    </cfRule>
    <cfRule type="expression" dxfId="19824" priority="5902" stopIfTrue="1">
      <formula>AND(U85&gt;=92000,U85&lt;=98999)</formula>
    </cfRule>
    <cfRule type="expression" dxfId="19823" priority="5903" stopIfTrue="1">
      <formula>AND(U85&gt;=78100,U85&lt;=78199)</formula>
    </cfRule>
    <cfRule type="expression" dxfId="19822" priority="5904" stopIfTrue="1">
      <formula>AND(U85&gt;=91000,U85&lt;=91999)</formula>
    </cfRule>
  </conditionalFormatting>
  <conditionalFormatting sqref="T85">
    <cfRule type="expression" dxfId="19821" priority="5883">
      <formula>AND(U85&gt;=79001,U85&lt;79900)</formula>
    </cfRule>
    <cfRule type="expression" dxfId="19820" priority="5884" stopIfTrue="1">
      <formula>AND(U85&gt;=70101,U85&lt;=70301)</formula>
    </cfRule>
    <cfRule type="expression" dxfId="19819" priority="5885" stopIfTrue="1">
      <formula>AND(U85&gt;70000,U85&lt;70004)</formula>
    </cfRule>
    <cfRule type="expression" dxfId="19818" priority="5886" stopIfTrue="1">
      <formula>AND(U85&gt;=70010,U85&lt;=76000)</formula>
    </cfRule>
    <cfRule type="expression" dxfId="19817" priority="5887">
      <formula>AND(U85&gt;70000,U85&lt;70004)</formula>
    </cfRule>
    <cfRule type="expression" dxfId="19816" priority="5888" stopIfTrue="1">
      <formula>OR(AND(U85&gt;=10000,U85&lt;=56999),AND(U85&gt;=57000,U85&lt;=57999))</formula>
    </cfRule>
    <cfRule type="expression" dxfId="19815" priority="5889" stopIfTrue="1">
      <formula>AND(U85&gt;=8000,U85&lt;=9999)</formula>
    </cfRule>
    <cfRule type="expression" dxfId="19814" priority="5890" stopIfTrue="1">
      <formula>AND(U85&gt;=78100,U85&lt;=78199)</formula>
    </cfRule>
    <cfRule type="expression" dxfId="19813" priority="5891" stopIfTrue="1">
      <formula>AND(U85&gt;=92000,U85&lt;=98999)</formula>
    </cfRule>
    <cfRule type="expression" dxfId="19812" priority="5892" stopIfTrue="1">
      <formula>AND(U85&gt;=78100,U85&lt;=78199)</formula>
    </cfRule>
    <cfRule type="expression" dxfId="19811" priority="5893" stopIfTrue="1">
      <formula>AND(U85&gt;=91000,U85&lt;=91999)</formula>
    </cfRule>
  </conditionalFormatting>
  <conditionalFormatting sqref="T85">
    <cfRule type="expression" dxfId="19810" priority="5872">
      <formula>AND(U85&gt;=79001,U85&lt;79900)</formula>
    </cfRule>
    <cfRule type="expression" dxfId="19809" priority="5873" stopIfTrue="1">
      <formula>AND(U85&gt;=70101,U85&lt;=70301)</formula>
    </cfRule>
    <cfRule type="expression" dxfId="19808" priority="5874" stopIfTrue="1">
      <formula>AND(U85&gt;70000,U85&lt;70004)</formula>
    </cfRule>
    <cfRule type="expression" dxfId="19807" priority="5875" stopIfTrue="1">
      <formula>AND(U85&gt;=70010,U85&lt;=76000)</formula>
    </cfRule>
    <cfRule type="expression" dxfId="19806" priority="5876">
      <formula>AND(U85&gt;70000,U85&lt;70004)</formula>
    </cfRule>
    <cfRule type="expression" dxfId="19805" priority="5877" stopIfTrue="1">
      <formula>OR(AND(U85&gt;=10000,U85&lt;=56999),AND(U85&gt;=57000,U85&lt;=57999))</formula>
    </cfRule>
    <cfRule type="expression" dxfId="19804" priority="5878" stopIfTrue="1">
      <formula>AND(U85&gt;=8000,U85&lt;=9999)</formula>
    </cfRule>
    <cfRule type="expression" dxfId="19803" priority="5879" stopIfTrue="1">
      <formula>AND(U85&gt;=78100,U85&lt;=78199)</formula>
    </cfRule>
    <cfRule type="expression" dxfId="19802" priority="5880" stopIfTrue="1">
      <formula>AND(U85&gt;=92000,U85&lt;=98999)</formula>
    </cfRule>
    <cfRule type="expression" dxfId="19801" priority="5881" stopIfTrue="1">
      <formula>AND(U85&gt;=78100,U85&lt;=78199)</formula>
    </cfRule>
    <cfRule type="expression" dxfId="19800" priority="5882" stopIfTrue="1">
      <formula>AND(U85&gt;=91000,U85&lt;=91999)</formula>
    </cfRule>
  </conditionalFormatting>
  <conditionalFormatting sqref="T85">
    <cfRule type="expression" dxfId="19799" priority="5861">
      <formula>AND(U85&gt;=79001,U85&lt;79900)</formula>
    </cfRule>
    <cfRule type="expression" dxfId="19798" priority="5862" stopIfTrue="1">
      <formula>AND(U85&gt;=70101,U85&lt;=70301)</formula>
    </cfRule>
    <cfRule type="expression" dxfId="19797" priority="5863" stopIfTrue="1">
      <formula>AND(U85&gt;70000,U85&lt;70004)</formula>
    </cfRule>
    <cfRule type="expression" dxfId="19796" priority="5864" stopIfTrue="1">
      <formula>AND(U85&gt;=70010,U85&lt;=76000)</formula>
    </cfRule>
    <cfRule type="expression" dxfId="19795" priority="5865">
      <formula>AND(U85&gt;70000,U85&lt;70004)</formula>
    </cfRule>
    <cfRule type="expression" dxfId="19794" priority="5866" stopIfTrue="1">
      <formula>OR(AND(U85&gt;=10000,U85&lt;=56999),AND(U85&gt;=57000,U85&lt;=57999))</formula>
    </cfRule>
    <cfRule type="expression" dxfId="19793" priority="5867" stopIfTrue="1">
      <formula>AND(U85&gt;=8000,U85&lt;=9999)</formula>
    </cfRule>
    <cfRule type="expression" dxfId="19792" priority="5868" stopIfTrue="1">
      <formula>AND(U85&gt;=78100,U85&lt;=78199)</formula>
    </cfRule>
    <cfRule type="expression" dxfId="19791" priority="5869" stopIfTrue="1">
      <formula>AND(U85&gt;=92000,U85&lt;=98999)</formula>
    </cfRule>
    <cfRule type="expression" dxfId="19790" priority="5870" stopIfTrue="1">
      <formula>AND(U85&gt;=78100,U85&lt;=78199)</formula>
    </cfRule>
    <cfRule type="expression" dxfId="19789" priority="5871" stopIfTrue="1">
      <formula>AND(U85&gt;=91000,U85&lt;=91999)</formula>
    </cfRule>
  </conditionalFormatting>
  <conditionalFormatting sqref="X85">
    <cfRule type="expression" dxfId="19788" priority="5850">
      <formula>AND(Y85&gt;=79001,Y85&lt;79900)</formula>
    </cfRule>
    <cfRule type="expression" dxfId="19787" priority="5851" stopIfTrue="1">
      <formula>AND(Y85&gt;=70101,Y85&lt;=70301)</formula>
    </cfRule>
    <cfRule type="expression" dxfId="19786" priority="5852" stopIfTrue="1">
      <formula>AND(Y85&gt;70000,Y85&lt;70004)</formula>
    </cfRule>
    <cfRule type="expression" dxfId="19785" priority="5853" stopIfTrue="1">
      <formula>AND(Y85&gt;=70010,Y85&lt;=76000)</formula>
    </cfRule>
    <cfRule type="expression" dxfId="19784" priority="5854">
      <formula>AND(Y85&gt;70000,Y85&lt;70004)</formula>
    </cfRule>
    <cfRule type="expression" dxfId="19783" priority="5855" stopIfTrue="1">
      <formula>OR(AND(Y85&gt;=10000,Y85&lt;=56999),AND(Y85&gt;=57000,Y85&lt;=57999))</formula>
    </cfRule>
    <cfRule type="expression" dxfId="19782" priority="5856" stopIfTrue="1">
      <formula>AND(Y85&gt;=8000,Y85&lt;=9999)</formula>
    </cfRule>
    <cfRule type="expression" dxfId="19781" priority="5857" stopIfTrue="1">
      <formula>AND(Y85&gt;=78100,Y85&lt;=78199)</formula>
    </cfRule>
    <cfRule type="expression" dxfId="19780" priority="5858" stopIfTrue="1">
      <formula>AND(Y85&gt;=92000,Y85&lt;=98999)</formula>
    </cfRule>
    <cfRule type="expression" dxfId="19779" priority="5859" stopIfTrue="1">
      <formula>AND(Y85&gt;=78100,Y85&lt;=78199)</formula>
    </cfRule>
    <cfRule type="expression" dxfId="19778" priority="5860" stopIfTrue="1">
      <formula>AND(Y85&gt;=91000,Y85&lt;=91999)</formula>
    </cfRule>
  </conditionalFormatting>
  <conditionalFormatting sqref="X85">
    <cfRule type="expression" dxfId="19777" priority="5839">
      <formula>AND(Y85&gt;=79001,Y85&lt;79900)</formula>
    </cfRule>
    <cfRule type="expression" dxfId="19776" priority="5840" stopIfTrue="1">
      <formula>AND(Y85&gt;=70101,Y85&lt;=70301)</formula>
    </cfRule>
    <cfRule type="expression" dxfId="19775" priority="5841" stopIfTrue="1">
      <formula>AND(Y85&gt;70000,Y85&lt;70004)</formula>
    </cfRule>
    <cfRule type="expression" dxfId="19774" priority="5842" stopIfTrue="1">
      <formula>AND(Y85&gt;=70010,Y85&lt;=76000)</formula>
    </cfRule>
    <cfRule type="expression" dxfId="19773" priority="5843">
      <formula>AND(Y85&gt;70000,Y85&lt;70004)</formula>
    </cfRule>
    <cfRule type="expression" dxfId="19772" priority="5844" stopIfTrue="1">
      <formula>OR(AND(Y85&gt;=10000,Y85&lt;=56999),AND(Y85&gt;=57000,Y85&lt;=57999))</formula>
    </cfRule>
    <cfRule type="expression" dxfId="19771" priority="5845" stopIfTrue="1">
      <formula>AND(Y85&gt;=8000,Y85&lt;=9999)</formula>
    </cfRule>
    <cfRule type="expression" dxfId="19770" priority="5846" stopIfTrue="1">
      <formula>AND(Y85&gt;=78100,Y85&lt;=78199)</formula>
    </cfRule>
    <cfRule type="expression" dxfId="19769" priority="5847" stopIfTrue="1">
      <formula>AND(Y85&gt;=92000,Y85&lt;=98999)</formula>
    </cfRule>
    <cfRule type="expression" dxfId="19768" priority="5848" stopIfTrue="1">
      <formula>AND(Y85&gt;=78100,Y85&lt;=78199)</formula>
    </cfRule>
    <cfRule type="expression" dxfId="19767" priority="5849" stopIfTrue="1">
      <formula>AND(Y85&gt;=91000,Y85&lt;=91999)</formula>
    </cfRule>
  </conditionalFormatting>
  <conditionalFormatting sqref="X85">
    <cfRule type="expression" dxfId="19766" priority="5828">
      <formula>AND(Y85&gt;=79001,Y85&lt;79900)</formula>
    </cfRule>
    <cfRule type="expression" dxfId="19765" priority="5829" stopIfTrue="1">
      <formula>AND(Y85&gt;=70101,Y85&lt;=70301)</formula>
    </cfRule>
    <cfRule type="expression" dxfId="19764" priority="5830" stopIfTrue="1">
      <formula>AND(Y85&gt;70000,Y85&lt;70004)</formula>
    </cfRule>
    <cfRule type="expression" dxfId="19763" priority="5831" stopIfTrue="1">
      <formula>AND(Y85&gt;=70010,Y85&lt;=76000)</formula>
    </cfRule>
    <cfRule type="expression" dxfId="19762" priority="5832">
      <formula>AND(Y85&gt;70000,Y85&lt;70004)</formula>
    </cfRule>
    <cfRule type="expression" dxfId="19761" priority="5833" stopIfTrue="1">
      <formula>OR(AND(Y85&gt;=10000,Y85&lt;=56999),AND(Y85&gt;=57000,Y85&lt;=57999))</formula>
    </cfRule>
    <cfRule type="expression" dxfId="19760" priority="5834" stopIfTrue="1">
      <formula>AND(Y85&gt;=8000,Y85&lt;=9999)</formula>
    </cfRule>
    <cfRule type="expression" dxfId="19759" priority="5835" stopIfTrue="1">
      <formula>AND(Y85&gt;=78100,Y85&lt;=78199)</formula>
    </cfRule>
    <cfRule type="expression" dxfId="19758" priority="5836" stopIfTrue="1">
      <formula>AND(Y85&gt;=92000,Y85&lt;=98999)</formula>
    </cfRule>
    <cfRule type="expression" dxfId="19757" priority="5837" stopIfTrue="1">
      <formula>AND(Y85&gt;=78100,Y85&lt;=78199)</formula>
    </cfRule>
    <cfRule type="expression" dxfId="19756" priority="5838" stopIfTrue="1">
      <formula>AND(Y85&gt;=91000,Y85&lt;=91999)</formula>
    </cfRule>
  </conditionalFormatting>
  <conditionalFormatting sqref="X85">
    <cfRule type="expression" dxfId="19755" priority="5817">
      <formula>AND(Y85&gt;=79001,Y85&lt;79900)</formula>
    </cfRule>
    <cfRule type="expression" dxfId="19754" priority="5818" stopIfTrue="1">
      <formula>AND(Y85&gt;=70101,Y85&lt;=70301)</formula>
    </cfRule>
    <cfRule type="expression" dxfId="19753" priority="5819" stopIfTrue="1">
      <formula>AND(Y85&gt;70000,Y85&lt;70004)</formula>
    </cfRule>
    <cfRule type="expression" dxfId="19752" priority="5820" stopIfTrue="1">
      <formula>AND(Y85&gt;=70010,Y85&lt;=76000)</formula>
    </cfRule>
    <cfRule type="expression" dxfId="19751" priority="5821">
      <formula>AND(Y85&gt;70000,Y85&lt;70004)</formula>
    </cfRule>
    <cfRule type="expression" dxfId="19750" priority="5822" stopIfTrue="1">
      <formula>OR(AND(Y85&gt;=10000,Y85&lt;=56999),AND(Y85&gt;=57000,Y85&lt;=57999))</formula>
    </cfRule>
    <cfRule type="expression" dxfId="19749" priority="5823" stopIfTrue="1">
      <formula>AND(Y85&gt;=8000,Y85&lt;=9999)</formula>
    </cfRule>
    <cfRule type="expression" dxfId="19748" priority="5824" stopIfTrue="1">
      <formula>AND(Y85&gt;=78100,Y85&lt;=78199)</formula>
    </cfRule>
    <cfRule type="expression" dxfId="19747" priority="5825" stopIfTrue="1">
      <formula>AND(Y85&gt;=92000,Y85&lt;=98999)</formula>
    </cfRule>
    <cfRule type="expression" dxfId="19746" priority="5826" stopIfTrue="1">
      <formula>AND(Y85&gt;=78100,Y85&lt;=78199)</formula>
    </cfRule>
    <cfRule type="expression" dxfId="19745" priority="5827" stopIfTrue="1">
      <formula>AND(Y85&gt;=91000,Y85&lt;=91999)</formula>
    </cfRule>
  </conditionalFormatting>
  <conditionalFormatting sqref="AB85">
    <cfRule type="expression" dxfId="19744" priority="5806">
      <formula>AND(AC85&gt;=79001,AC85&lt;79900)</formula>
    </cfRule>
    <cfRule type="expression" dxfId="19743" priority="5807" stopIfTrue="1">
      <formula>AND(AC85&gt;=70101,AC85&lt;=70301)</formula>
    </cfRule>
    <cfRule type="expression" dxfId="19742" priority="5808" stopIfTrue="1">
      <formula>AND(AC85&gt;70000,AC85&lt;70004)</formula>
    </cfRule>
    <cfRule type="expression" dxfId="19741" priority="5809" stopIfTrue="1">
      <formula>AND(AC85&gt;=70010,AC85&lt;=76000)</formula>
    </cfRule>
    <cfRule type="expression" dxfId="19740" priority="5810">
      <formula>AND(AC85&gt;70000,AC85&lt;70004)</formula>
    </cfRule>
    <cfRule type="expression" dxfId="19739" priority="5811" stopIfTrue="1">
      <formula>OR(AND(AC85&gt;=10000,AC85&lt;=56999),AND(AC85&gt;=57000,AC85&lt;=57999))</formula>
    </cfRule>
    <cfRule type="expression" dxfId="19738" priority="5812" stopIfTrue="1">
      <formula>AND(AC85&gt;=8000,AC85&lt;=9999)</formula>
    </cfRule>
    <cfRule type="expression" dxfId="19737" priority="5813" stopIfTrue="1">
      <formula>AND(AC85&gt;=78100,AC85&lt;=78199)</formula>
    </cfRule>
    <cfRule type="expression" dxfId="19736" priority="5814" stopIfTrue="1">
      <formula>AND(AC85&gt;=92000,AC85&lt;=98999)</formula>
    </cfRule>
    <cfRule type="expression" dxfId="19735" priority="5815" stopIfTrue="1">
      <formula>AND(AC85&gt;=78100,AC85&lt;=78199)</formula>
    </cfRule>
    <cfRule type="expression" dxfId="19734" priority="5816" stopIfTrue="1">
      <formula>AND(AC85&gt;=91000,AC85&lt;=91999)</formula>
    </cfRule>
  </conditionalFormatting>
  <conditionalFormatting sqref="AB85">
    <cfRule type="expression" dxfId="19733" priority="5795">
      <formula>AND(AC85&gt;=79001,AC85&lt;79900)</formula>
    </cfRule>
    <cfRule type="expression" dxfId="19732" priority="5796" stopIfTrue="1">
      <formula>AND(AC85&gt;=70101,AC85&lt;=70301)</formula>
    </cfRule>
    <cfRule type="expression" dxfId="19731" priority="5797" stopIfTrue="1">
      <formula>AND(AC85&gt;70000,AC85&lt;70004)</formula>
    </cfRule>
    <cfRule type="expression" dxfId="19730" priority="5798" stopIfTrue="1">
      <formula>AND(AC85&gt;=70010,AC85&lt;=76000)</formula>
    </cfRule>
    <cfRule type="expression" dxfId="19729" priority="5799">
      <formula>AND(AC85&gt;70000,AC85&lt;70004)</formula>
    </cfRule>
    <cfRule type="expression" dxfId="19728" priority="5800" stopIfTrue="1">
      <formula>OR(AND(AC85&gt;=10000,AC85&lt;=56999),AND(AC85&gt;=57000,AC85&lt;=57999))</formula>
    </cfRule>
    <cfRule type="expression" dxfId="19727" priority="5801" stopIfTrue="1">
      <formula>AND(AC85&gt;=8000,AC85&lt;=9999)</formula>
    </cfRule>
    <cfRule type="expression" dxfId="19726" priority="5802" stopIfTrue="1">
      <formula>AND(AC85&gt;=78100,AC85&lt;=78199)</formula>
    </cfRule>
    <cfRule type="expression" dxfId="19725" priority="5803" stopIfTrue="1">
      <formula>AND(AC85&gt;=92000,AC85&lt;=98999)</formula>
    </cfRule>
    <cfRule type="expression" dxfId="19724" priority="5804" stopIfTrue="1">
      <formula>AND(AC85&gt;=78100,AC85&lt;=78199)</formula>
    </cfRule>
    <cfRule type="expression" dxfId="19723" priority="5805" stopIfTrue="1">
      <formula>AND(AC85&gt;=91000,AC85&lt;=91999)</formula>
    </cfRule>
  </conditionalFormatting>
  <conditionalFormatting sqref="AB85">
    <cfRule type="expression" dxfId="19722" priority="5784">
      <formula>AND(AC85&gt;=79001,AC85&lt;79900)</formula>
    </cfRule>
    <cfRule type="expression" dxfId="19721" priority="5785" stopIfTrue="1">
      <formula>AND(AC85&gt;=70101,AC85&lt;=70301)</formula>
    </cfRule>
    <cfRule type="expression" dxfId="19720" priority="5786" stopIfTrue="1">
      <formula>AND(AC85&gt;70000,AC85&lt;70004)</formula>
    </cfRule>
    <cfRule type="expression" dxfId="19719" priority="5787" stopIfTrue="1">
      <formula>AND(AC85&gt;=70010,AC85&lt;=76000)</formula>
    </cfRule>
    <cfRule type="expression" dxfId="19718" priority="5788">
      <formula>AND(AC85&gt;70000,AC85&lt;70004)</formula>
    </cfRule>
    <cfRule type="expression" dxfId="19717" priority="5789" stopIfTrue="1">
      <formula>OR(AND(AC85&gt;=10000,AC85&lt;=56999),AND(AC85&gt;=57000,AC85&lt;=57999))</formula>
    </cfRule>
    <cfRule type="expression" dxfId="19716" priority="5790" stopIfTrue="1">
      <formula>AND(AC85&gt;=8000,AC85&lt;=9999)</formula>
    </cfRule>
    <cfRule type="expression" dxfId="19715" priority="5791" stopIfTrue="1">
      <formula>AND(AC85&gt;=78100,AC85&lt;=78199)</formula>
    </cfRule>
    <cfRule type="expression" dxfId="19714" priority="5792" stopIfTrue="1">
      <formula>AND(AC85&gt;=92000,AC85&lt;=98999)</formula>
    </cfRule>
    <cfRule type="expression" dxfId="19713" priority="5793" stopIfTrue="1">
      <formula>AND(AC85&gt;=78100,AC85&lt;=78199)</formula>
    </cfRule>
    <cfRule type="expression" dxfId="19712" priority="5794" stopIfTrue="1">
      <formula>AND(AC85&gt;=91000,AC85&lt;=91999)</formula>
    </cfRule>
  </conditionalFormatting>
  <conditionalFormatting sqref="AB85">
    <cfRule type="expression" dxfId="19711" priority="5773">
      <formula>AND(AC85&gt;=79001,AC85&lt;79900)</formula>
    </cfRule>
    <cfRule type="expression" dxfId="19710" priority="5774" stopIfTrue="1">
      <formula>AND(AC85&gt;=70101,AC85&lt;=70301)</formula>
    </cfRule>
    <cfRule type="expression" dxfId="19709" priority="5775" stopIfTrue="1">
      <formula>AND(AC85&gt;70000,AC85&lt;70004)</formula>
    </cfRule>
    <cfRule type="expression" dxfId="19708" priority="5776" stopIfTrue="1">
      <formula>AND(AC85&gt;=70010,AC85&lt;=76000)</formula>
    </cfRule>
    <cfRule type="expression" dxfId="19707" priority="5777">
      <formula>AND(AC85&gt;70000,AC85&lt;70004)</formula>
    </cfRule>
    <cfRule type="expression" dxfId="19706" priority="5778" stopIfTrue="1">
      <formula>OR(AND(AC85&gt;=10000,AC85&lt;=56999),AND(AC85&gt;=57000,AC85&lt;=57999))</formula>
    </cfRule>
    <cfRule type="expression" dxfId="19705" priority="5779" stopIfTrue="1">
      <formula>AND(AC85&gt;=8000,AC85&lt;=9999)</formula>
    </cfRule>
    <cfRule type="expression" dxfId="19704" priority="5780" stopIfTrue="1">
      <formula>AND(AC85&gt;=78100,AC85&lt;=78199)</formula>
    </cfRule>
    <cfRule type="expression" dxfId="19703" priority="5781" stopIfTrue="1">
      <formula>AND(AC85&gt;=92000,AC85&lt;=98999)</formula>
    </cfRule>
    <cfRule type="expression" dxfId="19702" priority="5782" stopIfTrue="1">
      <formula>AND(AC85&gt;=78100,AC85&lt;=78199)</formula>
    </cfRule>
    <cfRule type="expression" dxfId="19701" priority="5783" stopIfTrue="1">
      <formula>AND(AC85&gt;=91000,AC85&lt;=91999)</formula>
    </cfRule>
  </conditionalFormatting>
  <conditionalFormatting sqref="AF85">
    <cfRule type="expression" dxfId="19700" priority="5762">
      <formula>AND(AG85&gt;=79001,AG85&lt;79900)</formula>
    </cfRule>
    <cfRule type="expression" dxfId="19699" priority="5763" stopIfTrue="1">
      <formula>AND(AG85&gt;=70101,AG85&lt;=70301)</formula>
    </cfRule>
    <cfRule type="expression" dxfId="19698" priority="5764" stopIfTrue="1">
      <formula>AND(AG85&gt;70000,AG85&lt;70004)</formula>
    </cfRule>
    <cfRule type="expression" dxfId="19697" priority="5765" stopIfTrue="1">
      <formula>AND(AG85&gt;=70010,AG85&lt;=76000)</formula>
    </cfRule>
    <cfRule type="expression" dxfId="19696" priority="5766">
      <formula>AND(AG85&gt;70000,AG85&lt;70004)</formula>
    </cfRule>
    <cfRule type="expression" dxfId="19695" priority="5767" stopIfTrue="1">
      <formula>OR(AND(AG85&gt;=10000,AG85&lt;=56999),AND(AG85&gt;=57000,AG85&lt;=57999))</formula>
    </cfRule>
    <cfRule type="expression" dxfId="19694" priority="5768" stopIfTrue="1">
      <formula>AND(AG85&gt;=8000,AG85&lt;=9999)</formula>
    </cfRule>
    <cfRule type="expression" dxfId="19693" priority="5769" stopIfTrue="1">
      <formula>AND(AG85&gt;=78100,AG85&lt;=78199)</formula>
    </cfRule>
    <cfRule type="expression" dxfId="19692" priority="5770" stopIfTrue="1">
      <formula>AND(AG85&gt;=92000,AG85&lt;=98999)</formula>
    </cfRule>
    <cfRule type="expression" dxfId="19691" priority="5771" stopIfTrue="1">
      <formula>AND(AG85&gt;=78100,AG85&lt;=78199)</formula>
    </cfRule>
    <cfRule type="expression" dxfId="19690" priority="5772" stopIfTrue="1">
      <formula>AND(AG85&gt;=91000,AG85&lt;=91999)</formula>
    </cfRule>
  </conditionalFormatting>
  <conditionalFormatting sqref="AF85">
    <cfRule type="expression" dxfId="19689" priority="5751">
      <formula>AND(AG85&gt;=79001,AG85&lt;79900)</formula>
    </cfRule>
    <cfRule type="expression" dxfId="19688" priority="5752" stopIfTrue="1">
      <formula>AND(AG85&gt;=70101,AG85&lt;=70301)</formula>
    </cfRule>
    <cfRule type="expression" dxfId="19687" priority="5753" stopIfTrue="1">
      <formula>AND(AG85&gt;70000,AG85&lt;70004)</formula>
    </cfRule>
    <cfRule type="expression" dxfId="19686" priority="5754" stopIfTrue="1">
      <formula>AND(AG85&gt;=70010,AG85&lt;=76000)</formula>
    </cfRule>
    <cfRule type="expression" dxfId="19685" priority="5755">
      <formula>AND(AG85&gt;70000,AG85&lt;70004)</formula>
    </cfRule>
    <cfRule type="expression" dxfId="19684" priority="5756" stopIfTrue="1">
      <formula>OR(AND(AG85&gt;=10000,AG85&lt;=56999),AND(AG85&gt;=57000,AG85&lt;=57999))</formula>
    </cfRule>
    <cfRule type="expression" dxfId="19683" priority="5757" stopIfTrue="1">
      <formula>AND(AG85&gt;=8000,AG85&lt;=9999)</formula>
    </cfRule>
    <cfRule type="expression" dxfId="19682" priority="5758" stopIfTrue="1">
      <formula>AND(AG85&gt;=78100,AG85&lt;=78199)</formula>
    </cfRule>
    <cfRule type="expression" dxfId="19681" priority="5759" stopIfTrue="1">
      <formula>AND(AG85&gt;=92000,AG85&lt;=98999)</formula>
    </cfRule>
    <cfRule type="expression" dxfId="19680" priority="5760" stopIfTrue="1">
      <formula>AND(AG85&gt;=78100,AG85&lt;=78199)</formula>
    </cfRule>
    <cfRule type="expression" dxfId="19679" priority="5761" stopIfTrue="1">
      <formula>AND(AG85&gt;=91000,AG85&lt;=91999)</formula>
    </cfRule>
  </conditionalFormatting>
  <conditionalFormatting sqref="AF85">
    <cfRule type="expression" dxfId="19678" priority="5740">
      <formula>AND(AG85&gt;=79001,AG85&lt;79900)</formula>
    </cfRule>
    <cfRule type="expression" dxfId="19677" priority="5741" stopIfTrue="1">
      <formula>AND(AG85&gt;=70101,AG85&lt;=70301)</formula>
    </cfRule>
    <cfRule type="expression" dxfId="19676" priority="5742" stopIfTrue="1">
      <formula>AND(AG85&gt;70000,AG85&lt;70004)</formula>
    </cfRule>
    <cfRule type="expression" dxfId="19675" priority="5743" stopIfTrue="1">
      <formula>AND(AG85&gt;=70010,AG85&lt;=76000)</formula>
    </cfRule>
    <cfRule type="expression" dxfId="19674" priority="5744">
      <formula>AND(AG85&gt;70000,AG85&lt;70004)</formula>
    </cfRule>
    <cfRule type="expression" dxfId="19673" priority="5745" stopIfTrue="1">
      <formula>OR(AND(AG85&gt;=10000,AG85&lt;=56999),AND(AG85&gt;=57000,AG85&lt;=57999))</formula>
    </cfRule>
    <cfRule type="expression" dxfId="19672" priority="5746" stopIfTrue="1">
      <formula>AND(AG85&gt;=8000,AG85&lt;=9999)</formula>
    </cfRule>
    <cfRule type="expression" dxfId="19671" priority="5747" stopIfTrue="1">
      <formula>AND(AG85&gt;=78100,AG85&lt;=78199)</formula>
    </cfRule>
    <cfRule type="expression" dxfId="19670" priority="5748" stopIfTrue="1">
      <formula>AND(AG85&gt;=92000,AG85&lt;=98999)</formula>
    </cfRule>
    <cfRule type="expression" dxfId="19669" priority="5749" stopIfTrue="1">
      <formula>AND(AG85&gt;=78100,AG85&lt;=78199)</formula>
    </cfRule>
    <cfRule type="expression" dxfId="19668" priority="5750" stopIfTrue="1">
      <formula>AND(AG85&gt;=91000,AG85&lt;=91999)</formula>
    </cfRule>
  </conditionalFormatting>
  <conditionalFormatting sqref="AF85">
    <cfRule type="expression" dxfId="19667" priority="5729">
      <formula>AND(AG85&gt;=79001,AG85&lt;79900)</formula>
    </cfRule>
    <cfRule type="expression" dxfId="19666" priority="5730" stopIfTrue="1">
      <formula>AND(AG85&gt;=70101,AG85&lt;=70301)</formula>
    </cfRule>
    <cfRule type="expression" dxfId="19665" priority="5731" stopIfTrue="1">
      <formula>AND(AG85&gt;70000,AG85&lt;70004)</formula>
    </cfRule>
    <cfRule type="expression" dxfId="19664" priority="5732" stopIfTrue="1">
      <formula>AND(AG85&gt;=70010,AG85&lt;=76000)</formula>
    </cfRule>
    <cfRule type="expression" dxfId="19663" priority="5733">
      <formula>AND(AG85&gt;70000,AG85&lt;70004)</formula>
    </cfRule>
    <cfRule type="expression" dxfId="19662" priority="5734" stopIfTrue="1">
      <formula>OR(AND(AG85&gt;=10000,AG85&lt;=56999),AND(AG85&gt;=57000,AG85&lt;=57999))</formula>
    </cfRule>
    <cfRule type="expression" dxfId="19661" priority="5735" stopIfTrue="1">
      <formula>AND(AG85&gt;=8000,AG85&lt;=9999)</formula>
    </cfRule>
    <cfRule type="expression" dxfId="19660" priority="5736" stopIfTrue="1">
      <formula>AND(AG85&gt;=78100,AG85&lt;=78199)</formula>
    </cfRule>
    <cfRule type="expression" dxfId="19659" priority="5737" stopIfTrue="1">
      <formula>AND(AG85&gt;=92000,AG85&lt;=98999)</formula>
    </cfRule>
    <cfRule type="expression" dxfId="19658" priority="5738" stopIfTrue="1">
      <formula>AND(AG85&gt;=78100,AG85&lt;=78199)</formula>
    </cfRule>
    <cfRule type="expression" dxfId="19657" priority="5739" stopIfTrue="1">
      <formula>AND(AG85&gt;=91000,AG85&lt;=91999)</formula>
    </cfRule>
  </conditionalFormatting>
  <conditionalFormatting sqref="X88">
    <cfRule type="expression" dxfId="19656" priority="5718">
      <formula>AND(Y88&gt;=79001,Y88&lt;79900)</formula>
    </cfRule>
    <cfRule type="expression" dxfId="19655" priority="5719" stopIfTrue="1">
      <formula>AND(Y88&gt;=70101,Y88&lt;=70301)</formula>
    </cfRule>
    <cfRule type="expression" dxfId="19654" priority="5720" stopIfTrue="1">
      <formula>AND(Y88&gt;70000,Y88&lt;70004)</formula>
    </cfRule>
    <cfRule type="expression" dxfId="19653" priority="5721" stopIfTrue="1">
      <formula>AND(Y88&gt;=70010,Y88&lt;=76000)</formula>
    </cfRule>
    <cfRule type="expression" dxfId="19652" priority="5722">
      <formula>AND(Y88&gt;70000,Y88&lt;70004)</formula>
    </cfRule>
    <cfRule type="expression" dxfId="19651" priority="5723" stopIfTrue="1">
      <formula>OR(AND(Y88&gt;=10000,Y88&lt;=56999),AND(Y88&gt;=57000,Y88&lt;=57999))</formula>
    </cfRule>
    <cfRule type="expression" dxfId="19650" priority="5724" stopIfTrue="1">
      <formula>AND(Y88&gt;=8000,Y88&lt;=9999)</formula>
    </cfRule>
    <cfRule type="expression" dxfId="19649" priority="5725" stopIfTrue="1">
      <formula>AND(Y88&gt;=78100,Y88&lt;=78199)</formula>
    </cfRule>
    <cfRule type="expression" dxfId="19648" priority="5726" stopIfTrue="1">
      <formula>AND(Y88&gt;=92000,Y88&lt;=98999)</formula>
    </cfRule>
    <cfRule type="expression" dxfId="19647" priority="5727" stopIfTrue="1">
      <formula>AND(Y88&gt;=78100,Y88&lt;=78199)</formula>
    </cfRule>
    <cfRule type="expression" dxfId="19646" priority="5728" stopIfTrue="1">
      <formula>AND(Y88&gt;=91000,Y88&lt;=91999)</formula>
    </cfRule>
  </conditionalFormatting>
  <conditionalFormatting sqref="X88">
    <cfRule type="expression" dxfId="19645" priority="5707">
      <formula>AND(Y88&gt;=79001,Y88&lt;79900)</formula>
    </cfRule>
    <cfRule type="expression" dxfId="19644" priority="5708" stopIfTrue="1">
      <formula>AND(Y88&gt;=70101,Y88&lt;=70301)</formula>
    </cfRule>
    <cfRule type="expression" dxfId="19643" priority="5709" stopIfTrue="1">
      <formula>AND(Y88&gt;70000,Y88&lt;70004)</formula>
    </cfRule>
    <cfRule type="expression" dxfId="19642" priority="5710" stopIfTrue="1">
      <formula>AND(Y88&gt;=70010,Y88&lt;=76000)</formula>
    </cfRule>
    <cfRule type="expression" dxfId="19641" priority="5711">
      <formula>AND(Y88&gt;70000,Y88&lt;70004)</formula>
    </cfRule>
    <cfRule type="expression" dxfId="19640" priority="5712" stopIfTrue="1">
      <formula>OR(AND(Y88&gt;=10000,Y88&lt;=56999),AND(Y88&gt;=57000,Y88&lt;=57999))</formula>
    </cfRule>
    <cfRule type="expression" dxfId="19639" priority="5713" stopIfTrue="1">
      <formula>AND(Y88&gt;=8000,Y88&lt;=9999)</formula>
    </cfRule>
    <cfRule type="expression" dxfId="19638" priority="5714" stopIfTrue="1">
      <formula>AND(Y88&gt;=78100,Y88&lt;=78199)</formula>
    </cfRule>
    <cfRule type="expression" dxfId="19637" priority="5715" stopIfTrue="1">
      <formula>AND(Y88&gt;=92000,Y88&lt;=98999)</formula>
    </cfRule>
    <cfRule type="expression" dxfId="19636" priority="5716" stopIfTrue="1">
      <formula>AND(Y88&gt;=78100,Y88&lt;=78199)</formula>
    </cfRule>
    <cfRule type="expression" dxfId="19635" priority="5717" stopIfTrue="1">
      <formula>AND(Y88&gt;=91000,Y88&lt;=91999)</formula>
    </cfRule>
  </conditionalFormatting>
  <conditionalFormatting sqref="X88">
    <cfRule type="expression" dxfId="19634" priority="5696">
      <formula>AND(Y88&gt;=79001,Y88&lt;79900)</formula>
    </cfRule>
    <cfRule type="expression" dxfId="19633" priority="5697" stopIfTrue="1">
      <formula>AND(Y88&gt;=70101,Y88&lt;=70301)</formula>
    </cfRule>
    <cfRule type="expression" dxfId="19632" priority="5698" stopIfTrue="1">
      <formula>AND(Y88&gt;70000,Y88&lt;70004)</formula>
    </cfRule>
    <cfRule type="expression" dxfId="19631" priority="5699" stopIfTrue="1">
      <formula>AND(Y88&gt;=70010,Y88&lt;=76000)</formula>
    </cfRule>
    <cfRule type="expression" dxfId="19630" priority="5700">
      <formula>AND(Y88&gt;70000,Y88&lt;70004)</formula>
    </cfRule>
    <cfRule type="expression" dxfId="19629" priority="5701" stopIfTrue="1">
      <formula>OR(AND(Y88&gt;=10000,Y88&lt;=56999),AND(Y88&gt;=57000,Y88&lt;=57999))</formula>
    </cfRule>
    <cfRule type="expression" dxfId="19628" priority="5702" stopIfTrue="1">
      <formula>AND(Y88&gt;=8000,Y88&lt;=9999)</formula>
    </cfRule>
    <cfRule type="expression" dxfId="19627" priority="5703" stopIfTrue="1">
      <formula>AND(Y88&gt;=78100,Y88&lt;=78199)</formula>
    </cfRule>
    <cfRule type="expression" dxfId="19626" priority="5704" stopIfTrue="1">
      <formula>AND(Y88&gt;=92000,Y88&lt;=98999)</formula>
    </cfRule>
    <cfRule type="expression" dxfId="19625" priority="5705" stopIfTrue="1">
      <formula>AND(Y88&gt;=78100,Y88&lt;=78199)</formula>
    </cfRule>
    <cfRule type="expression" dxfId="19624" priority="5706" stopIfTrue="1">
      <formula>AND(Y88&gt;=91000,Y88&lt;=91999)</formula>
    </cfRule>
  </conditionalFormatting>
  <conditionalFormatting sqref="X88">
    <cfRule type="expression" dxfId="19623" priority="5685">
      <formula>AND(Y88&gt;=79001,Y88&lt;79900)</formula>
    </cfRule>
    <cfRule type="expression" dxfId="19622" priority="5686" stopIfTrue="1">
      <formula>AND(Y88&gt;=70101,Y88&lt;=70301)</formula>
    </cfRule>
    <cfRule type="expression" dxfId="19621" priority="5687" stopIfTrue="1">
      <formula>AND(Y88&gt;70000,Y88&lt;70004)</formula>
    </cfRule>
    <cfRule type="expression" dxfId="19620" priority="5688" stopIfTrue="1">
      <formula>AND(Y88&gt;=70010,Y88&lt;=76000)</formula>
    </cfRule>
    <cfRule type="expression" dxfId="19619" priority="5689">
      <formula>AND(Y88&gt;70000,Y88&lt;70004)</formula>
    </cfRule>
    <cfRule type="expression" dxfId="19618" priority="5690" stopIfTrue="1">
      <formula>OR(AND(Y88&gt;=10000,Y88&lt;=56999),AND(Y88&gt;=57000,Y88&lt;=57999))</formula>
    </cfRule>
    <cfRule type="expression" dxfId="19617" priority="5691" stopIfTrue="1">
      <formula>AND(Y88&gt;=8000,Y88&lt;=9999)</formula>
    </cfRule>
    <cfRule type="expression" dxfId="19616" priority="5692" stopIfTrue="1">
      <formula>AND(Y88&gt;=78100,Y88&lt;=78199)</formula>
    </cfRule>
    <cfRule type="expression" dxfId="19615" priority="5693" stopIfTrue="1">
      <formula>AND(Y88&gt;=92000,Y88&lt;=98999)</formula>
    </cfRule>
    <cfRule type="expression" dxfId="19614" priority="5694" stopIfTrue="1">
      <formula>AND(Y88&gt;=78100,Y88&lt;=78199)</formula>
    </cfRule>
    <cfRule type="expression" dxfId="19613" priority="5695" stopIfTrue="1">
      <formula>AND(Y88&gt;=91000,Y88&lt;=91999)</formula>
    </cfRule>
  </conditionalFormatting>
  <conditionalFormatting sqref="AB88">
    <cfRule type="expression" dxfId="19612" priority="5674">
      <formula>AND(AC88&gt;=79001,AC88&lt;79900)</formula>
    </cfRule>
    <cfRule type="expression" dxfId="19611" priority="5675" stopIfTrue="1">
      <formula>AND(AC88&gt;=70101,AC88&lt;=70301)</formula>
    </cfRule>
    <cfRule type="expression" dxfId="19610" priority="5676" stopIfTrue="1">
      <formula>AND(AC88&gt;70000,AC88&lt;70004)</formula>
    </cfRule>
    <cfRule type="expression" dxfId="19609" priority="5677" stopIfTrue="1">
      <formula>AND(AC88&gt;=70010,AC88&lt;=76000)</formula>
    </cfRule>
    <cfRule type="expression" dxfId="19608" priority="5678">
      <formula>AND(AC88&gt;70000,AC88&lt;70004)</formula>
    </cfRule>
    <cfRule type="expression" dxfId="19607" priority="5679" stopIfTrue="1">
      <formula>OR(AND(AC88&gt;=10000,AC88&lt;=56999),AND(AC88&gt;=57000,AC88&lt;=57999))</formula>
    </cfRule>
    <cfRule type="expression" dxfId="19606" priority="5680" stopIfTrue="1">
      <formula>AND(AC88&gt;=8000,AC88&lt;=9999)</formula>
    </cfRule>
    <cfRule type="expression" dxfId="19605" priority="5681" stopIfTrue="1">
      <formula>AND(AC88&gt;=78100,AC88&lt;=78199)</formula>
    </cfRule>
    <cfRule type="expression" dxfId="19604" priority="5682" stopIfTrue="1">
      <formula>AND(AC88&gt;=92000,AC88&lt;=98999)</formula>
    </cfRule>
    <cfRule type="expression" dxfId="19603" priority="5683" stopIfTrue="1">
      <formula>AND(AC88&gt;=78100,AC88&lt;=78199)</formula>
    </cfRule>
    <cfRule type="expression" dxfId="19602" priority="5684" stopIfTrue="1">
      <formula>AND(AC88&gt;=91000,AC88&lt;=91999)</formula>
    </cfRule>
  </conditionalFormatting>
  <conditionalFormatting sqref="AB88">
    <cfRule type="expression" dxfId="19601" priority="5663">
      <formula>AND(AC88&gt;=79001,AC88&lt;79900)</formula>
    </cfRule>
    <cfRule type="expression" dxfId="19600" priority="5664" stopIfTrue="1">
      <formula>AND(AC88&gt;=70101,AC88&lt;=70301)</formula>
    </cfRule>
    <cfRule type="expression" dxfId="19599" priority="5665" stopIfTrue="1">
      <formula>AND(AC88&gt;70000,AC88&lt;70004)</formula>
    </cfRule>
    <cfRule type="expression" dxfId="19598" priority="5666" stopIfTrue="1">
      <formula>AND(AC88&gt;=70010,AC88&lt;=76000)</formula>
    </cfRule>
    <cfRule type="expression" dxfId="19597" priority="5667">
      <formula>AND(AC88&gt;70000,AC88&lt;70004)</formula>
    </cfRule>
    <cfRule type="expression" dxfId="19596" priority="5668" stopIfTrue="1">
      <formula>OR(AND(AC88&gt;=10000,AC88&lt;=56999),AND(AC88&gt;=57000,AC88&lt;=57999))</formula>
    </cfRule>
    <cfRule type="expression" dxfId="19595" priority="5669" stopIfTrue="1">
      <formula>AND(AC88&gt;=8000,AC88&lt;=9999)</formula>
    </cfRule>
    <cfRule type="expression" dxfId="19594" priority="5670" stopIfTrue="1">
      <formula>AND(AC88&gt;=78100,AC88&lt;=78199)</formula>
    </cfRule>
    <cfRule type="expression" dxfId="19593" priority="5671" stopIfTrue="1">
      <formula>AND(AC88&gt;=92000,AC88&lt;=98999)</formula>
    </cfRule>
    <cfRule type="expression" dxfId="19592" priority="5672" stopIfTrue="1">
      <formula>AND(AC88&gt;=78100,AC88&lt;=78199)</formula>
    </cfRule>
    <cfRule type="expression" dxfId="19591" priority="5673" stopIfTrue="1">
      <formula>AND(AC88&gt;=91000,AC88&lt;=91999)</formula>
    </cfRule>
  </conditionalFormatting>
  <conditionalFormatting sqref="AB88">
    <cfRule type="expression" dxfId="19590" priority="5652">
      <formula>AND(AC88&gt;=79001,AC88&lt;79900)</formula>
    </cfRule>
    <cfRule type="expression" dxfId="19589" priority="5653" stopIfTrue="1">
      <formula>AND(AC88&gt;=70101,AC88&lt;=70301)</formula>
    </cfRule>
    <cfRule type="expression" dxfId="19588" priority="5654" stopIfTrue="1">
      <formula>AND(AC88&gt;70000,AC88&lt;70004)</formula>
    </cfRule>
    <cfRule type="expression" dxfId="19587" priority="5655" stopIfTrue="1">
      <formula>AND(AC88&gt;=70010,AC88&lt;=76000)</formula>
    </cfRule>
    <cfRule type="expression" dxfId="19586" priority="5656">
      <formula>AND(AC88&gt;70000,AC88&lt;70004)</formula>
    </cfRule>
    <cfRule type="expression" dxfId="19585" priority="5657" stopIfTrue="1">
      <formula>OR(AND(AC88&gt;=10000,AC88&lt;=56999),AND(AC88&gt;=57000,AC88&lt;=57999))</formula>
    </cfRule>
    <cfRule type="expression" dxfId="19584" priority="5658" stopIfTrue="1">
      <formula>AND(AC88&gt;=8000,AC88&lt;=9999)</formula>
    </cfRule>
    <cfRule type="expression" dxfId="19583" priority="5659" stopIfTrue="1">
      <formula>AND(AC88&gt;=78100,AC88&lt;=78199)</formula>
    </cfRule>
    <cfRule type="expression" dxfId="19582" priority="5660" stopIfTrue="1">
      <formula>AND(AC88&gt;=92000,AC88&lt;=98999)</formula>
    </cfRule>
    <cfRule type="expression" dxfId="19581" priority="5661" stopIfTrue="1">
      <formula>AND(AC88&gt;=78100,AC88&lt;=78199)</formula>
    </cfRule>
    <cfRule type="expression" dxfId="19580" priority="5662" stopIfTrue="1">
      <formula>AND(AC88&gt;=91000,AC88&lt;=91999)</formula>
    </cfRule>
  </conditionalFormatting>
  <conditionalFormatting sqref="AB88">
    <cfRule type="expression" dxfId="19579" priority="5641">
      <formula>AND(AC88&gt;=79001,AC88&lt;79900)</formula>
    </cfRule>
    <cfRule type="expression" dxfId="19578" priority="5642" stopIfTrue="1">
      <formula>AND(AC88&gt;=70101,AC88&lt;=70301)</formula>
    </cfRule>
    <cfRule type="expression" dxfId="19577" priority="5643" stopIfTrue="1">
      <formula>AND(AC88&gt;70000,AC88&lt;70004)</formula>
    </cfRule>
    <cfRule type="expression" dxfId="19576" priority="5644" stopIfTrue="1">
      <formula>AND(AC88&gt;=70010,AC88&lt;=76000)</formula>
    </cfRule>
    <cfRule type="expression" dxfId="19575" priority="5645">
      <formula>AND(AC88&gt;70000,AC88&lt;70004)</formula>
    </cfRule>
    <cfRule type="expression" dxfId="19574" priority="5646" stopIfTrue="1">
      <formula>OR(AND(AC88&gt;=10000,AC88&lt;=56999),AND(AC88&gt;=57000,AC88&lt;=57999))</formula>
    </cfRule>
    <cfRule type="expression" dxfId="19573" priority="5647" stopIfTrue="1">
      <formula>AND(AC88&gt;=8000,AC88&lt;=9999)</formula>
    </cfRule>
    <cfRule type="expression" dxfId="19572" priority="5648" stopIfTrue="1">
      <formula>AND(AC88&gt;=78100,AC88&lt;=78199)</formula>
    </cfRule>
    <cfRule type="expression" dxfId="19571" priority="5649" stopIfTrue="1">
      <formula>AND(AC88&gt;=92000,AC88&lt;=98999)</formula>
    </cfRule>
    <cfRule type="expression" dxfId="19570" priority="5650" stopIfTrue="1">
      <formula>AND(AC88&gt;=78100,AC88&lt;=78199)</formula>
    </cfRule>
    <cfRule type="expression" dxfId="19569" priority="5651" stopIfTrue="1">
      <formula>AND(AC88&gt;=91000,AC88&lt;=91999)</formula>
    </cfRule>
  </conditionalFormatting>
  <conditionalFormatting sqref="AF88">
    <cfRule type="expression" dxfId="19568" priority="5630">
      <formula>AND(AG88&gt;=79001,AG88&lt;79900)</formula>
    </cfRule>
    <cfRule type="expression" dxfId="19567" priority="5631" stopIfTrue="1">
      <formula>AND(AG88&gt;=70101,AG88&lt;=70301)</formula>
    </cfRule>
    <cfRule type="expression" dxfId="19566" priority="5632" stopIfTrue="1">
      <formula>AND(AG88&gt;70000,AG88&lt;70004)</formula>
    </cfRule>
    <cfRule type="expression" dxfId="19565" priority="5633" stopIfTrue="1">
      <formula>AND(AG88&gt;=70010,AG88&lt;=76000)</formula>
    </cfRule>
    <cfRule type="expression" dxfId="19564" priority="5634">
      <formula>AND(AG88&gt;70000,AG88&lt;70004)</formula>
    </cfRule>
    <cfRule type="expression" dxfId="19563" priority="5635" stopIfTrue="1">
      <formula>OR(AND(AG88&gt;=10000,AG88&lt;=56999),AND(AG88&gt;=57000,AG88&lt;=57999))</formula>
    </cfRule>
    <cfRule type="expression" dxfId="19562" priority="5636" stopIfTrue="1">
      <formula>AND(AG88&gt;=8000,AG88&lt;=9999)</formula>
    </cfRule>
    <cfRule type="expression" dxfId="19561" priority="5637" stopIfTrue="1">
      <formula>AND(AG88&gt;=78100,AG88&lt;=78199)</formula>
    </cfRule>
    <cfRule type="expression" dxfId="19560" priority="5638" stopIfTrue="1">
      <formula>AND(AG88&gt;=92000,AG88&lt;=98999)</formula>
    </cfRule>
    <cfRule type="expression" dxfId="19559" priority="5639" stopIfTrue="1">
      <formula>AND(AG88&gt;=78100,AG88&lt;=78199)</formula>
    </cfRule>
    <cfRule type="expression" dxfId="19558" priority="5640" stopIfTrue="1">
      <formula>AND(AG88&gt;=91000,AG88&lt;=91999)</formula>
    </cfRule>
  </conditionalFormatting>
  <conditionalFormatting sqref="AF88">
    <cfRule type="expression" dxfId="19557" priority="5619">
      <formula>AND(AG88&gt;=79001,AG88&lt;79900)</formula>
    </cfRule>
    <cfRule type="expression" dxfId="19556" priority="5620" stopIfTrue="1">
      <formula>AND(AG88&gt;=70101,AG88&lt;=70301)</formula>
    </cfRule>
    <cfRule type="expression" dxfId="19555" priority="5621" stopIfTrue="1">
      <formula>AND(AG88&gt;70000,AG88&lt;70004)</formula>
    </cfRule>
    <cfRule type="expression" dxfId="19554" priority="5622" stopIfTrue="1">
      <formula>AND(AG88&gt;=70010,AG88&lt;=76000)</formula>
    </cfRule>
    <cfRule type="expression" dxfId="19553" priority="5623">
      <formula>AND(AG88&gt;70000,AG88&lt;70004)</formula>
    </cfRule>
    <cfRule type="expression" dxfId="19552" priority="5624" stopIfTrue="1">
      <formula>OR(AND(AG88&gt;=10000,AG88&lt;=56999),AND(AG88&gt;=57000,AG88&lt;=57999))</formula>
    </cfRule>
    <cfRule type="expression" dxfId="19551" priority="5625" stopIfTrue="1">
      <formula>AND(AG88&gt;=8000,AG88&lt;=9999)</formula>
    </cfRule>
    <cfRule type="expression" dxfId="19550" priority="5626" stopIfTrue="1">
      <formula>AND(AG88&gt;=78100,AG88&lt;=78199)</formula>
    </cfRule>
    <cfRule type="expression" dxfId="19549" priority="5627" stopIfTrue="1">
      <formula>AND(AG88&gt;=92000,AG88&lt;=98999)</formula>
    </cfRule>
    <cfRule type="expression" dxfId="19548" priority="5628" stopIfTrue="1">
      <formula>AND(AG88&gt;=78100,AG88&lt;=78199)</formula>
    </cfRule>
    <cfRule type="expression" dxfId="19547" priority="5629" stopIfTrue="1">
      <formula>AND(AG88&gt;=91000,AG88&lt;=91999)</formula>
    </cfRule>
  </conditionalFormatting>
  <conditionalFormatting sqref="AF88">
    <cfRule type="expression" dxfId="19546" priority="5608">
      <formula>AND(AG88&gt;=79001,AG88&lt;79900)</formula>
    </cfRule>
    <cfRule type="expression" dxfId="19545" priority="5609" stopIfTrue="1">
      <formula>AND(AG88&gt;=70101,AG88&lt;=70301)</formula>
    </cfRule>
    <cfRule type="expression" dxfId="19544" priority="5610" stopIfTrue="1">
      <formula>AND(AG88&gt;70000,AG88&lt;70004)</formula>
    </cfRule>
    <cfRule type="expression" dxfId="19543" priority="5611" stopIfTrue="1">
      <formula>AND(AG88&gt;=70010,AG88&lt;=76000)</formula>
    </cfRule>
    <cfRule type="expression" dxfId="19542" priority="5612">
      <formula>AND(AG88&gt;70000,AG88&lt;70004)</formula>
    </cfRule>
    <cfRule type="expression" dxfId="19541" priority="5613" stopIfTrue="1">
      <formula>OR(AND(AG88&gt;=10000,AG88&lt;=56999),AND(AG88&gt;=57000,AG88&lt;=57999))</formula>
    </cfRule>
    <cfRule type="expression" dxfId="19540" priority="5614" stopIfTrue="1">
      <formula>AND(AG88&gt;=8000,AG88&lt;=9999)</formula>
    </cfRule>
    <cfRule type="expression" dxfId="19539" priority="5615" stopIfTrue="1">
      <formula>AND(AG88&gt;=78100,AG88&lt;=78199)</formula>
    </cfRule>
    <cfRule type="expression" dxfId="19538" priority="5616" stopIfTrue="1">
      <formula>AND(AG88&gt;=92000,AG88&lt;=98999)</formula>
    </cfRule>
    <cfRule type="expression" dxfId="19537" priority="5617" stopIfTrue="1">
      <formula>AND(AG88&gt;=78100,AG88&lt;=78199)</formula>
    </cfRule>
    <cfRule type="expression" dxfId="19536" priority="5618" stopIfTrue="1">
      <formula>AND(AG88&gt;=91000,AG88&lt;=91999)</formula>
    </cfRule>
  </conditionalFormatting>
  <conditionalFormatting sqref="AF88">
    <cfRule type="expression" dxfId="19535" priority="5597">
      <formula>AND(AG88&gt;=79001,AG88&lt;79900)</formula>
    </cfRule>
    <cfRule type="expression" dxfId="19534" priority="5598" stopIfTrue="1">
      <formula>AND(AG88&gt;=70101,AG88&lt;=70301)</formula>
    </cfRule>
    <cfRule type="expression" dxfId="19533" priority="5599" stopIfTrue="1">
      <formula>AND(AG88&gt;70000,AG88&lt;70004)</formula>
    </cfRule>
    <cfRule type="expression" dxfId="19532" priority="5600" stopIfTrue="1">
      <formula>AND(AG88&gt;=70010,AG88&lt;=76000)</formula>
    </cfRule>
    <cfRule type="expression" dxfId="19531" priority="5601">
      <formula>AND(AG88&gt;70000,AG88&lt;70004)</formula>
    </cfRule>
    <cfRule type="expression" dxfId="19530" priority="5602" stopIfTrue="1">
      <formula>OR(AND(AG88&gt;=10000,AG88&lt;=56999),AND(AG88&gt;=57000,AG88&lt;=57999))</formula>
    </cfRule>
    <cfRule type="expression" dxfId="19529" priority="5603" stopIfTrue="1">
      <formula>AND(AG88&gt;=8000,AG88&lt;=9999)</formula>
    </cfRule>
    <cfRule type="expression" dxfId="19528" priority="5604" stopIfTrue="1">
      <formula>AND(AG88&gt;=78100,AG88&lt;=78199)</formula>
    </cfRule>
    <cfRule type="expression" dxfId="19527" priority="5605" stopIfTrue="1">
      <formula>AND(AG88&gt;=92000,AG88&lt;=98999)</formula>
    </cfRule>
    <cfRule type="expression" dxfId="19526" priority="5606" stopIfTrue="1">
      <formula>AND(AG88&gt;=78100,AG88&lt;=78199)</formula>
    </cfRule>
    <cfRule type="expression" dxfId="19525" priority="5607" stopIfTrue="1">
      <formula>AND(AG88&gt;=91000,AG88&lt;=91999)</formula>
    </cfRule>
  </conditionalFormatting>
  <conditionalFormatting sqref="X91">
    <cfRule type="expression" dxfId="19524" priority="5586">
      <formula>AND(Y91&gt;=79001,Y91&lt;79900)</formula>
    </cfRule>
    <cfRule type="expression" dxfId="19523" priority="5587" stopIfTrue="1">
      <formula>AND(Y91&gt;=70101,Y91&lt;=70301)</formula>
    </cfRule>
    <cfRule type="expression" dxfId="19522" priority="5588" stopIfTrue="1">
      <formula>AND(Y91&gt;70000,Y91&lt;70004)</formula>
    </cfRule>
    <cfRule type="expression" dxfId="19521" priority="5589" stopIfTrue="1">
      <formula>AND(Y91&gt;=70010,Y91&lt;=76000)</formula>
    </cfRule>
    <cfRule type="expression" dxfId="19520" priority="5590">
      <formula>AND(Y91&gt;70000,Y91&lt;70004)</formula>
    </cfRule>
    <cfRule type="expression" dxfId="19519" priority="5591" stopIfTrue="1">
      <formula>OR(AND(Y91&gt;=10000,Y91&lt;=56999),AND(Y91&gt;=57000,Y91&lt;=57999))</formula>
    </cfRule>
    <cfRule type="expression" dxfId="19518" priority="5592" stopIfTrue="1">
      <formula>AND(Y91&gt;=8000,Y91&lt;=9999)</formula>
    </cfRule>
    <cfRule type="expression" dxfId="19517" priority="5593" stopIfTrue="1">
      <formula>AND(Y91&gt;=78100,Y91&lt;=78199)</formula>
    </cfRule>
    <cfRule type="expression" dxfId="19516" priority="5594" stopIfTrue="1">
      <formula>AND(Y91&gt;=92000,Y91&lt;=98999)</formula>
    </cfRule>
    <cfRule type="expression" dxfId="19515" priority="5595" stopIfTrue="1">
      <formula>AND(Y91&gt;=78100,Y91&lt;=78199)</formula>
    </cfRule>
    <cfRule type="expression" dxfId="19514" priority="5596" stopIfTrue="1">
      <formula>AND(Y91&gt;=91000,Y91&lt;=91999)</formula>
    </cfRule>
  </conditionalFormatting>
  <conditionalFormatting sqref="X91">
    <cfRule type="expression" dxfId="19513" priority="5575">
      <formula>AND(Y91&gt;=79001,Y91&lt;79900)</formula>
    </cfRule>
    <cfRule type="expression" dxfId="19512" priority="5576" stopIfTrue="1">
      <formula>AND(Y91&gt;=70101,Y91&lt;=70301)</formula>
    </cfRule>
    <cfRule type="expression" dxfId="19511" priority="5577" stopIfTrue="1">
      <formula>AND(Y91&gt;70000,Y91&lt;70004)</formula>
    </cfRule>
    <cfRule type="expression" dxfId="19510" priority="5578" stopIfTrue="1">
      <formula>AND(Y91&gt;=70010,Y91&lt;=76000)</formula>
    </cfRule>
    <cfRule type="expression" dxfId="19509" priority="5579">
      <formula>AND(Y91&gt;70000,Y91&lt;70004)</formula>
    </cfRule>
    <cfRule type="expression" dxfId="19508" priority="5580" stopIfTrue="1">
      <formula>OR(AND(Y91&gt;=10000,Y91&lt;=56999),AND(Y91&gt;=57000,Y91&lt;=57999))</formula>
    </cfRule>
    <cfRule type="expression" dxfId="19507" priority="5581" stopIfTrue="1">
      <formula>AND(Y91&gt;=8000,Y91&lt;=9999)</formula>
    </cfRule>
    <cfRule type="expression" dxfId="19506" priority="5582" stopIfTrue="1">
      <formula>AND(Y91&gt;=78100,Y91&lt;=78199)</formula>
    </cfRule>
    <cfRule type="expression" dxfId="19505" priority="5583" stopIfTrue="1">
      <formula>AND(Y91&gt;=92000,Y91&lt;=98999)</formula>
    </cfRule>
    <cfRule type="expression" dxfId="19504" priority="5584" stopIfTrue="1">
      <formula>AND(Y91&gt;=78100,Y91&lt;=78199)</formula>
    </cfRule>
    <cfRule type="expression" dxfId="19503" priority="5585" stopIfTrue="1">
      <formula>AND(Y91&gt;=91000,Y91&lt;=91999)</formula>
    </cfRule>
  </conditionalFormatting>
  <conditionalFormatting sqref="X91">
    <cfRule type="expression" dxfId="19502" priority="5564">
      <formula>AND(Y91&gt;=79001,Y91&lt;79900)</formula>
    </cfRule>
    <cfRule type="expression" dxfId="19501" priority="5565" stopIfTrue="1">
      <formula>AND(Y91&gt;=70101,Y91&lt;=70301)</formula>
    </cfRule>
    <cfRule type="expression" dxfId="19500" priority="5566" stopIfTrue="1">
      <formula>AND(Y91&gt;70000,Y91&lt;70004)</formula>
    </cfRule>
    <cfRule type="expression" dxfId="19499" priority="5567" stopIfTrue="1">
      <formula>AND(Y91&gt;=70010,Y91&lt;=76000)</formula>
    </cfRule>
    <cfRule type="expression" dxfId="19498" priority="5568">
      <formula>AND(Y91&gt;70000,Y91&lt;70004)</formula>
    </cfRule>
    <cfRule type="expression" dxfId="19497" priority="5569" stopIfTrue="1">
      <formula>OR(AND(Y91&gt;=10000,Y91&lt;=56999),AND(Y91&gt;=57000,Y91&lt;=57999))</formula>
    </cfRule>
    <cfRule type="expression" dxfId="19496" priority="5570" stopIfTrue="1">
      <formula>AND(Y91&gt;=8000,Y91&lt;=9999)</formula>
    </cfRule>
    <cfRule type="expression" dxfId="19495" priority="5571" stopIfTrue="1">
      <formula>AND(Y91&gt;=78100,Y91&lt;=78199)</formula>
    </cfRule>
    <cfRule type="expression" dxfId="19494" priority="5572" stopIfTrue="1">
      <formula>AND(Y91&gt;=92000,Y91&lt;=98999)</formula>
    </cfRule>
    <cfRule type="expression" dxfId="19493" priority="5573" stopIfTrue="1">
      <formula>AND(Y91&gt;=78100,Y91&lt;=78199)</formula>
    </cfRule>
    <cfRule type="expression" dxfId="19492" priority="5574" stopIfTrue="1">
      <formula>AND(Y91&gt;=91000,Y91&lt;=91999)</formula>
    </cfRule>
  </conditionalFormatting>
  <conditionalFormatting sqref="X91">
    <cfRule type="expression" dxfId="19491" priority="5553">
      <formula>AND(Y91&gt;=79001,Y91&lt;79900)</formula>
    </cfRule>
    <cfRule type="expression" dxfId="19490" priority="5554" stopIfTrue="1">
      <formula>AND(Y91&gt;=70101,Y91&lt;=70301)</formula>
    </cfRule>
    <cfRule type="expression" dxfId="19489" priority="5555" stopIfTrue="1">
      <formula>AND(Y91&gt;70000,Y91&lt;70004)</formula>
    </cfRule>
    <cfRule type="expression" dxfId="19488" priority="5556" stopIfTrue="1">
      <formula>AND(Y91&gt;=70010,Y91&lt;=76000)</formula>
    </cfRule>
    <cfRule type="expression" dxfId="19487" priority="5557">
      <formula>AND(Y91&gt;70000,Y91&lt;70004)</formula>
    </cfRule>
    <cfRule type="expression" dxfId="19486" priority="5558" stopIfTrue="1">
      <formula>OR(AND(Y91&gt;=10000,Y91&lt;=56999),AND(Y91&gt;=57000,Y91&lt;=57999))</formula>
    </cfRule>
    <cfRule type="expression" dxfId="19485" priority="5559" stopIfTrue="1">
      <formula>AND(Y91&gt;=8000,Y91&lt;=9999)</formula>
    </cfRule>
    <cfRule type="expression" dxfId="19484" priority="5560" stopIfTrue="1">
      <formula>AND(Y91&gt;=78100,Y91&lt;=78199)</formula>
    </cfRule>
    <cfRule type="expression" dxfId="19483" priority="5561" stopIfTrue="1">
      <formula>AND(Y91&gt;=92000,Y91&lt;=98999)</formula>
    </cfRule>
    <cfRule type="expression" dxfId="19482" priority="5562" stopIfTrue="1">
      <formula>AND(Y91&gt;=78100,Y91&lt;=78199)</formula>
    </cfRule>
    <cfRule type="expression" dxfId="19481" priority="5563" stopIfTrue="1">
      <formula>AND(Y91&gt;=91000,Y91&lt;=91999)</formula>
    </cfRule>
  </conditionalFormatting>
  <conditionalFormatting sqref="AB91">
    <cfRule type="expression" dxfId="19480" priority="5542">
      <formula>AND(AC91&gt;=79001,AC91&lt;79900)</formula>
    </cfRule>
    <cfRule type="expression" dxfId="19479" priority="5543" stopIfTrue="1">
      <formula>AND(AC91&gt;=70101,AC91&lt;=70301)</formula>
    </cfRule>
    <cfRule type="expression" dxfId="19478" priority="5544" stopIfTrue="1">
      <formula>AND(AC91&gt;70000,AC91&lt;70004)</formula>
    </cfRule>
    <cfRule type="expression" dxfId="19477" priority="5545" stopIfTrue="1">
      <formula>AND(AC91&gt;=70010,AC91&lt;=76000)</formula>
    </cfRule>
    <cfRule type="expression" dxfId="19476" priority="5546">
      <formula>AND(AC91&gt;70000,AC91&lt;70004)</formula>
    </cfRule>
    <cfRule type="expression" dxfId="19475" priority="5547" stopIfTrue="1">
      <formula>OR(AND(AC91&gt;=10000,AC91&lt;=56999),AND(AC91&gt;=57000,AC91&lt;=57999))</formula>
    </cfRule>
    <cfRule type="expression" dxfId="19474" priority="5548" stopIfTrue="1">
      <formula>AND(AC91&gt;=8000,AC91&lt;=9999)</formula>
    </cfRule>
    <cfRule type="expression" dxfId="19473" priority="5549" stopIfTrue="1">
      <formula>AND(AC91&gt;=78100,AC91&lt;=78199)</formula>
    </cfRule>
    <cfRule type="expression" dxfId="19472" priority="5550" stopIfTrue="1">
      <formula>AND(AC91&gt;=92000,AC91&lt;=98999)</formula>
    </cfRule>
    <cfRule type="expression" dxfId="19471" priority="5551" stopIfTrue="1">
      <formula>AND(AC91&gt;=78100,AC91&lt;=78199)</formula>
    </cfRule>
    <cfRule type="expression" dxfId="19470" priority="5552" stopIfTrue="1">
      <formula>AND(AC91&gt;=91000,AC91&lt;=91999)</formula>
    </cfRule>
  </conditionalFormatting>
  <conditionalFormatting sqref="AB91">
    <cfRule type="expression" dxfId="19469" priority="5531">
      <formula>AND(AC91&gt;=79001,AC91&lt;79900)</formula>
    </cfRule>
    <cfRule type="expression" dxfId="19468" priority="5532" stopIfTrue="1">
      <formula>AND(AC91&gt;=70101,AC91&lt;=70301)</formula>
    </cfRule>
    <cfRule type="expression" dxfId="19467" priority="5533" stopIfTrue="1">
      <formula>AND(AC91&gt;70000,AC91&lt;70004)</formula>
    </cfRule>
    <cfRule type="expression" dxfId="19466" priority="5534" stopIfTrue="1">
      <formula>AND(AC91&gt;=70010,AC91&lt;=76000)</formula>
    </cfRule>
    <cfRule type="expression" dxfId="19465" priority="5535">
      <formula>AND(AC91&gt;70000,AC91&lt;70004)</formula>
    </cfRule>
    <cfRule type="expression" dxfId="19464" priority="5536" stopIfTrue="1">
      <formula>OR(AND(AC91&gt;=10000,AC91&lt;=56999),AND(AC91&gt;=57000,AC91&lt;=57999))</formula>
    </cfRule>
    <cfRule type="expression" dxfId="19463" priority="5537" stopIfTrue="1">
      <formula>AND(AC91&gt;=8000,AC91&lt;=9999)</formula>
    </cfRule>
    <cfRule type="expression" dxfId="19462" priority="5538" stopIfTrue="1">
      <formula>AND(AC91&gt;=78100,AC91&lt;=78199)</formula>
    </cfRule>
    <cfRule type="expression" dxfId="19461" priority="5539" stopIfTrue="1">
      <formula>AND(AC91&gt;=92000,AC91&lt;=98999)</formula>
    </cfRule>
    <cfRule type="expression" dxfId="19460" priority="5540" stopIfTrue="1">
      <formula>AND(AC91&gt;=78100,AC91&lt;=78199)</formula>
    </cfRule>
    <cfRule type="expression" dxfId="19459" priority="5541" stopIfTrue="1">
      <formula>AND(AC91&gt;=91000,AC91&lt;=91999)</formula>
    </cfRule>
  </conditionalFormatting>
  <conditionalFormatting sqref="AB91">
    <cfRule type="expression" dxfId="19458" priority="5520">
      <formula>AND(AC91&gt;=79001,AC91&lt;79900)</formula>
    </cfRule>
    <cfRule type="expression" dxfId="19457" priority="5521" stopIfTrue="1">
      <formula>AND(AC91&gt;=70101,AC91&lt;=70301)</formula>
    </cfRule>
    <cfRule type="expression" dxfId="19456" priority="5522" stopIfTrue="1">
      <formula>AND(AC91&gt;70000,AC91&lt;70004)</formula>
    </cfRule>
    <cfRule type="expression" dxfId="19455" priority="5523" stopIfTrue="1">
      <formula>AND(AC91&gt;=70010,AC91&lt;=76000)</formula>
    </cfRule>
    <cfRule type="expression" dxfId="19454" priority="5524">
      <formula>AND(AC91&gt;70000,AC91&lt;70004)</formula>
    </cfRule>
    <cfRule type="expression" dxfId="19453" priority="5525" stopIfTrue="1">
      <formula>OR(AND(AC91&gt;=10000,AC91&lt;=56999),AND(AC91&gt;=57000,AC91&lt;=57999))</formula>
    </cfRule>
    <cfRule type="expression" dxfId="19452" priority="5526" stopIfTrue="1">
      <formula>AND(AC91&gt;=8000,AC91&lt;=9999)</formula>
    </cfRule>
    <cfRule type="expression" dxfId="19451" priority="5527" stopIfTrue="1">
      <formula>AND(AC91&gt;=78100,AC91&lt;=78199)</formula>
    </cfRule>
    <cfRule type="expression" dxfId="19450" priority="5528" stopIfTrue="1">
      <formula>AND(AC91&gt;=92000,AC91&lt;=98999)</formula>
    </cfRule>
    <cfRule type="expression" dxfId="19449" priority="5529" stopIfTrue="1">
      <formula>AND(AC91&gt;=78100,AC91&lt;=78199)</formula>
    </cfRule>
    <cfRule type="expression" dxfId="19448" priority="5530" stopIfTrue="1">
      <formula>AND(AC91&gt;=91000,AC91&lt;=91999)</formula>
    </cfRule>
  </conditionalFormatting>
  <conditionalFormatting sqref="AB91">
    <cfRule type="expression" dxfId="19447" priority="5509">
      <formula>AND(AC91&gt;=79001,AC91&lt;79900)</formula>
    </cfRule>
    <cfRule type="expression" dxfId="19446" priority="5510" stopIfTrue="1">
      <formula>AND(AC91&gt;=70101,AC91&lt;=70301)</formula>
    </cfRule>
    <cfRule type="expression" dxfId="19445" priority="5511" stopIfTrue="1">
      <formula>AND(AC91&gt;70000,AC91&lt;70004)</formula>
    </cfRule>
    <cfRule type="expression" dxfId="19444" priority="5512" stopIfTrue="1">
      <formula>AND(AC91&gt;=70010,AC91&lt;=76000)</formula>
    </cfRule>
    <cfRule type="expression" dxfId="19443" priority="5513">
      <formula>AND(AC91&gt;70000,AC91&lt;70004)</formula>
    </cfRule>
    <cfRule type="expression" dxfId="19442" priority="5514" stopIfTrue="1">
      <formula>OR(AND(AC91&gt;=10000,AC91&lt;=56999),AND(AC91&gt;=57000,AC91&lt;=57999))</formula>
    </cfRule>
    <cfRule type="expression" dxfId="19441" priority="5515" stopIfTrue="1">
      <formula>AND(AC91&gt;=8000,AC91&lt;=9999)</formula>
    </cfRule>
    <cfRule type="expression" dxfId="19440" priority="5516" stopIfTrue="1">
      <formula>AND(AC91&gt;=78100,AC91&lt;=78199)</formula>
    </cfRule>
    <cfRule type="expression" dxfId="19439" priority="5517" stopIfTrue="1">
      <formula>AND(AC91&gt;=92000,AC91&lt;=98999)</formula>
    </cfRule>
    <cfRule type="expression" dxfId="19438" priority="5518" stopIfTrue="1">
      <formula>AND(AC91&gt;=78100,AC91&lt;=78199)</formula>
    </cfRule>
    <cfRule type="expression" dxfId="19437" priority="5519" stopIfTrue="1">
      <formula>AND(AC91&gt;=91000,AC91&lt;=91999)</formula>
    </cfRule>
  </conditionalFormatting>
  <conditionalFormatting sqref="AF91">
    <cfRule type="expression" dxfId="19436" priority="5498">
      <formula>AND(AG91&gt;=79001,AG91&lt;79900)</formula>
    </cfRule>
    <cfRule type="expression" dxfId="19435" priority="5499" stopIfTrue="1">
      <formula>AND(AG91&gt;=70101,AG91&lt;=70301)</formula>
    </cfRule>
    <cfRule type="expression" dxfId="19434" priority="5500" stopIfTrue="1">
      <formula>AND(AG91&gt;70000,AG91&lt;70004)</formula>
    </cfRule>
    <cfRule type="expression" dxfId="19433" priority="5501" stopIfTrue="1">
      <formula>AND(AG91&gt;=70010,AG91&lt;=76000)</formula>
    </cfRule>
    <cfRule type="expression" dxfId="19432" priority="5502">
      <formula>AND(AG91&gt;70000,AG91&lt;70004)</formula>
    </cfRule>
    <cfRule type="expression" dxfId="19431" priority="5503" stopIfTrue="1">
      <formula>OR(AND(AG91&gt;=10000,AG91&lt;=56999),AND(AG91&gt;=57000,AG91&lt;=57999))</formula>
    </cfRule>
    <cfRule type="expression" dxfId="19430" priority="5504" stopIfTrue="1">
      <formula>AND(AG91&gt;=8000,AG91&lt;=9999)</formula>
    </cfRule>
    <cfRule type="expression" dxfId="19429" priority="5505" stopIfTrue="1">
      <formula>AND(AG91&gt;=78100,AG91&lt;=78199)</formula>
    </cfRule>
    <cfRule type="expression" dxfId="19428" priority="5506" stopIfTrue="1">
      <formula>AND(AG91&gt;=92000,AG91&lt;=98999)</formula>
    </cfRule>
    <cfRule type="expression" dxfId="19427" priority="5507" stopIfTrue="1">
      <formula>AND(AG91&gt;=78100,AG91&lt;=78199)</formula>
    </cfRule>
    <cfRule type="expression" dxfId="19426" priority="5508" stopIfTrue="1">
      <formula>AND(AG91&gt;=91000,AG91&lt;=91999)</formula>
    </cfRule>
  </conditionalFormatting>
  <conditionalFormatting sqref="AF91">
    <cfRule type="expression" dxfId="19425" priority="5487">
      <formula>AND(AG91&gt;=79001,AG91&lt;79900)</formula>
    </cfRule>
    <cfRule type="expression" dxfId="19424" priority="5488" stopIfTrue="1">
      <formula>AND(AG91&gt;=70101,AG91&lt;=70301)</formula>
    </cfRule>
    <cfRule type="expression" dxfId="19423" priority="5489" stopIfTrue="1">
      <formula>AND(AG91&gt;70000,AG91&lt;70004)</formula>
    </cfRule>
    <cfRule type="expression" dxfId="19422" priority="5490" stopIfTrue="1">
      <formula>AND(AG91&gt;=70010,AG91&lt;=76000)</formula>
    </cfRule>
    <cfRule type="expression" dxfId="19421" priority="5491">
      <formula>AND(AG91&gt;70000,AG91&lt;70004)</formula>
    </cfRule>
    <cfRule type="expression" dxfId="19420" priority="5492" stopIfTrue="1">
      <formula>OR(AND(AG91&gt;=10000,AG91&lt;=56999),AND(AG91&gt;=57000,AG91&lt;=57999))</formula>
    </cfRule>
    <cfRule type="expression" dxfId="19419" priority="5493" stopIfTrue="1">
      <formula>AND(AG91&gt;=8000,AG91&lt;=9999)</formula>
    </cfRule>
    <cfRule type="expression" dxfId="19418" priority="5494" stopIfTrue="1">
      <formula>AND(AG91&gt;=78100,AG91&lt;=78199)</formula>
    </cfRule>
    <cfRule type="expression" dxfId="19417" priority="5495" stopIfTrue="1">
      <formula>AND(AG91&gt;=92000,AG91&lt;=98999)</formula>
    </cfRule>
    <cfRule type="expression" dxfId="19416" priority="5496" stopIfTrue="1">
      <formula>AND(AG91&gt;=78100,AG91&lt;=78199)</formula>
    </cfRule>
    <cfRule type="expression" dxfId="19415" priority="5497" stopIfTrue="1">
      <formula>AND(AG91&gt;=91000,AG91&lt;=91999)</formula>
    </cfRule>
  </conditionalFormatting>
  <conditionalFormatting sqref="AF91">
    <cfRule type="expression" dxfId="19414" priority="5476">
      <formula>AND(AG91&gt;=79001,AG91&lt;79900)</formula>
    </cfRule>
    <cfRule type="expression" dxfId="19413" priority="5477" stopIfTrue="1">
      <formula>AND(AG91&gt;=70101,AG91&lt;=70301)</formula>
    </cfRule>
    <cfRule type="expression" dxfId="19412" priority="5478" stopIfTrue="1">
      <formula>AND(AG91&gt;70000,AG91&lt;70004)</formula>
    </cfRule>
    <cfRule type="expression" dxfId="19411" priority="5479" stopIfTrue="1">
      <formula>AND(AG91&gt;=70010,AG91&lt;=76000)</formula>
    </cfRule>
    <cfRule type="expression" dxfId="19410" priority="5480">
      <formula>AND(AG91&gt;70000,AG91&lt;70004)</formula>
    </cfRule>
    <cfRule type="expression" dxfId="19409" priority="5481" stopIfTrue="1">
      <formula>OR(AND(AG91&gt;=10000,AG91&lt;=56999),AND(AG91&gt;=57000,AG91&lt;=57999))</formula>
    </cfRule>
    <cfRule type="expression" dxfId="19408" priority="5482" stopIfTrue="1">
      <formula>AND(AG91&gt;=8000,AG91&lt;=9999)</formula>
    </cfRule>
    <cfRule type="expression" dxfId="19407" priority="5483" stopIfTrue="1">
      <formula>AND(AG91&gt;=78100,AG91&lt;=78199)</formula>
    </cfRule>
    <cfRule type="expression" dxfId="19406" priority="5484" stopIfTrue="1">
      <formula>AND(AG91&gt;=92000,AG91&lt;=98999)</formula>
    </cfRule>
    <cfRule type="expression" dxfId="19405" priority="5485" stopIfTrue="1">
      <formula>AND(AG91&gt;=78100,AG91&lt;=78199)</formula>
    </cfRule>
    <cfRule type="expression" dxfId="19404" priority="5486" stopIfTrue="1">
      <formula>AND(AG91&gt;=91000,AG91&lt;=91999)</formula>
    </cfRule>
  </conditionalFormatting>
  <conditionalFormatting sqref="AF91">
    <cfRule type="expression" dxfId="19403" priority="5465">
      <formula>AND(AG91&gt;=79001,AG91&lt;79900)</formula>
    </cfRule>
    <cfRule type="expression" dxfId="19402" priority="5466" stopIfTrue="1">
      <formula>AND(AG91&gt;=70101,AG91&lt;=70301)</formula>
    </cfRule>
    <cfRule type="expression" dxfId="19401" priority="5467" stopIfTrue="1">
      <formula>AND(AG91&gt;70000,AG91&lt;70004)</formula>
    </cfRule>
    <cfRule type="expression" dxfId="19400" priority="5468" stopIfTrue="1">
      <formula>AND(AG91&gt;=70010,AG91&lt;=76000)</formula>
    </cfRule>
    <cfRule type="expression" dxfId="19399" priority="5469">
      <formula>AND(AG91&gt;70000,AG91&lt;70004)</formula>
    </cfRule>
    <cfRule type="expression" dxfId="19398" priority="5470" stopIfTrue="1">
      <formula>OR(AND(AG91&gt;=10000,AG91&lt;=56999),AND(AG91&gt;=57000,AG91&lt;=57999))</formula>
    </cfRule>
    <cfRule type="expression" dxfId="19397" priority="5471" stopIfTrue="1">
      <formula>AND(AG91&gt;=8000,AG91&lt;=9999)</formula>
    </cfRule>
    <cfRule type="expression" dxfId="19396" priority="5472" stopIfTrue="1">
      <formula>AND(AG91&gt;=78100,AG91&lt;=78199)</formula>
    </cfRule>
    <cfRule type="expression" dxfId="19395" priority="5473" stopIfTrue="1">
      <formula>AND(AG91&gt;=92000,AG91&lt;=98999)</formula>
    </cfRule>
    <cfRule type="expression" dxfId="19394" priority="5474" stopIfTrue="1">
      <formula>AND(AG91&gt;=78100,AG91&lt;=78199)</formula>
    </cfRule>
    <cfRule type="expression" dxfId="19393" priority="5475" stopIfTrue="1">
      <formula>AND(AG91&gt;=91000,AG91&lt;=91999)</formula>
    </cfRule>
  </conditionalFormatting>
  <conditionalFormatting sqref="T91">
    <cfRule type="expression" dxfId="19392" priority="5454">
      <formula>AND(U91&gt;=79001,U91&lt;79900)</formula>
    </cfRule>
    <cfRule type="expression" dxfId="19391" priority="5455" stopIfTrue="1">
      <formula>AND(U91&gt;=70101,U91&lt;=70301)</formula>
    </cfRule>
    <cfRule type="expression" dxfId="19390" priority="5456" stopIfTrue="1">
      <formula>AND(U91&gt;70000,U91&lt;70004)</formula>
    </cfRule>
    <cfRule type="expression" dxfId="19389" priority="5457" stopIfTrue="1">
      <formula>AND(U91&gt;=70010,U91&lt;=76000)</formula>
    </cfRule>
    <cfRule type="expression" dxfId="19388" priority="5458">
      <formula>AND(U91&gt;70000,U91&lt;70004)</formula>
    </cfRule>
    <cfRule type="expression" dxfId="19387" priority="5459" stopIfTrue="1">
      <formula>OR(AND(U91&gt;=10000,U91&lt;=56999),AND(U91&gt;=57000,U91&lt;=57999))</formula>
    </cfRule>
    <cfRule type="expression" dxfId="19386" priority="5460" stopIfTrue="1">
      <formula>AND(U91&gt;=8000,U91&lt;=9999)</formula>
    </cfRule>
    <cfRule type="expression" dxfId="19385" priority="5461" stopIfTrue="1">
      <formula>AND(U91&gt;=78100,U91&lt;=78199)</formula>
    </cfRule>
    <cfRule type="expression" dxfId="19384" priority="5462" stopIfTrue="1">
      <formula>AND(U91&gt;=92000,U91&lt;=98999)</formula>
    </cfRule>
    <cfRule type="expression" dxfId="19383" priority="5463" stopIfTrue="1">
      <formula>AND(U91&gt;=78100,U91&lt;=78199)</formula>
    </cfRule>
    <cfRule type="expression" dxfId="19382" priority="5464" stopIfTrue="1">
      <formula>AND(U91&gt;=91000,U91&lt;=91999)</formula>
    </cfRule>
  </conditionalFormatting>
  <conditionalFormatting sqref="T91">
    <cfRule type="expression" dxfId="19381" priority="5443">
      <formula>AND(U91&gt;=79001,U91&lt;79900)</formula>
    </cfRule>
    <cfRule type="expression" dxfId="19380" priority="5444" stopIfTrue="1">
      <formula>AND(U91&gt;=70101,U91&lt;=70301)</formula>
    </cfRule>
    <cfRule type="expression" dxfId="19379" priority="5445" stopIfTrue="1">
      <formula>AND(U91&gt;70000,U91&lt;70004)</formula>
    </cfRule>
    <cfRule type="expression" dxfId="19378" priority="5446" stopIfTrue="1">
      <formula>AND(U91&gt;=70010,U91&lt;=76000)</formula>
    </cfRule>
    <cfRule type="expression" dxfId="19377" priority="5447">
      <formula>AND(U91&gt;70000,U91&lt;70004)</formula>
    </cfRule>
    <cfRule type="expression" dxfId="19376" priority="5448" stopIfTrue="1">
      <formula>OR(AND(U91&gt;=10000,U91&lt;=56999),AND(U91&gt;=57000,U91&lt;=57999))</formula>
    </cfRule>
    <cfRule type="expression" dxfId="19375" priority="5449" stopIfTrue="1">
      <formula>AND(U91&gt;=8000,U91&lt;=9999)</formula>
    </cfRule>
    <cfRule type="expression" dxfId="19374" priority="5450" stopIfTrue="1">
      <formula>AND(U91&gt;=78100,U91&lt;=78199)</formula>
    </cfRule>
    <cfRule type="expression" dxfId="19373" priority="5451" stopIfTrue="1">
      <formula>AND(U91&gt;=92000,U91&lt;=98999)</formula>
    </cfRule>
    <cfRule type="expression" dxfId="19372" priority="5452" stopIfTrue="1">
      <formula>AND(U91&gt;=78100,U91&lt;=78199)</formula>
    </cfRule>
    <cfRule type="expression" dxfId="19371" priority="5453" stopIfTrue="1">
      <formula>AND(U91&gt;=91000,U91&lt;=91999)</formula>
    </cfRule>
  </conditionalFormatting>
  <conditionalFormatting sqref="T91">
    <cfRule type="expression" dxfId="19370" priority="5432">
      <formula>AND(U91&gt;=79001,U91&lt;79900)</formula>
    </cfRule>
    <cfRule type="expression" dxfId="19369" priority="5433" stopIfTrue="1">
      <formula>AND(U91&gt;=70101,U91&lt;=70301)</formula>
    </cfRule>
    <cfRule type="expression" dxfId="19368" priority="5434" stopIfTrue="1">
      <formula>AND(U91&gt;70000,U91&lt;70004)</formula>
    </cfRule>
    <cfRule type="expression" dxfId="19367" priority="5435" stopIfTrue="1">
      <formula>AND(U91&gt;=70010,U91&lt;=76000)</formula>
    </cfRule>
    <cfRule type="expression" dxfId="19366" priority="5436">
      <formula>AND(U91&gt;70000,U91&lt;70004)</formula>
    </cfRule>
    <cfRule type="expression" dxfId="19365" priority="5437" stopIfTrue="1">
      <formula>OR(AND(U91&gt;=10000,U91&lt;=56999),AND(U91&gt;=57000,U91&lt;=57999))</formula>
    </cfRule>
    <cfRule type="expression" dxfId="19364" priority="5438" stopIfTrue="1">
      <formula>AND(U91&gt;=8000,U91&lt;=9999)</formula>
    </cfRule>
    <cfRule type="expression" dxfId="19363" priority="5439" stopIfTrue="1">
      <formula>AND(U91&gt;=78100,U91&lt;=78199)</formula>
    </cfRule>
    <cfRule type="expression" dxfId="19362" priority="5440" stopIfTrue="1">
      <formula>AND(U91&gt;=92000,U91&lt;=98999)</formula>
    </cfRule>
    <cfRule type="expression" dxfId="19361" priority="5441" stopIfTrue="1">
      <formula>AND(U91&gt;=78100,U91&lt;=78199)</formula>
    </cfRule>
    <cfRule type="expression" dxfId="19360" priority="5442" stopIfTrue="1">
      <formula>AND(U91&gt;=91000,U91&lt;=91999)</formula>
    </cfRule>
  </conditionalFormatting>
  <conditionalFormatting sqref="T91">
    <cfRule type="expression" dxfId="19359" priority="5421">
      <formula>AND(U91&gt;=79001,U91&lt;79900)</formula>
    </cfRule>
    <cfRule type="expression" dxfId="19358" priority="5422" stopIfTrue="1">
      <formula>AND(U91&gt;=70101,U91&lt;=70301)</formula>
    </cfRule>
    <cfRule type="expression" dxfId="19357" priority="5423" stopIfTrue="1">
      <formula>AND(U91&gt;70000,U91&lt;70004)</formula>
    </cfRule>
    <cfRule type="expression" dxfId="19356" priority="5424" stopIfTrue="1">
      <formula>AND(U91&gt;=70010,U91&lt;=76000)</formula>
    </cfRule>
    <cfRule type="expression" dxfId="19355" priority="5425">
      <formula>AND(U91&gt;70000,U91&lt;70004)</formula>
    </cfRule>
    <cfRule type="expression" dxfId="19354" priority="5426" stopIfTrue="1">
      <formula>OR(AND(U91&gt;=10000,U91&lt;=56999),AND(U91&gt;=57000,U91&lt;=57999))</formula>
    </cfRule>
    <cfRule type="expression" dxfId="19353" priority="5427" stopIfTrue="1">
      <formula>AND(U91&gt;=8000,U91&lt;=9999)</formula>
    </cfRule>
    <cfRule type="expression" dxfId="19352" priority="5428" stopIfTrue="1">
      <formula>AND(U91&gt;=78100,U91&lt;=78199)</formula>
    </cfRule>
    <cfRule type="expression" dxfId="19351" priority="5429" stopIfTrue="1">
      <formula>AND(U91&gt;=92000,U91&lt;=98999)</formula>
    </cfRule>
    <cfRule type="expression" dxfId="19350" priority="5430" stopIfTrue="1">
      <formula>AND(U91&gt;=78100,U91&lt;=78199)</formula>
    </cfRule>
    <cfRule type="expression" dxfId="19349" priority="5431" stopIfTrue="1">
      <formula>AND(U91&gt;=91000,U91&lt;=91999)</formula>
    </cfRule>
  </conditionalFormatting>
  <conditionalFormatting sqref="X92">
    <cfRule type="expression" dxfId="19348" priority="5410">
      <formula>AND(Y92&gt;=79001,Y92&lt;79900)</formula>
    </cfRule>
    <cfRule type="expression" dxfId="19347" priority="5411" stopIfTrue="1">
      <formula>AND(Y92&gt;=70101,Y92&lt;=70301)</formula>
    </cfRule>
    <cfRule type="expression" dxfId="19346" priority="5412" stopIfTrue="1">
      <formula>AND(Y92&gt;70000,Y92&lt;70004)</formula>
    </cfRule>
    <cfRule type="expression" dxfId="19345" priority="5413" stopIfTrue="1">
      <formula>AND(Y92&gt;=70010,Y92&lt;=76000)</formula>
    </cfRule>
    <cfRule type="expression" dxfId="19344" priority="5414">
      <formula>AND(Y92&gt;70000,Y92&lt;70004)</formula>
    </cfRule>
    <cfRule type="expression" dxfId="19343" priority="5415" stopIfTrue="1">
      <formula>OR(AND(Y92&gt;=10000,Y92&lt;=56999),AND(Y92&gt;=57000,Y92&lt;=57999))</formula>
    </cfRule>
    <cfRule type="expression" dxfId="19342" priority="5416" stopIfTrue="1">
      <formula>AND(Y92&gt;=8000,Y92&lt;=9999)</formula>
    </cfRule>
    <cfRule type="expression" dxfId="19341" priority="5417" stopIfTrue="1">
      <formula>AND(Y92&gt;=78100,Y92&lt;=78199)</formula>
    </cfRule>
    <cfRule type="expression" dxfId="19340" priority="5418" stopIfTrue="1">
      <formula>AND(Y92&gt;=92000,Y92&lt;=98999)</formula>
    </cfRule>
    <cfRule type="expression" dxfId="19339" priority="5419" stopIfTrue="1">
      <formula>AND(Y92&gt;=78100,Y92&lt;=78199)</formula>
    </cfRule>
    <cfRule type="expression" dxfId="19338" priority="5420" stopIfTrue="1">
      <formula>AND(Y92&gt;=91000,Y92&lt;=91999)</formula>
    </cfRule>
  </conditionalFormatting>
  <conditionalFormatting sqref="X92">
    <cfRule type="expression" dxfId="19337" priority="5399">
      <formula>AND(Y92&gt;=79001,Y92&lt;79900)</formula>
    </cfRule>
    <cfRule type="expression" dxfId="19336" priority="5400" stopIfTrue="1">
      <formula>AND(Y92&gt;=70101,Y92&lt;=70301)</formula>
    </cfRule>
    <cfRule type="expression" dxfId="19335" priority="5401" stopIfTrue="1">
      <formula>AND(Y92&gt;70000,Y92&lt;70004)</formula>
    </cfRule>
    <cfRule type="expression" dxfId="19334" priority="5402" stopIfTrue="1">
      <formula>AND(Y92&gt;=70010,Y92&lt;=76000)</formula>
    </cfRule>
    <cfRule type="expression" dxfId="19333" priority="5403">
      <formula>AND(Y92&gt;70000,Y92&lt;70004)</formula>
    </cfRule>
    <cfRule type="expression" dxfId="19332" priority="5404" stopIfTrue="1">
      <formula>OR(AND(Y92&gt;=10000,Y92&lt;=56999),AND(Y92&gt;=57000,Y92&lt;=57999))</formula>
    </cfRule>
    <cfRule type="expression" dxfId="19331" priority="5405" stopIfTrue="1">
      <formula>AND(Y92&gt;=8000,Y92&lt;=9999)</formula>
    </cfRule>
    <cfRule type="expression" dxfId="19330" priority="5406" stopIfTrue="1">
      <formula>AND(Y92&gt;=78100,Y92&lt;=78199)</formula>
    </cfRule>
    <cfRule type="expression" dxfId="19329" priority="5407" stopIfTrue="1">
      <formula>AND(Y92&gt;=92000,Y92&lt;=98999)</formula>
    </cfRule>
    <cfRule type="expression" dxfId="19328" priority="5408" stopIfTrue="1">
      <formula>AND(Y92&gt;=78100,Y92&lt;=78199)</formula>
    </cfRule>
    <cfRule type="expression" dxfId="19327" priority="5409" stopIfTrue="1">
      <formula>AND(Y92&gt;=91000,Y92&lt;=91999)</formula>
    </cfRule>
  </conditionalFormatting>
  <conditionalFormatting sqref="X92">
    <cfRule type="expression" dxfId="19326" priority="5388">
      <formula>AND(Y92&gt;=79001,Y92&lt;79900)</formula>
    </cfRule>
    <cfRule type="expression" dxfId="19325" priority="5389" stopIfTrue="1">
      <formula>AND(Y92&gt;=70101,Y92&lt;=70301)</formula>
    </cfRule>
    <cfRule type="expression" dxfId="19324" priority="5390" stopIfTrue="1">
      <formula>AND(Y92&gt;70000,Y92&lt;70004)</formula>
    </cfRule>
    <cfRule type="expression" dxfId="19323" priority="5391" stopIfTrue="1">
      <formula>AND(Y92&gt;=70010,Y92&lt;=76000)</formula>
    </cfRule>
    <cfRule type="expression" dxfId="19322" priority="5392">
      <formula>AND(Y92&gt;70000,Y92&lt;70004)</formula>
    </cfRule>
    <cfRule type="expression" dxfId="19321" priority="5393" stopIfTrue="1">
      <formula>OR(AND(Y92&gt;=10000,Y92&lt;=56999),AND(Y92&gt;=57000,Y92&lt;=57999))</formula>
    </cfRule>
    <cfRule type="expression" dxfId="19320" priority="5394" stopIfTrue="1">
      <formula>AND(Y92&gt;=8000,Y92&lt;=9999)</formula>
    </cfRule>
    <cfRule type="expression" dxfId="19319" priority="5395" stopIfTrue="1">
      <formula>AND(Y92&gt;=78100,Y92&lt;=78199)</formula>
    </cfRule>
    <cfRule type="expression" dxfId="19318" priority="5396" stopIfTrue="1">
      <formula>AND(Y92&gt;=92000,Y92&lt;=98999)</formula>
    </cfRule>
    <cfRule type="expression" dxfId="19317" priority="5397" stopIfTrue="1">
      <formula>AND(Y92&gt;=78100,Y92&lt;=78199)</formula>
    </cfRule>
    <cfRule type="expression" dxfId="19316" priority="5398" stopIfTrue="1">
      <formula>AND(Y92&gt;=91000,Y92&lt;=91999)</formula>
    </cfRule>
  </conditionalFormatting>
  <conditionalFormatting sqref="X92">
    <cfRule type="expression" dxfId="19315" priority="5377">
      <formula>AND(Y92&gt;=79001,Y92&lt;79900)</formula>
    </cfRule>
    <cfRule type="expression" dxfId="19314" priority="5378" stopIfTrue="1">
      <formula>AND(Y92&gt;=70101,Y92&lt;=70301)</formula>
    </cfRule>
    <cfRule type="expression" dxfId="19313" priority="5379" stopIfTrue="1">
      <formula>AND(Y92&gt;70000,Y92&lt;70004)</formula>
    </cfRule>
    <cfRule type="expression" dxfId="19312" priority="5380" stopIfTrue="1">
      <formula>AND(Y92&gt;=70010,Y92&lt;=76000)</formula>
    </cfRule>
    <cfRule type="expression" dxfId="19311" priority="5381">
      <formula>AND(Y92&gt;70000,Y92&lt;70004)</formula>
    </cfRule>
    <cfRule type="expression" dxfId="19310" priority="5382" stopIfTrue="1">
      <formula>OR(AND(Y92&gt;=10000,Y92&lt;=56999),AND(Y92&gt;=57000,Y92&lt;=57999))</formula>
    </cfRule>
    <cfRule type="expression" dxfId="19309" priority="5383" stopIfTrue="1">
      <formula>AND(Y92&gt;=8000,Y92&lt;=9999)</formula>
    </cfRule>
    <cfRule type="expression" dxfId="19308" priority="5384" stopIfTrue="1">
      <formula>AND(Y92&gt;=78100,Y92&lt;=78199)</formula>
    </cfRule>
    <cfRule type="expression" dxfId="19307" priority="5385" stopIfTrue="1">
      <formula>AND(Y92&gt;=92000,Y92&lt;=98999)</formula>
    </cfRule>
    <cfRule type="expression" dxfId="19306" priority="5386" stopIfTrue="1">
      <formula>AND(Y92&gt;=78100,Y92&lt;=78199)</formula>
    </cfRule>
    <cfRule type="expression" dxfId="19305" priority="5387" stopIfTrue="1">
      <formula>AND(Y92&gt;=91000,Y92&lt;=91999)</formula>
    </cfRule>
  </conditionalFormatting>
  <conditionalFormatting sqref="AB92">
    <cfRule type="expression" dxfId="19304" priority="5366">
      <formula>AND(AC92&gt;=79001,AC92&lt;79900)</formula>
    </cfRule>
    <cfRule type="expression" dxfId="19303" priority="5367" stopIfTrue="1">
      <formula>AND(AC92&gt;=70101,AC92&lt;=70301)</formula>
    </cfRule>
    <cfRule type="expression" dxfId="19302" priority="5368" stopIfTrue="1">
      <formula>AND(AC92&gt;70000,AC92&lt;70004)</formula>
    </cfRule>
    <cfRule type="expression" dxfId="19301" priority="5369" stopIfTrue="1">
      <formula>AND(AC92&gt;=70010,AC92&lt;=76000)</formula>
    </cfRule>
    <cfRule type="expression" dxfId="19300" priority="5370">
      <formula>AND(AC92&gt;70000,AC92&lt;70004)</formula>
    </cfRule>
    <cfRule type="expression" dxfId="19299" priority="5371" stopIfTrue="1">
      <formula>OR(AND(AC92&gt;=10000,AC92&lt;=56999),AND(AC92&gt;=57000,AC92&lt;=57999))</formula>
    </cfRule>
    <cfRule type="expression" dxfId="19298" priority="5372" stopIfTrue="1">
      <formula>AND(AC92&gt;=8000,AC92&lt;=9999)</formula>
    </cfRule>
    <cfRule type="expression" dxfId="19297" priority="5373" stopIfTrue="1">
      <formula>AND(AC92&gt;=78100,AC92&lt;=78199)</formula>
    </cfRule>
    <cfRule type="expression" dxfId="19296" priority="5374" stopIfTrue="1">
      <formula>AND(AC92&gt;=92000,AC92&lt;=98999)</formula>
    </cfRule>
    <cfRule type="expression" dxfId="19295" priority="5375" stopIfTrue="1">
      <formula>AND(AC92&gt;=78100,AC92&lt;=78199)</formula>
    </cfRule>
    <cfRule type="expression" dxfId="19294" priority="5376" stopIfTrue="1">
      <formula>AND(AC92&gt;=91000,AC92&lt;=91999)</formula>
    </cfRule>
  </conditionalFormatting>
  <conditionalFormatting sqref="AB92">
    <cfRule type="expression" dxfId="19293" priority="5355">
      <formula>AND(AC92&gt;=79001,AC92&lt;79900)</formula>
    </cfRule>
    <cfRule type="expression" dxfId="19292" priority="5356" stopIfTrue="1">
      <formula>AND(AC92&gt;=70101,AC92&lt;=70301)</formula>
    </cfRule>
    <cfRule type="expression" dxfId="19291" priority="5357" stopIfTrue="1">
      <formula>AND(AC92&gt;70000,AC92&lt;70004)</formula>
    </cfRule>
    <cfRule type="expression" dxfId="19290" priority="5358" stopIfTrue="1">
      <formula>AND(AC92&gt;=70010,AC92&lt;=76000)</formula>
    </cfRule>
    <cfRule type="expression" dxfId="19289" priority="5359">
      <formula>AND(AC92&gt;70000,AC92&lt;70004)</formula>
    </cfRule>
    <cfRule type="expression" dxfId="19288" priority="5360" stopIfTrue="1">
      <formula>OR(AND(AC92&gt;=10000,AC92&lt;=56999),AND(AC92&gt;=57000,AC92&lt;=57999))</formula>
    </cfRule>
    <cfRule type="expression" dxfId="19287" priority="5361" stopIfTrue="1">
      <formula>AND(AC92&gt;=8000,AC92&lt;=9999)</formula>
    </cfRule>
    <cfRule type="expression" dxfId="19286" priority="5362" stopIfTrue="1">
      <formula>AND(AC92&gt;=78100,AC92&lt;=78199)</formula>
    </cfRule>
    <cfRule type="expression" dxfId="19285" priority="5363" stopIfTrue="1">
      <formula>AND(AC92&gt;=92000,AC92&lt;=98999)</formula>
    </cfRule>
    <cfRule type="expression" dxfId="19284" priority="5364" stopIfTrue="1">
      <formula>AND(AC92&gt;=78100,AC92&lt;=78199)</formula>
    </cfRule>
    <cfRule type="expression" dxfId="19283" priority="5365" stopIfTrue="1">
      <formula>AND(AC92&gt;=91000,AC92&lt;=91999)</formula>
    </cfRule>
  </conditionalFormatting>
  <conditionalFormatting sqref="AF92">
    <cfRule type="expression" dxfId="19282" priority="5344">
      <formula>AND(AG92&gt;=79001,AG92&lt;79900)</formula>
    </cfRule>
    <cfRule type="expression" dxfId="19281" priority="5345" stopIfTrue="1">
      <formula>AND(AG92&gt;=70101,AG92&lt;=70301)</formula>
    </cfRule>
    <cfRule type="expression" dxfId="19280" priority="5346" stopIfTrue="1">
      <formula>AND(AG92&gt;70000,AG92&lt;70004)</formula>
    </cfRule>
    <cfRule type="expression" dxfId="19279" priority="5347" stopIfTrue="1">
      <formula>AND(AG92&gt;=70010,AG92&lt;=76000)</formula>
    </cfRule>
    <cfRule type="expression" dxfId="19278" priority="5348">
      <formula>AND(AG92&gt;70000,AG92&lt;70004)</formula>
    </cfRule>
    <cfRule type="expression" dxfId="19277" priority="5349" stopIfTrue="1">
      <formula>OR(AND(AG92&gt;=10000,AG92&lt;=56999),AND(AG92&gt;=57000,AG92&lt;=57999))</formula>
    </cfRule>
    <cfRule type="expression" dxfId="19276" priority="5350" stopIfTrue="1">
      <formula>AND(AG92&gt;=8000,AG92&lt;=9999)</formula>
    </cfRule>
    <cfRule type="expression" dxfId="19275" priority="5351" stopIfTrue="1">
      <formula>AND(AG92&gt;=78100,AG92&lt;=78199)</formula>
    </cfRule>
    <cfRule type="expression" dxfId="19274" priority="5352" stopIfTrue="1">
      <formula>AND(AG92&gt;=92000,AG92&lt;=98999)</formula>
    </cfRule>
    <cfRule type="expression" dxfId="19273" priority="5353" stopIfTrue="1">
      <formula>AND(AG92&gt;=78100,AG92&lt;=78199)</formula>
    </cfRule>
    <cfRule type="expression" dxfId="19272" priority="5354" stopIfTrue="1">
      <formula>AND(AG92&gt;=91000,AG92&lt;=91999)</formula>
    </cfRule>
  </conditionalFormatting>
  <conditionalFormatting sqref="AJ92">
    <cfRule type="expression" dxfId="19271" priority="5333">
      <formula>AND(AK92&gt;=79001,AK92&lt;79900)</formula>
    </cfRule>
    <cfRule type="expression" dxfId="19270" priority="5334" stopIfTrue="1">
      <formula>AND(AK92&gt;=70101,AK92&lt;=70301)</formula>
    </cfRule>
    <cfRule type="expression" dxfId="19269" priority="5335" stopIfTrue="1">
      <formula>AND(AK92&gt;70000,AK92&lt;70004)</formula>
    </cfRule>
    <cfRule type="expression" dxfId="19268" priority="5336" stopIfTrue="1">
      <formula>AND(AK92&gt;=70010,AK92&lt;=76000)</formula>
    </cfRule>
    <cfRule type="expression" dxfId="19267" priority="5337">
      <formula>AND(AK92&gt;70000,AK92&lt;70004)</formula>
    </cfRule>
    <cfRule type="expression" dxfId="19266" priority="5338" stopIfTrue="1">
      <formula>OR(AND(AK92&gt;=10000,AK92&lt;=56999),AND(AK92&gt;=57000,AK92&lt;=57999))</formula>
    </cfRule>
    <cfRule type="expression" dxfId="19265" priority="5339" stopIfTrue="1">
      <formula>AND(AK92&gt;=8000,AK92&lt;=9999)</formula>
    </cfRule>
    <cfRule type="expression" dxfId="19264" priority="5340" stopIfTrue="1">
      <formula>AND(AK92&gt;=78100,AK92&lt;=78199)</formula>
    </cfRule>
    <cfRule type="expression" dxfId="19263" priority="5341" stopIfTrue="1">
      <formula>AND(AK92&gt;=92000,AK92&lt;=98999)</formula>
    </cfRule>
    <cfRule type="expression" dxfId="19262" priority="5342" stopIfTrue="1">
      <formula>AND(AK92&gt;=78100,AK92&lt;=78199)</formula>
    </cfRule>
    <cfRule type="expression" dxfId="19261" priority="5343" stopIfTrue="1">
      <formula>AND(AK92&gt;=91000,AK92&lt;=91999)</formula>
    </cfRule>
  </conditionalFormatting>
  <conditionalFormatting sqref="AF92">
    <cfRule type="expression" dxfId="19260" priority="5322">
      <formula>AND(AG92&gt;=79001,AG92&lt;79900)</formula>
    </cfRule>
    <cfRule type="expression" dxfId="19259" priority="5323" stopIfTrue="1">
      <formula>AND(AG92&gt;=70101,AG92&lt;=70301)</formula>
    </cfRule>
    <cfRule type="expression" dxfId="19258" priority="5324" stopIfTrue="1">
      <formula>AND(AG92&gt;70000,AG92&lt;70004)</formula>
    </cfRule>
    <cfRule type="expression" dxfId="19257" priority="5325" stopIfTrue="1">
      <formula>AND(AG92&gt;=70010,AG92&lt;=76000)</formula>
    </cfRule>
    <cfRule type="expression" dxfId="19256" priority="5326">
      <formula>AND(AG92&gt;70000,AG92&lt;70004)</formula>
    </cfRule>
    <cfRule type="expression" dxfId="19255" priority="5327" stopIfTrue="1">
      <formula>OR(AND(AG92&gt;=10000,AG92&lt;=56999),AND(AG92&gt;=57000,AG92&lt;=57999))</formula>
    </cfRule>
    <cfRule type="expression" dxfId="19254" priority="5328" stopIfTrue="1">
      <formula>AND(AG92&gt;=8000,AG92&lt;=9999)</formula>
    </cfRule>
    <cfRule type="expression" dxfId="19253" priority="5329" stopIfTrue="1">
      <formula>AND(AG92&gt;=78100,AG92&lt;=78199)</formula>
    </cfRule>
    <cfRule type="expression" dxfId="19252" priority="5330" stopIfTrue="1">
      <formula>AND(AG92&gt;=92000,AG92&lt;=98999)</formula>
    </cfRule>
    <cfRule type="expression" dxfId="19251" priority="5331" stopIfTrue="1">
      <formula>AND(AG92&gt;=78100,AG92&lt;=78199)</formula>
    </cfRule>
    <cfRule type="expression" dxfId="19250" priority="5332" stopIfTrue="1">
      <formula>AND(AG92&gt;=91000,AG92&lt;=91999)</formula>
    </cfRule>
  </conditionalFormatting>
  <conditionalFormatting sqref="AJ92">
    <cfRule type="expression" dxfId="19249" priority="5311">
      <formula>AND(AK92&gt;=79001,AK92&lt;79900)</formula>
    </cfRule>
    <cfRule type="expression" dxfId="19248" priority="5312" stopIfTrue="1">
      <formula>AND(AK92&gt;=70101,AK92&lt;=70301)</formula>
    </cfRule>
    <cfRule type="expression" dxfId="19247" priority="5313" stopIfTrue="1">
      <formula>AND(AK92&gt;70000,AK92&lt;70004)</formula>
    </cfRule>
    <cfRule type="expression" dxfId="19246" priority="5314" stopIfTrue="1">
      <formula>AND(AK92&gt;=70010,AK92&lt;=76000)</formula>
    </cfRule>
    <cfRule type="expression" dxfId="19245" priority="5315">
      <formula>AND(AK92&gt;70000,AK92&lt;70004)</formula>
    </cfRule>
    <cfRule type="expression" dxfId="19244" priority="5316" stopIfTrue="1">
      <formula>OR(AND(AK92&gt;=10000,AK92&lt;=56999),AND(AK92&gt;=57000,AK92&lt;=57999))</formula>
    </cfRule>
    <cfRule type="expression" dxfId="19243" priority="5317" stopIfTrue="1">
      <formula>AND(AK92&gt;=8000,AK92&lt;=9999)</formula>
    </cfRule>
    <cfRule type="expression" dxfId="19242" priority="5318" stopIfTrue="1">
      <formula>AND(AK92&gt;=78100,AK92&lt;=78199)</formula>
    </cfRule>
    <cfRule type="expression" dxfId="19241" priority="5319" stopIfTrue="1">
      <formula>AND(AK92&gt;=92000,AK92&lt;=98999)</formula>
    </cfRule>
    <cfRule type="expression" dxfId="19240" priority="5320" stopIfTrue="1">
      <formula>AND(AK92&gt;=78100,AK92&lt;=78199)</formula>
    </cfRule>
    <cfRule type="expression" dxfId="19239" priority="5321" stopIfTrue="1">
      <formula>AND(AK92&gt;=91000,AK92&lt;=91999)</formula>
    </cfRule>
  </conditionalFormatting>
  <conditionalFormatting sqref="AM92">
    <cfRule type="colorScale" priority="5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92">
    <cfRule type="colorScale" priority="5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92">
    <cfRule type="colorScale" priority="5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92">
    <cfRule type="colorScale" priority="5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92">
    <cfRule type="colorScale" priority="5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92">
    <cfRule type="colorScale" priority="5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92">
    <cfRule type="expression" dxfId="19238" priority="5294">
      <formula>AND(U92&gt;=79001,U92&lt;79900)</formula>
    </cfRule>
    <cfRule type="expression" dxfId="19237" priority="5295" stopIfTrue="1">
      <formula>AND(U92&gt;=70101,U92&lt;=70301)</formula>
    </cfRule>
    <cfRule type="expression" dxfId="19236" priority="5296" stopIfTrue="1">
      <formula>AND(U92&gt;70000,U92&lt;70004)</formula>
    </cfRule>
    <cfRule type="expression" dxfId="19235" priority="5297" stopIfTrue="1">
      <formula>AND(U92&gt;=70010,U92&lt;=76000)</formula>
    </cfRule>
    <cfRule type="expression" dxfId="19234" priority="5298">
      <formula>AND(U92&gt;70000,U92&lt;70004)</formula>
    </cfRule>
    <cfRule type="expression" dxfId="19233" priority="5299" stopIfTrue="1">
      <formula>OR(AND(U92&gt;=10000,U92&lt;=56999),AND(U92&gt;=57000,U92&lt;=57999))</formula>
    </cfRule>
    <cfRule type="expression" dxfId="19232" priority="5300" stopIfTrue="1">
      <formula>AND(U92&gt;=8000,U92&lt;=9999)</formula>
    </cfRule>
    <cfRule type="expression" dxfId="19231" priority="5301" stopIfTrue="1">
      <formula>AND(U92&gt;=78100,U92&lt;=78199)</formula>
    </cfRule>
    <cfRule type="expression" dxfId="19230" priority="5302" stopIfTrue="1">
      <formula>AND(U92&gt;=92000,U92&lt;=98999)</formula>
    </cfRule>
    <cfRule type="expression" dxfId="19229" priority="5303" stopIfTrue="1">
      <formula>AND(U92&gt;=78100,U92&lt;=78199)</formula>
    </cfRule>
    <cfRule type="expression" dxfId="19228" priority="5304" stopIfTrue="1">
      <formula>AND(U92&gt;=91000,U92&lt;=91999)</formula>
    </cfRule>
  </conditionalFormatting>
  <conditionalFormatting sqref="T92">
    <cfRule type="expression" dxfId="19227" priority="5283">
      <formula>AND(U92&gt;=79001,U92&lt;79900)</formula>
    </cfRule>
    <cfRule type="expression" dxfId="19226" priority="5284" stopIfTrue="1">
      <formula>AND(U92&gt;=70101,U92&lt;=70301)</formula>
    </cfRule>
    <cfRule type="expression" dxfId="19225" priority="5285" stopIfTrue="1">
      <formula>AND(U92&gt;70000,U92&lt;70004)</formula>
    </cfRule>
    <cfRule type="expression" dxfId="19224" priority="5286" stopIfTrue="1">
      <formula>AND(U92&gt;=70010,U92&lt;=76000)</formula>
    </cfRule>
    <cfRule type="expression" dxfId="19223" priority="5287">
      <formula>AND(U92&gt;70000,U92&lt;70004)</formula>
    </cfRule>
    <cfRule type="expression" dxfId="19222" priority="5288" stopIfTrue="1">
      <formula>OR(AND(U92&gt;=10000,U92&lt;=56999),AND(U92&gt;=57000,U92&lt;=57999))</formula>
    </cfRule>
    <cfRule type="expression" dxfId="19221" priority="5289" stopIfTrue="1">
      <formula>AND(U92&gt;=8000,U92&lt;=9999)</formula>
    </cfRule>
    <cfRule type="expression" dxfId="19220" priority="5290" stopIfTrue="1">
      <formula>AND(U92&gt;=78100,U92&lt;=78199)</formula>
    </cfRule>
    <cfRule type="expression" dxfId="19219" priority="5291" stopIfTrue="1">
      <formula>AND(U92&gt;=92000,U92&lt;=98999)</formula>
    </cfRule>
    <cfRule type="expression" dxfId="19218" priority="5292" stopIfTrue="1">
      <formula>AND(U92&gt;=78100,U92&lt;=78199)</formula>
    </cfRule>
    <cfRule type="expression" dxfId="19217" priority="5293" stopIfTrue="1">
      <formula>AND(U92&gt;=91000,U92&lt;=91999)</formula>
    </cfRule>
  </conditionalFormatting>
  <conditionalFormatting sqref="T92">
    <cfRule type="expression" dxfId="19216" priority="5272">
      <formula>AND(U92&gt;=79001,U92&lt;79900)</formula>
    </cfRule>
    <cfRule type="expression" dxfId="19215" priority="5273" stopIfTrue="1">
      <formula>AND(U92&gt;=70101,U92&lt;=70301)</formula>
    </cfRule>
    <cfRule type="expression" dxfId="19214" priority="5274" stopIfTrue="1">
      <formula>AND(U92&gt;70000,U92&lt;70004)</formula>
    </cfRule>
    <cfRule type="expression" dxfId="19213" priority="5275" stopIfTrue="1">
      <formula>AND(U92&gt;=70010,U92&lt;=76000)</formula>
    </cfRule>
    <cfRule type="expression" dxfId="19212" priority="5276">
      <formula>AND(U92&gt;70000,U92&lt;70004)</formula>
    </cfRule>
    <cfRule type="expression" dxfId="19211" priority="5277" stopIfTrue="1">
      <formula>OR(AND(U92&gt;=10000,U92&lt;=56999),AND(U92&gt;=57000,U92&lt;=57999))</formula>
    </cfRule>
    <cfRule type="expression" dxfId="19210" priority="5278" stopIfTrue="1">
      <formula>AND(U92&gt;=8000,U92&lt;=9999)</formula>
    </cfRule>
    <cfRule type="expression" dxfId="19209" priority="5279" stopIfTrue="1">
      <formula>AND(U92&gt;=78100,U92&lt;=78199)</formula>
    </cfRule>
    <cfRule type="expression" dxfId="19208" priority="5280" stopIfTrue="1">
      <formula>AND(U92&gt;=92000,U92&lt;=98999)</formula>
    </cfRule>
    <cfRule type="expression" dxfId="19207" priority="5281" stopIfTrue="1">
      <formula>AND(U92&gt;=78100,U92&lt;=78199)</formula>
    </cfRule>
    <cfRule type="expression" dxfId="19206" priority="5282" stopIfTrue="1">
      <formula>AND(U92&gt;=91000,U92&lt;=91999)</formula>
    </cfRule>
  </conditionalFormatting>
  <conditionalFormatting sqref="T92">
    <cfRule type="expression" dxfId="19205" priority="5261">
      <formula>AND(U92&gt;=79001,U92&lt;79900)</formula>
    </cfRule>
    <cfRule type="expression" dxfId="19204" priority="5262" stopIfTrue="1">
      <formula>AND(U92&gt;=70101,U92&lt;=70301)</formula>
    </cfRule>
    <cfRule type="expression" dxfId="19203" priority="5263" stopIfTrue="1">
      <formula>AND(U92&gt;70000,U92&lt;70004)</formula>
    </cfRule>
    <cfRule type="expression" dxfId="19202" priority="5264" stopIfTrue="1">
      <formula>AND(U92&gt;=70010,U92&lt;=76000)</formula>
    </cfRule>
    <cfRule type="expression" dxfId="19201" priority="5265">
      <formula>AND(U92&gt;70000,U92&lt;70004)</formula>
    </cfRule>
    <cfRule type="expression" dxfId="19200" priority="5266" stopIfTrue="1">
      <formula>OR(AND(U92&gt;=10000,U92&lt;=56999),AND(U92&gt;=57000,U92&lt;=57999))</formula>
    </cfRule>
    <cfRule type="expression" dxfId="19199" priority="5267" stopIfTrue="1">
      <formula>AND(U92&gt;=8000,U92&lt;=9999)</formula>
    </cfRule>
    <cfRule type="expression" dxfId="19198" priority="5268" stopIfTrue="1">
      <formula>AND(U92&gt;=78100,U92&lt;=78199)</formula>
    </cfRule>
    <cfRule type="expression" dxfId="19197" priority="5269" stopIfTrue="1">
      <formula>AND(U92&gt;=92000,U92&lt;=98999)</formula>
    </cfRule>
    <cfRule type="expression" dxfId="19196" priority="5270" stopIfTrue="1">
      <formula>AND(U92&gt;=78100,U92&lt;=78199)</formula>
    </cfRule>
    <cfRule type="expression" dxfId="19195" priority="5271" stopIfTrue="1">
      <formula>AND(U92&gt;=91000,U92&lt;=91999)</formula>
    </cfRule>
  </conditionalFormatting>
  <conditionalFormatting sqref="AJ106:AK106 AM106">
    <cfRule type="expression" dxfId="19194" priority="5250">
      <formula>AND(AK106&gt;=79001,AK106&lt;79900)</formula>
    </cfRule>
    <cfRule type="expression" dxfId="19193" priority="5251" stopIfTrue="1">
      <formula>AND(AK106&gt;=70101,AK106&lt;=70301)</formula>
    </cfRule>
    <cfRule type="expression" dxfId="19192" priority="5252" stopIfTrue="1">
      <formula>AND(AK106&gt;70000,AK106&lt;70004)</formula>
    </cfRule>
    <cfRule type="expression" dxfId="19191" priority="5253" stopIfTrue="1">
      <formula>AND(AK106&gt;=70010,AK106&lt;=76000)</formula>
    </cfRule>
    <cfRule type="expression" dxfId="19190" priority="5254">
      <formula>AND(AK106&gt;70000,AK106&lt;70004)</formula>
    </cfRule>
    <cfRule type="expression" dxfId="19189" priority="5255" stopIfTrue="1">
      <formula>OR(AND(AK106&gt;=10000,AK106&lt;=56999),AND(AK106&gt;=57000,AK106&lt;=57999))</formula>
    </cfRule>
    <cfRule type="expression" dxfId="19188" priority="5256" stopIfTrue="1">
      <formula>AND(AK106&gt;=8000,AK106&lt;=9999)</formula>
    </cfRule>
    <cfRule type="expression" dxfId="19187" priority="5257" stopIfTrue="1">
      <formula>AND(AK106&gt;=78100,AK106&lt;=78199)</formula>
    </cfRule>
    <cfRule type="expression" dxfId="19186" priority="5258" stopIfTrue="1">
      <formula>AND(AK106&gt;=92000,AK106&lt;=98999)</formula>
    </cfRule>
    <cfRule type="expression" dxfId="19185" priority="5259" stopIfTrue="1">
      <formula>AND(AK106&gt;=78100,AK106&lt;=78199)</formula>
    </cfRule>
    <cfRule type="expression" dxfId="19184" priority="5260" stopIfTrue="1">
      <formula>AND(AK106&gt;=91000,AK106&lt;=91999)</formula>
    </cfRule>
  </conditionalFormatting>
  <conditionalFormatting sqref="AJ106:AK106 AM106">
    <cfRule type="expression" dxfId="19183" priority="5239">
      <formula>AND(AK106&gt;=79001,AK106&lt;79900)</formula>
    </cfRule>
    <cfRule type="expression" dxfId="19182" priority="5240" stopIfTrue="1">
      <formula>AND(AK106&gt;=70101,AK106&lt;=70301)</formula>
    </cfRule>
    <cfRule type="expression" dxfId="19181" priority="5241" stopIfTrue="1">
      <formula>AND(AK106&gt;70000,AK106&lt;70004)</formula>
    </cfRule>
    <cfRule type="expression" dxfId="19180" priority="5242" stopIfTrue="1">
      <formula>AND(AK106&gt;=70010,AK106&lt;=76000)</formula>
    </cfRule>
    <cfRule type="expression" dxfId="19179" priority="5243">
      <formula>AND(AK106&gt;70000,AK106&lt;70004)</formula>
    </cfRule>
    <cfRule type="expression" dxfId="19178" priority="5244" stopIfTrue="1">
      <formula>OR(AND(AK106&gt;=10000,AK106&lt;=56999),AND(AK106&gt;=57000,AK106&lt;=57999))</formula>
    </cfRule>
    <cfRule type="expression" dxfId="19177" priority="5245" stopIfTrue="1">
      <formula>AND(AK106&gt;=8000,AK106&lt;=9999)</formula>
    </cfRule>
    <cfRule type="expression" dxfId="19176" priority="5246" stopIfTrue="1">
      <formula>AND(AK106&gt;=78100,AK106&lt;=78199)</formula>
    </cfRule>
    <cfRule type="expression" dxfId="19175" priority="5247" stopIfTrue="1">
      <formula>AND(AK106&gt;=92000,AK106&lt;=98999)</formula>
    </cfRule>
    <cfRule type="expression" dxfId="19174" priority="5248" stopIfTrue="1">
      <formula>AND(AK106&gt;=78100,AK106&lt;=78199)</formula>
    </cfRule>
    <cfRule type="expression" dxfId="19173" priority="5249" stopIfTrue="1">
      <formula>AND(AK106&gt;=91000,AK106&lt;=91999)</formula>
    </cfRule>
  </conditionalFormatting>
  <conditionalFormatting sqref="AJ106:AK106 AM106">
    <cfRule type="expression" dxfId="19172" priority="5228">
      <formula>AND(AK106&gt;=79001,AK106&lt;79900)</formula>
    </cfRule>
    <cfRule type="expression" dxfId="19171" priority="5229" stopIfTrue="1">
      <formula>AND(AK106&gt;=70101,AK106&lt;=70301)</formula>
    </cfRule>
    <cfRule type="expression" dxfId="19170" priority="5230" stopIfTrue="1">
      <formula>AND(AK106&gt;70000,AK106&lt;70004)</formula>
    </cfRule>
    <cfRule type="expression" dxfId="19169" priority="5231" stopIfTrue="1">
      <formula>AND(AK106&gt;=70010,AK106&lt;=76000)</formula>
    </cfRule>
    <cfRule type="expression" dxfId="19168" priority="5232">
      <formula>AND(AK106&gt;70000,AK106&lt;70004)</formula>
    </cfRule>
    <cfRule type="expression" dxfId="19167" priority="5233" stopIfTrue="1">
      <formula>OR(AND(AK106&gt;=10000,AK106&lt;=56999),AND(AK106&gt;=57000,AK106&lt;=57999))</formula>
    </cfRule>
    <cfRule type="expression" dxfId="19166" priority="5234" stopIfTrue="1">
      <formula>AND(AK106&gt;=8000,AK106&lt;=9999)</formula>
    </cfRule>
    <cfRule type="expression" dxfId="19165" priority="5235" stopIfTrue="1">
      <formula>AND(AK106&gt;=78100,AK106&lt;=78199)</formula>
    </cfRule>
    <cfRule type="expression" dxfId="19164" priority="5236" stopIfTrue="1">
      <formula>AND(AK106&gt;=92000,AK106&lt;=98999)</formula>
    </cfRule>
    <cfRule type="expression" dxfId="19163" priority="5237" stopIfTrue="1">
      <formula>AND(AK106&gt;=78100,AK106&lt;=78199)</formula>
    </cfRule>
    <cfRule type="expression" dxfId="19162" priority="5238" stopIfTrue="1">
      <formula>AND(AK106&gt;=91000,AK106&lt;=91999)</formula>
    </cfRule>
  </conditionalFormatting>
  <conditionalFormatting sqref="AJ106:AK106 AM106">
    <cfRule type="expression" dxfId="19161" priority="5217">
      <formula>AND(AK106&gt;=79001,AK106&lt;79900)</formula>
    </cfRule>
    <cfRule type="expression" dxfId="19160" priority="5218" stopIfTrue="1">
      <formula>AND(AK106&gt;=70101,AK106&lt;=70301)</formula>
    </cfRule>
    <cfRule type="expression" dxfId="19159" priority="5219" stopIfTrue="1">
      <formula>AND(AK106&gt;70000,AK106&lt;70004)</formula>
    </cfRule>
    <cfRule type="expression" dxfId="19158" priority="5220" stopIfTrue="1">
      <formula>AND(AK106&gt;=70010,AK106&lt;=76000)</formula>
    </cfRule>
    <cfRule type="expression" dxfId="19157" priority="5221">
      <formula>AND(AK106&gt;70000,AK106&lt;70004)</formula>
    </cfRule>
    <cfRule type="expression" dxfId="19156" priority="5222" stopIfTrue="1">
      <formula>OR(AND(AK106&gt;=10000,AK106&lt;=56999),AND(AK106&gt;=57000,AK106&lt;=57999))</formula>
    </cfRule>
    <cfRule type="expression" dxfId="19155" priority="5223" stopIfTrue="1">
      <formula>AND(AK106&gt;=8000,AK106&lt;=9999)</formula>
    </cfRule>
    <cfRule type="expression" dxfId="19154" priority="5224" stopIfTrue="1">
      <formula>AND(AK106&gt;=78100,AK106&lt;=78199)</formula>
    </cfRule>
    <cfRule type="expression" dxfId="19153" priority="5225" stopIfTrue="1">
      <formula>AND(AK106&gt;=92000,AK106&lt;=98999)</formula>
    </cfRule>
    <cfRule type="expression" dxfId="19152" priority="5226" stopIfTrue="1">
      <formula>AND(AK106&gt;=78100,AK106&lt;=78199)</formula>
    </cfRule>
    <cfRule type="expression" dxfId="19151" priority="5227" stopIfTrue="1">
      <formula>AND(AK106&gt;=91000,AK106&lt;=91999)</formula>
    </cfRule>
  </conditionalFormatting>
  <conditionalFormatting sqref="T94">
    <cfRule type="expression" dxfId="19150" priority="5206">
      <formula>AND(U94&gt;=79001,U94&lt;79900)</formula>
    </cfRule>
    <cfRule type="expression" dxfId="19149" priority="5207" stopIfTrue="1">
      <formula>AND(U94&gt;=70101,U94&lt;=70301)</formula>
    </cfRule>
    <cfRule type="expression" dxfId="19148" priority="5208" stopIfTrue="1">
      <formula>AND(U94&gt;70000,U94&lt;70004)</formula>
    </cfRule>
    <cfRule type="expression" dxfId="19147" priority="5209" stopIfTrue="1">
      <formula>AND(U94&gt;=70010,U94&lt;=76000)</formula>
    </cfRule>
    <cfRule type="expression" dxfId="19146" priority="5210">
      <formula>AND(U94&gt;70000,U94&lt;70004)</formula>
    </cfRule>
    <cfRule type="expression" dxfId="19145" priority="5211" stopIfTrue="1">
      <formula>OR(AND(U94&gt;=10000,U94&lt;=56999),AND(U94&gt;=57000,U94&lt;=57999))</formula>
    </cfRule>
    <cfRule type="expression" dxfId="19144" priority="5212" stopIfTrue="1">
      <formula>AND(U94&gt;=8000,U94&lt;=9999)</formula>
    </cfRule>
    <cfRule type="expression" dxfId="19143" priority="5213" stopIfTrue="1">
      <formula>AND(U94&gt;=78100,U94&lt;=78199)</formula>
    </cfRule>
    <cfRule type="expression" dxfId="19142" priority="5214" stopIfTrue="1">
      <formula>AND(U94&gt;=92000,U94&lt;=98999)</formula>
    </cfRule>
    <cfRule type="expression" dxfId="19141" priority="5215" stopIfTrue="1">
      <formula>AND(U94&gt;=78100,U94&lt;=78199)</formula>
    </cfRule>
    <cfRule type="expression" dxfId="19140" priority="5216" stopIfTrue="1">
      <formula>AND(U94&gt;=91000,U94&lt;=91999)</formula>
    </cfRule>
  </conditionalFormatting>
  <conditionalFormatting sqref="T94">
    <cfRule type="expression" dxfId="19139" priority="5195">
      <formula>AND(U94&gt;=79001,U94&lt;79900)</formula>
    </cfRule>
    <cfRule type="expression" dxfId="19138" priority="5196" stopIfTrue="1">
      <formula>AND(U94&gt;=70101,U94&lt;=70301)</formula>
    </cfRule>
    <cfRule type="expression" dxfId="19137" priority="5197" stopIfTrue="1">
      <formula>AND(U94&gt;70000,U94&lt;70004)</formula>
    </cfRule>
    <cfRule type="expression" dxfId="19136" priority="5198" stopIfTrue="1">
      <formula>AND(U94&gt;=70010,U94&lt;=76000)</formula>
    </cfRule>
    <cfRule type="expression" dxfId="19135" priority="5199">
      <formula>AND(U94&gt;70000,U94&lt;70004)</formula>
    </cfRule>
    <cfRule type="expression" dxfId="19134" priority="5200" stopIfTrue="1">
      <formula>OR(AND(U94&gt;=10000,U94&lt;=56999),AND(U94&gt;=57000,U94&lt;=57999))</formula>
    </cfRule>
    <cfRule type="expression" dxfId="19133" priority="5201" stopIfTrue="1">
      <formula>AND(U94&gt;=8000,U94&lt;=9999)</formula>
    </cfRule>
    <cfRule type="expression" dxfId="19132" priority="5202" stopIfTrue="1">
      <formula>AND(U94&gt;=78100,U94&lt;=78199)</formula>
    </cfRule>
    <cfRule type="expression" dxfId="19131" priority="5203" stopIfTrue="1">
      <formula>AND(U94&gt;=92000,U94&lt;=98999)</formula>
    </cfRule>
    <cfRule type="expression" dxfId="19130" priority="5204" stopIfTrue="1">
      <formula>AND(U94&gt;=78100,U94&lt;=78199)</formula>
    </cfRule>
    <cfRule type="expression" dxfId="19129" priority="5205" stopIfTrue="1">
      <formula>AND(U94&gt;=91000,U94&lt;=91999)</formula>
    </cfRule>
  </conditionalFormatting>
  <conditionalFormatting sqref="T94">
    <cfRule type="expression" dxfId="19128" priority="5184">
      <formula>AND(U94&gt;=79001,U94&lt;79900)</formula>
    </cfRule>
    <cfRule type="expression" dxfId="19127" priority="5185" stopIfTrue="1">
      <formula>AND(U94&gt;=70101,U94&lt;=70301)</formula>
    </cfRule>
    <cfRule type="expression" dxfId="19126" priority="5186" stopIfTrue="1">
      <formula>AND(U94&gt;70000,U94&lt;70004)</formula>
    </cfRule>
    <cfRule type="expression" dxfId="19125" priority="5187" stopIfTrue="1">
      <formula>AND(U94&gt;=70010,U94&lt;=76000)</formula>
    </cfRule>
    <cfRule type="expression" dxfId="19124" priority="5188">
      <formula>AND(U94&gt;70000,U94&lt;70004)</formula>
    </cfRule>
    <cfRule type="expression" dxfId="19123" priority="5189" stopIfTrue="1">
      <formula>OR(AND(U94&gt;=10000,U94&lt;=56999),AND(U94&gt;=57000,U94&lt;=57999))</formula>
    </cfRule>
    <cfRule type="expression" dxfId="19122" priority="5190" stopIfTrue="1">
      <formula>AND(U94&gt;=8000,U94&lt;=9999)</formula>
    </cfRule>
    <cfRule type="expression" dxfId="19121" priority="5191" stopIfTrue="1">
      <formula>AND(U94&gt;=78100,U94&lt;=78199)</formula>
    </cfRule>
    <cfRule type="expression" dxfId="19120" priority="5192" stopIfTrue="1">
      <formula>AND(U94&gt;=92000,U94&lt;=98999)</formula>
    </cfRule>
    <cfRule type="expression" dxfId="19119" priority="5193" stopIfTrue="1">
      <formula>AND(U94&gt;=78100,U94&lt;=78199)</formula>
    </cfRule>
    <cfRule type="expression" dxfId="19118" priority="5194" stopIfTrue="1">
      <formula>AND(U94&gt;=91000,U94&lt;=91999)</formula>
    </cfRule>
  </conditionalFormatting>
  <conditionalFormatting sqref="T94">
    <cfRule type="expression" dxfId="19117" priority="5173">
      <formula>AND(U94&gt;=79001,U94&lt;79900)</formula>
    </cfRule>
    <cfRule type="expression" dxfId="19116" priority="5174" stopIfTrue="1">
      <formula>AND(U94&gt;=70101,U94&lt;=70301)</formula>
    </cfRule>
    <cfRule type="expression" dxfId="19115" priority="5175" stopIfTrue="1">
      <formula>AND(U94&gt;70000,U94&lt;70004)</formula>
    </cfRule>
    <cfRule type="expression" dxfId="19114" priority="5176" stopIfTrue="1">
      <formula>AND(U94&gt;=70010,U94&lt;=76000)</formula>
    </cfRule>
    <cfRule type="expression" dxfId="19113" priority="5177">
      <formula>AND(U94&gt;70000,U94&lt;70004)</formula>
    </cfRule>
    <cfRule type="expression" dxfId="19112" priority="5178" stopIfTrue="1">
      <formula>OR(AND(U94&gt;=10000,U94&lt;=56999),AND(U94&gt;=57000,U94&lt;=57999))</formula>
    </cfRule>
    <cfRule type="expression" dxfId="19111" priority="5179" stopIfTrue="1">
      <formula>AND(U94&gt;=8000,U94&lt;=9999)</formula>
    </cfRule>
    <cfRule type="expression" dxfId="19110" priority="5180" stopIfTrue="1">
      <formula>AND(U94&gt;=78100,U94&lt;=78199)</formula>
    </cfRule>
    <cfRule type="expression" dxfId="19109" priority="5181" stopIfTrue="1">
      <formula>AND(U94&gt;=92000,U94&lt;=98999)</formula>
    </cfRule>
    <cfRule type="expression" dxfId="19108" priority="5182" stopIfTrue="1">
      <formula>AND(U94&gt;=78100,U94&lt;=78199)</formula>
    </cfRule>
    <cfRule type="expression" dxfId="19107" priority="5183" stopIfTrue="1">
      <formula>AND(U94&gt;=91000,U94&lt;=91999)</formula>
    </cfRule>
  </conditionalFormatting>
  <conditionalFormatting sqref="T103">
    <cfRule type="expression" dxfId="19106" priority="5162">
      <formula>AND(U103&gt;=79001,U103&lt;79900)</formula>
    </cfRule>
    <cfRule type="expression" dxfId="19105" priority="5163" stopIfTrue="1">
      <formula>AND(U103&gt;=70101,U103&lt;=70301)</formula>
    </cfRule>
    <cfRule type="expression" dxfId="19104" priority="5164" stopIfTrue="1">
      <formula>AND(U103&gt;70000,U103&lt;70004)</formula>
    </cfRule>
    <cfRule type="expression" dxfId="19103" priority="5165" stopIfTrue="1">
      <formula>AND(U103&gt;=70010,U103&lt;=76000)</formula>
    </cfRule>
    <cfRule type="expression" dxfId="19102" priority="5166">
      <formula>AND(U103&gt;70000,U103&lt;70004)</formula>
    </cfRule>
    <cfRule type="expression" dxfId="19101" priority="5167" stopIfTrue="1">
      <formula>OR(AND(U103&gt;=10000,U103&lt;=56999),AND(U103&gt;=57000,U103&lt;=57999))</formula>
    </cfRule>
    <cfRule type="expression" dxfId="19100" priority="5168" stopIfTrue="1">
      <formula>AND(U103&gt;=8000,U103&lt;=9999)</formula>
    </cfRule>
    <cfRule type="expression" dxfId="19099" priority="5169" stopIfTrue="1">
      <formula>AND(U103&gt;=78100,U103&lt;=78199)</formula>
    </cfRule>
    <cfRule type="expression" dxfId="19098" priority="5170" stopIfTrue="1">
      <formula>AND(U103&gt;=92000,U103&lt;=98999)</formula>
    </cfRule>
    <cfRule type="expression" dxfId="19097" priority="5171" stopIfTrue="1">
      <formula>AND(U103&gt;=78100,U103&lt;=78199)</formula>
    </cfRule>
    <cfRule type="expression" dxfId="19096" priority="5172" stopIfTrue="1">
      <formula>AND(U103&gt;=91000,U103&lt;=91999)</formula>
    </cfRule>
  </conditionalFormatting>
  <conditionalFormatting sqref="T103">
    <cfRule type="expression" dxfId="19095" priority="5151">
      <formula>AND(U103&gt;=79001,U103&lt;79900)</formula>
    </cfRule>
    <cfRule type="expression" dxfId="19094" priority="5152" stopIfTrue="1">
      <formula>AND(U103&gt;=70101,U103&lt;=70301)</formula>
    </cfRule>
    <cfRule type="expression" dxfId="19093" priority="5153" stopIfTrue="1">
      <formula>AND(U103&gt;70000,U103&lt;70004)</formula>
    </cfRule>
    <cfRule type="expression" dxfId="19092" priority="5154" stopIfTrue="1">
      <formula>AND(U103&gt;=70010,U103&lt;=76000)</formula>
    </cfRule>
    <cfRule type="expression" dxfId="19091" priority="5155">
      <formula>AND(U103&gt;70000,U103&lt;70004)</formula>
    </cfRule>
    <cfRule type="expression" dxfId="19090" priority="5156" stopIfTrue="1">
      <formula>OR(AND(U103&gt;=10000,U103&lt;=56999),AND(U103&gt;=57000,U103&lt;=57999))</formula>
    </cfRule>
    <cfRule type="expression" dxfId="19089" priority="5157" stopIfTrue="1">
      <formula>AND(U103&gt;=8000,U103&lt;=9999)</formula>
    </cfRule>
    <cfRule type="expression" dxfId="19088" priority="5158" stopIfTrue="1">
      <formula>AND(U103&gt;=78100,U103&lt;=78199)</formula>
    </cfRule>
    <cfRule type="expression" dxfId="19087" priority="5159" stopIfTrue="1">
      <formula>AND(U103&gt;=92000,U103&lt;=98999)</formula>
    </cfRule>
    <cfRule type="expression" dxfId="19086" priority="5160" stopIfTrue="1">
      <formula>AND(U103&gt;=78100,U103&lt;=78199)</formula>
    </cfRule>
    <cfRule type="expression" dxfId="19085" priority="5161" stopIfTrue="1">
      <formula>AND(U103&gt;=91000,U103&lt;=91999)</formula>
    </cfRule>
  </conditionalFormatting>
  <conditionalFormatting sqref="T103">
    <cfRule type="expression" dxfId="19084" priority="5140">
      <formula>AND(U103&gt;=79001,U103&lt;79900)</formula>
    </cfRule>
    <cfRule type="expression" dxfId="19083" priority="5141" stopIfTrue="1">
      <formula>AND(U103&gt;=70101,U103&lt;=70301)</formula>
    </cfRule>
    <cfRule type="expression" dxfId="19082" priority="5142" stopIfTrue="1">
      <formula>AND(U103&gt;70000,U103&lt;70004)</formula>
    </cfRule>
    <cfRule type="expression" dxfId="19081" priority="5143" stopIfTrue="1">
      <formula>AND(U103&gt;=70010,U103&lt;=76000)</formula>
    </cfRule>
    <cfRule type="expression" dxfId="19080" priority="5144">
      <formula>AND(U103&gt;70000,U103&lt;70004)</formula>
    </cfRule>
    <cfRule type="expression" dxfId="19079" priority="5145" stopIfTrue="1">
      <formula>OR(AND(U103&gt;=10000,U103&lt;=56999),AND(U103&gt;=57000,U103&lt;=57999))</formula>
    </cfRule>
    <cfRule type="expression" dxfId="19078" priority="5146" stopIfTrue="1">
      <formula>AND(U103&gt;=8000,U103&lt;=9999)</formula>
    </cfRule>
    <cfRule type="expression" dxfId="19077" priority="5147" stopIfTrue="1">
      <formula>AND(U103&gt;=78100,U103&lt;=78199)</formula>
    </cfRule>
    <cfRule type="expression" dxfId="19076" priority="5148" stopIfTrue="1">
      <formula>AND(U103&gt;=92000,U103&lt;=98999)</formula>
    </cfRule>
    <cfRule type="expression" dxfId="19075" priority="5149" stopIfTrue="1">
      <formula>AND(U103&gt;=78100,U103&lt;=78199)</formula>
    </cfRule>
    <cfRule type="expression" dxfId="19074" priority="5150" stopIfTrue="1">
      <formula>AND(U103&gt;=91000,U103&lt;=91999)</formula>
    </cfRule>
  </conditionalFormatting>
  <conditionalFormatting sqref="T103">
    <cfRule type="expression" dxfId="19073" priority="5129">
      <formula>AND(U103&gt;=79001,U103&lt;79900)</formula>
    </cfRule>
    <cfRule type="expression" dxfId="19072" priority="5130" stopIfTrue="1">
      <formula>AND(U103&gt;=70101,U103&lt;=70301)</formula>
    </cfRule>
    <cfRule type="expression" dxfId="19071" priority="5131" stopIfTrue="1">
      <formula>AND(U103&gt;70000,U103&lt;70004)</formula>
    </cfRule>
    <cfRule type="expression" dxfId="19070" priority="5132" stopIfTrue="1">
      <formula>AND(U103&gt;=70010,U103&lt;=76000)</formula>
    </cfRule>
    <cfRule type="expression" dxfId="19069" priority="5133">
      <formula>AND(U103&gt;70000,U103&lt;70004)</formula>
    </cfRule>
    <cfRule type="expression" dxfId="19068" priority="5134" stopIfTrue="1">
      <formula>OR(AND(U103&gt;=10000,U103&lt;=56999),AND(U103&gt;=57000,U103&lt;=57999))</formula>
    </cfRule>
    <cfRule type="expression" dxfId="19067" priority="5135" stopIfTrue="1">
      <formula>AND(U103&gt;=8000,U103&lt;=9999)</formula>
    </cfRule>
    <cfRule type="expression" dxfId="19066" priority="5136" stopIfTrue="1">
      <formula>AND(U103&gt;=78100,U103&lt;=78199)</formula>
    </cfRule>
    <cfRule type="expression" dxfId="19065" priority="5137" stopIfTrue="1">
      <formula>AND(U103&gt;=92000,U103&lt;=98999)</formula>
    </cfRule>
    <cfRule type="expression" dxfId="19064" priority="5138" stopIfTrue="1">
      <formula>AND(U103&gt;=78100,U103&lt;=78199)</formula>
    </cfRule>
    <cfRule type="expression" dxfId="19063" priority="5139" stopIfTrue="1">
      <formula>AND(U103&gt;=91000,U103&lt;=91999)</formula>
    </cfRule>
  </conditionalFormatting>
  <conditionalFormatting sqref="X94">
    <cfRule type="expression" dxfId="19062" priority="5118">
      <formula>AND(Y94&gt;=79001,Y94&lt;79900)</formula>
    </cfRule>
    <cfRule type="expression" dxfId="19061" priority="5119" stopIfTrue="1">
      <formula>AND(Y94&gt;=70101,Y94&lt;=70301)</formula>
    </cfRule>
    <cfRule type="expression" dxfId="19060" priority="5120" stopIfTrue="1">
      <formula>AND(Y94&gt;70000,Y94&lt;70004)</formula>
    </cfRule>
    <cfRule type="expression" dxfId="19059" priority="5121" stopIfTrue="1">
      <formula>AND(Y94&gt;=70010,Y94&lt;=76000)</formula>
    </cfRule>
    <cfRule type="expression" dxfId="19058" priority="5122">
      <formula>AND(Y94&gt;70000,Y94&lt;70004)</formula>
    </cfRule>
    <cfRule type="expression" dxfId="19057" priority="5123" stopIfTrue="1">
      <formula>OR(AND(Y94&gt;=10000,Y94&lt;=56999),AND(Y94&gt;=57000,Y94&lt;=57999))</formula>
    </cfRule>
    <cfRule type="expression" dxfId="19056" priority="5124" stopIfTrue="1">
      <formula>AND(Y94&gt;=8000,Y94&lt;=9999)</formula>
    </cfRule>
    <cfRule type="expression" dxfId="19055" priority="5125" stopIfTrue="1">
      <formula>AND(Y94&gt;=78100,Y94&lt;=78199)</formula>
    </cfRule>
    <cfRule type="expression" dxfId="19054" priority="5126" stopIfTrue="1">
      <formula>AND(Y94&gt;=92000,Y94&lt;=98999)</formula>
    </cfRule>
    <cfRule type="expression" dxfId="19053" priority="5127" stopIfTrue="1">
      <formula>AND(Y94&gt;=78100,Y94&lt;=78199)</formula>
    </cfRule>
    <cfRule type="expression" dxfId="19052" priority="5128" stopIfTrue="1">
      <formula>AND(Y94&gt;=91000,Y94&lt;=91999)</formula>
    </cfRule>
  </conditionalFormatting>
  <conditionalFormatting sqref="X94">
    <cfRule type="expression" dxfId="19051" priority="5107">
      <formula>AND(Y94&gt;=79001,Y94&lt;79900)</formula>
    </cfRule>
    <cfRule type="expression" dxfId="19050" priority="5108" stopIfTrue="1">
      <formula>AND(Y94&gt;=70101,Y94&lt;=70301)</formula>
    </cfRule>
    <cfRule type="expression" dxfId="19049" priority="5109" stopIfTrue="1">
      <formula>AND(Y94&gt;70000,Y94&lt;70004)</formula>
    </cfRule>
    <cfRule type="expression" dxfId="19048" priority="5110" stopIfTrue="1">
      <formula>AND(Y94&gt;=70010,Y94&lt;=76000)</formula>
    </cfRule>
    <cfRule type="expression" dxfId="19047" priority="5111">
      <formula>AND(Y94&gt;70000,Y94&lt;70004)</formula>
    </cfRule>
    <cfRule type="expression" dxfId="19046" priority="5112" stopIfTrue="1">
      <formula>OR(AND(Y94&gt;=10000,Y94&lt;=56999),AND(Y94&gt;=57000,Y94&lt;=57999))</formula>
    </cfRule>
    <cfRule type="expression" dxfId="19045" priority="5113" stopIfTrue="1">
      <formula>AND(Y94&gt;=8000,Y94&lt;=9999)</formula>
    </cfRule>
    <cfRule type="expression" dxfId="19044" priority="5114" stopIfTrue="1">
      <formula>AND(Y94&gt;=78100,Y94&lt;=78199)</formula>
    </cfRule>
    <cfRule type="expression" dxfId="19043" priority="5115" stopIfTrue="1">
      <formula>AND(Y94&gt;=92000,Y94&lt;=98999)</formula>
    </cfRule>
    <cfRule type="expression" dxfId="19042" priority="5116" stopIfTrue="1">
      <formula>AND(Y94&gt;=78100,Y94&lt;=78199)</formula>
    </cfRule>
    <cfRule type="expression" dxfId="19041" priority="5117" stopIfTrue="1">
      <formula>AND(Y94&gt;=91000,Y94&lt;=91999)</formula>
    </cfRule>
  </conditionalFormatting>
  <conditionalFormatting sqref="X94">
    <cfRule type="expression" dxfId="19040" priority="5096">
      <formula>AND(Y94&gt;=79001,Y94&lt;79900)</formula>
    </cfRule>
    <cfRule type="expression" dxfId="19039" priority="5097" stopIfTrue="1">
      <formula>AND(Y94&gt;=70101,Y94&lt;=70301)</formula>
    </cfRule>
    <cfRule type="expression" dxfId="19038" priority="5098" stopIfTrue="1">
      <formula>AND(Y94&gt;70000,Y94&lt;70004)</formula>
    </cfRule>
    <cfRule type="expression" dxfId="19037" priority="5099" stopIfTrue="1">
      <formula>AND(Y94&gt;=70010,Y94&lt;=76000)</formula>
    </cfRule>
    <cfRule type="expression" dxfId="19036" priority="5100">
      <formula>AND(Y94&gt;70000,Y94&lt;70004)</formula>
    </cfRule>
    <cfRule type="expression" dxfId="19035" priority="5101" stopIfTrue="1">
      <formula>OR(AND(Y94&gt;=10000,Y94&lt;=56999),AND(Y94&gt;=57000,Y94&lt;=57999))</formula>
    </cfRule>
    <cfRule type="expression" dxfId="19034" priority="5102" stopIfTrue="1">
      <formula>AND(Y94&gt;=8000,Y94&lt;=9999)</formula>
    </cfRule>
    <cfRule type="expression" dxfId="19033" priority="5103" stopIfTrue="1">
      <formula>AND(Y94&gt;=78100,Y94&lt;=78199)</formula>
    </cfRule>
    <cfRule type="expression" dxfId="19032" priority="5104" stopIfTrue="1">
      <formula>AND(Y94&gt;=92000,Y94&lt;=98999)</formula>
    </cfRule>
    <cfRule type="expression" dxfId="19031" priority="5105" stopIfTrue="1">
      <formula>AND(Y94&gt;=78100,Y94&lt;=78199)</formula>
    </cfRule>
    <cfRule type="expression" dxfId="19030" priority="5106" stopIfTrue="1">
      <formula>AND(Y94&gt;=91000,Y94&lt;=91999)</formula>
    </cfRule>
  </conditionalFormatting>
  <conditionalFormatting sqref="X94">
    <cfRule type="expression" dxfId="19029" priority="5085">
      <formula>AND(Y94&gt;=79001,Y94&lt;79900)</formula>
    </cfRule>
    <cfRule type="expression" dxfId="19028" priority="5086" stopIfTrue="1">
      <formula>AND(Y94&gt;=70101,Y94&lt;=70301)</formula>
    </cfRule>
    <cfRule type="expression" dxfId="19027" priority="5087" stopIfTrue="1">
      <formula>AND(Y94&gt;70000,Y94&lt;70004)</formula>
    </cfRule>
    <cfRule type="expression" dxfId="19026" priority="5088" stopIfTrue="1">
      <formula>AND(Y94&gt;=70010,Y94&lt;=76000)</formula>
    </cfRule>
    <cfRule type="expression" dxfId="19025" priority="5089">
      <formula>AND(Y94&gt;70000,Y94&lt;70004)</formula>
    </cfRule>
    <cfRule type="expression" dxfId="19024" priority="5090" stopIfTrue="1">
      <formula>OR(AND(Y94&gt;=10000,Y94&lt;=56999),AND(Y94&gt;=57000,Y94&lt;=57999))</formula>
    </cfRule>
    <cfRule type="expression" dxfId="19023" priority="5091" stopIfTrue="1">
      <formula>AND(Y94&gt;=8000,Y94&lt;=9999)</formula>
    </cfRule>
    <cfRule type="expression" dxfId="19022" priority="5092" stopIfTrue="1">
      <formula>AND(Y94&gt;=78100,Y94&lt;=78199)</formula>
    </cfRule>
    <cfRule type="expression" dxfId="19021" priority="5093" stopIfTrue="1">
      <formula>AND(Y94&gt;=92000,Y94&lt;=98999)</formula>
    </cfRule>
    <cfRule type="expression" dxfId="19020" priority="5094" stopIfTrue="1">
      <formula>AND(Y94&gt;=78100,Y94&lt;=78199)</formula>
    </cfRule>
    <cfRule type="expression" dxfId="19019" priority="5095" stopIfTrue="1">
      <formula>AND(Y94&gt;=91000,Y94&lt;=91999)</formula>
    </cfRule>
  </conditionalFormatting>
  <conditionalFormatting sqref="AB94">
    <cfRule type="expression" dxfId="19018" priority="5074">
      <formula>AND(AC94&gt;=79001,AC94&lt;79900)</formula>
    </cfRule>
    <cfRule type="expression" dxfId="19017" priority="5075" stopIfTrue="1">
      <formula>AND(AC94&gt;=70101,AC94&lt;=70301)</formula>
    </cfRule>
    <cfRule type="expression" dxfId="19016" priority="5076" stopIfTrue="1">
      <formula>AND(AC94&gt;70000,AC94&lt;70004)</formula>
    </cfRule>
    <cfRule type="expression" dxfId="19015" priority="5077" stopIfTrue="1">
      <formula>AND(AC94&gt;=70010,AC94&lt;=76000)</formula>
    </cfRule>
    <cfRule type="expression" dxfId="19014" priority="5078">
      <formula>AND(AC94&gt;70000,AC94&lt;70004)</formula>
    </cfRule>
    <cfRule type="expression" dxfId="19013" priority="5079" stopIfTrue="1">
      <formula>OR(AND(AC94&gt;=10000,AC94&lt;=56999),AND(AC94&gt;=57000,AC94&lt;=57999))</formula>
    </cfRule>
    <cfRule type="expression" dxfId="19012" priority="5080" stopIfTrue="1">
      <formula>AND(AC94&gt;=8000,AC94&lt;=9999)</formula>
    </cfRule>
    <cfRule type="expression" dxfId="19011" priority="5081" stopIfTrue="1">
      <formula>AND(AC94&gt;=78100,AC94&lt;=78199)</formula>
    </cfRule>
    <cfRule type="expression" dxfId="19010" priority="5082" stopIfTrue="1">
      <formula>AND(AC94&gt;=92000,AC94&lt;=98999)</formula>
    </cfRule>
    <cfRule type="expression" dxfId="19009" priority="5083" stopIfTrue="1">
      <formula>AND(AC94&gt;=78100,AC94&lt;=78199)</formula>
    </cfRule>
    <cfRule type="expression" dxfId="19008" priority="5084" stopIfTrue="1">
      <formula>AND(AC94&gt;=91000,AC94&lt;=91999)</formula>
    </cfRule>
  </conditionalFormatting>
  <conditionalFormatting sqref="AB94">
    <cfRule type="expression" dxfId="19007" priority="5063">
      <formula>AND(AC94&gt;=79001,AC94&lt;79900)</formula>
    </cfRule>
    <cfRule type="expression" dxfId="19006" priority="5064" stopIfTrue="1">
      <formula>AND(AC94&gt;=70101,AC94&lt;=70301)</formula>
    </cfRule>
    <cfRule type="expression" dxfId="19005" priority="5065" stopIfTrue="1">
      <formula>AND(AC94&gt;70000,AC94&lt;70004)</formula>
    </cfRule>
    <cfRule type="expression" dxfId="19004" priority="5066" stopIfTrue="1">
      <formula>AND(AC94&gt;=70010,AC94&lt;=76000)</formula>
    </cfRule>
    <cfRule type="expression" dxfId="19003" priority="5067">
      <formula>AND(AC94&gt;70000,AC94&lt;70004)</formula>
    </cfRule>
    <cfRule type="expression" dxfId="19002" priority="5068" stopIfTrue="1">
      <formula>OR(AND(AC94&gt;=10000,AC94&lt;=56999),AND(AC94&gt;=57000,AC94&lt;=57999))</formula>
    </cfRule>
    <cfRule type="expression" dxfId="19001" priority="5069" stopIfTrue="1">
      <formula>AND(AC94&gt;=8000,AC94&lt;=9999)</formula>
    </cfRule>
    <cfRule type="expression" dxfId="19000" priority="5070" stopIfTrue="1">
      <formula>AND(AC94&gt;=78100,AC94&lt;=78199)</formula>
    </cfRule>
    <cfRule type="expression" dxfId="18999" priority="5071" stopIfTrue="1">
      <formula>AND(AC94&gt;=92000,AC94&lt;=98999)</formula>
    </cfRule>
    <cfRule type="expression" dxfId="18998" priority="5072" stopIfTrue="1">
      <formula>AND(AC94&gt;=78100,AC94&lt;=78199)</formula>
    </cfRule>
    <cfRule type="expression" dxfId="18997" priority="5073" stopIfTrue="1">
      <formula>AND(AC94&gt;=91000,AC94&lt;=91999)</formula>
    </cfRule>
  </conditionalFormatting>
  <conditionalFormatting sqref="AB94">
    <cfRule type="expression" dxfId="18996" priority="5052">
      <formula>AND(AC94&gt;=79001,AC94&lt;79900)</formula>
    </cfRule>
    <cfRule type="expression" dxfId="18995" priority="5053" stopIfTrue="1">
      <formula>AND(AC94&gt;=70101,AC94&lt;=70301)</formula>
    </cfRule>
    <cfRule type="expression" dxfId="18994" priority="5054" stopIfTrue="1">
      <formula>AND(AC94&gt;70000,AC94&lt;70004)</formula>
    </cfRule>
    <cfRule type="expression" dxfId="18993" priority="5055" stopIfTrue="1">
      <formula>AND(AC94&gt;=70010,AC94&lt;=76000)</formula>
    </cfRule>
    <cfRule type="expression" dxfId="18992" priority="5056">
      <formula>AND(AC94&gt;70000,AC94&lt;70004)</formula>
    </cfRule>
    <cfRule type="expression" dxfId="18991" priority="5057" stopIfTrue="1">
      <formula>OR(AND(AC94&gt;=10000,AC94&lt;=56999),AND(AC94&gt;=57000,AC94&lt;=57999))</formula>
    </cfRule>
    <cfRule type="expression" dxfId="18990" priority="5058" stopIfTrue="1">
      <formula>AND(AC94&gt;=8000,AC94&lt;=9999)</formula>
    </cfRule>
    <cfRule type="expression" dxfId="18989" priority="5059" stopIfTrue="1">
      <formula>AND(AC94&gt;=78100,AC94&lt;=78199)</formula>
    </cfRule>
    <cfRule type="expression" dxfId="18988" priority="5060" stopIfTrue="1">
      <formula>AND(AC94&gt;=92000,AC94&lt;=98999)</formula>
    </cfRule>
    <cfRule type="expression" dxfId="18987" priority="5061" stopIfTrue="1">
      <formula>AND(AC94&gt;=78100,AC94&lt;=78199)</formula>
    </cfRule>
    <cfRule type="expression" dxfId="18986" priority="5062" stopIfTrue="1">
      <formula>AND(AC94&gt;=91000,AC94&lt;=91999)</formula>
    </cfRule>
  </conditionalFormatting>
  <conditionalFormatting sqref="AB94">
    <cfRule type="expression" dxfId="18985" priority="5041">
      <formula>AND(AC94&gt;=79001,AC94&lt;79900)</formula>
    </cfRule>
    <cfRule type="expression" dxfId="18984" priority="5042" stopIfTrue="1">
      <formula>AND(AC94&gt;=70101,AC94&lt;=70301)</formula>
    </cfRule>
    <cfRule type="expression" dxfId="18983" priority="5043" stopIfTrue="1">
      <formula>AND(AC94&gt;70000,AC94&lt;70004)</formula>
    </cfRule>
    <cfRule type="expression" dxfId="18982" priority="5044" stopIfTrue="1">
      <formula>AND(AC94&gt;=70010,AC94&lt;=76000)</formula>
    </cfRule>
    <cfRule type="expression" dxfId="18981" priority="5045">
      <formula>AND(AC94&gt;70000,AC94&lt;70004)</formula>
    </cfRule>
    <cfRule type="expression" dxfId="18980" priority="5046" stopIfTrue="1">
      <formula>OR(AND(AC94&gt;=10000,AC94&lt;=56999),AND(AC94&gt;=57000,AC94&lt;=57999))</formula>
    </cfRule>
    <cfRule type="expression" dxfId="18979" priority="5047" stopIfTrue="1">
      <formula>AND(AC94&gt;=8000,AC94&lt;=9999)</formula>
    </cfRule>
    <cfRule type="expression" dxfId="18978" priority="5048" stopIfTrue="1">
      <formula>AND(AC94&gt;=78100,AC94&lt;=78199)</formula>
    </cfRule>
    <cfRule type="expression" dxfId="18977" priority="5049" stopIfTrue="1">
      <formula>AND(AC94&gt;=92000,AC94&lt;=98999)</formula>
    </cfRule>
    <cfRule type="expression" dxfId="18976" priority="5050" stopIfTrue="1">
      <formula>AND(AC94&gt;=78100,AC94&lt;=78199)</formula>
    </cfRule>
    <cfRule type="expression" dxfId="18975" priority="5051" stopIfTrue="1">
      <formula>AND(AC94&gt;=91000,AC94&lt;=91999)</formula>
    </cfRule>
  </conditionalFormatting>
  <conditionalFormatting sqref="AF94">
    <cfRule type="expression" dxfId="18974" priority="5030">
      <formula>AND(AG94&gt;=79001,AG94&lt;79900)</formula>
    </cfRule>
    <cfRule type="expression" dxfId="18973" priority="5031" stopIfTrue="1">
      <formula>AND(AG94&gt;=70101,AG94&lt;=70301)</formula>
    </cfRule>
    <cfRule type="expression" dxfId="18972" priority="5032" stopIfTrue="1">
      <formula>AND(AG94&gt;70000,AG94&lt;70004)</formula>
    </cfRule>
    <cfRule type="expression" dxfId="18971" priority="5033" stopIfTrue="1">
      <formula>AND(AG94&gt;=70010,AG94&lt;=76000)</formula>
    </cfRule>
    <cfRule type="expression" dxfId="18970" priority="5034">
      <formula>AND(AG94&gt;70000,AG94&lt;70004)</formula>
    </cfRule>
    <cfRule type="expression" dxfId="18969" priority="5035" stopIfTrue="1">
      <formula>OR(AND(AG94&gt;=10000,AG94&lt;=56999),AND(AG94&gt;=57000,AG94&lt;=57999))</formula>
    </cfRule>
    <cfRule type="expression" dxfId="18968" priority="5036" stopIfTrue="1">
      <formula>AND(AG94&gt;=8000,AG94&lt;=9999)</formula>
    </cfRule>
    <cfRule type="expression" dxfId="18967" priority="5037" stopIfTrue="1">
      <formula>AND(AG94&gt;=78100,AG94&lt;=78199)</formula>
    </cfRule>
    <cfRule type="expression" dxfId="18966" priority="5038" stopIfTrue="1">
      <formula>AND(AG94&gt;=92000,AG94&lt;=98999)</formula>
    </cfRule>
    <cfRule type="expression" dxfId="18965" priority="5039" stopIfTrue="1">
      <formula>AND(AG94&gt;=78100,AG94&lt;=78199)</formula>
    </cfRule>
    <cfRule type="expression" dxfId="18964" priority="5040" stopIfTrue="1">
      <formula>AND(AG94&gt;=91000,AG94&lt;=91999)</formula>
    </cfRule>
  </conditionalFormatting>
  <conditionalFormatting sqref="AF94">
    <cfRule type="expression" dxfId="18963" priority="5019">
      <formula>AND(AG94&gt;=79001,AG94&lt;79900)</formula>
    </cfRule>
    <cfRule type="expression" dxfId="18962" priority="5020" stopIfTrue="1">
      <formula>AND(AG94&gt;=70101,AG94&lt;=70301)</formula>
    </cfRule>
    <cfRule type="expression" dxfId="18961" priority="5021" stopIfTrue="1">
      <formula>AND(AG94&gt;70000,AG94&lt;70004)</formula>
    </cfRule>
    <cfRule type="expression" dxfId="18960" priority="5022" stopIfTrue="1">
      <formula>AND(AG94&gt;=70010,AG94&lt;=76000)</formula>
    </cfRule>
    <cfRule type="expression" dxfId="18959" priority="5023">
      <formula>AND(AG94&gt;70000,AG94&lt;70004)</formula>
    </cfRule>
    <cfRule type="expression" dxfId="18958" priority="5024" stopIfTrue="1">
      <formula>OR(AND(AG94&gt;=10000,AG94&lt;=56999),AND(AG94&gt;=57000,AG94&lt;=57999))</formula>
    </cfRule>
    <cfRule type="expression" dxfId="18957" priority="5025" stopIfTrue="1">
      <formula>AND(AG94&gt;=8000,AG94&lt;=9999)</formula>
    </cfRule>
    <cfRule type="expression" dxfId="18956" priority="5026" stopIfTrue="1">
      <formula>AND(AG94&gt;=78100,AG94&lt;=78199)</formula>
    </cfRule>
    <cfRule type="expression" dxfId="18955" priority="5027" stopIfTrue="1">
      <formula>AND(AG94&gt;=92000,AG94&lt;=98999)</formula>
    </cfRule>
    <cfRule type="expression" dxfId="18954" priority="5028" stopIfTrue="1">
      <formula>AND(AG94&gt;=78100,AG94&lt;=78199)</formula>
    </cfRule>
    <cfRule type="expression" dxfId="18953" priority="5029" stopIfTrue="1">
      <formula>AND(AG94&gt;=91000,AG94&lt;=91999)</formula>
    </cfRule>
  </conditionalFormatting>
  <conditionalFormatting sqref="AF94">
    <cfRule type="expression" dxfId="18952" priority="5008">
      <formula>AND(AG94&gt;=79001,AG94&lt;79900)</formula>
    </cfRule>
    <cfRule type="expression" dxfId="18951" priority="5009" stopIfTrue="1">
      <formula>AND(AG94&gt;=70101,AG94&lt;=70301)</formula>
    </cfRule>
    <cfRule type="expression" dxfId="18950" priority="5010" stopIfTrue="1">
      <formula>AND(AG94&gt;70000,AG94&lt;70004)</formula>
    </cfRule>
    <cfRule type="expression" dxfId="18949" priority="5011" stopIfTrue="1">
      <formula>AND(AG94&gt;=70010,AG94&lt;=76000)</formula>
    </cfRule>
    <cfRule type="expression" dxfId="18948" priority="5012">
      <formula>AND(AG94&gt;70000,AG94&lt;70004)</formula>
    </cfRule>
    <cfRule type="expression" dxfId="18947" priority="5013" stopIfTrue="1">
      <formula>OR(AND(AG94&gt;=10000,AG94&lt;=56999),AND(AG94&gt;=57000,AG94&lt;=57999))</formula>
    </cfRule>
    <cfRule type="expression" dxfId="18946" priority="5014" stopIfTrue="1">
      <formula>AND(AG94&gt;=8000,AG94&lt;=9999)</formula>
    </cfRule>
    <cfRule type="expression" dxfId="18945" priority="5015" stopIfTrue="1">
      <formula>AND(AG94&gt;=78100,AG94&lt;=78199)</formula>
    </cfRule>
    <cfRule type="expression" dxfId="18944" priority="5016" stopIfTrue="1">
      <formula>AND(AG94&gt;=92000,AG94&lt;=98999)</formula>
    </cfRule>
    <cfRule type="expression" dxfId="18943" priority="5017" stopIfTrue="1">
      <formula>AND(AG94&gt;=78100,AG94&lt;=78199)</formula>
    </cfRule>
    <cfRule type="expression" dxfId="18942" priority="5018" stopIfTrue="1">
      <formula>AND(AG94&gt;=91000,AG94&lt;=91999)</formula>
    </cfRule>
  </conditionalFormatting>
  <conditionalFormatting sqref="AF94">
    <cfRule type="expression" dxfId="18941" priority="4997">
      <formula>AND(AG94&gt;=79001,AG94&lt;79900)</formula>
    </cfRule>
    <cfRule type="expression" dxfId="18940" priority="4998" stopIfTrue="1">
      <formula>AND(AG94&gt;=70101,AG94&lt;=70301)</formula>
    </cfRule>
    <cfRule type="expression" dxfId="18939" priority="4999" stopIfTrue="1">
      <formula>AND(AG94&gt;70000,AG94&lt;70004)</formula>
    </cfRule>
    <cfRule type="expression" dxfId="18938" priority="5000" stopIfTrue="1">
      <formula>AND(AG94&gt;=70010,AG94&lt;=76000)</formula>
    </cfRule>
    <cfRule type="expression" dxfId="18937" priority="5001">
      <formula>AND(AG94&gt;70000,AG94&lt;70004)</formula>
    </cfRule>
    <cfRule type="expression" dxfId="18936" priority="5002" stopIfTrue="1">
      <formula>OR(AND(AG94&gt;=10000,AG94&lt;=56999),AND(AG94&gt;=57000,AG94&lt;=57999))</formula>
    </cfRule>
    <cfRule type="expression" dxfId="18935" priority="5003" stopIfTrue="1">
      <formula>AND(AG94&gt;=8000,AG94&lt;=9999)</formula>
    </cfRule>
    <cfRule type="expression" dxfId="18934" priority="5004" stopIfTrue="1">
      <formula>AND(AG94&gt;=78100,AG94&lt;=78199)</formula>
    </cfRule>
    <cfRule type="expression" dxfId="18933" priority="5005" stopIfTrue="1">
      <formula>AND(AG94&gt;=92000,AG94&lt;=98999)</formula>
    </cfRule>
    <cfRule type="expression" dxfId="18932" priority="5006" stopIfTrue="1">
      <formula>AND(AG94&gt;=78100,AG94&lt;=78199)</formula>
    </cfRule>
    <cfRule type="expression" dxfId="18931" priority="5007" stopIfTrue="1">
      <formula>AND(AG94&gt;=91000,AG94&lt;=91999)</formula>
    </cfRule>
  </conditionalFormatting>
  <conditionalFormatting sqref="T97">
    <cfRule type="expression" dxfId="18930" priority="4986">
      <formula>AND(U97&gt;=79001,U97&lt;79900)</formula>
    </cfRule>
    <cfRule type="expression" dxfId="18929" priority="4987" stopIfTrue="1">
      <formula>AND(U97&gt;=70101,U97&lt;=70301)</formula>
    </cfRule>
    <cfRule type="expression" dxfId="18928" priority="4988" stopIfTrue="1">
      <formula>AND(U97&gt;70000,U97&lt;70004)</formula>
    </cfRule>
    <cfRule type="expression" dxfId="18927" priority="4989" stopIfTrue="1">
      <formula>AND(U97&gt;=70010,U97&lt;=76000)</formula>
    </cfRule>
    <cfRule type="expression" dxfId="18926" priority="4990">
      <formula>AND(U97&gt;70000,U97&lt;70004)</formula>
    </cfRule>
    <cfRule type="expression" dxfId="18925" priority="4991" stopIfTrue="1">
      <formula>OR(AND(U97&gt;=10000,U97&lt;=56999),AND(U97&gt;=57000,U97&lt;=57999))</formula>
    </cfRule>
    <cfRule type="expression" dxfId="18924" priority="4992" stopIfTrue="1">
      <formula>AND(U97&gt;=8000,U97&lt;=9999)</formula>
    </cfRule>
    <cfRule type="expression" dxfId="18923" priority="4993" stopIfTrue="1">
      <formula>AND(U97&gt;=78100,U97&lt;=78199)</formula>
    </cfRule>
    <cfRule type="expression" dxfId="18922" priority="4994" stopIfTrue="1">
      <formula>AND(U97&gt;=92000,U97&lt;=98999)</formula>
    </cfRule>
    <cfRule type="expression" dxfId="18921" priority="4995" stopIfTrue="1">
      <formula>AND(U97&gt;=78100,U97&lt;=78199)</formula>
    </cfRule>
    <cfRule type="expression" dxfId="18920" priority="4996" stopIfTrue="1">
      <formula>AND(U97&gt;=91000,U97&lt;=91999)</formula>
    </cfRule>
  </conditionalFormatting>
  <conditionalFormatting sqref="T97">
    <cfRule type="expression" dxfId="18919" priority="4975">
      <formula>AND(U97&gt;=79001,U97&lt;79900)</formula>
    </cfRule>
    <cfRule type="expression" dxfId="18918" priority="4976" stopIfTrue="1">
      <formula>AND(U97&gt;=70101,U97&lt;=70301)</formula>
    </cfRule>
    <cfRule type="expression" dxfId="18917" priority="4977" stopIfTrue="1">
      <formula>AND(U97&gt;70000,U97&lt;70004)</formula>
    </cfRule>
    <cfRule type="expression" dxfId="18916" priority="4978" stopIfTrue="1">
      <formula>AND(U97&gt;=70010,U97&lt;=76000)</formula>
    </cfRule>
    <cfRule type="expression" dxfId="18915" priority="4979">
      <formula>AND(U97&gt;70000,U97&lt;70004)</formula>
    </cfRule>
    <cfRule type="expression" dxfId="18914" priority="4980" stopIfTrue="1">
      <formula>OR(AND(U97&gt;=10000,U97&lt;=56999),AND(U97&gt;=57000,U97&lt;=57999))</formula>
    </cfRule>
    <cfRule type="expression" dxfId="18913" priority="4981" stopIfTrue="1">
      <formula>AND(U97&gt;=8000,U97&lt;=9999)</formula>
    </cfRule>
    <cfRule type="expression" dxfId="18912" priority="4982" stopIfTrue="1">
      <formula>AND(U97&gt;=78100,U97&lt;=78199)</formula>
    </cfRule>
    <cfRule type="expression" dxfId="18911" priority="4983" stopIfTrue="1">
      <formula>AND(U97&gt;=92000,U97&lt;=98999)</formula>
    </cfRule>
    <cfRule type="expression" dxfId="18910" priority="4984" stopIfTrue="1">
      <formula>AND(U97&gt;=78100,U97&lt;=78199)</formula>
    </cfRule>
    <cfRule type="expression" dxfId="18909" priority="4985" stopIfTrue="1">
      <formula>AND(U97&gt;=91000,U97&lt;=91999)</formula>
    </cfRule>
  </conditionalFormatting>
  <conditionalFormatting sqref="T97">
    <cfRule type="expression" dxfId="18908" priority="4964">
      <formula>AND(U97&gt;=79001,U97&lt;79900)</formula>
    </cfRule>
    <cfRule type="expression" dxfId="18907" priority="4965" stopIfTrue="1">
      <formula>AND(U97&gt;=70101,U97&lt;=70301)</formula>
    </cfRule>
    <cfRule type="expression" dxfId="18906" priority="4966" stopIfTrue="1">
      <formula>AND(U97&gt;70000,U97&lt;70004)</formula>
    </cfRule>
    <cfRule type="expression" dxfId="18905" priority="4967" stopIfTrue="1">
      <formula>AND(U97&gt;=70010,U97&lt;=76000)</formula>
    </cfRule>
    <cfRule type="expression" dxfId="18904" priority="4968">
      <formula>AND(U97&gt;70000,U97&lt;70004)</formula>
    </cfRule>
    <cfRule type="expression" dxfId="18903" priority="4969" stopIfTrue="1">
      <formula>OR(AND(U97&gt;=10000,U97&lt;=56999),AND(U97&gt;=57000,U97&lt;=57999))</formula>
    </cfRule>
    <cfRule type="expression" dxfId="18902" priority="4970" stopIfTrue="1">
      <formula>AND(U97&gt;=8000,U97&lt;=9999)</formula>
    </cfRule>
    <cfRule type="expression" dxfId="18901" priority="4971" stopIfTrue="1">
      <formula>AND(U97&gt;=78100,U97&lt;=78199)</formula>
    </cfRule>
    <cfRule type="expression" dxfId="18900" priority="4972" stopIfTrue="1">
      <formula>AND(U97&gt;=92000,U97&lt;=98999)</formula>
    </cfRule>
    <cfRule type="expression" dxfId="18899" priority="4973" stopIfTrue="1">
      <formula>AND(U97&gt;=78100,U97&lt;=78199)</formula>
    </cfRule>
    <cfRule type="expression" dxfId="18898" priority="4974" stopIfTrue="1">
      <formula>AND(U97&gt;=91000,U97&lt;=91999)</formula>
    </cfRule>
  </conditionalFormatting>
  <conditionalFormatting sqref="T97">
    <cfRule type="expression" dxfId="18897" priority="4953">
      <formula>AND(U97&gt;=79001,U97&lt;79900)</formula>
    </cfRule>
    <cfRule type="expression" dxfId="18896" priority="4954" stopIfTrue="1">
      <formula>AND(U97&gt;=70101,U97&lt;=70301)</formula>
    </cfRule>
    <cfRule type="expression" dxfId="18895" priority="4955" stopIfTrue="1">
      <formula>AND(U97&gt;70000,U97&lt;70004)</formula>
    </cfRule>
    <cfRule type="expression" dxfId="18894" priority="4956" stopIfTrue="1">
      <formula>AND(U97&gt;=70010,U97&lt;=76000)</formula>
    </cfRule>
    <cfRule type="expression" dxfId="18893" priority="4957">
      <formula>AND(U97&gt;70000,U97&lt;70004)</formula>
    </cfRule>
    <cfRule type="expression" dxfId="18892" priority="4958" stopIfTrue="1">
      <formula>OR(AND(U97&gt;=10000,U97&lt;=56999),AND(U97&gt;=57000,U97&lt;=57999))</formula>
    </cfRule>
    <cfRule type="expression" dxfId="18891" priority="4959" stopIfTrue="1">
      <formula>AND(U97&gt;=8000,U97&lt;=9999)</formula>
    </cfRule>
    <cfRule type="expression" dxfId="18890" priority="4960" stopIfTrue="1">
      <formula>AND(U97&gt;=78100,U97&lt;=78199)</formula>
    </cfRule>
    <cfRule type="expression" dxfId="18889" priority="4961" stopIfTrue="1">
      <formula>AND(U97&gt;=92000,U97&lt;=98999)</formula>
    </cfRule>
    <cfRule type="expression" dxfId="18888" priority="4962" stopIfTrue="1">
      <formula>AND(U97&gt;=78100,U97&lt;=78199)</formula>
    </cfRule>
    <cfRule type="expression" dxfId="18887" priority="4963" stopIfTrue="1">
      <formula>AND(U97&gt;=91000,U97&lt;=91999)</formula>
    </cfRule>
  </conditionalFormatting>
  <conditionalFormatting sqref="X97">
    <cfRule type="expression" dxfId="18886" priority="4942">
      <formula>AND(Y97&gt;=79001,Y97&lt;79900)</formula>
    </cfRule>
    <cfRule type="expression" dxfId="18885" priority="4943" stopIfTrue="1">
      <formula>AND(Y97&gt;=70101,Y97&lt;=70301)</formula>
    </cfRule>
    <cfRule type="expression" dxfId="18884" priority="4944" stopIfTrue="1">
      <formula>AND(Y97&gt;70000,Y97&lt;70004)</formula>
    </cfRule>
    <cfRule type="expression" dxfId="18883" priority="4945" stopIfTrue="1">
      <formula>AND(Y97&gt;=70010,Y97&lt;=76000)</formula>
    </cfRule>
    <cfRule type="expression" dxfId="18882" priority="4946">
      <formula>AND(Y97&gt;70000,Y97&lt;70004)</formula>
    </cfRule>
    <cfRule type="expression" dxfId="18881" priority="4947" stopIfTrue="1">
      <formula>OR(AND(Y97&gt;=10000,Y97&lt;=56999),AND(Y97&gt;=57000,Y97&lt;=57999))</formula>
    </cfRule>
    <cfRule type="expression" dxfId="18880" priority="4948" stopIfTrue="1">
      <formula>AND(Y97&gt;=8000,Y97&lt;=9999)</formula>
    </cfRule>
    <cfRule type="expression" dxfId="18879" priority="4949" stopIfTrue="1">
      <formula>AND(Y97&gt;=78100,Y97&lt;=78199)</formula>
    </cfRule>
    <cfRule type="expression" dxfId="18878" priority="4950" stopIfTrue="1">
      <formula>AND(Y97&gt;=92000,Y97&lt;=98999)</formula>
    </cfRule>
    <cfRule type="expression" dxfId="18877" priority="4951" stopIfTrue="1">
      <formula>AND(Y97&gt;=78100,Y97&lt;=78199)</formula>
    </cfRule>
    <cfRule type="expression" dxfId="18876" priority="4952" stopIfTrue="1">
      <formula>AND(Y97&gt;=91000,Y97&lt;=91999)</formula>
    </cfRule>
  </conditionalFormatting>
  <conditionalFormatting sqref="X97">
    <cfRule type="expression" dxfId="18875" priority="4931">
      <formula>AND(Y97&gt;=79001,Y97&lt;79900)</formula>
    </cfRule>
    <cfRule type="expression" dxfId="18874" priority="4932" stopIfTrue="1">
      <formula>AND(Y97&gt;=70101,Y97&lt;=70301)</formula>
    </cfRule>
    <cfRule type="expression" dxfId="18873" priority="4933" stopIfTrue="1">
      <formula>AND(Y97&gt;70000,Y97&lt;70004)</formula>
    </cfRule>
    <cfRule type="expression" dxfId="18872" priority="4934" stopIfTrue="1">
      <formula>AND(Y97&gt;=70010,Y97&lt;=76000)</formula>
    </cfRule>
    <cfRule type="expression" dxfId="18871" priority="4935">
      <formula>AND(Y97&gt;70000,Y97&lt;70004)</formula>
    </cfRule>
    <cfRule type="expression" dxfId="18870" priority="4936" stopIfTrue="1">
      <formula>OR(AND(Y97&gt;=10000,Y97&lt;=56999),AND(Y97&gt;=57000,Y97&lt;=57999))</formula>
    </cfRule>
    <cfRule type="expression" dxfId="18869" priority="4937" stopIfTrue="1">
      <formula>AND(Y97&gt;=8000,Y97&lt;=9999)</formula>
    </cfRule>
    <cfRule type="expression" dxfId="18868" priority="4938" stopIfTrue="1">
      <formula>AND(Y97&gt;=78100,Y97&lt;=78199)</formula>
    </cfRule>
    <cfRule type="expression" dxfId="18867" priority="4939" stopIfTrue="1">
      <formula>AND(Y97&gt;=92000,Y97&lt;=98999)</formula>
    </cfRule>
    <cfRule type="expression" dxfId="18866" priority="4940" stopIfTrue="1">
      <formula>AND(Y97&gt;=78100,Y97&lt;=78199)</formula>
    </cfRule>
    <cfRule type="expression" dxfId="18865" priority="4941" stopIfTrue="1">
      <formula>AND(Y97&gt;=91000,Y97&lt;=91999)</formula>
    </cfRule>
  </conditionalFormatting>
  <conditionalFormatting sqref="X97">
    <cfRule type="expression" dxfId="18864" priority="4920">
      <formula>AND(Y97&gt;=79001,Y97&lt;79900)</formula>
    </cfRule>
    <cfRule type="expression" dxfId="18863" priority="4921" stopIfTrue="1">
      <formula>AND(Y97&gt;=70101,Y97&lt;=70301)</formula>
    </cfRule>
    <cfRule type="expression" dxfId="18862" priority="4922" stopIfTrue="1">
      <formula>AND(Y97&gt;70000,Y97&lt;70004)</formula>
    </cfRule>
    <cfRule type="expression" dxfId="18861" priority="4923" stopIfTrue="1">
      <formula>AND(Y97&gt;=70010,Y97&lt;=76000)</formula>
    </cfRule>
    <cfRule type="expression" dxfId="18860" priority="4924">
      <formula>AND(Y97&gt;70000,Y97&lt;70004)</formula>
    </cfRule>
    <cfRule type="expression" dxfId="18859" priority="4925" stopIfTrue="1">
      <formula>OR(AND(Y97&gt;=10000,Y97&lt;=56999),AND(Y97&gt;=57000,Y97&lt;=57999))</formula>
    </cfRule>
    <cfRule type="expression" dxfId="18858" priority="4926" stopIfTrue="1">
      <formula>AND(Y97&gt;=8000,Y97&lt;=9999)</formula>
    </cfRule>
    <cfRule type="expression" dxfId="18857" priority="4927" stopIfTrue="1">
      <formula>AND(Y97&gt;=78100,Y97&lt;=78199)</formula>
    </cfRule>
    <cfRule type="expression" dxfId="18856" priority="4928" stopIfTrue="1">
      <formula>AND(Y97&gt;=92000,Y97&lt;=98999)</formula>
    </cfRule>
    <cfRule type="expression" dxfId="18855" priority="4929" stopIfTrue="1">
      <formula>AND(Y97&gt;=78100,Y97&lt;=78199)</formula>
    </cfRule>
    <cfRule type="expression" dxfId="18854" priority="4930" stopIfTrue="1">
      <formula>AND(Y97&gt;=91000,Y97&lt;=91999)</formula>
    </cfRule>
  </conditionalFormatting>
  <conditionalFormatting sqref="X97">
    <cfRule type="expression" dxfId="18853" priority="4909">
      <formula>AND(Y97&gt;=79001,Y97&lt;79900)</formula>
    </cfRule>
    <cfRule type="expression" dxfId="18852" priority="4910" stopIfTrue="1">
      <formula>AND(Y97&gt;=70101,Y97&lt;=70301)</formula>
    </cfRule>
    <cfRule type="expression" dxfId="18851" priority="4911" stopIfTrue="1">
      <formula>AND(Y97&gt;70000,Y97&lt;70004)</formula>
    </cfRule>
    <cfRule type="expression" dxfId="18850" priority="4912" stopIfTrue="1">
      <formula>AND(Y97&gt;=70010,Y97&lt;=76000)</formula>
    </cfRule>
    <cfRule type="expression" dxfId="18849" priority="4913">
      <formula>AND(Y97&gt;70000,Y97&lt;70004)</formula>
    </cfRule>
    <cfRule type="expression" dxfId="18848" priority="4914" stopIfTrue="1">
      <formula>OR(AND(Y97&gt;=10000,Y97&lt;=56999),AND(Y97&gt;=57000,Y97&lt;=57999))</formula>
    </cfRule>
    <cfRule type="expression" dxfId="18847" priority="4915" stopIfTrue="1">
      <formula>AND(Y97&gt;=8000,Y97&lt;=9999)</formula>
    </cfRule>
    <cfRule type="expression" dxfId="18846" priority="4916" stopIfTrue="1">
      <formula>AND(Y97&gt;=78100,Y97&lt;=78199)</formula>
    </cfRule>
    <cfRule type="expression" dxfId="18845" priority="4917" stopIfTrue="1">
      <formula>AND(Y97&gt;=92000,Y97&lt;=98999)</formula>
    </cfRule>
    <cfRule type="expression" dxfId="18844" priority="4918" stopIfTrue="1">
      <formula>AND(Y97&gt;=78100,Y97&lt;=78199)</formula>
    </cfRule>
    <cfRule type="expression" dxfId="18843" priority="4919" stopIfTrue="1">
      <formula>AND(Y97&gt;=91000,Y97&lt;=91999)</formula>
    </cfRule>
  </conditionalFormatting>
  <conditionalFormatting sqref="AB97">
    <cfRule type="expression" dxfId="18842" priority="4898">
      <formula>AND(AC97&gt;=79001,AC97&lt;79900)</formula>
    </cfRule>
    <cfRule type="expression" dxfId="18841" priority="4899" stopIfTrue="1">
      <formula>AND(AC97&gt;=70101,AC97&lt;=70301)</formula>
    </cfRule>
    <cfRule type="expression" dxfId="18840" priority="4900" stopIfTrue="1">
      <formula>AND(AC97&gt;70000,AC97&lt;70004)</formula>
    </cfRule>
    <cfRule type="expression" dxfId="18839" priority="4901" stopIfTrue="1">
      <formula>AND(AC97&gt;=70010,AC97&lt;=76000)</formula>
    </cfRule>
    <cfRule type="expression" dxfId="18838" priority="4902">
      <formula>AND(AC97&gt;70000,AC97&lt;70004)</formula>
    </cfRule>
    <cfRule type="expression" dxfId="18837" priority="4903" stopIfTrue="1">
      <formula>OR(AND(AC97&gt;=10000,AC97&lt;=56999),AND(AC97&gt;=57000,AC97&lt;=57999))</formula>
    </cfRule>
    <cfRule type="expression" dxfId="18836" priority="4904" stopIfTrue="1">
      <formula>AND(AC97&gt;=8000,AC97&lt;=9999)</formula>
    </cfRule>
    <cfRule type="expression" dxfId="18835" priority="4905" stopIfTrue="1">
      <formula>AND(AC97&gt;=78100,AC97&lt;=78199)</formula>
    </cfRule>
    <cfRule type="expression" dxfId="18834" priority="4906" stopIfTrue="1">
      <formula>AND(AC97&gt;=92000,AC97&lt;=98999)</formula>
    </cfRule>
    <cfRule type="expression" dxfId="18833" priority="4907" stopIfTrue="1">
      <formula>AND(AC97&gt;=78100,AC97&lt;=78199)</formula>
    </cfRule>
    <cfRule type="expression" dxfId="18832" priority="4908" stopIfTrue="1">
      <formula>AND(AC97&gt;=91000,AC97&lt;=91999)</formula>
    </cfRule>
  </conditionalFormatting>
  <conditionalFormatting sqref="AB97">
    <cfRule type="expression" dxfId="18831" priority="4887">
      <formula>AND(AC97&gt;=79001,AC97&lt;79900)</formula>
    </cfRule>
    <cfRule type="expression" dxfId="18830" priority="4888" stopIfTrue="1">
      <formula>AND(AC97&gt;=70101,AC97&lt;=70301)</formula>
    </cfRule>
    <cfRule type="expression" dxfId="18829" priority="4889" stopIfTrue="1">
      <formula>AND(AC97&gt;70000,AC97&lt;70004)</formula>
    </cfRule>
    <cfRule type="expression" dxfId="18828" priority="4890" stopIfTrue="1">
      <formula>AND(AC97&gt;=70010,AC97&lt;=76000)</formula>
    </cfRule>
    <cfRule type="expression" dxfId="18827" priority="4891">
      <formula>AND(AC97&gt;70000,AC97&lt;70004)</formula>
    </cfRule>
    <cfRule type="expression" dxfId="18826" priority="4892" stopIfTrue="1">
      <formula>OR(AND(AC97&gt;=10000,AC97&lt;=56999),AND(AC97&gt;=57000,AC97&lt;=57999))</formula>
    </cfRule>
    <cfRule type="expression" dxfId="18825" priority="4893" stopIfTrue="1">
      <formula>AND(AC97&gt;=8000,AC97&lt;=9999)</formula>
    </cfRule>
    <cfRule type="expression" dxfId="18824" priority="4894" stopIfTrue="1">
      <formula>AND(AC97&gt;=78100,AC97&lt;=78199)</formula>
    </cfRule>
    <cfRule type="expression" dxfId="18823" priority="4895" stopIfTrue="1">
      <formula>AND(AC97&gt;=92000,AC97&lt;=98999)</formula>
    </cfRule>
    <cfRule type="expression" dxfId="18822" priority="4896" stopIfTrue="1">
      <formula>AND(AC97&gt;=78100,AC97&lt;=78199)</formula>
    </cfRule>
    <cfRule type="expression" dxfId="18821" priority="4897" stopIfTrue="1">
      <formula>AND(AC97&gt;=91000,AC97&lt;=91999)</formula>
    </cfRule>
  </conditionalFormatting>
  <conditionalFormatting sqref="AB97">
    <cfRule type="expression" dxfId="18820" priority="4876">
      <formula>AND(AC97&gt;=79001,AC97&lt;79900)</formula>
    </cfRule>
    <cfRule type="expression" dxfId="18819" priority="4877" stopIfTrue="1">
      <formula>AND(AC97&gt;=70101,AC97&lt;=70301)</formula>
    </cfRule>
    <cfRule type="expression" dxfId="18818" priority="4878" stopIfTrue="1">
      <formula>AND(AC97&gt;70000,AC97&lt;70004)</formula>
    </cfRule>
    <cfRule type="expression" dxfId="18817" priority="4879" stopIfTrue="1">
      <formula>AND(AC97&gt;=70010,AC97&lt;=76000)</formula>
    </cfRule>
    <cfRule type="expression" dxfId="18816" priority="4880">
      <formula>AND(AC97&gt;70000,AC97&lt;70004)</formula>
    </cfRule>
    <cfRule type="expression" dxfId="18815" priority="4881" stopIfTrue="1">
      <formula>OR(AND(AC97&gt;=10000,AC97&lt;=56999),AND(AC97&gt;=57000,AC97&lt;=57999))</formula>
    </cfRule>
    <cfRule type="expression" dxfId="18814" priority="4882" stopIfTrue="1">
      <formula>AND(AC97&gt;=8000,AC97&lt;=9999)</formula>
    </cfRule>
    <cfRule type="expression" dxfId="18813" priority="4883" stopIfTrue="1">
      <formula>AND(AC97&gt;=78100,AC97&lt;=78199)</formula>
    </cfRule>
    <cfRule type="expression" dxfId="18812" priority="4884" stopIfTrue="1">
      <formula>AND(AC97&gt;=92000,AC97&lt;=98999)</formula>
    </cfRule>
    <cfRule type="expression" dxfId="18811" priority="4885" stopIfTrue="1">
      <formula>AND(AC97&gt;=78100,AC97&lt;=78199)</formula>
    </cfRule>
    <cfRule type="expression" dxfId="18810" priority="4886" stopIfTrue="1">
      <formula>AND(AC97&gt;=91000,AC97&lt;=91999)</formula>
    </cfRule>
  </conditionalFormatting>
  <conditionalFormatting sqref="AB97">
    <cfRule type="expression" dxfId="18809" priority="4865">
      <formula>AND(AC97&gt;=79001,AC97&lt;79900)</formula>
    </cfRule>
    <cfRule type="expression" dxfId="18808" priority="4866" stopIfTrue="1">
      <formula>AND(AC97&gt;=70101,AC97&lt;=70301)</formula>
    </cfRule>
    <cfRule type="expression" dxfId="18807" priority="4867" stopIfTrue="1">
      <formula>AND(AC97&gt;70000,AC97&lt;70004)</formula>
    </cfRule>
    <cfRule type="expression" dxfId="18806" priority="4868" stopIfTrue="1">
      <formula>AND(AC97&gt;=70010,AC97&lt;=76000)</formula>
    </cfRule>
    <cfRule type="expression" dxfId="18805" priority="4869">
      <formula>AND(AC97&gt;70000,AC97&lt;70004)</formula>
    </cfRule>
    <cfRule type="expression" dxfId="18804" priority="4870" stopIfTrue="1">
      <formula>OR(AND(AC97&gt;=10000,AC97&lt;=56999),AND(AC97&gt;=57000,AC97&lt;=57999))</formula>
    </cfRule>
    <cfRule type="expression" dxfId="18803" priority="4871" stopIfTrue="1">
      <formula>AND(AC97&gt;=8000,AC97&lt;=9999)</formula>
    </cfRule>
    <cfRule type="expression" dxfId="18802" priority="4872" stopIfTrue="1">
      <formula>AND(AC97&gt;=78100,AC97&lt;=78199)</formula>
    </cfRule>
    <cfRule type="expression" dxfId="18801" priority="4873" stopIfTrue="1">
      <formula>AND(AC97&gt;=92000,AC97&lt;=98999)</formula>
    </cfRule>
    <cfRule type="expression" dxfId="18800" priority="4874" stopIfTrue="1">
      <formula>AND(AC97&gt;=78100,AC97&lt;=78199)</formula>
    </cfRule>
    <cfRule type="expression" dxfId="18799" priority="4875" stopIfTrue="1">
      <formula>AND(AC97&gt;=91000,AC97&lt;=91999)</formula>
    </cfRule>
  </conditionalFormatting>
  <conditionalFormatting sqref="AF97">
    <cfRule type="expression" dxfId="18798" priority="4854">
      <formula>AND(AG97&gt;=79001,AG97&lt;79900)</formula>
    </cfRule>
    <cfRule type="expression" dxfId="18797" priority="4855" stopIfTrue="1">
      <formula>AND(AG97&gt;=70101,AG97&lt;=70301)</formula>
    </cfRule>
    <cfRule type="expression" dxfId="18796" priority="4856" stopIfTrue="1">
      <formula>AND(AG97&gt;70000,AG97&lt;70004)</formula>
    </cfRule>
    <cfRule type="expression" dxfId="18795" priority="4857" stopIfTrue="1">
      <formula>AND(AG97&gt;=70010,AG97&lt;=76000)</formula>
    </cfRule>
    <cfRule type="expression" dxfId="18794" priority="4858">
      <formula>AND(AG97&gt;70000,AG97&lt;70004)</formula>
    </cfRule>
    <cfRule type="expression" dxfId="18793" priority="4859" stopIfTrue="1">
      <formula>OR(AND(AG97&gt;=10000,AG97&lt;=56999),AND(AG97&gt;=57000,AG97&lt;=57999))</formula>
    </cfRule>
    <cfRule type="expression" dxfId="18792" priority="4860" stopIfTrue="1">
      <formula>AND(AG97&gt;=8000,AG97&lt;=9999)</formula>
    </cfRule>
    <cfRule type="expression" dxfId="18791" priority="4861" stopIfTrue="1">
      <formula>AND(AG97&gt;=78100,AG97&lt;=78199)</formula>
    </cfRule>
    <cfRule type="expression" dxfId="18790" priority="4862" stopIfTrue="1">
      <formula>AND(AG97&gt;=92000,AG97&lt;=98999)</formula>
    </cfRule>
    <cfRule type="expression" dxfId="18789" priority="4863" stopIfTrue="1">
      <formula>AND(AG97&gt;=78100,AG97&lt;=78199)</formula>
    </cfRule>
    <cfRule type="expression" dxfId="18788" priority="4864" stopIfTrue="1">
      <formula>AND(AG97&gt;=91000,AG97&lt;=91999)</formula>
    </cfRule>
  </conditionalFormatting>
  <conditionalFormatting sqref="AF97">
    <cfRule type="expression" dxfId="18787" priority="4843">
      <formula>AND(AG97&gt;=79001,AG97&lt;79900)</formula>
    </cfRule>
    <cfRule type="expression" dxfId="18786" priority="4844" stopIfTrue="1">
      <formula>AND(AG97&gt;=70101,AG97&lt;=70301)</formula>
    </cfRule>
    <cfRule type="expression" dxfId="18785" priority="4845" stopIfTrue="1">
      <formula>AND(AG97&gt;70000,AG97&lt;70004)</formula>
    </cfRule>
    <cfRule type="expression" dxfId="18784" priority="4846" stopIfTrue="1">
      <formula>AND(AG97&gt;=70010,AG97&lt;=76000)</formula>
    </cfRule>
    <cfRule type="expression" dxfId="18783" priority="4847">
      <formula>AND(AG97&gt;70000,AG97&lt;70004)</formula>
    </cfRule>
    <cfRule type="expression" dxfId="18782" priority="4848" stopIfTrue="1">
      <formula>OR(AND(AG97&gt;=10000,AG97&lt;=56999),AND(AG97&gt;=57000,AG97&lt;=57999))</formula>
    </cfRule>
    <cfRule type="expression" dxfId="18781" priority="4849" stopIfTrue="1">
      <formula>AND(AG97&gt;=8000,AG97&lt;=9999)</formula>
    </cfRule>
    <cfRule type="expression" dxfId="18780" priority="4850" stopIfTrue="1">
      <formula>AND(AG97&gt;=78100,AG97&lt;=78199)</formula>
    </cfRule>
    <cfRule type="expression" dxfId="18779" priority="4851" stopIfTrue="1">
      <formula>AND(AG97&gt;=92000,AG97&lt;=98999)</formula>
    </cfRule>
    <cfRule type="expression" dxfId="18778" priority="4852" stopIfTrue="1">
      <formula>AND(AG97&gt;=78100,AG97&lt;=78199)</formula>
    </cfRule>
    <cfRule type="expression" dxfId="18777" priority="4853" stopIfTrue="1">
      <formula>AND(AG97&gt;=91000,AG97&lt;=91999)</formula>
    </cfRule>
  </conditionalFormatting>
  <conditionalFormatting sqref="AF97">
    <cfRule type="expression" dxfId="18776" priority="4832">
      <formula>AND(AG97&gt;=79001,AG97&lt;79900)</formula>
    </cfRule>
    <cfRule type="expression" dxfId="18775" priority="4833" stopIfTrue="1">
      <formula>AND(AG97&gt;=70101,AG97&lt;=70301)</formula>
    </cfRule>
    <cfRule type="expression" dxfId="18774" priority="4834" stopIfTrue="1">
      <formula>AND(AG97&gt;70000,AG97&lt;70004)</formula>
    </cfRule>
    <cfRule type="expression" dxfId="18773" priority="4835" stopIfTrue="1">
      <formula>AND(AG97&gt;=70010,AG97&lt;=76000)</formula>
    </cfRule>
    <cfRule type="expression" dxfId="18772" priority="4836">
      <formula>AND(AG97&gt;70000,AG97&lt;70004)</formula>
    </cfRule>
    <cfRule type="expression" dxfId="18771" priority="4837" stopIfTrue="1">
      <formula>OR(AND(AG97&gt;=10000,AG97&lt;=56999),AND(AG97&gt;=57000,AG97&lt;=57999))</formula>
    </cfRule>
    <cfRule type="expression" dxfId="18770" priority="4838" stopIfTrue="1">
      <formula>AND(AG97&gt;=8000,AG97&lt;=9999)</formula>
    </cfRule>
    <cfRule type="expression" dxfId="18769" priority="4839" stopIfTrue="1">
      <formula>AND(AG97&gt;=78100,AG97&lt;=78199)</formula>
    </cfRule>
    <cfRule type="expression" dxfId="18768" priority="4840" stopIfTrue="1">
      <formula>AND(AG97&gt;=92000,AG97&lt;=98999)</formula>
    </cfRule>
    <cfRule type="expression" dxfId="18767" priority="4841" stopIfTrue="1">
      <formula>AND(AG97&gt;=78100,AG97&lt;=78199)</formula>
    </cfRule>
    <cfRule type="expression" dxfId="18766" priority="4842" stopIfTrue="1">
      <formula>AND(AG97&gt;=91000,AG97&lt;=91999)</formula>
    </cfRule>
  </conditionalFormatting>
  <conditionalFormatting sqref="AF97">
    <cfRule type="expression" dxfId="18765" priority="4821">
      <formula>AND(AG97&gt;=79001,AG97&lt;79900)</formula>
    </cfRule>
    <cfRule type="expression" dxfId="18764" priority="4822" stopIfTrue="1">
      <formula>AND(AG97&gt;=70101,AG97&lt;=70301)</formula>
    </cfRule>
    <cfRule type="expression" dxfId="18763" priority="4823" stopIfTrue="1">
      <formula>AND(AG97&gt;70000,AG97&lt;70004)</formula>
    </cfRule>
    <cfRule type="expression" dxfId="18762" priority="4824" stopIfTrue="1">
      <formula>AND(AG97&gt;=70010,AG97&lt;=76000)</formula>
    </cfRule>
    <cfRule type="expression" dxfId="18761" priority="4825">
      <formula>AND(AG97&gt;70000,AG97&lt;70004)</formula>
    </cfRule>
    <cfRule type="expression" dxfId="18760" priority="4826" stopIfTrue="1">
      <formula>OR(AND(AG97&gt;=10000,AG97&lt;=56999),AND(AG97&gt;=57000,AG97&lt;=57999))</formula>
    </cfRule>
    <cfRule type="expression" dxfId="18759" priority="4827" stopIfTrue="1">
      <formula>AND(AG97&gt;=8000,AG97&lt;=9999)</formula>
    </cfRule>
    <cfRule type="expression" dxfId="18758" priority="4828" stopIfTrue="1">
      <formula>AND(AG97&gt;=78100,AG97&lt;=78199)</formula>
    </cfRule>
    <cfRule type="expression" dxfId="18757" priority="4829" stopIfTrue="1">
      <formula>AND(AG97&gt;=92000,AG97&lt;=98999)</formula>
    </cfRule>
    <cfRule type="expression" dxfId="18756" priority="4830" stopIfTrue="1">
      <formula>AND(AG97&gt;=78100,AG97&lt;=78199)</formula>
    </cfRule>
    <cfRule type="expression" dxfId="18755" priority="4831" stopIfTrue="1">
      <formula>AND(AG97&gt;=91000,AG97&lt;=91999)</formula>
    </cfRule>
  </conditionalFormatting>
  <conditionalFormatting sqref="T100">
    <cfRule type="expression" dxfId="18754" priority="4810">
      <formula>AND(U100&gt;=79001,U100&lt;79900)</formula>
    </cfRule>
    <cfRule type="expression" dxfId="18753" priority="4811" stopIfTrue="1">
      <formula>AND(U100&gt;=70101,U100&lt;=70301)</formula>
    </cfRule>
    <cfRule type="expression" dxfId="18752" priority="4812" stopIfTrue="1">
      <formula>AND(U100&gt;70000,U100&lt;70004)</formula>
    </cfRule>
    <cfRule type="expression" dxfId="18751" priority="4813" stopIfTrue="1">
      <formula>AND(U100&gt;=70010,U100&lt;=76000)</formula>
    </cfRule>
    <cfRule type="expression" dxfId="18750" priority="4814">
      <formula>AND(U100&gt;70000,U100&lt;70004)</formula>
    </cfRule>
    <cfRule type="expression" dxfId="18749" priority="4815" stopIfTrue="1">
      <formula>OR(AND(U100&gt;=10000,U100&lt;=56999),AND(U100&gt;=57000,U100&lt;=57999))</formula>
    </cfRule>
    <cfRule type="expression" dxfId="18748" priority="4816" stopIfTrue="1">
      <formula>AND(U100&gt;=8000,U100&lt;=9999)</formula>
    </cfRule>
    <cfRule type="expression" dxfId="18747" priority="4817" stopIfTrue="1">
      <formula>AND(U100&gt;=78100,U100&lt;=78199)</formula>
    </cfRule>
    <cfRule type="expression" dxfId="18746" priority="4818" stopIfTrue="1">
      <formula>AND(U100&gt;=92000,U100&lt;=98999)</formula>
    </cfRule>
    <cfRule type="expression" dxfId="18745" priority="4819" stopIfTrue="1">
      <formula>AND(U100&gt;=78100,U100&lt;=78199)</formula>
    </cfRule>
    <cfRule type="expression" dxfId="18744" priority="4820" stopIfTrue="1">
      <formula>AND(U100&gt;=91000,U100&lt;=91999)</formula>
    </cfRule>
  </conditionalFormatting>
  <conditionalFormatting sqref="T100">
    <cfRule type="expression" dxfId="18743" priority="4799">
      <formula>AND(U100&gt;=79001,U100&lt;79900)</formula>
    </cfRule>
    <cfRule type="expression" dxfId="18742" priority="4800" stopIfTrue="1">
      <formula>AND(U100&gt;=70101,U100&lt;=70301)</formula>
    </cfRule>
    <cfRule type="expression" dxfId="18741" priority="4801" stopIfTrue="1">
      <formula>AND(U100&gt;70000,U100&lt;70004)</formula>
    </cfRule>
    <cfRule type="expression" dxfId="18740" priority="4802" stopIfTrue="1">
      <formula>AND(U100&gt;=70010,U100&lt;=76000)</formula>
    </cfRule>
    <cfRule type="expression" dxfId="18739" priority="4803">
      <formula>AND(U100&gt;70000,U100&lt;70004)</formula>
    </cfRule>
    <cfRule type="expression" dxfId="18738" priority="4804" stopIfTrue="1">
      <formula>OR(AND(U100&gt;=10000,U100&lt;=56999),AND(U100&gt;=57000,U100&lt;=57999))</formula>
    </cfRule>
    <cfRule type="expression" dxfId="18737" priority="4805" stopIfTrue="1">
      <formula>AND(U100&gt;=8000,U100&lt;=9999)</formula>
    </cfRule>
    <cfRule type="expression" dxfId="18736" priority="4806" stopIfTrue="1">
      <formula>AND(U100&gt;=78100,U100&lt;=78199)</formula>
    </cfRule>
    <cfRule type="expression" dxfId="18735" priority="4807" stopIfTrue="1">
      <formula>AND(U100&gt;=92000,U100&lt;=98999)</formula>
    </cfRule>
    <cfRule type="expression" dxfId="18734" priority="4808" stopIfTrue="1">
      <formula>AND(U100&gt;=78100,U100&lt;=78199)</formula>
    </cfRule>
    <cfRule type="expression" dxfId="18733" priority="4809" stopIfTrue="1">
      <formula>AND(U100&gt;=91000,U100&lt;=91999)</formula>
    </cfRule>
  </conditionalFormatting>
  <conditionalFormatting sqref="T100">
    <cfRule type="expression" dxfId="18732" priority="4788">
      <formula>AND(U100&gt;=79001,U100&lt;79900)</formula>
    </cfRule>
    <cfRule type="expression" dxfId="18731" priority="4789" stopIfTrue="1">
      <formula>AND(U100&gt;=70101,U100&lt;=70301)</formula>
    </cfRule>
    <cfRule type="expression" dxfId="18730" priority="4790" stopIfTrue="1">
      <formula>AND(U100&gt;70000,U100&lt;70004)</formula>
    </cfRule>
    <cfRule type="expression" dxfId="18729" priority="4791" stopIfTrue="1">
      <formula>AND(U100&gt;=70010,U100&lt;=76000)</formula>
    </cfRule>
    <cfRule type="expression" dxfId="18728" priority="4792">
      <formula>AND(U100&gt;70000,U100&lt;70004)</formula>
    </cfRule>
    <cfRule type="expression" dxfId="18727" priority="4793" stopIfTrue="1">
      <formula>OR(AND(U100&gt;=10000,U100&lt;=56999),AND(U100&gt;=57000,U100&lt;=57999))</formula>
    </cfRule>
    <cfRule type="expression" dxfId="18726" priority="4794" stopIfTrue="1">
      <formula>AND(U100&gt;=8000,U100&lt;=9999)</formula>
    </cfRule>
    <cfRule type="expression" dxfId="18725" priority="4795" stopIfTrue="1">
      <formula>AND(U100&gt;=78100,U100&lt;=78199)</formula>
    </cfRule>
    <cfRule type="expression" dxfId="18724" priority="4796" stopIfTrue="1">
      <formula>AND(U100&gt;=92000,U100&lt;=98999)</formula>
    </cfRule>
    <cfRule type="expression" dxfId="18723" priority="4797" stopIfTrue="1">
      <formula>AND(U100&gt;=78100,U100&lt;=78199)</formula>
    </cfRule>
    <cfRule type="expression" dxfId="18722" priority="4798" stopIfTrue="1">
      <formula>AND(U100&gt;=91000,U100&lt;=91999)</formula>
    </cfRule>
  </conditionalFormatting>
  <conditionalFormatting sqref="T100">
    <cfRule type="expression" dxfId="18721" priority="4777">
      <formula>AND(U100&gt;=79001,U100&lt;79900)</formula>
    </cfRule>
    <cfRule type="expression" dxfId="18720" priority="4778" stopIfTrue="1">
      <formula>AND(U100&gt;=70101,U100&lt;=70301)</formula>
    </cfRule>
    <cfRule type="expression" dxfId="18719" priority="4779" stopIfTrue="1">
      <formula>AND(U100&gt;70000,U100&lt;70004)</formula>
    </cfRule>
    <cfRule type="expression" dxfId="18718" priority="4780" stopIfTrue="1">
      <formula>AND(U100&gt;=70010,U100&lt;=76000)</formula>
    </cfRule>
    <cfRule type="expression" dxfId="18717" priority="4781">
      <formula>AND(U100&gt;70000,U100&lt;70004)</formula>
    </cfRule>
    <cfRule type="expression" dxfId="18716" priority="4782" stopIfTrue="1">
      <formula>OR(AND(U100&gt;=10000,U100&lt;=56999),AND(U100&gt;=57000,U100&lt;=57999))</formula>
    </cfRule>
    <cfRule type="expression" dxfId="18715" priority="4783" stopIfTrue="1">
      <formula>AND(U100&gt;=8000,U100&lt;=9999)</formula>
    </cfRule>
    <cfRule type="expression" dxfId="18714" priority="4784" stopIfTrue="1">
      <formula>AND(U100&gt;=78100,U100&lt;=78199)</formula>
    </cfRule>
    <cfRule type="expression" dxfId="18713" priority="4785" stopIfTrue="1">
      <formula>AND(U100&gt;=92000,U100&lt;=98999)</formula>
    </cfRule>
    <cfRule type="expression" dxfId="18712" priority="4786" stopIfTrue="1">
      <formula>AND(U100&gt;=78100,U100&lt;=78199)</formula>
    </cfRule>
    <cfRule type="expression" dxfId="18711" priority="4787" stopIfTrue="1">
      <formula>AND(U100&gt;=91000,U100&lt;=91999)</formula>
    </cfRule>
  </conditionalFormatting>
  <conditionalFormatting sqref="X100">
    <cfRule type="expression" dxfId="18710" priority="4766">
      <formula>AND(Y100&gt;=79001,Y100&lt;79900)</formula>
    </cfRule>
    <cfRule type="expression" dxfId="18709" priority="4767" stopIfTrue="1">
      <formula>AND(Y100&gt;=70101,Y100&lt;=70301)</formula>
    </cfRule>
    <cfRule type="expression" dxfId="18708" priority="4768" stopIfTrue="1">
      <formula>AND(Y100&gt;70000,Y100&lt;70004)</formula>
    </cfRule>
    <cfRule type="expression" dxfId="18707" priority="4769" stopIfTrue="1">
      <formula>AND(Y100&gt;=70010,Y100&lt;=76000)</formula>
    </cfRule>
    <cfRule type="expression" dxfId="18706" priority="4770">
      <formula>AND(Y100&gt;70000,Y100&lt;70004)</formula>
    </cfRule>
    <cfRule type="expression" dxfId="18705" priority="4771" stopIfTrue="1">
      <formula>OR(AND(Y100&gt;=10000,Y100&lt;=56999),AND(Y100&gt;=57000,Y100&lt;=57999))</formula>
    </cfRule>
    <cfRule type="expression" dxfId="18704" priority="4772" stopIfTrue="1">
      <formula>AND(Y100&gt;=8000,Y100&lt;=9999)</formula>
    </cfRule>
    <cfRule type="expression" dxfId="18703" priority="4773" stopIfTrue="1">
      <formula>AND(Y100&gt;=78100,Y100&lt;=78199)</formula>
    </cfRule>
    <cfRule type="expression" dxfId="18702" priority="4774" stopIfTrue="1">
      <formula>AND(Y100&gt;=92000,Y100&lt;=98999)</formula>
    </cfRule>
    <cfRule type="expression" dxfId="18701" priority="4775" stopIfTrue="1">
      <formula>AND(Y100&gt;=78100,Y100&lt;=78199)</formula>
    </cfRule>
    <cfRule type="expression" dxfId="18700" priority="4776" stopIfTrue="1">
      <formula>AND(Y100&gt;=91000,Y100&lt;=91999)</formula>
    </cfRule>
  </conditionalFormatting>
  <conditionalFormatting sqref="X100">
    <cfRule type="expression" dxfId="18699" priority="4755">
      <formula>AND(Y100&gt;=79001,Y100&lt;79900)</formula>
    </cfRule>
    <cfRule type="expression" dxfId="18698" priority="4756" stopIfTrue="1">
      <formula>AND(Y100&gt;=70101,Y100&lt;=70301)</formula>
    </cfRule>
    <cfRule type="expression" dxfId="18697" priority="4757" stopIfTrue="1">
      <formula>AND(Y100&gt;70000,Y100&lt;70004)</formula>
    </cfRule>
    <cfRule type="expression" dxfId="18696" priority="4758" stopIfTrue="1">
      <formula>AND(Y100&gt;=70010,Y100&lt;=76000)</formula>
    </cfRule>
    <cfRule type="expression" dxfId="18695" priority="4759">
      <formula>AND(Y100&gt;70000,Y100&lt;70004)</formula>
    </cfRule>
    <cfRule type="expression" dxfId="18694" priority="4760" stopIfTrue="1">
      <formula>OR(AND(Y100&gt;=10000,Y100&lt;=56999),AND(Y100&gt;=57000,Y100&lt;=57999))</formula>
    </cfRule>
    <cfRule type="expression" dxfId="18693" priority="4761" stopIfTrue="1">
      <formula>AND(Y100&gt;=8000,Y100&lt;=9999)</formula>
    </cfRule>
    <cfRule type="expression" dxfId="18692" priority="4762" stopIfTrue="1">
      <formula>AND(Y100&gt;=78100,Y100&lt;=78199)</formula>
    </cfRule>
    <cfRule type="expression" dxfId="18691" priority="4763" stopIfTrue="1">
      <formula>AND(Y100&gt;=92000,Y100&lt;=98999)</formula>
    </cfRule>
    <cfRule type="expression" dxfId="18690" priority="4764" stopIfTrue="1">
      <formula>AND(Y100&gt;=78100,Y100&lt;=78199)</formula>
    </cfRule>
    <cfRule type="expression" dxfId="18689" priority="4765" stopIfTrue="1">
      <formula>AND(Y100&gt;=91000,Y100&lt;=91999)</formula>
    </cfRule>
  </conditionalFormatting>
  <conditionalFormatting sqref="X100">
    <cfRule type="expression" dxfId="18688" priority="4744">
      <formula>AND(Y100&gt;=79001,Y100&lt;79900)</formula>
    </cfRule>
    <cfRule type="expression" dxfId="18687" priority="4745" stopIfTrue="1">
      <formula>AND(Y100&gt;=70101,Y100&lt;=70301)</formula>
    </cfRule>
    <cfRule type="expression" dxfId="18686" priority="4746" stopIfTrue="1">
      <formula>AND(Y100&gt;70000,Y100&lt;70004)</formula>
    </cfRule>
    <cfRule type="expression" dxfId="18685" priority="4747" stopIfTrue="1">
      <formula>AND(Y100&gt;=70010,Y100&lt;=76000)</formula>
    </cfRule>
    <cfRule type="expression" dxfId="18684" priority="4748">
      <formula>AND(Y100&gt;70000,Y100&lt;70004)</formula>
    </cfRule>
    <cfRule type="expression" dxfId="18683" priority="4749" stopIfTrue="1">
      <formula>OR(AND(Y100&gt;=10000,Y100&lt;=56999),AND(Y100&gt;=57000,Y100&lt;=57999))</formula>
    </cfRule>
    <cfRule type="expression" dxfId="18682" priority="4750" stopIfTrue="1">
      <formula>AND(Y100&gt;=8000,Y100&lt;=9999)</formula>
    </cfRule>
    <cfRule type="expression" dxfId="18681" priority="4751" stopIfTrue="1">
      <formula>AND(Y100&gt;=78100,Y100&lt;=78199)</formula>
    </cfRule>
    <cfRule type="expression" dxfId="18680" priority="4752" stopIfTrue="1">
      <formula>AND(Y100&gt;=92000,Y100&lt;=98999)</formula>
    </cfRule>
    <cfRule type="expression" dxfId="18679" priority="4753" stopIfTrue="1">
      <formula>AND(Y100&gt;=78100,Y100&lt;=78199)</formula>
    </cfRule>
    <cfRule type="expression" dxfId="18678" priority="4754" stopIfTrue="1">
      <formula>AND(Y100&gt;=91000,Y100&lt;=91999)</formula>
    </cfRule>
  </conditionalFormatting>
  <conditionalFormatting sqref="X100">
    <cfRule type="expression" dxfId="18677" priority="4733">
      <formula>AND(Y100&gt;=79001,Y100&lt;79900)</formula>
    </cfRule>
    <cfRule type="expression" dxfId="18676" priority="4734" stopIfTrue="1">
      <formula>AND(Y100&gt;=70101,Y100&lt;=70301)</formula>
    </cfRule>
    <cfRule type="expression" dxfId="18675" priority="4735" stopIfTrue="1">
      <formula>AND(Y100&gt;70000,Y100&lt;70004)</formula>
    </cfRule>
    <cfRule type="expression" dxfId="18674" priority="4736" stopIfTrue="1">
      <formula>AND(Y100&gt;=70010,Y100&lt;=76000)</formula>
    </cfRule>
    <cfRule type="expression" dxfId="18673" priority="4737">
      <formula>AND(Y100&gt;70000,Y100&lt;70004)</formula>
    </cfRule>
    <cfRule type="expression" dxfId="18672" priority="4738" stopIfTrue="1">
      <formula>OR(AND(Y100&gt;=10000,Y100&lt;=56999),AND(Y100&gt;=57000,Y100&lt;=57999))</formula>
    </cfRule>
    <cfRule type="expression" dxfId="18671" priority="4739" stopIfTrue="1">
      <formula>AND(Y100&gt;=8000,Y100&lt;=9999)</formula>
    </cfRule>
    <cfRule type="expression" dxfId="18670" priority="4740" stopIfTrue="1">
      <formula>AND(Y100&gt;=78100,Y100&lt;=78199)</formula>
    </cfRule>
    <cfRule type="expression" dxfId="18669" priority="4741" stopIfTrue="1">
      <formula>AND(Y100&gt;=92000,Y100&lt;=98999)</formula>
    </cfRule>
    <cfRule type="expression" dxfId="18668" priority="4742" stopIfTrue="1">
      <formula>AND(Y100&gt;=78100,Y100&lt;=78199)</formula>
    </cfRule>
    <cfRule type="expression" dxfId="18667" priority="4743" stopIfTrue="1">
      <formula>AND(Y100&gt;=91000,Y100&lt;=91999)</formula>
    </cfRule>
  </conditionalFormatting>
  <conditionalFormatting sqref="AB100">
    <cfRule type="expression" dxfId="18666" priority="4722">
      <formula>AND(AC100&gt;=79001,AC100&lt;79900)</formula>
    </cfRule>
    <cfRule type="expression" dxfId="18665" priority="4723" stopIfTrue="1">
      <formula>AND(AC100&gt;=70101,AC100&lt;=70301)</formula>
    </cfRule>
    <cfRule type="expression" dxfId="18664" priority="4724" stopIfTrue="1">
      <formula>AND(AC100&gt;70000,AC100&lt;70004)</formula>
    </cfRule>
    <cfRule type="expression" dxfId="18663" priority="4725" stopIfTrue="1">
      <formula>AND(AC100&gt;=70010,AC100&lt;=76000)</formula>
    </cfRule>
    <cfRule type="expression" dxfId="18662" priority="4726">
      <formula>AND(AC100&gt;70000,AC100&lt;70004)</formula>
    </cfRule>
    <cfRule type="expression" dxfId="18661" priority="4727" stopIfTrue="1">
      <formula>OR(AND(AC100&gt;=10000,AC100&lt;=56999),AND(AC100&gt;=57000,AC100&lt;=57999))</formula>
    </cfRule>
    <cfRule type="expression" dxfId="18660" priority="4728" stopIfTrue="1">
      <formula>AND(AC100&gt;=8000,AC100&lt;=9999)</formula>
    </cfRule>
    <cfRule type="expression" dxfId="18659" priority="4729" stopIfTrue="1">
      <formula>AND(AC100&gt;=78100,AC100&lt;=78199)</formula>
    </cfRule>
    <cfRule type="expression" dxfId="18658" priority="4730" stopIfTrue="1">
      <formula>AND(AC100&gt;=92000,AC100&lt;=98999)</formula>
    </cfRule>
    <cfRule type="expression" dxfId="18657" priority="4731" stopIfTrue="1">
      <formula>AND(AC100&gt;=78100,AC100&lt;=78199)</formula>
    </cfRule>
    <cfRule type="expression" dxfId="18656" priority="4732" stopIfTrue="1">
      <formula>AND(AC100&gt;=91000,AC100&lt;=91999)</formula>
    </cfRule>
  </conditionalFormatting>
  <conditionalFormatting sqref="AB100">
    <cfRule type="expression" dxfId="18655" priority="4711">
      <formula>AND(AC100&gt;=79001,AC100&lt;79900)</formula>
    </cfRule>
    <cfRule type="expression" dxfId="18654" priority="4712" stopIfTrue="1">
      <formula>AND(AC100&gt;=70101,AC100&lt;=70301)</formula>
    </cfRule>
    <cfRule type="expression" dxfId="18653" priority="4713" stopIfTrue="1">
      <formula>AND(AC100&gt;70000,AC100&lt;70004)</formula>
    </cfRule>
    <cfRule type="expression" dxfId="18652" priority="4714" stopIfTrue="1">
      <formula>AND(AC100&gt;=70010,AC100&lt;=76000)</formula>
    </cfRule>
    <cfRule type="expression" dxfId="18651" priority="4715">
      <formula>AND(AC100&gt;70000,AC100&lt;70004)</formula>
    </cfRule>
    <cfRule type="expression" dxfId="18650" priority="4716" stopIfTrue="1">
      <formula>OR(AND(AC100&gt;=10000,AC100&lt;=56999),AND(AC100&gt;=57000,AC100&lt;=57999))</formula>
    </cfRule>
    <cfRule type="expression" dxfId="18649" priority="4717" stopIfTrue="1">
      <formula>AND(AC100&gt;=8000,AC100&lt;=9999)</formula>
    </cfRule>
    <cfRule type="expression" dxfId="18648" priority="4718" stopIfTrue="1">
      <formula>AND(AC100&gt;=78100,AC100&lt;=78199)</formula>
    </cfRule>
    <cfRule type="expression" dxfId="18647" priority="4719" stopIfTrue="1">
      <formula>AND(AC100&gt;=92000,AC100&lt;=98999)</formula>
    </cfRule>
    <cfRule type="expression" dxfId="18646" priority="4720" stopIfTrue="1">
      <formula>AND(AC100&gt;=78100,AC100&lt;=78199)</formula>
    </cfRule>
    <cfRule type="expression" dxfId="18645" priority="4721" stopIfTrue="1">
      <formula>AND(AC100&gt;=91000,AC100&lt;=91999)</formula>
    </cfRule>
  </conditionalFormatting>
  <conditionalFormatting sqref="AB100">
    <cfRule type="expression" dxfId="18644" priority="4700">
      <formula>AND(AC100&gt;=79001,AC100&lt;79900)</formula>
    </cfRule>
    <cfRule type="expression" dxfId="18643" priority="4701" stopIfTrue="1">
      <formula>AND(AC100&gt;=70101,AC100&lt;=70301)</formula>
    </cfRule>
    <cfRule type="expression" dxfId="18642" priority="4702" stopIfTrue="1">
      <formula>AND(AC100&gt;70000,AC100&lt;70004)</formula>
    </cfRule>
    <cfRule type="expression" dxfId="18641" priority="4703" stopIfTrue="1">
      <formula>AND(AC100&gt;=70010,AC100&lt;=76000)</formula>
    </cfRule>
    <cfRule type="expression" dxfId="18640" priority="4704">
      <formula>AND(AC100&gt;70000,AC100&lt;70004)</formula>
    </cfRule>
    <cfRule type="expression" dxfId="18639" priority="4705" stopIfTrue="1">
      <formula>OR(AND(AC100&gt;=10000,AC100&lt;=56999),AND(AC100&gt;=57000,AC100&lt;=57999))</formula>
    </cfRule>
    <cfRule type="expression" dxfId="18638" priority="4706" stopIfTrue="1">
      <formula>AND(AC100&gt;=8000,AC100&lt;=9999)</formula>
    </cfRule>
    <cfRule type="expression" dxfId="18637" priority="4707" stopIfTrue="1">
      <formula>AND(AC100&gt;=78100,AC100&lt;=78199)</formula>
    </cfRule>
    <cfRule type="expression" dxfId="18636" priority="4708" stopIfTrue="1">
      <formula>AND(AC100&gt;=92000,AC100&lt;=98999)</formula>
    </cfRule>
    <cfRule type="expression" dxfId="18635" priority="4709" stopIfTrue="1">
      <formula>AND(AC100&gt;=78100,AC100&lt;=78199)</formula>
    </cfRule>
    <cfRule type="expression" dxfId="18634" priority="4710" stopIfTrue="1">
      <formula>AND(AC100&gt;=91000,AC100&lt;=91999)</formula>
    </cfRule>
  </conditionalFormatting>
  <conditionalFormatting sqref="AB100">
    <cfRule type="expression" dxfId="18633" priority="4689">
      <formula>AND(AC100&gt;=79001,AC100&lt;79900)</formula>
    </cfRule>
    <cfRule type="expression" dxfId="18632" priority="4690" stopIfTrue="1">
      <formula>AND(AC100&gt;=70101,AC100&lt;=70301)</formula>
    </cfRule>
    <cfRule type="expression" dxfId="18631" priority="4691" stopIfTrue="1">
      <formula>AND(AC100&gt;70000,AC100&lt;70004)</formula>
    </cfRule>
    <cfRule type="expression" dxfId="18630" priority="4692" stopIfTrue="1">
      <formula>AND(AC100&gt;=70010,AC100&lt;=76000)</formula>
    </cfRule>
    <cfRule type="expression" dxfId="18629" priority="4693">
      <formula>AND(AC100&gt;70000,AC100&lt;70004)</formula>
    </cfRule>
    <cfRule type="expression" dxfId="18628" priority="4694" stopIfTrue="1">
      <formula>OR(AND(AC100&gt;=10000,AC100&lt;=56999),AND(AC100&gt;=57000,AC100&lt;=57999))</formula>
    </cfRule>
    <cfRule type="expression" dxfId="18627" priority="4695" stopIfTrue="1">
      <formula>AND(AC100&gt;=8000,AC100&lt;=9999)</formula>
    </cfRule>
    <cfRule type="expression" dxfId="18626" priority="4696" stopIfTrue="1">
      <formula>AND(AC100&gt;=78100,AC100&lt;=78199)</formula>
    </cfRule>
    <cfRule type="expression" dxfId="18625" priority="4697" stopIfTrue="1">
      <formula>AND(AC100&gt;=92000,AC100&lt;=98999)</formula>
    </cfRule>
    <cfRule type="expression" dxfId="18624" priority="4698" stopIfTrue="1">
      <formula>AND(AC100&gt;=78100,AC100&lt;=78199)</formula>
    </cfRule>
    <cfRule type="expression" dxfId="18623" priority="4699" stopIfTrue="1">
      <formula>AND(AC100&gt;=91000,AC100&lt;=91999)</formula>
    </cfRule>
  </conditionalFormatting>
  <conditionalFormatting sqref="AF100">
    <cfRule type="expression" dxfId="18622" priority="4678">
      <formula>AND(AG100&gt;=79001,AG100&lt;79900)</formula>
    </cfRule>
    <cfRule type="expression" dxfId="18621" priority="4679" stopIfTrue="1">
      <formula>AND(AG100&gt;=70101,AG100&lt;=70301)</formula>
    </cfRule>
    <cfRule type="expression" dxfId="18620" priority="4680" stopIfTrue="1">
      <formula>AND(AG100&gt;70000,AG100&lt;70004)</formula>
    </cfRule>
    <cfRule type="expression" dxfId="18619" priority="4681" stopIfTrue="1">
      <formula>AND(AG100&gt;=70010,AG100&lt;=76000)</formula>
    </cfRule>
    <cfRule type="expression" dxfId="18618" priority="4682">
      <formula>AND(AG100&gt;70000,AG100&lt;70004)</formula>
    </cfRule>
    <cfRule type="expression" dxfId="18617" priority="4683" stopIfTrue="1">
      <formula>OR(AND(AG100&gt;=10000,AG100&lt;=56999),AND(AG100&gt;=57000,AG100&lt;=57999))</formula>
    </cfRule>
    <cfRule type="expression" dxfId="18616" priority="4684" stopIfTrue="1">
      <formula>AND(AG100&gt;=8000,AG100&lt;=9999)</formula>
    </cfRule>
    <cfRule type="expression" dxfId="18615" priority="4685" stopIfTrue="1">
      <formula>AND(AG100&gt;=78100,AG100&lt;=78199)</formula>
    </cfRule>
    <cfRule type="expression" dxfId="18614" priority="4686" stopIfTrue="1">
      <formula>AND(AG100&gt;=92000,AG100&lt;=98999)</formula>
    </cfRule>
    <cfRule type="expression" dxfId="18613" priority="4687" stopIfTrue="1">
      <formula>AND(AG100&gt;=78100,AG100&lt;=78199)</formula>
    </cfRule>
    <cfRule type="expression" dxfId="18612" priority="4688" stopIfTrue="1">
      <formula>AND(AG100&gt;=91000,AG100&lt;=91999)</formula>
    </cfRule>
  </conditionalFormatting>
  <conditionalFormatting sqref="AF100">
    <cfRule type="expression" dxfId="18611" priority="4667">
      <formula>AND(AG100&gt;=79001,AG100&lt;79900)</formula>
    </cfRule>
    <cfRule type="expression" dxfId="18610" priority="4668" stopIfTrue="1">
      <formula>AND(AG100&gt;=70101,AG100&lt;=70301)</formula>
    </cfRule>
    <cfRule type="expression" dxfId="18609" priority="4669" stopIfTrue="1">
      <formula>AND(AG100&gt;70000,AG100&lt;70004)</formula>
    </cfRule>
    <cfRule type="expression" dxfId="18608" priority="4670" stopIfTrue="1">
      <formula>AND(AG100&gt;=70010,AG100&lt;=76000)</formula>
    </cfRule>
    <cfRule type="expression" dxfId="18607" priority="4671">
      <formula>AND(AG100&gt;70000,AG100&lt;70004)</formula>
    </cfRule>
    <cfRule type="expression" dxfId="18606" priority="4672" stopIfTrue="1">
      <formula>OR(AND(AG100&gt;=10000,AG100&lt;=56999),AND(AG100&gt;=57000,AG100&lt;=57999))</formula>
    </cfRule>
    <cfRule type="expression" dxfId="18605" priority="4673" stopIfTrue="1">
      <formula>AND(AG100&gt;=8000,AG100&lt;=9999)</formula>
    </cfRule>
    <cfRule type="expression" dxfId="18604" priority="4674" stopIfTrue="1">
      <formula>AND(AG100&gt;=78100,AG100&lt;=78199)</formula>
    </cfRule>
    <cfRule type="expression" dxfId="18603" priority="4675" stopIfTrue="1">
      <formula>AND(AG100&gt;=92000,AG100&lt;=98999)</formula>
    </cfRule>
    <cfRule type="expression" dxfId="18602" priority="4676" stopIfTrue="1">
      <formula>AND(AG100&gt;=78100,AG100&lt;=78199)</formula>
    </cfRule>
    <cfRule type="expression" dxfId="18601" priority="4677" stopIfTrue="1">
      <formula>AND(AG100&gt;=91000,AG100&lt;=91999)</formula>
    </cfRule>
  </conditionalFormatting>
  <conditionalFormatting sqref="AF100">
    <cfRule type="expression" dxfId="18600" priority="4656">
      <formula>AND(AG100&gt;=79001,AG100&lt;79900)</formula>
    </cfRule>
    <cfRule type="expression" dxfId="18599" priority="4657" stopIfTrue="1">
      <formula>AND(AG100&gt;=70101,AG100&lt;=70301)</formula>
    </cfRule>
    <cfRule type="expression" dxfId="18598" priority="4658" stopIfTrue="1">
      <formula>AND(AG100&gt;70000,AG100&lt;70004)</formula>
    </cfRule>
    <cfRule type="expression" dxfId="18597" priority="4659" stopIfTrue="1">
      <formula>AND(AG100&gt;=70010,AG100&lt;=76000)</formula>
    </cfRule>
    <cfRule type="expression" dxfId="18596" priority="4660">
      <formula>AND(AG100&gt;70000,AG100&lt;70004)</formula>
    </cfRule>
    <cfRule type="expression" dxfId="18595" priority="4661" stopIfTrue="1">
      <formula>OR(AND(AG100&gt;=10000,AG100&lt;=56999),AND(AG100&gt;=57000,AG100&lt;=57999))</formula>
    </cfRule>
    <cfRule type="expression" dxfId="18594" priority="4662" stopIfTrue="1">
      <formula>AND(AG100&gt;=8000,AG100&lt;=9999)</formula>
    </cfRule>
    <cfRule type="expression" dxfId="18593" priority="4663" stopIfTrue="1">
      <formula>AND(AG100&gt;=78100,AG100&lt;=78199)</formula>
    </cfRule>
    <cfRule type="expression" dxfId="18592" priority="4664" stopIfTrue="1">
      <formula>AND(AG100&gt;=92000,AG100&lt;=98999)</formula>
    </cfRule>
    <cfRule type="expression" dxfId="18591" priority="4665" stopIfTrue="1">
      <formula>AND(AG100&gt;=78100,AG100&lt;=78199)</formula>
    </cfRule>
    <cfRule type="expression" dxfId="18590" priority="4666" stopIfTrue="1">
      <formula>AND(AG100&gt;=91000,AG100&lt;=91999)</formula>
    </cfRule>
  </conditionalFormatting>
  <conditionalFormatting sqref="AF100">
    <cfRule type="expression" dxfId="18589" priority="4645">
      <formula>AND(AG100&gt;=79001,AG100&lt;79900)</formula>
    </cfRule>
    <cfRule type="expression" dxfId="18588" priority="4646" stopIfTrue="1">
      <formula>AND(AG100&gt;=70101,AG100&lt;=70301)</formula>
    </cfRule>
    <cfRule type="expression" dxfId="18587" priority="4647" stopIfTrue="1">
      <formula>AND(AG100&gt;70000,AG100&lt;70004)</formula>
    </cfRule>
    <cfRule type="expression" dxfId="18586" priority="4648" stopIfTrue="1">
      <formula>AND(AG100&gt;=70010,AG100&lt;=76000)</formula>
    </cfRule>
    <cfRule type="expression" dxfId="18585" priority="4649">
      <formula>AND(AG100&gt;70000,AG100&lt;70004)</formula>
    </cfRule>
    <cfRule type="expression" dxfId="18584" priority="4650" stopIfTrue="1">
      <formula>OR(AND(AG100&gt;=10000,AG100&lt;=56999),AND(AG100&gt;=57000,AG100&lt;=57999))</formula>
    </cfRule>
    <cfRule type="expression" dxfId="18583" priority="4651" stopIfTrue="1">
      <formula>AND(AG100&gt;=8000,AG100&lt;=9999)</formula>
    </cfRule>
    <cfRule type="expression" dxfId="18582" priority="4652" stopIfTrue="1">
      <formula>AND(AG100&gt;=78100,AG100&lt;=78199)</formula>
    </cfRule>
    <cfRule type="expression" dxfId="18581" priority="4653" stopIfTrue="1">
      <formula>AND(AG100&gt;=92000,AG100&lt;=98999)</formula>
    </cfRule>
    <cfRule type="expression" dxfId="18580" priority="4654" stopIfTrue="1">
      <formula>AND(AG100&gt;=78100,AG100&lt;=78199)</formula>
    </cfRule>
    <cfRule type="expression" dxfId="18579" priority="4655" stopIfTrue="1">
      <formula>AND(AG100&gt;=91000,AG100&lt;=91999)</formula>
    </cfRule>
  </conditionalFormatting>
  <conditionalFormatting sqref="X103">
    <cfRule type="expression" dxfId="18578" priority="4634">
      <formula>AND(Y103&gt;=79001,Y103&lt;79900)</formula>
    </cfRule>
    <cfRule type="expression" dxfId="18577" priority="4635" stopIfTrue="1">
      <formula>AND(Y103&gt;=70101,Y103&lt;=70301)</formula>
    </cfRule>
    <cfRule type="expression" dxfId="18576" priority="4636" stopIfTrue="1">
      <formula>AND(Y103&gt;70000,Y103&lt;70004)</formula>
    </cfRule>
    <cfRule type="expression" dxfId="18575" priority="4637" stopIfTrue="1">
      <formula>AND(Y103&gt;=70010,Y103&lt;=76000)</formula>
    </cfRule>
    <cfRule type="expression" dxfId="18574" priority="4638">
      <formula>AND(Y103&gt;70000,Y103&lt;70004)</formula>
    </cfRule>
    <cfRule type="expression" dxfId="18573" priority="4639" stopIfTrue="1">
      <formula>OR(AND(Y103&gt;=10000,Y103&lt;=56999),AND(Y103&gt;=57000,Y103&lt;=57999))</formula>
    </cfRule>
    <cfRule type="expression" dxfId="18572" priority="4640" stopIfTrue="1">
      <formula>AND(Y103&gt;=8000,Y103&lt;=9999)</formula>
    </cfRule>
    <cfRule type="expression" dxfId="18571" priority="4641" stopIfTrue="1">
      <formula>AND(Y103&gt;=78100,Y103&lt;=78199)</formula>
    </cfRule>
    <cfRule type="expression" dxfId="18570" priority="4642" stopIfTrue="1">
      <formula>AND(Y103&gt;=92000,Y103&lt;=98999)</formula>
    </cfRule>
    <cfRule type="expression" dxfId="18569" priority="4643" stopIfTrue="1">
      <formula>AND(Y103&gt;=78100,Y103&lt;=78199)</formula>
    </cfRule>
    <cfRule type="expression" dxfId="18568" priority="4644" stopIfTrue="1">
      <formula>AND(Y103&gt;=91000,Y103&lt;=91999)</formula>
    </cfRule>
  </conditionalFormatting>
  <conditionalFormatting sqref="X103">
    <cfRule type="expression" dxfId="18567" priority="4623">
      <formula>AND(Y103&gt;=79001,Y103&lt;79900)</formula>
    </cfRule>
    <cfRule type="expression" dxfId="18566" priority="4624" stopIfTrue="1">
      <formula>AND(Y103&gt;=70101,Y103&lt;=70301)</formula>
    </cfRule>
    <cfRule type="expression" dxfId="18565" priority="4625" stopIfTrue="1">
      <formula>AND(Y103&gt;70000,Y103&lt;70004)</formula>
    </cfRule>
    <cfRule type="expression" dxfId="18564" priority="4626" stopIfTrue="1">
      <formula>AND(Y103&gt;=70010,Y103&lt;=76000)</formula>
    </cfRule>
    <cfRule type="expression" dxfId="18563" priority="4627">
      <formula>AND(Y103&gt;70000,Y103&lt;70004)</formula>
    </cfRule>
    <cfRule type="expression" dxfId="18562" priority="4628" stopIfTrue="1">
      <formula>OR(AND(Y103&gt;=10000,Y103&lt;=56999),AND(Y103&gt;=57000,Y103&lt;=57999))</formula>
    </cfRule>
    <cfRule type="expression" dxfId="18561" priority="4629" stopIfTrue="1">
      <formula>AND(Y103&gt;=8000,Y103&lt;=9999)</formula>
    </cfRule>
    <cfRule type="expression" dxfId="18560" priority="4630" stopIfTrue="1">
      <formula>AND(Y103&gt;=78100,Y103&lt;=78199)</formula>
    </cfRule>
    <cfRule type="expression" dxfId="18559" priority="4631" stopIfTrue="1">
      <formula>AND(Y103&gt;=92000,Y103&lt;=98999)</formula>
    </cfRule>
    <cfRule type="expression" dxfId="18558" priority="4632" stopIfTrue="1">
      <formula>AND(Y103&gt;=78100,Y103&lt;=78199)</formula>
    </cfRule>
    <cfRule type="expression" dxfId="18557" priority="4633" stopIfTrue="1">
      <formula>AND(Y103&gt;=91000,Y103&lt;=91999)</formula>
    </cfRule>
  </conditionalFormatting>
  <conditionalFormatting sqref="X103">
    <cfRule type="expression" dxfId="18556" priority="4612">
      <formula>AND(Y103&gt;=79001,Y103&lt;79900)</formula>
    </cfRule>
    <cfRule type="expression" dxfId="18555" priority="4613" stopIfTrue="1">
      <formula>AND(Y103&gt;=70101,Y103&lt;=70301)</formula>
    </cfRule>
    <cfRule type="expression" dxfId="18554" priority="4614" stopIfTrue="1">
      <formula>AND(Y103&gt;70000,Y103&lt;70004)</formula>
    </cfRule>
    <cfRule type="expression" dxfId="18553" priority="4615" stopIfTrue="1">
      <formula>AND(Y103&gt;=70010,Y103&lt;=76000)</formula>
    </cfRule>
    <cfRule type="expression" dxfId="18552" priority="4616">
      <formula>AND(Y103&gt;70000,Y103&lt;70004)</formula>
    </cfRule>
    <cfRule type="expression" dxfId="18551" priority="4617" stopIfTrue="1">
      <formula>OR(AND(Y103&gt;=10000,Y103&lt;=56999),AND(Y103&gt;=57000,Y103&lt;=57999))</formula>
    </cfRule>
    <cfRule type="expression" dxfId="18550" priority="4618" stopIfTrue="1">
      <formula>AND(Y103&gt;=8000,Y103&lt;=9999)</formula>
    </cfRule>
    <cfRule type="expression" dxfId="18549" priority="4619" stopIfTrue="1">
      <formula>AND(Y103&gt;=78100,Y103&lt;=78199)</formula>
    </cfRule>
    <cfRule type="expression" dxfId="18548" priority="4620" stopIfTrue="1">
      <formula>AND(Y103&gt;=92000,Y103&lt;=98999)</formula>
    </cfRule>
    <cfRule type="expression" dxfId="18547" priority="4621" stopIfTrue="1">
      <formula>AND(Y103&gt;=78100,Y103&lt;=78199)</formula>
    </cfRule>
    <cfRule type="expression" dxfId="18546" priority="4622" stopIfTrue="1">
      <formula>AND(Y103&gt;=91000,Y103&lt;=91999)</formula>
    </cfRule>
  </conditionalFormatting>
  <conditionalFormatting sqref="X103">
    <cfRule type="expression" dxfId="18545" priority="4601">
      <formula>AND(Y103&gt;=79001,Y103&lt;79900)</formula>
    </cfRule>
    <cfRule type="expression" dxfId="18544" priority="4602" stopIfTrue="1">
      <formula>AND(Y103&gt;=70101,Y103&lt;=70301)</formula>
    </cfRule>
    <cfRule type="expression" dxfId="18543" priority="4603" stopIfTrue="1">
      <formula>AND(Y103&gt;70000,Y103&lt;70004)</formula>
    </cfRule>
    <cfRule type="expression" dxfId="18542" priority="4604" stopIfTrue="1">
      <formula>AND(Y103&gt;=70010,Y103&lt;=76000)</formula>
    </cfRule>
    <cfRule type="expression" dxfId="18541" priority="4605">
      <formula>AND(Y103&gt;70000,Y103&lt;70004)</formula>
    </cfRule>
    <cfRule type="expression" dxfId="18540" priority="4606" stopIfTrue="1">
      <formula>OR(AND(Y103&gt;=10000,Y103&lt;=56999),AND(Y103&gt;=57000,Y103&lt;=57999))</formula>
    </cfRule>
    <cfRule type="expression" dxfId="18539" priority="4607" stopIfTrue="1">
      <formula>AND(Y103&gt;=8000,Y103&lt;=9999)</formula>
    </cfRule>
    <cfRule type="expression" dxfId="18538" priority="4608" stopIfTrue="1">
      <formula>AND(Y103&gt;=78100,Y103&lt;=78199)</formula>
    </cfRule>
    <cfRule type="expression" dxfId="18537" priority="4609" stopIfTrue="1">
      <formula>AND(Y103&gt;=92000,Y103&lt;=98999)</formula>
    </cfRule>
    <cfRule type="expression" dxfId="18536" priority="4610" stopIfTrue="1">
      <formula>AND(Y103&gt;=78100,Y103&lt;=78199)</formula>
    </cfRule>
    <cfRule type="expression" dxfId="18535" priority="4611" stopIfTrue="1">
      <formula>AND(Y103&gt;=91000,Y103&lt;=91999)</formula>
    </cfRule>
  </conditionalFormatting>
  <conditionalFormatting sqref="AB103">
    <cfRule type="expression" dxfId="18534" priority="4590">
      <formula>AND(AC103&gt;=79001,AC103&lt;79900)</formula>
    </cfRule>
    <cfRule type="expression" dxfId="18533" priority="4591" stopIfTrue="1">
      <formula>AND(AC103&gt;=70101,AC103&lt;=70301)</formula>
    </cfRule>
    <cfRule type="expression" dxfId="18532" priority="4592" stopIfTrue="1">
      <formula>AND(AC103&gt;70000,AC103&lt;70004)</formula>
    </cfRule>
    <cfRule type="expression" dxfId="18531" priority="4593" stopIfTrue="1">
      <formula>AND(AC103&gt;=70010,AC103&lt;=76000)</formula>
    </cfRule>
    <cfRule type="expression" dxfId="18530" priority="4594">
      <formula>AND(AC103&gt;70000,AC103&lt;70004)</formula>
    </cfRule>
    <cfRule type="expression" dxfId="18529" priority="4595" stopIfTrue="1">
      <formula>OR(AND(AC103&gt;=10000,AC103&lt;=56999),AND(AC103&gt;=57000,AC103&lt;=57999))</formula>
    </cfRule>
    <cfRule type="expression" dxfId="18528" priority="4596" stopIfTrue="1">
      <formula>AND(AC103&gt;=8000,AC103&lt;=9999)</formula>
    </cfRule>
    <cfRule type="expression" dxfId="18527" priority="4597" stopIfTrue="1">
      <formula>AND(AC103&gt;=78100,AC103&lt;=78199)</formula>
    </cfRule>
    <cfRule type="expression" dxfId="18526" priority="4598" stopIfTrue="1">
      <formula>AND(AC103&gt;=92000,AC103&lt;=98999)</formula>
    </cfRule>
    <cfRule type="expression" dxfId="18525" priority="4599" stopIfTrue="1">
      <formula>AND(AC103&gt;=78100,AC103&lt;=78199)</formula>
    </cfRule>
    <cfRule type="expression" dxfId="18524" priority="4600" stopIfTrue="1">
      <formula>AND(AC103&gt;=91000,AC103&lt;=91999)</formula>
    </cfRule>
  </conditionalFormatting>
  <conditionalFormatting sqref="AB103">
    <cfRule type="expression" dxfId="18523" priority="4579">
      <formula>AND(AC103&gt;=79001,AC103&lt;79900)</formula>
    </cfRule>
    <cfRule type="expression" dxfId="18522" priority="4580" stopIfTrue="1">
      <formula>AND(AC103&gt;=70101,AC103&lt;=70301)</formula>
    </cfRule>
    <cfRule type="expression" dxfId="18521" priority="4581" stopIfTrue="1">
      <formula>AND(AC103&gt;70000,AC103&lt;70004)</formula>
    </cfRule>
    <cfRule type="expression" dxfId="18520" priority="4582" stopIfTrue="1">
      <formula>AND(AC103&gt;=70010,AC103&lt;=76000)</formula>
    </cfRule>
    <cfRule type="expression" dxfId="18519" priority="4583">
      <formula>AND(AC103&gt;70000,AC103&lt;70004)</formula>
    </cfRule>
    <cfRule type="expression" dxfId="18518" priority="4584" stopIfTrue="1">
      <formula>OR(AND(AC103&gt;=10000,AC103&lt;=56999),AND(AC103&gt;=57000,AC103&lt;=57999))</formula>
    </cfRule>
    <cfRule type="expression" dxfId="18517" priority="4585" stopIfTrue="1">
      <formula>AND(AC103&gt;=8000,AC103&lt;=9999)</formula>
    </cfRule>
    <cfRule type="expression" dxfId="18516" priority="4586" stopIfTrue="1">
      <formula>AND(AC103&gt;=78100,AC103&lt;=78199)</formula>
    </cfRule>
    <cfRule type="expression" dxfId="18515" priority="4587" stopIfTrue="1">
      <formula>AND(AC103&gt;=92000,AC103&lt;=98999)</formula>
    </cfRule>
    <cfRule type="expression" dxfId="18514" priority="4588" stopIfTrue="1">
      <formula>AND(AC103&gt;=78100,AC103&lt;=78199)</formula>
    </cfRule>
    <cfRule type="expression" dxfId="18513" priority="4589" stopIfTrue="1">
      <formula>AND(AC103&gt;=91000,AC103&lt;=91999)</formula>
    </cfRule>
  </conditionalFormatting>
  <conditionalFormatting sqref="AB103">
    <cfRule type="expression" dxfId="18512" priority="4568">
      <formula>AND(AC103&gt;=79001,AC103&lt;79900)</formula>
    </cfRule>
    <cfRule type="expression" dxfId="18511" priority="4569" stopIfTrue="1">
      <formula>AND(AC103&gt;=70101,AC103&lt;=70301)</formula>
    </cfRule>
    <cfRule type="expression" dxfId="18510" priority="4570" stopIfTrue="1">
      <formula>AND(AC103&gt;70000,AC103&lt;70004)</formula>
    </cfRule>
    <cfRule type="expression" dxfId="18509" priority="4571" stopIfTrue="1">
      <formula>AND(AC103&gt;=70010,AC103&lt;=76000)</formula>
    </cfRule>
    <cfRule type="expression" dxfId="18508" priority="4572">
      <formula>AND(AC103&gt;70000,AC103&lt;70004)</formula>
    </cfRule>
    <cfRule type="expression" dxfId="18507" priority="4573" stopIfTrue="1">
      <formula>OR(AND(AC103&gt;=10000,AC103&lt;=56999),AND(AC103&gt;=57000,AC103&lt;=57999))</formula>
    </cfRule>
    <cfRule type="expression" dxfId="18506" priority="4574" stopIfTrue="1">
      <formula>AND(AC103&gt;=8000,AC103&lt;=9999)</formula>
    </cfRule>
    <cfRule type="expression" dxfId="18505" priority="4575" stopIfTrue="1">
      <formula>AND(AC103&gt;=78100,AC103&lt;=78199)</formula>
    </cfRule>
    <cfRule type="expression" dxfId="18504" priority="4576" stopIfTrue="1">
      <formula>AND(AC103&gt;=92000,AC103&lt;=98999)</formula>
    </cfRule>
    <cfRule type="expression" dxfId="18503" priority="4577" stopIfTrue="1">
      <formula>AND(AC103&gt;=78100,AC103&lt;=78199)</formula>
    </cfRule>
    <cfRule type="expression" dxfId="18502" priority="4578" stopIfTrue="1">
      <formula>AND(AC103&gt;=91000,AC103&lt;=91999)</formula>
    </cfRule>
  </conditionalFormatting>
  <conditionalFormatting sqref="AB103">
    <cfRule type="expression" dxfId="18501" priority="4557">
      <formula>AND(AC103&gt;=79001,AC103&lt;79900)</formula>
    </cfRule>
    <cfRule type="expression" dxfId="18500" priority="4558" stopIfTrue="1">
      <formula>AND(AC103&gt;=70101,AC103&lt;=70301)</formula>
    </cfRule>
    <cfRule type="expression" dxfId="18499" priority="4559" stopIfTrue="1">
      <formula>AND(AC103&gt;70000,AC103&lt;70004)</formula>
    </cfRule>
    <cfRule type="expression" dxfId="18498" priority="4560" stopIfTrue="1">
      <formula>AND(AC103&gt;=70010,AC103&lt;=76000)</formula>
    </cfRule>
    <cfRule type="expression" dxfId="18497" priority="4561">
      <formula>AND(AC103&gt;70000,AC103&lt;70004)</formula>
    </cfRule>
    <cfRule type="expression" dxfId="18496" priority="4562" stopIfTrue="1">
      <formula>OR(AND(AC103&gt;=10000,AC103&lt;=56999),AND(AC103&gt;=57000,AC103&lt;=57999))</formula>
    </cfRule>
    <cfRule type="expression" dxfId="18495" priority="4563" stopIfTrue="1">
      <formula>AND(AC103&gt;=8000,AC103&lt;=9999)</formula>
    </cfRule>
    <cfRule type="expression" dxfId="18494" priority="4564" stopIfTrue="1">
      <formula>AND(AC103&gt;=78100,AC103&lt;=78199)</formula>
    </cfRule>
    <cfRule type="expression" dxfId="18493" priority="4565" stopIfTrue="1">
      <formula>AND(AC103&gt;=92000,AC103&lt;=98999)</formula>
    </cfRule>
    <cfRule type="expression" dxfId="18492" priority="4566" stopIfTrue="1">
      <formula>AND(AC103&gt;=78100,AC103&lt;=78199)</formula>
    </cfRule>
    <cfRule type="expression" dxfId="18491" priority="4567" stopIfTrue="1">
      <formula>AND(AC103&gt;=91000,AC103&lt;=91999)</formula>
    </cfRule>
  </conditionalFormatting>
  <conditionalFormatting sqref="AF103">
    <cfRule type="expression" dxfId="18490" priority="4546">
      <formula>AND(AG103&gt;=79001,AG103&lt;79900)</formula>
    </cfRule>
    <cfRule type="expression" dxfId="18489" priority="4547" stopIfTrue="1">
      <formula>AND(AG103&gt;=70101,AG103&lt;=70301)</formula>
    </cfRule>
    <cfRule type="expression" dxfId="18488" priority="4548" stopIfTrue="1">
      <formula>AND(AG103&gt;70000,AG103&lt;70004)</formula>
    </cfRule>
    <cfRule type="expression" dxfId="18487" priority="4549" stopIfTrue="1">
      <formula>AND(AG103&gt;=70010,AG103&lt;=76000)</formula>
    </cfRule>
    <cfRule type="expression" dxfId="18486" priority="4550">
      <formula>AND(AG103&gt;70000,AG103&lt;70004)</formula>
    </cfRule>
    <cfRule type="expression" dxfId="18485" priority="4551" stopIfTrue="1">
      <formula>OR(AND(AG103&gt;=10000,AG103&lt;=56999),AND(AG103&gt;=57000,AG103&lt;=57999))</formula>
    </cfRule>
    <cfRule type="expression" dxfId="18484" priority="4552" stopIfTrue="1">
      <formula>AND(AG103&gt;=8000,AG103&lt;=9999)</formula>
    </cfRule>
    <cfRule type="expression" dxfId="18483" priority="4553" stopIfTrue="1">
      <formula>AND(AG103&gt;=78100,AG103&lt;=78199)</formula>
    </cfRule>
    <cfRule type="expression" dxfId="18482" priority="4554" stopIfTrue="1">
      <formula>AND(AG103&gt;=92000,AG103&lt;=98999)</formula>
    </cfRule>
    <cfRule type="expression" dxfId="18481" priority="4555" stopIfTrue="1">
      <formula>AND(AG103&gt;=78100,AG103&lt;=78199)</formula>
    </cfRule>
    <cfRule type="expression" dxfId="18480" priority="4556" stopIfTrue="1">
      <formula>AND(AG103&gt;=91000,AG103&lt;=91999)</formula>
    </cfRule>
  </conditionalFormatting>
  <conditionalFormatting sqref="AF103">
    <cfRule type="expression" dxfId="18479" priority="4535">
      <formula>AND(AG103&gt;=79001,AG103&lt;79900)</formula>
    </cfRule>
    <cfRule type="expression" dxfId="18478" priority="4536" stopIfTrue="1">
      <formula>AND(AG103&gt;=70101,AG103&lt;=70301)</formula>
    </cfRule>
    <cfRule type="expression" dxfId="18477" priority="4537" stopIfTrue="1">
      <formula>AND(AG103&gt;70000,AG103&lt;70004)</formula>
    </cfRule>
    <cfRule type="expression" dxfId="18476" priority="4538" stopIfTrue="1">
      <formula>AND(AG103&gt;=70010,AG103&lt;=76000)</formula>
    </cfRule>
    <cfRule type="expression" dxfId="18475" priority="4539">
      <formula>AND(AG103&gt;70000,AG103&lt;70004)</formula>
    </cfRule>
    <cfRule type="expression" dxfId="18474" priority="4540" stopIfTrue="1">
      <formula>OR(AND(AG103&gt;=10000,AG103&lt;=56999),AND(AG103&gt;=57000,AG103&lt;=57999))</formula>
    </cfRule>
    <cfRule type="expression" dxfId="18473" priority="4541" stopIfTrue="1">
      <formula>AND(AG103&gt;=8000,AG103&lt;=9999)</formula>
    </cfRule>
    <cfRule type="expression" dxfId="18472" priority="4542" stopIfTrue="1">
      <formula>AND(AG103&gt;=78100,AG103&lt;=78199)</formula>
    </cfRule>
    <cfRule type="expression" dxfId="18471" priority="4543" stopIfTrue="1">
      <formula>AND(AG103&gt;=92000,AG103&lt;=98999)</formula>
    </cfRule>
    <cfRule type="expression" dxfId="18470" priority="4544" stopIfTrue="1">
      <formula>AND(AG103&gt;=78100,AG103&lt;=78199)</formula>
    </cfRule>
    <cfRule type="expression" dxfId="18469" priority="4545" stopIfTrue="1">
      <formula>AND(AG103&gt;=91000,AG103&lt;=91999)</formula>
    </cfRule>
  </conditionalFormatting>
  <conditionalFormatting sqref="AF103">
    <cfRule type="expression" dxfId="18468" priority="4524">
      <formula>AND(AG103&gt;=79001,AG103&lt;79900)</formula>
    </cfRule>
    <cfRule type="expression" dxfId="18467" priority="4525" stopIfTrue="1">
      <formula>AND(AG103&gt;=70101,AG103&lt;=70301)</formula>
    </cfRule>
    <cfRule type="expression" dxfId="18466" priority="4526" stopIfTrue="1">
      <formula>AND(AG103&gt;70000,AG103&lt;70004)</formula>
    </cfRule>
    <cfRule type="expression" dxfId="18465" priority="4527" stopIfTrue="1">
      <formula>AND(AG103&gt;=70010,AG103&lt;=76000)</formula>
    </cfRule>
    <cfRule type="expression" dxfId="18464" priority="4528">
      <formula>AND(AG103&gt;70000,AG103&lt;70004)</formula>
    </cfRule>
    <cfRule type="expression" dxfId="18463" priority="4529" stopIfTrue="1">
      <formula>OR(AND(AG103&gt;=10000,AG103&lt;=56999),AND(AG103&gt;=57000,AG103&lt;=57999))</formula>
    </cfRule>
    <cfRule type="expression" dxfId="18462" priority="4530" stopIfTrue="1">
      <formula>AND(AG103&gt;=8000,AG103&lt;=9999)</formula>
    </cfRule>
    <cfRule type="expression" dxfId="18461" priority="4531" stopIfTrue="1">
      <formula>AND(AG103&gt;=78100,AG103&lt;=78199)</formula>
    </cfRule>
    <cfRule type="expression" dxfId="18460" priority="4532" stopIfTrue="1">
      <formula>AND(AG103&gt;=92000,AG103&lt;=98999)</formula>
    </cfRule>
    <cfRule type="expression" dxfId="18459" priority="4533" stopIfTrue="1">
      <formula>AND(AG103&gt;=78100,AG103&lt;=78199)</formula>
    </cfRule>
    <cfRule type="expression" dxfId="18458" priority="4534" stopIfTrue="1">
      <formula>AND(AG103&gt;=91000,AG103&lt;=91999)</formula>
    </cfRule>
  </conditionalFormatting>
  <conditionalFormatting sqref="AF103">
    <cfRule type="expression" dxfId="18457" priority="4513">
      <formula>AND(AG103&gt;=79001,AG103&lt;79900)</formula>
    </cfRule>
    <cfRule type="expression" dxfId="18456" priority="4514" stopIfTrue="1">
      <formula>AND(AG103&gt;=70101,AG103&lt;=70301)</formula>
    </cfRule>
    <cfRule type="expression" dxfId="18455" priority="4515" stopIfTrue="1">
      <formula>AND(AG103&gt;70000,AG103&lt;70004)</formula>
    </cfRule>
    <cfRule type="expression" dxfId="18454" priority="4516" stopIfTrue="1">
      <formula>AND(AG103&gt;=70010,AG103&lt;=76000)</formula>
    </cfRule>
    <cfRule type="expression" dxfId="18453" priority="4517">
      <formula>AND(AG103&gt;70000,AG103&lt;70004)</formula>
    </cfRule>
    <cfRule type="expression" dxfId="18452" priority="4518" stopIfTrue="1">
      <formula>OR(AND(AG103&gt;=10000,AG103&lt;=56999),AND(AG103&gt;=57000,AG103&lt;=57999))</formula>
    </cfRule>
    <cfRule type="expression" dxfId="18451" priority="4519" stopIfTrue="1">
      <formula>AND(AG103&gt;=8000,AG103&lt;=9999)</formula>
    </cfRule>
    <cfRule type="expression" dxfId="18450" priority="4520" stopIfTrue="1">
      <formula>AND(AG103&gt;=78100,AG103&lt;=78199)</formula>
    </cfRule>
    <cfRule type="expression" dxfId="18449" priority="4521" stopIfTrue="1">
      <formula>AND(AG103&gt;=92000,AG103&lt;=98999)</formula>
    </cfRule>
    <cfRule type="expression" dxfId="18448" priority="4522" stopIfTrue="1">
      <formula>AND(AG103&gt;=78100,AG103&lt;=78199)</formula>
    </cfRule>
    <cfRule type="expression" dxfId="18447" priority="4523" stopIfTrue="1">
      <formula>AND(AG103&gt;=91000,AG103&lt;=91999)</formula>
    </cfRule>
  </conditionalFormatting>
  <conditionalFormatting sqref="X106">
    <cfRule type="expression" dxfId="18446" priority="4502">
      <formula>AND(Y106&gt;=79001,Y106&lt;79900)</formula>
    </cfRule>
    <cfRule type="expression" dxfId="18445" priority="4503" stopIfTrue="1">
      <formula>AND(Y106&gt;=70101,Y106&lt;=70301)</formula>
    </cfRule>
    <cfRule type="expression" dxfId="18444" priority="4504" stopIfTrue="1">
      <formula>AND(Y106&gt;70000,Y106&lt;70004)</formula>
    </cfRule>
    <cfRule type="expression" dxfId="18443" priority="4505" stopIfTrue="1">
      <formula>AND(Y106&gt;=70010,Y106&lt;=76000)</formula>
    </cfRule>
    <cfRule type="expression" dxfId="18442" priority="4506">
      <formula>AND(Y106&gt;70000,Y106&lt;70004)</formula>
    </cfRule>
    <cfRule type="expression" dxfId="18441" priority="4507" stopIfTrue="1">
      <formula>OR(AND(Y106&gt;=10000,Y106&lt;=56999),AND(Y106&gt;=57000,Y106&lt;=57999))</formula>
    </cfRule>
    <cfRule type="expression" dxfId="18440" priority="4508" stopIfTrue="1">
      <formula>AND(Y106&gt;=8000,Y106&lt;=9999)</formula>
    </cfRule>
    <cfRule type="expression" dxfId="18439" priority="4509" stopIfTrue="1">
      <formula>AND(Y106&gt;=78100,Y106&lt;=78199)</formula>
    </cfRule>
    <cfRule type="expression" dxfId="18438" priority="4510" stopIfTrue="1">
      <formula>AND(Y106&gt;=92000,Y106&lt;=98999)</formula>
    </cfRule>
    <cfRule type="expression" dxfId="18437" priority="4511" stopIfTrue="1">
      <formula>AND(Y106&gt;=78100,Y106&lt;=78199)</formula>
    </cfRule>
    <cfRule type="expression" dxfId="18436" priority="4512" stopIfTrue="1">
      <formula>AND(Y106&gt;=91000,Y106&lt;=91999)</formula>
    </cfRule>
  </conditionalFormatting>
  <conditionalFormatting sqref="X106">
    <cfRule type="expression" dxfId="18435" priority="4491">
      <formula>AND(Y106&gt;=79001,Y106&lt;79900)</formula>
    </cfRule>
    <cfRule type="expression" dxfId="18434" priority="4492" stopIfTrue="1">
      <formula>AND(Y106&gt;=70101,Y106&lt;=70301)</formula>
    </cfRule>
    <cfRule type="expression" dxfId="18433" priority="4493" stopIfTrue="1">
      <formula>AND(Y106&gt;70000,Y106&lt;70004)</formula>
    </cfRule>
    <cfRule type="expression" dxfId="18432" priority="4494" stopIfTrue="1">
      <formula>AND(Y106&gt;=70010,Y106&lt;=76000)</formula>
    </cfRule>
    <cfRule type="expression" dxfId="18431" priority="4495">
      <formula>AND(Y106&gt;70000,Y106&lt;70004)</formula>
    </cfRule>
    <cfRule type="expression" dxfId="18430" priority="4496" stopIfTrue="1">
      <formula>OR(AND(Y106&gt;=10000,Y106&lt;=56999),AND(Y106&gt;=57000,Y106&lt;=57999))</formula>
    </cfRule>
    <cfRule type="expression" dxfId="18429" priority="4497" stopIfTrue="1">
      <formula>AND(Y106&gt;=8000,Y106&lt;=9999)</formula>
    </cfRule>
    <cfRule type="expression" dxfId="18428" priority="4498" stopIfTrue="1">
      <formula>AND(Y106&gt;=78100,Y106&lt;=78199)</formula>
    </cfRule>
    <cfRule type="expression" dxfId="18427" priority="4499" stopIfTrue="1">
      <formula>AND(Y106&gt;=92000,Y106&lt;=98999)</formula>
    </cfRule>
    <cfRule type="expression" dxfId="18426" priority="4500" stopIfTrue="1">
      <formula>AND(Y106&gt;=78100,Y106&lt;=78199)</formula>
    </cfRule>
    <cfRule type="expression" dxfId="18425" priority="4501" stopIfTrue="1">
      <formula>AND(Y106&gt;=91000,Y106&lt;=91999)</formula>
    </cfRule>
  </conditionalFormatting>
  <conditionalFormatting sqref="X106">
    <cfRule type="expression" dxfId="18424" priority="4480">
      <formula>AND(Y106&gt;=79001,Y106&lt;79900)</formula>
    </cfRule>
    <cfRule type="expression" dxfId="18423" priority="4481" stopIfTrue="1">
      <formula>AND(Y106&gt;=70101,Y106&lt;=70301)</formula>
    </cfRule>
    <cfRule type="expression" dxfId="18422" priority="4482" stopIfTrue="1">
      <formula>AND(Y106&gt;70000,Y106&lt;70004)</formula>
    </cfRule>
    <cfRule type="expression" dxfId="18421" priority="4483" stopIfTrue="1">
      <formula>AND(Y106&gt;=70010,Y106&lt;=76000)</formula>
    </cfRule>
    <cfRule type="expression" dxfId="18420" priority="4484">
      <formula>AND(Y106&gt;70000,Y106&lt;70004)</formula>
    </cfRule>
    <cfRule type="expression" dxfId="18419" priority="4485" stopIfTrue="1">
      <formula>OR(AND(Y106&gt;=10000,Y106&lt;=56999),AND(Y106&gt;=57000,Y106&lt;=57999))</formula>
    </cfRule>
    <cfRule type="expression" dxfId="18418" priority="4486" stopIfTrue="1">
      <formula>AND(Y106&gt;=8000,Y106&lt;=9999)</formula>
    </cfRule>
    <cfRule type="expression" dxfId="18417" priority="4487" stopIfTrue="1">
      <formula>AND(Y106&gt;=78100,Y106&lt;=78199)</formula>
    </cfRule>
    <cfRule type="expression" dxfId="18416" priority="4488" stopIfTrue="1">
      <formula>AND(Y106&gt;=92000,Y106&lt;=98999)</formula>
    </cfRule>
    <cfRule type="expression" dxfId="18415" priority="4489" stopIfTrue="1">
      <formula>AND(Y106&gt;=78100,Y106&lt;=78199)</formula>
    </cfRule>
    <cfRule type="expression" dxfId="18414" priority="4490" stopIfTrue="1">
      <formula>AND(Y106&gt;=91000,Y106&lt;=91999)</formula>
    </cfRule>
  </conditionalFormatting>
  <conditionalFormatting sqref="X106">
    <cfRule type="expression" dxfId="18413" priority="4469">
      <formula>AND(Y106&gt;=79001,Y106&lt;79900)</formula>
    </cfRule>
    <cfRule type="expression" dxfId="18412" priority="4470" stopIfTrue="1">
      <formula>AND(Y106&gt;=70101,Y106&lt;=70301)</formula>
    </cfRule>
    <cfRule type="expression" dxfId="18411" priority="4471" stopIfTrue="1">
      <formula>AND(Y106&gt;70000,Y106&lt;70004)</formula>
    </cfRule>
    <cfRule type="expression" dxfId="18410" priority="4472" stopIfTrue="1">
      <formula>AND(Y106&gt;=70010,Y106&lt;=76000)</formula>
    </cfRule>
    <cfRule type="expression" dxfId="18409" priority="4473">
      <formula>AND(Y106&gt;70000,Y106&lt;70004)</formula>
    </cfRule>
    <cfRule type="expression" dxfId="18408" priority="4474" stopIfTrue="1">
      <formula>OR(AND(Y106&gt;=10000,Y106&lt;=56999),AND(Y106&gt;=57000,Y106&lt;=57999))</formula>
    </cfRule>
    <cfRule type="expression" dxfId="18407" priority="4475" stopIfTrue="1">
      <formula>AND(Y106&gt;=8000,Y106&lt;=9999)</formula>
    </cfRule>
    <cfRule type="expression" dxfId="18406" priority="4476" stopIfTrue="1">
      <formula>AND(Y106&gt;=78100,Y106&lt;=78199)</formula>
    </cfRule>
    <cfRule type="expression" dxfId="18405" priority="4477" stopIfTrue="1">
      <formula>AND(Y106&gt;=92000,Y106&lt;=98999)</formula>
    </cfRule>
    <cfRule type="expression" dxfId="18404" priority="4478" stopIfTrue="1">
      <formula>AND(Y106&gt;=78100,Y106&lt;=78199)</formula>
    </cfRule>
    <cfRule type="expression" dxfId="18403" priority="4479" stopIfTrue="1">
      <formula>AND(Y106&gt;=91000,Y106&lt;=91999)</formula>
    </cfRule>
  </conditionalFormatting>
  <conditionalFormatting sqref="AB106">
    <cfRule type="expression" dxfId="18402" priority="4458">
      <formula>AND(AC106&gt;=79001,AC106&lt;79900)</formula>
    </cfRule>
    <cfRule type="expression" dxfId="18401" priority="4459" stopIfTrue="1">
      <formula>AND(AC106&gt;=70101,AC106&lt;=70301)</formula>
    </cfRule>
    <cfRule type="expression" dxfId="18400" priority="4460" stopIfTrue="1">
      <formula>AND(AC106&gt;70000,AC106&lt;70004)</formula>
    </cfRule>
    <cfRule type="expression" dxfId="18399" priority="4461" stopIfTrue="1">
      <formula>AND(AC106&gt;=70010,AC106&lt;=76000)</formula>
    </cfRule>
    <cfRule type="expression" dxfId="18398" priority="4462">
      <formula>AND(AC106&gt;70000,AC106&lt;70004)</formula>
    </cfRule>
    <cfRule type="expression" dxfId="18397" priority="4463" stopIfTrue="1">
      <formula>OR(AND(AC106&gt;=10000,AC106&lt;=56999),AND(AC106&gt;=57000,AC106&lt;=57999))</formula>
    </cfRule>
    <cfRule type="expression" dxfId="18396" priority="4464" stopIfTrue="1">
      <formula>AND(AC106&gt;=8000,AC106&lt;=9999)</formula>
    </cfRule>
    <cfRule type="expression" dxfId="18395" priority="4465" stopIfTrue="1">
      <formula>AND(AC106&gt;=78100,AC106&lt;=78199)</formula>
    </cfRule>
    <cfRule type="expression" dxfId="18394" priority="4466" stopIfTrue="1">
      <formula>AND(AC106&gt;=92000,AC106&lt;=98999)</formula>
    </cfRule>
    <cfRule type="expression" dxfId="18393" priority="4467" stopIfTrue="1">
      <formula>AND(AC106&gt;=78100,AC106&lt;=78199)</formula>
    </cfRule>
    <cfRule type="expression" dxfId="18392" priority="4468" stopIfTrue="1">
      <formula>AND(AC106&gt;=91000,AC106&lt;=91999)</formula>
    </cfRule>
  </conditionalFormatting>
  <conditionalFormatting sqref="AB106">
    <cfRule type="expression" dxfId="18391" priority="4447">
      <formula>AND(AC106&gt;=79001,AC106&lt;79900)</formula>
    </cfRule>
    <cfRule type="expression" dxfId="18390" priority="4448" stopIfTrue="1">
      <formula>AND(AC106&gt;=70101,AC106&lt;=70301)</formula>
    </cfRule>
    <cfRule type="expression" dxfId="18389" priority="4449" stopIfTrue="1">
      <formula>AND(AC106&gt;70000,AC106&lt;70004)</formula>
    </cfRule>
    <cfRule type="expression" dxfId="18388" priority="4450" stopIfTrue="1">
      <formula>AND(AC106&gt;=70010,AC106&lt;=76000)</formula>
    </cfRule>
    <cfRule type="expression" dxfId="18387" priority="4451">
      <formula>AND(AC106&gt;70000,AC106&lt;70004)</formula>
    </cfRule>
    <cfRule type="expression" dxfId="18386" priority="4452" stopIfTrue="1">
      <formula>OR(AND(AC106&gt;=10000,AC106&lt;=56999),AND(AC106&gt;=57000,AC106&lt;=57999))</formula>
    </cfRule>
    <cfRule type="expression" dxfId="18385" priority="4453" stopIfTrue="1">
      <formula>AND(AC106&gt;=8000,AC106&lt;=9999)</formula>
    </cfRule>
    <cfRule type="expression" dxfId="18384" priority="4454" stopIfTrue="1">
      <formula>AND(AC106&gt;=78100,AC106&lt;=78199)</formula>
    </cfRule>
    <cfRule type="expression" dxfId="18383" priority="4455" stopIfTrue="1">
      <formula>AND(AC106&gt;=92000,AC106&lt;=98999)</formula>
    </cfRule>
    <cfRule type="expression" dxfId="18382" priority="4456" stopIfTrue="1">
      <formula>AND(AC106&gt;=78100,AC106&lt;=78199)</formula>
    </cfRule>
    <cfRule type="expression" dxfId="18381" priority="4457" stopIfTrue="1">
      <formula>AND(AC106&gt;=91000,AC106&lt;=91999)</formula>
    </cfRule>
  </conditionalFormatting>
  <conditionalFormatting sqref="AB106">
    <cfRule type="expression" dxfId="18380" priority="4436">
      <formula>AND(AC106&gt;=79001,AC106&lt;79900)</formula>
    </cfRule>
    <cfRule type="expression" dxfId="18379" priority="4437" stopIfTrue="1">
      <formula>AND(AC106&gt;=70101,AC106&lt;=70301)</formula>
    </cfRule>
    <cfRule type="expression" dxfId="18378" priority="4438" stopIfTrue="1">
      <formula>AND(AC106&gt;70000,AC106&lt;70004)</formula>
    </cfRule>
    <cfRule type="expression" dxfId="18377" priority="4439" stopIfTrue="1">
      <formula>AND(AC106&gt;=70010,AC106&lt;=76000)</formula>
    </cfRule>
    <cfRule type="expression" dxfId="18376" priority="4440">
      <formula>AND(AC106&gt;70000,AC106&lt;70004)</formula>
    </cfRule>
    <cfRule type="expression" dxfId="18375" priority="4441" stopIfTrue="1">
      <formula>OR(AND(AC106&gt;=10000,AC106&lt;=56999),AND(AC106&gt;=57000,AC106&lt;=57999))</formula>
    </cfRule>
    <cfRule type="expression" dxfId="18374" priority="4442" stopIfTrue="1">
      <formula>AND(AC106&gt;=8000,AC106&lt;=9999)</formula>
    </cfRule>
    <cfRule type="expression" dxfId="18373" priority="4443" stopIfTrue="1">
      <formula>AND(AC106&gt;=78100,AC106&lt;=78199)</formula>
    </cfRule>
    <cfRule type="expression" dxfId="18372" priority="4444" stopIfTrue="1">
      <formula>AND(AC106&gt;=92000,AC106&lt;=98999)</formula>
    </cfRule>
    <cfRule type="expression" dxfId="18371" priority="4445" stopIfTrue="1">
      <formula>AND(AC106&gt;=78100,AC106&lt;=78199)</formula>
    </cfRule>
    <cfRule type="expression" dxfId="18370" priority="4446" stopIfTrue="1">
      <formula>AND(AC106&gt;=91000,AC106&lt;=91999)</formula>
    </cfRule>
  </conditionalFormatting>
  <conditionalFormatting sqref="AB106">
    <cfRule type="expression" dxfId="18369" priority="4425">
      <formula>AND(AC106&gt;=79001,AC106&lt;79900)</formula>
    </cfRule>
    <cfRule type="expression" dxfId="18368" priority="4426" stopIfTrue="1">
      <formula>AND(AC106&gt;=70101,AC106&lt;=70301)</formula>
    </cfRule>
    <cfRule type="expression" dxfId="18367" priority="4427" stopIfTrue="1">
      <formula>AND(AC106&gt;70000,AC106&lt;70004)</formula>
    </cfRule>
    <cfRule type="expression" dxfId="18366" priority="4428" stopIfTrue="1">
      <formula>AND(AC106&gt;=70010,AC106&lt;=76000)</formula>
    </cfRule>
    <cfRule type="expression" dxfId="18365" priority="4429">
      <formula>AND(AC106&gt;70000,AC106&lt;70004)</formula>
    </cfRule>
    <cfRule type="expression" dxfId="18364" priority="4430" stopIfTrue="1">
      <formula>OR(AND(AC106&gt;=10000,AC106&lt;=56999),AND(AC106&gt;=57000,AC106&lt;=57999))</formula>
    </cfRule>
    <cfRule type="expression" dxfId="18363" priority="4431" stopIfTrue="1">
      <formula>AND(AC106&gt;=8000,AC106&lt;=9999)</formula>
    </cfRule>
    <cfRule type="expression" dxfId="18362" priority="4432" stopIfTrue="1">
      <formula>AND(AC106&gt;=78100,AC106&lt;=78199)</formula>
    </cfRule>
    <cfRule type="expression" dxfId="18361" priority="4433" stopIfTrue="1">
      <formula>AND(AC106&gt;=92000,AC106&lt;=98999)</formula>
    </cfRule>
    <cfRule type="expression" dxfId="18360" priority="4434" stopIfTrue="1">
      <formula>AND(AC106&gt;=78100,AC106&lt;=78199)</formula>
    </cfRule>
    <cfRule type="expression" dxfId="18359" priority="4435" stopIfTrue="1">
      <formula>AND(AC106&gt;=91000,AC106&lt;=91999)</formula>
    </cfRule>
  </conditionalFormatting>
  <conditionalFormatting sqref="AF106">
    <cfRule type="expression" dxfId="18358" priority="4414">
      <formula>AND(AG106&gt;=79001,AG106&lt;79900)</formula>
    </cfRule>
    <cfRule type="expression" dxfId="18357" priority="4415" stopIfTrue="1">
      <formula>AND(AG106&gt;=70101,AG106&lt;=70301)</formula>
    </cfRule>
    <cfRule type="expression" dxfId="18356" priority="4416" stopIfTrue="1">
      <formula>AND(AG106&gt;70000,AG106&lt;70004)</formula>
    </cfRule>
    <cfRule type="expression" dxfId="18355" priority="4417" stopIfTrue="1">
      <formula>AND(AG106&gt;=70010,AG106&lt;=76000)</formula>
    </cfRule>
    <cfRule type="expression" dxfId="18354" priority="4418">
      <formula>AND(AG106&gt;70000,AG106&lt;70004)</formula>
    </cfRule>
    <cfRule type="expression" dxfId="18353" priority="4419" stopIfTrue="1">
      <formula>OR(AND(AG106&gt;=10000,AG106&lt;=56999),AND(AG106&gt;=57000,AG106&lt;=57999))</formula>
    </cfRule>
    <cfRule type="expression" dxfId="18352" priority="4420" stopIfTrue="1">
      <formula>AND(AG106&gt;=8000,AG106&lt;=9999)</formula>
    </cfRule>
    <cfRule type="expression" dxfId="18351" priority="4421" stopIfTrue="1">
      <formula>AND(AG106&gt;=78100,AG106&lt;=78199)</formula>
    </cfRule>
    <cfRule type="expression" dxfId="18350" priority="4422" stopIfTrue="1">
      <formula>AND(AG106&gt;=92000,AG106&lt;=98999)</formula>
    </cfRule>
    <cfRule type="expression" dxfId="18349" priority="4423" stopIfTrue="1">
      <formula>AND(AG106&gt;=78100,AG106&lt;=78199)</formula>
    </cfRule>
    <cfRule type="expression" dxfId="18348" priority="4424" stopIfTrue="1">
      <formula>AND(AG106&gt;=91000,AG106&lt;=91999)</formula>
    </cfRule>
  </conditionalFormatting>
  <conditionalFormatting sqref="AF106">
    <cfRule type="expression" dxfId="18347" priority="4403">
      <formula>AND(AG106&gt;=79001,AG106&lt;79900)</formula>
    </cfRule>
    <cfRule type="expression" dxfId="18346" priority="4404" stopIfTrue="1">
      <formula>AND(AG106&gt;=70101,AG106&lt;=70301)</formula>
    </cfRule>
    <cfRule type="expression" dxfId="18345" priority="4405" stopIfTrue="1">
      <formula>AND(AG106&gt;70000,AG106&lt;70004)</formula>
    </cfRule>
    <cfRule type="expression" dxfId="18344" priority="4406" stopIfTrue="1">
      <formula>AND(AG106&gt;=70010,AG106&lt;=76000)</formula>
    </cfRule>
    <cfRule type="expression" dxfId="18343" priority="4407">
      <formula>AND(AG106&gt;70000,AG106&lt;70004)</formula>
    </cfRule>
    <cfRule type="expression" dxfId="18342" priority="4408" stopIfTrue="1">
      <formula>OR(AND(AG106&gt;=10000,AG106&lt;=56999),AND(AG106&gt;=57000,AG106&lt;=57999))</formula>
    </cfRule>
    <cfRule type="expression" dxfId="18341" priority="4409" stopIfTrue="1">
      <formula>AND(AG106&gt;=8000,AG106&lt;=9999)</formula>
    </cfRule>
    <cfRule type="expression" dxfId="18340" priority="4410" stopIfTrue="1">
      <formula>AND(AG106&gt;=78100,AG106&lt;=78199)</formula>
    </cfRule>
    <cfRule type="expression" dxfId="18339" priority="4411" stopIfTrue="1">
      <formula>AND(AG106&gt;=92000,AG106&lt;=98999)</formula>
    </cfRule>
    <cfRule type="expression" dxfId="18338" priority="4412" stopIfTrue="1">
      <formula>AND(AG106&gt;=78100,AG106&lt;=78199)</formula>
    </cfRule>
    <cfRule type="expression" dxfId="18337" priority="4413" stopIfTrue="1">
      <formula>AND(AG106&gt;=91000,AG106&lt;=91999)</formula>
    </cfRule>
  </conditionalFormatting>
  <conditionalFormatting sqref="AF106">
    <cfRule type="expression" dxfId="18336" priority="4392">
      <formula>AND(AG106&gt;=79001,AG106&lt;79900)</formula>
    </cfRule>
    <cfRule type="expression" dxfId="18335" priority="4393" stopIfTrue="1">
      <formula>AND(AG106&gt;=70101,AG106&lt;=70301)</formula>
    </cfRule>
    <cfRule type="expression" dxfId="18334" priority="4394" stopIfTrue="1">
      <formula>AND(AG106&gt;70000,AG106&lt;70004)</formula>
    </cfRule>
    <cfRule type="expression" dxfId="18333" priority="4395" stopIfTrue="1">
      <formula>AND(AG106&gt;=70010,AG106&lt;=76000)</formula>
    </cfRule>
    <cfRule type="expression" dxfId="18332" priority="4396">
      <formula>AND(AG106&gt;70000,AG106&lt;70004)</formula>
    </cfRule>
    <cfRule type="expression" dxfId="18331" priority="4397" stopIfTrue="1">
      <formula>OR(AND(AG106&gt;=10000,AG106&lt;=56999),AND(AG106&gt;=57000,AG106&lt;=57999))</formula>
    </cfRule>
    <cfRule type="expression" dxfId="18330" priority="4398" stopIfTrue="1">
      <formula>AND(AG106&gt;=8000,AG106&lt;=9999)</formula>
    </cfRule>
    <cfRule type="expression" dxfId="18329" priority="4399" stopIfTrue="1">
      <formula>AND(AG106&gt;=78100,AG106&lt;=78199)</formula>
    </cfRule>
    <cfRule type="expression" dxfId="18328" priority="4400" stopIfTrue="1">
      <formula>AND(AG106&gt;=92000,AG106&lt;=98999)</formula>
    </cfRule>
    <cfRule type="expression" dxfId="18327" priority="4401" stopIfTrue="1">
      <formula>AND(AG106&gt;=78100,AG106&lt;=78199)</formula>
    </cfRule>
    <cfRule type="expression" dxfId="18326" priority="4402" stopIfTrue="1">
      <formula>AND(AG106&gt;=91000,AG106&lt;=91999)</formula>
    </cfRule>
  </conditionalFormatting>
  <conditionalFormatting sqref="AF106">
    <cfRule type="expression" dxfId="18325" priority="4381">
      <formula>AND(AG106&gt;=79001,AG106&lt;79900)</formula>
    </cfRule>
    <cfRule type="expression" dxfId="18324" priority="4382" stopIfTrue="1">
      <formula>AND(AG106&gt;=70101,AG106&lt;=70301)</formula>
    </cfRule>
    <cfRule type="expression" dxfId="18323" priority="4383" stopIfTrue="1">
      <formula>AND(AG106&gt;70000,AG106&lt;70004)</formula>
    </cfRule>
    <cfRule type="expression" dxfId="18322" priority="4384" stopIfTrue="1">
      <formula>AND(AG106&gt;=70010,AG106&lt;=76000)</formula>
    </cfRule>
    <cfRule type="expression" dxfId="18321" priority="4385">
      <formula>AND(AG106&gt;70000,AG106&lt;70004)</formula>
    </cfRule>
    <cfRule type="expression" dxfId="18320" priority="4386" stopIfTrue="1">
      <formula>OR(AND(AG106&gt;=10000,AG106&lt;=56999),AND(AG106&gt;=57000,AG106&lt;=57999))</formula>
    </cfRule>
    <cfRule type="expression" dxfId="18319" priority="4387" stopIfTrue="1">
      <formula>AND(AG106&gt;=8000,AG106&lt;=9999)</formula>
    </cfRule>
    <cfRule type="expression" dxfId="18318" priority="4388" stopIfTrue="1">
      <formula>AND(AG106&gt;=78100,AG106&lt;=78199)</formula>
    </cfRule>
    <cfRule type="expression" dxfId="18317" priority="4389" stopIfTrue="1">
      <formula>AND(AG106&gt;=92000,AG106&lt;=98999)</formula>
    </cfRule>
    <cfRule type="expression" dxfId="18316" priority="4390" stopIfTrue="1">
      <formula>AND(AG106&gt;=78100,AG106&lt;=78199)</formula>
    </cfRule>
    <cfRule type="expression" dxfId="18315" priority="4391" stopIfTrue="1">
      <formula>AND(AG106&gt;=91000,AG106&lt;=91999)</formula>
    </cfRule>
  </conditionalFormatting>
  <conditionalFormatting sqref="T106">
    <cfRule type="expression" dxfId="18314" priority="4370">
      <formula>AND(U106&gt;=79001,U106&lt;79900)</formula>
    </cfRule>
    <cfRule type="expression" dxfId="18313" priority="4371" stopIfTrue="1">
      <formula>AND(U106&gt;=70101,U106&lt;=70301)</formula>
    </cfRule>
    <cfRule type="expression" dxfId="18312" priority="4372" stopIfTrue="1">
      <formula>AND(U106&gt;70000,U106&lt;70004)</formula>
    </cfRule>
    <cfRule type="expression" dxfId="18311" priority="4373" stopIfTrue="1">
      <formula>AND(U106&gt;=70010,U106&lt;=76000)</formula>
    </cfRule>
    <cfRule type="expression" dxfId="18310" priority="4374">
      <formula>AND(U106&gt;70000,U106&lt;70004)</formula>
    </cfRule>
    <cfRule type="expression" dxfId="18309" priority="4375" stopIfTrue="1">
      <formula>OR(AND(U106&gt;=10000,U106&lt;=56999),AND(U106&gt;=57000,U106&lt;=57999))</formula>
    </cfRule>
    <cfRule type="expression" dxfId="18308" priority="4376" stopIfTrue="1">
      <formula>AND(U106&gt;=8000,U106&lt;=9999)</formula>
    </cfRule>
    <cfRule type="expression" dxfId="18307" priority="4377" stopIfTrue="1">
      <formula>AND(U106&gt;=78100,U106&lt;=78199)</formula>
    </cfRule>
    <cfRule type="expression" dxfId="18306" priority="4378" stopIfTrue="1">
      <formula>AND(U106&gt;=92000,U106&lt;=98999)</formula>
    </cfRule>
    <cfRule type="expression" dxfId="18305" priority="4379" stopIfTrue="1">
      <formula>AND(U106&gt;=78100,U106&lt;=78199)</formula>
    </cfRule>
    <cfRule type="expression" dxfId="18304" priority="4380" stopIfTrue="1">
      <formula>AND(U106&gt;=91000,U106&lt;=91999)</formula>
    </cfRule>
  </conditionalFormatting>
  <conditionalFormatting sqref="T106">
    <cfRule type="expression" dxfId="18303" priority="4359">
      <formula>AND(U106&gt;=79001,U106&lt;79900)</formula>
    </cfRule>
    <cfRule type="expression" dxfId="18302" priority="4360" stopIfTrue="1">
      <formula>AND(U106&gt;=70101,U106&lt;=70301)</formula>
    </cfRule>
    <cfRule type="expression" dxfId="18301" priority="4361" stopIfTrue="1">
      <formula>AND(U106&gt;70000,U106&lt;70004)</formula>
    </cfRule>
    <cfRule type="expression" dxfId="18300" priority="4362" stopIfTrue="1">
      <formula>AND(U106&gt;=70010,U106&lt;=76000)</formula>
    </cfRule>
    <cfRule type="expression" dxfId="18299" priority="4363">
      <formula>AND(U106&gt;70000,U106&lt;70004)</formula>
    </cfRule>
    <cfRule type="expression" dxfId="18298" priority="4364" stopIfTrue="1">
      <formula>OR(AND(U106&gt;=10000,U106&lt;=56999),AND(U106&gt;=57000,U106&lt;=57999))</formula>
    </cfRule>
    <cfRule type="expression" dxfId="18297" priority="4365" stopIfTrue="1">
      <formula>AND(U106&gt;=8000,U106&lt;=9999)</formula>
    </cfRule>
    <cfRule type="expression" dxfId="18296" priority="4366" stopIfTrue="1">
      <formula>AND(U106&gt;=78100,U106&lt;=78199)</formula>
    </cfRule>
    <cfRule type="expression" dxfId="18295" priority="4367" stopIfTrue="1">
      <formula>AND(U106&gt;=92000,U106&lt;=98999)</formula>
    </cfRule>
    <cfRule type="expression" dxfId="18294" priority="4368" stopIfTrue="1">
      <formula>AND(U106&gt;=78100,U106&lt;=78199)</formula>
    </cfRule>
    <cfRule type="expression" dxfId="18293" priority="4369" stopIfTrue="1">
      <formula>AND(U106&gt;=91000,U106&lt;=91999)</formula>
    </cfRule>
  </conditionalFormatting>
  <conditionalFormatting sqref="T106">
    <cfRule type="expression" dxfId="18292" priority="4348">
      <formula>AND(U106&gt;=79001,U106&lt;79900)</formula>
    </cfRule>
    <cfRule type="expression" dxfId="18291" priority="4349" stopIfTrue="1">
      <formula>AND(U106&gt;=70101,U106&lt;=70301)</formula>
    </cfRule>
    <cfRule type="expression" dxfId="18290" priority="4350" stopIfTrue="1">
      <formula>AND(U106&gt;70000,U106&lt;70004)</formula>
    </cfRule>
    <cfRule type="expression" dxfId="18289" priority="4351" stopIfTrue="1">
      <formula>AND(U106&gt;=70010,U106&lt;=76000)</formula>
    </cfRule>
    <cfRule type="expression" dxfId="18288" priority="4352">
      <formula>AND(U106&gt;70000,U106&lt;70004)</formula>
    </cfRule>
    <cfRule type="expression" dxfId="18287" priority="4353" stopIfTrue="1">
      <formula>OR(AND(U106&gt;=10000,U106&lt;=56999),AND(U106&gt;=57000,U106&lt;=57999))</formula>
    </cfRule>
    <cfRule type="expression" dxfId="18286" priority="4354" stopIfTrue="1">
      <formula>AND(U106&gt;=8000,U106&lt;=9999)</formula>
    </cfRule>
    <cfRule type="expression" dxfId="18285" priority="4355" stopIfTrue="1">
      <formula>AND(U106&gt;=78100,U106&lt;=78199)</formula>
    </cfRule>
    <cfRule type="expression" dxfId="18284" priority="4356" stopIfTrue="1">
      <formula>AND(U106&gt;=92000,U106&lt;=98999)</formula>
    </cfRule>
    <cfRule type="expression" dxfId="18283" priority="4357" stopIfTrue="1">
      <formula>AND(U106&gt;=78100,U106&lt;=78199)</formula>
    </cfRule>
    <cfRule type="expression" dxfId="18282" priority="4358" stopIfTrue="1">
      <formula>AND(U106&gt;=91000,U106&lt;=91999)</formula>
    </cfRule>
  </conditionalFormatting>
  <conditionalFormatting sqref="T106">
    <cfRule type="expression" dxfId="18281" priority="4337">
      <formula>AND(U106&gt;=79001,U106&lt;79900)</formula>
    </cfRule>
    <cfRule type="expression" dxfId="18280" priority="4338" stopIfTrue="1">
      <formula>AND(U106&gt;=70101,U106&lt;=70301)</formula>
    </cfRule>
    <cfRule type="expression" dxfId="18279" priority="4339" stopIfTrue="1">
      <formula>AND(U106&gt;70000,U106&lt;70004)</formula>
    </cfRule>
    <cfRule type="expression" dxfId="18278" priority="4340" stopIfTrue="1">
      <formula>AND(U106&gt;=70010,U106&lt;=76000)</formula>
    </cfRule>
    <cfRule type="expression" dxfId="18277" priority="4341">
      <formula>AND(U106&gt;70000,U106&lt;70004)</formula>
    </cfRule>
    <cfRule type="expression" dxfId="18276" priority="4342" stopIfTrue="1">
      <formula>OR(AND(U106&gt;=10000,U106&lt;=56999),AND(U106&gt;=57000,U106&lt;=57999))</formula>
    </cfRule>
    <cfRule type="expression" dxfId="18275" priority="4343" stopIfTrue="1">
      <formula>AND(U106&gt;=8000,U106&lt;=9999)</formula>
    </cfRule>
    <cfRule type="expression" dxfId="18274" priority="4344" stopIfTrue="1">
      <formula>AND(U106&gt;=78100,U106&lt;=78199)</formula>
    </cfRule>
    <cfRule type="expression" dxfId="18273" priority="4345" stopIfTrue="1">
      <formula>AND(U106&gt;=92000,U106&lt;=98999)</formula>
    </cfRule>
    <cfRule type="expression" dxfId="18272" priority="4346" stopIfTrue="1">
      <formula>AND(U106&gt;=78100,U106&lt;=78199)</formula>
    </cfRule>
    <cfRule type="expression" dxfId="18271" priority="4347" stopIfTrue="1">
      <formula>AND(U106&gt;=91000,U106&lt;=91999)</formula>
    </cfRule>
  </conditionalFormatting>
  <conditionalFormatting sqref="X107">
    <cfRule type="expression" dxfId="18270" priority="4326">
      <formula>AND(Y107&gt;=79001,Y107&lt;79900)</formula>
    </cfRule>
    <cfRule type="expression" dxfId="18269" priority="4327" stopIfTrue="1">
      <formula>AND(Y107&gt;=70101,Y107&lt;=70301)</formula>
    </cfRule>
    <cfRule type="expression" dxfId="18268" priority="4328" stopIfTrue="1">
      <formula>AND(Y107&gt;70000,Y107&lt;70004)</formula>
    </cfRule>
    <cfRule type="expression" dxfId="18267" priority="4329" stopIfTrue="1">
      <formula>AND(Y107&gt;=70010,Y107&lt;=76000)</formula>
    </cfRule>
    <cfRule type="expression" dxfId="18266" priority="4330">
      <formula>AND(Y107&gt;70000,Y107&lt;70004)</formula>
    </cfRule>
    <cfRule type="expression" dxfId="18265" priority="4331" stopIfTrue="1">
      <formula>OR(AND(Y107&gt;=10000,Y107&lt;=56999),AND(Y107&gt;=57000,Y107&lt;=57999))</formula>
    </cfRule>
    <cfRule type="expression" dxfId="18264" priority="4332" stopIfTrue="1">
      <formula>AND(Y107&gt;=8000,Y107&lt;=9999)</formula>
    </cfRule>
    <cfRule type="expression" dxfId="18263" priority="4333" stopIfTrue="1">
      <formula>AND(Y107&gt;=78100,Y107&lt;=78199)</formula>
    </cfRule>
    <cfRule type="expression" dxfId="18262" priority="4334" stopIfTrue="1">
      <formula>AND(Y107&gt;=92000,Y107&lt;=98999)</formula>
    </cfRule>
    <cfRule type="expression" dxfId="18261" priority="4335" stopIfTrue="1">
      <formula>AND(Y107&gt;=78100,Y107&lt;=78199)</formula>
    </cfRule>
    <cfRule type="expression" dxfId="18260" priority="4336" stopIfTrue="1">
      <formula>AND(Y107&gt;=91000,Y107&lt;=91999)</formula>
    </cfRule>
  </conditionalFormatting>
  <conditionalFormatting sqref="X107">
    <cfRule type="expression" dxfId="18259" priority="4315">
      <formula>AND(Y107&gt;=79001,Y107&lt;79900)</formula>
    </cfRule>
    <cfRule type="expression" dxfId="18258" priority="4316" stopIfTrue="1">
      <formula>AND(Y107&gt;=70101,Y107&lt;=70301)</formula>
    </cfRule>
    <cfRule type="expression" dxfId="18257" priority="4317" stopIfTrue="1">
      <formula>AND(Y107&gt;70000,Y107&lt;70004)</formula>
    </cfRule>
    <cfRule type="expression" dxfId="18256" priority="4318" stopIfTrue="1">
      <formula>AND(Y107&gt;=70010,Y107&lt;=76000)</formula>
    </cfRule>
    <cfRule type="expression" dxfId="18255" priority="4319">
      <formula>AND(Y107&gt;70000,Y107&lt;70004)</formula>
    </cfRule>
    <cfRule type="expression" dxfId="18254" priority="4320" stopIfTrue="1">
      <formula>OR(AND(Y107&gt;=10000,Y107&lt;=56999),AND(Y107&gt;=57000,Y107&lt;=57999))</formula>
    </cfRule>
    <cfRule type="expression" dxfId="18253" priority="4321" stopIfTrue="1">
      <formula>AND(Y107&gt;=8000,Y107&lt;=9999)</formula>
    </cfRule>
    <cfRule type="expression" dxfId="18252" priority="4322" stopIfTrue="1">
      <formula>AND(Y107&gt;=78100,Y107&lt;=78199)</formula>
    </cfRule>
    <cfRule type="expression" dxfId="18251" priority="4323" stopIfTrue="1">
      <formula>AND(Y107&gt;=92000,Y107&lt;=98999)</formula>
    </cfRule>
    <cfRule type="expression" dxfId="18250" priority="4324" stopIfTrue="1">
      <formula>AND(Y107&gt;=78100,Y107&lt;=78199)</formula>
    </cfRule>
    <cfRule type="expression" dxfId="18249" priority="4325" stopIfTrue="1">
      <formula>AND(Y107&gt;=91000,Y107&lt;=91999)</formula>
    </cfRule>
  </conditionalFormatting>
  <conditionalFormatting sqref="X107">
    <cfRule type="expression" dxfId="18248" priority="4304">
      <formula>AND(Y107&gt;=79001,Y107&lt;79900)</formula>
    </cfRule>
    <cfRule type="expression" dxfId="18247" priority="4305" stopIfTrue="1">
      <formula>AND(Y107&gt;=70101,Y107&lt;=70301)</formula>
    </cfRule>
    <cfRule type="expression" dxfId="18246" priority="4306" stopIfTrue="1">
      <formula>AND(Y107&gt;70000,Y107&lt;70004)</formula>
    </cfRule>
    <cfRule type="expression" dxfId="18245" priority="4307" stopIfTrue="1">
      <formula>AND(Y107&gt;=70010,Y107&lt;=76000)</formula>
    </cfRule>
    <cfRule type="expression" dxfId="18244" priority="4308">
      <formula>AND(Y107&gt;70000,Y107&lt;70004)</formula>
    </cfRule>
    <cfRule type="expression" dxfId="18243" priority="4309" stopIfTrue="1">
      <formula>OR(AND(Y107&gt;=10000,Y107&lt;=56999),AND(Y107&gt;=57000,Y107&lt;=57999))</formula>
    </cfRule>
    <cfRule type="expression" dxfId="18242" priority="4310" stopIfTrue="1">
      <formula>AND(Y107&gt;=8000,Y107&lt;=9999)</formula>
    </cfRule>
    <cfRule type="expression" dxfId="18241" priority="4311" stopIfTrue="1">
      <formula>AND(Y107&gt;=78100,Y107&lt;=78199)</formula>
    </cfRule>
    <cfRule type="expression" dxfId="18240" priority="4312" stopIfTrue="1">
      <formula>AND(Y107&gt;=92000,Y107&lt;=98999)</formula>
    </cfRule>
    <cfRule type="expression" dxfId="18239" priority="4313" stopIfTrue="1">
      <formula>AND(Y107&gt;=78100,Y107&lt;=78199)</formula>
    </cfRule>
    <cfRule type="expression" dxfId="18238" priority="4314" stopIfTrue="1">
      <formula>AND(Y107&gt;=91000,Y107&lt;=91999)</formula>
    </cfRule>
  </conditionalFormatting>
  <conditionalFormatting sqref="X107">
    <cfRule type="expression" dxfId="18237" priority="4293">
      <formula>AND(Y107&gt;=79001,Y107&lt;79900)</formula>
    </cfRule>
    <cfRule type="expression" dxfId="18236" priority="4294" stopIfTrue="1">
      <formula>AND(Y107&gt;=70101,Y107&lt;=70301)</formula>
    </cfRule>
    <cfRule type="expression" dxfId="18235" priority="4295" stopIfTrue="1">
      <formula>AND(Y107&gt;70000,Y107&lt;70004)</formula>
    </cfRule>
    <cfRule type="expression" dxfId="18234" priority="4296" stopIfTrue="1">
      <formula>AND(Y107&gt;=70010,Y107&lt;=76000)</formula>
    </cfRule>
    <cfRule type="expression" dxfId="18233" priority="4297">
      <formula>AND(Y107&gt;70000,Y107&lt;70004)</formula>
    </cfRule>
    <cfRule type="expression" dxfId="18232" priority="4298" stopIfTrue="1">
      <formula>OR(AND(Y107&gt;=10000,Y107&lt;=56999),AND(Y107&gt;=57000,Y107&lt;=57999))</formula>
    </cfRule>
    <cfRule type="expression" dxfId="18231" priority="4299" stopIfTrue="1">
      <formula>AND(Y107&gt;=8000,Y107&lt;=9999)</formula>
    </cfRule>
    <cfRule type="expression" dxfId="18230" priority="4300" stopIfTrue="1">
      <formula>AND(Y107&gt;=78100,Y107&lt;=78199)</formula>
    </cfRule>
    <cfRule type="expression" dxfId="18229" priority="4301" stopIfTrue="1">
      <formula>AND(Y107&gt;=92000,Y107&lt;=98999)</formula>
    </cfRule>
    <cfRule type="expression" dxfId="18228" priority="4302" stopIfTrue="1">
      <formula>AND(Y107&gt;=78100,Y107&lt;=78199)</formula>
    </cfRule>
    <cfRule type="expression" dxfId="18227" priority="4303" stopIfTrue="1">
      <formula>AND(Y107&gt;=91000,Y107&lt;=91999)</formula>
    </cfRule>
  </conditionalFormatting>
  <conditionalFormatting sqref="AB107">
    <cfRule type="expression" dxfId="18226" priority="4282">
      <formula>AND(AC107&gt;=79001,AC107&lt;79900)</formula>
    </cfRule>
    <cfRule type="expression" dxfId="18225" priority="4283" stopIfTrue="1">
      <formula>AND(AC107&gt;=70101,AC107&lt;=70301)</formula>
    </cfRule>
    <cfRule type="expression" dxfId="18224" priority="4284" stopIfTrue="1">
      <formula>AND(AC107&gt;70000,AC107&lt;70004)</formula>
    </cfRule>
    <cfRule type="expression" dxfId="18223" priority="4285" stopIfTrue="1">
      <formula>AND(AC107&gt;=70010,AC107&lt;=76000)</formula>
    </cfRule>
    <cfRule type="expression" dxfId="18222" priority="4286">
      <formula>AND(AC107&gt;70000,AC107&lt;70004)</formula>
    </cfRule>
    <cfRule type="expression" dxfId="18221" priority="4287" stopIfTrue="1">
      <formula>OR(AND(AC107&gt;=10000,AC107&lt;=56999),AND(AC107&gt;=57000,AC107&lt;=57999))</formula>
    </cfRule>
    <cfRule type="expression" dxfId="18220" priority="4288" stopIfTrue="1">
      <formula>AND(AC107&gt;=8000,AC107&lt;=9999)</formula>
    </cfRule>
    <cfRule type="expression" dxfId="18219" priority="4289" stopIfTrue="1">
      <formula>AND(AC107&gt;=78100,AC107&lt;=78199)</formula>
    </cfRule>
    <cfRule type="expression" dxfId="18218" priority="4290" stopIfTrue="1">
      <formula>AND(AC107&gt;=92000,AC107&lt;=98999)</formula>
    </cfRule>
    <cfRule type="expression" dxfId="18217" priority="4291" stopIfTrue="1">
      <formula>AND(AC107&gt;=78100,AC107&lt;=78199)</formula>
    </cfRule>
    <cfRule type="expression" dxfId="18216" priority="4292" stopIfTrue="1">
      <formula>AND(AC107&gt;=91000,AC107&lt;=91999)</formula>
    </cfRule>
  </conditionalFormatting>
  <conditionalFormatting sqref="AB107">
    <cfRule type="expression" dxfId="18215" priority="4271">
      <formula>AND(AC107&gt;=79001,AC107&lt;79900)</formula>
    </cfRule>
    <cfRule type="expression" dxfId="18214" priority="4272" stopIfTrue="1">
      <formula>AND(AC107&gt;=70101,AC107&lt;=70301)</formula>
    </cfRule>
    <cfRule type="expression" dxfId="18213" priority="4273" stopIfTrue="1">
      <formula>AND(AC107&gt;70000,AC107&lt;70004)</formula>
    </cfRule>
    <cfRule type="expression" dxfId="18212" priority="4274" stopIfTrue="1">
      <formula>AND(AC107&gt;=70010,AC107&lt;=76000)</formula>
    </cfRule>
    <cfRule type="expression" dxfId="18211" priority="4275">
      <formula>AND(AC107&gt;70000,AC107&lt;70004)</formula>
    </cfRule>
    <cfRule type="expression" dxfId="18210" priority="4276" stopIfTrue="1">
      <formula>OR(AND(AC107&gt;=10000,AC107&lt;=56999),AND(AC107&gt;=57000,AC107&lt;=57999))</formula>
    </cfRule>
    <cfRule type="expression" dxfId="18209" priority="4277" stopIfTrue="1">
      <formula>AND(AC107&gt;=8000,AC107&lt;=9999)</formula>
    </cfRule>
    <cfRule type="expression" dxfId="18208" priority="4278" stopIfTrue="1">
      <formula>AND(AC107&gt;=78100,AC107&lt;=78199)</formula>
    </cfRule>
    <cfRule type="expression" dxfId="18207" priority="4279" stopIfTrue="1">
      <formula>AND(AC107&gt;=92000,AC107&lt;=98999)</formula>
    </cfRule>
    <cfRule type="expression" dxfId="18206" priority="4280" stopIfTrue="1">
      <formula>AND(AC107&gt;=78100,AC107&lt;=78199)</formula>
    </cfRule>
    <cfRule type="expression" dxfId="18205" priority="4281" stopIfTrue="1">
      <formula>AND(AC107&gt;=91000,AC107&lt;=91999)</formula>
    </cfRule>
  </conditionalFormatting>
  <conditionalFormatting sqref="AF107">
    <cfRule type="expression" dxfId="18204" priority="4260">
      <formula>AND(AG107&gt;=79001,AG107&lt;79900)</formula>
    </cfRule>
    <cfRule type="expression" dxfId="18203" priority="4261" stopIfTrue="1">
      <formula>AND(AG107&gt;=70101,AG107&lt;=70301)</formula>
    </cfRule>
    <cfRule type="expression" dxfId="18202" priority="4262" stopIfTrue="1">
      <formula>AND(AG107&gt;70000,AG107&lt;70004)</formula>
    </cfRule>
    <cfRule type="expression" dxfId="18201" priority="4263" stopIfTrue="1">
      <formula>AND(AG107&gt;=70010,AG107&lt;=76000)</formula>
    </cfRule>
    <cfRule type="expression" dxfId="18200" priority="4264">
      <formula>AND(AG107&gt;70000,AG107&lt;70004)</formula>
    </cfRule>
    <cfRule type="expression" dxfId="18199" priority="4265" stopIfTrue="1">
      <formula>OR(AND(AG107&gt;=10000,AG107&lt;=56999),AND(AG107&gt;=57000,AG107&lt;=57999))</formula>
    </cfRule>
    <cfRule type="expression" dxfId="18198" priority="4266" stopIfTrue="1">
      <formula>AND(AG107&gt;=8000,AG107&lt;=9999)</formula>
    </cfRule>
    <cfRule type="expression" dxfId="18197" priority="4267" stopIfTrue="1">
      <formula>AND(AG107&gt;=78100,AG107&lt;=78199)</formula>
    </cfRule>
    <cfRule type="expression" dxfId="18196" priority="4268" stopIfTrue="1">
      <formula>AND(AG107&gt;=92000,AG107&lt;=98999)</formula>
    </cfRule>
    <cfRule type="expression" dxfId="18195" priority="4269" stopIfTrue="1">
      <formula>AND(AG107&gt;=78100,AG107&lt;=78199)</formula>
    </cfRule>
    <cfRule type="expression" dxfId="18194" priority="4270" stopIfTrue="1">
      <formula>AND(AG107&gt;=91000,AG107&lt;=91999)</formula>
    </cfRule>
  </conditionalFormatting>
  <conditionalFormatting sqref="AJ107">
    <cfRule type="expression" dxfId="18193" priority="4249">
      <formula>AND(AK107&gt;=79001,AK107&lt;79900)</formula>
    </cfRule>
    <cfRule type="expression" dxfId="18192" priority="4250" stopIfTrue="1">
      <formula>AND(AK107&gt;=70101,AK107&lt;=70301)</formula>
    </cfRule>
    <cfRule type="expression" dxfId="18191" priority="4251" stopIfTrue="1">
      <formula>AND(AK107&gt;70000,AK107&lt;70004)</formula>
    </cfRule>
    <cfRule type="expression" dxfId="18190" priority="4252" stopIfTrue="1">
      <formula>AND(AK107&gt;=70010,AK107&lt;=76000)</formula>
    </cfRule>
    <cfRule type="expression" dxfId="18189" priority="4253">
      <formula>AND(AK107&gt;70000,AK107&lt;70004)</formula>
    </cfRule>
    <cfRule type="expression" dxfId="18188" priority="4254" stopIfTrue="1">
      <formula>OR(AND(AK107&gt;=10000,AK107&lt;=56999),AND(AK107&gt;=57000,AK107&lt;=57999))</formula>
    </cfRule>
    <cfRule type="expression" dxfId="18187" priority="4255" stopIfTrue="1">
      <formula>AND(AK107&gt;=8000,AK107&lt;=9999)</formula>
    </cfRule>
    <cfRule type="expression" dxfId="18186" priority="4256" stopIfTrue="1">
      <formula>AND(AK107&gt;=78100,AK107&lt;=78199)</formula>
    </cfRule>
    <cfRule type="expression" dxfId="18185" priority="4257" stopIfTrue="1">
      <formula>AND(AK107&gt;=92000,AK107&lt;=98999)</formula>
    </cfRule>
    <cfRule type="expression" dxfId="18184" priority="4258" stopIfTrue="1">
      <formula>AND(AK107&gt;=78100,AK107&lt;=78199)</formula>
    </cfRule>
    <cfRule type="expression" dxfId="18183" priority="4259" stopIfTrue="1">
      <formula>AND(AK107&gt;=91000,AK107&lt;=91999)</formula>
    </cfRule>
  </conditionalFormatting>
  <conditionalFormatting sqref="AF107">
    <cfRule type="expression" dxfId="18182" priority="4238">
      <formula>AND(AG107&gt;=79001,AG107&lt;79900)</formula>
    </cfRule>
    <cfRule type="expression" dxfId="18181" priority="4239" stopIfTrue="1">
      <formula>AND(AG107&gt;=70101,AG107&lt;=70301)</formula>
    </cfRule>
    <cfRule type="expression" dxfId="18180" priority="4240" stopIfTrue="1">
      <formula>AND(AG107&gt;70000,AG107&lt;70004)</formula>
    </cfRule>
    <cfRule type="expression" dxfId="18179" priority="4241" stopIfTrue="1">
      <formula>AND(AG107&gt;=70010,AG107&lt;=76000)</formula>
    </cfRule>
    <cfRule type="expression" dxfId="18178" priority="4242">
      <formula>AND(AG107&gt;70000,AG107&lt;70004)</formula>
    </cfRule>
    <cfRule type="expression" dxfId="18177" priority="4243" stopIfTrue="1">
      <formula>OR(AND(AG107&gt;=10000,AG107&lt;=56999),AND(AG107&gt;=57000,AG107&lt;=57999))</formula>
    </cfRule>
    <cfRule type="expression" dxfId="18176" priority="4244" stopIfTrue="1">
      <formula>AND(AG107&gt;=8000,AG107&lt;=9999)</formula>
    </cfRule>
    <cfRule type="expression" dxfId="18175" priority="4245" stopIfTrue="1">
      <formula>AND(AG107&gt;=78100,AG107&lt;=78199)</formula>
    </cfRule>
    <cfRule type="expression" dxfId="18174" priority="4246" stopIfTrue="1">
      <formula>AND(AG107&gt;=92000,AG107&lt;=98999)</formula>
    </cfRule>
    <cfRule type="expression" dxfId="18173" priority="4247" stopIfTrue="1">
      <formula>AND(AG107&gt;=78100,AG107&lt;=78199)</formula>
    </cfRule>
    <cfRule type="expression" dxfId="18172" priority="4248" stopIfTrue="1">
      <formula>AND(AG107&gt;=91000,AG107&lt;=91999)</formula>
    </cfRule>
  </conditionalFormatting>
  <conditionalFormatting sqref="AJ107">
    <cfRule type="expression" dxfId="18171" priority="4227">
      <formula>AND(AK107&gt;=79001,AK107&lt;79900)</formula>
    </cfRule>
    <cfRule type="expression" dxfId="18170" priority="4228" stopIfTrue="1">
      <formula>AND(AK107&gt;=70101,AK107&lt;=70301)</formula>
    </cfRule>
    <cfRule type="expression" dxfId="18169" priority="4229" stopIfTrue="1">
      <formula>AND(AK107&gt;70000,AK107&lt;70004)</formula>
    </cfRule>
    <cfRule type="expression" dxfId="18168" priority="4230" stopIfTrue="1">
      <formula>AND(AK107&gt;=70010,AK107&lt;=76000)</formula>
    </cfRule>
    <cfRule type="expression" dxfId="18167" priority="4231">
      <formula>AND(AK107&gt;70000,AK107&lt;70004)</formula>
    </cfRule>
    <cfRule type="expression" dxfId="18166" priority="4232" stopIfTrue="1">
      <formula>OR(AND(AK107&gt;=10000,AK107&lt;=56999),AND(AK107&gt;=57000,AK107&lt;=57999))</formula>
    </cfRule>
    <cfRule type="expression" dxfId="18165" priority="4233" stopIfTrue="1">
      <formula>AND(AK107&gt;=8000,AK107&lt;=9999)</formula>
    </cfRule>
    <cfRule type="expression" dxfId="18164" priority="4234" stopIfTrue="1">
      <formula>AND(AK107&gt;=78100,AK107&lt;=78199)</formula>
    </cfRule>
    <cfRule type="expression" dxfId="18163" priority="4235" stopIfTrue="1">
      <formula>AND(AK107&gt;=92000,AK107&lt;=98999)</formula>
    </cfRule>
    <cfRule type="expression" dxfId="18162" priority="4236" stopIfTrue="1">
      <formula>AND(AK107&gt;=78100,AK107&lt;=78199)</formula>
    </cfRule>
    <cfRule type="expression" dxfId="18161" priority="4237" stopIfTrue="1">
      <formula>AND(AK107&gt;=91000,AK107&lt;=91999)</formula>
    </cfRule>
  </conditionalFormatting>
  <conditionalFormatting sqref="AM107">
    <cfRule type="colorScale" priority="4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07">
    <cfRule type="colorScale" priority="4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07">
    <cfRule type="colorScale" priority="4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07">
    <cfRule type="colorScale" priority="4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07">
    <cfRule type="colorScale" priority="4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07">
    <cfRule type="colorScale" priority="4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07">
    <cfRule type="expression" dxfId="18160" priority="4210">
      <formula>AND(U107&gt;=79001,U107&lt;79900)</formula>
    </cfRule>
    <cfRule type="expression" dxfId="18159" priority="4211" stopIfTrue="1">
      <formula>AND(U107&gt;=70101,U107&lt;=70301)</formula>
    </cfRule>
    <cfRule type="expression" dxfId="18158" priority="4212" stopIfTrue="1">
      <formula>AND(U107&gt;70000,U107&lt;70004)</formula>
    </cfRule>
    <cfRule type="expression" dxfId="18157" priority="4213" stopIfTrue="1">
      <formula>AND(U107&gt;=70010,U107&lt;=76000)</formula>
    </cfRule>
    <cfRule type="expression" dxfId="18156" priority="4214">
      <formula>AND(U107&gt;70000,U107&lt;70004)</formula>
    </cfRule>
    <cfRule type="expression" dxfId="18155" priority="4215" stopIfTrue="1">
      <formula>OR(AND(U107&gt;=10000,U107&lt;=56999),AND(U107&gt;=57000,U107&lt;=57999))</formula>
    </cfRule>
    <cfRule type="expression" dxfId="18154" priority="4216" stopIfTrue="1">
      <formula>AND(U107&gt;=8000,U107&lt;=9999)</formula>
    </cfRule>
    <cfRule type="expression" dxfId="18153" priority="4217" stopIfTrue="1">
      <formula>AND(U107&gt;=78100,U107&lt;=78199)</formula>
    </cfRule>
    <cfRule type="expression" dxfId="18152" priority="4218" stopIfTrue="1">
      <formula>AND(U107&gt;=92000,U107&lt;=98999)</formula>
    </cfRule>
    <cfRule type="expression" dxfId="18151" priority="4219" stopIfTrue="1">
      <formula>AND(U107&gt;=78100,U107&lt;=78199)</formula>
    </cfRule>
    <cfRule type="expression" dxfId="18150" priority="4220" stopIfTrue="1">
      <formula>AND(U107&gt;=91000,U107&lt;=91999)</formula>
    </cfRule>
  </conditionalFormatting>
  <conditionalFormatting sqref="T107">
    <cfRule type="expression" dxfId="18149" priority="4199">
      <formula>AND(U107&gt;=79001,U107&lt;79900)</formula>
    </cfRule>
    <cfRule type="expression" dxfId="18148" priority="4200" stopIfTrue="1">
      <formula>AND(U107&gt;=70101,U107&lt;=70301)</formula>
    </cfRule>
    <cfRule type="expression" dxfId="18147" priority="4201" stopIfTrue="1">
      <formula>AND(U107&gt;70000,U107&lt;70004)</formula>
    </cfRule>
    <cfRule type="expression" dxfId="18146" priority="4202" stopIfTrue="1">
      <formula>AND(U107&gt;=70010,U107&lt;=76000)</formula>
    </cfRule>
    <cfRule type="expression" dxfId="18145" priority="4203">
      <formula>AND(U107&gt;70000,U107&lt;70004)</formula>
    </cfRule>
    <cfRule type="expression" dxfId="18144" priority="4204" stopIfTrue="1">
      <formula>OR(AND(U107&gt;=10000,U107&lt;=56999),AND(U107&gt;=57000,U107&lt;=57999))</formula>
    </cfRule>
    <cfRule type="expression" dxfId="18143" priority="4205" stopIfTrue="1">
      <formula>AND(U107&gt;=8000,U107&lt;=9999)</formula>
    </cfRule>
    <cfRule type="expression" dxfId="18142" priority="4206" stopIfTrue="1">
      <formula>AND(U107&gt;=78100,U107&lt;=78199)</formula>
    </cfRule>
    <cfRule type="expression" dxfId="18141" priority="4207" stopIfTrue="1">
      <formula>AND(U107&gt;=92000,U107&lt;=98999)</formula>
    </cfRule>
    <cfRule type="expression" dxfId="18140" priority="4208" stopIfTrue="1">
      <formula>AND(U107&gt;=78100,U107&lt;=78199)</formula>
    </cfRule>
    <cfRule type="expression" dxfId="18139" priority="4209" stopIfTrue="1">
      <formula>AND(U107&gt;=91000,U107&lt;=91999)</formula>
    </cfRule>
  </conditionalFormatting>
  <conditionalFormatting sqref="T107">
    <cfRule type="expression" dxfId="18138" priority="4188">
      <formula>AND(U107&gt;=79001,U107&lt;79900)</formula>
    </cfRule>
    <cfRule type="expression" dxfId="18137" priority="4189" stopIfTrue="1">
      <formula>AND(U107&gt;=70101,U107&lt;=70301)</formula>
    </cfRule>
    <cfRule type="expression" dxfId="18136" priority="4190" stopIfTrue="1">
      <formula>AND(U107&gt;70000,U107&lt;70004)</formula>
    </cfRule>
    <cfRule type="expression" dxfId="18135" priority="4191" stopIfTrue="1">
      <formula>AND(U107&gt;=70010,U107&lt;=76000)</formula>
    </cfRule>
    <cfRule type="expression" dxfId="18134" priority="4192">
      <formula>AND(U107&gt;70000,U107&lt;70004)</formula>
    </cfRule>
    <cfRule type="expression" dxfId="18133" priority="4193" stopIfTrue="1">
      <formula>OR(AND(U107&gt;=10000,U107&lt;=56999),AND(U107&gt;=57000,U107&lt;=57999))</formula>
    </cfRule>
    <cfRule type="expression" dxfId="18132" priority="4194" stopIfTrue="1">
      <formula>AND(U107&gt;=8000,U107&lt;=9999)</formula>
    </cfRule>
    <cfRule type="expression" dxfId="18131" priority="4195" stopIfTrue="1">
      <formula>AND(U107&gt;=78100,U107&lt;=78199)</formula>
    </cfRule>
    <cfRule type="expression" dxfId="18130" priority="4196" stopIfTrue="1">
      <formula>AND(U107&gt;=92000,U107&lt;=98999)</formula>
    </cfRule>
    <cfRule type="expression" dxfId="18129" priority="4197" stopIfTrue="1">
      <formula>AND(U107&gt;=78100,U107&lt;=78199)</formula>
    </cfRule>
    <cfRule type="expression" dxfId="18128" priority="4198" stopIfTrue="1">
      <formula>AND(U107&gt;=91000,U107&lt;=91999)</formula>
    </cfRule>
  </conditionalFormatting>
  <conditionalFormatting sqref="T107">
    <cfRule type="expression" dxfId="18127" priority="4177">
      <formula>AND(U107&gt;=79001,U107&lt;79900)</formula>
    </cfRule>
    <cfRule type="expression" dxfId="18126" priority="4178" stopIfTrue="1">
      <formula>AND(U107&gt;=70101,U107&lt;=70301)</formula>
    </cfRule>
    <cfRule type="expression" dxfId="18125" priority="4179" stopIfTrue="1">
      <formula>AND(U107&gt;70000,U107&lt;70004)</formula>
    </cfRule>
    <cfRule type="expression" dxfId="18124" priority="4180" stopIfTrue="1">
      <formula>AND(U107&gt;=70010,U107&lt;=76000)</formula>
    </cfRule>
    <cfRule type="expression" dxfId="18123" priority="4181">
      <formula>AND(U107&gt;70000,U107&lt;70004)</formula>
    </cfRule>
    <cfRule type="expression" dxfId="18122" priority="4182" stopIfTrue="1">
      <formula>OR(AND(U107&gt;=10000,U107&lt;=56999),AND(U107&gt;=57000,U107&lt;=57999))</formula>
    </cfRule>
    <cfRule type="expression" dxfId="18121" priority="4183" stopIfTrue="1">
      <formula>AND(U107&gt;=8000,U107&lt;=9999)</formula>
    </cfRule>
    <cfRule type="expression" dxfId="18120" priority="4184" stopIfTrue="1">
      <formula>AND(U107&gt;=78100,U107&lt;=78199)</formula>
    </cfRule>
    <cfRule type="expression" dxfId="18119" priority="4185" stopIfTrue="1">
      <formula>AND(U107&gt;=92000,U107&lt;=98999)</formula>
    </cfRule>
    <cfRule type="expression" dxfId="18118" priority="4186" stopIfTrue="1">
      <formula>AND(U107&gt;=78100,U107&lt;=78199)</formula>
    </cfRule>
    <cfRule type="expression" dxfId="18117" priority="4187" stopIfTrue="1">
      <formula>AND(U107&gt;=91000,U107&lt;=91999)</formula>
    </cfRule>
  </conditionalFormatting>
  <conditionalFormatting sqref="AJ121:AK121 AM121">
    <cfRule type="expression" dxfId="18116" priority="4166">
      <formula>AND(AK121&gt;=79001,AK121&lt;79900)</formula>
    </cfRule>
    <cfRule type="expression" dxfId="18115" priority="4167" stopIfTrue="1">
      <formula>AND(AK121&gt;=70101,AK121&lt;=70301)</formula>
    </cfRule>
    <cfRule type="expression" dxfId="18114" priority="4168" stopIfTrue="1">
      <formula>AND(AK121&gt;70000,AK121&lt;70004)</formula>
    </cfRule>
    <cfRule type="expression" dxfId="18113" priority="4169" stopIfTrue="1">
      <formula>AND(AK121&gt;=70010,AK121&lt;=76000)</formula>
    </cfRule>
    <cfRule type="expression" dxfId="18112" priority="4170">
      <formula>AND(AK121&gt;70000,AK121&lt;70004)</formula>
    </cfRule>
    <cfRule type="expression" dxfId="18111" priority="4171" stopIfTrue="1">
      <formula>OR(AND(AK121&gt;=10000,AK121&lt;=56999),AND(AK121&gt;=57000,AK121&lt;=57999))</formula>
    </cfRule>
    <cfRule type="expression" dxfId="18110" priority="4172" stopIfTrue="1">
      <formula>AND(AK121&gt;=8000,AK121&lt;=9999)</formula>
    </cfRule>
    <cfRule type="expression" dxfId="18109" priority="4173" stopIfTrue="1">
      <formula>AND(AK121&gt;=78100,AK121&lt;=78199)</formula>
    </cfRule>
    <cfRule type="expression" dxfId="18108" priority="4174" stopIfTrue="1">
      <formula>AND(AK121&gt;=92000,AK121&lt;=98999)</formula>
    </cfRule>
    <cfRule type="expression" dxfId="18107" priority="4175" stopIfTrue="1">
      <formula>AND(AK121&gt;=78100,AK121&lt;=78199)</formula>
    </cfRule>
    <cfRule type="expression" dxfId="18106" priority="4176" stopIfTrue="1">
      <formula>AND(AK121&gt;=91000,AK121&lt;=91999)</formula>
    </cfRule>
  </conditionalFormatting>
  <conditionalFormatting sqref="AJ121:AK121 AM121">
    <cfRule type="expression" dxfId="18105" priority="4155">
      <formula>AND(AK121&gt;=79001,AK121&lt;79900)</formula>
    </cfRule>
    <cfRule type="expression" dxfId="18104" priority="4156" stopIfTrue="1">
      <formula>AND(AK121&gt;=70101,AK121&lt;=70301)</formula>
    </cfRule>
    <cfRule type="expression" dxfId="18103" priority="4157" stopIfTrue="1">
      <formula>AND(AK121&gt;70000,AK121&lt;70004)</formula>
    </cfRule>
    <cfRule type="expression" dxfId="18102" priority="4158" stopIfTrue="1">
      <formula>AND(AK121&gt;=70010,AK121&lt;=76000)</formula>
    </cfRule>
    <cfRule type="expression" dxfId="18101" priority="4159">
      <formula>AND(AK121&gt;70000,AK121&lt;70004)</formula>
    </cfRule>
    <cfRule type="expression" dxfId="18100" priority="4160" stopIfTrue="1">
      <formula>OR(AND(AK121&gt;=10000,AK121&lt;=56999),AND(AK121&gt;=57000,AK121&lt;=57999))</formula>
    </cfRule>
    <cfRule type="expression" dxfId="18099" priority="4161" stopIfTrue="1">
      <formula>AND(AK121&gt;=8000,AK121&lt;=9999)</formula>
    </cfRule>
    <cfRule type="expression" dxfId="18098" priority="4162" stopIfTrue="1">
      <formula>AND(AK121&gt;=78100,AK121&lt;=78199)</formula>
    </cfRule>
    <cfRule type="expression" dxfId="18097" priority="4163" stopIfTrue="1">
      <formula>AND(AK121&gt;=92000,AK121&lt;=98999)</formula>
    </cfRule>
    <cfRule type="expression" dxfId="18096" priority="4164" stopIfTrue="1">
      <formula>AND(AK121&gt;=78100,AK121&lt;=78199)</formula>
    </cfRule>
    <cfRule type="expression" dxfId="18095" priority="4165" stopIfTrue="1">
      <formula>AND(AK121&gt;=91000,AK121&lt;=91999)</formula>
    </cfRule>
  </conditionalFormatting>
  <conditionalFormatting sqref="AJ121:AK121 AM121">
    <cfRule type="expression" dxfId="18094" priority="4144">
      <formula>AND(AK121&gt;=79001,AK121&lt;79900)</formula>
    </cfRule>
    <cfRule type="expression" dxfId="18093" priority="4145" stopIfTrue="1">
      <formula>AND(AK121&gt;=70101,AK121&lt;=70301)</formula>
    </cfRule>
    <cfRule type="expression" dxfId="18092" priority="4146" stopIfTrue="1">
      <formula>AND(AK121&gt;70000,AK121&lt;70004)</formula>
    </cfRule>
    <cfRule type="expression" dxfId="18091" priority="4147" stopIfTrue="1">
      <formula>AND(AK121&gt;=70010,AK121&lt;=76000)</formula>
    </cfRule>
    <cfRule type="expression" dxfId="18090" priority="4148">
      <formula>AND(AK121&gt;70000,AK121&lt;70004)</formula>
    </cfRule>
    <cfRule type="expression" dxfId="18089" priority="4149" stopIfTrue="1">
      <formula>OR(AND(AK121&gt;=10000,AK121&lt;=56999),AND(AK121&gt;=57000,AK121&lt;=57999))</formula>
    </cfRule>
    <cfRule type="expression" dxfId="18088" priority="4150" stopIfTrue="1">
      <formula>AND(AK121&gt;=8000,AK121&lt;=9999)</formula>
    </cfRule>
    <cfRule type="expression" dxfId="18087" priority="4151" stopIfTrue="1">
      <formula>AND(AK121&gt;=78100,AK121&lt;=78199)</formula>
    </cfRule>
    <cfRule type="expression" dxfId="18086" priority="4152" stopIfTrue="1">
      <formula>AND(AK121&gt;=92000,AK121&lt;=98999)</formula>
    </cfRule>
    <cfRule type="expression" dxfId="18085" priority="4153" stopIfTrue="1">
      <formula>AND(AK121&gt;=78100,AK121&lt;=78199)</formula>
    </cfRule>
    <cfRule type="expression" dxfId="18084" priority="4154" stopIfTrue="1">
      <formula>AND(AK121&gt;=91000,AK121&lt;=91999)</formula>
    </cfRule>
  </conditionalFormatting>
  <conditionalFormatting sqref="AJ121:AK121 AM121">
    <cfRule type="expression" dxfId="18083" priority="4133">
      <formula>AND(AK121&gt;=79001,AK121&lt;79900)</formula>
    </cfRule>
    <cfRule type="expression" dxfId="18082" priority="4134" stopIfTrue="1">
      <formula>AND(AK121&gt;=70101,AK121&lt;=70301)</formula>
    </cfRule>
    <cfRule type="expression" dxfId="18081" priority="4135" stopIfTrue="1">
      <formula>AND(AK121&gt;70000,AK121&lt;70004)</formula>
    </cfRule>
    <cfRule type="expression" dxfId="18080" priority="4136" stopIfTrue="1">
      <formula>AND(AK121&gt;=70010,AK121&lt;=76000)</formula>
    </cfRule>
    <cfRule type="expression" dxfId="18079" priority="4137">
      <formula>AND(AK121&gt;70000,AK121&lt;70004)</formula>
    </cfRule>
    <cfRule type="expression" dxfId="18078" priority="4138" stopIfTrue="1">
      <formula>OR(AND(AK121&gt;=10000,AK121&lt;=56999),AND(AK121&gt;=57000,AK121&lt;=57999))</formula>
    </cfRule>
    <cfRule type="expression" dxfId="18077" priority="4139" stopIfTrue="1">
      <formula>AND(AK121&gt;=8000,AK121&lt;=9999)</formula>
    </cfRule>
    <cfRule type="expression" dxfId="18076" priority="4140" stopIfTrue="1">
      <formula>AND(AK121&gt;=78100,AK121&lt;=78199)</formula>
    </cfRule>
    <cfRule type="expression" dxfId="18075" priority="4141" stopIfTrue="1">
      <formula>AND(AK121&gt;=92000,AK121&lt;=98999)</formula>
    </cfRule>
    <cfRule type="expression" dxfId="18074" priority="4142" stopIfTrue="1">
      <formula>AND(AK121&gt;=78100,AK121&lt;=78199)</formula>
    </cfRule>
    <cfRule type="expression" dxfId="18073" priority="4143" stopIfTrue="1">
      <formula>AND(AK121&gt;=91000,AK121&lt;=91999)</formula>
    </cfRule>
  </conditionalFormatting>
  <conditionalFormatting sqref="T109">
    <cfRule type="expression" dxfId="18072" priority="4122">
      <formula>AND(U109&gt;=79001,U109&lt;79900)</formula>
    </cfRule>
    <cfRule type="expression" dxfId="18071" priority="4123" stopIfTrue="1">
      <formula>AND(U109&gt;=70101,U109&lt;=70301)</formula>
    </cfRule>
    <cfRule type="expression" dxfId="18070" priority="4124" stopIfTrue="1">
      <formula>AND(U109&gt;70000,U109&lt;70004)</formula>
    </cfRule>
    <cfRule type="expression" dxfId="18069" priority="4125" stopIfTrue="1">
      <formula>AND(U109&gt;=70010,U109&lt;=76000)</formula>
    </cfRule>
    <cfRule type="expression" dxfId="18068" priority="4126">
      <formula>AND(U109&gt;70000,U109&lt;70004)</formula>
    </cfRule>
    <cfRule type="expression" dxfId="18067" priority="4127" stopIfTrue="1">
      <formula>OR(AND(U109&gt;=10000,U109&lt;=56999),AND(U109&gt;=57000,U109&lt;=57999))</formula>
    </cfRule>
    <cfRule type="expression" dxfId="18066" priority="4128" stopIfTrue="1">
      <formula>AND(U109&gt;=8000,U109&lt;=9999)</formula>
    </cfRule>
    <cfRule type="expression" dxfId="18065" priority="4129" stopIfTrue="1">
      <formula>AND(U109&gt;=78100,U109&lt;=78199)</formula>
    </cfRule>
    <cfRule type="expression" dxfId="18064" priority="4130" stopIfTrue="1">
      <formula>AND(U109&gt;=92000,U109&lt;=98999)</formula>
    </cfRule>
    <cfRule type="expression" dxfId="18063" priority="4131" stopIfTrue="1">
      <formula>AND(U109&gt;=78100,U109&lt;=78199)</formula>
    </cfRule>
    <cfRule type="expression" dxfId="18062" priority="4132" stopIfTrue="1">
      <formula>AND(U109&gt;=91000,U109&lt;=91999)</formula>
    </cfRule>
  </conditionalFormatting>
  <conditionalFormatting sqref="T109">
    <cfRule type="expression" dxfId="18061" priority="4111">
      <formula>AND(U109&gt;=79001,U109&lt;79900)</formula>
    </cfRule>
    <cfRule type="expression" dxfId="18060" priority="4112" stopIfTrue="1">
      <formula>AND(U109&gt;=70101,U109&lt;=70301)</formula>
    </cfRule>
    <cfRule type="expression" dxfId="18059" priority="4113" stopIfTrue="1">
      <formula>AND(U109&gt;70000,U109&lt;70004)</formula>
    </cfRule>
    <cfRule type="expression" dxfId="18058" priority="4114" stopIfTrue="1">
      <formula>AND(U109&gt;=70010,U109&lt;=76000)</formula>
    </cfRule>
    <cfRule type="expression" dxfId="18057" priority="4115">
      <formula>AND(U109&gt;70000,U109&lt;70004)</formula>
    </cfRule>
    <cfRule type="expression" dxfId="18056" priority="4116" stopIfTrue="1">
      <formula>OR(AND(U109&gt;=10000,U109&lt;=56999),AND(U109&gt;=57000,U109&lt;=57999))</formula>
    </cfRule>
    <cfRule type="expression" dxfId="18055" priority="4117" stopIfTrue="1">
      <formula>AND(U109&gt;=8000,U109&lt;=9999)</formula>
    </cfRule>
    <cfRule type="expression" dxfId="18054" priority="4118" stopIfTrue="1">
      <formula>AND(U109&gt;=78100,U109&lt;=78199)</formula>
    </cfRule>
    <cfRule type="expression" dxfId="18053" priority="4119" stopIfTrue="1">
      <formula>AND(U109&gt;=92000,U109&lt;=98999)</formula>
    </cfRule>
    <cfRule type="expression" dxfId="18052" priority="4120" stopIfTrue="1">
      <formula>AND(U109&gt;=78100,U109&lt;=78199)</formula>
    </cfRule>
    <cfRule type="expression" dxfId="18051" priority="4121" stopIfTrue="1">
      <formula>AND(U109&gt;=91000,U109&lt;=91999)</formula>
    </cfRule>
  </conditionalFormatting>
  <conditionalFormatting sqref="T109">
    <cfRule type="expression" dxfId="18050" priority="4100">
      <formula>AND(U109&gt;=79001,U109&lt;79900)</formula>
    </cfRule>
    <cfRule type="expression" dxfId="18049" priority="4101" stopIfTrue="1">
      <formula>AND(U109&gt;=70101,U109&lt;=70301)</formula>
    </cfRule>
    <cfRule type="expression" dxfId="18048" priority="4102" stopIfTrue="1">
      <formula>AND(U109&gt;70000,U109&lt;70004)</formula>
    </cfRule>
    <cfRule type="expression" dxfId="18047" priority="4103" stopIfTrue="1">
      <formula>AND(U109&gt;=70010,U109&lt;=76000)</formula>
    </cfRule>
    <cfRule type="expression" dxfId="18046" priority="4104">
      <formula>AND(U109&gt;70000,U109&lt;70004)</formula>
    </cfRule>
    <cfRule type="expression" dxfId="18045" priority="4105" stopIfTrue="1">
      <formula>OR(AND(U109&gt;=10000,U109&lt;=56999),AND(U109&gt;=57000,U109&lt;=57999))</formula>
    </cfRule>
    <cfRule type="expression" dxfId="18044" priority="4106" stopIfTrue="1">
      <formula>AND(U109&gt;=8000,U109&lt;=9999)</formula>
    </cfRule>
    <cfRule type="expression" dxfId="18043" priority="4107" stopIfTrue="1">
      <formula>AND(U109&gt;=78100,U109&lt;=78199)</formula>
    </cfRule>
    <cfRule type="expression" dxfId="18042" priority="4108" stopIfTrue="1">
      <formula>AND(U109&gt;=92000,U109&lt;=98999)</formula>
    </cfRule>
    <cfRule type="expression" dxfId="18041" priority="4109" stopIfTrue="1">
      <formula>AND(U109&gt;=78100,U109&lt;=78199)</formula>
    </cfRule>
    <cfRule type="expression" dxfId="18040" priority="4110" stopIfTrue="1">
      <formula>AND(U109&gt;=91000,U109&lt;=91999)</formula>
    </cfRule>
  </conditionalFormatting>
  <conditionalFormatting sqref="T109">
    <cfRule type="expression" dxfId="18039" priority="4089">
      <formula>AND(U109&gt;=79001,U109&lt;79900)</formula>
    </cfRule>
    <cfRule type="expression" dxfId="18038" priority="4090" stopIfTrue="1">
      <formula>AND(U109&gt;=70101,U109&lt;=70301)</formula>
    </cfRule>
    <cfRule type="expression" dxfId="18037" priority="4091" stopIfTrue="1">
      <formula>AND(U109&gt;70000,U109&lt;70004)</formula>
    </cfRule>
    <cfRule type="expression" dxfId="18036" priority="4092" stopIfTrue="1">
      <formula>AND(U109&gt;=70010,U109&lt;=76000)</formula>
    </cfRule>
    <cfRule type="expression" dxfId="18035" priority="4093">
      <formula>AND(U109&gt;70000,U109&lt;70004)</formula>
    </cfRule>
    <cfRule type="expression" dxfId="18034" priority="4094" stopIfTrue="1">
      <formula>OR(AND(U109&gt;=10000,U109&lt;=56999),AND(U109&gt;=57000,U109&lt;=57999))</formula>
    </cfRule>
    <cfRule type="expression" dxfId="18033" priority="4095" stopIfTrue="1">
      <formula>AND(U109&gt;=8000,U109&lt;=9999)</formula>
    </cfRule>
    <cfRule type="expression" dxfId="18032" priority="4096" stopIfTrue="1">
      <formula>AND(U109&gt;=78100,U109&lt;=78199)</formula>
    </cfRule>
    <cfRule type="expression" dxfId="18031" priority="4097" stopIfTrue="1">
      <formula>AND(U109&gt;=92000,U109&lt;=98999)</formula>
    </cfRule>
    <cfRule type="expression" dxfId="18030" priority="4098" stopIfTrue="1">
      <formula>AND(U109&gt;=78100,U109&lt;=78199)</formula>
    </cfRule>
    <cfRule type="expression" dxfId="18029" priority="4099" stopIfTrue="1">
      <formula>AND(U109&gt;=91000,U109&lt;=91999)</formula>
    </cfRule>
  </conditionalFormatting>
  <conditionalFormatting sqref="T118">
    <cfRule type="expression" dxfId="18028" priority="4078">
      <formula>AND(U118&gt;=79001,U118&lt;79900)</formula>
    </cfRule>
    <cfRule type="expression" dxfId="18027" priority="4079" stopIfTrue="1">
      <formula>AND(U118&gt;=70101,U118&lt;=70301)</formula>
    </cfRule>
    <cfRule type="expression" dxfId="18026" priority="4080" stopIfTrue="1">
      <formula>AND(U118&gt;70000,U118&lt;70004)</formula>
    </cfRule>
    <cfRule type="expression" dxfId="18025" priority="4081" stopIfTrue="1">
      <formula>AND(U118&gt;=70010,U118&lt;=76000)</formula>
    </cfRule>
    <cfRule type="expression" dxfId="18024" priority="4082">
      <formula>AND(U118&gt;70000,U118&lt;70004)</formula>
    </cfRule>
    <cfRule type="expression" dxfId="18023" priority="4083" stopIfTrue="1">
      <formula>OR(AND(U118&gt;=10000,U118&lt;=56999),AND(U118&gt;=57000,U118&lt;=57999))</formula>
    </cfRule>
    <cfRule type="expression" dxfId="18022" priority="4084" stopIfTrue="1">
      <formula>AND(U118&gt;=8000,U118&lt;=9999)</formula>
    </cfRule>
    <cfRule type="expression" dxfId="18021" priority="4085" stopIfTrue="1">
      <formula>AND(U118&gt;=78100,U118&lt;=78199)</formula>
    </cfRule>
    <cfRule type="expression" dxfId="18020" priority="4086" stopIfTrue="1">
      <formula>AND(U118&gt;=92000,U118&lt;=98999)</formula>
    </cfRule>
    <cfRule type="expression" dxfId="18019" priority="4087" stopIfTrue="1">
      <formula>AND(U118&gt;=78100,U118&lt;=78199)</formula>
    </cfRule>
    <cfRule type="expression" dxfId="18018" priority="4088" stopIfTrue="1">
      <formula>AND(U118&gt;=91000,U118&lt;=91999)</formula>
    </cfRule>
  </conditionalFormatting>
  <conditionalFormatting sqref="T118">
    <cfRule type="expression" dxfId="18017" priority="4067">
      <formula>AND(U118&gt;=79001,U118&lt;79900)</formula>
    </cfRule>
    <cfRule type="expression" dxfId="18016" priority="4068" stopIfTrue="1">
      <formula>AND(U118&gt;=70101,U118&lt;=70301)</formula>
    </cfRule>
    <cfRule type="expression" dxfId="18015" priority="4069" stopIfTrue="1">
      <formula>AND(U118&gt;70000,U118&lt;70004)</formula>
    </cfRule>
    <cfRule type="expression" dxfId="18014" priority="4070" stopIfTrue="1">
      <formula>AND(U118&gt;=70010,U118&lt;=76000)</formula>
    </cfRule>
    <cfRule type="expression" dxfId="18013" priority="4071">
      <formula>AND(U118&gt;70000,U118&lt;70004)</formula>
    </cfRule>
    <cfRule type="expression" dxfId="18012" priority="4072" stopIfTrue="1">
      <formula>OR(AND(U118&gt;=10000,U118&lt;=56999),AND(U118&gt;=57000,U118&lt;=57999))</formula>
    </cfRule>
    <cfRule type="expression" dxfId="18011" priority="4073" stopIfTrue="1">
      <formula>AND(U118&gt;=8000,U118&lt;=9999)</formula>
    </cfRule>
    <cfRule type="expression" dxfId="18010" priority="4074" stopIfTrue="1">
      <formula>AND(U118&gt;=78100,U118&lt;=78199)</formula>
    </cfRule>
    <cfRule type="expression" dxfId="18009" priority="4075" stopIfTrue="1">
      <formula>AND(U118&gt;=92000,U118&lt;=98999)</formula>
    </cfRule>
    <cfRule type="expression" dxfId="18008" priority="4076" stopIfTrue="1">
      <formula>AND(U118&gt;=78100,U118&lt;=78199)</formula>
    </cfRule>
    <cfRule type="expression" dxfId="18007" priority="4077" stopIfTrue="1">
      <formula>AND(U118&gt;=91000,U118&lt;=91999)</formula>
    </cfRule>
  </conditionalFormatting>
  <conditionalFormatting sqref="T118">
    <cfRule type="expression" dxfId="18006" priority="4056">
      <formula>AND(U118&gt;=79001,U118&lt;79900)</formula>
    </cfRule>
    <cfRule type="expression" dxfId="18005" priority="4057" stopIfTrue="1">
      <formula>AND(U118&gt;=70101,U118&lt;=70301)</formula>
    </cfRule>
    <cfRule type="expression" dxfId="18004" priority="4058" stopIfTrue="1">
      <formula>AND(U118&gt;70000,U118&lt;70004)</formula>
    </cfRule>
    <cfRule type="expression" dxfId="18003" priority="4059" stopIfTrue="1">
      <formula>AND(U118&gt;=70010,U118&lt;=76000)</formula>
    </cfRule>
    <cfRule type="expression" dxfId="18002" priority="4060">
      <formula>AND(U118&gt;70000,U118&lt;70004)</formula>
    </cfRule>
    <cfRule type="expression" dxfId="18001" priority="4061" stopIfTrue="1">
      <formula>OR(AND(U118&gt;=10000,U118&lt;=56999),AND(U118&gt;=57000,U118&lt;=57999))</formula>
    </cfRule>
    <cfRule type="expression" dxfId="18000" priority="4062" stopIfTrue="1">
      <formula>AND(U118&gt;=8000,U118&lt;=9999)</formula>
    </cfRule>
    <cfRule type="expression" dxfId="17999" priority="4063" stopIfTrue="1">
      <formula>AND(U118&gt;=78100,U118&lt;=78199)</formula>
    </cfRule>
    <cfRule type="expression" dxfId="17998" priority="4064" stopIfTrue="1">
      <formula>AND(U118&gt;=92000,U118&lt;=98999)</formula>
    </cfRule>
    <cfRule type="expression" dxfId="17997" priority="4065" stopIfTrue="1">
      <formula>AND(U118&gt;=78100,U118&lt;=78199)</formula>
    </cfRule>
    <cfRule type="expression" dxfId="17996" priority="4066" stopIfTrue="1">
      <formula>AND(U118&gt;=91000,U118&lt;=91999)</formula>
    </cfRule>
  </conditionalFormatting>
  <conditionalFormatting sqref="T118">
    <cfRule type="expression" dxfId="17995" priority="4045">
      <formula>AND(U118&gt;=79001,U118&lt;79900)</formula>
    </cfRule>
    <cfRule type="expression" dxfId="17994" priority="4046" stopIfTrue="1">
      <formula>AND(U118&gt;=70101,U118&lt;=70301)</formula>
    </cfRule>
    <cfRule type="expression" dxfId="17993" priority="4047" stopIfTrue="1">
      <formula>AND(U118&gt;70000,U118&lt;70004)</formula>
    </cfRule>
    <cfRule type="expression" dxfId="17992" priority="4048" stopIfTrue="1">
      <formula>AND(U118&gt;=70010,U118&lt;=76000)</formula>
    </cfRule>
    <cfRule type="expression" dxfId="17991" priority="4049">
      <formula>AND(U118&gt;70000,U118&lt;70004)</formula>
    </cfRule>
    <cfRule type="expression" dxfId="17990" priority="4050" stopIfTrue="1">
      <formula>OR(AND(U118&gt;=10000,U118&lt;=56999),AND(U118&gt;=57000,U118&lt;=57999))</formula>
    </cfRule>
    <cfRule type="expression" dxfId="17989" priority="4051" stopIfTrue="1">
      <formula>AND(U118&gt;=8000,U118&lt;=9999)</formula>
    </cfRule>
    <cfRule type="expression" dxfId="17988" priority="4052" stopIfTrue="1">
      <formula>AND(U118&gt;=78100,U118&lt;=78199)</formula>
    </cfRule>
    <cfRule type="expression" dxfId="17987" priority="4053" stopIfTrue="1">
      <formula>AND(U118&gt;=92000,U118&lt;=98999)</formula>
    </cfRule>
    <cfRule type="expression" dxfId="17986" priority="4054" stopIfTrue="1">
      <formula>AND(U118&gt;=78100,U118&lt;=78199)</formula>
    </cfRule>
    <cfRule type="expression" dxfId="17985" priority="4055" stopIfTrue="1">
      <formula>AND(U118&gt;=91000,U118&lt;=91999)</formula>
    </cfRule>
  </conditionalFormatting>
  <conditionalFormatting sqref="X109">
    <cfRule type="expression" dxfId="17984" priority="4034">
      <formula>AND(Y109&gt;=79001,Y109&lt;79900)</formula>
    </cfRule>
    <cfRule type="expression" dxfId="17983" priority="4035" stopIfTrue="1">
      <formula>AND(Y109&gt;=70101,Y109&lt;=70301)</formula>
    </cfRule>
    <cfRule type="expression" dxfId="17982" priority="4036" stopIfTrue="1">
      <formula>AND(Y109&gt;70000,Y109&lt;70004)</formula>
    </cfRule>
    <cfRule type="expression" dxfId="17981" priority="4037" stopIfTrue="1">
      <formula>AND(Y109&gt;=70010,Y109&lt;=76000)</formula>
    </cfRule>
    <cfRule type="expression" dxfId="17980" priority="4038">
      <formula>AND(Y109&gt;70000,Y109&lt;70004)</formula>
    </cfRule>
    <cfRule type="expression" dxfId="17979" priority="4039" stopIfTrue="1">
      <formula>OR(AND(Y109&gt;=10000,Y109&lt;=56999),AND(Y109&gt;=57000,Y109&lt;=57999))</formula>
    </cfRule>
    <cfRule type="expression" dxfId="17978" priority="4040" stopIfTrue="1">
      <formula>AND(Y109&gt;=8000,Y109&lt;=9999)</formula>
    </cfRule>
    <cfRule type="expression" dxfId="17977" priority="4041" stopIfTrue="1">
      <formula>AND(Y109&gt;=78100,Y109&lt;=78199)</formula>
    </cfRule>
    <cfRule type="expression" dxfId="17976" priority="4042" stopIfTrue="1">
      <formula>AND(Y109&gt;=92000,Y109&lt;=98999)</formula>
    </cfRule>
    <cfRule type="expression" dxfId="17975" priority="4043" stopIfTrue="1">
      <formula>AND(Y109&gt;=78100,Y109&lt;=78199)</formula>
    </cfRule>
    <cfRule type="expression" dxfId="17974" priority="4044" stopIfTrue="1">
      <formula>AND(Y109&gt;=91000,Y109&lt;=91999)</formula>
    </cfRule>
  </conditionalFormatting>
  <conditionalFormatting sqref="X109">
    <cfRule type="expression" dxfId="17973" priority="4023">
      <formula>AND(Y109&gt;=79001,Y109&lt;79900)</formula>
    </cfRule>
    <cfRule type="expression" dxfId="17972" priority="4024" stopIfTrue="1">
      <formula>AND(Y109&gt;=70101,Y109&lt;=70301)</formula>
    </cfRule>
    <cfRule type="expression" dxfId="17971" priority="4025" stopIfTrue="1">
      <formula>AND(Y109&gt;70000,Y109&lt;70004)</formula>
    </cfRule>
    <cfRule type="expression" dxfId="17970" priority="4026" stopIfTrue="1">
      <formula>AND(Y109&gt;=70010,Y109&lt;=76000)</formula>
    </cfRule>
    <cfRule type="expression" dxfId="17969" priority="4027">
      <formula>AND(Y109&gt;70000,Y109&lt;70004)</formula>
    </cfRule>
    <cfRule type="expression" dxfId="17968" priority="4028" stopIfTrue="1">
      <formula>OR(AND(Y109&gt;=10000,Y109&lt;=56999),AND(Y109&gt;=57000,Y109&lt;=57999))</formula>
    </cfRule>
    <cfRule type="expression" dxfId="17967" priority="4029" stopIfTrue="1">
      <formula>AND(Y109&gt;=8000,Y109&lt;=9999)</formula>
    </cfRule>
    <cfRule type="expression" dxfId="17966" priority="4030" stopIfTrue="1">
      <formula>AND(Y109&gt;=78100,Y109&lt;=78199)</formula>
    </cfRule>
    <cfRule type="expression" dxfId="17965" priority="4031" stopIfTrue="1">
      <formula>AND(Y109&gt;=92000,Y109&lt;=98999)</formula>
    </cfRule>
    <cfRule type="expression" dxfId="17964" priority="4032" stopIfTrue="1">
      <formula>AND(Y109&gt;=78100,Y109&lt;=78199)</formula>
    </cfRule>
    <cfRule type="expression" dxfId="17963" priority="4033" stopIfTrue="1">
      <formula>AND(Y109&gt;=91000,Y109&lt;=91999)</formula>
    </cfRule>
  </conditionalFormatting>
  <conditionalFormatting sqref="X109">
    <cfRule type="expression" dxfId="17962" priority="4012">
      <formula>AND(Y109&gt;=79001,Y109&lt;79900)</formula>
    </cfRule>
    <cfRule type="expression" dxfId="17961" priority="4013" stopIfTrue="1">
      <formula>AND(Y109&gt;=70101,Y109&lt;=70301)</formula>
    </cfRule>
    <cfRule type="expression" dxfId="17960" priority="4014" stopIfTrue="1">
      <formula>AND(Y109&gt;70000,Y109&lt;70004)</formula>
    </cfRule>
    <cfRule type="expression" dxfId="17959" priority="4015" stopIfTrue="1">
      <formula>AND(Y109&gt;=70010,Y109&lt;=76000)</formula>
    </cfRule>
    <cfRule type="expression" dxfId="17958" priority="4016">
      <formula>AND(Y109&gt;70000,Y109&lt;70004)</formula>
    </cfRule>
    <cfRule type="expression" dxfId="17957" priority="4017" stopIfTrue="1">
      <formula>OR(AND(Y109&gt;=10000,Y109&lt;=56999),AND(Y109&gt;=57000,Y109&lt;=57999))</formula>
    </cfRule>
    <cfRule type="expression" dxfId="17956" priority="4018" stopIfTrue="1">
      <formula>AND(Y109&gt;=8000,Y109&lt;=9999)</formula>
    </cfRule>
    <cfRule type="expression" dxfId="17955" priority="4019" stopIfTrue="1">
      <formula>AND(Y109&gt;=78100,Y109&lt;=78199)</formula>
    </cfRule>
    <cfRule type="expression" dxfId="17954" priority="4020" stopIfTrue="1">
      <formula>AND(Y109&gt;=92000,Y109&lt;=98999)</formula>
    </cfRule>
    <cfRule type="expression" dxfId="17953" priority="4021" stopIfTrue="1">
      <formula>AND(Y109&gt;=78100,Y109&lt;=78199)</formula>
    </cfRule>
    <cfRule type="expression" dxfId="17952" priority="4022" stopIfTrue="1">
      <formula>AND(Y109&gt;=91000,Y109&lt;=91999)</formula>
    </cfRule>
  </conditionalFormatting>
  <conditionalFormatting sqref="X109">
    <cfRule type="expression" dxfId="17951" priority="4001">
      <formula>AND(Y109&gt;=79001,Y109&lt;79900)</formula>
    </cfRule>
    <cfRule type="expression" dxfId="17950" priority="4002" stopIfTrue="1">
      <formula>AND(Y109&gt;=70101,Y109&lt;=70301)</formula>
    </cfRule>
    <cfRule type="expression" dxfId="17949" priority="4003" stopIfTrue="1">
      <formula>AND(Y109&gt;70000,Y109&lt;70004)</formula>
    </cfRule>
    <cfRule type="expression" dxfId="17948" priority="4004" stopIfTrue="1">
      <formula>AND(Y109&gt;=70010,Y109&lt;=76000)</formula>
    </cfRule>
    <cfRule type="expression" dxfId="17947" priority="4005">
      <formula>AND(Y109&gt;70000,Y109&lt;70004)</formula>
    </cfRule>
    <cfRule type="expression" dxfId="17946" priority="4006" stopIfTrue="1">
      <formula>OR(AND(Y109&gt;=10000,Y109&lt;=56999),AND(Y109&gt;=57000,Y109&lt;=57999))</formula>
    </cfRule>
    <cfRule type="expression" dxfId="17945" priority="4007" stopIfTrue="1">
      <formula>AND(Y109&gt;=8000,Y109&lt;=9999)</formula>
    </cfRule>
    <cfRule type="expression" dxfId="17944" priority="4008" stopIfTrue="1">
      <formula>AND(Y109&gt;=78100,Y109&lt;=78199)</formula>
    </cfRule>
    <cfRule type="expression" dxfId="17943" priority="4009" stopIfTrue="1">
      <formula>AND(Y109&gt;=92000,Y109&lt;=98999)</formula>
    </cfRule>
    <cfRule type="expression" dxfId="17942" priority="4010" stopIfTrue="1">
      <formula>AND(Y109&gt;=78100,Y109&lt;=78199)</formula>
    </cfRule>
    <cfRule type="expression" dxfId="17941" priority="4011" stopIfTrue="1">
      <formula>AND(Y109&gt;=91000,Y109&lt;=91999)</formula>
    </cfRule>
  </conditionalFormatting>
  <conditionalFormatting sqref="AB109">
    <cfRule type="expression" dxfId="17940" priority="3990">
      <formula>AND(AC109&gt;=79001,AC109&lt;79900)</formula>
    </cfRule>
    <cfRule type="expression" dxfId="17939" priority="3991" stopIfTrue="1">
      <formula>AND(AC109&gt;=70101,AC109&lt;=70301)</formula>
    </cfRule>
    <cfRule type="expression" dxfId="17938" priority="3992" stopIfTrue="1">
      <formula>AND(AC109&gt;70000,AC109&lt;70004)</formula>
    </cfRule>
    <cfRule type="expression" dxfId="17937" priority="3993" stopIfTrue="1">
      <formula>AND(AC109&gt;=70010,AC109&lt;=76000)</formula>
    </cfRule>
    <cfRule type="expression" dxfId="17936" priority="3994">
      <formula>AND(AC109&gt;70000,AC109&lt;70004)</formula>
    </cfRule>
    <cfRule type="expression" dxfId="17935" priority="3995" stopIfTrue="1">
      <formula>OR(AND(AC109&gt;=10000,AC109&lt;=56999),AND(AC109&gt;=57000,AC109&lt;=57999))</formula>
    </cfRule>
    <cfRule type="expression" dxfId="17934" priority="3996" stopIfTrue="1">
      <formula>AND(AC109&gt;=8000,AC109&lt;=9999)</formula>
    </cfRule>
    <cfRule type="expression" dxfId="17933" priority="3997" stopIfTrue="1">
      <formula>AND(AC109&gt;=78100,AC109&lt;=78199)</formula>
    </cfRule>
    <cfRule type="expression" dxfId="17932" priority="3998" stopIfTrue="1">
      <formula>AND(AC109&gt;=92000,AC109&lt;=98999)</formula>
    </cfRule>
    <cfRule type="expression" dxfId="17931" priority="3999" stopIfTrue="1">
      <formula>AND(AC109&gt;=78100,AC109&lt;=78199)</formula>
    </cfRule>
    <cfRule type="expression" dxfId="17930" priority="4000" stopIfTrue="1">
      <formula>AND(AC109&gt;=91000,AC109&lt;=91999)</formula>
    </cfRule>
  </conditionalFormatting>
  <conditionalFormatting sqref="AB109">
    <cfRule type="expression" dxfId="17929" priority="3979">
      <formula>AND(AC109&gt;=79001,AC109&lt;79900)</formula>
    </cfRule>
    <cfRule type="expression" dxfId="17928" priority="3980" stopIfTrue="1">
      <formula>AND(AC109&gt;=70101,AC109&lt;=70301)</formula>
    </cfRule>
    <cfRule type="expression" dxfId="17927" priority="3981" stopIfTrue="1">
      <formula>AND(AC109&gt;70000,AC109&lt;70004)</formula>
    </cfRule>
    <cfRule type="expression" dxfId="17926" priority="3982" stopIfTrue="1">
      <formula>AND(AC109&gt;=70010,AC109&lt;=76000)</formula>
    </cfRule>
    <cfRule type="expression" dxfId="17925" priority="3983">
      <formula>AND(AC109&gt;70000,AC109&lt;70004)</formula>
    </cfRule>
    <cfRule type="expression" dxfId="17924" priority="3984" stopIfTrue="1">
      <formula>OR(AND(AC109&gt;=10000,AC109&lt;=56999),AND(AC109&gt;=57000,AC109&lt;=57999))</formula>
    </cfRule>
    <cfRule type="expression" dxfId="17923" priority="3985" stopIfTrue="1">
      <formula>AND(AC109&gt;=8000,AC109&lt;=9999)</formula>
    </cfRule>
    <cfRule type="expression" dxfId="17922" priority="3986" stopIfTrue="1">
      <formula>AND(AC109&gt;=78100,AC109&lt;=78199)</formula>
    </cfRule>
    <cfRule type="expression" dxfId="17921" priority="3987" stopIfTrue="1">
      <formula>AND(AC109&gt;=92000,AC109&lt;=98999)</formula>
    </cfRule>
    <cfRule type="expression" dxfId="17920" priority="3988" stopIfTrue="1">
      <formula>AND(AC109&gt;=78100,AC109&lt;=78199)</formula>
    </cfRule>
    <cfRule type="expression" dxfId="17919" priority="3989" stopIfTrue="1">
      <formula>AND(AC109&gt;=91000,AC109&lt;=91999)</formula>
    </cfRule>
  </conditionalFormatting>
  <conditionalFormatting sqref="AB109">
    <cfRule type="expression" dxfId="17918" priority="3968">
      <formula>AND(AC109&gt;=79001,AC109&lt;79900)</formula>
    </cfRule>
    <cfRule type="expression" dxfId="17917" priority="3969" stopIfTrue="1">
      <formula>AND(AC109&gt;=70101,AC109&lt;=70301)</formula>
    </cfRule>
    <cfRule type="expression" dxfId="17916" priority="3970" stopIfTrue="1">
      <formula>AND(AC109&gt;70000,AC109&lt;70004)</formula>
    </cfRule>
    <cfRule type="expression" dxfId="17915" priority="3971" stopIfTrue="1">
      <formula>AND(AC109&gt;=70010,AC109&lt;=76000)</formula>
    </cfRule>
    <cfRule type="expression" dxfId="17914" priority="3972">
      <formula>AND(AC109&gt;70000,AC109&lt;70004)</formula>
    </cfRule>
    <cfRule type="expression" dxfId="17913" priority="3973" stopIfTrue="1">
      <formula>OR(AND(AC109&gt;=10000,AC109&lt;=56999),AND(AC109&gt;=57000,AC109&lt;=57999))</formula>
    </cfRule>
    <cfRule type="expression" dxfId="17912" priority="3974" stopIfTrue="1">
      <formula>AND(AC109&gt;=8000,AC109&lt;=9999)</formula>
    </cfRule>
    <cfRule type="expression" dxfId="17911" priority="3975" stopIfTrue="1">
      <formula>AND(AC109&gt;=78100,AC109&lt;=78199)</formula>
    </cfRule>
    <cfRule type="expression" dxfId="17910" priority="3976" stopIfTrue="1">
      <formula>AND(AC109&gt;=92000,AC109&lt;=98999)</formula>
    </cfRule>
    <cfRule type="expression" dxfId="17909" priority="3977" stopIfTrue="1">
      <formula>AND(AC109&gt;=78100,AC109&lt;=78199)</formula>
    </cfRule>
    <cfRule type="expression" dxfId="17908" priority="3978" stopIfTrue="1">
      <formula>AND(AC109&gt;=91000,AC109&lt;=91999)</formula>
    </cfRule>
  </conditionalFormatting>
  <conditionalFormatting sqref="AB109">
    <cfRule type="expression" dxfId="17907" priority="3957">
      <formula>AND(AC109&gt;=79001,AC109&lt;79900)</formula>
    </cfRule>
    <cfRule type="expression" dxfId="17906" priority="3958" stopIfTrue="1">
      <formula>AND(AC109&gt;=70101,AC109&lt;=70301)</formula>
    </cfRule>
    <cfRule type="expression" dxfId="17905" priority="3959" stopIfTrue="1">
      <formula>AND(AC109&gt;70000,AC109&lt;70004)</formula>
    </cfRule>
    <cfRule type="expression" dxfId="17904" priority="3960" stopIfTrue="1">
      <formula>AND(AC109&gt;=70010,AC109&lt;=76000)</formula>
    </cfRule>
    <cfRule type="expression" dxfId="17903" priority="3961">
      <formula>AND(AC109&gt;70000,AC109&lt;70004)</formula>
    </cfRule>
    <cfRule type="expression" dxfId="17902" priority="3962" stopIfTrue="1">
      <formula>OR(AND(AC109&gt;=10000,AC109&lt;=56999),AND(AC109&gt;=57000,AC109&lt;=57999))</formula>
    </cfRule>
    <cfRule type="expression" dxfId="17901" priority="3963" stopIfTrue="1">
      <formula>AND(AC109&gt;=8000,AC109&lt;=9999)</formula>
    </cfRule>
    <cfRule type="expression" dxfId="17900" priority="3964" stopIfTrue="1">
      <formula>AND(AC109&gt;=78100,AC109&lt;=78199)</formula>
    </cfRule>
    <cfRule type="expression" dxfId="17899" priority="3965" stopIfTrue="1">
      <formula>AND(AC109&gt;=92000,AC109&lt;=98999)</formula>
    </cfRule>
    <cfRule type="expression" dxfId="17898" priority="3966" stopIfTrue="1">
      <formula>AND(AC109&gt;=78100,AC109&lt;=78199)</formula>
    </cfRule>
    <cfRule type="expression" dxfId="17897" priority="3967" stopIfTrue="1">
      <formula>AND(AC109&gt;=91000,AC109&lt;=91999)</formula>
    </cfRule>
  </conditionalFormatting>
  <conditionalFormatting sqref="AF109">
    <cfRule type="expression" dxfId="17896" priority="3946">
      <formula>AND(AG109&gt;=79001,AG109&lt;79900)</formula>
    </cfRule>
    <cfRule type="expression" dxfId="17895" priority="3947" stopIfTrue="1">
      <formula>AND(AG109&gt;=70101,AG109&lt;=70301)</formula>
    </cfRule>
    <cfRule type="expression" dxfId="17894" priority="3948" stopIfTrue="1">
      <formula>AND(AG109&gt;70000,AG109&lt;70004)</formula>
    </cfRule>
    <cfRule type="expression" dxfId="17893" priority="3949" stopIfTrue="1">
      <formula>AND(AG109&gt;=70010,AG109&lt;=76000)</formula>
    </cfRule>
    <cfRule type="expression" dxfId="17892" priority="3950">
      <formula>AND(AG109&gt;70000,AG109&lt;70004)</formula>
    </cfRule>
    <cfRule type="expression" dxfId="17891" priority="3951" stopIfTrue="1">
      <formula>OR(AND(AG109&gt;=10000,AG109&lt;=56999),AND(AG109&gt;=57000,AG109&lt;=57999))</formula>
    </cfRule>
    <cfRule type="expression" dxfId="17890" priority="3952" stopIfTrue="1">
      <formula>AND(AG109&gt;=8000,AG109&lt;=9999)</formula>
    </cfRule>
    <cfRule type="expression" dxfId="17889" priority="3953" stopIfTrue="1">
      <formula>AND(AG109&gt;=78100,AG109&lt;=78199)</formula>
    </cfRule>
    <cfRule type="expression" dxfId="17888" priority="3954" stopIfTrue="1">
      <formula>AND(AG109&gt;=92000,AG109&lt;=98999)</formula>
    </cfRule>
    <cfRule type="expression" dxfId="17887" priority="3955" stopIfTrue="1">
      <formula>AND(AG109&gt;=78100,AG109&lt;=78199)</formula>
    </cfRule>
    <cfRule type="expression" dxfId="17886" priority="3956" stopIfTrue="1">
      <formula>AND(AG109&gt;=91000,AG109&lt;=91999)</formula>
    </cfRule>
  </conditionalFormatting>
  <conditionalFormatting sqref="AF109">
    <cfRule type="expression" dxfId="17885" priority="3935">
      <formula>AND(AG109&gt;=79001,AG109&lt;79900)</formula>
    </cfRule>
    <cfRule type="expression" dxfId="17884" priority="3936" stopIfTrue="1">
      <formula>AND(AG109&gt;=70101,AG109&lt;=70301)</formula>
    </cfRule>
    <cfRule type="expression" dxfId="17883" priority="3937" stopIfTrue="1">
      <formula>AND(AG109&gt;70000,AG109&lt;70004)</formula>
    </cfRule>
    <cfRule type="expression" dxfId="17882" priority="3938" stopIfTrue="1">
      <formula>AND(AG109&gt;=70010,AG109&lt;=76000)</formula>
    </cfRule>
    <cfRule type="expression" dxfId="17881" priority="3939">
      <formula>AND(AG109&gt;70000,AG109&lt;70004)</formula>
    </cfRule>
    <cfRule type="expression" dxfId="17880" priority="3940" stopIfTrue="1">
      <formula>OR(AND(AG109&gt;=10000,AG109&lt;=56999),AND(AG109&gt;=57000,AG109&lt;=57999))</formula>
    </cfRule>
    <cfRule type="expression" dxfId="17879" priority="3941" stopIfTrue="1">
      <formula>AND(AG109&gt;=8000,AG109&lt;=9999)</formula>
    </cfRule>
    <cfRule type="expression" dxfId="17878" priority="3942" stopIfTrue="1">
      <formula>AND(AG109&gt;=78100,AG109&lt;=78199)</formula>
    </cfRule>
    <cfRule type="expression" dxfId="17877" priority="3943" stopIfTrue="1">
      <formula>AND(AG109&gt;=92000,AG109&lt;=98999)</formula>
    </cfRule>
    <cfRule type="expression" dxfId="17876" priority="3944" stopIfTrue="1">
      <formula>AND(AG109&gt;=78100,AG109&lt;=78199)</formula>
    </cfRule>
    <cfRule type="expression" dxfId="17875" priority="3945" stopIfTrue="1">
      <formula>AND(AG109&gt;=91000,AG109&lt;=91999)</formula>
    </cfRule>
  </conditionalFormatting>
  <conditionalFormatting sqref="AF109">
    <cfRule type="expression" dxfId="17874" priority="3924">
      <formula>AND(AG109&gt;=79001,AG109&lt;79900)</formula>
    </cfRule>
    <cfRule type="expression" dxfId="17873" priority="3925" stopIfTrue="1">
      <formula>AND(AG109&gt;=70101,AG109&lt;=70301)</formula>
    </cfRule>
    <cfRule type="expression" dxfId="17872" priority="3926" stopIfTrue="1">
      <formula>AND(AG109&gt;70000,AG109&lt;70004)</formula>
    </cfRule>
    <cfRule type="expression" dxfId="17871" priority="3927" stopIfTrue="1">
      <formula>AND(AG109&gt;=70010,AG109&lt;=76000)</formula>
    </cfRule>
    <cfRule type="expression" dxfId="17870" priority="3928">
      <formula>AND(AG109&gt;70000,AG109&lt;70004)</formula>
    </cfRule>
    <cfRule type="expression" dxfId="17869" priority="3929" stopIfTrue="1">
      <formula>OR(AND(AG109&gt;=10000,AG109&lt;=56999),AND(AG109&gt;=57000,AG109&lt;=57999))</formula>
    </cfRule>
    <cfRule type="expression" dxfId="17868" priority="3930" stopIfTrue="1">
      <formula>AND(AG109&gt;=8000,AG109&lt;=9999)</formula>
    </cfRule>
    <cfRule type="expression" dxfId="17867" priority="3931" stopIfTrue="1">
      <formula>AND(AG109&gt;=78100,AG109&lt;=78199)</formula>
    </cfRule>
    <cfRule type="expression" dxfId="17866" priority="3932" stopIfTrue="1">
      <formula>AND(AG109&gt;=92000,AG109&lt;=98999)</formula>
    </cfRule>
    <cfRule type="expression" dxfId="17865" priority="3933" stopIfTrue="1">
      <formula>AND(AG109&gt;=78100,AG109&lt;=78199)</formula>
    </cfRule>
    <cfRule type="expression" dxfId="17864" priority="3934" stopIfTrue="1">
      <formula>AND(AG109&gt;=91000,AG109&lt;=91999)</formula>
    </cfRule>
  </conditionalFormatting>
  <conditionalFormatting sqref="AF109">
    <cfRule type="expression" dxfId="17863" priority="3913">
      <formula>AND(AG109&gt;=79001,AG109&lt;79900)</formula>
    </cfRule>
    <cfRule type="expression" dxfId="17862" priority="3914" stopIfTrue="1">
      <formula>AND(AG109&gt;=70101,AG109&lt;=70301)</formula>
    </cfRule>
    <cfRule type="expression" dxfId="17861" priority="3915" stopIfTrue="1">
      <formula>AND(AG109&gt;70000,AG109&lt;70004)</formula>
    </cfRule>
    <cfRule type="expression" dxfId="17860" priority="3916" stopIfTrue="1">
      <formula>AND(AG109&gt;=70010,AG109&lt;=76000)</formula>
    </cfRule>
    <cfRule type="expression" dxfId="17859" priority="3917">
      <formula>AND(AG109&gt;70000,AG109&lt;70004)</formula>
    </cfRule>
    <cfRule type="expression" dxfId="17858" priority="3918" stopIfTrue="1">
      <formula>OR(AND(AG109&gt;=10000,AG109&lt;=56999),AND(AG109&gt;=57000,AG109&lt;=57999))</formula>
    </cfRule>
    <cfRule type="expression" dxfId="17857" priority="3919" stopIfTrue="1">
      <formula>AND(AG109&gt;=8000,AG109&lt;=9999)</formula>
    </cfRule>
    <cfRule type="expression" dxfId="17856" priority="3920" stopIfTrue="1">
      <formula>AND(AG109&gt;=78100,AG109&lt;=78199)</formula>
    </cfRule>
    <cfRule type="expression" dxfId="17855" priority="3921" stopIfTrue="1">
      <formula>AND(AG109&gt;=92000,AG109&lt;=98999)</formula>
    </cfRule>
    <cfRule type="expression" dxfId="17854" priority="3922" stopIfTrue="1">
      <formula>AND(AG109&gt;=78100,AG109&lt;=78199)</formula>
    </cfRule>
    <cfRule type="expression" dxfId="17853" priority="3923" stopIfTrue="1">
      <formula>AND(AG109&gt;=91000,AG109&lt;=91999)</formula>
    </cfRule>
  </conditionalFormatting>
  <conditionalFormatting sqref="T112">
    <cfRule type="expression" dxfId="17852" priority="3902">
      <formula>AND(U112&gt;=79001,U112&lt;79900)</formula>
    </cfRule>
    <cfRule type="expression" dxfId="17851" priority="3903" stopIfTrue="1">
      <formula>AND(U112&gt;=70101,U112&lt;=70301)</formula>
    </cfRule>
    <cfRule type="expression" dxfId="17850" priority="3904" stopIfTrue="1">
      <formula>AND(U112&gt;70000,U112&lt;70004)</formula>
    </cfRule>
    <cfRule type="expression" dxfId="17849" priority="3905" stopIfTrue="1">
      <formula>AND(U112&gt;=70010,U112&lt;=76000)</formula>
    </cfRule>
    <cfRule type="expression" dxfId="17848" priority="3906">
      <formula>AND(U112&gt;70000,U112&lt;70004)</formula>
    </cfRule>
    <cfRule type="expression" dxfId="17847" priority="3907" stopIfTrue="1">
      <formula>OR(AND(U112&gt;=10000,U112&lt;=56999),AND(U112&gt;=57000,U112&lt;=57999))</formula>
    </cfRule>
    <cfRule type="expression" dxfId="17846" priority="3908" stopIfTrue="1">
      <formula>AND(U112&gt;=8000,U112&lt;=9999)</formula>
    </cfRule>
    <cfRule type="expression" dxfId="17845" priority="3909" stopIfTrue="1">
      <formula>AND(U112&gt;=78100,U112&lt;=78199)</formula>
    </cfRule>
    <cfRule type="expression" dxfId="17844" priority="3910" stopIfTrue="1">
      <formula>AND(U112&gt;=92000,U112&lt;=98999)</formula>
    </cfRule>
    <cfRule type="expression" dxfId="17843" priority="3911" stopIfTrue="1">
      <formula>AND(U112&gt;=78100,U112&lt;=78199)</formula>
    </cfRule>
    <cfRule type="expression" dxfId="17842" priority="3912" stopIfTrue="1">
      <formula>AND(U112&gt;=91000,U112&lt;=91999)</formula>
    </cfRule>
  </conditionalFormatting>
  <conditionalFormatting sqref="T112">
    <cfRule type="expression" dxfId="17841" priority="3891">
      <formula>AND(U112&gt;=79001,U112&lt;79900)</formula>
    </cfRule>
    <cfRule type="expression" dxfId="17840" priority="3892" stopIfTrue="1">
      <formula>AND(U112&gt;=70101,U112&lt;=70301)</formula>
    </cfRule>
    <cfRule type="expression" dxfId="17839" priority="3893" stopIfTrue="1">
      <formula>AND(U112&gt;70000,U112&lt;70004)</formula>
    </cfRule>
    <cfRule type="expression" dxfId="17838" priority="3894" stopIfTrue="1">
      <formula>AND(U112&gt;=70010,U112&lt;=76000)</formula>
    </cfRule>
    <cfRule type="expression" dxfId="17837" priority="3895">
      <formula>AND(U112&gt;70000,U112&lt;70004)</formula>
    </cfRule>
    <cfRule type="expression" dxfId="17836" priority="3896" stopIfTrue="1">
      <formula>OR(AND(U112&gt;=10000,U112&lt;=56999),AND(U112&gt;=57000,U112&lt;=57999))</formula>
    </cfRule>
    <cfRule type="expression" dxfId="17835" priority="3897" stopIfTrue="1">
      <formula>AND(U112&gt;=8000,U112&lt;=9999)</formula>
    </cfRule>
    <cfRule type="expression" dxfId="17834" priority="3898" stopIfTrue="1">
      <formula>AND(U112&gt;=78100,U112&lt;=78199)</formula>
    </cfRule>
    <cfRule type="expression" dxfId="17833" priority="3899" stopIfTrue="1">
      <formula>AND(U112&gt;=92000,U112&lt;=98999)</formula>
    </cfRule>
    <cfRule type="expression" dxfId="17832" priority="3900" stopIfTrue="1">
      <formula>AND(U112&gt;=78100,U112&lt;=78199)</formula>
    </cfRule>
    <cfRule type="expression" dxfId="17831" priority="3901" stopIfTrue="1">
      <formula>AND(U112&gt;=91000,U112&lt;=91999)</formula>
    </cfRule>
  </conditionalFormatting>
  <conditionalFormatting sqref="T112">
    <cfRule type="expression" dxfId="17830" priority="3880">
      <formula>AND(U112&gt;=79001,U112&lt;79900)</formula>
    </cfRule>
    <cfRule type="expression" dxfId="17829" priority="3881" stopIfTrue="1">
      <formula>AND(U112&gt;=70101,U112&lt;=70301)</formula>
    </cfRule>
    <cfRule type="expression" dxfId="17828" priority="3882" stopIfTrue="1">
      <formula>AND(U112&gt;70000,U112&lt;70004)</formula>
    </cfRule>
    <cfRule type="expression" dxfId="17827" priority="3883" stopIfTrue="1">
      <formula>AND(U112&gt;=70010,U112&lt;=76000)</formula>
    </cfRule>
    <cfRule type="expression" dxfId="17826" priority="3884">
      <formula>AND(U112&gt;70000,U112&lt;70004)</formula>
    </cfRule>
    <cfRule type="expression" dxfId="17825" priority="3885" stopIfTrue="1">
      <formula>OR(AND(U112&gt;=10000,U112&lt;=56999),AND(U112&gt;=57000,U112&lt;=57999))</formula>
    </cfRule>
    <cfRule type="expression" dxfId="17824" priority="3886" stopIfTrue="1">
      <formula>AND(U112&gt;=8000,U112&lt;=9999)</formula>
    </cfRule>
    <cfRule type="expression" dxfId="17823" priority="3887" stopIfTrue="1">
      <formula>AND(U112&gt;=78100,U112&lt;=78199)</formula>
    </cfRule>
    <cfRule type="expression" dxfId="17822" priority="3888" stopIfTrue="1">
      <formula>AND(U112&gt;=92000,U112&lt;=98999)</formula>
    </cfRule>
    <cfRule type="expression" dxfId="17821" priority="3889" stopIfTrue="1">
      <formula>AND(U112&gt;=78100,U112&lt;=78199)</formula>
    </cfRule>
    <cfRule type="expression" dxfId="17820" priority="3890" stopIfTrue="1">
      <formula>AND(U112&gt;=91000,U112&lt;=91999)</formula>
    </cfRule>
  </conditionalFormatting>
  <conditionalFormatting sqref="T112">
    <cfRule type="expression" dxfId="17819" priority="3869">
      <formula>AND(U112&gt;=79001,U112&lt;79900)</formula>
    </cfRule>
    <cfRule type="expression" dxfId="17818" priority="3870" stopIfTrue="1">
      <formula>AND(U112&gt;=70101,U112&lt;=70301)</formula>
    </cfRule>
    <cfRule type="expression" dxfId="17817" priority="3871" stopIfTrue="1">
      <formula>AND(U112&gt;70000,U112&lt;70004)</formula>
    </cfRule>
    <cfRule type="expression" dxfId="17816" priority="3872" stopIfTrue="1">
      <formula>AND(U112&gt;=70010,U112&lt;=76000)</formula>
    </cfRule>
    <cfRule type="expression" dxfId="17815" priority="3873">
      <formula>AND(U112&gt;70000,U112&lt;70004)</formula>
    </cfRule>
    <cfRule type="expression" dxfId="17814" priority="3874" stopIfTrue="1">
      <formula>OR(AND(U112&gt;=10000,U112&lt;=56999),AND(U112&gt;=57000,U112&lt;=57999))</formula>
    </cfRule>
    <cfRule type="expression" dxfId="17813" priority="3875" stopIfTrue="1">
      <formula>AND(U112&gt;=8000,U112&lt;=9999)</formula>
    </cfRule>
    <cfRule type="expression" dxfId="17812" priority="3876" stopIfTrue="1">
      <formula>AND(U112&gt;=78100,U112&lt;=78199)</formula>
    </cfRule>
    <cfRule type="expression" dxfId="17811" priority="3877" stopIfTrue="1">
      <formula>AND(U112&gt;=92000,U112&lt;=98999)</formula>
    </cfRule>
    <cfRule type="expression" dxfId="17810" priority="3878" stopIfTrue="1">
      <formula>AND(U112&gt;=78100,U112&lt;=78199)</formula>
    </cfRule>
    <cfRule type="expression" dxfId="17809" priority="3879" stopIfTrue="1">
      <formula>AND(U112&gt;=91000,U112&lt;=91999)</formula>
    </cfRule>
  </conditionalFormatting>
  <conditionalFormatting sqref="X112">
    <cfRule type="expression" dxfId="17808" priority="3858">
      <formula>AND(Y112&gt;=79001,Y112&lt;79900)</formula>
    </cfRule>
    <cfRule type="expression" dxfId="17807" priority="3859" stopIfTrue="1">
      <formula>AND(Y112&gt;=70101,Y112&lt;=70301)</formula>
    </cfRule>
    <cfRule type="expression" dxfId="17806" priority="3860" stopIfTrue="1">
      <formula>AND(Y112&gt;70000,Y112&lt;70004)</formula>
    </cfRule>
    <cfRule type="expression" dxfId="17805" priority="3861" stopIfTrue="1">
      <formula>AND(Y112&gt;=70010,Y112&lt;=76000)</formula>
    </cfRule>
    <cfRule type="expression" dxfId="17804" priority="3862">
      <formula>AND(Y112&gt;70000,Y112&lt;70004)</formula>
    </cfRule>
    <cfRule type="expression" dxfId="17803" priority="3863" stopIfTrue="1">
      <formula>OR(AND(Y112&gt;=10000,Y112&lt;=56999),AND(Y112&gt;=57000,Y112&lt;=57999))</formula>
    </cfRule>
    <cfRule type="expression" dxfId="17802" priority="3864" stopIfTrue="1">
      <formula>AND(Y112&gt;=8000,Y112&lt;=9999)</formula>
    </cfRule>
    <cfRule type="expression" dxfId="17801" priority="3865" stopIfTrue="1">
      <formula>AND(Y112&gt;=78100,Y112&lt;=78199)</formula>
    </cfRule>
    <cfRule type="expression" dxfId="17800" priority="3866" stopIfTrue="1">
      <formula>AND(Y112&gt;=92000,Y112&lt;=98999)</formula>
    </cfRule>
    <cfRule type="expression" dxfId="17799" priority="3867" stopIfTrue="1">
      <formula>AND(Y112&gt;=78100,Y112&lt;=78199)</formula>
    </cfRule>
    <cfRule type="expression" dxfId="17798" priority="3868" stopIfTrue="1">
      <formula>AND(Y112&gt;=91000,Y112&lt;=91999)</formula>
    </cfRule>
  </conditionalFormatting>
  <conditionalFormatting sqref="X112">
    <cfRule type="expression" dxfId="17797" priority="3847">
      <formula>AND(Y112&gt;=79001,Y112&lt;79900)</formula>
    </cfRule>
    <cfRule type="expression" dxfId="17796" priority="3848" stopIfTrue="1">
      <formula>AND(Y112&gt;=70101,Y112&lt;=70301)</formula>
    </cfRule>
    <cfRule type="expression" dxfId="17795" priority="3849" stopIfTrue="1">
      <formula>AND(Y112&gt;70000,Y112&lt;70004)</formula>
    </cfRule>
    <cfRule type="expression" dxfId="17794" priority="3850" stopIfTrue="1">
      <formula>AND(Y112&gt;=70010,Y112&lt;=76000)</formula>
    </cfRule>
    <cfRule type="expression" dxfId="17793" priority="3851">
      <formula>AND(Y112&gt;70000,Y112&lt;70004)</formula>
    </cfRule>
    <cfRule type="expression" dxfId="17792" priority="3852" stopIfTrue="1">
      <formula>OR(AND(Y112&gt;=10000,Y112&lt;=56999),AND(Y112&gt;=57000,Y112&lt;=57999))</formula>
    </cfRule>
    <cfRule type="expression" dxfId="17791" priority="3853" stopIfTrue="1">
      <formula>AND(Y112&gt;=8000,Y112&lt;=9999)</formula>
    </cfRule>
    <cfRule type="expression" dxfId="17790" priority="3854" stopIfTrue="1">
      <formula>AND(Y112&gt;=78100,Y112&lt;=78199)</formula>
    </cfRule>
    <cfRule type="expression" dxfId="17789" priority="3855" stopIfTrue="1">
      <formula>AND(Y112&gt;=92000,Y112&lt;=98999)</formula>
    </cfRule>
    <cfRule type="expression" dxfId="17788" priority="3856" stopIfTrue="1">
      <formula>AND(Y112&gt;=78100,Y112&lt;=78199)</formula>
    </cfRule>
    <cfRule type="expression" dxfId="17787" priority="3857" stopIfTrue="1">
      <formula>AND(Y112&gt;=91000,Y112&lt;=91999)</formula>
    </cfRule>
  </conditionalFormatting>
  <conditionalFormatting sqref="X112">
    <cfRule type="expression" dxfId="17786" priority="3836">
      <formula>AND(Y112&gt;=79001,Y112&lt;79900)</formula>
    </cfRule>
    <cfRule type="expression" dxfId="17785" priority="3837" stopIfTrue="1">
      <formula>AND(Y112&gt;=70101,Y112&lt;=70301)</formula>
    </cfRule>
    <cfRule type="expression" dxfId="17784" priority="3838" stopIfTrue="1">
      <formula>AND(Y112&gt;70000,Y112&lt;70004)</formula>
    </cfRule>
    <cfRule type="expression" dxfId="17783" priority="3839" stopIfTrue="1">
      <formula>AND(Y112&gt;=70010,Y112&lt;=76000)</formula>
    </cfRule>
    <cfRule type="expression" dxfId="17782" priority="3840">
      <formula>AND(Y112&gt;70000,Y112&lt;70004)</formula>
    </cfRule>
    <cfRule type="expression" dxfId="17781" priority="3841" stopIfTrue="1">
      <formula>OR(AND(Y112&gt;=10000,Y112&lt;=56999),AND(Y112&gt;=57000,Y112&lt;=57999))</formula>
    </cfRule>
    <cfRule type="expression" dxfId="17780" priority="3842" stopIfTrue="1">
      <formula>AND(Y112&gt;=8000,Y112&lt;=9999)</formula>
    </cfRule>
    <cfRule type="expression" dxfId="17779" priority="3843" stopIfTrue="1">
      <formula>AND(Y112&gt;=78100,Y112&lt;=78199)</formula>
    </cfRule>
    <cfRule type="expression" dxfId="17778" priority="3844" stopIfTrue="1">
      <formula>AND(Y112&gt;=92000,Y112&lt;=98999)</formula>
    </cfRule>
    <cfRule type="expression" dxfId="17777" priority="3845" stopIfTrue="1">
      <formula>AND(Y112&gt;=78100,Y112&lt;=78199)</formula>
    </cfRule>
    <cfRule type="expression" dxfId="17776" priority="3846" stopIfTrue="1">
      <formula>AND(Y112&gt;=91000,Y112&lt;=91999)</formula>
    </cfRule>
  </conditionalFormatting>
  <conditionalFormatting sqref="X112">
    <cfRule type="expression" dxfId="17775" priority="3825">
      <formula>AND(Y112&gt;=79001,Y112&lt;79900)</formula>
    </cfRule>
    <cfRule type="expression" dxfId="17774" priority="3826" stopIfTrue="1">
      <formula>AND(Y112&gt;=70101,Y112&lt;=70301)</formula>
    </cfRule>
    <cfRule type="expression" dxfId="17773" priority="3827" stopIfTrue="1">
      <formula>AND(Y112&gt;70000,Y112&lt;70004)</formula>
    </cfRule>
    <cfRule type="expression" dxfId="17772" priority="3828" stopIfTrue="1">
      <formula>AND(Y112&gt;=70010,Y112&lt;=76000)</formula>
    </cfRule>
    <cfRule type="expression" dxfId="17771" priority="3829">
      <formula>AND(Y112&gt;70000,Y112&lt;70004)</formula>
    </cfRule>
    <cfRule type="expression" dxfId="17770" priority="3830" stopIfTrue="1">
      <formula>OR(AND(Y112&gt;=10000,Y112&lt;=56999),AND(Y112&gt;=57000,Y112&lt;=57999))</formula>
    </cfRule>
    <cfRule type="expression" dxfId="17769" priority="3831" stopIfTrue="1">
      <formula>AND(Y112&gt;=8000,Y112&lt;=9999)</formula>
    </cfRule>
    <cfRule type="expression" dxfId="17768" priority="3832" stopIfTrue="1">
      <formula>AND(Y112&gt;=78100,Y112&lt;=78199)</formula>
    </cfRule>
    <cfRule type="expression" dxfId="17767" priority="3833" stopIfTrue="1">
      <formula>AND(Y112&gt;=92000,Y112&lt;=98999)</formula>
    </cfRule>
    <cfRule type="expression" dxfId="17766" priority="3834" stopIfTrue="1">
      <formula>AND(Y112&gt;=78100,Y112&lt;=78199)</formula>
    </cfRule>
    <cfRule type="expression" dxfId="17765" priority="3835" stopIfTrue="1">
      <formula>AND(Y112&gt;=91000,Y112&lt;=91999)</formula>
    </cfRule>
  </conditionalFormatting>
  <conditionalFormatting sqref="AB112">
    <cfRule type="expression" dxfId="17764" priority="3814">
      <formula>AND(AC112&gt;=79001,AC112&lt;79900)</formula>
    </cfRule>
    <cfRule type="expression" dxfId="17763" priority="3815" stopIfTrue="1">
      <formula>AND(AC112&gt;=70101,AC112&lt;=70301)</formula>
    </cfRule>
    <cfRule type="expression" dxfId="17762" priority="3816" stopIfTrue="1">
      <formula>AND(AC112&gt;70000,AC112&lt;70004)</formula>
    </cfRule>
    <cfRule type="expression" dxfId="17761" priority="3817" stopIfTrue="1">
      <formula>AND(AC112&gt;=70010,AC112&lt;=76000)</formula>
    </cfRule>
    <cfRule type="expression" dxfId="17760" priority="3818">
      <formula>AND(AC112&gt;70000,AC112&lt;70004)</formula>
    </cfRule>
    <cfRule type="expression" dxfId="17759" priority="3819" stopIfTrue="1">
      <formula>OR(AND(AC112&gt;=10000,AC112&lt;=56999),AND(AC112&gt;=57000,AC112&lt;=57999))</formula>
    </cfRule>
    <cfRule type="expression" dxfId="17758" priority="3820" stopIfTrue="1">
      <formula>AND(AC112&gt;=8000,AC112&lt;=9999)</formula>
    </cfRule>
    <cfRule type="expression" dxfId="17757" priority="3821" stopIfTrue="1">
      <formula>AND(AC112&gt;=78100,AC112&lt;=78199)</formula>
    </cfRule>
    <cfRule type="expression" dxfId="17756" priority="3822" stopIfTrue="1">
      <formula>AND(AC112&gt;=92000,AC112&lt;=98999)</formula>
    </cfRule>
    <cfRule type="expression" dxfId="17755" priority="3823" stopIfTrue="1">
      <formula>AND(AC112&gt;=78100,AC112&lt;=78199)</formula>
    </cfRule>
    <cfRule type="expression" dxfId="17754" priority="3824" stopIfTrue="1">
      <formula>AND(AC112&gt;=91000,AC112&lt;=91999)</formula>
    </cfRule>
  </conditionalFormatting>
  <conditionalFormatting sqref="AB112">
    <cfRule type="expression" dxfId="17753" priority="3803">
      <formula>AND(AC112&gt;=79001,AC112&lt;79900)</formula>
    </cfRule>
    <cfRule type="expression" dxfId="17752" priority="3804" stopIfTrue="1">
      <formula>AND(AC112&gt;=70101,AC112&lt;=70301)</formula>
    </cfRule>
    <cfRule type="expression" dxfId="17751" priority="3805" stopIfTrue="1">
      <formula>AND(AC112&gt;70000,AC112&lt;70004)</formula>
    </cfRule>
    <cfRule type="expression" dxfId="17750" priority="3806" stopIfTrue="1">
      <formula>AND(AC112&gt;=70010,AC112&lt;=76000)</formula>
    </cfRule>
    <cfRule type="expression" dxfId="17749" priority="3807">
      <formula>AND(AC112&gt;70000,AC112&lt;70004)</formula>
    </cfRule>
    <cfRule type="expression" dxfId="17748" priority="3808" stopIfTrue="1">
      <formula>OR(AND(AC112&gt;=10000,AC112&lt;=56999),AND(AC112&gt;=57000,AC112&lt;=57999))</formula>
    </cfRule>
    <cfRule type="expression" dxfId="17747" priority="3809" stopIfTrue="1">
      <formula>AND(AC112&gt;=8000,AC112&lt;=9999)</formula>
    </cfRule>
    <cfRule type="expression" dxfId="17746" priority="3810" stopIfTrue="1">
      <formula>AND(AC112&gt;=78100,AC112&lt;=78199)</formula>
    </cfRule>
    <cfRule type="expression" dxfId="17745" priority="3811" stopIfTrue="1">
      <formula>AND(AC112&gt;=92000,AC112&lt;=98999)</formula>
    </cfRule>
    <cfRule type="expression" dxfId="17744" priority="3812" stopIfTrue="1">
      <formula>AND(AC112&gt;=78100,AC112&lt;=78199)</formula>
    </cfRule>
    <cfRule type="expression" dxfId="17743" priority="3813" stopIfTrue="1">
      <formula>AND(AC112&gt;=91000,AC112&lt;=91999)</formula>
    </cfRule>
  </conditionalFormatting>
  <conditionalFormatting sqref="AB112">
    <cfRule type="expression" dxfId="17742" priority="3792">
      <formula>AND(AC112&gt;=79001,AC112&lt;79900)</formula>
    </cfRule>
    <cfRule type="expression" dxfId="17741" priority="3793" stopIfTrue="1">
      <formula>AND(AC112&gt;=70101,AC112&lt;=70301)</formula>
    </cfRule>
    <cfRule type="expression" dxfId="17740" priority="3794" stopIfTrue="1">
      <formula>AND(AC112&gt;70000,AC112&lt;70004)</formula>
    </cfRule>
    <cfRule type="expression" dxfId="17739" priority="3795" stopIfTrue="1">
      <formula>AND(AC112&gt;=70010,AC112&lt;=76000)</formula>
    </cfRule>
    <cfRule type="expression" dxfId="17738" priority="3796">
      <formula>AND(AC112&gt;70000,AC112&lt;70004)</formula>
    </cfRule>
    <cfRule type="expression" dxfId="17737" priority="3797" stopIfTrue="1">
      <formula>OR(AND(AC112&gt;=10000,AC112&lt;=56999),AND(AC112&gt;=57000,AC112&lt;=57999))</formula>
    </cfRule>
    <cfRule type="expression" dxfId="17736" priority="3798" stopIfTrue="1">
      <formula>AND(AC112&gt;=8000,AC112&lt;=9999)</formula>
    </cfRule>
    <cfRule type="expression" dxfId="17735" priority="3799" stopIfTrue="1">
      <formula>AND(AC112&gt;=78100,AC112&lt;=78199)</formula>
    </cfRule>
    <cfRule type="expression" dxfId="17734" priority="3800" stopIfTrue="1">
      <formula>AND(AC112&gt;=92000,AC112&lt;=98999)</formula>
    </cfRule>
    <cfRule type="expression" dxfId="17733" priority="3801" stopIfTrue="1">
      <formula>AND(AC112&gt;=78100,AC112&lt;=78199)</formula>
    </cfRule>
    <cfRule type="expression" dxfId="17732" priority="3802" stopIfTrue="1">
      <formula>AND(AC112&gt;=91000,AC112&lt;=91999)</formula>
    </cfRule>
  </conditionalFormatting>
  <conditionalFormatting sqref="AB112">
    <cfRule type="expression" dxfId="17731" priority="3781">
      <formula>AND(AC112&gt;=79001,AC112&lt;79900)</formula>
    </cfRule>
    <cfRule type="expression" dxfId="17730" priority="3782" stopIfTrue="1">
      <formula>AND(AC112&gt;=70101,AC112&lt;=70301)</formula>
    </cfRule>
    <cfRule type="expression" dxfId="17729" priority="3783" stopIfTrue="1">
      <formula>AND(AC112&gt;70000,AC112&lt;70004)</formula>
    </cfRule>
    <cfRule type="expression" dxfId="17728" priority="3784" stopIfTrue="1">
      <formula>AND(AC112&gt;=70010,AC112&lt;=76000)</formula>
    </cfRule>
    <cfRule type="expression" dxfId="17727" priority="3785">
      <formula>AND(AC112&gt;70000,AC112&lt;70004)</formula>
    </cfRule>
    <cfRule type="expression" dxfId="17726" priority="3786" stopIfTrue="1">
      <formula>OR(AND(AC112&gt;=10000,AC112&lt;=56999),AND(AC112&gt;=57000,AC112&lt;=57999))</formula>
    </cfRule>
    <cfRule type="expression" dxfId="17725" priority="3787" stopIfTrue="1">
      <formula>AND(AC112&gt;=8000,AC112&lt;=9999)</formula>
    </cfRule>
    <cfRule type="expression" dxfId="17724" priority="3788" stopIfTrue="1">
      <formula>AND(AC112&gt;=78100,AC112&lt;=78199)</formula>
    </cfRule>
    <cfRule type="expression" dxfId="17723" priority="3789" stopIfTrue="1">
      <formula>AND(AC112&gt;=92000,AC112&lt;=98999)</formula>
    </cfRule>
    <cfRule type="expression" dxfId="17722" priority="3790" stopIfTrue="1">
      <formula>AND(AC112&gt;=78100,AC112&lt;=78199)</formula>
    </cfRule>
    <cfRule type="expression" dxfId="17721" priority="3791" stopIfTrue="1">
      <formula>AND(AC112&gt;=91000,AC112&lt;=91999)</formula>
    </cfRule>
  </conditionalFormatting>
  <conditionalFormatting sqref="AF112">
    <cfRule type="expression" dxfId="17720" priority="3770">
      <formula>AND(AG112&gt;=79001,AG112&lt;79900)</formula>
    </cfRule>
    <cfRule type="expression" dxfId="17719" priority="3771" stopIfTrue="1">
      <formula>AND(AG112&gt;=70101,AG112&lt;=70301)</formula>
    </cfRule>
    <cfRule type="expression" dxfId="17718" priority="3772" stopIfTrue="1">
      <formula>AND(AG112&gt;70000,AG112&lt;70004)</formula>
    </cfRule>
    <cfRule type="expression" dxfId="17717" priority="3773" stopIfTrue="1">
      <formula>AND(AG112&gt;=70010,AG112&lt;=76000)</formula>
    </cfRule>
    <cfRule type="expression" dxfId="17716" priority="3774">
      <formula>AND(AG112&gt;70000,AG112&lt;70004)</formula>
    </cfRule>
    <cfRule type="expression" dxfId="17715" priority="3775" stopIfTrue="1">
      <formula>OR(AND(AG112&gt;=10000,AG112&lt;=56999),AND(AG112&gt;=57000,AG112&lt;=57999))</formula>
    </cfRule>
    <cfRule type="expression" dxfId="17714" priority="3776" stopIfTrue="1">
      <formula>AND(AG112&gt;=8000,AG112&lt;=9999)</formula>
    </cfRule>
    <cfRule type="expression" dxfId="17713" priority="3777" stopIfTrue="1">
      <formula>AND(AG112&gt;=78100,AG112&lt;=78199)</formula>
    </cfRule>
    <cfRule type="expression" dxfId="17712" priority="3778" stopIfTrue="1">
      <formula>AND(AG112&gt;=92000,AG112&lt;=98999)</formula>
    </cfRule>
    <cfRule type="expression" dxfId="17711" priority="3779" stopIfTrue="1">
      <formula>AND(AG112&gt;=78100,AG112&lt;=78199)</formula>
    </cfRule>
    <cfRule type="expression" dxfId="17710" priority="3780" stopIfTrue="1">
      <formula>AND(AG112&gt;=91000,AG112&lt;=91999)</formula>
    </cfRule>
  </conditionalFormatting>
  <conditionalFormatting sqref="AF112">
    <cfRule type="expression" dxfId="17709" priority="3759">
      <formula>AND(AG112&gt;=79001,AG112&lt;79900)</formula>
    </cfRule>
    <cfRule type="expression" dxfId="17708" priority="3760" stopIfTrue="1">
      <formula>AND(AG112&gt;=70101,AG112&lt;=70301)</formula>
    </cfRule>
    <cfRule type="expression" dxfId="17707" priority="3761" stopIfTrue="1">
      <formula>AND(AG112&gt;70000,AG112&lt;70004)</formula>
    </cfRule>
    <cfRule type="expression" dxfId="17706" priority="3762" stopIfTrue="1">
      <formula>AND(AG112&gt;=70010,AG112&lt;=76000)</formula>
    </cfRule>
    <cfRule type="expression" dxfId="17705" priority="3763">
      <formula>AND(AG112&gt;70000,AG112&lt;70004)</formula>
    </cfRule>
    <cfRule type="expression" dxfId="17704" priority="3764" stopIfTrue="1">
      <formula>OR(AND(AG112&gt;=10000,AG112&lt;=56999),AND(AG112&gt;=57000,AG112&lt;=57999))</formula>
    </cfRule>
    <cfRule type="expression" dxfId="17703" priority="3765" stopIfTrue="1">
      <formula>AND(AG112&gt;=8000,AG112&lt;=9999)</formula>
    </cfRule>
    <cfRule type="expression" dxfId="17702" priority="3766" stopIfTrue="1">
      <formula>AND(AG112&gt;=78100,AG112&lt;=78199)</formula>
    </cfRule>
    <cfRule type="expression" dxfId="17701" priority="3767" stopIfTrue="1">
      <formula>AND(AG112&gt;=92000,AG112&lt;=98999)</formula>
    </cfRule>
    <cfRule type="expression" dxfId="17700" priority="3768" stopIfTrue="1">
      <formula>AND(AG112&gt;=78100,AG112&lt;=78199)</formula>
    </cfRule>
    <cfRule type="expression" dxfId="17699" priority="3769" stopIfTrue="1">
      <formula>AND(AG112&gt;=91000,AG112&lt;=91999)</formula>
    </cfRule>
  </conditionalFormatting>
  <conditionalFormatting sqref="AF112">
    <cfRule type="expression" dxfId="17698" priority="3748">
      <formula>AND(AG112&gt;=79001,AG112&lt;79900)</formula>
    </cfRule>
    <cfRule type="expression" dxfId="17697" priority="3749" stopIfTrue="1">
      <formula>AND(AG112&gt;=70101,AG112&lt;=70301)</formula>
    </cfRule>
    <cfRule type="expression" dxfId="17696" priority="3750" stopIfTrue="1">
      <formula>AND(AG112&gt;70000,AG112&lt;70004)</formula>
    </cfRule>
    <cfRule type="expression" dxfId="17695" priority="3751" stopIfTrue="1">
      <formula>AND(AG112&gt;=70010,AG112&lt;=76000)</formula>
    </cfRule>
    <cfRule type="expression" dxfId="17694" priority="3752">
      <formula>AND(AG112&gt;70000,AG112&lt;70004)</formula>
    </cfRule>
    <cfRule type="expression" dxfId="17693" priority="3753" stopIfTrue="1">
      <formula>OR(AND(AG112&gt;=10000,AG112&lt;=56999),AND(AG112&gt;=57000,AG112&lt;=57999))</formula>
    </cfRule>
    <cfRule type="expression" dxfId="17692" priority="3754" stopIfTrue="1">
      <formula>AND(AG112&gt;=8000,AG112&lt;=9999)</formula>
    </cfRule>
    <cfRule type="expression" dxfId="17691" priority="3755" stopIfTrue="1">
      <formula>AND(AG112&gt;=78100,AG112&lt;=78199)</formula>
    </cfRule>
    <cfRule type="expression" dxfId="17690" priority="3756" stopIfTrue="1">
      <formula>AND(AG112&gt;=92000,AG112&lt;=98999)</formula>
    </cfRule>
    <cfRule type="expression" dxfId="17689" priority="3757" stopIfTrue="1">
      <formula>AND(AG112&gt;=78100,AG112&lt;=78199)</formula>
    </cfRule>
    <cfRule type="expression" dxfId="17688" priority="3758" stopIfTrue="1">
      <formula>AND(AG112&gt;=91000,AG112&lt;=91999)</formula>
    </cfRule>
  </conditionalFormatting>
  <conditionalFormatting sqref="AF112">
    <cfRule type="expression" dxfId="17687" priority="3737">
      <formula>AND(AG112&gt;=79001,AG112&lt;79900)</formula>
    </cfRule>
    <cfRule type="expression" dxfId="17686" priority="3738" stopIfTrue="1">
      <formula>AND(AG112&gt;=70101,AG112&lt;=70301)</formula>
    </cfRule>
    <cfRule type="expression" dxfId="17685" priority="3739" stopIfTrue="1">
      <formula>AND(AG112&gt;70000,AG112&lt;70004)</formula>
    </cfRule>
    <cfRule type="expression" dxfId="17684" priority="3740" stopIfTrue="1">
      <formula>AND(AG112&gt;=70010,AG112&lt;=76000)</formula>
    </cfRule>
    <cfRule type="expression" dxfId="17683" priority="3741">
      <formula>AND(AG112&gt;70000,AG112&lt;70004)</formula>
    </cfRule>
    <cfRule type="expression" dxfId="17682" priority="3742" stopIfTrue="1">
      <formula>OR(AND(AG112&gt;=10000,AG112&lt;=56999),AND(AG112&gt;=57000,AG112&lt;=57999))</formula>
    </cfRule>
    <cfRule type="expression" dxfId="17681" priority="3743" stopIfTrue="1">
      <formula>AND(AG112&gt;=8000,AG112&lt;=9999)</formula>
    </cfRule>
    <cfRule type="expression" dxfId="17680" priority="3744" stopIfTrue="1">
      <formula>AND(AG112&gt;=78100,AG112&lt;=78199)</formula>
    </cfRule>
    <cfRule type="expression" dxfId="17679" priority="3745" stopIfTrue="1">
      <formula>AND(AG112&gt;=92000,AG112&lt;=98999)</formula>
    </cfRule>
    <cfRule type="expression" dxfId="17678" priority="3746" stopIfTrue="1">
      <formula>AND(AG112&gt;=78100,AG112&lt;=78199)</formula>
    </cfRule>
    <cfRule type="expression" dxfId="17677" priority="3747" stopIfTrue="1">
      <formula>AND(AG112&gt;=91000,AG112&lt;=91999)</formula>
    </cfRule>
  </conditionalFormatting>
  <conditionalFormatting sqref="T115">
    <cfRule type="expression" dxfId="17676" priority="3726">
      <formula>AND(U115&gt;=79001,U115&lt;79900)</formula>
    </cfRule>
    <cfRule type="expression" dxfId="17675" priority="3727" stopIfTrue="1">
      <formula>AND(U115&gt;=70101,U115&lt;=70301)</formula>
    </cfRule>
    <cfRule type="expression" dxfId="17674" priority="3728" stopIfTrue="1">
      <formula>AND(U115&gt;70000,U115&lt;70004)</formula>
    </cfRule>
    <cfRule type="expression" dxfId="17673" priority="3729" stopIfTrue="1">
      <formula>AND(U115&gt;=70010,U115&lt;=76000)</formula>
    </cfRule>
    <cfRule type="expression" dxfId="17672" priority="3730">
      <formula>AND(U115&gt;70000,U115&lt;70004)</formula>
    </cfRule>
    <cfRule type="expression" dxfId="17671" priority="3731" stopIfTrue="1">
      <formula>OR(AND(U115&gt;=10000,U115&lt;=56999),AND(U115&gt;=57000,U115&lt;=57999))</formula>
    </cfRule>
    <cfRule type="expression" dxfId="17670" priority="3732" stopIfTrue="1">
      <formula>AND(U115&gt;=8000,U115&lt;=9999)</formula>
    </cfRule>
    <cfRule type="expression" dxfId="17669" priority="3733" stopIfTrue="1">
      <formula>AND(U115&gt;=78100,U115&lt;=78199)</formula>
    </cfRule>
    <cfRule type="expression" dxfId="17668" priority="3734" stopIfTrue="1">
      <formula>AND(U115&gt;=92000,U115&lt;=98999)</formula>
    </cfRule>
    <cfRule type="expression" dxfId="17667" priority="3735" stopIfTrue="1">
      <formula>AND(U115&gt;=78100,U115&lt;=78199)</formula>
    </cfRule>
    <cfRule type="expression" dxfId="17666" priority="3736" stopIfTrue="1">
      <formula>AND(U115&gt;=91000,U115&lt;=91999)</formula>
    </cfRule>
  </conditionalFormatting>
  <conditionalFormatting sqref="T115">
    <cfRule type="expression" dxfId="17665" priority="3715">
      <formula>AND(U115&gt;=79001,U115&lt;79900)</formula>
    </cfRule>
    <cfRule type="expression" dxfId="17664" priority="3716" stopIfTrue="1">
      <formula>AND(U115&gt;=70101,U115&lt;=70301)</formula>
    </cfRule>
    <cfRule type="expression" dxfId="17663" priority="3717" stopIfTrue="1">
      <formula>AND(U115&gt;70000,U115&lt;70004)</formula>
    </cfRule>
    <cfRule type="expression" dxfId="17662" priority="3718" stopIfTrue="1">
      <formula>AND(U115&gt;=70010,U115&lt;=76000)</formula>
    </cfRule>
    <cfRule type="expression" dxfId="17661" priority="3719">
      <formula>AND(U115&gt;70000,U115&lt;70004)</formula>
    </cfRule>
    <cfRule type="expression" dxfId="17660" priority="3720" stopIfTrue="1">
      <formula>OR(AND(U115&gt;=10000,U115&lt;=56999),AND(U115&gt;=57000,U115&lt;=57999))</formula>
    </cfRule>
    <cfRule type="expression" dxfId="17659" priority="3721" stopIfTrue="1">
      <formula>AND(U115&gt;=8000,U115&lt;=9999)</formula>
    </cfRule>
    <cfRule type="expression" dxfId="17658" priority="3722" stopIfTrue="1">
      <formula>AND(U115&gt;=78100,U115&lt;=78199)</formula>
    </cfRule>
    <cfRule type="expression" dxfId="17657" priority="3723" stopIfTrue="1">
      <formula>AND(U115&gt;=92000,U115&lt;=98999)</formula>
    </cfRule>
    <cfRule type="expression" dxfId="17656" priority="3724" stopIfTrue="1">
      <formula>AND(U115&gt;=78100,U115&lt;=78199)</formula>
    </cfRule>
    <cfRule type="expression" dxfId="17655" priority="3725" stopIfTrue="1">
      <formula>AND(U115&gt;=91000,U115&lt;=91999)</formula>
    </cfRule>
  </conditionalFormatting>
  <conditionalFormatting sqref="T115">
    <cfRule type="expression" dxfId="17654" priority="3704">
      <formula>AND(U115&gt;=79001,U115&lt;79900)</formula>
    </cfRule>
    <cfRule type="expression" dxfId="17653" priority="3705" stopIfTrue="1">
      <formula>AND(U115&gt;=70101,U115&lt;=70301)</formula>
    </cfRule>
    <cfRule type="expression" dxfId="17652" priority="3706" stopIfTrue="1">
      <formula>AND(U115&gt;70000,U115&lt;70004)</formula>
    </cfRule>
    <cfRule type="expression" dxfId="17651" priority="3707" stopIfTrue="1">
      <formula>AND(U115&gt;=70010,U115&lt;=76000)</formula>
    </cfRule>
    <cfRule type="expression" dxfId="17650" priority="3708">
      <formula>AND(U115&gt;70000,U115&lt;70004)</formula>
    </cfRule>
    <cfRule type="expression" dxfId="17649" priority="3709" stopIfTrue="1">
      <formula>OR(AND(U115&gt;=10000,U115&lt;=56999),AND(U115&gt;=57000,U115&lt;=57999))</formula>
    </cfRule>
    <cfRule type="expression" dxfId="17648" priority="3710" stopIfTrue="1">
      <formula>AND(U115&gt;=8000,U115&lt;=9999)</formula>
    </cfRule>
    <cfRule type="expression" dxfId="17647" priority="3711" stopIfTrue="1">
      <formula>AND(U115&gt;=78100,U115&lt;=78199)</formula>
    </cfRule>
    <cfRule type="expression" dxfId="17646" priority="3712" stopIfTrue="1">
      <formula>AND(U115&gt;=92000,U115&lt;=98999)</formula>
    </cfRule>
    <cfRule type="expression" dxfId="17645" priority="3713" stopIfTrue="1">
      <formula>AND(U115&gt;=78100,U115&lt;=78199)</formula>
    </cfRule>
    <cfRule type="expression" dxfId="17644" priority="3714" stopIfTrue="1">
      <formula>AND(U115&gt;=91000,U115&lt;=91999)</formula>
    </cfRule>
  </conditionalFormatting>
  <conditionalFormatting sqref="T115">
    <cfRule type="expression" dxfId="17643" priority="3693">
      <formula>AND(U115&gt;=79001,U115&lt;79900)</formula>
    </cfRule>
    <cfRule type="expression" dxfId="17642" priority="3694" stopIfTrue="1">
      <formula>AND(U115&gt;=70101,U115&lt;=70301)</formula>
    </cfRule>
    <cfRule type="expression" dxfId="17641" priority="3695" stopIfTrue="1">
      <formula>AND(U115&gt;70000,U115&lt;70004)</formula>
    </cfRule>
    <cfRule type="expression" dxfId="17640" priority="3696" stopIfTrue="1">
      <formula>AND(U115&gt;=70010,U115&lt;=76000)</formula>
    </cfRule>
    <cfRule type="expression" dxfId="17639" priority="3697">
      <formula>AND(U115&gt;70000,U115&lt;70004)</formula>
    </cfRule>
    <cfRule type="expression" dxfId="17638" priority="3698" stopIfTrue="1">
      <formula>OR(AND(U115&gt;=10000,U115&lt;=56999),AND(U115&gt;=57000,U115&lt;=57999))</formula>
    </cfRule>
    <cfRule type="expression" dxfId="17637" priority="3699" stopIfTrue="1">
      <formula>AND(U115&gt;=8000,U115&lt;=9999)</formula>
    </cfRule>
    <cfRule type="expression" dxfId="17636" priority="3700" stopIfTrue="1">
      <formula>AND(U115&gt;=78100,U115&lt;=78199)</formula>
    </cfRule>
    <cfRule type="expression" dxfId="17635" priority="3701" stopIfTrue="1">
      <formula>AND(U115&gt;=92000,U115&lt;=98999)</formula>
    </cfRule>
    <cfRule type="expression" dxfId="17634" priority="3702" stopIfTrue="1">
      <formula>AND(U115&gt;=78100,U115&lt;=78199)</formula>
    </cfRule>
    <cfRule type="expression" dxfId="17633" priority="3703" stopIfTrue="1">
      <formula>AND(U115&gt;=91000,U115&lt;=91999)</formula>
    </cfRule>
  </conditionalFormatting>
  <conditionalFormatting sqref="X115">
    <cfRule type="expression" dxfId="17632" priority="3682">
      <formula>AND(Y115&gt;=79001,Y115&lt;79900)</formula>
    </cfRule>
    <cfRule type="expression" dxfId="17631" priority="3683" stopIfTrue="1">
      <formula>AND(Y115&gt;=70101,Y115&lt;=70301)</formula>
    </cfRule>
    <cfRule type="expression" dxfId="17630" priority="3684" stopIfTrue="1">
      <formula>AND(Y115&gt;70000,Y115&lt;70004)</formula>
    </cfRule>
    <cfRule type="expression" dxfId="17629" priority="3685" stopIfTrue="1">
      <formula>AND(Y115&gt;=70010,Y115&lt;=76000)</formula>
    </cfRule>
    <cfRule type="expression" dxfId="17628" priority="3686">
      <formula>AND(Y115&gt;70000,Y115&lt;70004)</formula>
    </cfRule>
    <cfRule type="expression" dxfId="17627" priority="3687" stopIfTrue="1">
      <formula>OR(AND(Y115&gt;=10000,Y115&lt;=56999),AND(Y115&gt;=57000,Y115&lt;=57999))</formula>
    </cfRule>
    <cfRule type="expression" dxfId="17626" priority="3688" stopIfTrue="1">
      <formula>AND(Y115&gt;=8000,Y115&lt;=9999)</formula>
    </cfRule>
    <cfRule type="expression" dxfId="17625" priority="3689" stopIfTrue="1">
      <formula>AND(Y115&gt;=78100,Y115&lt;=78199)</formula>
    </cfRule>
    <cfRule type="expression" dxfId="17624" priority="3690" stopIfTrue="1">
      <formula>AND(Y115&gt;=92000,Y115&lt;=98999)</formula>
    </cfRule>
    <cfRule type="expression" dxfId="17623" priority="3691" stopIfTrue="1">
      <formula>AND(Y115&gt;=78100,Y115&lt;=78199)</formula>
    </cfRule>
    <cfRule type="expression" dxfId="17622" priority="3692" stopIfTrue="1">
      <formula>AND(Y115&gt;=91000,Y115&lt;=91999)</formula>
    </cfRule>
  </conditionalFormatting>
  <conditionalFormatting sqref="X115">
    <cfRule type="expression" dxfId="17621" priority="3671">
      <formula>AND(Y115&gt;=79001,Y115&lt;79900)</formula>
    </cfRule>
    <cfRule type="expression" dxfId="17620" priority="3672" stopIfTrue="1">
      <formula>AND(Y115&gt;=70101,Y115&lt;=70301)</formula>
    </cfRule>
    <cfRule type="expression" dxfId="17619" priority="3673" stopIfTrue="1">
      <formula>AND(Y115&gt;70000,Y115&lt;70004)</formula>
    </cfRule>
    <cfRule type="expression" dxfId="17618" priority="3674" stopIfTrue="1">
      <formula>AND(Y115&gt;=70010,Y115&lt;=76000)</formula>
    </cfRule>
    <cfRule type="expression" dxfId="17617" priority="3675">
      <formula>AND(Y115&gt;70000,Y115&lt;70004)</formula>
    </cfRule>
    <cfRule type="expression" dxfId="17616" priority="3676" stopIfTrue="1">
      <formula>OR(AND(Y115&gt;=10000,Y115&lt;=56999),AND(Y115&gt;=57000,Y115&lt;=57999))</formula>
    </cfRule>
    <cfRule type="expression" dxfId="17615" priority="3677" stopIfTrue="1">
      <formula>AND(Y115&gt;=8000,Y115&lt;=9999)</formula>
    </cfRule>
    <cfRule type="expression" dxfId="17614" priority="3678" stopIfTrue="1">
      <formula>AND(Y115&gt;=78100,Y115&lt;=78199)</formula>
    </cfRule>
    <cfRule type="expression" dxfId="17613" priority="3679" stopIfTrue="1">
      <formula>AND(Y115&gt;=92000,Y115&lt;=98999)</formula>
    </cfRule>
    <cfRule type="expression" dxfId="17612" priority="3680" stopIfTrue="1">
      <formula>AND(Y115&gt;=78100,Y115&lt;=78199)</formula>
    </cfRule>
    <cfRule type="expression" dxfId="17611" priority="3681" stopIfTrue="1">
      <formula>AND(Y115&gt;=91000,Y115&lt;=91999)</formula>
    </cfRule>
  </conditionalFormatting>
  <conditionalFormatting sqref="X115">
    <cfRule type="expression" dxfId="17610" priority="3660">
      <formula>AND(Y115&gt;=79001,Y115&lt;79900)</formula>
    </cfRule>
    <cfRule type="expression" dxfId="17609" priority="3661" stopIfTrue="1">
      <formula>AND(Y115&gt;=70101,Y115&lt;=70301)</formula>
    </cfRule>
    <cfRule type="expression" dxfId="17608" priority="3662" stopIfTrue="1">
      <formula>AND(Y115&gt;70000,Y115&lt;70004)</formula>
    </cfRule>
    <cfRule type="expression" dxfId="17607" priority="3663" stopIfTrue="1">
      <formula>AND(Y115&gt;=70010,Y115&lt;=76000)</formula>
    </cfRule>
    <cfRule type="expression" dxfId="17606" priority="3664">
      <formula>AND(Y115&gt;70000,Y115&lt;70004)</formula>
    </cfRule>
    <cfRule type="expression" dxfId="17605" priority="3665" stopIfTrue="1">
      <formula>OR(AND(Y115&gt;=10000,Y115&lt;=56999),AND(Y115&gt;=57000,Y115&lt;=57999))</formula>
    </cfRule>
    <cfRule type="expression" dxfId="17604" priority="3666" stopIfTrue="1">
      <formula>AND(Y115&gt;=8000,Y115&lt;=9999)</formula>
    </cfRule>
    <cfRule type="expression" dxfId="17603" priority="3667" stopIfTrue="1">
      <formula>AND(Y115&gt;=78100,Y115&lt;=78199)</formula>
    </cfRule>
    <cfRule type="expression" dxfId="17602" priority="3668" stopIfTrue="1">
      <formula>AND(Y115&gt;=92000,Y115&lt;=98999)</formula>
    </cfRule>
    <cfRule type="expression" dxfId="17601" priority="3669" stopIfTrue="1">
      <formula>AND(Y115&gt;=78100,Y115&lt;=78199)</formula>
    </cfRule>
    <cfRule type="expression" dxfId="17600" priority="3670" stopIfTrue="1">
      <formula>AND(Y115&gt;=91000,Y115&lt;=91999)</formula>
    </cfRule>
  </conditionalFormatting>
  <conditionalFormatting sqref="X115">
    <cfRule type="expression" dxfId="17599" priority="3649">
      <formula>AND(Y115&gt;=79001,Y115&lt;79900)</formula>
    </cfRule>
    <cfRule type="expression" dxfId="17598" priority="3650" stopIfTrue="1">
      <formula>AND(Y115&gt;=70101,Y115&lt;=70301)</formula>
    </cfRule>
    <cfRule type="expression" dxfId="17597" priority="3651" stopIfTrue="1">
      <formula>AND(Y115&gt;70000,Y115&lt;70004)</formula>
    </cfRule>
    <cfRule type="expression" dxfId="17596" priority="3652" stopIfTrue="1">
      <formula>AND(Y115&gt;=70010,Y115&lt;=76000)</formula>
    </cfRule>
    <cfRule type="expression" dxfId="17595" priority="3653">
      <formula>AND(Y115&gt;70000,Y115&lt;70004)</formula>
    </cfRule>
    <cfRule type="expression" dxfId="17594" priority="3654" stopIfTrue="1">
      <formula>OR(AND(Y115&gt;=10000,Y115&lt;=56999),AND(Y115&gt;=57000,Y115&lt;=57999))</formula>
    </cfRule>
    <cfRule type="expression" dxfId="17593" priority="3655" stopIfTrue="1">
      <formula>AND(Y115&gt;=8000,Y115&lt;=9999)</formula>
    </cfRule>
    <cfRule type="expression" dxfId="17592" priority="3656" stopIfTrue="1">
      <formula>AND(Y115&gt;=78100,Y115&lt;=78199)</formula>
    </cfRule>
    <cfRule type="expression" dxfId="17591" priority="3657" stopIfTrue="1">
      <formula>AND(Y115&gt;=92000,Y115&lt;=98999)</formula>
    </cfRule>
    <cfRule type="expression" dxfId="17590" priority="3658" stopIfTrue="1">
      <formula>AND(Y115&gt;=78100,Y115&lt;=78199)</formula>
    </cfRule>
    <cfRule type="expression" dxfId="17589" priority="3659" stopIfTrue="1">
      <formula>AND(Y115&gt;=91000,Y115&lt;=91999)</formula>
    </cfRule>
  </conditionalFormatting>
  <conditionalFormatting sqref="AB115">
    <cfRule type="expression" dxfId="17588" priority="3638">
      <formula>AND(AC115&gt;=79001,AC115&lt;79900)</formula>
    </cfRule>
    <cfRule type="expression" dxfId="17587" priority="3639" stopIfTrue="1">
      <formula>AND(AC115&gt;=70101,AC115&lt;=70301)</formula>
    </cfRule>
    <cfRule type="expression" dxfId="17586" priority="3640" stopIfTrue="1">
      <formula>AND(AC115&gt;70000,AC115&lt;70004)</formula>
    </cfRule>
    <cfRule type="expression" dxfId="17585" priority="3641" stopIfTrue="1">
      <formula>AND(AC115&gt;=70010,AC115&lt;=76000)</formula>
    </cfRule>
    <cfRule type="expression" dxfId="17584" priority="3642">
      <formula>AND(AC115&gt;70000,AC115&lt;70004)</formula>
    </cfRule>
    <cfRule type="expression" dxfId="17583" priority="3643" stopIfTrue="1">
      <formula>OR(AND(AC115&gt;=10000,AC115&lt;=56999),AND(AC115&gt;=57000,AC115&lt;=57999))</formula>
    </cfRule>
    <cfRule type="expression" dxfId="17582" priority="3644" stopIfTrue="1">
      <formula>AND(AC115&gt;=8000,AC115&lt;=9999)</formula>
    </cfRule>
    <cfRule type="expression" dxfId="17581" priority="3645" stopIfTrue="1">
      <formula>AND(AC115&gt;=78100,AC115&lt;=78199)</formula>
    </cfRule>
    <cfRule type="expression" dxfId="17580" priority="3646" stopIfTrue="1">
      <formula>AND(AC115&gt;=92000,AC115&lt;=98999)</formula>
    </cfRule>
    <cfRule type="expression" dxfId="17579" priority="3647" stopIfTrue="1">
      <formula>AND(AC115&gt;=78100,AC115&lt;=78199)</formula>
    </cfRule>
    <cfRule type="expression" dxfId="17578" priority="3648" stopIfTrue="1">
      <formula>AND(AC115&gt;=91000,AC115&lt;=91999)</formula>
    </cfRule>
  </conditionalFormatting>
  <conditionalFormatting sqref="AB115">
    <cfRule type="expression" dxfId="17577" priority="3627">
      <formula>AND(AC115&gt;=79001,AC115&lt;79900)</formula>
    </cfRule>
    <cfRule type="expression" dxfId="17576" priority="3628" stopIfTrue="1">
      <formula>AND(AC115&gt;=70101,AC115&lt;=70301)</formula>
    </cfRule>
    <cfRule type="expression" dxfId="17575" priority="3629" stopIfTrue="1">
      <formula>AND(AC115&gt;70000,AC115&lt;70004)</formula>
    </cfRule>
    <cfRule type="expression" dxfId="17574" priority="3630" stopIfTrue="1">
      <formula>AND(AC115&gt;=70010,AC115&lt;=76000)</formula>
    </cfRule>
    <cfRule type="expression" dxfId="17573" priority="3631">
      <formula>AND(AC115&gt;70000,AC115&lt;70004)</formula>
    </cfRule>
    <cfRule type="expression" dxfId="17572" priority="3632" stopIfTrue="1">
      <formula>OR(AND(AC115&gt;=10000,AC115&lt;=56999),AND(AC115&gt;=57000,AC115&lt;=57999))</formula>
    </cfRule>
    <cfRule type="expression" dxfId="17571" priority="3633" stopIfTrue="1">
      <formula>AND(AC115&gt;=8000,AC115&lt;=9999)</formula>
    </cfRule>
    <cfRule type="expression" dxfId="17570" priority="3634" stopIfTrue="1">
      <formula>AND(AC115&gt;=78100,AC115&lt;=78199)</formula>
    </cfRule>
    <cfRule type="expression" dxfId="17569" priority="3635" stopIfTrue="1">
      <formula>AND(AC115&gt;=92000,AC115&lt;=98999)</formula>
    </cfRule>
    <cfRule type="expression" dxfId="17568" priority="3636" stopIfTrue="1">
      <formula>AND(AC115&gt;=78100,AC115&lt;=78199)</formula>
    </cfRule>
    <cfRule type="expression" dxfId="17567" priority="3637" stopIfTrue="1">
      <formula>AND(AC115&gt;=91000,AC115&lt;=91999)</formula>
    </cfRule>
  </conditionalFormatting>
  <conditionalFormatting sqref="AB115">
    <cfRule type="expression" dxfId="17566" priority="3616">
      <formula>AND(AC115&gt;=79001,AC115&lt;79900)</formula>
    </cfRule>
    <cfRule type="expression" dxfId="17565" priority="3617" stopIfTrue="1">
      <formula>AND(AC115&gt;=70101,AC115&lt;=70301)</formula>
    </cfRule>
    <cfRule type="expression" dxfId="17564" priority="3618" stopIfTrue="1">
      <formula>AND(AC115&gt;70000,AC115&lt;70004)</formula>
    </cfRule>
    <cfRule type="expression" dxfId="17563" priority="3619" stopIfTrue="1">
      <formula>AND(AC115&gt;=70010,AC115&lt;=76000)</formula>
    </cfRule>
    <cfRule type="expression" dxfId="17562" priority="3620">
      <formula>AND(AC115&gt;70000,AC115&lt;70004)</formula>
    </cfRule>
    <cfRule type="expression" dxfId="17561" priority="3621" stopIfTrue="1">
      <formula>OR(AND(AC115&gt;=10000,AC115&lt;=56999),AND(AC115&gt;=57000,AC115&lt;=57999))</formula>
    </cfRule>
    <cfRule type="expression" dxfId="17560" priority="3622" stopIfTrue="1">
      <formula>AND(AC115&gt;=8000,AC115&lt;=9999)</formula>
    </cfRule>
    <cfRule type="expression" dxfId="17559" priority="3623" stopIfTrue="1">
      <formula>AND(AC115&gt;=78100,AC115&lt;=78199)</formula>
    </cfRule>
    <cfRule type="expression" dxfId="17558" priority="3624" stopIfTrue="1">
      <formula>AND(AC115&gt;=92000,AC115&lt;=98999)</formula>
    </cfRule>
    <cfRule type="expression" dxfId="17557" priority="3625" stopIfTrue="1">
      <formula>AND(AC115&gt;=78100,AC115&lt;=78199)</formula>
    </cfRule>
    <cfRule type="expression" dxfId="17556" priority="3626" stopIfTrue="1">
      <formula>AND(AC115&gt;=91000,AC115&lt;=91999)</formula>
    </cfRule>
  </conditionalFormatting>
  <conditionalFormatting sqref="AB115">
    <cfRule type="expression" dxfId="17555" priority="3605">
      <formula>AND(AC115&gt;=79001,AC115&lt;79900)</formula>
    </cfRule>
    <cfRule type="expression" dxfId="17554" priority="3606" stopIfTrue="1">
      <formula>AND(AC115&gt;=70101,AC115&lt;=70301)</formula>
    </cfRule>
    <cfRule type="expression" dxfId="17553" priority="3607" stopIfTrue="1">
      <formula>AND(AC115&gt;70000,AC115&lt;70004)</formula>
    </cfRule>
    <cfRule type="expression" dxfId="17552" priority="3608" stopIfTrue="1">
      <formula>AND(AC115&gt;=70010,AC115&lt;=76000)</formula>
    </cfRule>
    <cfRule type="expression" dxfId="17551" priority="3609">
      <formula>AND(AC115&gt;70000,AC115&lt;70004)</formula>
    </cfRule>
    <cfRule type="expression" dxfId="17550" priority="3610" stopIfTrue="1">
      <formula>OR(AND(AC115&gt;=10000,AC115&lt;=56999),AND(AC115&gt;=57000,AC115&lt;=57999))</formula>
    </cfRule>
    <cfRule type="expression" dxfId="17549" priority="3611" stopIfTrue="1">
      <formula>AND(AC115&gt;=8000,AC115&lt;=9999)</formula>
    </cfRule>
    <cfRule type="expression" dxfId="17548" priority="3612" stopIfTrue="1">
      <formula>AND(AC115&gt;=78100,AC115&lt;=78199)</formula>
    </cfRule>
    <cfRule type="expression" dxfId="17547" priority="3613" stopIfTrue="1">
      <formula>AND(AC115&gt;=92000,AC115&lt;=98999)</formula>
    </cfRule>
    <cfRule type="expression" dxfId="17546" priority="3614" stopIfTrue="1">
      <formula>AND(AC115&gt;=78100,AC115&lt;=78199)</formula>
    </cfRule>
    <cfRule type="expression" dxfId="17545" priority="3615" stopIfTrue="1">
      <formula>AND(AC115&gt;=91000,AC115&lt;=91999)</formula>
    </cfRule>
  </conditionalFormatting>
  <conditionalFormatting sqref="AF115">
    <cfRule type="expression" dxfId="17544" priority="3594">
      <formula>AND(AG115&gt;=79001,AG115&lt;79900)</formula>
    </cfRule>
    <cfRule type="expression" dxfId="17543" priority="3595" stopIfTrue="1">
      <formula>AND(AG115&gt;=70101,AG115&lt;=70301)</formula>
    </cfRule>
    <cfRule type="expression" dxfId="17542" priority="3596" stopIfTrue="1">
      <formula>AND(AG115&gt;70000,AG115&lt;70004)</formula>
    </cfRule>
    <cfRule type="expression" dxfId="17541" priority="3597" stopIfTrue="1">
      <formula>AND(AG115&gt;=70010,AG115&lt;=76000)</formula>
    </cfRule>
    <cfRule type="expression" dxfId="17540" priority="3598">
      <formula>AND(AG115&gt;70000,AG115&lt;70004)</formula>
    </cfRule>
    <cfRule type="expression" dxfId="17539" priority="3599" stopIfTrue="1">
      <formula>OR(AND(AG115&gt;=10000,AG115&lt;=56999),AND(AG115&gt;=57000,AG115&lt;=57999))</formula>
    </cfRule>
    <cfRule type="expression" dxfId="17538" priority="3600" stopIfTrue="1">
      <formula>AND(AG115&gt;=8000,AG115&lt;=9999)</formula>
    </cfRule>
    <cfRule type="expression" dxfId="17537" priority="3601" stopIfTrue="1">
      <formula>AND(AG115&gt;=78100,AG115&lt;=78199)</formula>
    </cfRule>
    <cfRule type="expression" dxfId="17536" priority="3602" stopIfTrue="1">
      <formula>AND(AG115&gt;=92000,AG115&lt;=98999)</formula>
    </cfRule>
    <cfRule type="expression" dxfId="17535" priority="3603" stopIfTrue="1">
      <formula>AND(AG115&gt;=78100,AG115&lt;=78199)</formula>
    </cfRule>
    <cfRule type="expression" dxfId="17534" priority="3604" stopIfTrue="1">
      <formula>AND(AG115&gt;=91000,AG115&lt;=91999)</formula>
    </cfRule>
  </conditionalFormatting>
  <conditionalFormatting sqref="AF115">
    <cfRule type="expression" dxfId="17533" priority="3583">
      <formula>AND(AG115&gt;=79001,AG115&lt;79900)</formula>
    </cfRule>
    <cfRule type="expression" dxfId="17532" priority="3584" stopIfTrue="1">
      <formula>AND(AG115&gt;=70101,AG115&lt;=70301)</formula>
    </cfRule>
    <cfRule type="expression" dxfId="17531" priority="3585" stopIfTrue="1">
      <formula>AND(AG115&gt;70000,AG115&lt;70004)</formula>
    </cfRule>
    <cfRule type="expression" dxfId="17530" priority="3586" stopIfTrue="1">
      <formula>AND(AG115&gt;=70010,AG115&lt;=76000)</formula>
    </cfRule>
    <cfRule type="expression" dxfId="17529" priority="3587">
      <formula>AND(AG115&gt;70000,AG115&lt;70004)</formula>
    </cfRule>
    <cfRule type="expression" dxfId="17528" priority="3588" stopIfTrue="1">
      <formula>OR(AND(AG115&gt;=10000,AG115&lt;=56999),AND(AG115&gt;=57000,AG115&lt;=57999))</formula>
    </cfRule>
    <cfRule type="expression" dxfId="17527" priority="3589" stopIfTrue="1">
      <formula>AND(AG115&gt;=8000,AG115&lt;=9999)</formula>
    </cfRule>
    <cfRule type="expression" dxfId="17526" priority="3590" stopIfTrue="1">
      <formula>AND(AG115&gt;=78100,AG115&lt;=78199)</formula>
    </cfRule>
    <cfRule type="expression" dxfId="17525" priority="3591" stopIfTrue="1">
      <formula>AND(AG115&gt;=92000,AG115&lt;=98999)</formula>
    </cfRule>
    <cfRule type="expression" dxfId="17524" priority="3592" stopIfTrue="1">
      <formula>AND(AG115&gt;=78100,AG115&lt;=78199)</formula>
    </cfRule>
    <cfRule type="expression" dxfId="17523" priority="3593" stopIfTrue="1">
      <formula>AND(AG115&gt;=91000,AG115&lt;=91999)</formula>
    </cfRule>
  </conditionalFormatting>
  <conditionalFormatting sqref="AF115">
    <cfRule type="expression" dxfId="17522" priority="3572">
      <formula>AND(AG115&gt;=79001,AG115&lt;79900)</formula>
    </cfRule>
    <cfRule type="expression" dxfId="17521" priority="3573" stopIfTrue="1">
      <formula>AND(AG115&gt;=70101,AG115&lt;=70301)</formula>
    </cfRule>
    <cfRule type="expression" dxfId="17520" priority="3574" stopIfTrue="1">
      <formula>AND(AG115&gt;70000,AG115&lt;70004)</formula>
    </cfRule>
    <cfRule type="expression" dxfId="17519" priority="3575" stopIfTrue="1">
      <formula>AND(AG115&gt;=70010,AG115&lt;=76000)</formula>
    </cfRule>
    <cfRule type="expression" dxfId="17518" priority="3576">
      <formula>AND(AG115&gt;70000,AG115&lt;70004)</formula>
    </cfRule>
    <cfRule type="expression" dxfId="17517" priority="3577" stopIfTrue="1">
      <formula>OR(AND(AG115&gt;=10000,AG115&lt;=56999),AND(AG115&gt;=57000,AG115&lt;=57999))</formula>
    </cfRule>
    <cfRule type="expression" dxfId="17516" priority="3578" stopIfTrue="1">
      <formula>AND(AG115&gt;=8000,AG115&lt;=9999)</formula>
    </cfRule>
    <cfRule type="expression" dxfId="17515" priority="3579" stopIfTrue="1">
      <formula>AND(AG115&gt;=78100,AG115&lt;=78199)</formula>
    </cfRule>
    <cfRule type="expression" dxfId="17514" priority="3580" stopIfTrue="1">
      <formula>AND(AG115&gt;=92000,AG115&lt;=98999)</formula>
    </cfRule>
    <cfRule type="expression" dxfId="17513" priority="3581" stopIfTrue="1">
      <formula>AND(AG115&gt;=78100,AG115&lt;=78199)</formula>
    </cfRule>
    <cfRule type="expression" dxfId="17512" priority="3582" stopIfTrue="1">
      <formula>AND(AG115&gt;=91000,AG115&lt;=91999)</formula>
    </cfRule>
  </conditionalFormatting>
  <conditionalFormatting sqref="AF115">
    <cfRule type="expression" dxfId="17511" priority="3561">
      <formula>AND(AG115&gt;=79001,AG115&lt;79900)</formula>
    </cfRule>
    <cfRule type="expression" dxfId="17510" priority="3562" stopIfTrue="1">
      <formula>AND(AG115&gt;=70101,AG115&lt;=70301)</formula>
    </cfRule>
    <cfRule type="expression" dxfId="17509" priority="3563" stopIfTrue="1">
      <formula>AND(AG115&gt;70000,AG115&lt;70004)</formula>
    </cfRule>
    <cfRule type="expression" dxfId="17508" priority="3564" stopIfTrue="1">
      <formula>AND(AG115&gt;=70010,AG115&lt;=76000)</formula>
    </cfRule>
    <cfRule type="expression" dxfId="17507" priority="3565">
      <formula>AND(AG115&gt;70000,AG115&lt;70004)</formula>
    </cfRule>
    <cfRule type="expression" dxfId="17506" priority="3566" stopIfTrue="1">
      <formula>OR(AND(AG115&gt;=10000,AG115&lt;=56999),AND(AG115&gt;=57000,AG115&lt;=57999))</formula>
    </cfRule>
    <cfRule type="expression" dxfId="17505" priority="3567" stopIfTrue="1">
      <formula>AND(AG115&gt;=8000,AG115&lt;=9999)</formula>
    </cfRule>
    <cfRule type="expression" dxfId="17504" priority="3568" stopIfTrue="1">
      <formula>AND(AG115&gt;=78100,AG115&lt;=78199)</formula>
    </cfRule>
    <cfRule type="expression" dxfId="17503" priority="3569" stopIfTrue="1">
      <formula>AND(AG115&gt;=92000,AG115&lt;=98999)</formula>
    </cfRule>
    <cfRule type="expression" dxfId="17502" priority="3570" stopIfTrue="1">
      <formula>AND(AG115&gt;=78100,AG115&lt;=78199)</formula>
    </cfRule>
    <cfRule type="expression" dxfId="17501" priority="3571" stopIfTrue="1">
      <formula>AND(AG115&gt;=91000,AG115&lt;=91999)</formula>
    </cfRule>
  </conditionalFormatting>
  <conditionalFormatting sqref="X118">
    <cfRule type="expression" dxfId="17500" priority="3550">
      <formula>AND(Y118&gt;=79001,Y118&lt;79900)</formula>
    </cfRule>
    <cfRule type="expression" dxfId="17499" priority="3551" stopIfTrue="1">
      <formula>AND(Y118&gt;=70101,Y118&lt;=70301)</formula>
    </cfRule>
    <cfRule type="expression" dxfId="17498" priority="3552" stopIfTrue="1">
      <formula>AND(Y118&gt;70000,Y118&lt;70004)</formula>
    </cfRule>
    <cfRule type="expression" dxfId="17497" priority="3553" stopIfTrue="1">
      <formula>AND(Y118&gt;=70010,Y118&lt;=76000)</formula>
    </cfRule>
    <cfRule type="expression" dxfId="17496" priority="3554">
      <formula>AND(Y118&gt;70000,Y118&lt;70004)</formula>
    </cfRule>
    <cfRule type="expression" dxfId="17495" priority="3555" stopIfTrue="1">
      <formula>OR(AND(Y118&gt;=10000,Y118&lt;=56999),AND(Y118&gt;=57000,Y118&lt;=57999))</formula>
    </cfRule>
    <cfRule type="expression" dxfId="17494" priority="3556" stopIfTrue="1">
      <formula>AND(Y118&gt;=8000,Y118&lt;=9999)</formula>
    </cfRule>
    <cfRule type="expression" dxfId="17493" priority="3557" stopIfTrue="1">
      <formula>AND(Y118&gt;=78100,Y118&lt;=78199)</formula>
    </cfRule>
    <cfRule type="expression" dxfId="17492" priority="3558" stopIfTrue="1">
      <formula>AND(Y118&gt;=92000,Y118&lt;=98999)</formula>
    </cfRule>
    <cfRule type="expression" dxfId="17491" priority="3559" stopIfTrue="1">
      <formula>AND(Y118&gt;=78100,Y118&lt;=78199)</formula>
    </cfRule>
    <cfRule type="expression" dxfId="17490" priority="3560" stopIfTrue="1">
      <formula>AND(Y118&gt;=91000,Y118&lt;=91999)</formula>
    </cfRule>
  </conditionalFormatting>
  <conditionalFormatting sqref="X118">
    <cfRule type="expression" dxfId="17489" priority="3539">
      <formula>AND(Y118&gt;=79001,Y118&lt;79900)</formula>
    </cfRule>
    <cfRule type="expression" dxfId="17488" priority="3540" stopIfTrue="1">
      <formula>AND(Y118&gt;=70101,Y118&lt;=70301)</formula>
    </cfRule>
    <cfRule type="expression" dxfId="17487" priority="3541" stopIfTrue="1">
      <formula>AND(Y118&gt;70000,Y118&lt;70004)</formula>
    </cfRule>
    <cfRule type="expression" dxfId="17486" priority="3542" stopIfTrue="1">
      <formula>AND(Y118&gt;=70010,Y118&lt;=76000)</formula>
    </cfRule>
    <cfRule type="expression" dxfId="17485" priority="3543">
      <formula>AND(Y118&gt;70000,Y118&lt;70004)</formula>
    </cfRule>
    <cfRule type="expression" dxfId="17484" priority="3544" stopIfTrue="1">
      <formula>OR(AND(Y118&gt;=10000,Y118&lt;=56999),AND(Y118&gt;=57000,Y118&lt;=57999))</formula>
    </cfRule>
    <cfRule type="expression" dxfId="17483" priority="3545" stopIfTrue="1">
      <formula>AND(Y118&gt;=8000,Y118&lt;=9999)</formula>
    </cfRule>
    <cfRule type="expression" dxfId="17482" priority="3546" stopIfTrue="1">
      <formula>AND(Y118&gt;=78100,Y118&lt;=78199)</formula>
    </cfRule>
    <cfRule type="expression" dxfId="17481" priority="3547" stopIfTrue="1">
      <formula>AND(Y118&gt;=92000,Y118&lt;=98999)</formula>
    </cfRule>
    <cfRule type="expression" dxfId="17480" priority="3548" stopIfTrue="1">
      <formula>AND(Y118&gt;=78100,Y118&lt;=78199)</formula>
    </cfRule>
    <cfRule type="expression" dxfId="17479" priority="3549" stopIfTrue="1">
      <formula>AND(Y118&gt;=91000,Y118&lt;=91999)</formula>
    </cfRule>
  </conditionalFormatting>
  <conditionalFormatting sqref="X118">
    <cfRule type="expression" dxfId="17478" priority="3528">
      <formula>AND(Y118&gt;=79001,Y118&lt;79900)</formula>
    </cfRule>
    <cfRule type="expression" dxfId="17477" priority="3529" stopIfTrue="1">
      <formula>AND(Y118&gt;=70101,Y118&lt;=70301)</formula>
    </cfRule>
    <cfRule type="expression" dxfId="17476" priority="3530" stopIfTrue="1">
      <formula>AND(Y118&gt;70000,Y118&lt;70004)</formula>
    </cfRule>
    <cfRule type="expression" dxfId="17475" priority="3531" stopIfTrue="1">
      <formula>AND(Y118&gt;=70010,Y118&lt;=76000)</formula>
    </cfRule>
    <cfRule type="expression" dxfId="17474" priority="3532">
      <formula>AND(Y118&gt;70000,Y118&lt;70004)</formula>
    </cfRule>
    <cfRule type="expression" dxfId="17473" priority="3533" stopIfTrue="1">
      <formula>OR(AND(Y118&gt;=10000,Y118&lt;=56999),AND(Y118&gt;=57000,Y118&lt;=57999))</formula>
    </cfRule>
    <cfRule type="expression" dxfId="17472" priority="3534" stopIfTrue="1">
      <formula>AND(Y118&gt;=8000,Y118&lt;=9999)</formula>
    </cfRule>
    <cfRule type="expression" dxfId="17471" priority="3535" stopIfTrue="1">
      <formula>AND(Y118&gt;=78100,Y118&lt;=78199)</formula>
    </cfRule>
    <cfRule type="expression" dxfId="17470" priority="3536" stopIfTrue="1">
      <formula>AND(Y118&gt;=92000,Y118&lt;=98999)</formula>
    </cfRule>
    <cfRule type="expression" dxfId="17469" priority="3537" stopIfTrue="1">
      <formula>AND(Y118&gt;=78100,Y118&lt;=78199)</formula>
    </cfRule>
    <cfRule type="expression" dxfId="17468" priority="3538" stopIfTrue="1">
      <formula>AND(Y118&gt;=91000,Y118&lt;=91999)</formula>
    </cfRule>
  </conditionalFormatting>
  <conditionalFormatting sqref="X118">
    <cfRule type="expression" dxfId="17467" priority="3517">
      <formula>AND(Y118&gt;=79001,Y118&lt;79900)</formula>
    </cfRule>
    <cfRule type="expression" dxfId="17466" priority="3518" stopIfTrue="1">
      <formula>AND(Y118&gt;=70101,Y118&lt;=70301)</formula>
    </cfRule>
    <cfRule type="expression" dxfId="17465" priority="3519" stopIfTrue="1">
      <formula>AND(Y118&gt;70000,Y118&lt;70004)</formula>
    </cfRule>
    <cfRule type="expression" dxfId="17464" priority="3520" stopIfTrue="1">
      <formula>AND(Y118&gt;=70010,Y118&lt;=76000)</formula>
    </cfRule>
    <cfRule type="expression" dxfId="17463" priority="3521">
      <formula>AND(Y118&gt;70000,Y118&lt;70004)</formula>
    </cfRule>
    <cfRule type="expression" dxfId="17462" priority="3522" stopIfTrue="1">
      <formula>OR(AND(Y118&gt;=10000,Y118&lt;=56999),AND(Y118&gt;=57000,Y118&lt;=57999))</formula>
    </cfRule>
    <cfRule type="expression" dxfId="17461" priority="3523" stopIfTrue="1">
      <formula>AND(Y118&gt;=8000,Y118&lt;=9999)</formula>
    </cfRule>
    <cfRule type="expression" dxfId="17460" priority="3524" stopIfTrue="1">
      <formula>AND(Y118&gt;=78100,Y118&lt;=78199)</formula>
    </cfRule>
    <cfRule type="expression" dxfId="17459" priority="3525" stopIfTrue="1">
      <formula>AND(Y118&gt;=92000,Y118&lt;=98999)</formula>
    </cfRule>
    <cfRule type="expression" dxfId="17458" priority="3526" stopIfTrue="1">
      <formula>AND(Y118&gt;=78100,Y118&lt;=78199)</formula>
    </cfRule>
    <cfRule type="expression" dxfId="17457" priority="3527" stopIfTrue="1">
      <formula>AND(Y118&gt;=91000,Y118&lt;=91999)</formula>
    </cfRule>
  </conditionalFormatting>
  <conditionalFormatting sqref="AB118">
    <cfRule type="expression" dxfId="17456" priority="3506">
      <formula>AND(AC118&gt;=79001,AC118&lt;79900)</formula>
    </cfRule>
    <cfRule type="expression" dxfId="17455" priority="3507" stopIfTrue="1">
      <formula>AND(AC118&gt;=70101,AC118&lt;=70301)</formula>
    </cfRule>
    <cfRule type="expression" dxfId="17454" priority="3508" stopIfTrue="1">
      <formula>AND(AC118&gt;70000,AC118&lt;70004)</formula>
    </cfRule>
    <cfRule type="expression" dxfId="17453" priority="3509" stopIfTrue="1">
      <formula>AND(AC118&gt;=70010,AC118&lt;=76000)</formula>
    </cfRule>
    <cfRule type="expression" dxfId="17452" priority="3510">
      <formula>AND(AC118&gt;70000,AC118&lt;70004)</formula>
    </cfRule>
    <cfRule type="expression" dxfId="17451" priority="3511" stopIfTrue="1">
      <formula>OR(AND(AC118&gt;=10000,AC118&lt;=56999),AND(AC118&gt;=57000,AC118&lt;=57999))</formula>
    </cfRule>
    <cfRule type="expression" dxfId="17450" priority="3512" stopIfTrue="1">
      <formula>AND(AC118&gt;=8000,AC118&lt;=9999)</formula>
    </cfRule>
    <cfRule type="expression" dxfId="17449" priority="3513" stopIfTrue="1">
      <formula>AND(AC118&gt;=78100,AC118&lt;=78199)</formula>
    </cfRule>
    <cfRule type="expression" dxfId="17448" priority="3514" stopIfTrue="1">
      <formula>AND(AC118&gt;=92000,AC118&lt;=98999)</formula>
    </cfRule>
    <cfRule type="expression" dxfId="17447" priority="3515" stopIfTrue="1">
      <formula>AND(AC118&gt;=78100,AC118&lt;=78199)</formula>
    </cfRule>
    <cfRule type="expression" dxfId="17446" priority="3516" stopIfTrue="1">
      <formula>AND(AC118&gt;=91000,AC118&lt;=91999)</formula>
    </cfRule>
  </conditionalFormatting>
  <conditionalFormatting sqref="AB118">
    <cfRule type="expression" dxfId="17445" priority="3495">
      <formula>AND(AC118&gt;=79001,AC118&lt;79900)</formula>
    </cfRule>
    <cfRule type="expression" dxfId="17444" priority="3496" stopIfTrue="1">
      <formula>AND(AC118&gt;=70101,AC118&lt;=70301)</formula>
    </cfRule>
    <cfRule type="expression" dxfId="17443" priority="3497" stopIfTrue="1">
      <formula>AND(AC118&gt;70000,AC118&lt;70004)</formula>
    </cfRule>
    <cfRule type="expression" dxfId="17442" priority="3498" stopIfTrue="1">
      <formula>AND(AC118&gt;=70010,AC118&lt;=76000)</formula>
    </cfRule>
    <cfRule type="expression" dxfId="17441" priority="3499">
      <formula>AND(AC118&gt;70000,AC118&lt;70004)</formula>
    </cfRule>
    <cfRule type="expression" dxfId="17440" priority="3500" stopIfTrue="1">
      <formula>OR(AND(AC118&gt;=10000,AC118&lt;=56999),AND(AC118&gt;=57000,AC118&lt;=57999))</formula>
    </cfRule>
    <cfRule type="expression" dxfId="17439" priority="3501" stopIfTrue="1">
      <formula>AND(AC118&gt;=8000,AC118&lt;=9999)</formula>
    </cfRule>
    <cfRule type="expression" dxfId="17438" priority="3502" stopIfTrue="1">
      <formula>AND(AC118&gt;=78100,AC118&lt;=78199)</formula>
    </cfRule>
    <cfRule type="expression" dxfId="17437" priority="3503" stopIfTrue="1">
      <formula>AND(AC118&gt;=92000,AC118&lt;=98999)</formula>
    </cfRule>
    <cfRule type="expression" dxfId="17436" priority="3504" stopIfTrue="1">
      <formula>AND(AC118&gt;=78100,AC118&lt;=78199)</formula>
    </cfRule>
    <cfRule type="expression" dxfId="17435" priority="3505" stopIfTrue="1">
      <formula>AND(AC118&gt;=91000,AC118&lt;=91999)</formula>
    </cfRule>
  </conditionalFormatting>
  <conditionalFormatting sqref="AB118">
    <cfRule type="expression" dxfId="17434" priority="3484">
      <formula>AND(AC118&gt;=79001,AC118&lt;79900)</formula>
    </cfRule>
    <cfRule type="expression" dxfId="17433" priority="3485" stopIfTrue="1">
      <formula>AND(AC118&gt;=70101,AC118&lt;=70301)</formula>
    </cfRule>
    <cfRule type="expression" dxfId="17432" priority="3486" stopIfTrue="1">
      <formula>AND(AC118&gt;70000,AC118&lt;70004)</formula>
    </cfRule>
    <cfRule type="expression" dxfId="17431" priority="3487" stopIfTrue="1">
      <formula>AND(AC118&gt;=70010,AC118&lt;=76000)</formula>
    </cfRule>
    <cfRule type="expression" dxfId="17430" priority="3488">
      <formula>AND(AC118&gt;70000,AC118&lt;70004)</formula>
    </cfRule>
    <cfRule type="expression" dxfId="17429" priority="3489" stopIfTrue="1">
      <formula>OR(AND(AC118&gt;=10000,AC118&lt;=56999),AND(AC118&gt;=57000,AC118&lt;=57999))</formula>
    </cfRule>
    <cfRule type="expression" dxfId="17428" priority="3490" stopIfTrue="1">
      <formula>AND(AC118&gt;=8000,AC118&lt;=9999)</formula>
    </cfRule>
    <cfRule type="expression" dxfId="17427" priority="3491" stopIfTrue="1">
      <formula>AND(AC118&gt;=78100,AC118&lt;=78199)</formula>
    </cfRule>
    <cfRule type="expression" dxfId="17426" priority="3492" stopIfTrue="1">
      <formula>AND(AC118&gt;=92000,AC118&lt;=98999)</formula>
    </cfRule>
    <cfRule type="expression" dxfId="17425" priority="3493" stopIfTrue="1">
      <formula>AND(AC118&gt;=78100,AC118&lt;=78199)</formula>
    </cfRule>
    <cfRule type="expression" dxfId="17424" priority="3494" stopIfTrue="1">
      <formula>AND(AC118&gt;=91000,AC118&lt;=91999)</formula>
    </cfRule>
  </conditionalFormatting>
  <conditionalFormatting sqref="AB118">
    <cfRule type="expression" dxfId="17423" priority="3473">
      <formula>AND(AC118&gt;=79001,AC118&lt;79900)</formula>
    </cfRule>
    <cfRule type="expression" dxfId="17422" priority="3474" stopIfTrue="1">
      <formula>AND(AC118&gt;=70101,AC118&lt;=70301)</formula>
    </cfRule>
    <cfRule type="expression" dxfId="17421" priority="3475" stopIfTrue="1">
      <formula>AND(AC118&gt;70000,AC118&lt;70004)</formula>
    </cfRule>
    <cfRule type="expression" dxfId="17420" priority="3476" stopIfTrue="1">
      <formula>AND(AC118&gt;=70010,AC118&lt;=76000)</formula>
    </cfRule>
    <cfRule type="expression" dxfId="17419" priority="3477">
      <formula>AND(AC118&gt;70000,AC118&lt;70004)</formula>
    </cfRule>
    <cfRule type="expression" dxfId="17418" priority="3478" stopIfTrue="1">
      <formula>OR(AND(AC118&gt;=10000,AC118&lt;=56999),AND(AC118&gt;=57000,AC118&lt;=57999))</formula>
    </cfRule>
    <cfRule type="expression" dxfId="17417" priority="3479" stopIfTrue="1">
      <formula>AND(AC118&gt;=8000,AC118&lt;=9999)</formula>
    </cfRule>
    <cfRule type="expression" dxfId="17416" priority="3480" stopIfTrue="1">
      <formula>AND(AC118&gt;=78100,AC118&lt;=78199)</formula>
    </cfRule>
    <cfRule type="expression" dxfId="17415" priority="3481" stopIfTrue="1">
      <formula>AND(AC118&gt;=92000,AC118&lt;=98999)</formula>
    </cfRule>
    <cfRule type="expression" dxfId="17414" priority="3482" stopIfTrue="1">
      <formula>AND(AC118&gt;=78100,AC118&lt;=78199)</formula>
    </cfRule>
    <cfRule type="expression" dxfId="17413" priority="3483" stopIfTrue="1">
      <formula>AND(AC118&gt;=91000,AC118&lt;=91999)</formula>
    </cfRule>
  </conditionalFormatting>
  <conditionalFormatting sqref="AF118">
    <cfRule type="expression" dxfId="17412" priority="3462">
      <formula>AND(AG118&gt;=79001,AG118&lt;79900)</formula>
    </cfRule>
    <cfRule type="expression" dxfId="17411" priority="3463" stopIfTrue="1">
      <formula>AND(AG118&gt;=70101,AG118&lt;=70301)</formula>
    </cfRule>
    <cfRule type="expression" dxfId="17410" priority="3464" stopIfTrue="1">
      <formula>AND(AG118&gt;70000,AG118&lt;70004)</formula>
    </cfRule>
    <cfRule type="expression" dxfId="17409" priority="3465" stopIfTrue="1">
      <formula>AND(AG118&gt;=70010,AG118&lt;=76000)</formula>
    </cfRule>
    <cfRule type="expression" dxfId="17408" priority="3466">
      <formula>AND(AG118&gt;70000,AG118&lt;70004)</formula>
    </cfRule>
    <cfRule type="expression" dxfId="17407" priority="3467" stopIfTrue="1">
      <formula>OR(AND(AG118&gt;=10000,AG118&lt;=56999),AND(AG118&gt;=57000,AG118&lt;=57999))</formula>
    </cfRule>
    <cfRule type="expression" dxfId="17406" priority="3468" stopIfTrue="1">
      <formula>AND(AG118&gt;=8000,AG118&lt;=9999)</formula>
    </cfRule>
    <cfRule type="expression" dxfId="17405" priority="3469" stopIfTrue="1">
      <formula>AND(AG118&gt;=78100,AG118&lt;=78199)</formula>
    </cfRule>
    <cfRule type="expression" dxfId="17404" priority="3470" stopIfTrue="1">
      <formula>AND(AG118&gt;=92000,AG118&lt;=98999)</formula>
    </cfRule>
    <cfRule type="expression" dxfId="17403" priority="3471" stopIfTrue="1">
      <formula>AND(AG118&gt;=78100,AG118&lt;=78199)</formula>
    </cfRule>
    <cfRule type="expression" dxfId="17402" priority="3472" stopIfTrue="1">
      <formula>AND(AG118&gt;=91000,AG118&lt;=91999)</formula>
    </cfRule>
  </conditionalFormatting>
  <conditionalFormatting sqref="AF118">
    <cfRule type="expression" dxfId="17401" priority="3451">
      <formula>AND(AG118&gt;=79001,AG118&lt;79900)</formula>
    </cfRule>
    <cfRule type="expression" dxfId="17400" priority="3452" stopIfTrue="1">
      <formula>AND(AG118&gt;=70101,AG118&lt;=70301)</formula>
    </cfRule>
    <cfRule type="expression" dxfId="17399" priority="3453" stopIfTrue="1">
      <formula>AND(AG118&gt;70000,AG118&lt;70004)</formula>
    </cfRule>
    <cfRule type="expression" dxfId="17398" priority="3454" stopIfTrue="1">
      <formula>AND(AG118&gt;=70010,AG118&lt;=76000)</formula>
    </cfRule>
    <cfRule type="expression" dxfId="17397" priority="3455">
      <formula>AND(AG118&gt;70000,AG118&lt;70004)</formula>
    </cfRule>
    <cfRule type="expression" dxfId="17396" priority="3456" stopIfTrue="1">
      <formula>OR(AND(AG118&gt;=10000,AG118&lt;=56999),AND(AG118&gt;=57000,AG118&lt;=57999))</formula>
    </cfRule>
    <cfRule type="expression" dxfId="17395" priority="3457" stopIfTrue="1">
      <formula>AND(AG118&gt;=8000,AG118&lt;=9999)</formula>
    </cfRule>
    <cfRule type="expression" dxfId="17394" priority="3458" stopIfTrue="1">
      <formula>AND(AG118&gt;=78100,AG118&lt;=78199)</formula>
    </cfRule>
    <cfRule type="expression" dxfId="17393" priority="3459" stopIfTrue="1">
      <formula>AND(AG118&gt;=92000,AG118&lt;=98999)</formula>
    </cfRule>
    <cfRule type="expression" dxfId="17392" priority="3460" stopIfTrue="1">
      <formula>AND(AG118&gt;=78100,AG118&lt;=78199)</formula>
    </cfRule>
    <cfRule type="expression" dxfId="17391" priority="3461" stopIfTrue="1">
      <formula>AND(AG118&gt;=91000,AG118&lt;=91999)</formula>
    </cfRule>
  </conditionalFormatting>
  <conditionalFormatting sqref="AF118">
    <cfRule type="expression" dxfId="17390" priority="3440">
      <formula>AND(AG118&gt;=79001,AG118&lt;79900)</formula>
    </cfRule>
    <cfRule type="expression" dxfId="17389" priority="3441" stopIfTrue="1">
      <formula>AND(AG118&gt;=70101,AG118&lt;=70301)</formula>
    </cfRule>
    <cfRule type="expression" dxfId="17388" priority="3442" stopIfTrue="1">
      <formula>AND(AG118&gt;70000,AG118&lt;70004)</formula>
    </cfRule>
    <cfRule type="expression" dxfId="17387" priority="3443" stopIfTrue="1">
      <formula>AND(AG118&gt;=70010,AG118&lt;=76000)</formula>
    </cfRule>
    <cfRule type="expression" dxfId="17386" priority="3444">
      <formula>AND(AG118&gt;70000,AG118&lt;70004)</formula>
    </cfRule>
    <cfRule type="expression" dxfId="17385" priority="3445" stopIfTrue="1">
      <formula>OR(AND(AG118&gt;=10000,AG118&lt;=56999),AND(AG118&gt;=57000,AG118&lt;=57999))</formula>
    </cfRule>
    <cfRule type="expression" dxfId="17384" priority="3446" stopIfTrue="1">
      <formula>AND(AG118&gt;=8000,AG118&lt;=9999)</formula>
    </cfRule>
    <cfRule type="expression" dxfId="17383" priority="3447" stopIfTrue="1">
      <formula>AND(AG118&gt;=78100,AG118&lt;=78199)</formula>
    </cfRule>
    <cfRule type="expression" dxfId="17382" priority="3448" stopIfTrue="1">
      <formula>AND(AG118&gt;=92000,AG118&lt;=98999)</formula>
    </cfRule>
    <cfRule type="expression" dxfId="17381" priority="3449" stopIfTrue="1">
      <formula>AND(AG118&gt;=78100,AG118&lt;=78199)</formula>
    </cfRule>
    <cfRule type="expression" dxfId="17380" priority="3450" stopIfTrue="1">
      <formula>AND(AG118&gt;=91000,AG118&lt;=91999)</formula>
    </cfRule>
  </conditionalFormatting>
  <conditionalFormatting sqref="AF118">
    <cfRule type="expression" dxfId="17379" priority="3429">
      <formula>AND(AG118&gt;=79001,AG118&lt;79900)</formula>
    </cfRule>
    <cfRule type="expression" dxfId="17378" priority="3430" stopIfTrue="1">
      <formula>AND(AG118&gt;=70101,AG118&lt;=70301)</formula>
    </cfRule>
    <cfRule type="expression" dxfId="17377" priority="3431" stopIfTrue="1">
      <formula>AND(AG118&gt;70000,AG118&lt;70004)</formula>
    </cfRule>
    <cfRule type="expression" dxfId="17376" priority="3432" stopIfTrue="1">
      <formula>AND(AG118&gt;=70010,AG118&lt;=76000)</formula>
    </cfRule>
    <cfRule type="expression" dxfId="17375" priority="3433">
      <formula>AND(AG118&gt;70000,AG118&lt;70004)</formula>
    </cfRule>
    <cfRule type="expression" dxfId="17374" priority="3434" stopIfTrue="1">
      <formula>OR(AND(AG118&gt;=10000,AG118&lt;=56999),AND(AG118&gt;=57000,AG118&lt;=57999))</formula>
    </cfRule>
    <cfRule type="expression" dxfId="17373" priority="3435" stopIfTrue="1">
      <formula>AND(AG118&gt;=8000,AG118&lt;=9999)</formula>
    </cfRule>
    <cfRule type="expression" dxfId="17372" priority="3436" stopIfTrue="1">
      <formula>AND(AG118&gt;=78100,AG118&lt;=78199)</formula>
    </cfRule>
    <cfRule type="expression" dxfId="17371" priority="3437" stopIfTrue="1">
      <formula>AND(AG118&gt;=92000,AG118&lt;=98999)</formula>
    </cfRule>
    <cfRule type="expression" dxfId="17370" priority="3438" stopIfTrue="1">
      <formula>AND(AG118&gt;=78100,AG118&lt;=78199)</formula>
    </cfRule>
    <cfRule type="expression" dxfId="17369" priority="3439" stopIfTrue="1">
      <formula>AND(AG118&gt;=91000,AG118&lt;=91999)</formula>
    </cfRule>
  </conditionalFormatting>
  <conditionalFormatting sqref="X121">
    <cfRule type="expression" dxfId="17368" priority="3418">
      <formula>AND(Y121&gt;=79001,Y121&lt;79900)</formula>
    </cfRule>
    <cfRule type="expression" dxfId="17367" priority="3419" stopIfTrue="1">
      <formula>AND(Y121&gt;=70101,Y121&lt;=70301)</formula>
    </cfRule>
    <cfRule type="expression" dxfId="17366" priority="3420" stopIfTrue="1">
      <formula>AND(Y121&gt;70000,Y121&lt;70004)</formula>
    </cfRule>
    <cfRule type="expression" dxfId="17365" priority="3421" stopIfTrue="1">
      <formula>AND(Y121&gt;=70010,Y121&lt;=76000)</formula>
    </cfRule>
    <cfRule type="expression" dxfId="17364" priority="3422">
      <formula>AND(Y121&gt;70000,Y121&lt;70004)</formula>
    </cfRule>
    <cfRule type="expression" dxfId="17363" priority="3423" stopIfTrue="1">
      <formula>OR(AND(Y121&gt;=10000,Y121&lt;=56999),AND(Y121&gt;=57000,Y121&lt;=57999))</formula>
    </cfRule>
    <cfRule type="expression" dxfId="17362" priority="3424" stopIfTrue="1">
      <formula>AND(Y121&gt;=8000,Y121&lt;=9999)</formula>
    </cfRule>
    <cfRule type="expression" dxfId="17361" priority="3425" stopIfTrue="1">
      <formula>AND(Y121&gt;=78100,Y121&lt;=78199)</formula>
    </cfRule>
    <cfRule type="expression" dxfId="17360" priority="3426" stopIfTrue="1">
      <formula>AND(Y121&gt;=92000,Y121&lt;=98999)</formula>
    </cfRule>
    <cfRule type="expression" dxfId="17359" priority="3427" stopIfTrue="1">
      <formula>AND(Y121&gt;=78100,Y121&lt;=78199)</formula>
    </cfRule>
    <cfRule type="expression" dxfId="17358" priority="3428" stopIfTrue="1">
      <formula>AND(Y121&gt;=91000,Y121&lt;=91999)</formula>
    </cfRule>
  </conditionalFormatting>
  <conditionalFormatting sqref="X121">
    <cfRule type="expression" dxfId="17357" priority="3407">
      <formula>AND(Y121&gt;=79001,Y121&lt;79900)</formula>
    </cfRule>
    <cfRule type="expression" dxfId="17356" priority="3408" stopIfTrue="1">
      <formula>AND(Y121&gt;=70101,Y121&lt;=70301)</formula>
    </cfRule>
    <cfRule type="expression" dxfId="17355" priority="3409" stopIfTrue="1">
      <formula>AND(Y121&gt;70000,Y121&lt;70004)</formula>
    </cfRule>
    <cfRule type="expression" dxfId="17354" priority="3410" stopIfTrue="1">
      <formula>AND(Y121&gt;=70010,Y121&lt;=76000)</formula>
    </cfRule>
    <cfRule type="expression" dxfId="17353" priority="3411">
      <formula>AND(Y121&gt;70000,Y121&lt;70004)</formula>
    </cfRule>
    <cfRule type="expression" dxfId="17352" priority="3412" stopIfTrue="1">
      <formula>OR(AND(Y121&gt;=10000,Y121&lt;=56999),AND(Y121&gt;=57000,Y121&lt;=57999))</formula>
    </cfRule>
    <cfRule type="expression" dxfId="17351" priority="3413" stopIfTrue="1">
      <formula>AND(Y121&gt;=8000,Y121&lt;=9999)</formula>
    </cfRule>
    <cfRule type="expression" dxfId="17350" priority="3414" stopIfTrue="1">
      <formula>AND(Y121&gt;=78100,Y121&lt;=78199)</formula>
    </cfRule>
    <cfRule type="expression" dxfId="17349" priority="3415" stopIfTrue="1">
      <formula>AND(Y121&gt;=92000,Y121&lt;=98999)</formula>
    </cfRule>
    <cfRule type="expression" dxfId="17348" priority="3416" stopIfTrue="1">
      <formula>AND(Y121&gt;=78100,Y121&lt;=78199)</formula>
    </cfRule>
    <cfRule type="expression" dxfId="17347" priority="3417" stopIfTrue="1">
      <formula>AND(Y121&gt;=91000,Y121&lt;=91999)</formula>
    </cfRule>
  </conditionalFormatting>
  <conditionalFormatting sqref="X121">
    <cfRule type="expression" dxfId="17346" priority="3396">
      <formula>AND(Y121&gt;=79001,Y121&lt;79900)</formula>
    </cfRule>
    <cfRule type="expression" dxfId="17345" priority="3397" stopIfTrue="1">
      <formula>AND(Y121&gt;=70101,Y121&lt;=70301)</formula>
    </cfRule>
    <cfRule type="expression" dxfId="17344" priority="3398" stopIfTrue="1">
      <formula>AND(Y121&gt;70000,Y121&lt;70004)</formula>
    </cfRule>
    <cfRule type="expression" dxfId="17343" priority="3399" stopIfTrue="1">
      <formula>AND(Y121&gt;=70010,Y121&lt;=76000)</formula>
    </cfRule>
    <cfRule type="expression" dxfId="17342" priority="3400">
      <formula>AND(Y121&gt;70000,Y121&lt;70004)</formula>
    </cfRule>
    <cfRule type="expression" dxfId="17341" priority="3401" stopIfTrue="1">
      <formula>OR(AND(Y121&gt;=10000,Y121&lt;=56999),AND(Y121&gt;=57000,Y121&lt;=57999))</formula>
    </cfRule>
    <cfRule type="expression" dxfId="17340" priority="3402" stopIfTrue="1">
      <formula>AND(Y121&gt;=8000,Y121&lt;=9999)</formula>
    </cfRule>
    <cfRule type="expression" dxfId="17339" priority="3403" stopIfTrue="1">
      <formula>AND(Y121&gt;=78100,Y121&lt;=78199)</formula>
    </cfRule>
    <cfRule type="expression" dxfId="17338" priority="3404" stopIfTrue="1">
      <formula>AND(Y121&gt;=92000,Y121&lt;=98999)</formula>
    </cfRule>
    <cfRule type="expression" dxfId="17337" priority="3405" stopIfTrue="1">
      <formula>AND(Y121&gt;=78100,Y121&lt;=78199)</formula>
    </cfRule>
    <cfRule type="expression" dxfId="17336" priority="3406" stopIfTrue="1">
      <formula>AND(Y121&gt;=91000,Y121&lt;=91999)</formula>
    </cfRule>
  </conditionalFormatting>
  <conditionalFormatting sqref="X121">
    <cfRule type="expression" dxfId="17335" priority="3385">
      <formula>AND(Y121&gt;=79001,Y121&lt;79900)</formula>
    </cfRule>
    <cfRule type="expression" dxfId="17334" priority="3386" stopIfTrue="1">
      <formula>AND(Y121&gt;=70101,Y121&lt;=70301)</formula>
    </cfRule>
    <cfRule type="expression" dxfId="17333" priority="3387" stopIfTrue="1">
      <formula>AND(Y121&gt;70000,Y121&lt;70004)</formula>
    </cfRule>
    <cfRule type="expression" dxfId="17332" priority="3388" stopIfTrue="1">
      <formula>AND(Y121&gt;=70010,Y121&lt;=76000)</formula>
    </cfRule>
    <cfRule type="expression" dxfId="17331" priority="3389">
      <formula>AND(Y121&gt;70000,Y121&lt;70004)</formula>
    </cfRule>
    <cfRule type="expression" dxfId="17330" priority="3390" stopIfTrue="1">
      <formula>OR(AND(Y121&gt;=10000,Y121&lt;=56999),AND(Y121&gt;=57000,Y121&lt;=57999))</formula>
    </cfRule>
    <cfRule type="expression" dxfId="17329" priority="3391" stopIfTrue="1">
      <formula>AND(Y121&gt;=8000,Y121&lt;=9999)</formula>
    </cfRule>
    <cfRule type="expression" dxfId="17328" priority="3392" stopIfTrue="1">
      <formula>AND(Y121&gt;=78100,Y121&lt;=78199)</formula>
    </cfRule>
    <cfRule type="expression" dxfId="17327" priority="3393" stopIfTrue="1">
      <formula>AND(Y121&gt;=92000,Y121&lt;=98999)</formula>
    </cfRule>
    <cfRule type="expression" dxfId="17326" priority="3394" stopIfTrue="1">
      <formula>AND(Y121&gt;=78100,Y121&lt;=78199)</formula>
    </cfRule>
    <cfRule type="expression" dxfId="17325" priority="3395" stopIfTrue="1">
      <formula>AND(Y121&gt;=91000,Y121&lt;=91999)</formula>
    </cfRule>
  </conditionalFormatting>
  <conditionalFormatting sqref="AB121">
    <cfRule type="expression" dxfId="17324" priority="3374">
      <formula>AND(AC121&gt;=79001,AC121&lt;79900)</formula>
    </cfRule>
    <cfRule type="expression" dxfId="17323" priority="3375" stopIfTrue="1">
      <formula>AND(AC121&gt;=70101,AC121&lt;=70301)</formula>
    </cfRule>
    <cfRule type="expression" dxfId="17322" priority="3376" stopIfTrue="1">
      <formula>AND(AC121&gt;70000,AC121&lt;70004)</formula>
    </cfRule>
    <cfRule type="expression" dxfId="17321" priority="3377" stopIfTrue="1">
      <formula>AND(AC121&gt;=70010,AC121&lt;=76000)</formula>
    </cfRule>
    <cfRule type="expression" dxfId="17320" priority="3378">
      <formula>AND(AC121&gt;70000,AC121&lt;70004)</formula>
    </cfRule>
    <cfRule type="expression" dxfId="17319" priority="3379" stopIfTrue="1">
      <formula>OR(AND(AC121&gt;=10000,AC121&lt;=56999),AND(AC121&gt;=57000,AC121&lt;=57999))</formula>
    </cfRule>
    <cfRule type="expression" dxfId="17318" priority="3380" stopIfTrue="1">
      <formula>AND(AC121&gt;=8000,AC121&lt;=9999)</formula>
    </cfRule>
    <cfRule type="expression" dxfId="17317" priority="3381" stopIfTrue="1">
      <formula>AND(AC121&gt;=78100,AC121&lt;=78199)</formula>
    </cfRule>
    <cfRule type="expression" dxfId="17316" priority="3382" stopIfTrue="1">
      <formula>AND(AC121&gt;=92000,AC121&lt;=98999)</formula>
    </cfRule>
    <cfRule type="expression" dxfId="17315" priority="3383" stopIfTrue="1">
      <formula>AND(AC121&gt;=78100,AC121&lt;=78199)</formula>
    </cfRule>
    <cfRule type="expression" dxfId="17314" priority="3384" stopIfTrue="1">
      <formula>AND(AC121&gt;=91000,AC121&lt;=91999)</formula>
    </cfRule>
  </conditionalFormatting>
  <conditionalFormatting sqref="AB121">
    <cfRule type="expression" dxfId="17313" priority="3363">
      <formula>AND(AC121&gt;=79001,AC121&lt;79900)</formula>
    </cfRule>
    <cfRule type="expression" dxfId="17312" priority="3364" stopIfTrue="1">
      <formula>AND(AC121&gt;=70101,AC121&lt;=70301)</formula>
    </cfRule>
    <cfRule type="expression" dxfId="17311" priority="3365" stopIfTrue="1">
      <formula>AND(AC121&gt;70000,AC121&lt;70004)</formula>
    </cfRule>
    <cfRule type="expression" dxfId="17310" priority="3366" stopIfTrue="1">
      <formula>AND(AC121&gt;=70010,AC121&lt;=76000)</formula>
    </cfRule>
    <cfRule type="expression" dxfId="17309" priority="3367">
      <formula>AND(AC121&gt;70000,AC121&lt;70004)</formula>
    </cfRule>
    <cfRule type="expression" dxfId="17308" priority="3368" stopIfTrue="1">
      <formula>OR(AND(AC121&gt;=10000,AC121&lt;=56999),AND(AC121&gt;=57000,AC121&lt;=57999))</formula>
    </cfRule>
    <cfRule type="expression" dxfId="17307" priority="3369" stopIfTrue="1">
      <formula>AND(AC121&gt;=8000,AC121&lt;=9999)</formula>
    </cfRule>
    <cfRule type="expression" dxfId="17306" priority="3370" stopIfTrue="1">
      <formula>AND(AC121&gt;=78100,AC121&lt;=78199)</formula>
    </cfRule>
    <cfRule type="expression" dxfId="17305" priority="3371" stopIfTrue="1">
      <formula>AND(AC121&gt;=92000,AC121&lt;=98999)</formula>
    </cfRule>
    <cfRule type="expression" dxfId="17304" priority="3372" stopIfTrue="1">
      <formula>AND(AC121&gt;=78100,AC121&lt;=78199)</formula>
    </cfRule>
    <cfRule type="expression" dxfId="17303" priority="3373" stopIfTrue="1">
      <formula>AND(AC121&gt;=91000,AC121&lt;=91999)</formula>
    </cfRule>
  </conditionalFormatting>
  <conditionalFormatting sqref="AB121">
    <cfRule type="expression" dxfId="17302" priority="3352">
      <formula>AND(AC121&gt;=79001,AC121&lt;79900)</formula>
    </cfRule>
    <cfRule type="expression" dxfId="17301" priority="3353" stopIfTrue="1">
      <formula>AND(AC121&gt;=70101,AC121&lt;=70301)</formula>
    </cfRule>
    <cfRule type="expression" dxfId="17300" priority="3354" stopIfTrue="1">
      <formula>AND(AC121&gt;70000,AC121&lt;70004)</formula>
    </cfRule>
    <cfRule type="expression" dxfId="17299" priority="3355" stopIfTrue="1">
      <formula>AND(AC121&gt;=70010,AC121&lt;=76000)</formula>
    </cfRule>
    <cfRule type="expression" dxfId="17298" priority="3356">
      <formula>AND(AC121&gt;70000,AC121&lt;70004)</formula>
    </cfRule>
    <cfRule type="expression" dxfId="17297" priority="3357" stopIfTrue="1">
      <formula>OR(AND(AC121&gt;=10000,AC121&lt;=56999),AND(AC121&gt;=57000,AC121&lt;=57999))</formula>
    </cfRule>
    <cfRule type="expression" dxfId="17296" priority="3358" stopIfTrue="1">
      <formula>AND(AC121&gt;=8000,AC121&lt;=9999)</formula>
    </cfRule>
    <cfRule type="expression" dxfId="17295" priority="3359" stopIfTrue="1">
      <formula>AND(AC121&gt;=78100,AC121&lt;=78199)</formula>
    </cfRule>
    <cfRule type="expression" dxfId="17294" priority="3360" stopIfTrue="1">
      <formula>AND(AC121&gt;=92000,AC121&lt;=98999)</formula>
    </cfRule>
    <cfRule type="expression" dxfId="17293" priority="3361" stopIfTrue="1">
      <formula>AND(AC121&gt;=78100,AC121&lt;=78199)</formula>
    </cfRule>
    <cfRule type="expression" dxfId="17292" priority="3362" stopIfTrue="1">
      <formula>AND(AC121&gt;=91000,AC121&lt;=91999)</formula>
    </cfRule>
  </conditionalFormatting>
  <conditionalFormatting sqref="AB121">
    <cfRule type="expression" dxfId="17291" priority="3341">
      <formula>AND(AC121&gt;=79001,AC121&lt;79900)</formula>
    </cfRule>
    <cfRule type="expression" dxfId="17290" priority="3342" stopIfTrue="1">
      <formula>AND(AC121&gt;=70101,AC121&lt;=70301)</formula>
    </cfRule>
    <cfRule type="expression" dxfId="17289" priority="3343" stopIfTrue="1">
      <formula>AND(AC121&gt;70000,AC121&lt;70004)</formula>
    </cfRule>
    <cfRule type="expression" dxfId="17288" priority="3344" stopIfTrue="1">
      <formula>AND(AC121&gt;=70010,AC121&lt;=76000)</formula>
    </cfRule>
    <cfRule type="expression" dxfId="17287" priority="3345">
      <formula>AND(AC121&gt;70000,AC121&lt;70004)</formula>
    </cfRule>
    <cfRule type="expression" dxfId="17286" priority="3346" stopIfTrue="1">
      <formula>OR(AND(AC121&gt;=10000,AC121&lt;=56999),AND(AC121&gt;=57000,AC121&lt;=57999))</formula>
    </cfRule>
    <cfRule type="expression" dxfId="17285" priority="3347" stopIfTrue="1">
      <formula>AND(AC121&gt;=8000,AC121&lt;=9999)</formula>
    </cfRule>
    <cfRule type="expression" dxfId="17284" priority="3348" stopIfTrue="1">
      <formula>AND(AC121&gt;=78100,AC121&lt;=78199)</formula>
    </cfRule>
    <cfRule type="expression" dxfId="17283" priority="3349" stopIfTrue="1">
      <formula>AND(AC121&gt;=92000,AC121&lt;=98999)</formula>
    </cfRule>
    <cfRule type="expression" dxfId="17282" priority="3350" stopIfTrue="1">
      <formula>AND(AC121&gt;=78100,AC121&lt;=78199)</formula>
    </cfRule>
    <cfRule type="expression" dxfId="17281" priority="3351" stopIfTrue="1">
      <formula>AND(AC121&gt;=91000,AC121&lt;=91999)</formula>
    </cfRule>
  </conditionalFormatting>
  <conditionalFormatting sqref="AF121">
    <cfRule type="expression" dxfId="17280" priority="3330">
      <formula>AND(AG121&gt;=79001,AG121&lt;79900)</formula>
    </cfRule>
    <cfRule type="expression" dxfId="17279" priority="3331" stopIfTrue="1">
      <formula>AND(AG121&gt;=70101,AG121&lt;=70301)</formula>
    </cfRule>
    <cfRule type="expression" dxfId="17278" priority="3332" stopIfTrue="1">
      <formula>AND(AG121&gt;70000,AG121&lt;70004)</formula>
    </cfRule>
    <cfRule type="expression" dxfId="17277" priority="3333" stopIfTrue="1">
      <formula>AND(AG121&gt;=70010,AG121&lt;=76000)</formula>
    </cfRule>
    <cfRule type="expression" dxfId="17276" priority="3334">
      <formula>AND(AG121&gt;70000,AG121&lt;70004)</formula>
    </cfRule>
    <cfRule type="expression" dxfId="17275" priority="3335" stopIfTrue="1">
      <formula>OR(AND(AG121&gt;=10000,AG121&lt;=56999),AND(AG121&gt;=57000,AG121&lt;=57999))</formula>
    </cfRule>
    <cfRule type="expression" dxfId="17274" priority="3336" stopIfTrue="1">
      <formula>AND(AG121&gt;=8000,AG121&lt;=9999)</formula>
    </cfRule>
    <cfRule type="expression" dxfId="17273" priority="3337" stopIfTrue="1">
      <formula>AND(AG121&gt;=78100,AG121&lt;=78199)</formula>
    </cfRule>
    <cfRule type="expression" dxfId="17272" priority="3338" stopIfTrue="1">
      <formula>AND(AG121&gt;=92000,AG121&lt;=98999)</formula>
    </cfRule>
    <cfRule type="expression" dxfId="17271" priority="3339" stopIfTrue="1">
      <formula>AND(AG121&gt;=78100,AG121&lt;=78199)</formula>
    </cfRule>
    <cfRule type="expression" dxfId="17270" priority="3340" stopIfTrue="1">
      <formula>AND(AG121&gt;=91000,AG121&lt;=91999)</formula>
    </cfRule>
  </conditionalFormatting>
  <conditionalFormatting sqref="AF121">
    <cfRule type="expression" dxfId="17269" priority="3319">
      <formula>AND(AG121&gt;=79001,AG121&lt;79900)</formula>
    </cfRule>
    <cfRule type="expression" dxfId="17268" priority="3320" stopIfTrue="1">
      <formula>AND(AG121&gt;=70101,AG121&lt;=70301)</formula>
    </cfRule>
    <cfRule type="expression" dxfId="17267" priority="3321" stopIfTrue="1">
      <formula>AND(AG121&gt;70000,AG121&lt;70004)</formula>
    </cfRule>
    <cfRule type="expression" dxfId="17266" priority="3322" stopIfTrue="1">
      <formula>AND(AG121&gt;=70010,AG121&lt;=76000)</formula>
    </cfRule>
    <cfRule type="expression" dxfId="17265" priority="3323">
      <formula>AND(AG121&gt;70000,AG121&lt;70004)</formula>
    </cfRule>
    <cfRule type="expression" dxfId="17264" priority="3324" stopIfTrue="1">
      <formula>OR(AND(AG121&gt;=10000,AG121&lt;=56999),AND(AG121&gt;=57000,AG121&lt;=57999))</formula>
    </cfRule>
    <cfRule type="expression" dxfId="17263" priority="3325" stopIfTrue="1">
      <formula>AND(AG121&gt;=8000,AG121&lt;=9999)</formula>
    </cfRule>
    <cfRule type="expression" dxfId="17262" priority="3326" stopIfTrue="1">
      <formula>AND(AG121&gt;=78100,AG121&lt;=78199)</formula>
    </cfRule>
    <cfRule type="expression" dxfId="17261" priority="3327" stopIfTrue="1">
      <formula>AND(AG121&gt;=92000,AG121&lt;=98999)</formula>
    </cfRule>
    <cfRule type="expression" dxfId="17260" priority="3328" stopIfTrue="1">
      <formula>AND(AG121&gt;=78100,AG121&lt;=78199)</formula>
    </cfRule>
    <cfRule type="expression" dxfId="17259" priority="3329" stopIfTrue="1">
      <formula>AND(AG121&gt;=91000,AG121&lt;=91999)</formula>
    </cfRule>
  </conditionalFormatting>
  <conditionalFormatting sqref="AF121">
    <cfRule type="expression" dxfId="17258" priority="3308">
      <formula>AND(AG121&gt;=79001,AG121&lt;79900)</formula>
    </cfRule>
    <cfRule type="expression" dxfId="17257" priority="3309" stopIfTrue="1">
      <formula>AND(AG121&gt;=70101,AG121&lt;=70301)</formula>
    </cfRule>
    <cfRule type="expression" dxfId="17256" priority="3310" stopIfTrue="1">
      <formula>AND(AG121&gt;70000,AG121&lt;70004)</formula>
    </cfRule>
    <cfRule type="expression" dxfId="17255" priority="3311" stopIfTrue="1">
      <formula>AND(AG121&gt;=70010,AG121&lt;=76000)</formula>
    </cfRule>
    <cfRule type="expression" dxfId="17254" priority="3312">
      <formula>AND(AG121&gt;70000,AG121&lt;70004)</formula>
    </cfRule>
    <cfRule type="expression" dxfId="17253" priority="3313" stopIfTrue="1">
      <formula>OR(AND(AG121&gt;=10000,AG121&lt;=56999),AND(AG121&gt;=57000,AG121&lt;=57999))</formula>
    </cfRule>
    <cfRule type="expression" dxfId="17252" priority="3314" stopIfTrue="1">
      <formula>AND(AG121&gt;=8000,AG121&lt;=9999)</formula>
    </cfRule>
    <cfRule type="expression" dxfId="17251" priority="3315" stopIfTrue="1">
      <formula>AND(AG121&gt;=78100,AG121&lt;=78199)</formula>
    </cfRule>
    <cfRule type="expression" dxfId="17250" priority="3316" stopIfTrue="1">
      <formula>AND(AG121&gt;=92000,AG121&lt;=98999)</formula>
    </cfRule>
    <cfRule type="expression" dxfId="17249" priority="3317" stopIfTrue="1">
      <formula>AND(AG121&gt;=78100,AG121&lt;=78199)</formula>
    </cfRule>
    <cfRule type="expression" dxfId="17248" priority="3318" stopIfTrue="1">
      <formula>AND(AG121&gt;=91000,AG121&lt;=91999)</formula>
    </cfRule>
  </conditionalFormatting>
  <conditionalFormatting sqref="AF121">
    <cfRule type="expression" dxfId="17247" priority="3297">
      <formula>AND(AG121&gt;=79001,AG121&lt;79900)</formula>
    </cfRule>
    <cfRule type="expression" dxfId="17246" priority="3298" stopIfTrue="1">
      <formula>AND(AG121&gt;=70101,AG121&lt;=70301)</formula>
    </cfRule>
    <cfRule type="expression" dxfId="17245" priority="3299" stopIfTrue="1">
      <formula>AND(AG121&gt;70000,AG121&lt;70004)</formula>
    </cfRule>
    <cfRule type="expression" dxfId="17244" priority="3300" stopIfTrue="1">
      <formula>AND(AG121&gt;=70010,AG121&lt;=76000)</formula>
    </cfRule>
    <cfRule type="expression" dxfId="17243" priority="3301">
      <formula>AND(AG121&gt;70000,AG121&lt;70004)</formula>
    </cfRule>
    <cfRule type="expression" dxfId="17242" priority="3302" stopIfTrue="1">
      <formula>OR(AND(AG121&gt;=10000,AG121&lt;=56999),AND(AG121&gt;=57000,AG121&lt;=57999))</formula>
    </cfRule>
    <cfRule type="expression" dxfId="17241" priority="3303" stopIfTrue="1">
      <formula>AND(AG121&gt;=8000,AG121&lt;=9999)</formula>
    </cfRule>
    <cfRule type="expression" dxfId="17240" priority="3304" stopIfTrue="1">
      <formula>AND(AG121&gt;=78100,AG121&lt;=78199)</formula>
    </cfRule>
    <cfRule type="expression" dxfId="17239" priority="3305" stopIfTrue="1">
      <formula>AND(AG121&gt;=92000,AG121&lt;=98999)</formula>
    </cfRule>
    <cfRule type="expression" dxfId="17238" priority="3306" stopIfTrue="1">
      <formula>AND(AG121&gt;=78100,AG121&lt;=78199)</formula>
    </cfRule>
    <cfRule type="expression" dxfId="17237" priority="3307" stopIfTrue="1">
      <formula>AND(AG121&gt;=91000,AG121&lt;=91999)</formula>
    </cfRule>
  </conditionalFormatting>
  <conditionalFormatting sqref="T121">
    <cfRule type="expression" dxfId="17236" priority="3286">
      <formula>AND(U121&gt;=79001,U121&lt;79900)</formula>
    </cfRule>
    <cfRule type="expression" dxfId="17235" priority="3287" stopIfTrue="1">
      <formula>AND(U121&gt;=70101,U121&lt;=70301)</formula>
    </cfRule>
    <cfRule type="expression" dxfId="17234" priority="3288" stopIfTrue="1">
      <formula>AND(U121&gt;70000,U121&lt;70004)</formula>
    </cfRule>
    <cfRule type="expression" dxfId="17233" priority="3289" stopIfTrue="1">
      <formula>AND(U121&gt;=70010,U121&lt;=76000)</formula>
    </cfRule>
    <cfRule type="expression" dxfId="17232" priority="3290">
      <formula>AND(U121&gt;70000,U121&lt;70004)</formula>
    </cfRule>
    <cfRule type="expression" dxfId="17231" priority="3291" stopIfTrue="1">
      <formula>OR(AND(U121&gt;=10000,U121&lt;=56999),AND(U121&gt;=57000,U121&lt;=57999))</formula>
    </cfRule>
    <cfRule type="expression" dxfId="17230" priority="3292" stopIfTrue="1">
      <formula>AND(U121&gt;=8000,U121&lt;=9999)</formula>
    </cfRule>
    <cfRule type="expression" dxfId="17229" priority="3293" stopIfTrue="1">
      <formula>AND(U121&gt;=78100,U121&lt;=78199)</formula>
    </cfRule>
    <cfRule type="expression" dxfId="17228" priority="3294" stopIfTrue="1">
      <formula>AND(U121&gt;=92000,U121&lt;=98999)</formula>
    </cfRule>
    <cfRule type="expression" dxfId="17227" priority="3295" stopIfTrue="1">
      <formula>AND(U121&gt;=78100,U121&lt;=78199)</formula>
    </cfRule>
    <cfRule type="expression" dxfId="17226" priority="3296" stopIfTrue="1">
      <formula>AND(U121&gt;=91000,U121&lt;=91999)</formula>
    </cfRule>
  </conditionalFormatting>
  <conditionalFormatting sqref="T121">
    <cfRule type="expression" dxfId="17225" priority="3275">
      <formula>AND(U121&gt;=79001,U121&lt;79900)</formula>
    </cfRule>
    <cfRule type="expression" dxfId="17224" priority="3276" stopIfTrue="1">
      <formula>AND(U121&gt;=70101,U121&lt;=70301)</formula>
    </cfRule>
    <cfRule type="expression" dxfId="17223" priority="3277" stopIfTrue="1">
      <formula>AND(U121&gt;70000,U121&lt;70004)</formula>
    </cfRule>
    <cfRule type="expression" dxfId="17222" priority="3278" stopIfTrue="1">
      <formula>AND(U121&gt;=70010,U121&lt;=76000)</formula>
    </cfRule>
    <cfRule type="expression" dxfId="17221" priority="3279">
      <formula>AND(U121&gt;70000,U121&lt;70004)</formula>
    </cfRule>
    <cfRule type="expression" dxfId="17220" priority="3280" stopIfTrue="1">
      <formula>OR(AND(U121&gt;=10000,U121&lt;=56999),AND(U121&gt;=57000,U121&lt;=57999))</formula>
    </cfRule>
    <cfRule type="expression" dxfId="17219" priority="3281" stopIfTrue="1">
      <formula>AND(U121&gt;=8000,U121&lt;=9999)</formula>
    </cfRule>
    <cfRule type="expression" dxfId="17218" priority="3282" stopIfTrue="1">
      <formula>AND(U121&gt;=78100,U121&lt;=78199)</formula>
    </cfRule>
    <cfRule type="expression" dxfId="17217" priority="3283" stopIfTrue="1">
      <formula>AND(U121&gt;=92000,U121&lt;=98999)</formula>
    </cfRule>
    <cfRule type="expression" dxfId="17216" priority="3284" stopIfTrue="1">
      <formula>AND(U121&gt;=78100,U121&lt;=78199)</formula>
    </cfRule>
    <cfRule type="expression" dxfId="17215" priority="3285" stopIfTrue="1">
      <formula>AND(U121&gt;=91000,U121&lt;=91999)</formula>
    </cfRule>
  </conditionalFormatting>
  <conditionalFormatting sqref="T121">
    <cfRule type="expression" dxfId="17214" priority="3264">
      <formula>AND(U121&gt;=79001,U121&lt;79900)</formula>
    </cfRule>
    <cfRule type="expression" dxfId="17213" priority="3265" stopIfTrue="1">
      <formula>AND(U121&gt;=70101,U121&lt;=70301)</formula>
    </cfRule>
    <cfRule type="expression" dxfId="17212" priority="3266" stopIfTrue="1">
      <formula>AND(U121&gt;70000,U121&lt;70004)</formula>
    </cfRule>
    <cfRule type="expression" dxfId="17211" priority="3267" stopIfTrue="1">
      <formula>AND(U121&gt;=70010,U121&lt;=76000)</formula>
    </cfRule>
    <cfRule type="expression" dxfId="17210" priority="3268">
      <formula>AND(U121&gt;70000,U121&lt;70004)</formula>
    </cfRule>
    <cfRule type="expression" dxfId="17209" priority="3269" stopIfTrue="1">
      <formula>OR(AND(U121&gt;=10000,U121&lt;=56999),AND(U121&gt;=57000,U121&lt;=57999))</formula>
    </cfRule>
    <cfRule type="expression" dxfId="17208" priority="3270" stopIfTrue="1">
      <formula>AND(U121&gt;=8000,U121&lt;=9999)</formula>
    </cfRule>
    <cfRule type="expression" dxfId="17207" priority="3271" stopIfTrue="1">
      <formula>AND(U121&gt;=78100,U121&lt;=78199)</formula>
    </cfRule>
    <cfRule type="expression" dxfId="17206" priority="3272" stopIfTrue="1">
      <formula>AND(U121&gt;=92000,U121&lt;=98999)</formula>
    </cfRule>
    <cfRule type="expression" dxfId="17205" priority="3273" stopIfTrue="1">
      <formula>AND(U121&gt;=78100,U121&lt;=78199)</formula>
    </cfRule>
    <cfRule type="expression" dxfId="17204" priority="3274" stopIfTrue="1">
      <formula>AND(U121&gt;=91000,U121&lt;=91999)</formula>
    </cfRule>
  </conditionalFormatting>
  <conditionalFormatting sqref="T121">
    <cfRule type="expression" dxfId="17203" priority="3253">
      <formula>AND(U121&gt;=79001,U121&lt;79900)</formula>
    </cfRule>
    <cfRule type="expression" dxfId="17202" priority="3254" stopIfTrue="1">
      <formula>AND(U121&gt;=70101,U121&lt;=70301)</formula>
    </cfRule>
    <cfRule type="expression" dxfId="17201" priority="3255" stopIfTrue="1">
      <formula>AND(U121&gt;70000,U121&lt;70004)</formula>
    </cfRule>
    <cfRule type="expression" dxfId="17200" priority="3256" stopIfTrue="1">
      <formula>AND(U121&gt;=70010,U121&lt;=76000)</formula>
    </cfRule>
    <cfRule type="expression" dxfId="17199" priority="3257">
      <formula>AND(U121&gt;70000,U121&lt;70004)</formula>
    </cfRule>
    <cfRule type="expression" dxfId="17198" priority="3258" stopIfTrue="1">
      <formula>OR(AND(U121&gt;=10000,U121&lt;=56999),AND(U121&gt;=57000,U121&lt;=57999))</formula>
    </cfRule>
    <cfRule type="expression" dxfId="17197" priority="3259" stopIfTrue="1">
      <formula>AND(U121&gt;=8000,U121&lt;=9999)</formula>
    </cfRule>
    <cfRule type="expression" dxfId="17196" priority="3260" stopIfTrue="1">
      <formula>AND(U121&gt;=78100,U121&lt;=78199)</formula>
    </cfRule>
    <cfRule type="expression" dxfId="17195" priority="3261" stopIfTrue="1">
      <formula>AND(U121&gt;=92000,U121&lt;=98999)</formula>
    </cfRule>
    <cfRule type="expression" dxfId="17194" priority="3262" stopIfTrue="1">
      <formula>AND(U121&gt;=78100,U121&lt;=78199)</formula>
    </cfRule>
    <cfRule type="expression" dxfId="17193" priority="3263" stopIfTrue="1">
      <formula>AND(U121&gt;=91000,U121&lt;=91999)</formula>
    </cfRule>
  </conditionalFormatting>
  <conditionalFormatting sqref="X137">
    <cfRule type="expression" dxfId="17192" priority="3242">
      <formula>AND(Y137&gt;=79001,Y137&lt;79900)</formula>
    </cfRule>
    <cfRule type="expression" dxfId="17191" priority="3243" stopIfTrue="1">
      <formula>AND(Y137&gt;=70101,Y137&lt;=70301)</formula>
    </cfRule>
    <cfRule type="expression" dxfId="17190" priority="3244" stopIfTrue="1">
      <formula>AND(Y137&gt;70000,Y137&lt;70004)</formula>
    </cfRule>
    <cfRule type="expression" dxfId="17189" priority="3245" stopIfTrue="1">
      <formula>AND(Y137&gt;=70010,Y137&lt;=76000)</formula>
    </cfRule>
    <cfRule type="expression" dxfId="17188" priority="3246">
      <formula>AND(Y137&gt;70000,Y137&lt;70004)</formula>
    </cfRule>
    <cfRule type="expression" dxfId="17187" priority="3247" stopIfTrue="1">
      <formula>OR(AND(Y137&gt;=10000,Y137&lt;=56999),AND(Y137&gt;=57000,Y137&lt;=57999))</formula>
    </cfRule>
    <cfRule type="expression" dxfId="17186" priority="3248" stopIfTrue="1">
      <formula>AND(Y137&gt;=8000,Y137&lt;=9999)</formula>
    </cfRule>
    <cfRule type="expression" dxfId="17185" priority="3249" stopIfTrue="1">
      <formula>AND(Y137&gt;=78100,Y137&lt;=78199)</formula>
    </cfRule>
    <cfRule type="expression" dxfId="17184" priority="3250" stopIfTrue="1">
      <formula>AND(Y137&gt;=92000,Y137&lt;=98999)</formula>
    </cfRule>
    <cfRule type="expression" dxfId="17183" priority="3251" stopIfTrue="1">
      <formula>AND(Y137&gt;=78100,Y137&lt;=78199)</formula>
    </cfRule>
    <cfRule type="expression" dxfId="17182" priority="3252" stopIfTrue="1">
      <formula>AND(Y137&gt;=91000,Y137&lt;=91999)</formula>
    </cfRule>
  </conditionalFormatting>
  <conditionalFormatting sqref="X137">
    <cfRule type="expression" dxfId="17181" priority="3231">
      <formula>AND(Y137&gt;=79001,Y137&lt;79900)</formula>
    </cfRule>
    <cfRule type="expression" dxfId="17180" priority="3232" stopIfTrue="1">
      <formula>AND(Y137&gt;=70101,Y137&lt;=70301)</formula>
    </cfRule>
    <cfRule type="expression" dxfId="17179" priority="3233" stopIfTrue="1">
      <formula>AND(Y137&gt;70000,Y137&lt;70004)</formula>
    </cfRule>
    <cfRule type="expression" dxfId="17178" priority="3234" stopIfTrue="1">
      <formula>AND(Y137&gt;=70010,Y137&lt;=76000)</formula>
    </cfRule>
    <cfRule type="expression" dxfId="17177" priority="3235">
      <formula>AND(Y137&gt;70000,Y137&lt;70004)</formula>
    </cfRule>
    <cfRule type="expression" dxfId="17176" priority="3236" stopIfTrue="1">
      <formula>OR(AND(Y137&gt;=10000,Y137&lt;=56999),AND(Y137&gt;=57000,Y137&lt;=57999))</formula>
    </cfRule>
    <cfRule type="expression" dxfId="17175" priority="3237" stopIfTrue="1">
      <formula>AND(Y137&gt;=8000,Y137&lt;=9999)</formula>
    </cfRule>
    <cfRule type="expression" dxfId="17174" priority="3238" stopIfTrue="1">
      <formula>AND(Y137&gt;=78100,Y137&lt;=78199)</formula>
    </cfRule>
    <cfRule type="expression" dxfId="17173" priority="3239" stopIfTrue="1">
      <formula>AND(Y137&gt;=92000,Y137&lt;=98999)</formula>
    </cfRule>
    <cfRule type="expression" dxfId="17172" priority="3240" stopIfTrue="1">
      <formula>AND(Y137&gt;=78100,Y137&lt;=78199)</formula>
    </cfRule>
    <cfRule type="expression" dxfId="17171" priority="3241" stopIfTrue="1">
      <formula>AND(Y137&gt;=91000,Y137&lt;=91999)</formula>
    </cfRule>
  </conditionalFormatting>
  <conditionalFormatting sqref="X137">
    <cfRule type="expression" dxfId="17170" priority="3220">
      <formula>AND(Y137&gt;=79001,Y137&lt;79900)</formula>
    </cfRule>
    <cfRule type="expression" dxfId="17169" priority="3221" stopIfTrue="1">
      <formula>AND(Y137&gt;=70101,Y137&lt;=70301)</formula>
    </cfRule>
    <cfRule type="expression" dxfId="17168" priority="3222" stopIfTrue="1">
      <formula>AND(Y137&gt;70000,Y137&lt;70004)</formula>
    </cfRule>
    <cfRule type="expression" dxfId="17167" priority="3223" stopIfTrue="1">
      <formula>AND(Y137&gt;=70010,Y137&lt;=76000)</formula>
    </cfRule>
    <cfRule type="expression" dxfId="17166" priority="3224">
      <formula>AND(Y137&gt;70000,Y137&lt;70004)</formula>
    </cfRule>
    <cfRule type="expression" dxfId="17165" priority="3225" stopIfTrue="1">
      <formula>OR(AND(Y137&gt;=10000,Y137&lt;=56999),AND(Y137&gt;=57000,Y137&lt;=57999))</formula>
    </cfRule>
    <cfRule type="expression" dxfId="17164" priority="3226" stopIfTrue="1">
      <formula>AND(Y137&gt;=8000,Y137&lt;=9999)</formula>
    </cfRule>
    <cfRule type="expression" dxfId="17163" priority="3227" stopIfTrue="1">
      <formula>AND(Y137&gt;=78100,Y137&lt;=78199)</formula>
    </cfRule>
    <cfRule type="expression" dxfId="17162" priority="3228" stopIfTrue="1">
      <formula>AND(Y137&gt;=92000,Y137&lt;=98999)</formula>
    </cfRule>
    <cfRule type="expression" dxfId="17161" priority="3229" stopIfTrue="1">
      <formula>AND(Y137&gt;=78100,Y137&lt;=78199)</formula>
    </cfRule>
    <cfRule type="expression" dxfId="17160" priority="3230" stopIfTrue="1">
      <formula>AND(Y137&gt;=91000,Y137&lt;=91999)</formula>
    </cfRule>
  </conditionalFormatting>
  <conditionalFormatting sqref="X137">
    <cfRule type="expression" dxfId="17159" priority="3209">
      <formula>AND(Y137&gt;=79001,Y137&lt;79900)</formula>
    </cfRule>
    <cfRule type="expression" dxfId="17158" priority="3210" stopIfTrue="1">
      <formula>AND(Y137&gt;=70101,Y137&lt;=70301)</formula>
    </cfRule>
    <cfRule type="expression" dxfId="17157" priority="3211" stopIfTrue="1">
      <formula>AND(Y137&gt;70000,Y137&lt;70004)</formula>
    </cfRule>
    <cfRule type="expression" dxfId="17156" priority="3212" stopIfTrue="1">
      <formula>AND(Y137&gt;=70010,Y137&lt;=76000)</formula>
    </cfRule>
    <cfRule type="expression" dxfId="17155" priority="3213">
      <formula>AND(Y137&gt;70000,Y137&lt;70004)</formula>
    </cfRule>
    <cfRule type="expression" dxfId="17154" priority="3214" stopIfTrue="1">
      <formula>OR(AND(Y137&gt;=10000,Y137&lt;=56999),AND(Y137&gt;=57000,Y137&lt;=57999))</formula>
    </cfRule>
    <cfRule type="expression" dxfId="17153" priority="3215" stopIfTrue="1">
      <formula>AND(Y137&gt;=8000,Y137&lt;=9999)</formula>
    </cfRule>
    <cfRule type="expression" dxfId="17152" priority="3216" stopIfTrue="1">
      <formula>AND(Y137&gt;=78100,Y137&lt;=78199)</formula>
    </cfRule>
    <cfRule type="expression" dxfId="17151" priority="3217" stopIfTrue="1">
      <formula>AND(Y137&gt;=92000,Y137&lt;=98999)</formula>
    </cfRule>
    <cfRule type="expression" dxfId="17150" priority="3218" stopIfTrue="1">
      <formula>AND(Y137&gt;=78100,Y137&lt;=78199)</formula>
    </cfRule>
    <cfRule type="expression" dxfId="17149" priority="3219" stopIfTrue="1">
      <formula>AND(Y137&gt;=91000,Y137&lt;=91999)</formula>
    </cfRule>
  </conditionalFormatting>
  <conditionalFormatting sqref="AB137">
    <cfRule type="expression" dxfId="17148" priority="3198">
      <formula>AND(AC137&gt;=79001,AC137&lt;79900)</formula>
    </cfRule>
    <cfRule type="expression" dxfId="17147" priority="3199" stopIfTrue="1">
      <formula>AND(AC137&gt;=70101,AC137&lt;=70301)</formula>
    </cfRule>
    <cfRule type="expression" dxfId="17146" priority="3200" stopIfTrue="1">
      <formula>AND(AC137&gt;70000,AC137&lt;70004)</formula>
    </cfRule>
    <cfRule type="expression" dxfId="17145" priority="3201" stopIfTrue="1">
      <formula>AND(AC137&gt;=70010,AC137&lt;=76000)</formula>
    </cfRule>
    <cfRule type="expression" dxfId="17144" priority="3202">
      <formula>AND(AC137&gt;70000,AC137&lt;70004)</formula>
    </cfRule>
    <cfRule type="expression" dxfId="17143" priority="3203" stopIfTrue="1">
      <formula>OR(AND(AC137&gt;=10000,AC137&lt;=56999),AND(AC137&gt;=57000,AC137&lt;=57999))</formula>
    </cfRule>
    <cfRule type="expression" dxfId="17142" priority="3204" stopIfTrue="1">
      <formula>AND(AC137&gt;=8000,AC137&lt;=9999)</formula>
    </cfRule>
    <cfRule type="expression" dxfId="17141" priority="3205" stopIfTrue="1">
      <formula>AND(AC137&gt;=78100,AC137&lt;=78199)</formula>
    </cfRule>
    <cfRule type="expression" dxfId="17140" priority="3206" stopIfTrue="1">
      <formula>AND(AC137&gt;=92000,AC137&lt;=98999)</formula>
    </cfRule>
    <cfRule type="expression" dxfId="17139" priority="3207" stopIfTrue="1">
      <formula>AND(AC137&gt;=78100,AC137&lt;=78199)</formula>
    </cfRule>
    <cfRule type="expression" dxfId="17138" priority="3208" stopIfTrue="1">
      <formula>AND(AC137&gt;=91000,AC137&lt;=91999)</formula>
    </cfRule>
  </conditionalFormatting>
  <conditionalFormatting sqref="AB137">
    <cfRule type="expression" dxfId="17137" priority="3187">
      <formula>AND(AC137&gt;=79001,AC137&lt;79900)</formula>
    </cfRule>
    <cfRule type="expression" dxfId="17136" priority="3188" stopIfTrue="1">
      <formula>AND(AC137&gt;=70101,AC137&lt;=70301)</formula>
    </cfRule>
    <cfRule type="expression" dxfId="17135" priority="3189" stopIfTrue="1">
      <formula>AND(AC137&gt;70000,AC137&lt;70004)</formula>
    </cfRule>
    <cfRule type="expression" dxfId="17134" priority="3190" stopIfTrue="1">
      <formula>AND(AC137&gt;=70010,AC137&lt;=76000)</formula>
    </cfRule>
    <cfRule type="expression" dxfId="17133" priority="3191">
      <formula>AND(AC137&gt;70000,AC137&lt;70004)</formula>
    </cfRule>
    <cfRule type="expression" dxfId="17132" priority="3192" stopIfTrue="1">
      <formula>OR(AND(AC137&gt;=10000,AC137&lt;=56999),AND(AC137&gt;=57000,AC137&lt;=57999))</formula>
    </cfRule>
    <cfRule type="expression" dxfId="17131" priority="3193" stopIfTrue="1">
      <formula>AND(AC137&gt;=8000,AC137&lt;=9999)</formula>
    </cfRule>
    <cfRule type="expression" dxfId="17130" priority="3194" stopIfTrue="1">
      <formula>AND(AC137&gt;=78100,AC137&lt;=78199)</formula>
    </cfRule>
    <cfRule type="expression" dxfId="17129" priority="3195" stopIfTrue="1">
      <formula>AND(AC137&gt;=92000,AC137&lt;=98999)</formula>
    </cfRule>
    <cfRule type="expression" dxfId="17128" priority="3196" stopIfTrue="1">
      <formula>AND(AC137&gt;=78100,AC137&lt;=78199)</formula>
    </cfRule>
    <cfRule type="expression" dxfId="17127" priority="3197" stopIfTrue="1">
      <formula>AND(AC137&gt;=91000,AC137&lt;=91999)</formula>
    </cfRule>
  </conditionalFormatting>
  <conditionalFormatting sqref="AF137">
    <cfRule type="expression" dxfId="17126" priority="3176">
      <formula>AND(AG137&gt;=79001,AG137&lt;79900)</formula>
    </cfRule>
    <cfRule type="expression" dxfId="17125" priority="3177" stopIfTrue="1">
      <formula>AND(AG137&gt;=70101,AG137&lt;=70301)</formula>
    </cfRule>
    <cfRule type="expression" dxfId="17124" priority="3178" stopIfTrue="1">
      <formula>AND(AG137&gt;70000,AG137&lt;70004)</formula>
    </cfRule>
    <cfRule type="expression" dxfId="17123" priority="3179" stopIfTrue="1">
      <formula>AND(AG137&gt;=70010,AG137&lt;=76000)</formula>
    </cfRule>
    <cfRule type="expression" dxfId="17122" priority="3180">
      <formula>AND(AG137&gt;70000,AG137&lt;70004)</formula>
    </cfRule>
    <cfRule type="expression" dxfId="17121" priority="3181" stopIfTrue="1">
      <formula>OR(AND(AG137&gt;=10000,AG137&lt;=56999),AND(AG137&gt;=57000,AG137&lt;=57999))</formula>
    </cfRule>
    <cfRule type="expression" dxfId="17120" priority="3182" stopIfTrue="1">
      <formula>AND(AG137&gt;=8000,AG137&lt;=9999)</formula>
    </cfRule>
    <cfRule type="expression" dxfId="17119" priority="3183" stopIfTrue="1">
      <formula>AND(AG137&gt;=78100,AG137&lt;=78199)</formula>
    </cfRule>
    <cfRule type="expression" dxfId="17118" priority="3184" stopIfTrue="1">
      <formula>AND(AG137&gt;=92000,AG137&lt;=98999)</formula>
    </cfRule>
    <cfRule type="expression" dxfId="17117" priority="3185" stopIfTrue="1">
      <formula>AND(AG137&gt;=78100,AG137&lt;=78199)</formula>
    </cfRule>
    <cfRule type="expression" dxfId="17116" priority="3186" stopIfTrue="1">
      <formula>AND(AG137&gt;=91000,AG137&lt;=91999)</formula>
    </cfRule>
  </conditionalFormatting>
  <conditionalFormatting sqref="AJ137">
    <cfRule type="expression" dxfId="17115" priority="3165">
      <formula>AND(AK137&gt;=79001,AK137&lt;79900)</formula>
    </cfRule>
    <cfRule type="expression" dxfId="17114" priority="3166" stopIfTrue="1">
      <formula>AND(AK137&gt;=70101,AK137&lt;=70301)</formula>
    </cfRule>
    <cfRule type="expression" dxfId="17113" priority="3167" stopIfTrue="1">
      <formula>AND(AK137&gt;70000,AK137&lt;70004)</formula>
    </cfRule>
    <cfRule type="expression" dxfId="17112" priority="3168" stopIfTrue="1">
      <formula>AND(AK137&gt;=70010,AK137&lt;=76000)</formula>
    </cfRule>
    <cfRule type="expression" dxfId="17111" priority="3169">
      <formula>AND(AK137&gt;70000,AK137&lt;70004)</formula>
    </cfRule>
    <cfRule type="expression" dxfId="17110" priority="3170" stopIfTrue="1">
      <formula>OR(AND(AK137&gt;=10000,AK137&lt;=56999),AND(AK137&gt;=57000,AK137&lt;=57999))</formula>
    </cfRule>
    <cfRule type="expression" dxfId="17109" priority="3171" stopIfTrue="1">
      <formula>AND(AK137&gt;=8000,AK137&lt;=9999)</formula>
    </cfRule>
    <cfRule type="expression" dxfId="17108" priority="3172" stopIfTrue="1">
      <formula>AND(AK137&gt;=78100,AK137&lt;=78199)</formula>
    </cfRule>
    <cfRule type="expression" dxfId="17107" priority="3173" stopIfTrue="1">
      <formula>AND(AK137&gt;=92000,AK137&lt;=98999)</formula>
    </cfRule>
    <cfRule type="expression" dxfId="17106" priority="3174" stopIfTrue="1">
      <formula>AND(AK137&gt;=78100,AK137&lt;=78199)</formula>
    </cfRule>
    <cfRule type="expression" dxfId="17105" priority="3175" stopIfTrue="1">
      <formula>AND(AK137&gt;=91000,AK137&lt;=91999)</formula>
    </cfRule>
  </conditionalFormatting>
  <conditionalFormatting sqref="AF137">
    <cfRule type="expression" dxfId="17104" priority="3154">
      <formula>AND(AG137&gt;=79001,AG137&lt;79900)</formula>
    </cfRule>
    <cfRule type="expression" dxfId="17103" priority="3155" stopIfTrue="1">
      <formula>AND(AG137&gt;=70101,AG137&lt;=70301)</formula>
    </cfRule>
    <cfRule type="expression" dxfId="17102" priority="3156" stopIfTrue="1">
      <formula>AND(AG137&gt;70000,AG137&lt;70004)</formula>
    </cfRule>
    <cfRule type="expression" dxfId="17101" priority="3157" stopIfTrue="1">
      <formula>AND(AG137&gt;=70010,AG137&lt;=76000)</formula>
    </cfRule>
    <cfRule type="expression" dxfId="17100" priority="3158">
      <formula>AND(AG137&gt;70000,AG137&lt;70004)</formula>
    </cfRule>
    <cfRule type="expression" dxfId="17099" priority="3159" stopIfTrue="1">
      <formula>OR(AND(AG137&gt;=10000,AG137&lt;=56999),AND(AG137&gt;=57000,AG137&lt;=57999))</formula>
    </cfRule>
    <cfRule type="expression" dxfId="17098" priority="3160" stopIfTrue="1">
      <formula>AND(AG137&gt;=8000,AG137&lt;=9999)</formula>
    </cfRule>
    <cfRule type="expression" dxfId="17097" priority="3161" stopIfTrue="1">
      <formula>AND(AG137&gt;=78100,AG137&lt;=78199)</formula>
    </cfRule>
    <cfRule type="expression" dxfId="17096" priority="3162" stopIfTrue="1">
      <formula>AND(AG137&gt;=92000,AG137&lt;=98999)</formula>
    </cfRule>
    <cfRule type="expression" dxfId="17095" priority="3163" stopIfTrue="1">
      <formula>AND(AG137&gt;=78100,AG137&lt;=78199)</formula>
    </cfRule>
    <cfRule type="expression" dxfId="17094" priority="3164" stopIfTrue="1">
      <formula>AND(AG137&gt;=91000,AG137&lt;=91999)</formula>
    </cfRule>
  </conditionalFormatting>
  <conditionalFormatting sqref="AJ137">
    <cfRule type="expression" dxfId="17093" priority="3143">
      <formula>AND(AK137&gt;=79001,AK137&lt;79900)</formula>
    </cfRule>
    <cfRule type="expression" dxfId="17092" priority="3144" stopIfTrue="1">
      <formula>AND(AK137&gt;=70101,AK137&lt;=70301)</formula>
    </cfRule>
    <cfRule type="expression" dxfId="17091" priority="3145" stopIfTrue="1">
      <formula>AND(AK137&gt;70000,AK137&lt;70004)</formula>
    </cfRule>
    <cfRule type="expression" dxfId="17090" priority="3146" stopIfTrue="1">
      <formula>AND(AK137&gt;=70010,AK137&lt;=76000)</formula>
    </cfRule>
    <cfRule type="expression" dxfId="17089" priority="3147">
      <formula>AND(AK137&gt;70000,AK137&lt;70004)</formula>
    </cfRule>
    <cfRule type="expression" dxfId="17088" priority="3148" stopIfTrue="1">
      <formula>OR(AND(AK137&gt;=10000,AK137&lt;=56999),AND(AK137&gt;=57000,AK137&lt;=57999))</formula>
    </cfRule>
    <cfRule type="expression" dxfId="17087" priority="3149" stopIfTrue="1">
      <formula>AND(AK137&gt;=8000,AK137&lt;=9999)</formula>
    </cfRule>
    <cfRule type="expression" dxfId="17086" priority="3150" stopIfTrue="1">
      <formula>AND(AK137&gt;=78100,AK137&lt;=78199)</formula>
    </cfRule>
    <cfRule type="expression" dxfId="17085" priority="3151" stopIfTrue="1">
      <formula>AND(AK137&gt;=92000,AK137&lt;=98999)</formula>
    </cfRule>
    <cfRule type="expression" dxfId="17084" priority="3152" stopIfTrue="1">
      <formula>AND(AK137&gt;=78100,AK137&lt;=78199)</formula>
    </cfRule>
    <cfRule type="expression" dxfId="17083" priority="3153" stopIfTrue="1">
      <formula>AND(AK137&gt;=91000,AK137&lt;=91999)</formula>
    </cfRule>
  </conditionalFormatting>
  <conditionalFormatting sqref="AM137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37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37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37">
    <cfRule type="colorScale" priority="3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37">
    <cfRule type="colorScale" priority="3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37">
    <cfRule type="colorScale" priority="3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37">
    <cfRule type="expression" dxfId="17082" priority="3126">
      <formula>AND(U137&gt;=79001,U137&lt;79900)</formula>
    </cfRule>
    <cfRule type="expression" dxfId="17081" priority="3127" stopIfTrue="1">
      <formula>AND(U137&gt;=70101,U137&lt;=70301)</formula>
    </cfRule>
    <cfRule type="expression" dxfId="17080" priority="3128" stopIfTrue="1">
      <formula>AND(U137&gt;70000,U137&lt;70004)</formula>
    </cfRule>
    <cfRule type="expression" dxfId="17079" priority="3129" stopIfTrue="1">
      <formula>AND(U137&gt;=70010,U137&lt;=76000)</formula>
    </cfRule>
    <cfRule type="expression" dxfId="17078" priority="3130">
      <formula>AND(U137&gt;70000,U137&lt;70004)</formula>
    </cfRule>
    <cfRule type="expression" dxfId="17077" priority="3131" stopIfTrue="1">
      <formula>OR(AND(U137&gt;=10000,U137&lt;=56999),AND(U137&gt;=57000,U137&lt;=57999))</formula>
    </cfRule>
    <cfRule type="expression" dxfId="17076" priority="3132" stopIfTrue="1">
      <formula>AND(U137&gt;=8000,U137&lt;=9999)</formula>
    </cfRule>
    <cfRule type="expression" dxfId="17075" priority="3133" stopIfTrue="1">
      <formula>AND(U137&gt;=78100,U137&lt;=78199)</formula>
    </cfRule>
    <cfRule type="expression" dxfId="17074" priority="3134" stopIfTrue="1">
      <formula>AND(U137&gt;=92000,U137&lt;=98999)</formula>
    </cfRule>
    <cfRule type="expression" dxfId="17073" priority="3135" stopIfTrue="1">
      <formula>AND(U137&gt;=78100,U137&lt;=78199)</formula>
    </cfRule>
    <cfRule type="expression" dxfId="17072" priority="3136" stopIfTrue="1">
      <formula>AND(U137&gt;=91000,U137&lt;=91999)</formula>
    </cfRule>
  </conditionalFormatting>
  <conditionalFormatting sqref="T137">
    <cfRule type="expression" dxfId="17071" priority="3115">
      <formula>AND(U137&gt;=79001,U137&lt;79900)</formula>
    </cfRule>
    <cfRule type="expression" dxfId="17070" priority="3116" stopIfTrue="1">
      <formula>AND(U137&gt;=70101,U137&lt;=70301)</formula>
    </cfRule>
    <cfRule type="expression" dxfId="17069" priority="3117" stopIfTrue="1">
      <formula>AND(U137&gt;70000,U137&lt;70004)</formula>
    </cfRule>
    <cfRule type="expression" dxfId="17068" priority="3118" stopIfTrue="1">
      <formula>AND(U137&gt;=70010,U137&lt;=76000)</formula>
    </cfRule>
    <cfRule type="expression" dxfId="17067" priority="3119">
      <formula>AND(U137&gt;70000,U137&lt;70004)</formula>
    </cfRule>
    <cfRule type="expression" dxfId="17066" priority="3120" stopIfTrue="1">
      <formula>OR(AND(U137&gt;=10000,U137&lt;=56999),AND(U137&gt;=57000,U137&lt;=57999))</formula>
    </cfRule>
    <cfRule type="expression" dxfId="17065" priority="3121" stopIfTrue="1">
      <formula>AND(U137&gt;=8000,U137&lt;=9999)</formula>
    </cfRule>
    <cfRule type="expression" dxfId="17064" priority="3122" stopIfTrue="1">
      <formula>AND(U137&gt;=78100,U137&lt;=78199)</formula>
    </cfRule>
    <cfRule type="expression" dxfId="17063" priority="3123" stopIfTrue="1">
      <formula>AND(U137&gt;=92000,U137&lt;=98999)</formula>
    </cfRule>
    <cfRule type="expression" dxfId="17062" priority="3124" stopIfTrue="1">
      <formula>AND(U137&gt;=78100,U137&lt;=78199)</formula>
    </cfRule>
    <cfRule type="expression" dxfId="17061" priority="3125" stopIfTrue="1">
      <formula>AND(U137&gt;=91000,U137&lt;=91999)</formula>
    </cfRule>
  </conditionalFormatting>
  <conditionalFormatting sqref="T137">
    <cfRule type="expression" dxfId="17060" priority="3104">
      <formula>AND(U137&gt;=79001,U137&lt;79900)</formula>
    </cfRule>
    <cfRule type="expression" dxfId="17059" priority="3105" stopIfTrue="1">
      <formula>AND(U137&gt;=70101,U137&lt;=70301)</formula>
    </cfRule>
    <cfRule type="expression" dxfId="17058" priority="3106" stopIfTrue="1">
      <formula>AND(U137&gt;70000,U137&lt;70004)</formula>
    </cfRule>
    <cfRule type="expression" dxfId="17057" priority="3107" stopIfTrue="1">
      <formula>AND(U137&gt;=70010,U137&lt;=76000)</formula>
    </cfRule>
    <cfRule type="expression" dxfId="17056" priority="3108">
      <formula>AND(U137&gt;70000,U137&lt;70004)</formula>
    </cfRule>
    <cfRule type="expression" dxfId="17055" priority="3109" stopIfTrue="1">
      <formula>OR(AND(U137&gt;=10000,U137&lt;=56999),AND(U137&gt;=57000,U137&lt;=57999))</formula>
    </cfRule>
    <cfRule type="expression" dxfId="17054" priority="3110" stopIfTrue="1">
      <formula>AND(U137&gt;=8000,U137&lt;=9999)</formula>
    </cfRule>
    <cfRule type="expression" dxfId="17053" priority="3111" stopIfTrue="1">
      <formula>AND(U137&gt;=78100,U137&lt;=78199)</formula>
    </cfRule>
    <cfRule type="expression" dxfId="17052" priority="3112" stopIfTrue="1">
      <formula>AND(U137&gt;=92000,U137&lt;=98999)</formula>
    </cfRule>
    <cfRule type="expression" dxfId="17051" priority="3113" stopIfTrue="1">
      <formula>AND(U137&gt;=78100,U137&lt;=78199)</formula>
    </cfRule>
    <cfRule type="expression" dxfId="17050" priority="3114" stopIfTrue="1">
      <formula>AND(U137&gt;=91000,U137&lt;=91999)</formula>
    </cfRule>
  </conditionalFormatting>
  <conditionalFormatting sqref="T137">
    <cfRule type="expression" dxfId="17049" priority="3093">
      <formula>AND(U137&gt;=79001,U137&lt;79900)</formula>
    </cfRule>
    <cfRule type="expression" dxfId="17048" priority="3094" stopIfTrue="1">
      <formula>AND(U137&gt;=70101,U137&lt;=70301)</formula>
    </cfRule>
    <cfRule type="expression" dxfId="17047" priority="3095" stopIfTrue="1">
      <formula>AND(U137&gt;70000,U137&lt;70004)</formula>
    </cfRule>
    <cfRule type="expression" dxfId="17046" priority="3096" stopIfTrue="1">
      <formula>AND(U137&gt;=70010,U137&lt;=76000)</formula>
    </cfRule>
    <cfRule type="expression" dxfId="17045" priority="3097">
      <formula>AND(U137&gt;70000,U137&lt;70004)</formula>
    </cfRule>
    <cfRule type="expression" dxfId="17044" priority="3098" stopIfTrue="1">
      <formula>OR(AND(U137&gt;=10000,U137&lt;=56999),AND(U137&gt;=57000,U137&lt;=57999))</formula>
    </cfRule>
    <cfRule type="expression" dxfId="17043" priority="3099" stopIfTrue="1">
      <formula>AND(U137&gt;=8000,U137&lt;=9999)</formula>
    </cfRule>
    <cfRule type="expression" dxfId="17042" priority="3100" stopIfTrue="1">
      <formula>AND(U137&gt;=78100,U137&lt;=78199)</formula>
    </cfRule>
    <cfRule type="expression" dxfId="17041" priority="3101" stopIfTrue="1">
      <formula>AND(U137&gt;=92000,U137&lt;=98999)</formula>
    </cfRule>
    <cfRule type="expression" dxfId="17040" priority="3102" stopIfTrue="1">
      <formula>AND(U137&gt;=78100,U137&lt;=78199)</formula>
    </cfRule>
    <cfRule type="expression" dxfId="17039" priority="3103" stopIfTrue="1">
      <formula>AND(U137&gt;=91000,U137&lt;=91999)</formula>
    </cfRule>
  </conditionalFormatting>
  <conditionalFormatting sqref="AJ151:AK151 AM151">
    <cfRule type="expression" dxfId="17038" priority="3082">
      <formula>AND(AK151&gt;=79001,AK151&lt;79900)</formula>
    </cfRule>
    <cfRule type="expression" dxfId="17037" priority="3083" stopIfTrue="1">
      <formula>AND(AK151&gt;=70101,AK151&lt;=70301)</formula>
    </cfRule>
    <cfRule type="expression" dxfId="17036" priority="3084" stopIfTrue="1">
      <formula>AND(AK151&gt;70000,AK151&lt;70004)</formula>
    </cfRule>
    <cfRule type="expression" dxfId="17035" priority="3085" stopIfTrue="1">
      <formula>AND(AK151&gt;=70010,AK151&lt;=76000)</formula>
    </cfRule>
    <cfRule type="expression" dxfId="17034" priority="3086">
      <formula>AND(AK151&gt;70000,AK151&lt;70004)</formula>
    </cfRule>
    <cfRule type="expression" dxfId="17033" priority="3087" stopIfTrue="1">
      <formula>OR(AND(AK151&gt;=10000,AK151&lt;=56999),AND(AK151&gt;=57000,AK151&lt;=57999))</formula>
    </cfRule>
    <cfRule type="expression" dxfId="17032" priority="3088" stopIfTrue="1">
      <formula>AND(AK151&gt;=8000,AK151&lt;=9999)</formula>
    </cfRule>
    <cfRule type="expression" dxfId="17031" priority="3089" stopIfTrue="1">
      <formula>AND(AK151&gt;=78100,AK151&lt;=78199)</formula>
    </cfRule>
    <cfRule type="expression" dxfId="17030" priority="3090" stopIfTrue="1">
      <formula>AND(AK151&gt;=92000,AK151&lt;=98999)</formula>
    </cfRule>
    <cfRule type="expression" dxfId="17029" priority="3091" stopIfTrue="1">
      <formula>AND(AK151&gt;=78100,AK151&lt;=78199)</formula>
    </cfRule>
    <cfRule type="expression" dxfId="17028" priority="3092" stopIfTrue="1">
      <formula>AND(AK151&gt;=91000,AK151&lt;=91999)</formula>
    </cfRule>
  </conditionalFormatting>
  <conditionalFormatting sqref="AJ151:AK151 AM151">
    <cfRule type="expression" dxfId="17027" priority="3071">
      <formula>AND(AK151&gt;=79001,AK151&lt;79900)</formula>
    </cfRule>
    <cfRule type="expression" dxfId="17026" priority="3072" stopIfTrue="1">
      <formula>AND(AK151&gt;=70101,AK151&lt;=70301)</formula>
    </cfRule>
    <cfRule type="expression" dxfId="17025" priority="3073" stopIfTrue="1">
      <formula>AND(AK151&gt;70000,AK151&lt;70004)</formula>
    </cfRule>
    <cfRule type="expression" dxfId="17024" priority="3074" stopIfTrue="1">
      <formula>AND(AK151&gt;=70010,AK151&lt;=76000)</formula>
    </cfRule>
    <cfRule type="expression" dxfId="17023" priority="3075">
      <formula>AND(AK151&gt;70000,AK151&lt;70004)</formula>
    </cfRule>
    <cfRule type="expression" dxfId="17022" priority="3076" stopIfTrue="1">
      <formula>OR(AND(AK151&gt;=10000,AK151&lt;=56999),AND(AK151&gt;=57000,AK151&lt;=57999))</formula>
    </cfRule>
    <cfRule type="expression" dxfId="17021" priority="3077" stopIfTrue="1">
      <formula>AND(AK151&gt;=8000,AK151&lt;=9999)</formula>
    </cfRule>
    <cfRule type="expression" dxfId="17020" priority="3078" stopIfTrue="1">
      <formula>AND(AK151&gt;=78100,AK151&lt;=78199)</formula>
    </cfRule>
    <cfRule type="expression" dxfId="17019" priority="3079" stopIfTrue="1">
      <formula>AND(AK151&gt;=92000,AK151&lt;=98999)</formula>
    </cfRule>
    <cfRule type="expression" dxfId="17018" priority="3080" stopIfTrue="1">
      <formula>AND(AK151&gt;=78100,AK151&lt;=78199)</formula>
    </cfRule>
    <cfRule type="expression" dxfId="17017" priority="3081" stopIfTrue="1">
      <formula>AND(AK151&gt;=91000,AK151&lt;=91999)</formula>
    </cfRule>
  </conditionalFormatting>
  <conditionalFormatting sqref="AJ151:AK151 AM151">
    <cfRule type="expression" dxfId="17016" priority="3060">
      <formula>AND(AK151&gt;=79001,AK151&lt;79900)</formula>
    </cfRule>
    <cfRule type="expression" dxfId="17015" priority="3061" stopIfTrue="1">
      <formula>AND(AK151&gt;=70101,AK151&lt;=70301)</formula>
    </cfRule>
    <cfRule type="expression" dxfId="17014" priority="3062" stopIfTrue="1">
      <formula>AND(AK151&gt;70000,AK151&lt;70004)</formula>
    </cfRule>
    <cfRule type="expression" dxfId="17013" priority="3063" stopIfTrue="1">
      <formula>AND(AK151&gt;=70010,AK151&lt;=76000)</formula>
    </cfRule>
    <cfRule type="expression" dxfId="17012" priority="3064">
      <formula>AND(AK151&gt;70000,AK151&lt;70004)</formula>
    </cfRule>
    <cfRule type="expression" dxfId="17011" priority="3065" stopIfTrue="1">
      <formula>OR(AND(AK151&gt;=10000,AK151&lt;=56999),AND(AK151&gt;=57000,AK151&lt;=57999))</formula>
    </cfRule>
    <cfRule type="expression" dxfId="17010" priority="3066" stopIfTrue="1">
      <formula>AND(AK151&gt;=8000,AK151&lt;=9999)</formula>
    </cfRule>
    <cfRule type="expression" dxfId="17009" priority="3067" stopIfTrue="1">
      <formula>AND(AK151&gt;=78100,AK151&lt;=78199)</formula>
    </cfRule>
    <cfRule type="expression" dxfId="17008" priority="3068" stopIfTrue="1">
      <formula>AND(AK151&gt;=92000,AK151&lt;=98999)</formula>
    </cfRule>
    <cfRule type="expression" dxfId="17007" priority="3069" stopIfTrue="1">
      <formula>AND(AK151&gt;=78100,AK151&lt;=78199)</formula>
    </cfRule>
    <cfRule type="expression" dxfId="17006" priority="3070" stopIfTrue="1">
      <formula>AND(AK151&gt;=91000,AK151&lt;=91999)</formula>
    </cfRule>
  </conditionalFormatting>
  <conditionalFormatting sqref="AJ151:AK151 AM151">
    <cfRule type="expression" dxfId="17005" priority="3049">
      <formula>AND(AK151&gt;=79001,AK151&lt;79900)</formula>
    </cfRule>
    <cfRule type="expression" dxfId="17004" priority="3050" stopIfTrue="1">
      <formula>AND(AK151&gt;=70101,AK151&lt;=70301)</formula>
    </cfRule>
    <cfRule type="expression" dxfId="17003" priority="3051" stopIfTrue="1">
      <formula>AND(AK151&gt;70000,AK151&lt;70004)</formula>
    </cfRule>
    <cfRule type="expression" dxfId="17002" priority="3052" stopIfTrue="1">
      <formula>AND(AK151&gt;=70010,AK151&lt;=76000)</formula>
    </cfRule>
    <cfRule type="expression" dxfId="17001" priority="3053">
      <formula>AND(AK151&gt;70000,AK151&lt;70004)</formula>
    </cfRule>
    <cfRule type="expression" dxfId="17000" priority="3054" stopIfTrue="1">
      <formula>OR(AND(AK151&gt;=10000,AK151&lt;=56999),AND(AK151&gt;=57000,AK151&lt;=57999))</formula>
    </cfRule>
    <cfRule type="expression" dxfId="16999" priority="3055" stopIfTrue="1">
      <formula>AND(AK151&gt;=8000,AK151&lt;=9999)</formula>
    </cfRule>
    <cfRule type="expression" dxfId="16998" priority="3056" stopIfTrue="1">
      <formula>AND(AK151&gt;=78100,AK151&lt;=78199)</formula>
    </cfRule>
    <cfRule type="expression" dxfId="16997" priority="3057" stopIfTrue="1">
      <formula>AND(AK151&gt;=92000,AK151&lt;=98999)</formula>
    </cfRule>
    <cfRule type="expression" dxfId="16996" priority="3058" stopIfTrue="1">
      <formula>AND(AK151&gt;=78100,AK151&lt;=78199)</formula>
    </cfRule>
    <cfRule type="expression" dxfId="16995" priority="3059" stopIfTrue="1">
      <formula>AND(AK151&gt;=91000,AK151&lt;=91999)</formula>
    </cfRule>
  </conditionalFormatting>
  <conditionalFormatting sqref="T139">
    <cfRule type="expression" dxfId="16994" priority="3038">
      <formula>AND(U139&gt;=79001,U139&lt;79900)</formula>
    </cfRule>
    <cfRule type="expression" dxfId="16993" priority="3039" stopIfTrue="1">
      <formula>AND(U139&gt;=70101,U139&lt;=70301)</formula>
    </cfRule>
    <cfRule type="expression" dxfId="16992" priority="3040" stopIfTrue="1">
      <formula>AND(U139&gt;70000,U139&lt;70004)</formula>
    </cfRule>
    <cfRule type="expression" dxfId="16991" priority="3041" stopIfTrue="1">
      <formula>AND(U139&gt;=70010,U139&lt;=76000)</formula>
    </cfRule>
    <cfRule type="expression" dxfId="16990" priority="3042">
      <formula>AND(U139&gt;70000,U139&lt;70004)</formula>
    </cfRule>
    <cfRule type="expression" dxfId="16989" priority="3043" stopIfTrue="1">
      <formula>OR(AND(U139&gt;=10000,U139&lt;=56999),AND(U139&gt;=57000,U139&lt;=57999))</formula>
    </cfRule>
    <cfRule type="expression" dxfId="16988" priority="3044" stopIfTrue="1">
      <formula>AND(U139&gt;=8000,U139&lt;=9999)</formula>
    </cfRule>
    <cfRule type="expression" dxfId="16987" priority="3045" stopIfTrue="1">
      <formula>AND(U139&gt;=78100,U139&lt;=78199)</formula>
    </cfRule>
    <cfRule type="expression" dxfId="16986" priority="3046" stopIfTrue="1">
      <formula>AND(U139&gt;=92000,U139&lt;=98999)</formula>
    </cfRule>
    <cfRule type="expression" dxfId="16985" priority="3047" stopIfTrue="1">
      <formula>AND(U139&gt;=78100,U139&lt;=78199)</formula>
    </cfRule>
    <cfRule type="expression" dxfId="16984" priority="3048" stopIfTrue="1">
      <formula>AND(U139&gt;=91000,U139&lt;=91999)</formula>
    </cfRule>
  </conditionalFormatting>
  <conditionalFormatting sqref="T139">
    <cfRule type="expression" dxfId="16983" priority="3027">
      <formula>AND(U139&gt;=79001,U139&lt;79900)</formula>
    </cfRule>
    <cfRule type="expression" dxfId="16982" priority="3028" stopIfTrue="1">
      <formula>AND(U139&gt;=70101,U139&lt;=70301)</formula>
    </cfRule>
    <cfRule type="expression" dxfId="16981" priority="3029" stopIfTrue="1">
      <formula>AND(U139&gt;70000,U139&lt;70004)</formula>
    </cfRule>
    <cfRule type="expression" dxfId="16980" priority="3030" stopIfTrue="1">
      <formula>AND(U139&gt;=70010,U139&lt;=76000)</formula>
    </cfRule>
    <cfRule type="expression" dxfId="16979" priority="3031">
      <formula>AND(U139&gt;70000,U139&lt;70004)</formula>
    </cfRule>
    <cfRule type="expression" dxfId="16978" priority="3032" stopIfTrue="1">
      <formula>OR(AND(U139&gt;=10000,U139&lt;=56999),AND(U139&gt;=57000,U139&lt;=57999))</formula>
    </cfRule>
    <cfRule type="expression" dxfId="16977" priority="3033" stopIfTrue="1">
      <formula>AND(U139&gt;=8000,U139&lt;=9999)</formula>
    </cfRule>
    <cfRule type="expression" dxfId="16976" priority="3034" stopIfTrue="1">
      <formula>AND(U139&gt;=78100,U139&lt;=78199)</formula>
    </cfRule>
    <cfRule type="expression" dxfId="16975" priority="3035" stopIfTrue="1">
      <formula>AND(U139&gt;=92000,U139&lt;=98999)</formula>
    </cfRule>
    <cfRule type="expression" dxfId="16974" priority="3036" stopIfTrue="1">
      <formula>AND(U139&gt;=78100,U139&lt;=78199)</formula>
    </cfRule>
    <cfRule type="expression" dxfId="16973" priority="3037" stopIfTrue="1">
      <formula>AND(U139&gt;=91000,U139&lt;=91999)</formula>
    </cfRule>
  </conditionalFormatting>
  <conditionalFormatting sqref="T139">
    <cfRule type="expression" dxfId="16972" priority="3016">
      <formula>AND(U139&gt;=79001,U139&lt;79900)</formula>
    </cfRule>
    <cfRule type="expression" dxfId="16971" priority="3017" stopIfTrue="1">
      <formula>AND(U139&gt;=70101,U139&lt;=70301)</formula>
    </cfRule>
    <cfRule type="expression" dxfId="16970" priority="3018" stopIfTrue="1">
      <formula>AND(U139&gt;70000,U139&lt;70004)</formula>
    </cfRule>
    <cfRule type="expression" dxfId="16969" priority="3019" stopIfTrue="1">
      <formula>AND(U139&gt;=70010,U139&lt;=76000)</formula>
    </cfRule>
    <cfRule type="expression" dxfId="16968" priority="3020">
      <formula>AND(U139&gt;70000,U139&lt;70004)</formula>
    </cfRule>
    <cfRule type="expression" dxfId="16967" priority="3021" stopIfTrue="1">
      <formula>OR(AND(U139&gt;=10000,U139&lt;=56999),AND(U139&gt;=57000,U139&lt;=57999))</formula>
    </cfRule>
    <cfRule type="expression" dxfId="16966" priority="3022" stopIfTrue="1">
      <formula>AND(U139&gt;=8000,U139&lt;=9999)</formula>
    </cfRule>
    <cfRule type="expression" dxfId="16965" priority="3023" stopIfTrue="1">
      <formula>AND(U139&gt;=78100,U139&lt;=78199)</formula>
    </cfRule>
    <cfRule type="expression" dxfId="16964" priority="3024" stopIfTrue="1">
      <formula>AND(U139&gt;=92000,U139&lt;=98999)</formula>
    </cfRule>
    <cfRule type="expression" dxfId="16963" priority="3025" stopIfTrue="1">
      <formula>AND(U139&gt;=78100,U139&lt;=78199)</formula>
    </cfRule>
    <cfRule type="expression" dxfId="16962" priority="3026" stopIfTrue="1">
      <formula>AND(U139&gt;=91000,U139&lt;=91999)</formula>
    </cfRule>
  </conditionalFormatting>
  <conditionalFormatting sqref="T139">
    <cfRule type="expression" dxfId="16961" priority="3005">
      <formula>AND(U139&gt;=79001,U139&lt;79900)</formula>
    </cfRule>
    <cfRule type="expression" dxfId="16960" priority="3006" stopIfTrue="1">
      <formula>AND(U139&gt;=70101,U139&lt;=70301)</formula>
    </cfRule>
    <cfRule type="expression" dxfId="16959" priority="3007" stopIfTrue="1">
      <formula>AND(U139&gt;70000,U139&lt;70004)</formula>
    </cfRule>
    <cfRule type="expression" dxfId="16958" priority="3008" stopIfTrue="1">
      <formula>AND(U139&gt;=70010,U139&lt;=76000)</formula>
    </cfRule>
    <cfRule type="expression" dxfId="16957" priority="3009">
      <formula>AND(U139&gt;70000,U139&lt;70004)</formula>
    </cfRule>
    <cfRule type="expression" dxfId="16956" priority="3010" stopIfTrue="1">
      <formula>OR(AND(U139&gt;=10000,U139&lt;=56999),AND(U139&gt;=57000,U139&lt;=57999))</formula>
    </cfRule>
    <cfRule type="expression" dxfId="16955" priority="3011" stopIfTrue="1">
      <formula>AND(U139&gt;=8000,U139&lt;=9999)</formula>
    </cfRule>
    <cfRule type="expression" dxfId="16954" priority="3012" stopIfTrue="1">
      <formula>AND(U139&gt;=78100,U139&lt;=78199)</formula>
    </cfRule>
    <cfRule type="expression" dxfId="16953" priority="3013" stopIfTrue="1">
      <formula>AND(U139&gt;=92000,U139&lt;=98999)</formula>
    </cfRule>
    <cfRule type="expression" dxfId="16952" priority="3014" stopIfTrue="1">
      <formula>AND(U139&gt;=78100,U139&lt;=78199)</formula>
    </cfRule>
    <cfRule type="expression" dxfId="16951" priority="3015" stopIfTrue="1">
      <formula>AND(U139&gt;=91000,U139&lt;=91999)</formula>
    </cfRule>
  </conditionalFormatting>
  <conditionalFormatting sqref="T148">
    <cfRule type="expression" dxfId="16950" priority="2994">
      <formula>AND(U148&gt;=79001,U148&lt;79900)</formula>
    </cfRule>
    <cfRule type="expression" dxfId="16949" priority="2995" stopIfTrue="1">
      <formula>AND(U148&gt;=70101,U148&lt;=70301)</formula>
    </cfRule>
    <cfRule type="expression" dxfId="16948" priority="2996" stopIfTrue="1">
      <formula>AND(U148&gt;70000,U148&lt;70004)</formula>
    </cfRule>
    <cfRule type="expression" dxfId="16947" priority="2997" stopIfTrue="1">
      <formula>AND(U148&gt;=70010,U148&lt;=76000)</formula>
    </cfRule>
    <cfRule type="expression" dxfId="16946" priority="2998">
      <formula>AND(U148&gt;70000,U148&lt;70004)</formula>
    </cfRule>
    <cfRule type="expression" dxfId="16945" priority="2999" stopIfTrue="1">
      <formula>OR(AND(U148&gt;=10000,U148&lt;=56999),AND(U148&gt;=57000,U148&lt;=57999))</formula>
    </cfRule>
    <cfRule type="expression" dxfId="16944" priority="3000" stopIfTrue="1">
      <formula>AND(U148&gt;=8000,U148&lt;=9999)</formula>
    </cfRule>
    <cfRule type="expression" dxfId="16943" priority="3001" stopIfTrue="1">
      <formula>AND(U148&gt;=78100,U148&lt;=78199)</formula>
    </cfRule>
    <cfRule type="expression" dxfId="16942" priority="3002" stopIfTrue="1">
      <formula>AND(U148&gt;=92000,U148&lt;=98999)</formula>
    </cfRule>
    <cfRule type="expression" dxfId="16941" priority="3003" stopIfTrue="1">
      <formula>AND(U148&gt;=78100,U148&lt;=78199)</formula>
    </cfRule>
    <cfRule type="expression" dxfId="16940" priority="3004" stopIfTrue="1">
      <formula>AND(U148&gt;=91000,U148&lt;=91999)</formula>
    </cfRule>
  </conditionalFormatting>
  <conditionalFormatting sqref="T148">
    <cfRule type="expression" dxfId="16939" priority="2983">
      <formula>AND(U148&gt;=79001,U148&lt;79900)</formula>
    </cfRule>
    <cfRule type="expression" dxfId="16938" priority="2984" stopIfTrue="1">
      <formula>AND(U148&gt;=70101,U148&lt;=70301)</formula>
    </cfRule>
    <cfRule type="expression" dxfId="16937" priority="2985" stopIfTrue="1">
      <formula>AND(U148&gt;70000,U148&lt;70004)</formula>
    </cfRule>
    <cfRule type="expression" dxfId="16936" priority="2986" stopIfTrue="1">
      <formula>AND(U148&gt;=70010,U148&lt;=76000)</formula>
    </cfRule>
    <cfRule type="expression" dxfId="16935" priority="2987">
      <formula>AND(U148&gt;70000,U148&lt;70004)</formula>
    </cfRule>
    <cfRule type="expression" dxfId="16934" priority="2988" stopIfTrue="1">
      <formula>OR(AND(U148&gt;=10000,U148&lt;=56999),AND(U148&gt;=57000,U148&lt;=57999))</formula>
    </cfRule>
    <cfRule type="expression" dxfId="16933" priority="2989" stopIfTrue="1">
      <formula>AND(U148&gt;=8000,U148&lt;=9999)</formula>
    </cfRule>
    <cfRule type="expression" dxfId="16932" priority="2990" stopIfTrue="1">
      <formula>AND(U148&gt;=78100,U148&lt;=78199)</formula>
    </cfRule>
    <cfRule type="expression" dxfId="16931" priority="2991" stopIfTrue="1">
      <formula>AND(U148&gt;=92000,U148&lt;=98999)</formula>
    </cfRule>
    <cfRule type="expression" dxfId="16930" priority="2992" stopIfTrue="1">
      <formula>AND(U148&gt;=78100,U148&lt;=78199)</formula>
    </cfRule>
    <cfRule type="expression" dxfId="16929" priority="2993" stopIfTrue="1">
      <formula>AND(U148&gt;=91000,U148&lt;=91999)</formula>
    </cfRule>
  </conditionalFormatting>
  <conditionalFormatting sqref="T148">
    <cfRule type="expression" dxfId="16928" priority="2972">
      <formula>AND(U148&gt;=79001,U148&lt;79900)</formula>
    </cfRule>
    <cfRule type="expression" dxfId="16927" priority="2973" stopIfTrue="1">
      <formula>AND(U148&gt;=70101,U148&lt;=70301)</formula>
    </cfRule>
    <cfRule type="expression" dxfId="16926" priority="2974" stopIfTrue="1">
      <formula>AND(U148&gt;70000,U148&lt;70004)</formula>
    </cfRule>
    <cfRule type="expression" dxfId="16925" priority="2975" stopIfTrue="1">
      <formula>AND(U148&gt;=70010,U148&lt;=76000)</formula>
    </cfRule>
    <cfRule type="expression" dxfId="16924" priority="2976">
      <formula>AND(U148&gt;70000,U148&lt;70004)</formula>
    </cfRule>
    <cfRule type="expression" dxfId="16923" priority="2977" stopIfTrue="1">
      <formula>OR(AND(U148&gt;=10000,U148&lt;=56999),AND(U148&gt;=57000,U148&lt;=57999))</formula>
    </cfRule>
    <cfRule type="expression" dxfId="16922" priority="2978" stopIfTrue="1">
      <formula>AND(U148&gt;=8000,U148&lt;=9999)</formula>
    </cfRule>
    <cfRule type="expression" dxfId="16921" priority="2979" stopIfTrue="1">
      <formula>AND(U148&gt;=78100,U148&lt;=78199)</formula>
    </cfRule>
    <cfRule type="expression" dxfId="16920" priority="2980" stopIfTrue="1">
      <formula>AND(U148&gt;=92000,U148&lt;=98999)</formula>
    </cfRule>
    <cfRule type="expression" dxfId="16919" priority="2981" stopIfTrue="1">
      <formula>AND(U148&gt;=78100,U148&lt;=78199)</formula>
    </cfRule>
    <cfRule type="expression" dxfId="16918" priority="2982" stopIfTrue="1">
      <formula>AND(U148&gt;=91000,U148&lt;=91999)</formula>
    </cfRule>
  </conditionalFormatting>
  <conditionalFormatting sqref="T148">
    <cfRule type="expression" dxfId="16917" priority="2961">
      <formula>AND(U148&gt;=79001,U148&lt;79900)</formula>
    </cfRule>
    <cfRule type="expression" dxfId="16916" priority="2962" stopIfTrue="1">
      <formula>AND(U148&gt;=70101,U148&lt;=70301)</formula>
    </cfRule>
    <cfRule type="expression" dxfId="16915" priority="2963" stopIfTrue="1">
      <formula>AND(U148&gt;70000,U148&lt;70004)</formula>
    </cfRule>
    <cfRule type="expression" dxfId="16914" priority="2964" stopIfTrue="1">
      <formula>AND(U148&gt;=70010,U148&lt;=76000)</formula>
    </cfRule>
    <cfRule type="expression" dxfId="16913" priority="2965">
      <formula>AND(U148&gt;70000,U148&lt;70004)</formula>
    </cfRule>
    <cfRule type="expression" dxfId="16912" priority="2966" stopIfTrue="1">
      <formula>OR(AND(U148&gt;=10000,U148&lt;=56999),AND(U148&gt;=57000,U148&lt;=57999))</formula>
    </cfRule>
    <cfRule type="expression" dxfId="16911" priority="2967" stopIfTrue="1">
      <formula>AND(U148&gt;=8000,U148&lt;=9999)</formula>
    </cfRule>
    <cfRule type="expression" dxfId="16910" priority="2968" stopIfTrue="1">
      <formula>AND(U148&gt;=78100,U148&lt;=78199)</formula>
    </cfRule>
    <cfRule type="expression" dxfId="16909" priority="2969" stopIfTrue="1">
      <formula>AND(U148&gt;=92000,U148&lt;=98999)</formula>
    </cfRule>
    <cfRule type="expression" dxfId="16908" priority="2970" stopIfTrue="1">
      <formula>AND(U148&gt;=78100,U148&lt;=78199)</formula>
    </cfRule>
    <cfRule type="expression" dxfId="16907" priority="2971" stopIfTrue="1">
      <formula>AND(U148&gt;=91000,U148&lt;=91999)</formula>
    </cfRule>
  </conditionalFormatting>
  <conditionalFormatting sqref="X139">
    <cfRule type="expression" dxfId="16906" priority="2950">
      <formula>AND(Y139&gt;=79001,Y139&lt;79900)</formula>
    </cfRule>
    <cfRule type="expression" dxfId="16905" priority="2951" stopIfTrue="1">
      <formula>AND(Y139&gt;=70101,Y139&lt;=70301)</formula>
    </cfRule>
    <cfRule type="expression" dxfId="16904" priority="2952" stopIfTrue="1">
      <formula>AND(Y139&gt;70000,Y139&lt;70004)</formula>
    </cfRule>
    <cfRule type="expression" dxfId="16903" priority="2953" stopIfTrue="1">
      <formula>AND(Y139&gt;=70010,Y139&lt;=76000)</formula>
    </cfRule>
    <cfRule type="expression" dxfId="16902" priority="2954">
      <formula>AND(Y139&gt;70000,Y139&lt;70004)</formula>
    </cfRule>
    <cfRule type="expression" dxfId="16901" priority="2955" stopIfTrue="1">
      <formula>OR(AND(Y139&gt;=10000,Y139&lt;=56999),AND(Y139&gt;=57000,Y139&lt;=57999))</formula>
    </cfRule>
    <cfRule type="expression" dxfId="16900" priority="2956" stopIfTrue="1">
      <formula>AND(Y139&gt;=8000,Y139&lt;=9999)</formula>
    </cfRule>
    <cfRule type="expression" dxfId="16899" priority="2957" stopIfTrue="1">
      <formula>AND(Y139&gt;=78100,Y139&lt;=78199)</formula>
    </cfRule>
    <cfRule type="expression" dxfId="16898" priority="2958" stopIfTrue="1">
      <formula>AND(Y139&gt;=92000,Y139&lt;=98999)</formula>
    </cfRule>
    <cfRule type="expression" dxfId="16897" priority="2959" stopIfTrue="1">
      <formula>AND(Y139&gt;=78100,Y139&lt;=78199)</formula>
    </cfRule>
    <cfRule type="expression" dxfId="16896" priority="2960" stopIfTrue="1">
      <formula>AND(Y139&gt;=91000,Y139&lt;=91999)</formula>
    </cfRule>
  </conditionalFormatting>
  <conditionalFormatting sqref="X139">
    <cfRule type="expression" dxfId="16895" priority="2939">
      <formula>AND(Y139&gt;=79001,Y139&lt;79900)</formula>
    </cfRule>
    <cfRule type="expression" dxfId="16894" priority="2940" stopIfTrue="1">
      <formula>AND(Y139&gt;=70101,Y139&lt;=70301)</formula>
    </cfRule>
    <cfRule type="expression" dxfId="16893" priority="2941" stopIfTrue="1">
      <formula>AND(Y139&gt;70000,Y139&lt;70004)</formula>
    </cfRule>
    <cfRule type="expression" dxfId="16892" priority="2942" stopIfTrue="1">
      <formula>AND(Y139&gt;=70010,Y139&lt;=76000)</formula>
    </cfRule>
    <cfRule type="expression" dxfId="16891" priority="2943">
      <formula>AND(Y139&gt;70000,Y139&lt;70004)</formula>
    </cfRule>
    <cfRule type="expression" dxfId="16890" priority="2944" stopIfTrue="1">
      <formula>OR(AND(Y139&gt;=10000,Y139&lt;=56999),AND(Y139&gt;=57000,Y139&lt;=57999))</formula>
    </cfRule>
    <cfRule type="expression" dxfId="16889" priority="2945" stopIfTrue="1">
      <formula>AND(Y139&gt;=8000,Y139&lt;=9999)</formula>
    </cfRule>
    <cfRule type="expression" dxfId="16888" priority="2946" stopIfTrue="1">
      <formula>AND(Y139&gt;=78100,Y139&lt;=78199)</formula>
    </cfRule>
    <cfRule type="expression" dxfId="16887" priority="2947" stopIfTrue="1">
      <formula>AND(Y139&gt;=92000,Y139&lt;=98999)</formula>
    </cfRule>
    <cfRule type="expression" dxfId="16886" priority="2948" stopIfTrue="1">
      <formula>AND(Y139&gt;=78100,Y139&lt;=78199)</formula>
    </cfRule>
    <cfRule type="expression" dxfId="16885" priority="2949" stopIfTrue="1">
      <formula>AND(Y139&gt;=91000,Y139&lt;=91999)</formula>
    </cfRule>
  </conditionalFormatting>
  <conditionalFormatting sqref="X139">
    <cfRule type="expression" dxfId="16884" priority="2928">
      <formula>AND(Y139&gt;=79001,Y139&lt;79900)</formula>
    </cfRule>
    <cfRule type="expression" dxfId="16883" priority="2929" stopIfTrue="1">
      <formula>AND(Y139&gt;=70101,Y139&lt;=70301)</formula>
    </cfRule>
    <cfRule type="expression" dxfId="16882" priority="2930" stopIfTrue="1">
      <formula>AND(Y139&gt;70000,Y139&lt;70004)</formula>
    </cfRule>
    <cfRule type="expression" dxfId="16881" priority="2931" stopIfTrue="1">
      <formula>AND(Y139&gt;=70010,Y139&lt;=76000)</formula>
    </cfRule>
    <cfRule type="expression" dxfId="16880" priority="2932">
      <formula>AND(Y139&gt;70000,Y139&lt;70004)</formula>
    </cfRule>
    <cfRule type="expression" dxfId="16879" priority="2933" stopIfTrue="1">
      <formula>OR(AND(Y139&gt;=10000,Y139&lt;=56999),AND(Y139&gt;=57000,Y139&lt;=57999))</formula>
    </cfRule>
    <cfRule type="expression" dxfId="16878" priority="2934" stopIfTrue="1">
      <formula>AND(Y139&gt;=8000,Y139&lt;=9999)</formula>
    </cfRule>
    <cfRule type="expression" dxfId="16877" priority="2935" stopIfTrue="1">
      <formula>AND(Y139&gt;=78100,Y139&lt;=78199)</formula>
    </cfRule>
    <cfRule type="expression" dxfId="16876" priority="2936" stopIfTrue="1">
      <formula>AND(Y139&gt;=92000,Y139&lt;=98999)</formula>
    </cfRule>
    <cfRule type="expression" dxfId="16875" priority="2937" stopIfTrue="1">
      <formula>AND(Y139&gt;=78100,Y139&lt;=78199)</formula>
    </cfRule>
    <cfRule type="expression" dxfId="16874" priority="2938" stopIfTrue="1">
      <formula>AND(Y139&gt;=91000,Y139&lt;=91999)</formula>
    </cfRule>
  </conditionalFormatting>
  <conditionalFormatting sqref="X139">
    <cfRule type="expression" dxfId="16873" priority="2917">
      <formula>AND(Y139&gt;=79001,Y139&lt;79900)</formula>
    </cfRule>
    <cfRule type="expression" dxfId="16872" priority="2918" stopIfTrue="1">
      <formula>AND(Y139&gt;=70101,Y139&lt;=70301)</formula>
    </cfRule>
    <cfRule type="expression" dxfId="16871" priority="2919" stopIfTrue="1">
      <formula>AND(Y139&gt;70000,Y139&lt;70004)</formula>
    </cfRule>
    <cfRule type="expression" dxfId="16870" priority="2920" stopIfTrue="1">
      <formula>AND(Y139&gt;=70010,Y139&lt;=76000)</formula>
    </cfRule>
    <cfRule type="expression" dxfId="16869" priority="2921">
      <formula>AND(Y139&gt;70000,Y139&lt;70004)</formula>
    </cfRule>
    <cfRule type="expression" dxfId="16868" priority="2922" stopIfTrue="1">
      <formula>OR(AND(Y139&gt;=10000,Y139&lt;=56999),AND(Y139&gt;=57000,Y139&lt;=57999))</formula>
    </cfRule>
    <cfRule type="expression" dxfId="16867" priority="2923" stopIfTrue="1">
      <formula>AND(Y139&gt;=8000,Y139&lt;=9999)</formula>
    </cfRule>
    <cfRule type="expression" dxfId="16866" priority="2924" stopIfTrue="1">
      <formula>AND(Y139&gt;=78100,Y139&lt;=78199)</formula>
    </cfRule>
    <cfRule type="expression" dxfId="16865" priority="2925" stopIfTrue="1">
      <formula>AND(Y139&gt;=92000,Y139&lt;=98999)</formula>
    </cfRule>
    <cfRule type="expression" dxfId="16864" priority="2926" stopIfTrue="1">
      <formula>AND(Y139&gt;=78100,Y139&lt;=78199)</formula>
    </cfRule>
    <cfRule type="expression" dxfId="16863" priority="2927" stopIfTrue="1">
      <formula>AND(Y139&gt;=91000,Y139&lt;=91999)</formula>
    </cfRule>
  </conditionalFormatting>
  <conditionalFormatting sqref="AB139">
    <cfRule type="expression" dxfId="16862" priority="2906">
      <formula>AND(AC139&gt;=79001,AC139&lt;79900)</formula>
    </cfRule>
    <cfRule type="expression" dxfId="16861" priority="2907" stopIfTrue="1">
      <formula>AND(AC139&gt;=70101,AC139&lt;=70301)</formula>
    </cfRule>
    <cfRule type="expression" dxfId="16860" priority="2908" stopIfTrue="1">
      <formula>AND(AC139&gt;70000,AC139&lt;70004)</formula>
    </cfRule>
    <cfRule type="expression" dxfId="16859" priority="2909" stopIfTrue="1">
      <formula>AND(AC139&gt;=70010,AC139&lt;=76000)</formula>
    </cfRule>
    <cfRule type="expression" dxfId="16858" priority="2910">
      <formula>AND(AC139&gt;70000,AC139&lt;70004)</formula>
    </cfRule>
    <cfRule type="expression" dxfId="16857" priority="2911" stopIfTrue="1">
      <formula>OR(AND(AC139&gt;=10000,AC139&lt;=56999),AND(AC139&gt;=57000,AC139&lt;=57999))</formula>
    </cfRule>
    <cfRule type="expression" dxfId="16856" priority="2912" stopIfTrue="1">
      <formula>AND(AC139&gt;=8000,AC139&lt;=9999)</formula>
    </cfRule>
    <cfRule type="expression" dxfId="16855" priority="2913" stopIfTrue="1">
      <formula>AND(AC139&gt;=78100,AC139&lt;=78199)</formula>
    </cfRule>
    <cfRule type="expression" dxfId="16854" priority="2914" stopIfTrue="1">
      <formula>AND(AC139&gt;=92000,AC139&lt;=98999)</formula>
    </cfRule>
    <cfRule type="expression" dxfId="16853" priority="2915" stopIfTrue="1">
      <formula>AND(AC139&gt;=78100,AC139&lt;=78199)</formula>
    </cfRule>
    <cfRule type="expression" dxfId="16852" priority="2916" stopIfTrue="1">
      <formula>AND(AC139&gt;=91000,AC139&lt;=91999)</formula>
    </cfRule>
  </conditionalFormatting>
  <conditionalFormatting sqref="AB139">
    <cfRule type="expression" dxfId="16851" priority="2895">
      <formula>AND(AC139&gt;=79001,AC139&lt;79900)</formula>
    </cfRule>
    <cfRule type="expression" dxfId="16850" priority="2896" stopIfTrue="1">
      <formula>AND(AC139&gt;=70101,AC139&lt;=70301)</formula>
    </cfRule>
    <cfRule type="expression" dxfId="16849" priority="2897" stopIfTrue="1">
      <formula>AND(AC139&gt;70000,AC139&lt;70004)</formula>
    </cfRule>
    <cfRule type="expression" dxfId="16848" priority="2898" stopIfTrue="1">
      <formula>AND(AC139&gt;=70010,AC139&lt;=76000)</formula>
    </cfRule>
    <cfRule type="expression" dxfId="16847" priority="2899">
      <formula>AND(AC139&gt;70000,AC139&lt;70004)</formula>
    </cfRule>
    <cfRule type="expression" dxfId="16846" priority="2900" stopIfTrue="1">
      <formula>OR(AND(AC139&gt;=10000,AC139&lt;=56999),AND(AC139&gt;=57000,AC139&lt;=57999))</formula>
    </cfRule>
    <cfRule type="expression" dxfId="16845" priority="2901" stopIfTrue="1">
      <formula>AND(AC139&gt;=8000,AC139&lt;=9999)</formula>
    </cfRule>
    <cfRule type="expression" dxfId="16844" priority="2902" stopIfTrue="1">
      <formula>AND(AC139&gt;=78100,AC139&lt;=78199)</formula>
    </cfRule>
    <cfRule type="expression" dxfId="16843" priority="2903" stopIfTrue="1">
      <formula>AND(AC139&gt;=92000,AC139&lt;=98999)</formula>
    </cfRule>
    <cfRule type="expression" dxfId="16842" priority="2904" stopIfTrue="1">
      <formula>AND(AC139&gt;=78100,AC139&lt;=78199)</formula>
    </cfRule>
    <cfRule type="expression" dxfId="16841" priority="2905" stopIfTrue="1">
      <formula>AND(AC139&gt;=91000,AC139&lt;=91999)</formula>
    </cfRule>
  </conditionalFormatting>
  <conditionalFormatting sqref="AB139">
    <cfRule type="expression" dxfId="16840" priority="2884">
      <formula>AND(AC139&gt;=79001,AC139&lt;79900)</formula>
    </cfRule>
    <cfRule type="expression" dxfId="16839" priority="2885" stopIfTrue="1">
      <formula>AND(AC139&gt;=70101,AC139&lt;=70301)</formula>
    </cfRule>
    <cfRule type="expression" dxfId="16838" priority="2886" stopIfTrue="1">
      <formula>AND(AC139&gt;70000,AC139&lt;70004)</formula>
    </cfRule>
    <cfRule type="expression" dxfId="16837" priority="2887" stopIfTrue="1">
      <formula>AND(AC139&gt;=70010,AC139&lt;=76000)</formula>
    </cfRule>
    <cfRule type="expression" dxfId="16836" priority="2888">
      <formula>AND(AC139&gt;70000,AC139&lt;70004)</formula>
    </cfRule>
    <cfRule type="expression" dxfId="16835" priority="2889" stopIfTrue="1">
      <formula>OR(AND(AC139&gt;=10000,AC139&lt;=56999),AND(AC139&gt;=57000,AC139&lt;=57999))</formula>
    </cfRule>
    <cfRule type="expression" dxfId="16834" priority="2890" stopIfTrue="1">
      <formula>AND(AC139&gt;=8000,AC139&lt;=9999)</formula>
    </cfRule>
    <cfRule type="expression" dxfId="16833" priority="2891" stopIfTrue="1">
      <formula>AND(AC139&gt;=78100,AC139&lt;=78199)</formula>
    </cfRule>
    <cfRule type="expression" dxfId="16832" priority="2892" stopIfTrue="1">
      <formula>AND(AC139&gt;=92000,AC139&lt;=98999)</formula>
    </cfRule>
    <cfRule type="expression" dxfId="16831" priority="2893" stopIfTrue="1">
      <formula>AND(AC139&gt;=78100,AC139&lt;=78199)</formula>
    </cfRule>
    <cfRule type="expression" dxfId="16830" priority="2894" stopIfTrue="1">
      <formula>AND(AC139&gt;=91000,AC139&lt;=91999)</formula>
    </cfRule>
  </conditionalFormatting>
  <conditionalFormatting sqref="AB139">
    <cfRule type="expression" dxfId="16829" priority="2873">
      <formula>AND(AC139&gt;=79001,AC139&lt;79900)</formula>
    </cfRule>
    <cfRule type="expression" dxfId="16828" priority="2874" stopIfTrue="1">
      <formula>AND(AC139&gt;=70101,AC139&lt;=70301)</formula>
    </cfRule>
    <cfRule type="expression" dxfId="16827" priority="2875" stopIfTrue="1">
      <formula>AND(AC139&gt;70000,AC139&lt;70004)</formula>
    </cfRule>
    <cfRule type="expression" dxfId="16826" priority="2876" stopIfTrue="1">
      <formula>AND(AC139&gt;=70010,AC139&lt;=76000)</formula>
    </cfRule>
    <cfRule type="expression" dxfId="16825" priority="2877">
      <formula>AND(AC139&gt;70000,AC139&lt;70004)</formula>
    </cfRule>
    <cfRule type="expression" dxfId="16824" priority="2878" stopIfTrue="1">
      <formula>OR(AND(AC139&gt;=10000,AC139&lt;=56999),AND(AC139&gt;=57000,AC139&lt;=57999))</formula>
    </cfRule>
    <cfRule type="expression" dxfId="16823" priority="2879" stopIfTrue="1">
      <formula>AND(AC139&gt;=8000,AC139&lt;=9999)</formula>
    </cfRule>
    <cfRule type="expression" dxfId="16822" priority="2880" stopIfTrue="1">
      <formula>AND(AC139&gt;=78100,AC139&lt;=78199)</formula>
    </cfRule>
    <cfRule type="expression" dxfId="16821" priority="2881" stopIfTrue="1">
      <formula>AND(AC139&gt;=92000,AC139&lt;=98999)</formula>
    </cfRule>
    <cfRule type="expression" dxfId="16820" priority="2882" stopIfTrue="1">
      <formula>AND(AC139&gt;=78100,AC139&lt;=78199)</formula>
    </cfRule>
    <cfRule type="expression" dxfId="16819" priority="2883" stopIfTrue="1">
      <formula>AND(AC139&gt;=91000,AC139&lt;=91999)</formula>
    </cfRule>
  </conditionalFormatting>
  <conditionalFormatting sqref="AF139">
    <cfRule type="expression" dxfId="16818" priority="2862">
      <formula>AND(AG139&gt;=79001,AG139&lt;79900)</formula>
    </cfRule>
    <cfRule type="expression" dxfId="16817" priority="2863" stopIfTrue="1">
      <formula>AND(AG139&gt;=70101,AG139&lt;=70301)</formula>
    </cfRule>
    <cfRule type="expression" dxfId="16816" priority="2864" stopIfTrue="1">
      <formula>AND(AG139&gt;70000,AG139&lt;70004)</formula>
    </cfRule>
    <cfRule type="expression" dxfId="16815" priority="2865" stopIfTrue="1">
      <formula>AND(AG139&gt;=70010,AG139&lt;=76000)</formula>
    </cfRule>
    <cfRule type="expression" dxfId="16814" priority="2866">
      <formula>AND(AG139&gt;70000,AG139&lt;70004)</formula>
    </cfRule>
    <cfRule type="expression" dxfId="16813" priority="2867" stopIfTrue="1">
      <formula>OR(AND(AG139&gt;=10000,AG139&lt;=56999),AND(AG139&gt;=57000,AG139&lt;=57999))</formula>
    </cfRule>
    <cfRule type="expression" dxfId="16812" priority="2868" stopIfTrue="1">
      <formula>AND(AG139&gt;=8000,AG139&lt;=9999)</formula>
    </cfRule>
    <cfRule type="expression" dxfId="16811" priority="2869" stopIfTrue="1">
      <formula>AND(AG139&gt;=78100,AG139&lt;=78199)</formula>
    </cfRule>
    <cfRule type="expression" dxfId="16810" priority="2870" stopIfTrue="1">
      <formula>AND(AG139&gt;=92000,AG139&lt;=98999)</formula>
    </cfRule>
    <cfRule type="expression" dxfId="16809" priority="2871" stopIfTrue="1">
      <formula>AND(AG139&gt;=78100,AG139&lt;=78199)</formula>
    </cfRule>
    <cfRule type="expression" dxfId="16808" priority="2872" stopIfTrue="1">
      <formula>AND(AG139&gt;=91000,AG139&lt;=91999)</formula>
    </cfRule>
  </conditionalFormatting>
  <conditionalFormatting sqref="AF139">
    <cfRule type="expression" dxfId="16807" priority="2851">
      <formula>AND(AG139&gt;=79001,AG139&lt;79900)</formula>
    </cfRule>
    <cfRule type="expression" dxfId="16806" priority="2852" stopIfTrue="1">
      <formula>AND(AG139&gt;=70101,AG139&lt;=70301)</formula>
    </cfRule>
    <cfRule type="expression" dxfId="16805" priority="2853" stopIfTrue="1">
      <formula>AND(AG139&gt;70000,AG139&lt;70004)</formula>
    </cfRule>
    <cfRule type="expression" dxfId="16804" priority="2854" stopIfTrue="1">
      <formula>AND(AG139&gt;=70010,AG139&lt;=76000)</formula>
    </cfRule>
    <cfRule type="expression" dxfId="16803" priority="2855">
      <formula>AND(AG139&gt;70000,AG139&lt;70004)</formula>
    </cfRule>
    <cfRule type="expression" dxfId="16802" priority="2856" stopIfTrue="1">
      <formula>OR(AND(AG139&gt;=10000,AG139&lt;=56999),AND(AG139&gt;=57000,AG139&lt;=57999))</formula>
    </cfRule>
    <cfRule type="expression" dxfId="16801" priority="2857" stopIfTrue="1">
      <formula>AND(AG139&gt;=8000,AG139&lt;=9999)</formula>
    </cfRule>
    <cfRule type="expression" dxfId="16800" priority="2858" stopIfTrue="1">
      <formula>AND(AG139&gt;=78100,AG139&lt;=78199)</formula>
    </cfRule>
    <cfRule type="expression" dxfId="16799" priority="2859" stopIfTrue="1">
      <formula>AND(AG139&gt;=92000,AG139&lt;=98999)</formula>
    </cfRule>
    <cfRule type="expression" dxfId="16798" priority="2860" stopIfTrue="1">
      <formula>AND(AG139&gt;=78100,AG139&lt;=78199)</formula>
    </cfRule>
    <cfRule type="expression" dxfId="16797" priority="2861" stopIfTrue="1">
      <formula>AND(AG139&gt;=91000,AG139&lt;=91999)</formula>
    </cfRule>
  </conditionalFormatting>
  <conditionalFormatting sqref="AF139">
    <cfRule type="expression" dxfId="16796" priority="2840">
      <formula>AND(AG139&gt;=79001,AG139&lt;79900)</formula>
    </cfRule>
    <cfRule type="expression" dxfId="16795" priority="2841" stopIfTrue="1">
      <formula>AND(AG139&gt;=70101,AG139&lt;=70301)</formula>
    </cfRule>
    <cfRule type="expression" dxfId="16794" priority="2842" stopIfTrue="1">
      <formula>AND(AG139&gt;70000,AG139&lt;70004)</formula>
    </cfRule>
    <cfRule type="expression" dxfId="16793" priority="2843" stopIfTrue="1">
      <formula>AND(AG139&gt;=70010,AG139&lt;=76000)</formula>
    </cfRule>
    <cfRule type="expression" dxfId="16792" priority="2844">
      <formula>AND(AG139&gt;70000,AG139&lt;70004)</formula>
    </cfRule>
    <cfRule type="expression" dxfId="16791" priority="2845" stopIfTrue="1">
      <formula>OR(AND(AG139&gt;=10000,AG139&lt;=56999),AND(AG139&gt;=57000,AG139&lt;=57999))</formula>
    </cfRule>
    <cfRule type="expression" dxfId="16790" priority="2846" stopIfTrue="1">
      <formula>AND(AG139&gt;=8000,AG139&lt;=9999)</formula>
    </cfRule>
    <cfRule type="expression" dxfId="16789" priority="2847" stopIfTrue="1">
      <formula>AND(AG139&gt;=78100,AG139&lt;=78199)</formula>
    </cfRule>
    <cfRule type="expression" dxfId="16788" priority="2848" stopIfTrue="1">
      <formula>AND(AG139&gt;=92000,AG139&lt;=98999)</formula>
    </cfRule>
    <cfRule type="expression" dxfId="16787" priority="2849" stopIfTrue="1">
      <formula>AND(AG139&gt;=78100,AG139&lt;=78199)</formula>
    </cfRule>
    <cfRule type="expression" dxfId="16786" priority="2850" stopIfTrue="1">
      <formula>AND(AG139&gt;=91000,AG139&lt;=91999)</formula>
    </cfRule>
  </conditionalFormatting>
  <conditionalFormatting sqref="AF139">
    <cfRule type="expression" dxfId="16785" priority="2829">
      <formula>AND(AG139&gt;=79001,AG139&lt;79900)</formula>
    </cfRule>
    <cfRule type="expression" dxfId="16784" priority="2830" stopIfTrue="1">
      <formula>AND(AG139&gt;=70101,AG139&lt;=70301)</formula>
    </cfRule>
    <cfRule type="expression" dxfId="16783" priority="2831" stopIfTrue="1">
      <formula>AND(AG139&gt;70000,AG139&lt;70004)</formula>
    </cfRule>
    <cfRule type="expression" dxfId="16782" priority="2832" stopIfTrue="1">
      <formula>AND(AG139&gt;=70010,AG139&lt;=76000)</formula>
    </cfRule>
    <cfRule type="expression" dxfId="16781" priority="2833">
      <formula>AND(AG139&gt;70000,AG139&lt;70004)</formula>
    </cfRule>
    <cfRule type="expression" dxfId="16780" priority="2834" stopIfTrue="1">
      <formula>OR(AND(AG139&gt;=10000,AG139&lt;=56999),AND(AG139&gt;=57000,AG139&lt;=57999))</formula>
    </cfRule>
    <cfRule type="expression" dxfId="16779" priority="2835" stopIfTrue="1">
      <formula>AND(AG139&gt;=8000,AG139&lt;=9999)</formula>
    </cfRule>
    <cfRule type="expression" dxfId="16778" priority="2836" stopIfTrue="1">
      <formula>AND(AG139&gt;=78100,AG139&lt;=78199)</formula>
    </cfRule>
    <cfRule type="expression" dxfId="16777" priority="2837" stopIfTrue="1">
      <formula>AND(AG139&gt;=92000,AG139&lt;=98999)</formula>
    </cfRule>
    <cfRule type="expression" dxfId="16776" priority="2838" stopIfTrue="1">
      <formula>AND(AG139&gt;=78100,AG139&lt;=78199)</formula>
    </cfRule>
    <cfRule type="expression" dxfId="16775" priority="2839" stopIfTrue="1">
      <formula>AND(AG139&gt;=91000,AG139&lt;=91999)</formula>
    </cfRule>
  </conditionalFormatting>
  <conditionalFormatting sqref="T142">
    <cfRule type="expression" dxfId="16774" priority="2818">
      <formula>AND(U142&gt;=79001,U142&lt;79900)</formula>
    </cfRule>
    <cfRule type="expression" dxfId="16773" priority="2819" stopIfTrue="1">
      <formula>AND(U142&gt;=70101,U142&lt;=70301)</formula>
    </cfRule>
    <cfRule type="expression" dxfId="16772" priority="2820" stopIfTrue="1">
      <formula>AND(U142&gt;70000,U142&lt;70004)</formula>
    </cfRule>
    <cfRule type="expression" dxfId="16771" priority="2821" stopIfTrue="1">
      <formula>AND(U142&gt;=70010,U142&lt;=76000)</formula>
    </cfRule>
    <cfRule type="expression" dxfId="16770" priority="2822">
      <formula>AND(U142&gt;70000,U142&lt;70004)</formula>
    </cfRule>
    <cfRule type="expression" dxfId="16769" priority="2823" stopIfTrue="1">
      <formula>OR(AND(U142&gt;=10000,U142&lt;=56999),AND(U142&gt;=57000,U142&lt;=57999))</formula>
    </cfRule>
    <cfRule type="expression" dxfId="16768" priority="2824" stopIfTrue="1">
      <formula>AND(U142&gt;=8000,U142&lt;=9999)</formula>
    </cfRule>
    <cfRule type="expression" dxfId="16767" priority="2825" stopIfTrue="1">
      <formula>AND(U142&gt;=78100,U142&lt;=78199)</formula>
    </cfRule>
    <cfRule type="expression" dxfId="16766" priority="2826" stopIfTrue="1">
      <formula>AND(U142&gt;=92000,U142&lt;=98999)</formula>
    </cfRule>
    <cfRule type="expression" dxfId="16765" priority="2827" stopIfTrue="1">
      <formula>AND(U142&gt;=78100,U142&lt;=78199)</formula>
    </cfRule>
    <cfRule type="expression" dxfId="16764" priority="2828" stopIfTrue="1">
      <formula>AND(U142&gt;=91000,U142&lt;=91999)</formula>
    </cfRule>
  </conditionalFormatting>
  <conditionalFormatting sqref="T142">
    <cfRule type="expression" dxfId="16763" priority="2807">
      <formula>AND(U142&gt;=79001,U142&lt;79900)</formula>
    </cfRule>
    <cfRule type="expression" dxfId="16762" priority="2808" stopIfTrue="1">
      <formula>AND(U142&gt;=70101,U142&lt;=70301)</formula>
    </cfRule>
    <cfRule type="expression" dxfId="16761" priority="2809" stopIfTrue="1">
      <formula>AND(U142&gt;70000,U142&lt;70004)</formula>
    </cfRule>
    <cfRule type="expression" dxfId="16760" priority="2810" stopIfTrue="1">
      <formula>AND(U142&gt;=70010,U142&lt;=76000)</formula>
    </cfRule>
    <cfRule type="expression" dxfId="16759" priority="2811">
      <formula>AND(U142&gt;70000,U142&lt;70004)</formula>
    </cfRule>
    <cfRule type="expression" dxfId="16758" priority="2812" stopIfTrue="1">
      <formula>OR(AND(U142&gt;=10000,U142&lt;=56999),AND(U142&gt;=57000,U142&lt;=57999))</formula>
    </cfRule>
    <cfRule type="expression" dxfId="16757" priority="2813" stopIfTrue="1">
      <formula>AND(U142&gt;=8000,U142&lt;=9999)</formula>
    </cfRule>
    <cfRule type="expression" dxfId="16756" priority="2814" stopIfTrue="1">
      <formula>AND(U142&gt;=78100,U142&lt;=78199)</formula>
    </cfRule>
    <cfRule type="expression" dxfId="16755" priority="2815" stopIfTrue="1">
      <formula>AND(U142&gt;=92000,U142&lt;=98999)</formula>
    </cfRule>
    <cfRule type="expression" dxfId="16754" priority="2816" stopIfTrue="1">
      <formula>AND(U142&gt;=78100,U142&lt;=78199)</formula>
    </cfRule>
    <cfRule type="expression" dxfId="16753" priority="2817" stopIfTrue="1">
      <formula>AND(U142&gt;=91000,U142&lt;=91999)</formula>
    </cfRule>
  </conditionalFormatting>
  <conditionalFormatting sqref="T142">
    <cfRule type="expression" dxfId="16752" priority="2796">
      <formula>AND(U142&gt;=79001,U142&lt;79900)</formula>
    </cfRule>
    <cfRule type="expression" dxfId="16751" priority="2797" stopIfTrue="1">
      <formula>AND(U142&gt;=70101,U142&lt;=70301)</formula>
    </cfRule>
    <cfRule type="expression" dxfId="16750" priority="2798" stopIfTrue="1">
      <formula>AND(U142&gt;70000,U142&lt;70004)</formula>
    </cfRule>
    <cfRule type="expression" dxfId="16749" priority="2799" stopIfTrue="1">
      <formula>AND(U142&gt;=70010,U142&lt;=76000)</formula>
    </cfRule>
    <cfRule type="expression" dxfId="16748" priority="2800">
      <formula>AND(U142&gt;70000,U142&lt;70004)</formula>
    </cfRule>
    <cfRule type="expression" dxfId="16747" priority="2801" stopIfTrue="1">
      <formula>OR(AND(U142&gt;=10000,U142&lt;=56999),AND(U142&gt;=57000,U142&lt;=57999))</formula>
    </cfRule>
    <cfRule type="expression" dxfId="16746" priority="2802" stopIfTrue="1">
      <formula>AND(U142&gt;=8000,U142&lt;=9999)</formula>
    </cfRule>
    <cfRule type="expression" dxfId="16745" priority="2803" stopIfTrue="1">
      <formula>AND(U142&gt;=78100,U142&lt;=78199)</formula>
    </cfRule>
    <cfRule type="expression" dxfId="16744" priority="2804" stopIfTrue="1">
      <formula>AND(U142&gt;=92000,U142&lt;=98999)</formula>
    </cfRule>
    <cfRule type="expression" dxfId="16743" priority="2805" stopIfTrue="1">
      <formula>AND(U142&gt;=78100,U142&lt;=78199)</formula>
    </cfRule>
    <cfRule type="expression" dxfId="16742" priority="2806" stopIfTrue="1">
      <formula>AND(U142&gt;=91000,U142&lt;=91999)</formula>
    </cfRule>
  </conditionalFormatting>
  <conditionalFormatting sqref="T142">
    <cfRule type="expression" dxfId="16741" priority="2785">
      <formula>AND(U142&gt;=79001,U142&lt;79900)</formula>
    </cfRule>
    <cfRule type="expression" dxfId="16740" priority="2786" stopIfTrue="1">
      <formula>AND(U142&gt;=70101,U142&lt;=70301)</formula>
    </cfRule>
    <cfRule type="expression" dxfId="16739" priority="2787" stopIfTrue="1">
      <formula>AND(U142&gt;70000,U142&lt;70004)</formula>
    </cfRule>
    <cfRule type="expression" dxfId="16738" priority="2788" stopIfTrue="1">
      <formula>AND(U142&gt;=70010,U142&lt;=76000)</formula>
    </cfRule>
    <cfRule type="expression" dxfId="16737" priority="2789">
      <formula>AND(U142&gt;70000,U142&lt;70004)</formula>
    </cfRule>
    <cfRule type="expression" dxfId="16736" priority="2790" stopIfTrue="1">
      <formula>OR(AND(U142&gt;=10000,U142&lt;=56999),AND(U142&gt;=57000,U142&lt;=57999))</formula>
    </cfRule>
    <cfRule type="expression" dxfId="16735" priority="2791" stopIfTrue="1">
      <formula>AND(U142&gt;=8000,U142&lt;=9999)</formula>
    </cfRule>
    <cfRule type="expression" dxfId="16734" priority="2792" stopIfTrue="1">
      <formula>AND(U142&gt;=78100,U142&lt;=78199)</formula>
    </cfRule>
    <cfRule type="expression" dxfId="16733" priority="2793" stopIfTrue="1">
      <formula>AND(U142&gt;=92000,U142&lt;=98999)</formula>
    </cfRule>
    <cfRule type="expression" dxfId="16732" priority="2794" stopIfTrue="1">
      <formula>AND(U142&gt;=78100,U142&lt;=78199)</formula>
    </cfRule>
    <cfRule type="expression" dxfId="16731" priority="2795" stopIfTrue="1">
      <formula>AND(U142&gt;=91000,U142&lt;=91999)</formula>
    </cfRule>
  </conditionalFormatting>
  <conditionalFormatting sqref="X142">
    <cfRule type="expression" dxfId="16730" priority="2774">
      <formula>AND(Y142&gt;=79001,Y142&lt;79900)</formula>
    </cfRule>
    <cfRule type="expression" dxfId="16729" priority="2775" stopIfTrue="1">
      <formula>AND(Y142&gt;=70101,Y142&lt;=70301)</formula>
    </cfRule>
    <cfRule type="expression" dxfId="16728" priority="2776" stopIfTrue="1">
      <formula>AND(Y142&gt;70000,Y142&lt;70004)</formula>
    </cfRule>
    <cfRule type="expression" dxfId="16727" priority="2777" stopIfTrue="1">
      <formula>AND(Y142&gt;=70010,Y142&lt;=76000)</formula>
    </cfRule>
    <cfRule type="expression" dxfId="16726" priority="2778">
      <formula>AND(Y142&gt;70000,Y142&lt;70004)</formula>
    </cfRule>
    <cfRule type="expression" dxfId="16725" priority="2779" stopIfTrue="1">
      <formula>OR(AND(Y142&gt;=10000,Y142&lt;=56999),AND(Y142&gt;=57000,Y142&lt;=57999))</formula>
    </cfRule>
    <cfRule type="expression" dxfId="16724" priority="2780" stopIfTrue="1">
      <formula>AND(Y142&gt;=8000,Y142&lt;=9999)</formula>
    </cfRule>
    <cfRule type="expression" dxfId="16723" priority="2781" stopIfTrue="1">
      <formula>AND(Y142&gt;=78100,Y142&lt;=78199)</formula>
    </cfRule>
    <cfRule type="expression" dxfId="16722" priority="2782" stopIfTrue="1">
      <formula>AND(Y142&gt;=92000,Y142&lt;=98999)</formula>
    </cfRule>
    <cfRule type="expression" dxfId="16721" priority="2783" stopIfTrue="1">
      <formula>AND(Y142&gt;=78100,Y142&lt;=78199)</formula>
    </cfRule>
    <cfRule type="expression" dxfId="16720" priority="2784" stopIfTrue="1">
      <formula>AND(Y142&gt;=91000,Y142&lt;=91999)</formula>
    </cfRule>
  </conditionalFormatting>
  <conditionalFormatting sqref="X142">
    <cfRule type="expression" dxfId="16719" priority="2763">
      <formula>AND(Y142&gt;=79001,Y142&lt;79900)</formula>
    </cfRule>
    <cfRule type="expression" dxfId="16718" priority="2764" stopIfTrue="1">
      <formula>AND(Y142&gt;=70101,Y142&lt;=70301)</formula>
    </cfRule>
    <cfRule type="expression" dxfId="16717" priority="2765" stopIfTrue="1">
      <formula>AND(Y142&gt;70000,Y142&lt;70004)</formula>
    </cfRule>
    <cfRule type="expression" dxfId="16716" priority="2766" stopIfTrue="1">
      <formula>AND(Y142&gt;=70010,Y142&lt;=76000)</formula>
    </cfRule>
    <cfRule type="expression" dxfId="16715" priority="2767">
      <formula>AND(Y142&gt;70000,Y142&lt;70004)</formula>
    </cfRule>
    <cfRule type="expression" dxfId="16714" priority="2768" stopIfTrue="1">
      <formula>OR(AND(Y142&gt;=10000,Y142&lt;=56999),AND(Y142&gt;=57000,Y142&lt;=57999))</formula>
    </cfRule>
    <cfRule type="expression" dxfId="16713" priority="2769" stopIfTrue="1">
      <formula>AND(Y142&gt;=8000,Y142&lt;=9999)</formula>
    </cfRule>
    <cfRule type="expression" dxfId="16712" priority="2770" stopIfTrue="1">
      <formula>AND(Y142&gt;=78100,Y142&lt;=78199)</formula>
    </cfRule>
    <cfRule type="expression" dxfId="16711" priority="2771" stopIfTrue="1">
      <formula>AND(Y142&gt;=92000,Y142&lt;=98999)</formula>
    </cfRule>
    <cfRule type="expression" dxfId="16710" priority="2772" stopIfTrue="1">
      <formula>AND(Y142&gt;=78100,Y142&lt;=78199)</formula>
    </cfRule>
    <cfRule type="expression" dxfId="16709" priority="2773" stopIfTrue="1">
      <formula>AND(Y142&gt;=91000,Y142&lt;=91999)</formula>
    </cfRule>
  </conditionalFormatting>
  <conditionalFormatting sqref="X142">
    <cfRule type="expression" dxfId="16708" priority="2752">
      <formula>AND(Y142&gt;=79001,Y142&lt;79900)</formula>
    </cfRule>
    <cfRule type="expression" dxfId="16707" priority="2753" stopIfTrue="1">
      <formula>AND(Y142&gt;=70101,Y142&lt;=70301)</formula>
    </cfRule>
    <cfRule type="expression" dxfId="16706" priority="2754" stopIfTrue="1">
      <formula>AND(Y142&gt;70000,Y142&lt;70004)</formula>
    </cfRule>
    <cfRule type="expression" dxfId="16705" priority="2755" stopIfTrue="1">
      <formula>AND(Y142&gt;=70010,Y142&lt;=76000)</formula>
    </cfRule>
    <cfRule type="expression" dxfId="16704" priority="2756">
      <formula>AND(Y142&gt;70000,Y142&lt;70004)</formula>
    </cfRule>
    <cfRule type="expression" dxfId="16703" priority="2757" stopIfTrue="1">
      <formula>OR(AND(Y142&gt;=10000,Y142&lt;=56999),AND(Y142&gt;=57000,Y142&lt;=57999))</formula>
    </cfRule>
    <cfRule type="expression" dxfId="16702" priority="2758" stopIfTrue="1">
      <formula>AND(Y142&gt;=8000,Y142&lt;=9999)</formula>
    </cfRule>
    <cfRule type="expression" dxfId="16701" priority="2759" stopIfTrue="1">
      <formula>AND(Y142&gt;=78100,Y142&lt;=78199)</formula>
    </cfRule>
    <cfRule type="expression" dxfId="16700" priority="2760" stopIfTrue="1">
      <formula>AND(Y142&gt;=92000,Y142&lt;=98999)</formula>
    </cfRule>
    <cfRule type="expression" dxfId="16699" priority="2761" stopIfTrue="1">
      <formula>AND(Y142&gt;=78100,Y142&lt;=78199)</formula>
    </cfRule>
    <cfRule type="expression" dxfId="16698" priority="2762" stopIfTrue="1">
      <formula>AND(Y142&gt;=91000,Y142&lt;=91999)</formula>
    </cfRule>
  </conditionalFormatting>
  <conditionalFormatting sqref="X142">
    <cfRule type="expression" dxfId="16697" priority="2741">
      <formula>AND(Y142&gt;=79001,Y142&lt;79900)</formula>
    </cfRule>
    <cfRule type="expression" dxfId="16696" priority="2742" stopIfTrue="1">
      <formula>AND(Y142&gt;=70101,Y142&lt;=70301)</formula>
    </cfRule>
    <cfRule type="expression" dxfId="16695" priority="2743" stopIfTrue="1">
      <formula>AND(Y142&gt;70000,Y142&lt;70004)</formula>
    </cfRule>
    <cfRule type="expression" dxfId="16694" priority="2744" stopIfTrue="1">
      <formula>AND(Y142&gt;=70010,Y142&lt;=76000)</formula>
    </cfRule>
    <cfRule type="expression" dxfId="16693" priority="2745">
      <formula>AND(Y142&gt;70000,Y142&lt;70004)</formula>
    </cfRule>
    <cfRule type="expression" dxfId="16692" priority="2746" stopIfTrue="1">
      <formula>OR(AND(Y142&gt;=10000,Y142&lt;=56999),AND(Y142&gt;=57000,Y142&lt;=57999))</formula>
    </cfRule>
    <cfRule type="expression" dxfId="16691" priority="2747" stopIfTrue="1">
      <formula>AND(Y142&gt;=8000,Y142&lt;=9999)</formula>
    </cfRule>
    <cfRule type="expression" dxfId="16690" priority="2748" stopIfTrue="1">
      <formula>AND(Y142&gt;=78100,Y142&lt;=78199)</formula>
    </cfRule>
    <cfRule type="expression" dxfId="16689" priority="2749" stopIfTrue="1">
      <formula>AND(Y142&gt;=92000,Y142&lt;=98999)</formula>
    </cfRule>
    <cfRule type="expression" dxfId="16688" priority="2750" stopIfTrue="1">
      <formula>AND(Y142&gt;=78100,Y142&lt;=78199)</formula>
    </cfRule>
    <cfRule type="expression" dxfId="16687" priority="2751" stopIfTrue="1">
      <formula>AND(Y142&gt;=91000,Y142&lt;=91999)</formula>
    </cfRule>
  </conditionalFormatting>
  <conditionalFormatting sqref="AB142">
    <cfRule type="expression" dxfId="16686" priority="2730">
      <formula>AND(AC142&gt;=79001,AC142&lt;79900)</formula>
    </cfRule>
    <cfRule type="expression" dxfId="16685" priority="2731" stopIfTrue="1">
      <formula>AND(AC142&gt;=70101,AC142&lt;=70301)</formula>
    </cfRule>
    <cfRule type="expression" dxfId="16684" priority="2732" stopIfTrue="1">
      <formula>AND(AC142&gt;70000,AC142&lt;70004)</formula>
    </cfRule>
    <cfRule type="expression" dxfId="16683" priority="2733" stopIfTrue="1">
      <formula>AND(AC142&gt;=70010,AC142&lt;=76000)</formula>
    </cfRule>
    <cfRule type="expression" dxfId="16682" priority="2734">
      <formula>AND(AC142&gt;70000,AC142&lt;70004)</formula>
    </cfRule>
    <cfRule type="expression" dxfId="16681" priority="2735" stopIfTrue="1">
      <formula>OR(AND(AC142&gt;=10000,AC142&lt;=56999),AND(AC142&gt;=57000,AC142&lt;=57999))</formula>
    </cfRule>
    <cfRule type="expression" dxfId="16680" priority="2736" stopIfTrue="1">
      <formula>AND(AC142&gt;=8000,AC142&lt;=9999)</formula>
    </cfRule>
    <cfRule type="expression" dxfId="16679" priority="2737" stopIfTrue="1">
      <formula>AND(AC142&gt;=78100,AC142&lt;=78199)</formula>
    </cfRule>
    <cfRule type="expression" dxfId="16678" priority="2738" stopIfTrue="1">
      <formula>AND(AC142&gt;=92000,AC142&lt;=98999)</formula>
    </cfRule>
    <cfRule type="expression" dxfId="16677" priority="2739" stopIfTrue="1">
      <formula>AND(AC142&gt;=78100,AC142&lt;=78199)</formula>
    </cfRule>
    <cfRule type="expression" dxfId="16676" priority="2740" stopIfTrue="1">
      <formula>AND(AC142&gt;=91000,AC142&lt;=91999)</formula>
    </cfRule>
  </conditionalFormatting>
  <conditionalFormatting sqref="AB142">
    <cfRule type="expression" dxfId="16675" priority="2719">
      <formula>AND(AC142&gt;=79001,AC142&lt;79900)</formula>
    </cfRule>
    <cfRule type="expression" dxfId="16674" priority="2720" stopIfTrue="1">
      <formula>AND(AC142&gt;=70101,AC142&lt;=70301)</formula>
    </cfRule>
    <cfRule type="expression" dxfId="16673" priority="2721" stopIfTrue="1">
      <formula>AND(AC142&gt;70000,AC142&lt;70004)</formula>
    </cfRule>
    <cfRule type="expression" dxfId="16672" priority="2722" stopIfTrue="1">
      <formula>AND(AC142&gt;=70010,AC142&lt;=76000)</formula>
    </cfRule>
    <cfRule type="expression" dxfId="16671" priority="2723">
      <formula>AND(AC142&gt;70000,AC142&lt;70004)</formula>
    </cfRule>
    <cfRule type="expression" dxfId="16670" priority="2724" stopIfTrue="1">
      <formula>OR(AND(AC142&gt;=10000,AC142&lt;=56999),AND(AC142&gt;=57000,AC142&lt;=57999))</formula>
    </cfRule>
    <cfRule type="expression" dxfId="16669" priority="2725" stopIfTrue="1">
      <formula>AND(AC142&gt;=8000,AC142&lt;=9999)</formula>
    </cfRule>
    <cfRule type="expression" dxfId="16668" priority="2726" stopIfTrue="1">
      <formula>AND(AC142&gt;=78100,AC142&lt;=78199)</formula>
    </cfRule>
    <cfRule type="expression" dxfId="16667" priority="2727" stopIfTrue="1">
      <formula>AND(AC142&gt;=92000,AC142&lt;=98999)</formula>
    </cfRule>
    <cfRule type="expression" dxfId="16666" priority="2728" stopIfTrue="1">
      <formula>AND(AC142&gt;=78100,AC142&lt;=78199)</formula>
    </cfRule>
    <cfRule type="expression" dxfId="16665" priority="2729" stopIfTrue="1">
      <formula>AND(AC142&gt;=91000,AC142&lt;=91999)</formula>
    </cfRule>
  </conditionalFormatting>
  <conditionalFormatting sqref="AB142">
    <cfRule type="expression" dxfId="16664" priority="2708">
      <formula>AND(AC142&gt;=79001,AC142&lt;79900)</formula>
    </cfRule>
    <cfRule type="expression" dxfId="16663" priority="2709" stopIfTrue="1">
      <formula>AND(AC142&gt;=70101,AC142&lt;=70301)</formula>
    </cfRule>
    <cfRule type="expression" dxfId="16662" priority="2710" stopIfTrue="1">
      <formula>AND(AC142&gt;70000,AC142&lt;70004)</formula>
    </cfRule>
    <cfRule type="expression" dxfId="16661" priority="2711" stopIfTrue="1">
      <formula>AND(AC142&gt;=70010,AC142&lt;=76000)</formula>
    </cfRule>
    <cfRule type="expression" dxfId="16660" priority="2712">
      <formula>AND(AC142&gt;70000,AC142&lt;70004)</formula>
    </cfRule>
    <cfRule type="expression" dxfId="16659" priority="2713" stopIfTrue="1">
      <formula>OR(AND(AC142&gt;=10000,AC142&lt;=56999),AND(AC142&gt;=57000,AC142&lt;=57999))</formula>
    </cfRule>
    <cfRule type="expression" dxfId="16658" priority="2714" stopIfTrue="1">
      <formula>AND(AC142&gt;=8000,AC142&lt;=9999)</formula>
    </cfRule>
    <cfRule type="expression" dxfId="16657" priority="2715" stopIfTrue="1">
      <formula>AND(AC142&gt;=78100,AC142&lt;=78199)</formula>
    </cfRule>
    <cfRule type="expression" dxfId="16656" priority="2716" stopIfTrue="1">
      <formula>AND(AC142&gt;=92000,AC142&lt;=98999)</formula>
    </cfRule>
    <cfRule type="expression" dxfId="16655" priority="2717" stopIfTrue="1">
      <formula>AND(AC142&gt;=78100,AC142&lt;=78199)</formula>
    </cfRule>
    <cfRule type="expression" dxfId="16654" priority="2718" stopIfTrue="1">
      <formula>AND(AC142&gt;=91000,AC142&lt;=91999)</formula>
    </cfRule>
  </conditionalFormatting>
  <conditionalFormatting sqref="AB142">
    <cfRule type="expression" dxfId="16653" priority="2697">
      <formula>AND(AC142&gt;=79001,AC142&lt;79900)</formula>
    </cfRule>
    <cfRule type="expression" dxfId="16652" priority="2698" stopIfTrue="1">
      <formula>AND(AC142&gt;=70101,AC142&lt;=70301)</formula>
    </cfRule>
    <cfRule type="expression" dxfId="16651" priority="2699" stopIfTrue="1">
      <formula>AND(AC142&gt;70000,AC142&lt;70004)</formula>
    </cfRule>
    <cfRule type="expression" dxfId="16650" priority="2700" stopIfTrue="1">
      <formula>AND(AC142&gt;=70010,AC142&lt;=76000)</formula>
    </cfRule>
    <cfRule type="expression" dxfId="16649" priority="2701">
      <formula>AND(AC142&gt;70000,AC142&lt;70004)</formula>
    </cfRule>
    <cfRule type="expression" dxfId="16648" priority="2702" stopIfTrue="1">
      <formula>OR(AND(AC142&gt;=10000,AC142&lt;=56999),AND(AC142&gt;=57000,AC142&lt;=57999))</formula>
    </cfRule>
    <cfRule type="expression" dxfId="16647" priority="2703" stopIfTrue="1">
      <formula>AND(AC142&gt;=8000,AC142&lt;=9999)</formula>
    </cfRule>
    <cfRule type="expression" dxfId="16646" priority="2704" stopIfTrue="1">
      <formula>AND(AC142&gt;=78100,AC142&lt;=78199)</formula>
    </cfRule>
    <cfRule type="expression" dxfId="16645" priority="2705" stopIfTrue="1">
      <formula>AND(AC142&gt;=92000,AC142&lt;=98999)</formula>
    </cfRule>
    <cfRule type="expression" dxfId="16644" priority="2706" stopIfTrue="1">
      <formula>AND(AC142&gt;=78100,AC142&lt;=78199)</formula>
    </cfRule>
    <cfRule type="expression" dxfId="16643" priority="2707" stopIfTrue="1">
      <formula>AND(AC142&gt;=91000,AC142&lt;=91999)</formula>
    </cfRule>
  </conditionalFormatting>
  <conditionalFormatting sqref="AF142">
    <cfRule type="expression" dxfId="16642" priority="2686">
      <formula>AND(AG142&gt;=79001,AG142&lt;79900)</formula>
    </cfRule>
    <cfRule type="expression" dxfId="16641" priority="2687" stopIfTrue="1">
      <formula>AND(AG142&gt;=70101,AG142&lt;=70301)</formula>
    </cfRule>
    <cfRule type="expression" dxfId="16640" priority="2688" stopIfTrue="1">
      <formula>AND(AG142&gt;70000,AG142&lt;70004)</formula>
    </cfRule>
    <cfRule type="expression" dxfId="16639" priority="2689" stopIfTrue="1">
      <formula>AND(AG142&gt;=70010,AG142&lt;=76000)</formula>
    </cfRule>
    <cfRule type="expression" dxfId="16638" priority="2690">
      <formula>AND(AG142&gt;70000,AG142&lt;70004)</formula>
    </cfRule>
    <cfRule type="expression" dxfId="16637" priority="2691" stopIfTrue="1">
      <formula>OR(AND(AG142&gt;=10000,AG142&lt;=56999),AND(AG142&gt;=57000,AG142&lt;=57999))</formula>
    </cfRule>
    <cfRule type="expression" dxfId="16636" priority="2692" stopIfTrue="1">
      <formula>AND(AG142&gt;=8000,AG142&lt;=9999)</formula>
    </cfRule>
    <cfRule type="expression" dxfId="16635" priority="2693" stopIfTrue="1">
      <formula>AND(AG142&gt;=78100,AG142&lt;=78199)</formula>
    </cfRule>
    <cfRule type="expression" dxfId="16634" priority="2694" stopIfTrue="1">
      <formula>AND(AG142&gt;=92000,AG142&lt;=98999)</formula>
    </cfRule>
    <cfRule type="expression" dxfId="16633" priority="2695" stopIfTrue="1">
      <formula>AND(AG142&gt;=78100,AG142&lt;=78199)</formula>
    </cfRule>
    <cfRule type="expression" dxfId="16632" priority="2696" stopIfTrue="1">
      <formula>AND(AG142&gt;=91000,AG142&lt;=91999)</formula>
    </cfRule>
  </conditionalFormatting>
  <conditionalFormatting sqref="AF142">
    <cfRule type="expression" dxfId="16631" priority="2675">
      <formula>AND(AG142&gt;=79001,AG142&lt;79900)</formula>
    </cfRule>
    <cfRule type="expression" dxfId="16630" priority="2676" stopIfTrue="1">
      <formula>AND(AG142&gt;=70101,AG142&lt;=70301)</formula>
    </cfRule>
    <cfRule type="expression" dxfId="16629" priority="2677" stopIfTrue="1">
      <formula>AND(AG142&gt;70000,AG142&lt;70004)</formula>
    </cfRule>
    <cfRule type="expression" dxfId="16628" priority="2678" stopIfTrue="1">
      <formula>AND(AG142&gt;=70010,AG142&lt;=76000)</formula>
    </cfRule>
    <cfRule type="expression" dxfId="16627" priority="2679">
      <formula>AND(AG142&gt;70000,AG142&lt;70004)</formula>
    </cfRule>
    <cfRule type="expression" dxfId="16626" priority="2680" stopIfTrue="1">
      <formula>OR(AND(AG142&gt;=10000,AG142&lt;=56999),AND(AG142&gt;=57000,AG142&lt;=57999))</formula>
    </cfRule>
    <cfRule type="expression" dxfId="16625" priority="2681" stopIfTrue="1">
      <formula>AND(AG142&gt;=8000,AG142&lt;=9999)</formula>
    </cfRule>
    <cfRule type="expression" dxfId="16624" priority="2682" stopIfTrue="1">
      <formula>AND(AG142&gt;=78100,AG142&lt;=78199)</formula>
    </cfRule>
    <cfRule type="expression" dxfId="16623" priority="2683" stopIfTrue="1">
      <formula>AND(AG142&gt;=92000,AG142&lt;=98999)</formula>
    </cfRule>
    <cfRule type="expression" dxfId="16622" priority="2684" stopIfTrue="1">
      <formula>AND(AG142&gt;=78100,AG142&lt;=78199)</formula>
    </cfRule>
    <cfRule type="expression" dxfId="16621" priority="2685" stopIfTrue="1">
      <formula>AND(AG142&gt;=91000,AG142&lt;=91999)</formula>
    </cfRule>
  </conditionalFormatting>
  <conditionalFormatting sqref="AF142">
    <cfRule type="expression" dxfId="16620" priority="2664">
      <formula>AND(AG142&gt;=79001,AG142&lt;79900)</formula>
    </cfRule>
    <cfRule type="expression" dxfId="16619" priority="2665" stopIfTrue="1">
      <formula>AND(AG142&gt;=70101,AG142&lt;=70301)</formula>
    </cfRule>
    <cfRule type="expression" dxfId="16618" priority="2666" stopIfTrue="1">
      <formula>AND(AG142&gt;70000,AG142&lt;70004)</formula>
    </cfRule>
    <cfRule type="expression" dxfId="16617" priority="2667" stopIfTrue="1">
      <formula>AND(AG142&gt;=70010,AG142&lt;=76000)</formula>
    </cfRule>
    <cfRule type="expression" dxfId="16616" priority="2668">
      <formula>AND(AG142&gt;70000,AG142&lt;70004)</formula>
    </cfRule>
    <cfRule type="expression" dxfId="16615" priority="2669" stopIfTrue="1">
      <formula>OR(AND(AG142&gt;=10000,AG142&lt;=56999),AND(AG142&gt;=57000,AG142&lt;=57999))</formula>
    </cfRule>
    <cfRule type="expression" dxfId="16614" priority="2670" stopIfTrue="1">
      <formula>AND(AG142&gt;=8000,AG142&lt;=9999)</formula>
    </cfRule>
    <cfRule type="expression" dxfId="16613" priority="2671" stopIfTrue="1">
      <formula>AND(AG142&gt;=78100,AG142&lt;=78199)</formula>
    </cfRule>
    <cfRule type="expression" dxfId="16612" priority="2672" stopIfTrue="1">
      <formula>AND(AG142&gt;=92000,AG142&lt;=98999)</formula>
    </cfRule>
    <cfRule type="expression" dxfId="16611" priority="2673" stopIfTrue="1">
      <formula>AND(AG142&gt;=78100,AG142&lt;=78199)</formula>
    </cfRule>
    <cfRule type="expression" dxfId="16610" priority="2674" stopIfTrue="1">
      <formula>AND(AG142&gt;=91000,AG142&lt;=91999)</formula>
    </cfRule>
  </conditionalFormatting>
  <conditionalFormatting sqref="AF142">
    <cfRule type="expression" dxfId="16609" priority="2653">
      <formula>AND(AG142&gt;=79001,AG142&lt;79900)</formula>
    </cfRule>
    <cfRule type="expression" dxfId="16608" priority="2654" stopIfTrue="1">
      <formula>AND(AG142&gt;=70101,AG142&lt;=70301)</formula>
    </cfRule>
    <cfRule type="expression" dxfId="16607" priority="2655" stopIfTrue="1">
      <formula>AND(AG142&gt;70000,AG142&lt;70004)</formula>
    </cfRule>
    <cfRule type="expression" dxfId="16606" priority="2656" stopIfTrue="1">
      <formula>AND(AG142&gt;=70010,AG142&lt;=76000)</formula>
    </cfRule>
    <cfRule type="expression" dxfId="16605" priority="2657">
      <formula>AND(AG142&gt;70000,AG142&lt;70004)</formula>
    </cfRule>
    <cfRule type="expression" dxfId="16604" priority="2658" stopIfTrue="1">
      <formula>OR(AND(AG142&gt;=10000,AG142&lt;=56999),AND(AG142&gt;=57000,AG142&lt;=57999))</formula>
    </cfRule>
    <cfRule type="expression" dxfId="16603" priority="2659" stopIfTrue="1">
      <formula>AND(AG142&gt;=8000,AG142&lt;=9999)</formula>
    </cfRule>
    <cfRule type="expression" dxfId="16602" priority="2660" stopIfTrue="1">
      <formula>AND(AG142&gt;=78100,AG142&lt;=78199)</formula>
    </cfRule>
    <cfRule type="expression" dxfId="16601" priority="2661" stopIfTrue="1">
      <formula>AND(AG142&gt;=92000,AG142&lt;=98999)</formula>
    </cfRule>
    <cfRule type="expression" dxfId="16600" priority="2662" stopIfTrue="1">
      <formula>AND(AG142&gt;=78100,AG142&lt;=78199)</formula>
    </cfRule>
    <cfRule type="expression" dxfId="16599" priority="2663" stopIfTrue="1">
      <formula>AND(AG142&gt;=91000,AG142&lt;=91999)</formula>
    </cfRule>
  </conditionalFormatting>
  <conditionalFormatting sqref="T145">
    <cfRule type="expression" dxfId="16598" priority="2642">
      <formula>AND(U145&gt;=79001,U145&lt;79900)</formula>
    </cfRule>
    <cfRule type="expression" dxfId="16597" priority="2643" stopIfTrue="1">
      <formula>AND(U145&gt;=70101,U145&lt;=70301)</formula>
    </cfRule>
    <cfRule type="expression" dxfId="16596" priority="2644" stopIfTrue="1">
      <formula>AND(U145&gt;70000,U145&lt;70004)</formula>
    </cfRule>
    <cfRule type="expression" dxfId="16595" priority="2645" stopIfTrue="1">
      <formula>AND(U145&gt;=70010,U145&lt;=76000)</formula>
    </cfRule>
    <cfRule type="expression" dxfId="16594" priority="2646">
      <formula>AND(U145&gt;70000,U145&lt;70004)</formula>
    </cfRule>
    <cfRule type="expression" dxfId="16593" priority="2647" stopIfTrue="1">
      <formula>OR(AND(U145&gt;=10000,U145&lt;=56999),AND(U145&gt;=57000,U145&lt;=57999))</formula>
    </cfRule>
    <cfRule type="expression" dxfId="16592" priority="2648" stopIfTrue="1">
      <formula>AND(U145&gt;=8000,U145&lt;=9999)</formula>
    </cfRule>
    <cfRule type="expression" dxfId="16591" priority="2649" stopIfTrue="1">
      <formula>AND(U145&gt;=78100,U145&lt;=78199)</formula>
    </cfRule>
    <cfRule type="expression" dxfId="16590" priority="2650" stopIfTrue="1">
      <formula>AND(U145&gt;=92000,U145&lt;=98999)</formula>
    </cfRule>
    <cfRule type="expression" dxfId="16589" priority="2651" stopIfTrue="1">
      <formula>AND(U145&gt;=78100,U145&lt;=78199)</formula>
    </cfRule>
    <cfRule type="expression" dxfId="16588" priority="2652" stopIfTrue="1">
      <formula>AND(U145&gt;=91000,U145&lt;=91999)</formula>
    </cfRule>
  </conditionalFormatting>
  <conditionalFormatting sqref="T145">
    <cfRule type="expression" dxfId="16587" priority="2631">
      <formula>AND(U145&gt;=79001,U145&lt;79900)</formula>
    </cfRule>
    <cfRule type="expression" dxfId="16586" priority="2632" stopIfTrue="1">
      <formula>AND(U145&gt;=70101,U145&lt;=70301)</formula>
    </cfRule>
    <cfRule type="expression" dxfId="16585" priority="2633" stopIfTrue="1">
      <formula>AND(U145&gt;70000,U145&lt;70004)</formula>
    </cfRule>
    <cfRule type="expression" dxfId="16584" priority="2634" stopIfTrue="1">
      <formula>AND(U145&gt;=70010,U145&lt;=76000)</formula>
    </cfRule>
    <cfRule type="expression" dxfId="16583" priority="2635">
      <formula>AND(U145&gt;70000,U145&lt;70004)</formula>
    </cfRule>
    <cfRule type="expression" dxfId="16582" priority="2636" stopIfTrue="1">
      <formula>OR(AND(U145&gt;=10000,U145&lt;=56999),AND(U145&gt;=57000,U145&lt;=57999))</formula>
    </cfRule>
    <cfRule type="expression" dxfId="16581" priority="2637" stopIfTrue="1">
      <formula>AND(U145&gt;=8000,U145&lt;=9999)</formula>
    </cfRule>
    <cfRule type="expression" dxfId="16580" priority="2638" stopIfTrue="1">
      <formula>AND(U145&gt;=78100,U145&lt;=78199)</formula>
    </cfRule>
    <cfRule type="expression" dxfId="16579" priority="2639" stopIfTrue="1">
      <formula>AND(U145&gt;=92000,U145&lt;=98999)</formula>
    </cfRule>
    <cfRule type="expression" dxfId="16578" priority="2640" stopIfTrue="1">
      <formula>AND(U145&gt;=78100,U145&lt;=78199)</formula>
    </cfRule>
    <cfRule type="expression" dxfId="16577" priority="2641" stopIfTrue="1">
      <formula>AND(U145&gt;=91000,U145&lt;=91999)</formula>
    </cfRule>
  </conditionalFormatting>
  <conditionalFormatting sqref="T145">
    <cfRule type="expression" dxfId="16576" priority="2620">
      <formula>AND(U145&gt;=79001,U145&lt;79900)</formula>
    </cfRule>
    <cfRule type="expression" dxfId="16575" priority="2621" stopIfTrue="1">
      <formula>AND(U145&gt;=70101,U145&lt;=70301)</formula>
    </cfRule>
    <cfRule type="expression" dxfId="16574" priority="2622" stopIfTrue="1">
      <formula>AND(U145&gt;70000,U145&lt;70004)</formula>
    </cfRule>
    <cfRule type="expression" dxfId="16573" priority="2623" stopIfTrue="1">
      <formula>AND(U145&gt;=70010,U145&lt;=76000)</formula>
    </cfRule>
    <cfRule type="expression" dxfId="16572" priority="2624">
      <formula>AND(U145&gt;70000,U145&lt;70004)</formula>
    </cfRule>
    <cfRule type="expression" dxfId="16571" priority="2625" stopIfTrue="1">
      <formula>OR(AND(U145&gt;=10000,U145&lt;=56999),AND(U145&gt;=57000,U145&lt;=57999))</formula>
    </cfRule>
    <cfRule type="expression" dxfId="16570" priority="2626" stopIfTrue="1">
      <formula>AND(U145&gt;=8000,U145&lt;=9999)</formula>
    </cfRule>
    <cfRule type="expression" dxfId="16569" priority="2627" stopIfTrue="1">
      <formula>AND(U145&gt;=78100,U145&lt;=78199)</formula>
    </cfRule>
    <cfRule type="expression" dxfId="16568" priority="2628" stopIfTrue="1">
      <formula>AND(U145&gt;=92000,U145&lt;=98999)</formula>
    </cfRule>
    <cfRule type="expression" dxfId="16567" priority="2629" stopIfTrue="1">
      <formula>AND(U145&gt;=78100,U145&lt;=78199)</formula>
    </cfRule>
    <cfRule type="expression" dxfId="16566" priority="2630" stopIfTrue="1">
      <formula>AND(U145&gt;=91000,U145&lt;=91999)</formula>
    </cfRule>
  </conditionalFormatting>
  <conditionalFormatting sqref="T145">
    <cfRule type="expression" dxfId="16565" priority="2609">
      <formula>AND(U145&gt;=79001,U145&lt;79900)</formula>
    </cfRule>
    <cfRule type="expression" dxfId="16564" priority="2610" stopIfTrue="1">
      <formula>AND(U145&gt;=70101,U145&lt;=70301)</formula>
    </cfRule>
    <cfRule type="expression" dxfId="16563" priority="2611" stopIfTrue="1">
      <formula>AND(U145&gt;70000,U145&lt;70004)</formula>
    </cfRule>
    <cfRule type="expression" dxfId="16562" priority="2612" stopIfTrue="1">
      <formula>AND(U145&gt;=70010,U145&lt;=76000)</formula>
    </cfRule>
    <cfRule type="expression" dxfId="16561" priority="2613">
      <formula>AND(U145&gt;70000,U145&lt;70004)</formula>
    </cfRule>
    <cfRule type="expression" dxfId="16560" priority="2614" stopIfTrue="1">
      <formula>OR(AND(U145&gt;=10000,U145&lt;=56999),AND(U145&gt;=57000,U145&lt;=57999))</formula>
    </cfRule>
    <cfRule type="expression" dxfId="16559" priority="2615" stopIfTrue="1">
      <formula>AND(U145&gt;=8000,U145&lt;=9999)</formula>
    </cfRule>
    <cfRule type="expression" dxfId="16558" priority="2616" stopIfTrue="1">
      <formula>AND(U145&gt;=78100,U145&lt;=78199)</formula>
    </cfRule>
    <cfRule type="expression" dxfId="16557" priority="2617" stopIfTrue="1">
      <formula>AND(U145&gt;=92000,U145&lt;=98999)</formula>
    </cfRule>
    <cfRule type="expression" dxfId="16556" priority="2618" stopIfTrue="1">
      <formula>AND(U145&gt;=78100,U145&lt;=78199)</formula>
    </cfRule>
    <cfRule type="expression" dxfId="16555" priority="2619" stopIfTrue="1">
      <formula>AND(U145&gt;=91000,U145&lt;=91999)</formula>
    </cfRule>
  </conditionalFormatting>
  <conditionalFormatting sqref="X145">
    <cfRule type="expression" dxfId="16554" priority="2598">
      <formula>AND(Y145&gt;=79001,Y145&lt;79900)</formula>
    </cfRule>
    <cfRule type="expression" dxfId="16553" priority="2599" stopIfTrue="1">
      <formula>AND(Y145&gt;=70101,Y145&lt;=70301)</formula>
    </cfRule>
    <cfRule type="expression" dxfId="16552" priority="2600" stopIfTrue="1">
      <formula>AND(Y145&gt;70000,Y145&lt;70004)</formula>
    </cfRule>
    <cfRule type="expression" dxfId="16551" priority="2601" stopIfTrue="1">
      <formula>AND(Y145&gt;=70010,Y145&lt;=76000)</formula>
    </cfRule>
    <cfRule type="expression" dxfId="16550" priority="2602">
      <formula>AND(Y145&gt;70000,Y145&lt;70004)</formula>
    </cfRule>
    <cfRule type="expression" dxfId="16549" priority="2603" stopIfTrue="1">
      <formula>OR(AND(Y145&gt;=10000,Y145&lt;=56999),AND(Y145&gt;=57000,Y145&lt;=57999))</formula>
    </cfRule>
    <cfRule type="expression" dxfId="16548" priority="2604" stopIfTrue="1">
      <formula>AND(Y145&gt;=8000,Y145&lt;=9999)</formula>
    </cfRule>
    <cfRule type="expression" dxfId="16547" priority="2605" stopIfTrue="1">
      <formula>AND(Y145&gt;=78100,Y145&lt;=78199)</formula>
    </cfRule>
    <cfRule type="expression" dxfId="16546" priority="2606" stopIfTrue="1">
      <formula>AND(Y145&gt;=92000,Y145&lt;=98999)</formula>
    </cfRule>
    <cfRule type="expression" dxfId="16545" priority="2607" stopIfTrue="1">
      <formula>AND(Y145&gt;=78100,Y145&lt;=78199)</formula>
    </cfRule>
    <cfRule type="expression" dxfId="16544" priority="2608" stopIfTrue="1">
      <formula>AND(Y145&gt;=91000,Y145&lt;=91999)</formula>
    </cfRule>
  </conditionalFormatting>
  <conditionalFormatting sqref="X145">
    <cfRule type="expression" dxfId="16543" priority="2587">
      <formula>AND(Y145&gt;=79001,Y145&lt;79900)</formula>
    </cfRule>
    <cfRule type="expression" dxfId="16542" priority="2588" stopIfTrue="1">
      <formula>AND(Y145&gt;=70101,Y145&lt;=70301)</formula>
    </cfRule>
    <cfRule type="expression" dxfId="16541" priority="2589" stopIfTrue="1">
      <formula>AND(Y145&gt;70000,Y145&lt;70004)</formula>
    </cfRule>
    <cfRule type="expression" dxfId="16540" priority="2590" stopIfTrue="1">
      <formula>AND(Y145&gt;=70010,Y145&lt;=76000)</formula>
    </cfRule>
    <cfRule type="expression" dxfId="16539" priority="2591">
      <formula>AND(Y145&gt;70000,Y145&lt;70004)</formula>
    </cfRule>
    <cfRule type="expression" dxfId="16538" priority="2592" stopIfTrue="1">
      <formula>OR(AND(Y145&gt;=10000,Y145&lt;=56999),AND(Y145&gt;=57000,Y145&lt;=57999))</formula>
    </cfRule>
    <cfRule type="expression" dxfId="16537" priority="2593" stopIfTrue="1">
      <formula>AND(Y145&gt;=8000,Y145&lt;=9999)</formula>
    </cfRule>
    <cfRule type="expression" dxfId="16536" priority="2594" stopIfTrue="1">
      <formula>AND(Y145&gt;=78100,Y145&lt;=78199)</formula>
    </cfRule>
    <cfRule type="expression" dxfId="16535" priority="2595" stopIfTrue="1">
      <formula>AND(Y145&gt;=92000,Y145&lt;=98999)</formula>
    </cfRule>
    <cfRule type="expression" dxfId="16534" priority="2596" stopIfTrue="1">
      <formula>AND(Y145&gt;=78100,Y145&lt;=78199)</formula>
    </cfRule>
    <cfRule type="expression" dxfId="16533" priority="2597" stopIfTrue="1">
      <formula>AND(Y145&gt;=91000,Y145&lt;=91999)</formula>
    </cfRule>
  </conditionalFormatting>
  <conditionalFormatting sqref="X145">
    <cfRule type="expression" dxfId="16532" priority="2576">
      <formula>AND(Y145&gt;=79001,Y145&lt;79900)</formula>
    </cfRule>
    <cfRule type="expression" dxfId="16531" priority="2577" stopIfTrue="1">
      <formula>AND(Y145&gt;=70101,Y145&lt;=70301)</formula>
    </cfRule>
    <cfRule type="expression" dxfId="16530" priority="2578" stopIfTrue="1">
      <formula>AND(Y145&gt;70000,Y145&lt;70004)</formula>
    </cfRule>
    <cfRule type="expression" dxfId="16529" priority="2579" stopIfTrue="1">
      <formula>AND(Y145&gt;=70010,Y145&lt;=76000)</formula>
    </cfRule>
    <cfRule type="expression" dxfId="16528" priority="2580">
      <formula>AND(Y145&gt;70000,Y145&lt;70004)</formula>
    </cfRule>
    <cfRule type="expression" dxfId="16527" priority="2581" stopIfTrue="1">
      <formula>OR(AND(Y145&gt;=10000,Y145&lt;=56999),AND(Y145&gt;=57000,Y145&lt;=57999))</formula>
    </cfRule>
    <cfRule type="expression" dxfId="16526" priority="2582" stopIfTrue="1">
      <formula>AND(Y145&gt;=8000,Y145&lt;=9999)</formula>
    </cfRule>
    <cfRule type="expression" dxfId="16525" priority="2583" stopIfTrue="1">
      <formula>AND(Y145&gt;=78100,Y145&lt;=78199)</formula>
    </cfRule>
    <cfRule type="expression" dxfId="16524" priority="2584" stopIfTrue="1">
      <formula>AND(Y145&gt;=92000,Y145&lt;=98999)</formula>
    </cfRule>
    <cfRule type="expression" dxfId="16523" priority="2585" stopIfTrue="1">
      <formula>AND(Y145&gt;=78100,Y145&lt;=78199)</formula>
    </cfRule>
    <cfRule type="expression" dxfId="16522" priority="2586" stopIfTrue="1">
      <formula>AND(Y145&gt;=91000,Y145&lt;=91999)</formula>
    </cfRule>
  </conditionalFormatting>
  <conditionalFormatting sqref="X145">
    <cfRule type="expression" dxfId="16521" priority="2565">
      <formula>AND(Y145&gt;=79001,Y145&lt;79900)</formula>
    </cfRule>
    <cfRule type="expression" dxfId="16520" priority="2566" stopIfTrue="1">
      <formula>AND(Y145&gt;=70101,Y145&lt;=70301)</formula>
    </cfRule>
    <cfRule type="expression" dxfId="16519" priority="2567" stopIfTrue="1">
      <formula>AND(Y145&gt;70000,Y145&lt;70004)</formula>
    </cfRule>
    <cfRule type="expression" dxfId="16518" priority="2568" stopIfTrue="1">
      <formula>AND(Y145&gt;=70010,Y145&lt;=76000)</formula>
    </cfRule>
    <cfRule type="expression" dxfId="16517" priority="2569">
      <formula>AND(Y145&gt;70000,Y145&lt;70004)</formula>
    </cfRule>
    <cfRule type="expression" dxfId="16516" priority="2570" stopIfTrue="1">
      <formula>OR(AND(Y145&gt;=10000,Y145&lt;=56999),AND(Y145&gt;=57000,Y145&lt;=57999))</formula>
    </cfRule>
    <cfRule type="expression" dxfId="16515" priority="2571" stopIfTrue="1">
      <formula>AND(Y145&gt;=8000,Y145&lt;=9999)</formula>
    </cfRule>
    <cfRule type="expression" dxfId="16514" priority="2572" stopIfTrue="1">
      <formula>AND(Y145&gt;=78100,Y145&lt;=78199)</formula>
    </cfRule>
    <cfRule type="expression" dxfId="16513" priority="2573" stopIfTrue="1">
      <formula>AND(Y145&gt;=92000,Y145&lt;=98999)</formula>
    </cfRule>
    <cfRule type="expression" dxfId="16512" priority="2574" stopIfTrue="1">
      <formula>AND(Y145&gt;=78100,Y145&lt;=78199)</formula>
    </cfRule>
    <cfRule type="expression" dxfId="16511" priority="2575" stopIfTrue="1">
      <formula>AND(Y145&gt;=91000,Y145&lt;=91999)</formula>
    </cfRule>
  </conditionalFormatting>
  <conditionalFormatting sqref="AB145">
    <cfRule type="expression" dxfId="16510" priority="2554">
      <formula>AND(AC145&gt;=79001,AC145&lt;79900)</formula>
    </cfRule>
    <cfRule type="expression" dxfId="16509" priority="2555" stopIfTrue="1">
      <formula>AND(AC145&gt;=70101,AC145&lt;=70301)</formula>
    </cfRule>
    <cfRule type="expression" dxfId="16508" priority="2556" stopIfTrue="1">
      <formula>AND(AC145&gt;70000,AC145&lt;70004)</formula>
    </cfRule>
    <cfRule type="expression" dxfId="16507" priority="2557" stopIfTrue="1">
      <formula>AND(AC145&gt;=70010,AC145&lt;=76000)</formula>
    </cfRule>
    <cfRule type="expression" dxfId="16506" priority="2558">
      <formula>AND(AC145&gt;70000,AC145&lt;70004)</formula>
    </cfRule>
    <cfRule type="expression" dxfId="16505" priority="2559" stopIfTrue="1">
      <formula>OR(AND(AC145&gt;=10000,AC145&lt;=56999),AND(AC145&gt;=57000,AC145&lt;=57999))</formula>
    </cfRule>
    <cfRule type="expression" dxfId="16504" priority="2560" stopIfTrue="1">
      <formula>AND(AC145&gt;=8000,AC145&lt;=9999)</formula>
    </cfRule>
    <cfRule type="expression" dxfId="16503" priority="2561" stopIfTrue="1">
      <formula>AND(AC145&gt;=78100,AC145&lt;=78199)</formula>
    </cfRule>
    <cfRule type="expression" dxfId="16502" priority="2562" stopIfTrue="1">
      <formula>AND(AC145&gt;=92000,AC145&lt;=98999)</formula>
    </cfRule>
    <cfRule type="expression" dxfId="16501" priority="2563" stopIfTrue="1">
      <formula>AND(AC145&gt;=78100,AC145&lt;=78199)</formula>
    </cfRule>
    <cfRule type="expression" dxfId="16500" priority="2564" stopIfTrue="1">
      <formula>AND(AC145&gt;=91000,AC145&lt;=91999)</formula>
    </cfRule>
  </conditionalFormatting>
  <conditionalFormatting sqref="AB145">
    <cfRule type="expression" dxfId="16499" priority="2543">
      <formula>AND(AC145&gt;=79001,AC145&lt;79900)</formula>
    </cfRule>
    <cfRule type="expression" dxfId="16498" priority="2544" stopIfTrue="1">
      <formula>AND(AC145&gt;=70101,AC145&lt;=70301)</formula>
    </cfRule>
    <cfRule type="expression" dxfId="16497" priority="2545" stopIfTrue="1">
      <formula>AND(AC145&gt;70000,AC145&lt;70004)</formula>
    </cfRule>
    <cfRule type="expression" dxfId="16496" priority="2546" stopIfTrue="1">
      <formula>AND(AC145&gt;=70010,AC145&lt;=76000)</formula>
    </cfRule>
    <cfRule type="expression" dxfId="16495" priority="2547">
      <formula>AND(AC145&gt;70000,AC145&lt;70004)</formula>
    </cfRule>
    <cfRule type="expression" dxfId="16494" priority="2548" stopIfTrue="1">
      <formula>OR(AND(AC145&gt;=10000,AC145&lt;=56999),AND(AC145&gt;=57000,AC145&lt;=57999))</formula>
    </cfRule>
    <cfRule type="expression" dxfId="16493" priority="2549" stopIfTrue="1">
      <formula>AND(AC145&gt;=8000,AC145&lt;=9999)</formula>
    </cfRule>
    <cfRule type="expression" dxfId="16492" priority="2550" stopIfTrue="1">
      <formula>AND(AC145&gt;=78100,AC145&lt;=78199)</formula>
    </cfRule>
    <cfRule type="expression" dxfId="16491" priority="2551" stopIfTrue="1">
      <formula>AND(AC145&gt;=92000,AC145&lt;=98999)</formula>
    </cfRule>
    <cfRule type="expression" dxfId="16490" priority="2552" stopIfTrue="1">
      <formula>AND(AC145&gt;=78100,AC145&lt;=78199)</formula>
    </cfRule>
    <cfRule type="expression" dxfId="16489" priority="2553" stopIfTrue="1">
      <formula>AND(AC145&gt;=91000,AC145&lt;=91999)</formula>
    </cfRule>
  </conditionalFormatting>
  <conditionalFormatting sqref="AB145">
    <cfRule type="expression" dxfId="16488" priority="2532">
      <formula>AND(AC145&gt;=79001,AC145&lt;79900)</formula>
    </cfRule>
    <cfRule type="expression" dxfId="16487" priority="2533" stopIfTrue="1">
      <formula>AND(AC145&gt;=70101,AC145&lt;=70301)</formula>
    </cfRule>
    <cfRule type="expression" dxfId="16486" priority="2534" stopIfTrue="1">
      <formula>AND(AC145&gt;70000,AC145&lt;70004)</formula>
    </cfRule>
    <cfRule type="expression" dxfId="16485" priority="2535" stopIfTrue="1">
      <formula>AND(AC145&gt;=70010,AC145&lt;=76000)</formula>
    </cfRule>
    <cfRule type="expression" dxfId="16484" priority="2536">
      <formula>AND(AC145&gt;70000,AC145&lt;70004)</formula>
    </cfRule>
    <cfRule type="expression" dxfId="16483" priority="2537" stopIfTrue="1">
      <formula>OR(AND(AC145&gt;=10000,AC145&lt;=56999),AND(AC145&gt;=57000,AC145&lt;=57999))</formula>
    </cfRule>
    <cfRule type="expression" dxfId="16482" priority="2538" stopIfTrue="1">
      <formula>AND(AC145&gt;=8000,AC145&lt;=9999)</formula>
    </cfRule>
    <cfRule type="expression" dxfId="16481" priority="2539" stopIfTrue="1">
      <formula>AND(AC145&gt;=78100,AC145&lt;=78199)</formula>
    </cfRule>
    <cfRule type="expression" dxfId="16480" priority="2540" stopIfTrue="1">
      <formula>AND(AC145&gt;=92000,AC145&lt;=98999)</formula>
    </cfRule>
    <cfRule type="expression" dxfId="16479" priority="2541" stopIfTrue="1">
      <formula>AND(AC145&gt;=78100,AC145&lt;=78199)</formula>
    </cfRule>
    <cfRule type="expression" dxfId="16478" priority="2542" stopIfTrue="1">
      <formula>AND(AC145&gt;=91000,AC145&lt;=91999)</formula>
    </cfRule>
  </conditionalFormatting>
  <conditionalFormatting sqref="AB145">
    <cfRule type="expression" dxfId="16477" priority="2521">
      <formula>AND(AC145&gt;=79001,AC145&lt;79900)</formula>
    </cfRule>
    <cfRule type="expression" dxfId="16476" priority="2522" stopIfTrue="1">
      <formula>AND(AC145&gt;=70101,AC145&lt;=70301)</formula>
    </cfRule>
    <cfRule type="expression" dxfId="16475" priority="2523" stopIfTrue="1">
      <formula>AND(AC145&gt;70000,AC145&lt;70004)</formula>
    </cfRule>
    <cfRule type="expression" dxfId="16474" priority="2524" stopIfTrue="1">
      <formula>AND(AC145&gt;=70010,AC145&lt;=76000)</formula>
    </cfRule>
    <cfRule type="expression" dxfId="16473" priority="2525">
      <formula>AND(AC145&gt;70000,AC145&lt;70004)</formula>
    </cfRule>
    <cfRule type="expression" dxfId="16472" priority="2526" stopIfTrue="1">
      <formula>OR(AND(AC145&gt;=10000,AC145&lt;=56999),AND(AC145&gt;=57000,AC145&lt;=57999))</formula>
    </cfRule>
    <cfRule type="expression" dxfId="16471" priority="2527" stopIfTrue="1">
      <formula>AND(AC145&gt;=8000,AC145&lt;=9999)</formula>
    </cfRule>
    <cfRule type="expression" dxfId="16470" priority="2528" stopIfTrue="1">
      <formula>AND(AC145&gt;=78100,AC145&lt;=78199)</formula>
    </cfRule>
    <cfRule type="expression" dxfId="16469" priority="2529" stopIfTrue="1">
      <formula>AND(AC145&gt;=92000,AC145&lt;=98999)</formula>
    </cfRule>
    <cfRule type="expression" dxfId="16468" priority="2530" stopIfTrue="1">
      <formula>AND(AC145&gt;=78100,AC145&lt;=78199)</formula>
    </cfRule>
    <cfRule type="expression" dxfId="16467" priority="2531" stopIfTrue="1">
      <formula>AND(AC145&gt;=91000,AC145&lt;=91999)</formula>
    </cfRule>
  </conditionalFormatting>
  <conditionalFormatting sqref="AF145">
    <cfRule type="expression" dxfId="16466" priority="2510">
      <formula>AND(AG145&gt;=79001,AG145&lt;79900)</formula>
    </cfRule>
    <cfRule type="expression" dxfId="16465" priority="2511" stopIfTrue="1">
      <formula>AND(AG145&gt;=70101,AG145&lt;=70301)</formula>
    </cfRule>
    <cfRule type="expression" dxfId="16464" priority="2512" stopIfTrue="1">
      <formula>AND(AG145&gt;70000,AG145&lt;70004)</formula>
    </cfRule>
    <cfRule type="expression" dxfId="16463" priority="2513" stopIfTrue="1">
      <formula>AND(AG145&gt;=70010,AG145&lt;=76000)</formula>
    </cfRule>
    <cfRule type="expression" dxfId="16462" priority="2514">
      <formula>AND(AG145&gt;70000,AG145&lt;70004)</formula>
    </cfRule>
    <cfRule type="expression" dxfId="16461" priority="2515" stopIfTrue="1">
      <formula>OR(AND(AG145&gt;=10000,AG145&lt;=56999),AND(AG145&gt;=57000,AG145&lt;=57999))</formula>
    </cfRule>
    <cfRule type="expression" dxfId="16460" priority="2516" stopIfTrue="1">
      <formula>AND(AG145&gt;=8000,AG145&lt;=9999)</formula>
    </cfRule>
    <cfRule type="expression" dxfId="16459" priority="2517" stopIfTrue="1">
      <formula>AND(AG145&gt;=78100,AG145&lt;=78199)</formula>
    </cfRule>
    <cfRule type="expression" dxfId="16458" priority="2518" stopIfTrue="1">
      <formula>AND(AG145&gt;=92000,AG145&lt;=98999)</formula>
    </cfRule>
    <cfRule type="expression" dxfId="16457" priority="2519" stopIfTrue="1">
      <formula>AND(AG145&gt;=78100,AG145&lt;=78199)</formula>
    </cfRule>
    <cfRule type="expression" dxfId="16456" priority="2520" stopIfTrue="1">
      <formula>AND(AG145&gt;=91000,AG145&lt;=91999)</formula>
    </cfRule>
  </conditionalFormatting>
  <conditionalFormatting sqref="AF145">
    <cfRule type="expression" dxfId="16455" priority="2499">
      <formula>AND(AG145&gt;=79001,AG145&lt;79900)</formula>
    </cfRule>
    <cfRule type="expression" dxfId="16454" priority="2500" stopIfTrue="1">
      <formula>AND(AG145&gt;=70101,AG145&lt;=70301)</formula>
    </cfRule>
    <cfRule type="expression" dxfId="16453" priority="2501" stopIfTrue="1">
      <formula>AND(AG145&gt;70000,AG145&lt;70004)</formula>
    </cfRule>
    <cfRule type="expression" dxfId="16452" priority="2502" stopIfTrue="1">
      <formula>AND(AG145&gt;=70010,AG145&lt;=76000)</formula>
    </cfRule>
    <cfRule type="expression" dxfId="16451" priority="2503">
      <formula>AND(AG145&gt;70000,AG145&lt;70004)</formula>
    </cfRule>
    <cfRule type="expression" dxfId="16450" priority="2504" stopIfTrue="1">
      <formula>OR(AND(AG145&gt;=10000,AG145&lt;=56999),AND(AG145&gt;=57000,AG145&lt;=57999))</formula>
    </cfRule>
    <cfRule type="expression" dxfId="16449" priority="2505" stopIfTrue="1">
      <formula>AND(AG145&gt;=8000,AG145&lt;=9999)</formula>
    </cfRule>
    <cfRule type="expression" dxfId="16448" priority="2506" stopIfTrue="1">
      <formula>AND(AG145&gt;=78100,AG145&lt;=78199)</formula>
    </cfRule>
    <cfRule type="expression" dxfId="16447" priority="2507" stopIfTrue="1">
      <formula>AND(AG145&gt;=92000,AG145&lt;=98999)</formula>
    </cfRule>
    <cfRule type="expression" dxfId="16446" priority="2508" stopIfTrue="1">
      <formula>AND(AG145&gt;=78100,AG145&lt;=78199)</formula>
    </cfRule>
    <cfRule type="expression" dxfId="16445" priority="2509" stopIfTrue="1">
      <formula>AND(AG145&gt;=91000,AG145&lt;=91999)</formula>
    </cfRule>
  </conditionalFormatting>
  <conditionalFormatting sqref="AF145">
    <cfRule type="expression" dxfId="16444" priority="2488">
      <formula>AND(AG145&gt;=79001,AG145&lt;79900)</formula>
    </cfRule>
    <cfRule type="expression" dxfId="16443" priority="2489" stopIfTrue="1">
      <formula>AND(AG145&gt;=70101,AG145&lt;=70301)</formula>
    </cfRule>
    <cfRule type="expression" dxfId="16442" priority="2490" stopIfTrue="1">
      <formula>AND(AG145&gt;70000,AG145&lt;70004)</formula>
    </cfRule>
    <cfRule type="expression" dxfId="16441" priority="2491" stopIfTrue="1">
      <formula>AND(AG145&gt;=70010,AG145&lt;=76000)</formula>
    </cfRule>
    <cfRule type="expression" dxfId="16440" priority="2492">
      <formula>AND(AG145&gt;70000,AG145&lt;70004)</formula>
    </cfRule>
    <cfRule type="expression" dxfId="16439" priority="2493" stopIfTrue="1">
      <formula>OR(AND(AG145&gt;=10000,AG145&lt;=56999),AND(AG145&gt;=57000,AG145&lt;=57999))</formula>
    </cfRule>
    <cfRule type="expression" dxfId="16438" priority="2494" stopIfTrue="1">
      <formula>AND(AG145&gt;=8000,AG145&lt;=9999)</formula>
    </cfRule>
    <cfRule type="expression" dxfId="16437" priority="2495" stopIfTrue="1">
      <formula>AND(AG145&gt;=78100,AG145&lt;=78199)</formula>
    </cfRule>
    <cfRule type="expression" dxfId="16436" priority="2496" stopIfTrue="1">
      <formula>AND(AG145&gt;=92000,AG145&lt;=98999)</formula>
    </cfRule>
    <cfRule type="expression" dxfId="16435" priority="2497" stopIfTrue="1">
      <formula>AND(AG145&gt;=78100,AG145&lt;=78199)</formula>
    </cfRule>
    <cfRule type="expression" dxfId="16434" priority="2498" stopIfTrue="1">
      <formula>AND(AG145&gt;=91000,AG145&lt;=91999)</formula>
    </cfRule>
  </conditionalFormatting>
  <conditionalFormatting sqref="AF145">
    <cfRule type="expression" dxfId="16433" priority="2477">
      <formula>AND(AG145&gt;=79001,AG145&lt;79900)</formula>
    </cfRule>
    <cfRule type="expression" dxfId="16432" priority="2478" stopIfTrue="1">
      <formula>AND(AG145&gt;=70101,AG145&lt;=70301)</formula>
    </cfRule>
    <cfRule type="expression" dxfId="16431" priority="2479" stopIfTrue="1">
      <formula>AND(AG145&gt;70000,AG145&lt;70004)</formula>
    </cfRule>
    <cfRule type="expression" dxfId="16430" priority="2480" stopIfTrue="1">
      <formula>AND(AG145&gt;=70010,AG145&lt;=76000)</formula>
    </cfRule>
    <cfRule type="expression" dxfId="16429" priority="2481">
      <formula>AND(AG145&gt;70000,AG145&lt;70004)</formula>
    </cfRule>
    <cfRule type="expression" dxfId="16428" priority="2482" stopIfTrue="1">
      <formula>OR(AND(AG145&gt;=10000,AG145&lt;=56999),AND(AG145&gt;=57000,AG145&lt;=57999))</formula>
    </cfRule>
    <cfRule type="expression" dxfId="16427" priority="2483" stopIfTrue="1">
      <formula>AND(AG145&gt;=8000,AG145&lt;=9999)</formula>
    </cfRule>
    <cfRule type="expression" dxfId="16426" priority="2484" stopIfTrue="1">
      <formula>AND(AG145&gt;=78100,AG145&lt;=78199)</formula>
    </cfRule>
    <cfRule type="expression" dxfId="16425" priority="2485" stopIfTrue="1">
      <formula>AND(AG145&gt;=92000,AG145&lt;=98999)</formula>
    </cfRule>
    <cfRule type="expression" dxfId="16424" priority="2486" stopIfTrue="1">
      <formula>AND(AG145&gt;=78100,AG145&lt;=78199)</formula>
    </cfRule>
    <cfRule type="expression" dxfId="16423" priority="2487" stopIfTrue="1">
      <formula>AND(AG145&gt;=91000,AG145&lt;=91999)</formula>
    </cfRule>
  </conditionalFormatting>
  <conditionalFormatting sqref="X148">
    <cfRule type="expression" dxfId="16422" priority="2466">
      <formula>AND(Y148&gt;=79001,Y148&lt;79900)</formula>
    </cfRule>
    <cfRule type="expression" dxfId="16421" priority="2467" stopIfTrue="1">
      <formula>AND(Y148&gt;=70101,Y148&lt;=70301)</formula>
    </cfRule>
    <cfRule type="expression" dxfId="16420" priority="2468" stopIfTrue="1">
      <formula>AND(Y148&gt;70000,Y148&lt;70004)</formula>
    </cfRule>
    <cfRule type="expression" dxfId="16419" priority="2469" stopIfTrue="1">
      <formula>AND(Y148&gt;=70010,Y148&lt;=76000)</formula>
    </cfRule>
    <cfRule type="expression" dxfId="16418" priority="2470">
      <formula>AND(Y148&gt;70000,Y148&lt;70004)</formula>
    </cfRule>
    <cfRule type="expression" dxfId="16417" priority="2471" stopIfTrue="1">
      <formula>OR(AND(Y148&gt;=10000,Y148&lt;=56999),AND(Y148&gt;=57000,Y148&lt;=57999))</formula>
    </cfRule>
    <cfRule type="expression" dxfId="16416" priority="2472" stopIfTrue="1">
      <formula>AND(Y148&gt;=8000,Y148&lt;=9999)</formula>
    </cfRule>
    <cfRule type="expression" dxfId="16415" priority="2473" stopIfTrue="1">
      <formula>AND(Y148&gt;=78100,Y148&lt;=78199)</formula>
    </cfRule>
    <cfRule type="expression" dxfId="16414" priority="2474" stopIfTrue="1">
      <formula>AND(Y148&gt;=92000,Y148&lt;=98999)</formula>
    </cfRule>
    <cfRule type="expression" dxfId="16413" priority="2475" stopIfTrue="1">
      <formula>AND(Y148&gt;=78100,Y148&lt;=78199)</formula>
    </cfRule>
    <cfRule type="expression" dxfId="16412" priority="2476" stopIfTrue="1">
      <formula>AND(Y148&gt;=91000,Y148&lt;=91999)</formula>
    </cfRule>
  </conditionalFormatting>
  <conditionalFormatting sqref="X148">
    <cfRule type="expression" dxfId="16411" priority="2455">
      <formula>AND(Y148&gt;=79001,Y148&lt;79900)</formula>
    </cfRule>
    <cfRule type="expression" dxfId="16410" priority="2456" stopIfTrue="1">
      <formula>AND(Y148&gt;=70101,Y148&lt;=70301)</formula>
    </cfRule>
    <cfRule type="expression" dxfId="16409" priority="2457" stopIfTrue="1">
      <formula>AND(Y148&gt;70000,Y148&lt;70004)</formula>
    </cfRule>
    <cfRule type="expression" dxfId="16408" priority="2458" stopIfTrue="1">
      <formula>AND(Y148&gt;=70010,Y148&lt;=76000)</formula>
    </cfRule>
    <cfRule type="expression" dxfId="16407" priority="2459">
      <formula>AND(Y148&gt;70000,Y148&lt;70004)</formula>
    </cfRule>
    <cfRule type="expression" dxfId="16406" priority="2460" stopIfTrue="1">
      <formula>OR(AND(Y148&gt;=10000,Y148&lt;=56999),AND(Y148&gt;=57000,Y148&lt;=57999))</formula>
    </cfRule>
    <cfRule type="expression" dxfId="16405" priority="2461" stopIfTrue="1">
      <formula>AND(Y148&gt;=8000,Y148&lt;=9999)</formula>
    </cfRule>
    <cfRule type="expression" dxfId="16404" priority="2462" stopIfTrue="1">
      <formula>AND(Y148&gt;=78100,Y148&lt;=78199)</formula>
    </cfRule>
    <cfRule type="expression" dxfId="16403" priority="2463" stopIfTrue="1">
      <formula>AND(Y148&gt;=92000,Y148&lt;=98999)</formula>
    </cfRule>
    <cfRule type="expression" dxfId="16402" priority="2464" stopIfTrue="1">
      <formula>AND(Y148&gt;=78100,Y148&lt;=78199)</formula>
    </cfRule>
    <cfRule type="expression" dxfId="16401" priority="2465" stopIfTrue="1">
      <formula>AND(Y148&gt;=91000,Y148&lt;=91999)</formula>
    </cfRule>
  </conditionalFormatting>
  <conditionalFormatting sqref="X148">
    <cfRule type="expression" dxfId="16400" priority="2444">
      <formula>AND(Y148&gt;=79001,Y148&lt;79900)</formula>
    </cfRule>
    <cfRule type="expression" dxfId="16399" priority="2445" stopIfTrue="1">
      <formula>AND(Y148&gt;=70101,Y148&lt;=70301)</formula>
    </cfRule>
    <cfRule type="expression" dxfId="16398" priority="2446" stopIfTrue="1">
      <formula>AND(Y148&gt;70000,Y148&lt;70004)</formula>
    </cfRule>
    <cfRule type="expression" dxfId="16397" priority="2447" stopIfTrue="1">
      <formula>AND(Y148&gt;=70010,Y148&lt;=76000)</formula>
    </cfRule>
    <cfRule type="expression" dxfId="16396" priority="2448">
      <formula>AND(Y148&gt;70000,Y148&lt;70004)</formula>
    </cfRule>
    <cfRule type="expression" dxfId="16395" priority="2449" stopIfTrue="1">
      <formula>OR(AND(Y148&gt;=10000,Y148&lt;=56999),AND(Y148&gt;=57000,Y148&lt;=57999))</formula>
    </cfRule>
    <cfRule type="expression" dxfId="16394" priority="2450" stopIfTrue="1">
      <formula>AND(Y148&gt;=8000,Y148&lt;=9999)</formula>
    </cfRule>
    <cfRule type="expression" dxfId="16393" priority="2451" stopIfTrue="1">
      <formula>AND(Y148&gt;=78100,Y148&lt;=78199)</formula>
    </cfRule>
    <cfRule type="expression" dxfId="16392" priority="2452" stopIfTrue="1">
      <formula>AND(Y148&gt;=92000,Y148&lt;=98999)</formula>
    </cfRule>
    <cfRule type="expression" dxfId="16391" priority="2453" stopIfTrue="1">
      <formula>AND(Y148&gt;=78100,Y148&lt;=78199)</formula>
    </cfRule>
    <cfRule type="expression" dxfId="16390" priority="2454" stopIfTrue="1">
      <formula>AND(Y148&gt;=91000,Y148&lt;=91999)</formula>
    </cfRule>
  </conditionalFormatting>
  <conditionalFormatting sqref="X148">
    <cfRule type="expression" dxfId="16389" priority="2433">
      <formula>AND(Y148&gt;=79001,Y148&lt;79900)</formula>
    </cfRule>
    <cfRule type="expression" dxfId="16388" priority="2434" stopIfTrue="1">
      <formula>AND(Y148&gt;=70101,Y148&lt;=70301)</formula>
    </cfRule>
    <cfRule type="expression" dxfId="16387" priority="2435" stopIfTrue="1">
      <formula>AND(Y148&gt;70000,Y148&lt;70004)</formula>
    </cfRule>
    <cfRule type="expression" dxfId="16386" priority="2436" stopIfTrue="1">
      <formula>AND(Y148&gt;=70010,Y148&lt;=76000)</formula>
    </cfRule>
    <cfRule type="expression" dxfId="16385" priority="2437">
      <formula>AND(Y148&gt;70000,Y148&lt;70004)</formula>
    </cfRule>
    <cfRule type="expression" dxfId="16384" priority="2438" stopIfTrue="1">
      <formula>OR(AND(Y148&gt;=10000,Y148&lt;=56999),AND(Y148&gt;=57000,Y148&lt;=57999))</formula>
    </cfRule>
    <cfRule type="expression" dxfId="16383" priority="2439" stopIfTrue="1">
      <formula>AND(Y148&gt;=8000,Y148&lt;=9999)</formula>
    </cfRule>
    <cfRule type="expression" dxfId="16382" priority="2440" stopIfTrue="1">
      <formula>AND(Y148&gt;=78100,Y148&lt;=78199)</formula>
    </cfRule>
    <cfRule type="expression" dxfId="16381" priority="2441" stopIfTrue="1">
      <formula>AND(Y148&gt;=92000,Y148&lt;=98999)</formula>
    </cfRule>
    <cfRule type="expression" dxfId="16380" priority="2442" stopIfTrue="1">
      <formula>AND(Y148&gt;=78100,Y148&lt;=78199)</formula>
    </cfRule>
    <cfRule type="expression" dxfId="16379" priority="2443" stopIfTrue="1">
      <formula>AND(Y148&gt;=91000,Y148&lt;=91999)</formula>
    </cfRule>
  </conditionalFormatting>
  <conditionalFormatting sqref="AB148">
    <cfRule type="expression" dxfId="16378" priority="2422">
      <formula>AND(AC148&gt;=79001,AC148&lt;79900)</formula>
    </cfRule>
    <cfRule type="expression" dxfId="16377" priority="2423" stopIfTrue="1">
      <formula>AND(AC148&gt;=70101,AC148&lt;=70301)</formula>
    </cfRule>
    <cfRule type="expression" dxfId="16376" priority="2424" stopIfTrue="1">
      <formula>AND(AC148&gt;70000,AC148&lt;70004)</formula>
    </cfRule>
    <cfRule type="expression" dxfId="16375" priority="2425" stopIfTrue="1">
      <formula>AND(AC148&gt;=70010,AC148&lt;=76000)</formula>
    </cfRule>
    <cfRule type="expression" dxfId="16374" priority="2426">
      <formula>AND(AC148&gt;70000,AC148&lt;70004)</formula>
    </cfRule>
    <cfRule type="expression" dxfId="16373" priority="2427" stopIfTrue="1">
      <formula>OR(AND(AC148&gt;=10000,AC148&lt;=56999),AND(AC148&gt;=57000,AC148&lt;=57999))</formula>
    </cfRule>
    <cfRule type="expression" dxfId="16372" priority="2428" stopIfTrue="1">
      <formula>AND(AC148&gt;=8000,AC148&lt;=9999)</formula>
    </cfRule>
    <cfRule type="expression" dxfId="16371" priority="2429" stopIfTrue="1">
      <formula>AND(AC148&gt;=78100,AC148&lt;=78199)</formula>
    </cfRule>
    <cfRule type="expression" dxfId="16370" priority="2430" stopIfTrue="1">
      <formula>AND(AC148&gt;=92000,AC148&lt;=98999)</formula>
    </cfRule>
    <cfRule type="expression" dxfId="16369" priority="2431" stopIfTrue="1">
      <formula>AND(AC148&gt;=78100,AC148&lt;=78199)</formula>
    </cfRule>
    <cfRule type="expression" dxfId="16368" priority="2432" stopIfTrue="1">
      <formula>AND(AC148&gt;=91000,AC148&lt;=91999)</formula>
    </cfRule>
  </conditionalFormatting>
  <conditionalFormatting sqref="AB148">
    <cfRule type="expression" dxfId="16367" priority="2411">
      <formula>AND(AC148&gt;=79001,AC148&lt;79900)</formula>
    </cfRule>
    <cfRule type="expression" dxfId="16366" priority="2412" stopIfTrue="1">
      <formula>AND(AC148&gt;=70101,AC148&lt;=70301)</formula>
    </cfRule>
    <cfRule type="expression" dxfId="16365" priority="2413" stopIfTrue="1">
      <formula>AND(AC148&gt;70000,AC148&lt;70004)</formula>
    </cfRule>
    <cfRule type="expression" dxfId="16364" priority="2414" stopIfTrue="1">
      <formula>AND(AC148&gt;=70010,AC148&lt;=76000)</formula>
    </cfRule>
    <cfRule type="expression" dxfId="16363" priority="2415">
      <formula>AND(AC148&gt;70000,AC148&lt;70004)</formula>
    </cfRule>
    <cfRule type="expression" dxfId="16362" priority="2416" stopIfTrue="1">
      <formula>OR(AND(AC148&gt;=10000,AC148&lt;=56999),AND(AC148&gt;=57000,AC148&lt;=57999))</formula>
    </cfRule>
    <cfRule type="expression" dxfId="16361" priority="2417" stopIfTrue="1">
      <formula>AND(AC148&gt;=8000,AC148&lt;=9999)</formula>
    </cfRule>
    <cfRule type="expression" dxfId="16360" priority="2418" stopIfTrue="1">
      <formula>AND(AC148&gt;=78100,AC148&lt;=78199)</formula>
    </cfRule>
    <cfRule type="expression" dxfId="16359" priority="2419" stopIfTrue="1">
      <formula>AND(AC148&gt;=92000,AC148&lt;=98999)</formula>
    </cfRule>
    <cfRule type="expression" dxfId="16358" priority="2420" stopIfTrue="1">
      <formula>AND(AC148&gt;=78100,AC148&lt;=78199)</formula>
    </cfRule>
    <cfRule type="expression" dxfId="16357" priority="2421" stopIfTrue="1">
      <formula>AND(AC148&gt;=91000,AC148&lt;=91999)</formula>
    </cfRule>
  </conditionalFormatting>
  <conditionalFormatting sqref="AB148">
    <cfRule type="expression" dxfId="16356" priority="2400">
      <formula>AND(AC148&gt;=79001,AC148&lt;79900)</formula>
    </cfRule>
    <cfRule type="expression" dxfId="16355" priority="2401" stopIfTrue="1">
      <formula>AND(AC148&gt;=70101,AC148&lt;=70301)</formula>
    </cfRule>
    <cfRule type="expression" dxfId="16354" priority="2402" stopIfTrue="1">
      <formula>AND(AC148&gt;70000,AC148&lt;70004)</formula>
    </cfRule>
    <cfRule type="expression" dxfId="16353" priority="2403" stopIfTrue="1">
      <formula>AND(AC148&gt;=70010,AC148&lt;=76000)</formula>
    </cfRule>
    <cfRule type="expression" dxfId="16352" priority="2404">
      <formula>AND(AC148&gt;70000,AC148&lt;70004)</formula>
    </cfRule>
    <cfRule type="expression" dxfId="16351" priority="2405" stopIfTrue="1">
      <formula>OR(AND(AC148&gt;=10000,AC148&lt;=56999),AND(AC148&gt;=57000,AC148&lt;=57999))</formula>
    </cfRule>
    <cfRule type="expression" dxfId="16350" priority="2406" stopIfTrue="1">
      <formula>AND(AC148&gt;=8000,AC148&lt;=9999)</formula>
    </cfRule>
    <cfRule type="expression" dxfId="16349" priority="2407" stopIfTrue="1">
      <formula>AND(AC148&gt;=78100,AC148&lt;=78199)</formula>
    </cfRule>
    <cfRule type="expression" dxfId="16348" priority="2408" stopIfTrue="1">
      <formula>AND(AC148&gt;=92000,AC148&lt;=98999)</formula>
    </cfRule>
    <cfRule type="expression" dxfId="16347" priority="2409" stopIfTrue="1">
      <formula>AND(AC148&gt;=78100,AC148&lt;=78199)</formula>
    </cfRule>
    <cfRule type="expression" dxfId="16346" priority="2410" stopIfTrue="1">
      <formula>AND(AC148&gt;=91000,AC148&lt;=91999)</formula>
    </cfRule>
  </conditionalFormatting>
  <conditionalFormatting sqref="AB148">
    <cfRule type="expression" dxfId="16345" priority="2389">
      <formula>AND(AC148&gt;=79001,AC148&lt;79900)</formula>
    </cfRule>
    <cfRule type="expression" dxfId="16344" priority="2390" stopIfTrue="1">
      <formula>AND(AC148&gt;=70101,AC148&lt;=70301)</formula>
    </cfRule>
    <cfRule type="expression" dxfId="16343" priority="2391" stopIfTrue="1">
      <formula>AND(AC148&gt;70000,AC148&lt;70004)</formula>
    </cfRule>
    <cfRule type="expression" dxfId="16342" priority="2392" stopIfTrue="1">
      <formula>AND(AC148&gt;=70010,AC148&lt;=76000)</formula>
    </cfRule>
    <cfRule type="expression" dxfId="16341" priority="2393">
      <formula>AND(AC148&gt;70000,AC148&lt;70004)</formula>
    </cfRule>
    <cfRule type="expression" dxfId="16340" priority="2394" stopIfTrue="1">
      <formula>OR(AND(AC148&gt;=10000,AC148&lt;=56999),AND(AC148&gt;=57000,AC148&lt;=57999))</formula>
    </cfRule>
    <cfRule type="expression" dxfId="16339" priority="2395" stopIfTrue="1">
      <formula>AND(AC148&gt;=8000,AC148&lt;=9999)</formula>
    </cfRule>
    <cfRule type="expression" dxfId="16338" priority="2396" stopIfTrue="1">
      <formula>AND(AC148&gt;=78100,AC148&lt;=78199)</formula>
    </cfRule>
    <cfRule type="expression" dxfId="16337" priority="2397" stopIfTrue="1">
      <formula>AND(AC148&gt;=92000,AC148&lt;=98999)</formula>
    </cfRule>
    <cfRule type="expression" dxfId="16336" priority="2398" stopIfTrue="1">
      <formula>AND(AC148&gt;=78100,AC148&lt;=78199)</formula>
    </cfRule>
    <cfRule type="expression" dxfId="16335" priority="2399" stopIfTrue="1">
      <formula>AND(AC148&gt;=91000,AC148&lt;=91999)</formula>
    </cfRule>
  </conditionalFormatting>
  <conditionalFormatting sqref="AF148">
    <cfRule type="expression" dxfId="16334" priority="2378">
      <formula>AND(AG148&gt;=79001,AG148&lt;79900)</formula>
    </cfRule>
    <cfRule type="expression" dxfId="16333" priority="2379" stopIfTrue="1">
      <formula>AND(AG148&gt;=70101,AG148&lt;=70301)</formula>
    </cfRule>
    <cfRule type="expression" dxfId="16332" priority="2380" stopIfTrue="1">
      <formula>AND(AG148&gt;70000,AG148&lt;70004)</formula>
    </cfRule>
    <cfRule type="expression" dxfId="16331" priority="2381" stopIfTrue="1">
      <formula>AND(AG148&gt;=70010,AG148&lt;=76000)</formula>
    </cfRule>
    <cfRule type="expression" dxfId="16330" priority="2382">
      <formula>AND(AG148&gt;70000,AG148&lt;70004)</formula>
    </cfRule>
    <cfRule type="expression" dxfId="16329" priority="2383" stopIfTrue="1">
      <formula>OR(AND(AG148&gt;=10000,AG148&lt;=56999),AND(AG148&gt;=57000,AG148&lt;=57999))</formula>
    </cfRule>
    <cfRule type="expression" dxfId="16328" priority="2384" stopIfTrue="1">
      <formula>AND(AG148&gt;=8000,AG148&lt;=9999)</formula>
    </cfRule>
    <cfRule type="expression" dxfId="16327" priority="2385" stopIfTrue="1">
      <formula>AND(AG148&gt;=78100,AG148&lt;=78199)</formula>
    </cfRule>
    <cfRule type="expression" dxfId="16326" priority="2386" stopIfTrue="1">
      <formula>AND(AG148&gt;=92000,AG148&lt;=98999)</formula>
    </cfRule>
    <cfRule type="expression" dxfId="16325" priority="2387" stopIfTrue="1">
      <formula>AND(AG148&gt;=78100,AG148&lt;=78199)</formula>
    </cfRule>
    <cfRule type="expression" dxfId="16324" priority="2388" stopIfTrue="1">
      <formula>AND(AG148&gt;=91000,AG148&lt;=91999)</formula>
    </cfRule>
  </conditionalFormatting>
  <conditionalFormatting sqref="AF148">
    <cfRule type="expression" dxfId="16323" priority="2367">
      <formula>AND(AG148&gt;=79001,AG148&lt;79900)</formula>
    </cfRule>
    <cfRule type="expression" dxfId="16322" priority="2368" stopIfTrue="1">
      <formula>AND(AG148&gt;=70101,AG148&lt;=70301)</formula>
    </cfRule>
    <cfRule type="expression" dxfId="16321" priority="2369" stopIfTrue="1">
      <formula>AND(AG148&gt;70000,AG148&lt;70004)</formula>
    </cfRule>
    <cfRule type="expression" dxfId="16320" priority="2370" stopIfTrue="1">
      <formula>AND(AG148&gt;=70010,AG148&lt;=76000)</formula>
    </cfRule>
    <cfRule type="expression" dxfId="16319" priority="2371">
      <formula>AND(AG148&gt;70000,AG148&lt;70004)</formula>
    </cfRule>
    <cfRule type="expression" dxfId="16318" priority="2372" stopIfTrue="1">
      <formula>OR(AND(AG148&gt;=10000,AG148&lt;=56999),AND(AG148&gt;=57000,AG148&lt;=57999))</formula>
    </cfRule>
    <cfRule type="expression" dxfId="16317" priority="2373" stopIfTrue="1">
      <formula>AND(AG148&gt;=8000,AG148&lt;=9999)</formula>
    </cfRule>
    <cfRule type="expression" dxfId="16316" priority="2374" stopIfTrue="1">
      <formula>AND(AG148&gt;=78100,AG148&lt;=78199)</formula>
    </cfRule>
    <cfRule type="expression" dxfId="16315" priority="2375" stopIfTrue="1">
      <formula>AND(AG148&gt;=92000,AG148&lt;=98999)</formula>
    </cfRule>
    <cfRule type="expression" dxfId="16314" priority="2376" stopIfTrue="1">
      <formula>AND(AG148&gt;=78100,AG148&lt;=78199)</formula>
    </cfRule>
    <cfRule type="expression" dxfId="16313" priority="2377" stopIfTrue="1">
      <formula>AND(AG148&gt;=91000,AG148&lt;=91999)</formula>
    </cfRule>
  </conditionalFormatting>
  <conditionalFormatting sqref="AF148">
    <cfRule type="expression" dxfId="16312" priority="2356">
      <formula>AND(AG148&gt;=79001,AG148&lt;79900)</formula>
    </cfRule>
    <cfRule type="expression" dxfId="16311" priority="2357" stopIfTrue="1">
      <formula>AND(AG148&gt;=70101,AG148&lt;=70301)</formula>
    </cfRule>
    <cfRule type="expression" dxfId="16310" priority="2358" stopIfTrue="1">
      <formula>AND(AG148&gt;70000,AG148&lt;70004)</formula>
    </cfRule>
    <cfRule type="expression" dxfId="16309" priority="2359" stopIfTrue="1">
      <formula>AND(AG148&gt;=70010,AG148&lt;=76000)</formula>
    </cfRule>
    <cfRule type="expression" dxfId="16308" priority="2360">
      <formula>AND(AG148&gt;70000,AG148&lt;70004)</formula>
    </cfRule>
    <cfRule type="expression" dxfId="16307" priority="2361" stopIfTrue="1">
      <formula>OR(AND(AG148&gt;=10000,AG148&lt;=56999),AND(AG148&gt;=57000,AG148&lt;=57999))</formula>
    </cfRule>
    <cfRule type="expression" dxfId="16306" priority="2362" stopIfTrue="1">
      <formula>AND(AG148&gt;=8000,AG148&lt;=9999)</formula>
    </cfRule>
    <cfRule type="expression" dxfId="16305" priority="2363" stopIfTrue="1">
      <formula>AND(AG148&gt;=78100,AG148&lt;=78199)</formula>
    </cfRule>
    <cfRule type="expression" dxfId="16304" priority="2364" stopIfTrue="1">
      <formula>AND(AG148&gt;=92000,AG148&lt;=98999)</formula>
    </cfRule>
    <cfRule type="expression" dxfId="16303" priority="2365" stopIfTrue="1">
      <formula>AND(AG148&gt;=78100,AG148&lt;=78199)</formula>
    </cfRule>
    <cfRule type="expression" dxfId="16302" priority="2366" stopIfTrue="1">
      <formula>AND(AG148&gt;=91000,AG148&lt;=91999)</formula>
    </cfRule>
  </conditionalFormatting>
  <conditionalFormatting sqref="AF148">
    <cfRule type="expression" dxfId="16301" priority="2345">
      <formula>AND(AG148&gt;=79001,AG148&lt;79900)</formula>
    </cfRule>
    <cfRule type="expression" dxfId="16300" priority="2346" stopIfTrue="1">
      <formula>AND(AG148&gt;=70101,AG148&lt;=70301)</formula>
    </cfRule>
    <cfRule type="expression" dxfId="16299" priority="2347" stopIfTrue="1">
      <formula>AND(AG148&gt;70000,AG148&lt;70004)</formula>
    </cfRule>
    <cfRule type="expression" dxfId="16298" priority="2348" stopIfTrue="1">
      <formula>AND(AG148&gt;=70010,AG148&lt;=76000)</formula>
    </cfRule>
    <cfRule type="expression" dxfId="16297" priority="2349">
      <formula>AND(AG148&gt;70000,AG148&lt;70004)</formula>
    </cfRule>
    <cfRule type="expression" dxfId="16296" priority="2350" stopIfTrue="1">
      <formula>OR(AND(AG148&gt;=10000,AG148&lt;=56999),AND(AG148&gt;=57000,AG148&lt;=57999))</formula>
    </cfRule>
    <cfRule type="expression" dxfId="16295" priority="2351" stopIfTrue="1">
      <formula>AND(AG148&gt;=8000,AG148&lt;=9999)</formula>
    </cfRule>
    <cfRule type="expression" dxfId="16294" priority="2352" stopIfTrue="1">
      <formula>AND(AG148&gt;=78100,AG148&lt;=78199)</formula>
    </cfRule>
    <cfRule type="expression" dxfId="16293" priority="2353" stopIfTrue="1">
      <formula>AND(AG148&gt;=92000,AG148&lt;=98999)</formula>
    </cfRule>
    <cfRule type="expression" dxfId="16292" priority="2354" stopIfTrue="1">
      <formula>AND(AG148&gt;=78100,AG148&lt;=78199)</formula>
    </cfRule>
    <cfRule type="expression" dxfId="16291" priority="2355" stopIfTrue="1">
      <formula>AND(AG148&gt;=91000,AG148&lt;=91999)</formula>
    </cfRule>
  </conditionalFormatting>
  <conditionalFormatting sqref="X151">
    <cfRule type="expression" dxfId="16290" priority="2334">
      <formula>AND(Y151&gt;=79001,Y151&lt;79900)</formula>
    </cfRule>
    <cfRule type="expression" dxfId="16289" priority="2335" stopIfTrue="1">
      <formula>AND(Y151&gt;=70101,Y151&lt;=70301)</formula>
    </cfRule>
    <cfRule type="expression" dxfId="16288" priority="2336" stopIfTrue="1">
      <formula>AND(Y151&gt;70000,Y151&lt;70004)</formula>
    </cfRule>
    <cfRule type="expression" dxfId="16287" priority="2337" stopIfTrue="1">
      <formula>AND(Y151&gt;=70010,Y151&lt;=76000)</formula>
    </cfRule>
    <cfRule type="expression" dxfId="16286" priority="2338">
      <formula>AND(Y151&gt;70000,Y151&lt;70004)</formula>
    </cfRule>
    <cfRule type="expression" dxfId="16285" priority="2339" stopIfTrue="1">
      <formula>OR(AND(Y151&gt;=10000,Y151&lt;=56999),AND(Y151&gt;=57000,Y151&lt;=57999))</formula>
    </cfRule>
    <cfRule type="expression" dxfId="16284" priority="2340" stopIfTrue="1">
      <formula>AND(Y151&gt;=8000,Y151&lt;=9999)</formula>
    </cfRule>
    <cfRule type="expression" dxfId="16283" priority="2341" stopIfTrue="1">
      <formula>AND(Y151&gt;=78100,Y151&lt;=78199)</formula>
    </cfRule>
    <cfRule type="expression" dxfId="16282" priority="2342" stopIfTrue="1">
      <formula>AND(Y151&gt;=92000,Y151&lt;=98999)</formula>
    </cfRule>
    <cfRule type="expression" dxfId="16281" priority="2343" stopIfTrue="1">
      <formula>AND(Y151&gt;=78100,Y151&lt;=78199)</formula>
    </cfRule>
    <cfRule type="expression" dxfId="16280" priority="2344" stopIfTrue="1">
      <formula>AND(Y151&gt;=91000,Y151&lt;=91999)</formula>
    </cfRule>
  </conditionalFormatting>
  <conditionalFormatting sqref="X151">
    <cfRule type="expression" dxfId="16279" priority="2323">
      <formula>AND(Y151&gt;=79001,Y151&lt;79900)</formula>
    </cfRule>
    <cfRule type="expression" dxfId="16278" priority="2324" stopIfTrue="1">
      <formula>AND(Y151&gt;=70101,Y151&lt;=70301)</formula>
    </cfRule>
    <cfRule type="expression" dxfId="16277" priority="2325" stopIfTrue="1">
      <formula>AND(Y151&gt;70000,Y151&lt;70004)</formula>
    </cfRule>
    <cfRule type="expression" dxfId="16276" priority="2326" stopIfTrue="1">
      <formula>AND(Y151&gt;=70010,Y151&lt;=76000)</formula>
    </cfRule>
    <cfRule type="expression" dxfId="16275" priority="2327">
      <formula>AND(Y151&gt;70000,Y151&lt;70004)</formula>
    </cfRule>
    <cfRule type="expression" dxfId="16274" priority="2328" stopIfTrue="1">
      <formula>OR(AND(Y151&gt;=10000,Y151&lt;=56999),AND(Y151&gt;=57000,Y151&lt;=57999))</formula>
    </cfRule>
    <cfRule type="expression" dxfId="16273" priority="2329" stopIfTrue="1">
      <formula>AND(Y151&gt;=8000,Y151&lt;=9999)</formula>
    </cfRule>
    <cfRule type="expression" dxfId="16272" priority="2330" stopIfTrue="1">
      <formula>AND(Y151&gt;=78100,Y151&lt;=78199)</formula>
    </cfRule>
    <cfRule type="expression" dxfId="16271" priority="2331" stopIfTrue="1">
      <formula>AND(Y151&gt;=92000,Y151&lt;=98999)</formula>
    </cfRule>
    <cfRule type="expression" dxfId="16270" priority="2332" stopIfTrue="1">
      <formula>AND(Y151&gt;=78100,Y151&lt;=78199)</formula>
    </cfRule>
    <cfRule type="expression" dxfId="16269" priority="2333" stopIfTrue="1">
      <formula>AND(Y151&gt;=91000,Y151&lt;=91999)</formula>
    </cfRule>
  </conditionalFormatting>
  <conditionalFormatting sqref="X151">
    <cfRule type="expression" dxfId="16268" priority="2312">
      <formula>AND(Y151&gt;=79001,Y151&lt;79900)</formula>
    </cfRule>
    <cfRule type="expression" dxfId="16267" priority="2313" stopIfTrue="1">
      <formula>AND(Y151&gt;=70101,Y151&lt;=70301)</formula>
    </cfRule>
    <cfRule type="expression" dxfId="16266" priority="2314" stopIfTrue="1">
      <formula>AND(Y151&gt;70000,Y151&lt;70004)</formula>
    </cfRule>
    <cfRule type="expression" dxfId="16265" priority="2315" stopIfTrue="1">
      <formula>AND(Y151&gt;=70010,Y151&lt;=76000)</formula>
    </cfRule>
    <cfRule type="expression" dxfId="16264" priority="2316">
      <formula>AND(Y151&gt;70000,Y151&lt;70004)</formula>
    </cfRule>
    <cfRule type="expression" dxfId="16263" priority="2317" stopIfTrue="1">
      <formula>OR(AND(Y151&gt;=10000,Y151&lt;=56999),AND(Y151&gt;=57000,Y151&lt;=57999))</formula>
    </cfRule>
    <cfRule type="expression" dxfId="16262" priority="2318" stopIfTrue="1">
      <formula>AND(Y151&gt;=8000,Y151&lt;=9999)</formula>
    </cfRule>
    <cfRule type="expression" dxfId="16261" priority="2319" stopIfTrue="1">
      <formula>AND(Y151&gt;=78100,Y151&lt;=78199)</formula>
    </cfRule>
    <cfRule type="expression" dxfId="16260" priority="2320" stopIfTrue="1">
      <formula>AND(Y151&gt;=92000,Y151&lt;=98999)</formula>
    </cfRule>
    <cfRule type="expression" dxfId="16259" priority="2321" stopIfTrue="1">
      <formula>AND(Y151&gt;=78100,Y151&lt;=78199)</formula>
    </cfRule>
    <cfRule type="expression" dxfId="16258" priority="2322" stopIfTrue="1">
      <formula>AND(Y151&gt;=91000,Y151&lt;=91999)</formula>
    </cfRule>
  </conditionalFormatting>
  <conditionalFormatting sqref="X151">
    <cfRule type="expression" dxfId="16257" priority="2301">
      <formula>AND(Y151&gt;=79001,Y151&lt;79900)</formula>
    </cfRule>
    <cfRule type="expression" dxfId="16256" priority="2302" stopIfTrue="1">
      <formula>AND(Y151&gt;=70101,Y151&lt;=70301)</formula>
    </cfRule>
    <cfRule type="expression" dxfId="16255" priority="2303" stopIfTrue="1">
      <formula>AND(Y151&gt;70000,Y151&lt;70004)</formula>
    </cfRule>
    <cfRule type="expression" dxfId="16254" priority="2304" stopIfTrue="1">
      <formula>AND(Y151&gt;=70010,Y151&lt;=76000)</formula>
    </cfRule>
    <cfRule type="expression" dxfId="16253" priority="2305">
      <formula>AND(Y151&gt;70000,Y151&lt;70004)</formula>
    </cfRule>
    <cfRule type="expression" dxfId="16252" priority="2306" stopIfTrue="1">
      <formula>OR(AND(Y151&gt;=10000,Y151&lt;=56999),AND(Y151&gt;=57000,Y151&lt;=57999))</formula>
    </cfRule>
    <cfRule type="expression" dxfId="16251" priority="2307" stopIfTrue="1">
      <formula>AND(Y151&gt;=8000,Y151&lt;=9999)</formula>
    </cfRule>
    <cfRule type="expression" dxfId="16250" priority="2308" stopIfTrue="1">
      <formula>AND(Y151&gt;=78100,Y151&lt;=78199)</formula>
    </cfRule>
    <cfRule type="expression" dxfId="16249" priority="2309" stopIfTrue="1">
      <formula>AND(Y151&gt;=92000,Y151&lt;=98999)</formula>
    </cfRule>
    <cfRule type="expression" dxfId="16248" priority="2310" stopIfTrue="1">
      <formula>AND(Y151&gt;=78100,Y151&lt;=78199)</formula>
    </cfRule>
    <cfRule type="expression" dxfId="16247" priority="2311" stopIfTrue="1">
      <formula>AND(Y151&gt;=91000,Y151&lt;=91999)</formula>
    </cfRule>
  </conditionalFormatting>
  <conditionalFormatting sqref="AB151">
    <cfRule type="expression" dxfId="16246" priority="2290">
      <formula>AND(AC151&gt;=79001,AC151&lt;79900)</formula>
    </cfRule>
    <cfRule type="expression" dxfId="16245" priority="2291" stopIfTrue="1">
      <formula>AND(AC151&gt;=70101,AC151&lt;=70301)</formula>
    </cfRule>
    <cfRule type="expression" dxfId="16244" priority="2292" stopIfTrue="1">
      <formula>AND(AC151&gt;70000,AC151&lt;70004)</formula>
    </cfRule>
    <cfRule type="expression" dxfId="16243" priority="2293" stopIfTrue="1">
      <formula>AND(AC151&gt;=70010,AC151&lt;=76000)</formula>
    </cfRule>
    <cfRule type="expression" dxfId="16242" priority="2294">
      <formula>AND(AC151&gt;70000,AC151&lt;70004)</formula>
    </cfRule>
    <cfRule type="expression" dxfId="16241" priority="2295" stopIfTrue="1">
      <formula>OR(AND(AC151&gt;=10000,AC151&lt;=56999),AND(AC151&gt;=57000,AC151&lt;=57999))</formula>
    </cfRule>
    <cfRule type="expression" dxfId="16240" priority="2296" stopIfTrue="1">
      <formula>AND(AC151&gt;=8000,AC151&lt;=9999)</formula>
    </cfRule>
    <cfRule type="expression" dxfId="16239" priority="2297" stopIfTrue="1">
      <formula>AND(AC151&gt;=78100,AC151&lt;=78199)</formula>
    </cfRule>
    <cfRule type="expression" dxfId="16238" priority="2298" stopIfTrue="1">
      <formula>AND(AC151&gt;=92000,AC151&lt;=98999)</formula>
    </cfRule>
    <cfRule type="expression" dxfId="16237" priority="2299" stopIfTrue="1">
      <formula>AND(AC151&gt;=78100,AC151&lt;=78199)</formula>
    </cfRule>
    <cfRule type="expression" dxfId="16236" priority="2300" stopIfTrue="1">
      <formula>AND(AC151&gt;=91000,AC151&lt;=91999)</formula>
    </cfRule>
  </conditionalFormatting>
  <conditionalFormatting sqref="AB151">
    <cfRule type="expression" dxfId="16235" priority="2279">
      <formula>AND(AC151&gt;=79001,AC151&lt;79900)</formula>
    </cfRule>
    <cfRule type="expression" dxfId="16234" priority="2280" stopIfTrue="1">
      <formula>AND(AC151&gt;=70101,AC151&lt;=70301)</formula>
    </cfRule>
    <cfRule type="expression" dxfId="16233" priority="2281" stopIfTrue="1">
      <formula>AND(AC151&gt;70000,AC151&lt;70004)</formula>
    </cfRule>
    <cfRule type="expression" dxfId="16232" priority="2282" stopIfTrue="1">
      <formula>AND(AC151&gt;=70010,AC151&lt;=76000)</formula>
    </cfRule>
    <cfRule type="expression" dxfId="16231" priority="2283">
      <formula>AND(AC151&gt;70000,AC151&lt;70004)</formula>
    </cfRule>
    <cfRule type="expression" dxfId="16230" priority="2284" stopIfTrue="1">
      <formula>OR(AND(AC151&gt;=10000,AC151&lt;=56999),AND(AC151&gt;=57000,AC151&lt;=57999))</formula>
    </cfRule>
    <cfRule type="expression" dxfId="16229" priority="2285" stopIfTrue="1">
      <formula>AND(AC151&gt;=8000,AC151&lt;=9999)</formula>
    </cfRule>
    <cfRule type="expression" dxfId="16228" priority="2286" stopIfTrue="1">
      <formula>AND(AC151&gt;=78100,AC151&lt;=78199)</formula>
    </cfRule>
    <cfRule type="expression" dxfId="16227" priority="2287" stopIfTrue="1">
      <formula>AND(AC151&gt;=92000,AC151&lt;=98999)</formula>
    </cfRule>
    <cfRule type="expression" dxfId="16226" priority="2288" stopIfTrue="1">
      <formula>AND(AC151&gt;=78100,AC151&lt;=78199)</formula>
    </cfRule>
    <cfRule type="expression" dxfId="16225" priority="2289" stopIfTrue="1">
      <formula>AND(AC151&gt;=91000,AC151&lt;=91999)</formula>
    </cfRule>
  </conditionalFormatting>
  <conditionalFormatting sqref="AB151">
    <cfRule type="expression" dxfId="16224" priority="2268">
      <formula>AND(AC151&gt;=79001,AC151&lt;79900)</formula>
    </cfRule>
    <cfRule type="expression" dxfId="16223" priority="2269" stopIfTrue="1">
      <formula>AND(AC151&gt;=70101,AC151&lt;=70301)</formula>
    </cfRule>
    <cfRule type="expression" dxfId="16222" priority="2270" stopIfTrue="1">
      <formula>AND(AC151&gt;70000,AC151&lt;70004)</formula>
    </cfRule>
    <cfRule type="expression" dxfId="16221" priority="2271" stopIfTrue="1">
      <formula>AND(AC151&gt;=70010,AC151&lt;=76000)</formula>
    </cfRule>
    <cfRule type="expression" dxfId="16220" priority="2272">
      <formula>AND(AC151&gt;70000,AC151&lt;70004)</formula>
    </cfRule>
    <cfRule type="expression" dxfId="16219" priority="2273" stopIfTrue="1">
      <formula>OR(AND(AC151&gt;=10000,AC151&lt;=56999),AND(AC151&gt;=57000,AC151&lt;=57999))</formula>
    </cfRule>
    <cfRule type="expression" dxfId="16218" priority="2274" stopIfTrue="1">
      <formula>AND(AC151&gt;=8000,AC151&lt;=9999)</formula>
    </cfRule>
    <cfRule type="expression" dxfId="16217" priority="2275" stopIfTrue="1">
      <formula>AND(AC151&gt;=78100,AC151&lt;=78199)</formula>
    </cfRule>
    <cfRule type="expression" dxfId="16216" priority="2276" stopIfTrue="1">
      <formula>AND(AC151&gt;=92000,AC151&lt;=98999)</formula>
    </cfRule>
    <cfRule type="expression" dxfId="16215" priority="2277" stopIfTrue="1">
      <formula>AND(AC151&gt;=78100,AC151&lt;=78199)</formula>
    </cfRule>
    <cfRule type="expression" dxfId="16214" priority="2278" stopIfTrue="1">
      <formula>AND(AC151&gt;=91000,AC151&lt;=91999)</formula>
    </cfRule>
  </conditionalFormatting>
  <conditionalFormatting sqref="AB151">
    <cfRule type="expression" dxfId="16213" priority="2257">
      <formula>AND(AC151&gt;=79001,AC151&lt;79900)</formula>
    </cfRule>
    <cfRule type="expression" dxfId="16212" priority="2258" stopIfTrue="1">
      <formula>AND(AC151&gt;=70101,AC151&lt;=70301)</formula>
    </cfRule>
    <cfRule type="expression" dxfId="16211" priority="2259" stopIfTrue="1">
      <formula>AND(AC151&gt;70000,AC151&lt;70004)</formula>
    </cfRule>
    <cfRule type="expression" dxfId="16210" priority="2260" stopIfTrue="1">
      <formula>AND(AC151&gt;=70010,AC151&lt;=76000)</formula>
    </cfRule>
    <cfRule type="expression" dxfId="16209" priority="2261">
      <formula>AND(AC151&gt;70000,AC151&lt;70004)</formula>
    </cfRule>
    <cfRule type="expression" dxfId="16208" priority="2262" stopIfTrue="1">
      <formula>OR(AND(AC151&gt;=10000,AC151&lt;=56999),AND(AC151&gt;=57000,AC151&lt;=57999))</formula>
    </cfRule>
    <cfRule type="expression" dxfId="16207" priority="2263" stopIfTrue="1">
      <formula>AND(AC151&gt;=8000,AC151&lt;=9999)</formula>
    </cfRule>
    <cfRule type="expression" dxfId="16206" priority="2264" stopIfTrue="1">
      <formula>AND(AC151&gt;=78100,AC151&lt;=78199)</formula>
    </cfRule>
    <cfRule type="expression" dxfId="16205" priority="2265" stopIfTrue="1">
      <formula>AND(AC151&gt;=92000,AC151&lt;=98999)</formula>
    </cfRule>
    <cfRule type="expression" dxfId="16204" priority="2266" stopIfTrue="1">
      <formula>AND(AC151&gt;=78100,AC151&lt;=78199)</formula>
    </cfRule>
    <cfRule type="expression" dxfId="16203" priority="2267" stopIfTrue="1">
      <formula>AND(AC151&gt;=91000,AC151&lt;=91999)</formula>
    </cfRule>
  </conditionalFormatting>
  <conditionalFormatting sqref="AF151">
    <cfRule type="expression" dxfId="16202" priority="2246">
      <formula>AND(AG151&gt;=79001,AG151&lt;79900)</formula>
    </cfRule>
    <cfRule type="expression" dxfId="16201" priority="2247" stopIfTrue="1">
      <formula>AND(AG151&gt;=70101,AG151&lt;=70301)</formula>
    </cfRule>
    <cfRule type="expression" dxfId="16200" priority="2248" stopIfTrue="1">
      <formula>AND(AG151&gt;70000,AG151&lt;70004)</formula>
    </cfRule>
    <cfRule type="expression" dxfId="16199" priority="2249" stopIfTrue="1">
      <formula>AND(AG151&gt;=70010,AG151&lt;=76000)</formula>
    </cfRule>
    <cfRule type="expression" dxfId="16198" priority="2250">
      <formula>AND(AG151&gt;70000,AG151&lt;70004)</formula>
    </cfRule>
    <cfRule type="expression" dxfId="16197" priority="2251" stopIfTrue="1">
      <formula>OR(AND(AG151&gt;=10000,AG151&lt;=56999),AND(AG151&gt;=57000,AG151&lt;=57999))</formula>
    </cfRule>
    <cfRule type="expression" dxfId="16196" priority="2252" stopIfTrue="1">
      <formula>AND(AG151&gt;=8000,AG151&lt;=9999)</formula>
    </cfRule>
    <cfRule type="expression" dxfId="16195" priority="2253" stopIfTrue="1">
      <formula>AND(AG151&gt;=78100,AG151&lt;=78199)</formula>
    </cfRule>
    <cfRule type="expression" dxfId="16194" priority="2254" stopIfTrue="1">
      <formula>AND(AG151&gt;=92000,AG151&lt;=98999)</formula>
    </cfRule>
    <cfRule type="expression" dxfId="16193" priority="2255" stopIfTrue="1">
      <formula>AND(AG151&gt;=78100,AG151&lt;=78199)</formula>
    </cfRule>
    <cfRule type="expression" dxfId="16192" priority="2256" stopIfTrue="1">
      <formula>AND(AG151&gt;=91000,AG151&lt;=91999)</formula>
    </cfRule>
  </conditionalFormatting>
  <conditionalFormatting sqref="AF151">
    <cfRule type="expression" dxfId="16191" priority="2235">
      <formula>AND(AG151&gt;=79001,AG151&lt;79900)</formula>
    </cfRule>
    <cfRule type="expression" dxfId="16190" priority="2236" stopIfTrue="1">
      <formula>AND(AG151&gt;=70101,AG151&lt;=70301)</formula>
    </cfRule>
    <cfRule type="expression" dxfId="16189" priority="2237" stopIfTrue="1">
      <formula>AND(AG151&gt;70000,AG151&lt;70004)</formula>
    </cfRule>
    <cfRule type="expression" dxfId="16188" priority="2238" stopIfTrue="1">
      <formula>AND(AG151&gt;=70010,AG151&lt;=76000)</formula>
    </cfRule>
    <cfRule type="expression" dxfId="16187" priority="2239">
      <formula>AND(AG151&gt;70000,AG151&lt;70004)</formula>
    </cfRule>
    <cfRule type="expression" dxfId="16186" priority="2240" stopIfTrue="1">
      <formula>OR(AND(AG151&gt;=10000,AG151&lt;=56999),AND(AG151&gt;=57000,AG151&lt;=57999))</formula>
    </cfRule>
    <cfRule type="expression" dxfId="16185" priority="2241" stopIfTrue="1">
      <formula>AND(AG151&gt;=8000,AG151&lt;=9999)</formula>
    </cfRule>
    <cfRule type="expression" dxfId="16184" priority="2242" stopIfTrue="1">
      <formula>AND(AG151&gt;=78100,AG151&lt;=78199)</formula>
    </cfRule>
    <cfRule type="expression" dxfId="16183" priority="2243" stopIfTrue="1">
      <formula>AND(AG151&gt;=92000,AG151&lt;=98999)</formula>
    </cfRule>
    <cfRule type="expression" dxfId="16182" priority="2244" stopIfTrue="1">
      <formula>AND(AG151&gt;=78100,AG151&lt;=78199)</formula>
    </cfRule>
    <cfRule type="expression" dxfId="16181" priority="2245" stopIfTrue="1">
      <formula>AND(AG151&gt;=91000,AG151&lt;=91999)</formula>
    </cfRule>
  </conditionalFormatting>
  <conditionalFormatting sqref="AF151">
    <cfRule type="expression" dxfId="16180" priority="2224">
      <formula>AND(AG151&gt;=79001,AG151&lt;79900)</formula>
    </cfRule>
    <cfRule type="expression" dxfId="16179" priority="2225" stopIfTrue="1">
      <formula>AND(AG151&gt;=70101,AG151&lt;=70301)</formula>
    </cfRule>
    <cfRule type="expression" dxfId="16178" priority="2226" stopIfTrue="1">
      <formula>AND(AG151&gt;70000,AG151&lt;70004)</formula>
    </cfRule>
    <cfRule type="expression" dxfId="16177" priority="2227" stopIfTrue="1">
      <formula>AND(AG151&gt;=70010,AG151&lt;=76000)</formula>
    </cfRule>
    <cfRule type="expression" dxfId="16176" priority="2228">
      <formula>AND(AG151&gt;70000,AG151&lt;70004)</formula>
    </cfRule>
    <cfRule type="expression" dxfId="16175" priority="2229" stopIfTrue="1">
      <formula>OR(AND(AG151&gt;=10000,AG151&lt;=56999),AND(AG151&gt;=57000,AG151&lt;=57999))</formula>
    </cfRule>
    <cfRule type="expression" dxfId="16174" priority="2230" stopIfTrue="1">
      <formula>AND(AG151&gt;=8000,AG151&lt;=9999)</formula>
    </cfRule>
    <cfRule type="expression" dxfId="16173" priority="2231" stopIfTrue="1">
      <formula>AND(AG151&gt;=78100,AG151&lt;=78199)</formula>
    </cfRule>
    <cfRule type="expression" dxfId="16172" priority="2232" stopIfTrue="1">
      <formula>AND(AG151&gt;=92000,AG151&lt;=98999)</formula>
    </cfRule>
    <cfRule type="expression" dxfId="16171" priority="2233" stopIfTrue="1">
      <formula>AND(AG151&gt;=78100,AG151&lt;=78199)</formula>
    </cfRule>
    <cfRule type="expression" dxfId="16170" priority="2234" stopIfTrue="1">
      <formula>AND(AG151&gt;=91000,AG151&lt;=91999)</formula>
    </cfRule>
  </conditionalFormatting>
  <conditionalFormatting sqref="AF151">
    <cfRule type="expression" dxfId="16169" priority="2213">
      <formula>AND(AG151&gt;=79001,AG151&lt;79900)</formula>
    </cfRule>
    <cfRule type="expression" dxfId="16168" priority="2214" stopIfTrue="1">
      <formula>AND(AG151&gt;=70101,AG151&lt;=70301)</formula>
    </cfRule>
    <cfRule type="expression" dxfId="16167" priority="2215" stopIfTrue="1">
      <formula>AND(AG151&gt;70000,AG151&lt;70004)</formula>
    </cfRule>
    <cfRule type="expression" dxfId="16166" priority="2216" stopIfTrue="1">
      <formula>AND(AG151&gt;=70010,AG151&lt;=76000)</formula>
    </cfRule>
    <cfRule type="expression" dxfId="16165" priority="2217">
      <formula>AND(AG151&gt;70000,AG151&lt;70004)</formula>
    </cfRule>
    <cfRule type="expression" dxfId="16164" priority="2218" stopIfTrue="1">
      <formula>OR(AND(AG151&gt;=10000,AG151&lt;=56999),AND(AG151&gt;=57000,AG151&lt;=57999))</formula>
    </cfRule>
    <cfRule type="expression" dxfId="16163" priority="2219" stopIfTrue="1">
      <formula>AND(AG151&gt;=8000,AG151&lt;=9999)</formula>
    </cfRule>
    <cfRule type="expression" dxfId="16162" priority="2220" stopIfTrue="1">
      <formula>AND(AG151&gt;=78100,AG151&lt;=78199)</formula>
    </cfRule>
    <cfRule type="expression" dxfId="16161" priority="2221" stopIfTrue="1">
      <formula>AND(AG151&gt;=92000,AG151&lt;=98999)</formula>
    </cfRule>
    <cfRule type="expression" dxfId="16160" priority="2222" stopIfTrue="1">
      <formula>AND(AG151&gt;=78100,AG151&lt;=78199)</formula>
    </cfRule>
    <cfRule type="expression" dxfId="16159" priority="2223" stopIfTrue="1">
      <formula>AND(AG151&gt;=91000,AG151&lt;=91999)</formula>
    </cfRule>
  </conditionalFormatting>
  <conditionalFormatting sqref="T151">
    <cfRule type="expression" dxfId="16158" priority="2202">
      <formula>AND(U151&gt;=79001,U151&lt;79900)</formula>
    </cfRule>
    <cfRule type="expression" dxfId="16157" priority="2203" stopIfTrue="1">
      <formula>AND(U151&gt;=70101,U151&lt;=70301)</formula>
    </cfRule>
    <cfRule type="expression" dxfId="16156" priority="2204" stopIfTrue="1">
      <formula>AND(U151&gt;70000,U151&lt;70004)</formula>
    </cfRule>
    <cfRule type="expression" dxfId="16155" priority="2205" stopIfTrue="1">
      <formula>AND(U151&gt;=70010,U151&lt;=76000)</formula>
    </cfRule>
    <cfRule type="expression" dxfId="16154" priority="2206">
      <formula>AND(U151&gt;70000,U151&lt;70004)</formula>
    </cfRule>
    <cfRule type="expression" dxfId="16153" priority="2207" stopIfTrue="1">
      <formula>OR(AND(U151&gt;=10000,U151&lt;=56999),AND(U151&gt;=57000,U151&lt;=57999))</formula>
    </cfRule>
    <cfRule type="expression" dxfId="16152" priority="2208" stopIfTrue="1">
      <formula>AND(U151&gt;=8000,U151&lt;=9999)</formula>
    </cfRule>
    <cfRule type="expression" dxfId="16151" priority="2209" stopIfTrue="1">
      <formula>AND(U151&gt;=78100,U151&lt;=78199)</formula>
    </cfRule>
    <cfRule type="expression" dxfId="16150" priority="2210" stopIfTrue="1">
      <formula>AND(U151&gt;=92000,U151&lt;=98999)</formula>
    </cfRule>
    <cfRule type="expression" dxfId="16149" priority="2211" stopIfTrue="1">
      <formula>AND(U151&gt;=78100,U151&lt;=78199)</formula>
    </cfRule>
    <cfRule type="expression" dxfId="16148" priority="2212" stopIfTrue="1">
      <formula>AND(U151&gt;=91000,U151&lt;=91999)</formula>
    </cfRule>
  </conditionalFormatting>
  <conditionalFormatting sqref="T151">
    <cfRule type="expression" dxfId="16147" priority="2191">
      <formula>AND(U151&gt;=79001,U151&lt;79900)</formula>
    </cfRule>
    <cfRule type="expression" dxfId="16146" priority="2192" stopIfTrue="1">
      <formula>AND(U151&gt;=70101,U151&lt;=70301)</formula>
    </cfRule>
    <cfRule type="expression" dxfId="16145" priority="2193" stopIfTrue="1">
      <formula>AND(U151&gt;70000,U151&lt;70004)</formula>
    </cfRule>
    <cfRule type="expression" dxfId="16144" priority="2194" stopIfTrue="1">
      <formula>AND(U151&gt;=70010,U151&lt;=76000)</formula>
    </cfRule>
    <cfRule type="expression" dxfId="16143" priority="2195">
      <formula>AND(U151&gt;70000,U151&lt;70004)</formula>
    </cfRule>
    <cfRule type="expression" dxfId="16142" priority="2196" stopIfTrue="1">
      <formula>OR(AND(U151&gt;=10000,U151&lt;=56999),AND(U151&gt;=57000,U151&lt;=57999))</formula>
    </cfRule>
    <cfRule type="expression" dxfId="16141" priority="2197" stopIfTrue="1">
      <formula>AND(U151&gt;=8000,U151&lt;=9999)</formula>
    </cfRule>
    <cfRule type="expression" dxfId="16140" priority="2198" stopIfTrue="1">
      <formula>AND(U151&gt;=78100,U151&lt;=78199)</formula>
    </cfRule>
    <cfRule type="expression" dxfId="16139" priority="2199" stopIfTrue="1">
      <formula>AND(U151&gt;=92000,U151&lt;=98999)</formula>
    </cfRule>
    <cfRule type="expression" dxfId="16138" priority="2200" stopIfTrue="1">
      <formula>AND(U151&gt;=78100,U151&lt;=78199)</formula>
    </cfRule>
    <cfRule type="expression" dxfId="16137" priority="2201" stopIfTrue="1">
      <formula>AND(U151&gt;=91000,U151&lt;=91999)</formula>
    </cfRule>
  </conditionalFormatting>
  <conditionalFormatting sqref="T151">
    <cfRule type="expression" dxfId="16136" priority="2180">
      <formula>AND(U151&gt;=79001,U151&lt;79900)</formula>
    </cfRule>
    <cfRule type="expression" dxfId="16135" priority="2181" stopIfTrue="1">
      <formula>AND(U151&gt;=70101,U151&lt;=70301)</formula>
    </cfRule>
    <cfRule type="expression" dxfId="16134" priority="2182" stopIfTrue="1">
      <formula>AND(U151&gt;70000,U151&lt;70004)</formula>
    </cfRule>
    <cfRule type="expression" dxfId="16133" priority="2183" stopIfTrue="1">
      <formula>AND(U151&gt;=70010,U151&lt;=76000)</formula>
    </cfRule>
    <cfRule type="expression" dxfId="16132" priority="2184">
      <formula>AND(U151&gt;70000,U151&lt;70004)</formula>
    </cfRule>
    <cfRule type="expression" dxfId="16131" priority="2185" stopIfTrue="1">
      <formula>OR(AND(U151&gt;=10000,U151&lt;=56999),AND(U151&gt;=57000,U151&lt;=57999))</formula>
    </cfRule>
    <cfRule type="expression" dxfId="16130" priority="2186" stopIfTrue="1">
      <formula>AND(U151&gt;=8000,U151&lt;=9999)</formula>
    </cfRule>
    <cfRule type="expression" dxfId="16129" priority="2187" stopIfTrue="1">
      <formula>AND(U151&gt;=78100,U151&lt;=78199)</formula>
    </cfRule>
    <cfRule type="expression" dxfId="16128" priority="2188" stopIfTrue="1">
      <formula>AND(U151&gt;=92000,U151&lt;=98999)</formula>
    </cfRule>
    <cfRule type="expression" dxfId="16127" priority="2189" stopIfTrue="1">
      <formula>AND(U151&gt;=78100,U151&lt;=78199)</formula>
    </cfRule>
    <cfRule type="expression" dxfId="16126" priority="2190" stopIfTrue="1">
      <formula>AND(U151&gt;=91000,U151&lt;=91999)</formula>
    </cfRule>
  </conditionalFormatting>
  <conditionalFormatting sqref="T151">
    <cfRule type="expression" dxfId="16125" priority="2169">
      <formula>AND(U151&gt;=79001,U151&lt;79900)</formula>
    </cfRule>
    <cfRule type="expression" dxfId="16124" priority="2170" stopIfTrue="1">
      <formula>AND(U151&gt;=70101,U151&lt;=70301)</formula>
    </cfRule>
    <cfRule type="expression" dxfId="16123" priority="2171" stopIfTrue="1">
      <formula>AND(U151&gt;70000,U151&lt;70004)</formula>
    </cfRule>
    <cfRule type="expression" dxfId="16122" priority="2172" stopIfTrue="1">
      <formula>AND(U151&gt;=70010,U151&lt;=76000)</formula>
    </cfRule>
    <cfRule type="expression" dxfId="16121" priority="2173">
      <formula>AND(U151&gt;70000,U151&lt;70004)</formula>
    </cfRule>
    <cfRule type="expression" dxfId="16120" priority="2174" stopIfTrue="1">
      <formula>OR(AND(U151&gt;=10000,U151&lt;=56999),AND(U151&gt;=57000,U151&lt;=57999))</formula>
    </cfRule>
    <cfRule type="expression" dxfId="16119" priority="2175" stopIfTrue="1">
      <formula>AND(U151&gt;=8000,U151&lt;=9999)</formula>
    </cfRule>
    <cfRule type="expression" dxfId="16118" priority="2176" stopIfTrue="1">
      <formula>AND(U151&gt;=78100,U151&lt;=78199)</formula>
    </cfRule>
    <cfRule type="expression" dxfId="16117" priority="2177" stopIfTrue="1">
      <formula>AND(U151&gt;=92000,U151&lt;=98999)</formula>
    </cfRule>
    <cfRule type="expression" dxfId="16116" priority="2178" stopIfTrue="1">
      <formula>AND(U151&gt;=78100,U151&lt;=78199)</formula>
    </cfRule>
    <cfRule type="expression" dxfId="16115" priority="2179" stopIfTrue="1">
      <formula>AND(U151&gt;=91000,U151&lt;=91999)</formula>
    </cfRule>
  </conditionalFormatting>
  <conditionalFormatting sqref="X152">
    <cfRule type="expression" dxfId="16114" priority="2158">
      <formula>AND(Y152&gt;=79001,Y152&lt;79900)</formula>
    </cfRule>
    <cfRule type="expression" dxfId="16113" priority="2159" stopIfTrue="1">
      <formula>AND(Y152&gt;=70101,Y152&lt;=70301)</formula>
    </cfRule>
    <cfRule type="expression" dxfId="16112" priority="2160" stopIfTrue="1">
      <formula>AND(Y152&gt;70000,Y152&lt;70004)</formula>
    </cfRule>
    <cfRule type="expression" dxfId="16111" priority="2161" stopIfTrue="1">
      <formula>AND(Y152&gt;=70010,Y152&lt;=76000)</formula>
    </cfRule>
    <cfRule type="expression" dxfId="16110" priority="2162">
      <formula>AND(Y152&gt;70000,Y152&lt;70004)</formula>
    </cfRule>
    <cfRule type="expression" dxfId="16109" priority="2163" stopIfTrue="1">
      <formula>OR(AND(Y152&gt;=10000,Y152&lt;=56999),AND(Y152&gt;=57000,Y152&lt;=57999))</formula>
    </cfRule>
    <cfRule type="expression" dxfId="16108" priority="2164" stopIfTrue="1">
      <formula>AND(Y152&gt;=8000,Y152&lt;=9999)</formula>
    </cfRule>
    <cfRule type="expression" dxfId="16107" priority="2165" stopIfTrue="1">
      <formula>AND(Y152&gt;=78100,Y152&lt;=78199)</formula>
    </cfRule>
    <cfRule type="expression" dxfId="16106" priority="2166" stopIfTrue="1">
      <formula>AND(Y152&gt;=92000,Y152&lt;=98999)</formula>
    </cfRule>
    <cfRule type="expression" dxfId="16105" priority="2167" stopIfTrue="1">
      <formula>AND(Y152&gt;=78100,Y152&lt;=78199)</formula>
    </cfRule>
    <cfRule type="expression" dxfId="16104" priority="2168" stopIfTrue="1">
      <formula>AND(Y152&gt;=91000,Y152&lt;=91999)</formula>
    </cfRule>
  </conditionalFormatting>
  <conditionalFormatting sqref="X152">
    <cfRule type="expression" dxfId="16103" priority="2147">
      <formula>AND(Y152&gt;=79001,Y152&lt;79900)</formula>
    </cfRule>
    <cfRule type="expression" dxfId="16102" priority="2148" stopIfTrue="1">
      <formula>AND(Y152&gt;=70101,Y152&lt;=70301)</formula>
    </cfRule>
    <cfRule type="expression" dxfId="16101" priority="2149" stopIfTrue="1">
      <formula>AND(Y152&gt;70000,Y152&lt;70004)</formula>
    </cfRule>
    <cfRule type="expression" dxfId="16100" priority="2150" stopIfTrue="1">
      <formula>AND(Y152&gt;=70010,Y152&lt;=76000)</formula>
    </cfRule>
    <cfRule type="expression" dxfId="16099" priority="2151">
      <formula>AND(Y152&gt;70000,Y152&lt;70004)</formula>
    </cfRule>
    <cfRule type="expression" dxfId="16098" priority="2152" stopIfTrue="1">
      <formula>OR(AND(Y152&gt;=10000,Y152&lt;=56999),AND(Y152&gt;=57000,Y152&lt;=57999))</formula>
    </cfRule>
    <cfRule type="expression" dxfId="16097" priority="2153" stopIfTrue="1">
      <formula>AND(Y152&gt;=8000,Y152&lt;=9999)</formula>
    </cfRule>
    <cfRule type="expression" dxfId="16096" priority="2154" stopIfTrue="1">
      <formula>AND(Y152&gt;=78100,Y152&lt;=78199)</formula>
    </cfRule>
    <cfRule type="expression" dxfId="16095" priority="2155" stopIfTrue="1">
      <formula>AND(Y152&gt;=92000,Y152&lt;=98999)</formula>
    </cfRule>
    <cfRule type="expression" dxfId="16094" priority="2156" stopIfTrue="1">
      <formula>AND(Y152&gt;=78100,Y152&lt;=78199)</formula>
    </cfRule>
    <cfRule type="expression" dxfId="16093" priority="2157" stopIfTrue="1">
      <formula>AND(Y152&gt;=91000,Y152&lt;=91999)</formula>
    </cfRule>
  </conditionalFormatting>
  <conditionalFormatting sqref="X152">
    <cfRule type="expression" dxfId="16092" priority="2136">
      <formula>AND(Y152&gt;=79001,Y152&lt;79900)</formula>
    </cfRule>
    <cfRule type="expression" dxfId="16091" priority="2137" stopIfTrue="1">
      <formula>AND(Y152&gt;=70101,Y152&lt;=70301)</formula>
    </cfRule>
    <cfRule type="expression" dxfId="16090" priority="2138" stopIfTrue="1">
      <formula>AND(Y152&gt;70000,Y152&lt;70004)</formula>
    </cfRule>
    <cfRule type="expression" dxfId="16089" priority="2139" stopIfTrue="1">
      <formula>AND(Y152&gt;=70010,Y152&lt;=76000)</formula>
    </cfRule>
    <cfRule type="expression" dxfId="16088" priority="2140">
      <formula>AND(Y152&gt;70000,Y152&lt;70004)</formula>
    </cfRule>
    <cfRule type="expression" dxfId="16087" priority="2141" stopIfTrue="1">
      <formula>OR(AND(Y152&gt;=10000,Y152&lt;=56999),AND(Y152&gt;=57000,Y152&lt;=57999))</formula>
    </cfRule>
    <cfRule type="expression" dxfId="16086" priority="2142" stopIfTrue="1">
      <formula>AND(Y152&gt;=8000,Y152&lt;=9999)</formula>
    </cfRule>
    <cfRule type="expression" dxfId="16085" priority="2143" stopIfTrue="1">
      <formula>AND(Y152&gt;=78100,Y152&lt;=78199)</formula>
    </cfRule>
    <cfRule type="expression" dxfId="16084" priority="2144" stopIfTrue="1">
      <formula>AND(Y152&gt;=92000,Y152&lt;=98999)</formula>
    </cfRule>
    <cfRule type="expression" dxfId="16083" priority="2145" stopIfTrue="1">
      <formula>AND(Y152&gt;=78100,Y152&lt;=78199)</formula>
    </cfRule>
    <cfRule type="expression" dxfId="16082" priority="2146" stopIfTrue="1">
      <formula>AND(Y152&gt;=91000,Y152&lt;=91999)</formula>
    </cfRule>
  </conditionalFormatting>
  <conditionalFormatting sqref="X152">
    <cfRule type="expression" dxfId="16081" priority="2125">
      <formula>AND(Y152&gt;=79001,Y152&lt;79900)</formula>
    </cfRule>
    <cfRule type="expression" dxfId="16080" priority="2126" stopIfTrue="1">
      <formula>AND(Y152&gt;=70101,Y152&lt;=70301)</formula>
    </cfRule>
    <cfRule type="expression" dxfId="16079" priority="2127" stopIfTrue="1">
      <formula>AND(Y152&gt;70000,Y152&lt;70004)</formula>
    </cfRule>
    <cfRule type="expression" dxfId="16078" priority="2128" stopIfTrue="1">
      <formula>AND(Y152&gt;=70010,Y152&lt;=76000)</formula>
    </cfRule>
    <cfRule type="expression" dxfId="16077" priority="2129">
      <formula>AND(Y152&gt;70000,Y152&lt;70004)</formula>
    </cfRule>
    <cfRule type="expression" dxfId="16076" priority="2130" stopIfTrue="1">
      <formula>OR(AND(Y152&gt;=10000,Y152&lt;=56999),AND(Y152&gt;=57000,Y152&lt;=57999))</formula>
    </cfRule>
    <cfRule type="expression" dxfId="16075" priority="2131" stopIfTrue="1">
      <formula>AND(Y152&gt;=8000,Y152&lt;=9999)</formula>
    </cfRule>
    <cfRule type="expression" dxfId="16074" priority="2132" stopIfTrue="1">
      <formula>AND(Y152&gt;=78100,Y152&lt;=78199)</formula>
    </cfRule>
    <cfRule type="expression" dxfId="16073" priority="2133" stopIfTrue="1">
      <formula>AND(Y152&gt;=92000,Y152&lt;=98999)</formula>
    </cfRule>
    <cfRule type="expression" dxfId="16072" priority="2134" stopIfTrue="1">
      <formula>AND(Y152&gt;=78100,Y152&lt;=78199)</formula>
    </cfRule>
    <cfRule type="expression" dxfId="16071" priority="2135" stopIfTrue="1">
      <formula>AND(Y152&gt;=91000,Y152&lt;=91999)</formula>
    </cfRule>
  </conditionalFormatting>
  <conditionalFormatting sqref="AB152">
    <cfRule type="expression" dxfId="16070" priority="2114">
      <formula>AND(AC152&gt;=79001,AC152&lt;79900)</formula>
    </cfRule>
    <cfRule type="expression" dxfId="16069" priority="2115" stopIfTrue="1">
      <formula>AND(AC152&gt;=70101,AC152&lt;=70301)</formula>
    </cfRule>
    <cfRule type="expression" dxfId="16068" priority="2116" stopIfTrue="1">
      <formula>AND(AC152&gt;70000,AC152&lt;70004)</formula>
    </cfRule>
    <cfRule type="expression" dxfId="16067" priority="2117" stopIfTrue="1">
      <formula>AND(AC152&gt;=70010,AC152&lt;=76000)</formula>
    </cfRule>
    <cfRule type="expression" dxfId="16066" priority="2118">
      <formula>AND(AC152&gt;70000,AC152&lt;70004)</formula>
    </cfRule>
    <cfRule type="expression" dxfId="16065" priority="2119" stopIfTrue="1">
      <formula>OR(AND(AC152&gt;=10000,AC152&lt;=56999),AND(AC152&gt;=57000,AC152&lt;=57999))</formula>
    </cfRule>
    <cfRule type="expression" dxfId="16064" priority="2120" stopIfTrue="1">
      <formula>AND(AC152&gt;=8000,AC152&lt;=9999)</formula>
    </cfRule>
    <cfRule type="expression" dxfId="16063" priority="2121" stopIfTrue="1">
      <formula>AND(AC152&gt;=78100,AC152&lt;=78199)</formula>
    </cfRule>
    <cfRule type="expression" dxfId="16062" priority="2122" stopIfTrue="1">
      <formula>AND(AC152&gt;=92000,AC152&lt;=98999)</formula>
    </cfRule>
    <cfRule type="expression" dxfId="16061" priority="2123" stopIfTrue="1">
      <formula>AND(AC152&gt;=78100,AC152&lt;=78199)</formula>
    </cfRule>
    <cfRule type="expression" dxfId="16060" priority="2124" stopIfTrue="1">
      <formula>AND(AC152&gt;=91000,AC152&lt;=91999)</formula>
    </cfRule>
  </conditionalFormatting>
  <conditionalFormatting sqref="AB152">
    <cfRule type="expression" dxfId="16059" priority="2103">
      <formula>AND(AC152&gt;=79001,AC152&lt;79900)</formula>
    </cfRule>
    <cfRule type="expression" dxfId="16058" priority="2104" stopIfTrue="1">
      <formula>AND(AC152&gt;=70101,AC152&lt;=70301)</formula>
    </cfRule>
    <cfRule type="expression" dxfId="16057" priority="2105" stopIfTrue="1">
      <formula>AND(AC152&gt;70000,AC152&lt;70004)</formula>
    </cfRule>
    <cfRule type="expression" dxfId="16056" priority="2106" stopIfTrue="1">
      <formula>AND(AC152&gt;=70010,AC152&lt;=76000)</formula>
    </cfRule>
    <cfRule type="expression" dxfId="16055" priority="2107">
      <formula>AND(AC152&gt;70000,AC152&lt;70004)</formula>
    </cfRule>
    <cfRule type="expression" dxfId="16054" priority="2108" stopIfTrue="1">
      <formula>OR(AND(AC152&gt;=10000,AC152&lt;=56999),AND(AC152&gt;=57000,AC152&lt;=57999))</formula>
    </cfRule>
    <cfRule type="expression" dxfId="16053" priority="2109" stopIfTrue="1">
      <formula>AND(AC152&gt;=8000,AC152&lt;=9999)</formula>
    </cfRule>
    <cfRule type="expression" dxfId="16052" priority="2110" stopIfTrue="1">
      <formula>AND(AC152&gt;=78100,AC152&lt;=78199)</formula>
    </cfRule>
    <cfRule type="expression" dxfId="16051" priority="2111" stopIfTrue="1">
      <formula>AND(AC152&gt;=92000,AC152&lt;=98999)</formula>
    </cfRule>
    <cfRule type="expression" dxfId="16050" priority="2112" stopIfTrue="1">
      <formula>AND(AC152&gt;=78100,AC152&lt;=78199)</formula>
    </cfRule>
    <cfRule type="expression" dxfId="16049" priority="2113" stopIfTrue="1">
      <formula>AND(AC152&gt;=91000,AC152&lt;=91999)</formula>
    </cfRule>
  </conditionalFormatting>
  <conditionalFormatting sqref="AF152">
    <cfRule type="expression" dxfId="16048" priority="2092">
      <formula>AND(AG152&gt;=79001,AG152&lt;79900)</formula>
    </cfRule>
    <cfRule type="expression" dxfId="16047" priority="2093" stopIfTrue="1">
      <formula>AND(AG152&gt;=70101,AG152&lt;=70301)</formula>
    </cfRule>
    <cfRule type="expression" dxfId="16046" priority="2094" stopIfTrue="1">
      <formula>AND(AG152&gt;70000,AG152&lt;70004)</formula>
    </cfRule>
    <cfRule type="expression" dxfId="16045" priority="2095" stopIfTrue="1">
      <formula>AND(AG152&gt;=70010,AG152&lt;=76000)</formula>
    </cfRule>
    <cfRule type="expression" dxfId="16044" priority="2096">
      <formula>AND(AG152&gt;70000,AG152&lt;70004)</formula>
    </cfRule>
    <cfRule type="expression" dxfId="16043" priority="2097" stopIfTrue="1">
      <formula>OR(AND(AG152&gt;=10000,AG152&lt;=56999),AND(AG152&gt;=57000,AG152&lt;=57999))</formula>
    </cfRule>
    <cfRule type="expression" dxfId="16042" priority="2098" stopIfTrue="1">
      <formula>AND(AG152&gt;=8000,AG152&lt;=9999)</formula>
    </cfRule>
    <cfRule type="expression" dxfId="16041" priority="2099" stopIfTrue="1">
      <formula>AND(AG152&gt;=78100,AG152&lt;=78199)</formula>
    </cfRule>
    <cfRule type="expression" dxfId="16040" priority="2100" stopIfTrue="1">
      <formula>AND(AG152&gt;=92000,AG152&lt;=98999)</formula>
    </cfRule>
    <cfRule type="expression" dxfId="16039" priority="2101" stopIfTrue="1">
      <formula>AND(AG152&gt;=78100,AG152&lt;=78199)</formula>
    </cfRule>
    <cfRule type="expression" dxfId="16038" priority="2102" stopIfTrue="1">
      <formula>AND(AG152&gt;=91000,AG152&lt;=91999)</formula>
    </cfRule>
  </conditionalFormatting>
  <conditionalFormatting sqref="AJ152">
    <cfRule type="expression" dxfId="16037" priority="2081">
      <formula>AND(AK152&gt;=79001,AK152&lt;79900)</formula>
    </cfRule>
    <cfRule type="expression" dxfId="16036" priority="2082" stopIfTrue="1">
      <formula>AND(AK152&gt;=70101,AK152&lt;=70301)</formula>
    </cfRule>
    <cfRule type="expression" dxfId="16035" priority="2083" stopIfTrue="1">
      <formula>AND(AK152&gt;70000,AK152&lt;70004)</formula>
    </cfRule>
    <cfRule type="expression" dxfId="16034" priority="2084" stopIfTrue="1">
      <formula>AND(AK152&gt;=70010,AK152&lt;=76000)</formula>
    </cfRule>
    <cfRule type="expression" dxfId="16033" priority="2085">
      <formula>AND(AK152&gt;70000,AK152&lt;70004)</formula>
    </cfRule>
    <cfRule type="expression" dxfId="16032" priority="2086" stopIfTrue="1">
      <formula>OR(AND(AK152&gt;=10000,AK152&lt;=56999),AND(AK152&gt;=57000,AK152&lt;=57999))</formula>
    </cfRule>
    <cfRule type="expression" dxfId="16031" priority="2087" stopIfTrue="1">
      <formula>AND(AK152&gt;=8000,AK152&lt;=9999)</formula>
    </cfRule>
    <cfRule type="expression" dxfId="16030" priority="2088" stopIfTrue="1">
      <formula>AND(AK152&gt;=78100,AK152&lt;=78199)</formula>
    </cfRule>
    <cfRule type="expression" dxfId="16029" priority="2089" stopIfTrue="1">
      <formula>AND(AK152&gt;=92000,AK152&lt;=98999)</formula>
    </cfRule>
    <cfRule type="expression" dxfId="16028" priority="2090" stopIfTrue="1">
      <formula>AND(AK152&gt;=78100,AK152&lt;=78199)</formula>
    </cfRule>
    <cfRule type="expression" dxfId="16027" priority="2091" stopIfTrue="1">
      <formula>AND(AK152&gt;=91000,AK152&lt;=91999)</formula>
    </cfRule>
  </conditionalFormatting>
  <conditionalFormatting sqref="AF152">
    <cfRule type="expression" dxfId="16026" priority="2070">
      <formula>AND(AG152&gt;=79001,AG152&lt;79900)</formula>
    </cfRule>
    <cfRule type="expression" dxfId="16025" priority="2071" stopIfTrue="1">
      <formula>AND(AG152&gt;=70101,AG152&lt;=70301)</formula>
    </cfRule>
    <cfRule type="expression" dxfId="16024" priority="2072" stopIfTrue="1">
      <formula>AND(AG152&gt;70000,AG152&lt;70004)</formula>
    </cfRule>
    <cfRule type="expression" dxfId="16023" priority="2073" stopIfTrue="1">
      <formula>AND(AG152&gt;=70010,AG152&lt;=76000)</formula>
    </cfRule>
    <cfRule type="expression" dxfId="16022" priority="2074">
      <formula>AND(AG152&gt;70000,AG152&lt;70004)</formula>
    </cfRule>
    <cfRule type="expression" dxfId="16021" priority="2075" stopIfTrue="1">
      <formula>OR(AND(AG152&gt;=10000,AG152&lt;=56999),AND(AG152&gt;=57000,AG152&lt;=57999))</formula>
    </cfRule>
    <cfRule type="expression" dxfId="16020" priority="2076" stopIfTrue="1">
      <formula>AND(AG152&gt;=8000,AG152&lt;=9999)</formula>
    </cfRule>
    <cfRule type="expression" dxfId="16019" priority="2077" stopIfTrue="1">
      <formula>AND(AG152&gt;=78100,AG152&lt;=78199)</formula>
    </cfRule>
    <cfRule type="expression" dxfId="16018" priority="2078" stopIfTrue="1">
      <formula>AND(AG152&gt;=92000,AG152&lt;=98999)</formula>
    </cfRule>
    <cfRule type="expression" dxfId="16017" priority="2079" stopIfTrue="1">
      <formula>AND(AG152&gt;=78100,AG152&lt;=78199)</formula>
    </cfRule>
    <cfRule type="expression" dxfId="16016" priority="2080" stopIfTrue="1">
      <formula>AND(AG152&gt;=91000,AG152&lt;=91999)</formula>
    </cfRule>
  </conditionalFormatting>
  <conditionalFormatting sqref="AJ152">
    <cfRule type="expression" dxfId="16015" priority="2059">
      <formula>AND(AK152&gt;=79001,AK152&lt;79900)</formula>
    </cfRule>
    <cfRule type="expression" dxfId="16014" priority="2060" stopIfTrue="1">
      <formula>AND(AK152&gt;=70101,AK152&lt;=70301)</formula>
    </cfRule>
    <cfRule type="expression" dxfId="16013" priority="2061" stopIfTrue="1">
      <formula>AND(AK152&gt;70000,AK152&lt;70004)</formula>
    </cfRule>
    <cfRule type="expression" dxfId="16012" priority="2062" stopIfTrue="1">
      <formula>AND(AK152&gt;=70010,AK152&lt;=76000)</formula>
    </cfRule>
    <cfRule type="expression" dxfId="16011" priority="2063">
      <formula>AND(AK152&gt;70000,AK152&lt;70004)</formula>
    </cfRule>
    <cfRule type="expression" dxfId="16010" priority="2064" stopIfTrue="1">
      <formula>OR(AND(AK152&gt;=10000,AK152&lt;=56999),AND(AK152&gt;=57000,AK152&lt;=57999))</formula>
    </cfRule>
    <cfRule type="expression" dxfId="16009" priority="2065" stopIfTrue="1">
      <formula>AND(AK152&gt;=8000,AK152&lt;=9999)</formula>
    </cfRule>
    <cfRule type="expression" dxfId="16008" priority="2066" stopIfTrue="1">
      <formula>AND(AK152&gt;=78100,AK152&lt;=78199)</formula>
    </cfRule>
    <cfRule type="expression" dxfId="16007" priority="2067" stopIfTrue="1">
      <formula>AND(AK152&gt;=92000,AK152&lt;=98999)</formula>
    </cfRule>
    <cfRule type="expression" dxfId="16006" priority="2068" stopIfTrue="1">
      <formula>AND(AK152&gt;=78100,AK152&lt;=78199)</formula>
    </cfRule>
    <cfRule type="expression" dxfId="16005" priority="2069" stopIfTrue="1">
      <formula>AND(AK152&gt;=91000,AK152&lt;=91999)</formula>
    </cfRule>
  </conditionalFormatting>
  <conditionalFormatting sqref="AM152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52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52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52">
    <cfRule type="colorScale" priority="20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52">
    <cfRule type="colorScale" priority="20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52">
    <cfRule type="colorScale" priority="20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52">
    <cfRule type="expression" dxfId="16004" priority="2042">
      <formula>AND(U152&gt;=79001,U152&lt;79900)</formula>
    </cfRule>
    <cfRule type="expression" dxfId="16003" priority="2043" stopIfTrue="1">
      <formula>AND(U152&gt;=70101,U152&lt;=70301)</formula>
    </cfRule>
    <cfRule type="expression" dxfId="16002" priority="2044" stopIfTrue="1">
      <formula>AND(U152&gt;70000,U152&lt;70004)</formula>
    </cfRule>
    <cfRule type="expression" dxfId="16001" priority="2045" stopIfTrue="1">
      <formula>AND(U152&gt;=70010,U152&lt;=76000)</formula>
    </cfRule>
    <cfRule type="expression" dxfId="16000" priority="2046">
      <formula>AND(U152&gt;70000,U152&lt;70004)</formula>
    </cfRule>
    <cfRule type="expression" dxfId="15999" priority="2047" stopIfTrue="1">
      <formula>OR(AND(U152&gt;=10000,U152&lt;=56999),AND(U152&gt;=57000,U152&lt;=57999))</formula>
    </cfRule>
    <cfRule type="expression" dxfId="15998" priority="2048" stopIfTrue="1">
      <formula>AND(U152&gt;=8000,U152&lt;=9999)</formula>
    </cfRule>
    <cfRule type="expression" dxfId="15997" priority="2049" stopIfTrue="1">
      <formula>AND(U152&gt;=78100,U152&lt;=78199)</formula>
    </cfRule>
    <cfRule type="expression" dxfId="15996" priority="2050" stopIfTrue="1">
      <formula>AND(U152&gt;=92000,U152&lt;=98999)</formula>
    </cfRule>
    <cfRule type="expression" dxfId="15995" priority="2051" stopIfTrue="1">
      <formula>AND(U152&gt;=78100,U152&lt;=78199)</formula>
    </cfRule>
    <cfRule type="expression" dxfId="15994" priority="2052" stopIfTrue="1">
      <formula>AND(U152&gt;=91000,U152&lt;=91999)</formula>
    </cfRule>
  </conditionalFormatting>
  <conditionalFormatting sqref="T152">
    <cfRule type="expression" dxfId="15993" priority="2031">
      <formula>AND(U152&gt;=79001,U152&lt;79900)</formula>
    </cfRule>
    <cfRule type="expression" dxfId="15992" priority="2032" stopIfTrue="1">
      <formula>AND(U152&gt;=70101,U152&lt;=70301)</formula>
    </cfRule>
    <cfRule type="expression" dxfId="15991" priority="2033" stopIfTrue="1">
      <formula>AND(U152&gt;70000,U152&lt;70004)</formula>
    </cfRule>
    <cfRule type="expression" dxfId="15990" priority="2034" stopIfTrue="1">
      <formula>AND(U152&gt;=70010,U152&lt;=76000)</formula>
    </cfRule>
    <cfRule type="expression" dxfId="15989" priority="2035">
      <formula>AND(U152&gt;70000,U152&lt;70004)</formula>
    </cfRule>
    <cfRule type="expression" dxfId="15988" priority="2036" stopIfTrue="1">
      <formula>OR(AND(U152&gt;=10000,U152&lt;=56999),AND(U152&gt;=57000,U152&lt;=57999))</formula>
    </cfRule>
    <cfRule type="expression" dxfId="15987" priority="2037" stopIfTrue="1">
      <formula>AND(U152&gt;=8000,U152&lt;=9999)</formula>
    </cfRule>
    <cfRule type="expression" dxfId="15986" priority="2038" stopIfTrue="1">
      <formula>AND(U152&gt;=78100,U152&lt;=78199)</formula>
    </cfRule>
    <cfRule type="expression" dxfId="15985" priority="2039" stopIfTrue="1">
      <formula>AND(U152&gt;=92000,U152&lt;=98999)</formula>
    </cfRule>
    <cfRule type="expression" dxfId="15984" priority="2040" stopIfTrue="1">
      <formula>AND(U152&gt;=78100,U152&lt;=78199)</formula>
    </cfRule>
    <cfRule type="expression" dxfId="15983" priority="2041" stopIfTrue="1">
      <formula>AND(U152&gt;=91000,U152&lt;=91999)</formula>
    </cfRule>
  </conditionalFormatting>
  <conditionalFormatting sqref="T152">
    <cfRule type="expression" dxfId="15982" priority="2020">
      <formula>AND(U152&gt;=79001,U152&lt;79900)</formula>
    </cfRule>
    <cfRule type="expression" dxfId="15981" priority="2021" stopIfTrue="1">
      <formula>AND(U152&gt;=70101,U152&lt;=70301)</formula>
    </cfRule>
    <cfRule type="expression" dxfId="15980" priority="2022" stopIfTrue="1">
      <formula>AND(U152&gt;70000,U152&lt;70004)</formula>
    </cfRule>
    <cfRule type="expression" dxfId="15979" priority="2023" stopIfTrue="1">
      <formula>AND(U152&gt;=70010,U152&lt;=76000)</formula>
    </cfRule>
    <cfRule type="expression" dxfId="15978" priority="2024">
      <formula>AND(U152&gt;70000,U152&lt;70004)</formula>
    </cfRule>
    <cfRule type="expression" dxfId="15977" priority="2025" stopIfTrue="1">
      <formula>OR(AND(U152&gt;=10000,U152&lt;=56999),AND(U152&gt;=57000,U152&lt;=57999))</formula>
    </cfRule>
    <cfRule type="expression" dxfId="15976" priority="2026" stopIfTrue="1">
      <formula>AND(U152&gt;=8000,U152&lt;=9999)</formula>
    </cfRule>
    <cfRule type="expression" dxfId="15975" priority="2027" stopIfTrue="1">
      <formula>AND(U152&gt;=78100,U152&lt;=78199)</formula>
    </cfRule>
    <cfRule type="expression" dxfId="15974" priority="2028" stopIfTrue="1">
      <formula>AND(U152&gt;=92000,U152&lt;=98999)</formula>
    </cfRule>
    <cfRule type="expression" dxfId="15973" priority="2029" stopIfTrue="1">
      <formula>AND(U152&gt;=78100,U152&lt;=78199)</formula>
    </cfRule>
    <cfRule type="expression" dxfId="15972" priority="2030" stopIfTrue="1">
      <formula>AND(U152&gt;=91000,U152&lt;=91999)</formula>
    </cfRule>
  </conditionalFormatting>
  <conditionalFormatting sqref="T152">
    <cfRule type="expression" dxfId="15971" priority="2009">
      <formula>AND(U152&gt;=79001,U152&lt;79900)</formula>
    </cfRule>
    <cfRule type="expression" dxfId="15970" priority="2010" stopIfTrue="1">
      <formula>AND(U152&gt;=70101,U152&lt;=70301)</formula>
    </cfRule>
    <cfRule type="expression" dxfId="15969" priority="2011" stopIfTrue="1">
      <formula>AND(U152&gt;70000,U152&lt;70004)</formula>
    </cfRule>
    <cfRule type="expression" dxfId="15968" priority="2012" stopIfTrue="1">
      <formula>AND(U152&gt;=70010,U152&lt;=76000)</formula>
    </cfRule>
    <cfRule type="expression" dxfId="15967" priority="2013">
      <formula>AND(U152&gt;70000,U152&lt;70004)</formula>
    </cfRule>
    <cfRule type="expression" dxfId="15966" priority="2014" stopIfTrue="1">
      <formula>OR(AND(U152&gt;=10000,U152&lt;=56999),AND(U152&gt;=57000,U152&lt;=57999))</formula>
    </cfRule>
    <cfRule type="expression" dxfId="15965" priority="2015" stopIfTrue="1">
      <formula>AND(U152&gt;=8000,U152&lt;=9999)</formula>
    </cfRule>
    <cfRule type="expression" dxfId="15964" priority="2016" stopIfTrue="1">
      <formula>AND(U152&gt;=78100,U152&lt;=78199)</formula>
    </cfRule>
    <cfRule type="expression" dxfId="15963" priority="2017" stopIfTrue="1">
      <formula>AND(U152&gt;=92000,U152&lt;=98999)</formula>
    </cfRule>
    <cfRule type="expression" dxfId="15962" priority="2018" stopIfTrue="1">
      <formula>AND(U152&gt;=78100,U152&lt;=78199)</formula>
    </cfRule>
    <cfRule type="expression" dxfId="15961" priority="2019" stopIfTrue="1">
      <formula>AND(U152&gt;=91000,U152&lt;=91999)</formula>
    </cfRule>
  </conditionalFormatting>
  <conditionalFormatting sqref="AJ166:AK167 AM166:AM167">
    <cfRule type="expression" dxfId="15960" priority="1998">
      <formula>AND(AK166&gt;=79001,AK166&lt;79900)</formula>
    </cfRule>
    <cfRule type="expression" dxfId="15959" priority="1999" stopIfTrue="1">
      <formula>AND(AK166&gt;=70101,AK166&lt;=70301)</formula>
    </cfRule>
    <cfRule type="expression" dxfId="15958" priority="2000" stopIfTrue="1">
      <formula>AND(AK166&gt;70000,AK166&lt;70004)</formula>
    </cfRule>
    <cfRule type="expression" dxfId="15957" priority="2001" stopIfTrue="1">
      <formula>AND(AK166&gt;=70010,AK166&lt;=76000)</formula>
    </cfRule>
    <cfRule type="expression" dxfId="15956" priority="2002">
      <formula>AND(AK166&gt;70000,AK166&lt;70004)</formula>
    </cfRule>
    <cfRule type="expression" dxfId="15955" priority="2003" stopIfTrue="1">
      <formula>OR(AND(AK166&gt;=10000,AK166&lt;=56999),AND(AK166&gt;=57000,AK166&lt;=57999))</formula>
    </cfRule>
    <cfRule type="expression" dxfId="15954" priority="2004" stopIfTrue="1">
      <formula>AND(AK166&gt;=8000,AK166&lt;=9999)</formula>
    </cfRule>
    <cfRule type="expression" dxfId="15953" priority="2005" stopIfTrue="1">
      <formula>AND(AK166&gt;=78100,AK166&lt;=78199)</formula>
    </cfRule>
    <cfRule type="expression" dxfId="15952" priority="2006" stopIfTrue="1">
      <formula>AND(AK166&gt;=92000,AK166&lt;=98999)</formula>
    </cfRule>
    <cfRule type="expression" dxfId="15951" priority="2007" stopIfTrue="1">
      <formula>AND(AK166&gt;=78100,AK166&lt;=78199)</formula>
    </cfRule>
    <cfRule type="expression" dxfId="15950" priority="2008" stopIfTrue="1">
      <formula>AND(AK166&gt;=91000,AK166&lt;=91999)</formula>
    </cfRule>
  </conditionalFormatting>
  <conditionalFormatting sqref="AJ166:AK167 AM166:AM167">
    <cfRule type="expression" dxfId="15949" priority="1987">
      <formula>AND(AK166&gt;=79001,AK166&lt;79900)</formula>
    </cfRule>
    <cfRule type="expression" dxfId="15948" priority="1988" stopIfTrue="1">
      <formula>AND(AK166&gt;=70101,AK166&lt;=70301)</formula>
    </cfRule>
    <cfRule type="expression" dxfId="15947" priority="1989" stopIfTrue="1">
      <formula>AND(AK166&gt;70000,AK166&lt;70004)</formula>
    </cfRule>
    <cfRule type="expression" dxfId="15946" priority="1990" stopIfTrue="1">
      <formula>AND(AK166&gt;=70010,AK166&lt;=76000)</formula>
    </cfRule>
    <cfRule type="expression" dxfId="15945" priority="1991">
      <formula>AND(AK166&gt;70000,AK166&lt;70004)</formula>
    </cfRule>
    <cfRule type="expression" dxfId="15944" priority="1992" stopIfTrue="1">
      <formula>OR(AND(AK166&gt;=10000,AK166&lt;=56999),AND(AK166&gt;=57000,AK166&lt;=57999))</formula>
    </cfRule>
    <cfRule type="expression" dxfId="15943" priority="1993" stopIfTrue="1">
      <formula>AND(AK166&gt;=8000,AK166&lt;=9999)</formula>
    </cfRule>
    <cfRule type="expression" dxfId="15942" priority="1994" stopIfTrue="1">
      <formula>AND(AK166&gt;=78100,AK166&lt;=78199)</formula>
    </cfRule>
    <cfRule type="expression" dxfId="15941" priority="1995" stopIfTrue="1">
      <formula>AND(AK166&gt;=92000,AK166&lt;=98999)</formula>
    </cfRule>
    <cfRule type="expression" dxfId="15940" priority="1996" stopIfTrue="1">
      <formula>AND(AK166&gt;=78100,AK166&lt;=78199)</formula>
    </cfRule>
    <cfRule type="expression" dxfId="15939" priority="1997" stopIfTrue="1">
      <formula>AND(AK166&gt;=91000,AK166&lt;=91999)</formula>
    </cfRule>
  </conditionalFormatting>
  <conditionalFormatting sqref="AJ166:AK167 AM166:AM167">
    <cfRule type="expression" dxfId="15938" priority="1976">
      <formula>AND(AK166&gt;=79001,AK166&lt;79900)</formula>
    </cfRule>
    <cfRule type="expression" dxfId="15937" priority="1977" stopIfTrue="1">
      <formula>AND(AK166&gt;=70101,AK166&lt;=70301)</formula>
    </cfRule>
    <cfRule type="expression" dxfId="15936" priority="1978" stopIfTrue="1">
      <formula>AND(AK166&gt;70000,AK166&lt;70004)</formula>
    </cfRule>
    <cfRule type="expression" dxfId="15935" priority="1979" stopIfTrue="1">
      <formula>AND(AK166&gt;=70010,AK166&lt;=76000)</formula>
    </cfRule>
    <cfRule type="expression" dxfId="15934" priority="1980">
      <formula>AND(AK166&gt;70000,AK166&lt;70004)</formula>
    </cfRule>
    <cfRule type="expression" dxfId="15933" priority="1981" stopIfTrue="1">
      <formula>OR(AND(AK166&gt;=10000,AK166&lt;=56999),AND(AK166&gt;=57000,AK166&lt;=57999))</formula>
    </cfRule>
    <cfRule type="expression" dxfId="15932" priority="1982" stopIfTrue="1">
      <formula>AND(AK166&gt;=8000,AK166&lt;=9999)</formula>
    </cfRule>
    <cfRule type="expression" dxfId="15931" priority="1983" stopIfTrue="1">
      <formula>AND(AK166&gt;=78100,AK166&lt;=78199)</formula>
    </cfRule>
    <cfRule type="expression" dxfId="15930" priority="1984" stopIfTrue="1">
      <formula>AND(AK166&gt;=92000,AK166&lt;=98999)</formula>
    </cfRule>
    <cfRule type="expression" dxfId="15929" priority="1985" stopIfTrue="1">
      <formula>AND(AK166&gt;=78100,AK166&lt;=78199)</formula>
    </cfRule>
    <cfRule type="expression" dxfId="15928" priority="1986" stopIfTrue="1">
      <formula>AND(AK166&gt;=91000,AK166&lt;=91999)</formula>
    </cfRule>
  </conditionalFormatting>
  <conditionalFormatting sqref="AJ166:AK167 AM166:AM167">
    <cfRule type="expression" dxfId="15927" priority="1965">
      <formula>AND(AK166&gt;=79001,AK166&lt;79900)</formula>
    </cfRule>
    <cfRule type="expression" dxfId="15926" priority="1966" stopIfTrue="1">
      <formula>AND(AK166&gt;=70101,AK166&lt;=70301)</formula>
    </cfRule>
    <cfRule type="expression" dxfId="15925" priority="1967" stopIfTrue="1">
      <formula>AND(AK166&gt;70000,AK166&lt;70004)</formula>
    </cfRule>
    <cfRule type="expression" dxfId="15924" priority="1968" stopIfTrue="1">
      <formula>AND(AK166&gt;=70010,AK166&lt;=76000)</formula>
    </cfRule>
    <cfRule type="expression" dxfId="15923" priority="1969">
      <formula>AND(AK166&gt;70000,AK166&lt;70004)</formula>
    </cfRule>
    <cfRule type="expression" dxfId="15922" priority="1970" stopIfTrue="1">
      <formula>OR(AND(AK166&gt;=10000,AK166&lt;=56999),AND(AK166&gt;=57000,AK166&lt;=57999))</formula>
    </cfRule>
    <cfRule type="expression" dxfId="15921" priority="1971" stopIfTrue="1">
      <formula>AND(AK166&gt;=8000,AK166&lt;=9999)</formula>
    </cfRule>
    <cfRule type="expression" dxfId="15920" priority="1972" stopIfTrue="1">
      <formula>AND(AK166&gt;=78100,AK166&lt;=78199)</formula>
    </cfRule>
    <cfRule type="expression" dxfId="15919" priority="1973" stopIfTrue="1">
      <formula>AND(AK166&gt;=92000,AK166&lt;=98999)</formula>
    </cfRule>
    <cfRule type="expression" dxfId="15918" priority="1974" stopIfTrue="1">
      <formula>AND(AK166&gt;=78100,AK166&lt;=78199)</formula>
    </cfRule>
    <cfRule type="expression" dxfId="15917" priority="1975" stopIfTrue="1">
      <formula>AND(AK166&gt;=91000,AK166&lt;=91999)</formula>
    </cfRule>
  </conditionalFormatting>
  <conditionalFormatting sqref="T154">
    <cfRule type="expression" dxfId="15916" priority="1954">
      <formula>AND(U154&gt;=79001,U154&lt;79900)</formula>
    </cfRule>
    <cfRule type="expression" dxfId="15915" priority="1955" stopIfTrue="1">
      <formula>AND(U154&gt;=70101,U154&lt;=70301)</formula>
    </cfRule>
    <cfRule type="expression" dxfId="15914" priority="1956" stopIfTrue="1">
      <formula>AND(U154&gt;70000,U154&lt;70004)</formula>
    </cfRule>
    <cfRule type="expression" dxfId="15913" priority="1957" stopIfTrue="1">
      <formula>AND(U154&gt;=70010,U154&lt;=76000)</formula>
    </cfRule>
    <cfRule type="expression" dxfId="15912" priority="1958">
      <formula>AND(U154&gt;70000,U154&lt;70004)</formula>
    </cfRule>
    <cfRule type="expression" dxfId="15911" priority="1959" stopIfTrue="1">
      <formula>OR(AND(U154&gt;=10000,U154&lt;=56999),AND(U154&gt;=57000,U154&lt;=57999))</formula>
    </cfRule>
    <cfRule type="expression" dxfId="15910" priority="1960" stopIfTrue="1">
      <formula>AND(U154&gt;=8000,U154&lt;=9999)</formula>
    </cfRule>
    <cfRule type="expression" dxfId="15909" priority="1961" stopIfTrue="1">
      <formula>AND(U154&gt;=78100,U154&lt;=78199)</formula>
    </cfRule>
    <cfRule type="expression" dxfId="15908" priority="1962" stopIfTrue="1">
      <formula>AND(U154&gt;=92000,U154&lt;=98999)</formula>
    </cfRule>
    <cfRule type="expression" dxfId="15907" priority="1963" stopIfTrue="1">
      <formula>AND(U154&gt;=78100,U154&lt;=78199)</formula>
    </cfRule>
    <cfRule type="expression" dxfId="15906" priority="1964" stopIfTrue="1">
      <formula>AND(U154&gt;=91000,U154&lt;=91999)</formula>
    </cfRule>
  </conditionalFormatting>
  <conditionalFormatting sqref="T154">
    <cfRule type="expression" dxfId="15905" priority="1943">
      <formula>AND(U154&gt;=79001,U154&lt;79900)</formula>
    </cfRule>
    <cfRule type="expression" dxfId="15904" priority="1944" stopIfTrue="1">
      <formula>AND(U154&gt;=70101,U154&lt;=70301)</formula>
    </cfRule>
    <cfRule type="expression" dxfId="15903" priority="1945" stopIfTrue="1">
      <formula>AND(U154&gt;70000,U154&lt;70004)</formula>
    </cfRule>
    <cfRule type="expression" dxfId="15902" priority="1946" stopIfTrue="1">
      <formula>AND(U154&gt;=70010,U154&lt;=76000)</formula>
    </cfRule>
    <cfRule type="expression" dxfId="15901" priority="1947">
      <formula>AND(U154&gt;70000,U154&lt;70004)</formula>
    </cfRule>
    <cfRule type="expression" dxfId="15900" priority="1948" stopIfTrue="1">
      <formula>OR(AND(U154&gt;=10000,U154&lt;=56999),AND(U154&gt;=57000,U154&lt;=57999))</formula>
    </cfRule>
    <cfRule type="expression" dxfId="15899" priority="1949" stopIfTrue="1">
      <formula>AND(U154&gt;=8000,U154&lt;=9999)</formula>
    </cfRule>
    <cfRule type="expression" dxfId="15898" priority="1950" stopIfTrue="1">
      <formula>AND(U154&gt;=78100,U154&lt;=78199)</formula>
    </cfRule>
    <cfRule type="expression" dxfId="15897" priority="1951" stopIfTrue="1">
      <formula>AND(U154&gt;=92000,U154&lt;=98999)</formula>
    </cfRule>
    <cfRule type="expression" dxfId="15896" priority="1952" stopIfTrue="1">
      <formula>AND(U154&gt;=78100,U154&lt;=78199)</formula>
    </cfRule>
    <cfRule type="expression" dxfId="15895" priority="1953" stopIfTrue="1">
      <formula>AND(U154&gt;=91000,U154&lt;=91999)</formula>
    </cfRule>
  </conditionalFormatting>
  <conditionalFormatting sqref="T154">
    <cfRule type="expression" dxfId="15894" priority="1932">
      <formula>AND(U154&gt;=79001,U154&lt;79900)</formula>
    </cfRule>
    <cfRule type="expression" dxfId="15893" priority="1933" stopIfTrue="1">
      <formula>AND(U154&gt;=70101,U154&lt;=70301)</formula>
    </cfRule>
    <cfRule type="expression" dxfId="15892" priority="1934" stopIfTrue="1">
      <formula>AND(U154&gt;70000,U154&lt;70004)</formula>
    </cfRule>
    <cfRule type="expression" dxfId="15891" priority="1935" stopIfTrue="1">
      <formula>AND(U154&gt;=70010,U154&lt;=76000)</formula>
    </cfRule>
    <cfRule type="expression" dxfId="15890" priority="1936">
      <formula>AND(U154&gt;70000,U154&lt;70004)</formula>
    </cfRule>
    <cfRule type="expression" dxfId="15889" priority="1937" stopIfTrue="1">
      <formula>OR(AND(U154&gt;=10000,U154&lt;=56999),AND(U154&gt;=57000,U154&lt;=57999))</formula>
    </cfRule>
    <cfRule type="expression" dxfId="15888" priority="1938" stopIfTrue="1">
      <formula>AND(U154&gt;=8000,U154&lt;=9999)</formula>
    </cfRule>
    <cfRule type="expression" dxfId="15887" priority="1939" stopIfTrue="1">
      <formula>AND(U154&gt;=78100,U154&lt;=78199)</formula>
    </cfRule>
    <cfRule type="expression" dxfId="15886" priority="1940" stopIfTrue="1">
      <formula>AND(U154&gt;=92000,U154&lt;=98999)</formula>
    </cfRule>
    <cfRule type="expression" dxfId="15885" priority="1941" stopIfTrue="1">
      <formula>AND(U154&gt;=78100,U154&lt;=78199)</formula>
    </cfRule>
    <cfRule type="expression" dxfId="15884" priority="1942" stopIfTrue="1">
      <formula>AND(U154&gt;=91000,U154&lt;=91999)</formula>
    </cfRule>
  </conditionalFormatting>
  <conditionalFormatting sqref="T154">
    <cfRule type="expression" dxfId="15883" priority="1921">
      <formula>AND(U154&gt;=79001,U154&lt;79900)</formula>
    </cfRule>
    <cfRule type="expression" dxfId="15882" priority="1922" stopIfTrue="1">
      <formula>AND(U154&gt;=70101,U154&lt;=70301)</formula>
    </cfRule>
    <cfRule type="expression" dxfId="15881" priority="1923" stopIfTrue="1">
      <formula>AND(U154&gt;70000,U154&lt;70004)</formula>
    </cfRule>
    <cfRule type="expression" dxfId="15880" priority="1924" stopIfTrue="1">
      <formula>AND(U154&gt;=70010,U154&lt;=76000)</formula>
    </cfRule>
    <cfRule type="expression" dxfId="15879" priority="1925">
      <formula>AND(U154&gt;70000,U154&lt;70004)</formula>
    </cfRule>
    <cfRule type="expression" dxfId="15878" priority="1926" stopIfTrue="1">
      <formula>OR(AND(U154&gt;=10000,U154&lt;=56999),AND(U154&gt;=57000,U154&lt;=57999))</formula>
    </cfRule>
    <cfRule type="expression" dxfId="15877" priority="1927" stopIfTrue="1">
      <formula>AND(U154&gt;=8000,U154&lt;=9999)</formula>
    </cfRule>
    <cfRule type="expression" dxfId="15876" priority="1928" stopIfTrue="1">
      <formula>AND(U154&gt;=78100,U154&lt;=78199)</formula>
    </cfRule>
    <cfRule type="expression" dxfId="15875" priority="1929" stopIfTrue="1">
      <formula>AND(U154&gt;=92000,U154&lt;=98999)</formula>
    </cfRule>
    <cfRule type="expression" dxfId="15874" priority="1930" stopIfTrue="1">
      <formula>AND(U154&gt;=78100,U154&lt;=78199)</formula>
    </cfRule>
    <cfRule type="expression" dxfId="15873" priority="1931" stopIfTrue="1">
      <formula>AND(U154&gt;=91000,U154&lt;=91999)</formula>
    </cfRule>
  </conditionalFormatting>
  <conditionalFormatting sqref="T163">
    <cfRule type="expression" dxfId="15872" priority="1910">
      <formula>AND(U163&gt;=79001,U163&lt;79900)</formula>
    </cfRule>
    <cfRule type="expression" dxfId="15871" priority="1911" stopIfTrue="1">
      <formula>AND(U163&gt;=70101,U163&lt;=70301)</formula>
    </cfRule>
    <cfRule type="expression" dxfId="15870" priority="1912" stopIfTrue="1">
      <formula>AND(U163&gt;70000,U163&lt;70004)</formula>
    </cfRule>
    <cfRule type="expression" dxfId="15869" priority="1913" stopIfTrue="1">
      <formula>AND(U163&gt;=70010,U163&lt;=76000)</formula>
    </cfRule>
    <cfRule type="expression" dxfId="15868" priority="1914">
      <formula>AND(U163&gt;70000,U163&lt;70004)</formula>
    </cfRule>
    <cfRule type="expression" dxfId="15867" priority="1915" stopIfTrue="1">
      <formula>OR(AND(U163&gt;=10000,U163&lt;=56999),AND(U163&gt;=57000,U163&lt;=57999))</formula>
    </cfRule>
    <cfRule type="expression" dxfId="15866" priority="1916" stopIfTrue="1">
      <formula>AND(U163&gt;=8000,U163&lt;=9999)</formula>
    </cfRule>
    <cfRule type="expression" dxfId="15865" priority="1917" stopIfTrue="1">
      <formula>AND(U163&gt;=78100,U163&lt;=78199)</formula>
    </cfRule>
    <cfRule type="expression" dxfId="15864" priority="1918" stopIfTrue="1">
      <formula>AND(U163&gt;=92000,U163&lt;=98999)</formula>
    </cfRule>
    <cfRule type="expression" dxfId="15863" priority="1919" stopIfTrue="1">
      <formula>AND(U163&gt;=78100,U163&lt;=78199)</formula>
    </cfRule>
    <cfRule type="expression" dxfId="15862" priority="1920" stopIfTrue="1">
      <formula>AND(U163&gt;=91000,U163&lt;=91999)</formula>
    </cfRule>
  </conditionalFormatting>
  <conditionalFormatting sqref="T163">
    <cfRule type="expression" dxfId="15861" priority="1899">
      <formula>AND(U163&gt;=79001,U163&lt;79900)</formula>
    </cfRule>
    <cfRule type="expression" dxfId="15860" priority="1900" stopIfTrue="1">
      <formula>AND(U163&gt;=70101,U163&lt;=70301)</formula>
    </cfRule>
    <cfRule type="expression" dxfId="15859" priority="1901" stopIfTrue="1">
      <formula>AND(U163&gt;70000,U163&lt;70004)</formula>
    </cfRule>
    <cfRule type="expression" dxfId="15858" priority="1902" stopIfTrue="1">
      <formula>AND(U163&gt;=70010,U163&lt;=76000)</formula>
    </cfRule>
    <cfRule type="expression" dxfId="15857" priority="1903">
      <formula>AND(U163&gt;70000,U163&lt;70004)</formula>
    </cfRule>
    <cfRule type="expression" dxfId="15856" priority="1904" stopIfTrue="1">
      <formula>OR(AND(U163&gt;=10000,U163&lt;=56999),AND(U163&gt;=57000,U163&lt;=57999))</formula>
    </cfRule>
    <cfRule type="expression" dxfId="15855" priority="1905" stopIfTrue="1">
      <formula>AND(U163&gt;=8000,U163&lt;=9999)</formula>
    </cfRule>
    <cfRule type="expression" dxfId="15854" priority="1906" stopIfTrue="1">
      <formula>AND(U163&gt;=78100,U163&lt;=78199)</formula>
    </cfRule>
    <cfRule type="expression" dxfId="15853" priority="1907" stopIfTrue="1">
      <formula>AND(U163&gt;=92000,U163&lt;=98999)</formula>
    </cfRule>
    <cfRule type="expression" dxfId="15852" priority="1908" stopIfTrue="1">
      <formula>AND(U163&gt;=78100,U163&lt;=78199)</formula>
    </cfRule>
    <cfRule type="expression" dxfId="15851" priority="1909" stopIfTrue="1">
      <formula>AND(U163&gt;=91000,U163&lt;=91999)</formula>
    </cfRule>
  </conditionalFormatting>
  <conditionalFormatting sqref="T163">
    <cfRule type="expression" dxfId="15850" priority="1888">
      <formula>AND(U163&gt;=79001,U163&lt;79900)</formula>
    </cfRule>
    <cfRule type="expression" dxfId="15849" priority="1889" stopIfTrue="1">
      <formula>AND(U163&gt;=70101,U163&lt;=70301)</formula>
    </cfRule>
    <cfRule type="expression" dxfId="15848" priority="1890" stopIfTrue="1">
      <formula>AND(U163&gt;70000,U163&lt;70004)</formula>
    </cfRule>
    <cfRule type="expression" dxfId="15847" priority="1891" stopIfTrue="1">
      <formula>AND(U163&gt;=70010,U163&lt;=76000)</formula>
    </cfRule>
    <cfRule type="expression" dxfId="15846" priority="1892">
      <formula>AND(U163&gt;70000,U163&lt;70004)</formula>
    </cfRule>
    <cfRule type="expression" dxfId="15845" priority="1893" stopIfTrue="1">
      <formula>OR(AND(U163&gt;=10000,U163&lt;=56999),AND(U163&gt;=57000,U163&lt;=57999))</formula>
    </cfRule>
    <cfRule type="expression" dxfId="15844" priority="1894" stopIfTrue="1">
      <formula>AND(U163&gt;=8000,U163&lt;=9999)</formula>
    </cfRule>
    <cfRule type="expression" dxfId="15843" priority="1895" stopIfTrue="1">
      <formula>AND(U163&gt;=78100,U163&lt;=78199)</formula>
    </cfRule>
    <cfRule type="expression" dxfId="15842" priority="1896" stopIfTrue="1">
      <formula>AND(U163&gt;=92000,U163&lt;=98999)</formula>
    </cfRule>
    <cfRule type="expression" dxfId="15841" priority="1897" stopIfTrue="1">
      <formula>AND(U163&gt;=78100,U163&lt;=78199)</formula>
    </cfRule>
    <cfRule type="expression" dxfId="15840" priority="1898" stopIfTrue="1">
      <formula>AND(U163&gt;=91000,U163&lt;=91999)</formula>
    </cfRule>
  </conditionalFormatting>
  <conditionalFormatting sqref="T163">
    <cfRule type="expression" dxfId="15839" priority="1877">
      <formula>AND(U163&gt;=79001,U163&lt;79900)</formula>
    </cfRule>
    <cfRule type="expression" dxfId="15838" priority="1878" stopIfTrue="1">
      <formula>AND(U163&gt;=70101,U163&lt;=70301)</formula>
    </cfRule>
    <cfRule type="expression" dxfId="15837" priority="1879" stopIfTrue="1">
      <formula>AND(U163&gt;70000,U163&lt;70004)</formula>
    </cfRule>
    <cfRule type="expression" dxfId="15836" priority="1880" stopIfTrue="1">
      <formula>AND(U163&gt;=70010,U163&lt;=76000)</formula>
    </cfRule>
    <cfRule type="expression" dxfId="15835" priority="1881">
      <formula>AND(U163&gt;70000,U163&lt;70004)</formula>
    </cfRule>
    <cfRule type="expression" dxfId="15834" priority="1882" stopIfTrue="1">
      <formula>OR(AND(U163&gt;=10000,U163&lt;=56999),AND(U163&gt;=57000,U163&lt;=57999))</formula>
    </cfRule>
    <cfRule type="expression" dxfId="15833" priority="1883" stopIfTrue="1">
      <formula>AND(U163&gt;=8000,U163&lt;=9999)</formula>
    </cfRule>
    <cfRule type="expression" dxfId="15832" priority="1884" stopIfTrue="1">
      <formula>AND(U163&gt;=78100,U163&lt;=78199)</formula>
    </cfRule>
    <cfRule type="expression" dxfId="15831" priority="1885" stopIfTrue="1">
      <formula>AND(U163&gt;=92000,U163&lt;=98999)</formula>
    </cfRule>
    <cfRule type="expression" dxfId="15830" priority="1886" stopIfTrue="1">
      <formula>AND(U163&gt;=78100,U163&lt;=78199)</formula>
    </cfRule>
    <cfRule type="expression" dxfId="15829" priority="1887" stopIfTrue="1">
      <formula>AND(U163&gt;=91000,U163&lt;=91999)</formula>
    </cfRule>
  </conditionalFormatting>
  <conditionalFormatting sqref="X154">
    <cfRule type="expression" dxfId="15828" priority="1866">
      <formula>AND(Y154&gt;=79001,Y154&lt;79900)</formula>
    </cfRule>
    <cfRule type="expression" dxfId="15827" priority="1867" stopIfTrue="1">
      <formula>AND(Y154&gt;=70101,Y154&lt;=70301)</formula>
    </cfRule>
    <cfRule type="expression" dxfId="15826" priority="1868" stopIfTrue="1">
      <formula>AND(Y154&gt;70000,Y154&lt;70004)</formula>
    </cfRule>
    <cfRule type="expression" dxfId="15825" priority="1869" stopIfTrue="1">
      <formula>AND(Y154&gt;=70010,Y154&lt;=76000)</formula>
    </cfRule>
    <cfRule type="expression" dxfId="15824" priority="1870">
      <formula>AND(Y154&gt;70000,Y154&lt;70004)</formula>
    </cfRule>
    <cfRule type="expression" dxfId="15823" priority="1871" stopIfTrue="1">
      <formula>OR(AND(Y154&gt;=10000,Y154&lt;=56999),AND(Y154&gt;=57000,Y154&lt;=57999))</formula>
    </cfRule>
    <cfRule type="expression" dxfId="15822" priority="1872" stopIfTrue="1">
      <formula>AND(Y154&gt;=8000,Y154&lt;=9999)</formula>
    </cfRule>
    <cfRule type="expression" dxfId="15821" priority="1873" stopIfTrue="1">
      <formula>AND(Y154&gt;=78100,Y154&lt;=78199)</formula>
    </cfRule>
    <cfRule type="expression" dxfId="15820" priority="1874" stopIfTrue="1">
      <formula>AND(Y154&gt;=92000,Y154&lt;=98999)</formula>
    </cfRule>
    <cfRule type="expression" dxfId="15819" priority="1875" stopIfTrue="1">
      <formula>AND(Y154&gt;=78100,Y154&lt;=78199)</formula>
    </cfRule>
    <cfRule type="expression" dxfId="15818" priority="1876" stopIfTrue="1">
      <formula>AND(Y154&gt;=91000,Y154&lt;=91999)</formula>
    </cfRule>
  </conditionalFormatting>
  <conditionalFormatting sqref="X154">
    <cfRule type="expression" dxfId="15817" priority="1855">
      <formula>AND(Y154&gt;=79001,Y154&lt;79900)</formula>
    </cfRule>
    <cfRule type="expression" dxfId="15816" priority="1856" stopIfTrue="1">
      <formula>AND(Y154&gt;=70101,Y154&lt;=70301)</formula>
    </cfRule>
    <cfRule type="expression" dxfId="15815" priority="1857" stopIfTrue="1">
      <formula>AND(Y154&gt;70000,Y154&lt;70004)</formula>
    </cfRule>
    <cfRule type="expression" dxfId="15814" priority="1858" stopIfTrue="1">
      <formula>AND(Y154&gt;=70010,Y154&lt;=76000)</formula>
    </cfRule>
    <cfRule type="expression" dxfId="15813" priority="1859">
      <formula>AND(Y154&gt;70000,Y154&lt;70004)</formula>
    </cfRule>
    <cfRule type="expression" dxfId="15812" priority="1860" stopIfTrue="1">
      <formula>OR(AND(Y154&gt;=10000,Y154&lt;=56999),AND(Y154&gt;=57000,Y154&lt;=57999))</formula>
    </cfRule>
    <cfRule type="expression" dxfId="15811" priority="1861" stopIfTrue="1">
      <formula>AND(Y154&gt;=8000,Y154&lt;=9999)</formula>
    </cfRule>
    <cfRule type="expression" dxfId="15810" priority="1862" stopIfTrue="1">
      <formula>AND(Y154&gt;=78100,Y154&lt;=78199)</formula>
    </cfRule>
    <cfRule type="expression" dxfId="15809" priority="1863" stopIfTrue="1">
      <formula>AND(Y154&gt;=92000,Y154&lt;=98999)</formula>
    </cfRule>
    <cfRule type="expression" dxfId="15808" priority="1864" stopIfTrue="1">
      <formula>AND(Y154&gt;=78100,Y154&lt;=78199)</formula>
    </cfRule>
    <cfRule type="expression" dxfId="15807" priority="1865" stopIfTrue="1">
      <formula>AND(Y154&gt;=91000,Y154&lt;=91999)</formula>
    </cfRule>
  </conditionalFormatting>
  <conditionalFormatting sqref="X154">
    <cfRule type="expression" dxfId="15806" priority="1844">
      <formula>AND(Y154&gt;=79001,Y154&lt;79900)</formula>
    </cfRule>
    <cfRule type="expression" dxfId="15805" priority="1845" stopIfTrue="1">
      <formula>AND(Y154&gt;=70101,Y154&lt;=70301)</formula>
    </cfRule>
    <cfRule type="expression" dxfId="15804" priority="1846" stopIfTrue="1">
      <formula>AND(Y154&gt;70000,Y154&lt;70004)</formula>
    </cfRule>
    <cfRule type="expression" dxfId="15803" priority="1847" stopIfTrue="1">
      <formula>AND(Y154&gt;=70010,Y154&lt;=76000)</formula>
    </cfRule>
    <cfRule type="expression" dxfId="15802" priority="1848">
      <formula>AND(Y154&gt;70000,Y154&lt;70004)</formula>
    </cfRule>
    <cfRule type="expression" dxfId="15801" priority="1849" stopIfTrue="1">
      <formula>OR(AND(Y154&gt;=10000,Y154&lt;=56999),AND(Y154&gt;=57000,Y154&lt;=57999))</formula>
    </cfRule>
    <cfRule type="expression" dxfId="15800" priority="1850" stopIfTrue="1">
      <formula>AND(Y154&gt;=8000,Y154&lt;=9999)</formula>
    </cfRule>
    <cfRule type="expression" dxfId="15799" priority="1851" stopIfTrue="1">
      <formula>AND(Y154&gt;=78100,Y154&lt;=78199)</formula>
    </cfRule>
    <cfRule type="expression" dxfId="15798" priority="1852" stopIfTrue="1">
      <formula>AND(Y154&gt;=92000,Y154&lt;=98999)</formula>
    </cfRule>
    <cfRule type="expression" dxfId="15797" priority="1853" stopIfTrue="1">
      <formula>AND(Y154&gt;=78100,Y154&lt;=78199)</formula>
    </cfRule>
    <cfRule type="expression" dxfId="15796" priority="1854" stopIfTrue="1">
      <formula>AND(Y154&gt;=91000,Y154&lt;=91999)</formula>
    </cfRule>
  </conditionalFormatting>
  <conditionalFormatting sqref="X154">
    <cfRule type="expression" dxfId="15795" priority="1833">
      <formula>AND(Y154&gt;=79001,Y154&lt;79900)</formula>
    </cfRule>
    <cfRule type="expression" dxfId="15794" priority="1834" stopIfTrue="1">
      <formula>AND(Y154&gt;=70101,Y154&lt;=70301)</formula>
    </cfRule>
    <cfRule type="expression" dxfId="15793" priority="1835" stopIfTrue="1">
      <formula>AND(Y154&gt;70000,Y154&lt;70004)</formula>
    </cfRule>
    <cfRule type="expression" dxfId="15792" priority="1836" stopIfTrue="1">
      <formula>AND(Y154&gt;=70010,Y154&lt;=76000)</formula>
    </cfRule>
    <cfRule type="expression" dxfId="15791" priority="1837">
      <formula>AND(Y154&gt;70000,Y154&lt;70004)</formula>
    </cfRule>
    <cfRule type="expression" dxfId="15790" priority="1838" stopIfTrue="1">
      <formula>OR(AND(Y154&gt;=10000,Y154&lt;=56999),AND(Y154&gt;=57000,Y154&lt;=57999))</formula>
    </cfRule>
    <cfRule type="expression" dxfId="15789" priority="1839" stopIfTrue="1">
      <formula>AND(Y154&gt;=8000,Y154&lt;=9999)</formula>
    </cfRule>
    <cfRule type="expression" dxfId="15788" priority="1840" stopIfTrue="1">
      <formula>AND(Y154&gt;=78100,Y154&lt;=78199)</formula>
    </cfRule>
    <cfRule type="expression" dxfId="15787" priority="1841" stopIfTrue="1">
      <formula>AND(Y154&gt;=92000,Y154&lt;=98999)</formula>
    </cfRule>
    <cfRule type="expression" dxfId="15786" priority="1842" stopIfTrue="1">
      <formula>AND(Y154&gt;=78100,Y154&lt;=78199)</formula>
    </cfRule>
    <cfRule type="expression" dxfId="15785" priority="1843" stopIfTrue="1">
      <formula>AND(Y154&gt;=91000,Y154&lt;=91999)</formula>
    </cfRule>
  </conditionalFormatting>
  <conditionalFormatting sqref="AB154">
    <cfRule type="expression" dxfId="15784" priority="1822">
      <formula>AND(AC154&gt;=79001,AC154&lt;79900)</formula>
    </cfRule>
    <cfRule type="expression" dxfId="15783" priority="1823" stopIfTrue="1">
      <formula>AND(AC154&gt;=70101,AC154&lt;=70301)</formula>
    </cfRule>
    <cfRule type="expression" dxfId="15782" priority="1824" stopIfTrue="1">
      <formula>AND(AC154&gt;70000,AC154&lt;70004)</formula>
    </cfRule>
    <cfRule type="expression" dxfId="15781" priority="1825" stopIfTrue="1">
      <formula>AND(AC154&gt;=70010,AC154&lt;=76000)</formula>
    </cfRule>
    <cfRule type="expression" dxfId="15780" priority="1826">
      <formula>AND(AC154&gt;70000,AC154&lt;70004)</formula>
    </cfRule>
    <cfRule type="expression" dxfId="15779" priority="1827" stopIfTrue="1">
      <formula>OR(AND(AC154&gt;=10000,AC154&lt;=56999),AND(AC154&gt;=57000,AC154&lt;=57999))</formula>
    </cfRule>
    <cfRule type="expression" dxfId="15778" priority="1828" stopIfTrue="1">
      <formula>AND(AC154&gt;=8000,AC154&lt;=9999)</formula>
    </cfRule>
    <cfRule type="expression" dxfId="15777" priority="1829" stopIfTrue="1">
      <formula>AND(AC154&gt;=78100,AC154&lt;=78199)</formula>
    </cfRule>
    <cfRule type="expression" dxfId="15776" priority="1830" stopIfTrue="1">
      <formula>AND(AC154&gt;=92000,AC154&lt;=98999)</formula>
    </cfRule>
    <cfRule type="expression" dxfId="15775" priority="1831" stopIfTrue="1">
      <formula>AND(AC154&gt;=78100,AC154&lt;=78199)</formula>
    </cfRule>
    <cfRule type="expression" dxfId="15774" priority="1832" stopIfTrue="1">
      <formula>AND(AC154&gt;=91000,AC154&lt;=91999)</formula>
    </cfRule>
  </conditionalFormatting>
  <conditionalFormatting sqref="AB154">
    <cfRule type="expression" dxfId="15773" priority="1811">
      <formula>AND(AC154&gt;=79001,AC154&lt;79900)</formula>
    </cfRule>
    <cfRule type="expression" dxfId="15772" priority="1812" stopIfTrue="1">
      <formula>AND(AC154&gt;=70101,AC154&lt;=70301)</formula>
    </cfRule>
    <cfRule type="expression" dxfId="15771" priority="1813" stopIfTrue="1">
      <formula>AND(AC154&gt;70000,AC154&lt;70004)</formula>
    </cfRule>
    <cfRule type="expression" dxfId="15770" priority="1814" stopIfTrue="1">
      <formula>AND(AC154&gt;=70010,AC154&lt;=76000)</formula>
    </cfRule>
    <cfRule type="expression" dxfId="15769" priority="1815">
      <formula>AND(AC154&gt;70000,AC154&lt;70004)</formula>
    </cfRule>
    <cfRule type="expression" dxfId="15768" priority="1816" stopIfTrue="1">
      <formula>OR(AND(AC154&gt;=10000,AC154&lt;=56999),AND(AC154&gt;=57000,AC154&lt;=57999))</formula>
    </cfRule>
    <cfRule type="expression" dxfId="15767" priority="1817" stopIfTrue="1">
      <formula>AND(AC154&gt;=8000,AC154&lt;=9999)</formula>
    </cfRule>
    <cfRule type="expression" dxfId="15766" priority="1818" stopIfTrue="1">
      <formula>AND(AC154&gt;=78100,AC154&lt;=78199)</formula>
    </cfRule>
    <cfRule type="expression" dxfId="15765" priority="1819" stopIfTrue="1">
      <formula>AND(AC154&gt;=92000,AC154&lt;=98999)</formula>
    </cfRule>
    <cfRule type="expression" dxfId="15764" priority="1820" stopIfTrue="1">
      <formula>AND(AC154&gt;=78100,AC154&lt;=78199)</formula>
    </cfRule>
    <cfRule type="expression" dxfId="15763" priority="1821" stopIfTrue="1">
      <formula>AND(AC154&gt;=91000,AC154&lt;=91999)</formula>
    </cfRule>
  </conditionalFormatting>
  <conditionalFormatting sqref="AB154">
    <cfRule type="expression" dxfId="15762" priority="1800">
      <formula>AND(AC154&gt;=79001,AC154&lt;79900)</formula>
    </cfRule>
    <cfRule type="expression" dxfId="15761" priority="1801" stopIfTrue="1">
      <formula>AND(AC154&gt;=70101,AC154&lt;=70301)</formula>
    </cfRule>
    <cfRule type="expression" dxfId="15760" priority="1802" stopIfTrue="1">
      <formula>AND(AC154&gt;70000,AC154&lt;70004)</formula>
    </cfRule>
    <cfRule type="expression" dxfId="15759" priority="1803" stopIfTrue="1">
      <formula>AND(AC154&gt;=70010,AC154&lt;=76000)</formula>
    </cfRule>
    <cfRule type="expression" dxfId="15758" priority="1804">
      <formula>AND(AC154&gt;70000,AC154&lt;70004)</formula>
    </cfRule>
    <cfRule type="expression" dxfId="15757" priority="1805" stopIfTrue="1">
      <formula>OR(AND(AC154&gt;=10000,AC154&lt;=56999),AND(AC154&gt;=57000,AC154&lt;=57999))</formula>
    </cfRule>
    <cfRule type="expression" dxfId="15756" priority="1806" stopIfTrue="1">
      <formula>AND(AC154&gt;=8000,AC154&lt;=9999)</formula>
    </cfRule>
    <cfRule type="expression" dxfId="15755" priority="1807" stopIfTrue="1">
      <formula>AND(AC154&gt;=78100,AC154&lt;=78199)</formula>
    </cfRule>
    <cfRule type="expression" dxfId="15754" priority="1808" stopIfTrue="1">
      <formula>AND(AC154&gt;=92000,AC154&lt;=98999)</formula>
    </cfRule>
    <cfRule type="expression" dxfId="15753" priority="1809" stopIfTrue="1">
      <formula>AND(AC154&gt;=78100,AC154&lt;=78199)</formula>
    </cfRule>
    <cfRule type="expression" dxfId="15752" priority="1810" stopIfTrue="1">
      <formula>AND(AC154&gt;=91000,AC154&lt;=91999)</formula>
    </cfRule>
  </conditionalFormatting>
  <conditionalFormatting sqref="AB154">
    <cfRule type="expression" dxfId="15751" priority="1789">
      <formula>AND(AC154&gt;=79001,AC154&lt;79900)</formula>
    </cfRule>
    <cfRule type="expression" dxfId="15750" priority="1790" stopIfTrue="1">
      <formula>AND(AC154&gt;=70101,AC154&lt;=70301)</formula>
    </cfRule>
    <cfRule type="expression" dxfId="15749" priority="1791" stopIfTrue="1">
      <formula>AND(AC154&gt;70000,AC154&lt;70004)</formula>
    </cfRule>
    <cfRule type="expression" dxfId="15748" priority="1792" stopIfTrue="1">
      <formula>AND(AC154&gt;=70010,AC154&lt;=76000)</formula>
    </cfRule>
    <cfRule type="expression" dxfId="15747" priority="1793">
      <formula>AND(AC154&gt;70000,AC154&lt;70004)</formula>
    </cfRule>
    <cfRule type="expression" dxfId="15746" priority="1794" stopIfTrue="1">
      <formula>OR(AND(AC154&gt;=10000,AC154&lt;=56999),AND(AC154&gt;=57000,AC154&lt;=57999))</formula>
    </cfRule>
    <cfRule type="expression" dxfId="15745" priority="1795" stopIfTrue="1">
      <formula>AND(AC154&gt;=8000,AC154&lt;=9999)</formula>
    </cfRule>
    <cfRule type="expression" dxfId="15744" priority="1796" stopIfTrue="1">
      <formula>AND(AC154&gt;=78100,AC154&lt;=78199)</formula>
    </cfRule>
    <cfRule type="expression" dxfId="15743" priority="1797" stopIfTrue="1">
      <formula>AND(AC154&gt;=92000,AC154&lt;=98999)</formula>
    </cfRule>
    <cfRule type="expression" dxfId="15742" priority="1798" stopIfTrue="1">
      <formula>AND(AC154&gt;=78100,AC154&lt;=78199)</formula>
    </cfRule>
    <cfRule type="expression" dxfId="15741" priority="1799" stopIfTrue="1">
      <formula>AND(AC154&gt;=91000,AC154&lt;=91999)</formula>
    </cfRule>
  </conditionalFormatting>
  <conditionalFormatting sqref="AF154">
    <cfRule type="expression" dxfId="15740" priority="1778">
      <formula>AND(AG154&gt;=79001,AG154&lt;79900)</formula>
    </cfRule>
    <cfRule type="expression" dxfId="15739" priority="1779" stopIfTrue="1">
      <formula>AND(AG154&gt;=70101,AG154&lt;=70301)</formula>
    </cfRule>
    <cfRule type="expression" dxfId="15738" priority="1780" stopIfTrue="1">
      <formula>AND(AG154&gt;70000,AG154&lt;70004)</formula>
    </cfRule>
    <cfRule type="expression" dxfId="15737" priority="1781" stopIfTrue="1">
      <formula>AND(AG154&gt;=70010,AG154&lt;=76000)</formula>
    </cfRule>
    <cfRule type="expression" dxfId="15736" priority="1782">
      <formula>AND(AG154&gt;70000,AG154&lt;70004)</formula>
    </cfRule>
    <cfRule type="expression" dxfId="15735" priority="1783" stopIfTrue="1">
      <formula>OR(AND(AG154&gt;=10000,AG154&lt;=56999),AND(AG154&gt;=57000,AG154&lt;=57999))</formula>
    </cfRule>
    <cfRule type="expression" dxfId="15734" priority="1784" stopIfTrue="1">
      <formula>AND(AG154&gt;=8000,AG154&lt;=9999)</formula>
    </cfRule>
    <cfRule type="expression" dxfId="15733" priority="1785" stopIfTrue="1">
      <formula>AND(AG154&gt;=78100,AG154&lt;=78199)</formula>
    </cfRule>
    <cfRule type="expression" dxfId="15732" priority="1786" stopIfTrue="1">
      <formula>AND(AG154&gt;=92000,AG154&lt;=98999)</formula>
    </cfRule>
    <cfRule type="expression" dxfId="15731" priority="1787" stopIfTrue="1">
      <formula>AND(AG154&gt;=78100,AG154&lt;=78199)</formula>
    </cfRule>
    <cfRule type="expression" dxfId="15730" priority="1788" stopIfTrue="1">
      <formula>AND(AG154&gt;=91000,AG154&lt;=91999)</formula>
    </cfRule>
  </conditionalFormatting>
  <conditionalFormatting sqref="AF154">
    <cfRule type="expression" dxfId="15729" priority="1767">
      <formula>AND(AG154&gt;=79001,AG154&lt;79900)</formula>
    </cfRule>
    <cfRule type="expression" dxfId="15728" priority="1768" stopIfTrue="1">
      <formula>AND(AG154&gt;=70101,AG154&lt;=70301)</formula>
    </cfRule>
    <cfRule type="expression" dxfId="15727" priority="1769" stopIfTrue="1">
      <formula>AND(AG154&gt;70000,AG154&lt;70004)</formula>
    </cfRule>
    <cfRule type="expression" dxfId="15726" priority="1770" stopIfTrue="1">
      <formula>AND(AG154&gt;=70010,AG154&lt;=76000)</formula>
    </cfRule>
    <cfRule type="expression" dxfId="15725" priority="1771">
      <formula>AND(AG154&gt;70000,AG154&lt;70004)</formula>
    </cfRule>
    <cfRule type="expression" dxfId="15724" priority="1772" stopIfTrue="1">
      <formula>OR(AND(AG154&gt;=10000,AG154&lt;=56999),AND(AG154&gt;=57000,AG154&lt;=57999))</formula>
    </cfRule>
    <cfRule type="expression" dxfId="15723" priority="1773" stopIfTrue="1">
      <formula>AND(AG154&gt;=8000,AG154&lt;=9999)</formula>
    </cfRule>
    <cfRule type="expression" dxfId="15722" priority="1774" stopIfTrue="1">
      <formula>AND(AG154&gt;=78100,AG154&lt;=78199)</formula>
    </cfRule>
    <cfRule type="expression" dxfId="15721" priority="1775" stopIfTrue="1">
      <formula>AND(AG154&gt;=92000,AG154&lt;=98999)</formula>
    </cfRule>
    <cfRule type="expression" dxfId="15720" priority="1776" stopIfTrue="1">
      <formula>AND(AG154&gt;=78100,AG154&lt;=78199)</formula>
    </cfRule>
    <cfRule type="expression" dxfId="15719" priority="1777" stopIfTrue="1">
      <formula>AND(AG154&gt;=91000,AG154&lt;=91999)</formula>
    </cfRule>
  </conditionalFormatting>
  <conditionalFormatting sqref="AF154">
    <cfRule type="expression" dxfId="15718" priority="1756">
      <formula>AND(AG154&gt;=79001,AG154&lt;79900)</formula>
    </cfRule>
    <cfRule type="expression" dxfId="15717" priority="1757" stopIfTrue="1">
      <formula>AND(AG154&gt;=70101,AG154&lt;=70301)</formula>
    </cfRule>
    <cfRule type="expression" dxfId="15716" priority="1758" stopIfTrue="1">
      <formula>AND(AG154&gt;70000,AG154&lt;70004)</formula>
    </cfRule>
    <cfRule type="expression" dxfId="15715" priority="1759" stopIfTrue="1">
      <formula>AND(AG154&gt;=70010,AG154&lt;=76000)</formula>
    </cfRule>
    <cfRule type="expression" dxfId="15714" priority="1760">
      <formula>AND(AG154&gt;70000,AG154&lt;70004)</formula>
    </cfRule>
    <cfRule type="expression" dxfId="15713" priority="1761" stopIfTrue="1">
      <formula>OR(AND(AG154&gt;=10000,AG154&lt;=56999),AND(AG154&gt;=57000,AG154&lt;=57999))</formula>
    </cfRule>
    <cfRule type="expression" dxfId="15712" priority="1762" stopIfTrue="1">
      <formula>AND(AG154&gt;=8000,AG154&lt;=9999)</formula>
    </cfRule>
    <cfRule type="expression" dxfId="15711" priority="1763" stopIfTrue="1">
      <formula>AND(AG154&gt;=78100,AG154&lt;=78199)</formula>
    </cfRule>
    <cfRule type="expression" dxfId="15710" priority="1764" stopIfTrue="1">
      <formula>AND(AG154&gt;=92000,AG154&lt;=98999)</formula>
    </cfRule>
    <cfRule type="expression" dxfId="15709" priority="1765" stopIfTrue="1">
      <formula>AND(AG154&gt;=78100,AG154&lt;=78199)</formula>
    </cfRule>
    <cfRule type="expression" dxfId="15708" priority="1766" stopIfTrue="1">
      <formula>AND(AG154&gt;=91000,AG154&lt;=91999)</formula>
    </cfRule>
  </conditionalFormatting>
  <conditionalFormatting sqref="AF154">
    <cfRule type="expression" dxfId="15707" priority="1745">
      <formula>AND(AG154&gt;=79001,AG154&lt;79900)</formula>
    </cfRule>
    <cfRule type="expression" dxfId="15706" priority="1746" stopIfTrue="1">
      <formula>AND(AG154&gt;=70101,AG154&lt;=70301)</formula>
    </cfRule>
    <cfRule type="expression" dxfId="15705" priority="1747" stopIfTrue="1">
      <formula>AND(AG154&gt;70000,AG154&lt;70004)</formula>
    </cfRule>
    <cfRule type="expression" dxfId="15704" priority="1748" stopIfTrue="1">
      <formula>AND(AG154&gt;=70010,AG154&lt;=76000)</formula>
    </cfRule>
    <cfRule type="expression" dxfId="15703" priority="1749">
      <formula>AND(AG154&gt;70000,AG154&lt;70004)</formula>
    </cfRule>
    <cfRule type="expression" dxfId="15702" priority="1750" stopIfTrue="1">
      <formula>OR(AND(AG154&gt;=10000,AG154&lt;=56999),AND(AG154&gt;=57000,AG154&lt;=57999))</formula>
    </cfRule>
    <cfRule type="expression" dxfId="15701" priority="1751" stopIfTrue="1">
      <formula>AND(AG154&gt;=8000,AG154&lt;=9999)</formula>
    </cfRule>
    <cfRule type="expression" dxfId="15700" priority="1752" stopIfTrue="1">
      <formula>AND(AG154&gt;=78100,AG154&lt;=78199)</formula>
    </cfRule>
    <cfRule type="expression" dxfId="15699" priority="1753" stopIfTrue="1">
      <formula>AND(AG154&gt;=92000,AG154&lt;=98999)</formula>
    </cfRule>
    <cfRule type="expression" dxfId="15698" priority="1754" stopIfTrue="1">
      <formula>AND(AG154&gt;=78100,AG154&lt;=78199)</formula>
    </cfRule>
    <cfRule type="expression" dxfId="15697" priority="1755" stopIfTrue="1">
      <formula>AND(AG154&gt;=91000,AG154&lt;=91999)</formula>
    </cfRule>
  </conditionalFormatting>
  <conditionalFormatting sqref="T157">
    <cfRule type="expression" dxfId="15696" priority="1734">
      <formula>AND(U157&gt;=79001,U157&lt;79900)</formula>
    </cfRule>
    <cfRule type="expression" dxfId="15695" priority="1735" stopIfTrue="1">
      <formula>AND(U157&gt;=70101,U157&lt;=70301)</formula>
    </cfRule>
    <cfRule type="expression" dxfId="15694" priority="1736" stopIfTrue="1">
      <formula>AND(U157&gt;70000,U157&lt;70004)</formula>
    </cfRule>
    <cfRule type="expression" dxfId="15693" priority="1737" stopIfTrue="1">
      <formula>AND(U157&gt;=70010,U157&lt;=76000)</formula>
    </cfRule>
    <cfRule type="expression" dxfId="15692" priority="1738">
      <formula>AND(U157&gt;70000,U157&lt;70004)</formula>
    </cfRule>
    <cfRule type="expression" dxfId="15691" priority="1739" stopIfTrue="1">
      <formula>OR(AND(U157&gt;=10000,U157&lt;=56999),AND(U157&gt;=57000,U157&lt;=57999))</formula>
    </cfRule>
    <cfRule type="expression" dxfId="15690" priority="1740" stopIfTrue="1">
      <formula>AND(U157&gt;=8000,U157&lt;=9999)</formula>
    </cfRule>
    <cfRule type="expression" dxfId="15689" priority="1741" stopIfTrue="1">
      <formula>AND(U157&gt;=78100,U157&lt;=78199)</formula>
    </cfRule>
    <cfRule type="expression" dxfId="15688" priority="1742" stopIfTrue="1">
      <formula>AND(U157&gt;=92000,U157&lt;=98999)</formula>
    </cfRule>
    <cfRule type="expression" dxfId="15687" priority="1743" stopIfTrue="1">
      <formula>AND(U157&gt;=78100,U157&lt;=78199)</formula>
    </cfRule>
    <cfRule type="expression" dxfId="15686" priority="1744" stopIfTrue="1">
      <formula>AND(U157&gt;=91000,U157&lt;=91999)</formula>
    </cfRule>
  </conditionalFormatting>
  <conditionalFormatting sqref="T157">
    <cfRule type="expression" dxfId="15685" priority="1723">
      <formula>AND(U157&gt;=79001,U157&lt;79900)</formula>
    </cfRule>
    <cfRule type="expression" dxfId="15684" priority="1724" stopIfTrue="1">
      <formula>AND(U157&gt;=70101,U157&lt;=70301)</formula>
    </cfRule>
    <cfRule type="expression" dxfId="15683" priority="1725" stopIfTrue="1">
      <formula>AND(U157&gt;70000,U157&lt;70004)</formula>
    </cfRule>
    <cfRule type="expression" dxfId="15682" priority="1726" stopIfTrue="1">
      <formula>AND(U157&gt;=70010,U157&lt;=76000)</formula>
    </cfRule>
    <cfRule type="expression" dxfId="15681" priority="1727">
      <formula>AND(U157&gt;70000,U157&lt;70004)</formula>
    </cfRule>
    <cfRule type="expression" dxfId="15680" priority="1728" stopIfTrue="1">
      <formula>OR(AND(U157&gt;=10000,U157&lt;=56999),AND(U157&gt;=57000,U157&lt;=57999))</formula>
    </cfRule>
    <cfRule type="expression" dxfId="15679" priority="1729" stopIfTrue="1">
      <formula>AND(U157&gt;=8000,U157&lt;=9999)</formula>
    </cfRule>
    <cfRule type="expression" dxfId="15678" priority="1730" stopIfTrue="1">
      <formula>AND(U157&gt;=78100,U157&lt;=78199)</formula>
    </cfRule>
    <cfRule type="expression" dxfId="15677" priority="1731" stopIfTrue="1">
      <formula>AND(U157&gt;=92000,U157&lt;=98999)</formula>
    </cfRule>
    <cfRule type="expression" dxfId="15676" priority="1732" stopIfTrue="1">
      <formula>AND(U157&gt;=78100,U157&lt;=78199)</formula>
    </cfRule>
    <cfRule type="expression" dxfId="15675" priority="1733" stopIfTrue="1">
      <formula>AND(U157&gt;=91000,U157&lt;=91999)</formula>
    </cfRule>
  </conditionalFormatting>
  <conditionalFormatting sqref="T157">
    <cfRule type="expression" dxfId="15674" priority="1712">
      <formula>AND(U157&gt;=79001,U157&lt;79900)</formula>
    </cfRule>
    <cfRule type="expression" dxfId="15673" priority="1713" stopIfTrue="1">
      <formula>AND(U157&gt;=70101,U157&lt;=70301)</formula>
    </cfRule>
    <cfRule type="expression" dxfId="15672" priority="1714" stopIfTrue="1">
      <formula>AND(U157&gt;70000,U157&lt;70004)</formula>
    </cfRule>
    <cfRule type="expression" dxfId="15671" priority="1715" stopIfTrue="1">
      <formula>AND(U157&gt;=70010,U157&lt;=76000)</formula>
    </cfRule>
    <cfRule type="expression" dxfId="15670" priority="1716">
      <formula>AND(U157&gt;70000,U157&lt;70004)</formula>
    </cfRule>
    <cfRule type="expression" dxfId="15669" priority="1717" stopIfTrue="1">
      <formula>OR(AND(U157&gt;=10000,U157&lt;=56999),AND(U157&gt;=57000,U157&lt;=57999))</formula>
    </cfRule>
    <cfRule type="expression" dxfId="15668" priority="1718" stopIfTrue="1">
      <formula>AND(U157&gt;=8000,U157&lt;=9999)</formula>
    </cfRule>
    <cfRule type="expression" dxfId="15667" priority="1719" stopIfTrue="1">
      <formula>AND(U157&gt;=78100,U157&lt;=78199)</formula>
    </cfRule>
    <cfRule type="expression" dxfId="15666" priority="1720" stopIfTrue="1">
      <formula>AND(U157&gt;=92000,U157&lt;=98999)</formula>
    </cfRule>
    <cfRule type="expression" dxfId="15665" priority="1721" stopIfTrue="1">
      <formula>AND(U157&gt;=78100,U157&lt;=78199)</formula>
    </cfRule>
    <cfRule type="expression" dxfId="15664" priority="1722" stopIfTrue="1">
      <formula>AND(U157&gt;=91000,U157&lt;=91999)</formula>
    </cfRule>
  </conditionalFormatting>
  <conditionalFormatting sqref="T157">
    <cfRule type="expression" dxfId="15663" priority="1701">
      <formula>AND(U157&gt;=79001,U157&lt;79900)</formula>
    </cfRule>
    <cfRule type="expression" dxfId="15662" priority="1702" stopIfTrue="1">
      <formula>AND(U157&gt;=70101,U157&lt;=70301)</formula>
    </cfRule>
    <cfRule type="expression" dxfId="15661" priority="1703" stopIfTrue="1">
      <formula>AND(U157&gt;70000,U157&lt;70004)</formula>
    </cfRule>
    <cfRule type="expression" dxfId="15660" priority="1704" stopIfTrue="1">
      <formula>AND(U157&gt;=70010,U157&lt;=76000)</formula>
    </cfRule>
    <cfRule type="expression" dxfId="15659" priority="1705">
      <formula>AND(U157&gt;70000,U157&lt;70004)</formula>
    </cfRule>
    <cfRule type="expression" dxfId="15658" priority="1706" stopIfTrue="1">
      <formula>OR(AND(U157&gt;=10000,U157&lt;=56999),AND(U157&gt;=57000,U157&lt;=57999))</formula>
    </cfRule>
    <cfRule type="expression" dxfId="15657" priority="1707" stopIfTrue="1">
      <formula>AND(U157&gt;=8000,U157&lt;=9999)</formula>
    </cfRule>
    <cfRule type="expression" dxfId="15656" priority="1708" stopIfTrue="1">
      <formula>AND(U157&gt;=78100,U157&lt;=78199)</formula>
    </cfRule>
    <cfRule type="expression" dxfId="15655" priority="1709" stopIfTrue="1">
      <formula>AND(U157&gt;=92000,U157&lt;=98999)</formula>
    </cfRule>
    <cfRule type="expression" dxfId="15654" priority="1710" stopIfTrue="1">
      <formula>AND(U157&gt;=78100,U157&lt;=78199)</formula>
    </cfRule>
    <cfRule type="expression" dxfId="15653" priority="1711" stopIfTrue="1">
      <formula>AND(U157&gt;=91000,U157&lt;=91999)</formula>
    </cfRule>
  </conditionalFormatting>
  <conditionalFormatting sqref="X157">
    <cfRule type="expression" dxfId="15652" priority="1690">
      <formula>AND(Y157&gt;=79001,Y157&lt;79900)</formula>
    </cfRule>
    <cfRule type="expression" dxfId="15651" priority="1691" stopIfTrue="1">
      <formula>AND(Y157&gt;=70101,Y157&lt;=70301)</formula>
    </cfRule>
    <cfRule type="expression" dxfId="15650" priority="1692" stopIfTrue="1">
      <formula>AND(Y157&gt;70000,Y157&lt;70004)</formula>
    </cfRule>
    <cfRule type="expression" dxfId="15649" priority="1693" stopIfTrue="1">
      <formula>AND(Y157&gt;=70010,Y157&lt;=76000)</formula>
    </cfRule>
    <cfRule type="expression" dxfId="15648" priority="1694">
      <formula>AND(Y157&gt;70000,Y157&lt;70004)</formula>
    </cfRule>
    <cfRule type="expression" dxfId="15647" priority="1695" stopIfTrue="1">
      <formula>OR(AND(Y157&gt;=10000,Y157&lt;=56999),AND(Y157&gt;=57000,Y157&lt;=57999))</formula>
    </cfRule>
    <cfRule type="expression" dxfId="15646" priority="1696" stopIfTrue="1">
      <formula>AND(Y157&gt;=8000,Y157&lt;=9999)</formula>
    </cfRule>
    <cfRule type="expression" dxfId="15645" priority="1697" stopIfTrue="1">
      <formula>AND(Y157&gt;=78100,Y157&lt;=78199)</formula>
    </cfRule>
    <cfRule type="expression" dxfId="15644" priority="1698" stopIfTrue="1">
      <formula>AND(Y157&gt;=92000,Y157&lt;=98999)</formula>
    </cfRule>
    <cfRule type="expression" dxfId="15643" priority="1699" stopIfTrue="1">
      <formula>AND(Y157&gt;=78100,Y157&lt;=78199)</formula>
    </cfRule>
    <cfRule type="expression" dxfId="15642" priority="1700" stopIfTrue="1">
      <formula>AND(Y157&gt;=91000,Y157&lt;=91999)</formula>
    </cfRule>
  </conditionalFormatting>
  <conditionalFormatting sqref="X157">
    <cfRule type="expression" dxfId="15641" priority="1679">
      <formula>AND(Y157&gt;=79001,Y157&lt;79900)</formula>
    </cfRule>
    <cfRule type="expression" dxfId="15640" priority="1680" stopIfTrue="1">
      <formula>AND(Y157&gt;=70101,Y157&lt;=70301)</formula>
    </cfRule>
    <cfRule type="expression" dxfId="15639" priority="1681" stopIfTrue="1">
      <formula>AND(Y157&gt;70000,Y157&lt;70004)</formula>
    </cfRule>
    <cfRule type="expression" dxfId="15638" priority="1682" stopIfTrue="1">
      <formula>AND(Y157&gt;=70010,Y157&lt;=76000)</formula>
    </cfRule>
    <cfRule type="expression" dxfId="15637" priority="1683">
      <formula>AND(Y157&gt;70000,Y157&lt;70004)</formula>
    </cfRule>
    <cfRule type="expression" dxfId="15636" priority="1684" stopIfTrue="1">
      <formula>OR(AND(Y157&gt;=10000,Y157&lt;=56999),AND(Y157&gt;=57000,Y157&lt;=57999))</formula>
    </cfRule>
    <cfRule type="expression" dxfId="15635" priority="1685" stopIfTrue="1">
      <formula>AND(Y157&gt;=8000,Y157&lt;=9999)</formula>
    </cfRule>
    <cfRule type="expression" dxfId="15634" priority="1686" stopIfTrue="1">
      <formula>AND(Y157&gt;=78100,Y157&lt;=78199)</formula>
    </cfRule>
    <cfRule type="expression" dxfId="15633" priority="1687" stopIfTrue="1">
      <formula>AND(Y157&gt;=92000,Y157&lt;=98999)</formula>
    </cfRule>
    <cfRule type="expression" dxfId="15632" priority="1688" stopIfTrue="1">
      <formula>AND(Y157&gt;=78100,Y157&lt;=78199)</formula>
    </cfRule>
    <cfRule type="expression" dxfId="15631" priority="1689" stopIfTrue="1">
      <formula>AND(Y157&gt;=91000,Y157&lt;=91999)</formula>
    </cfRule>
  </conditionalFormatting>
  <conditionalFormatting sqref="X157">
    <cfRule type="expression" dxfId="15630" priority="1668">
      <formula>AND(Y157&gt;=79001,Y157&lt;79900)</formula>
    </cfRule>
    <cfRule type="expression" dxfId="15629" priority="1669" stopIfTrue="1">
      <formula>AND(Y157&gt;=70101,Y157&lt;=70301)</formula>
    </cfRule>
    <cfRule type="expression" dxfId="15628" priority="1670" stopIfTrue="1">
      <formula>AND(Y157&gt;70000,Y157&lt;70004)</formula>
    </cfRule>
    <cfRule type="expression" dxfId="15627" priority="1671" stopIfTrue="1">
      <formula>AND(Y157&gt;=70010,Y157&lt;=76000)</formula>
    </cfRule>
    <cfRule type="expression" dxfId="15626" priority="1672">
      <formula>AND(Y157&gt;70000,Y157&lt;70004)</formula>
    </cfRule>
    <cfRule type="expression" dxfId="15625" priority="1673" stopIfTrue="1">
      <formula>OR(AND(Y157&gt;=10000,Y157&lt;=56999),AND(Y157&gt;=57000,Y157&lt;=57999))</formula>
    </cfRule>
    <cfRule type="expression" dxfId="15624" priority="1674" stopIfTrue="1">
      <formula>AND(Y157&gt;=8000,Y157&lt;=9999)</formula>
    </cfRule>
    <cfRule type="expression" dxfId="15623" priority="1675" stopIfTrue="1">
      <formula>AND(Y157&gt;=78100,Y157&lt;=78199)</formula>
    </cfRule>
    <cfRule type="expression" dxfId="15622" priority="1676" stopIfTrue="1">
      <formula>AND(Y157&gt;=92000,Y157&lt;=98999)</formula>
    </cfRule>
    <cfRule type="expression" dxfId="15621" priority="1677" stopIfTrue="1">
      <formula>AND(Y157&gt;=78100,Y157&lt;=78199)</formula>
    </cfRule>
    <cfRule type="expression" dxfId="15620" priority="1678" stopIfTrue="1">
      <formula>AND(Y157&gt;=91000,Y157&lt;=91999)</formula>
    </cfRule>
  </conditionalFormatting>
  <conditionalFormatting sqref="X157">
    <cfRule type="expression" dxfId="15619" priority="1657">
      <formula>AND(Y157&gt;=79001,Y157&lt;79900)</formula>
    </cfRule>
    <cfRule type="expression" dxfId="15618" priority="1658" stopIfTrue="1">
      <formula>AND(Y157&gt;=70101,Y157&lt;=70301)</formula>
    </cfRule>
    <cfRule type="expression" dxfId="15617" priority="1659" stopIfTrue="1">
      <formula>AND(Y157&gt;70000,Y157&lt;70004)</formula>
    </cfRule>
    <cfRule type="expression" dxfId="15616" priority="1660" stopIfTrue="1">
      <formula>AND(Y157&gt;=70010,Y157&lt;=76000)</formula>
    </cfRule>
    <cfRule type="expression" dxfId="15615" priority="1661">
      <formula>AND(Y157&gt;70000,Y157&lt;70004)</formula>
    </cfRule>
    <cfRule type="expression" dxfId="15614" priority="1662" stopIfTrue="1">
      <formula>OR(AND(Y157&gt;=10000,Y157&lt;=56999),AND(Y157&gt;=57000,Y157&lt;=57999))</formula>
    </cfRule>
    <cfRule type="expression" dxfId="15613" priority="1663" stopIfTrue="1">
      <formula>AND(Y157&gt;=8000,Y157&lt;=9999)</formula>
    </cfRule>
    <cfRule type="expression" dxfId="15612" priority="1664" stopIfTrue="1">
      <formula>AND(Y157&gt;=78100,Y157&lt;=78199)</formula>
    </cfRule>
    <cfRule type="expression" dxfId="15611" priority="1665" stopIfTrue="1">
      <formula>AND(Y157&gt;=92000,Y157&lt;=98999)</formula>
    </cfRule>
    <cfRule type="expression" dxfId="15610" priority="1666" stopIfTrue="1">
      <formula>AND(Y157&gt;=78100,Y157&lt;=78199)</formula>
    </cfRule>
    <cfRule type="expression" dxfId="15609" priority="1667" stopIfTrue="1">
      <formula>AND(Y157&gt;=91000,Y157&lt;=91999)</formula>
    </cfRule>
  </conditionalFormatting>
  <conditionalFormatting sqref="AB157">
    <cfRule type="expression" dxfId="15608" priority="1646">
      <formula>AND(AC157&gt;=79001,AC157&lt;79900)</formula>
    </cfRule>
    <cfRule type="expression" dxfId="15607" priority="1647" stopIfTrue="1">
      <formula>AND(AC157&gt;=70101,AC157&lt;=70301)</formula>
    </cfRule>
    <cfRule type="expression" dxfId="15606" priority="1648" stopIfTrue="1">
      <formula>AND(AC157&gt;70000,AC157&lt;70004)</formula>
    </cfRule>
    <cfRule type="expression" dxfId="15605" priority="1649" stopIfTrue="1">
      <formula>AND(AC157&gt;=70010,AC157&lt;=76000)</formula>
    </cfRule>
    <cfRule type="expression" dxfId="15604" priority="1650">
      <formula>AND(AC157&gt;70000,AC157&lt;70004)</formula>
    </cfRule>
    <cfRule type="expression" dxfId="15603" priority="1651" stopIfTrue="1">
      <formula>OR(AND(AC157&gt;=10000,AC157&lt;=56999),AND(AC157&gt;=57000,AC157&lt;=57999))</formula>
    </cfRule>
    <cfRule type="expression" dxfId="15602" priority="1652" stopIfTrue="1">
      <formula>AND(AC157&gt;=8000,AC157&lt;=9999)</formula>
    </cfRule>
    <cfRule type="expression" dxfId="15601" priority="1653" stopIfTrue="1">
      <formula>AND(AC157&gt;=78100,AC157&lt;=78199)</formula>
    </cfRule>
    <cfRule type="expression" dxfId="15600" priority="1654" stopIfTrue="1">
      <formula>AND(AC157&gt;=92000,AC157&lt;=98999)</formula>
    </cfRule>
    <cfRule type="expression" dxfId="15599" priority="1655" stopIfTrue="1">
      <formula>AND(AC157&gt;=78100,AC157&lt;=78199)</formula>
    </cfRule>
    <cfRule type="expression" dxfId="15598" priority="1656" stopIfTrue="1">
      <formula>AND(AC157&gt;=91000,AC157&lt;=91999)</formula>
    </cfRule>
  </conditionalFormatting>
  <conditionalFormatting sqref="AB157">
    <cfRule type="expression" dxfId="15597" priority="1635">
      <formula>AND(AC157&gt;=79001,AC157&lt;79900)</formula>
    </cfRule>
    <cfRule type="expression" dxfId="15596" priority="1636" stopIfTrue="1">
      <formula>AND(AC157&gt;=70101,AC157&lt;=70301)</formula>
    </cfRule>
    <cfRule type="expression" dxfId="15595" priority="1637" stopIfTrue="1">
      <formula>AND(AC157&gt;70000,AC157&lt;70004)</formula>
    </cfRule>
    <cfRule type="expression" dxfId="15594" priority="1638" stopIfTrue="1">
      <formula>AND(AC157&gt;=70010,AC157&lt;=76000)</formula>
    </cfRule>
    <cfRule type="expression" dxfId="15593" priority="1639">
      <formula>AND(AC157&gt;70000,AC157&lt;70004)</formula>
    </cfRule>
    <cfRule type="expression" dxfId="15592" priority="1640" stopIfTrue="1">
      <formula>OR(AND(AC157&gt;=10000,AC157&lt;=56999),AND(AC157&gt;=57000,AC157&lt;=57999))</formula>
    </cfRule>
    <cfRule type="expression" dxfId="15591" priority="1641" stopIfTrue="1">
      <formula>AND(AC157&gt;=8000,AC157&lt;=9999)</formula>
    </cfRule>
    <cfRule type="expression" dxfId="15590" priority="1642" stopIfTrue="1">
      <formula>AND(AC157&gt;=78100,AC157&lt;=78199)</formula>
    </cfRule>
    <cfRule type="expression" dxfId="15589" priority="1643" stopIfTrue="1">
      <formula>AND(AC157&gt;=92000,AC157&lt;=98999)</formula>
    </cfRule>
    <cfRule type="expression" dxfId="15588" priority="1644" stopIfTrue="1">
      <formula>AND(AC157&gt;=78100,AC157&lt;=78199)</formula>
    </cfRule>
    <cfRule type="expression" dxfId="15587" priority="1645" stopIfTrue="1">
      <formula>AND(AC157&gt;=91000,AC157&lt;=91999)</formula>
    </cfRule>
  </conditionalFormatting>
  <conditionalFormatting sqref="AB157">
    <cfRule type="expression" dxfId="15586" priority="1624">
      <formula>AND(AC157&gt;=79001,AC157&lt;79900)</formula>
    </cfRule>
    <cfRule type="expression" dxfId="15585" priority="1625" stopIfTrue="1">
      <formula>AND(AC157&gt;=70101,AC157&lt;=70301)</formula>
    </cfRule>
    <cfRule type="expression" dxfId="15584" priority="1626" stopIfTrue="1">
      <formula>AND(AC157&gt;70000,AC157&lt;70004)</formula>
    </cfRule>
    <cfRule type="expression" dxfId="15583" priority="1627" stopIfTrue="1">
      <formula>AND(AC157&gt;=70010,AC157&lt;=76000)</formula>
    </cfRule>
    <cfRule type="expression" dxfId="15582" priority="1628">
      <formula>AND(AC157&gt;70000,AC157&lt;70004)</formula>
    </cfRule>
    <cfRule type="expression" dxfId="15581" priority="1629" stopIfTrue="1">
      <formula>OR(AND(AC157&gt;=10000,AC157&lt;=56999),AND(AC157&gt;=57000,AC157&lt;=57999))</formula>
    </cfRule>
    <cfRule type="expression" dxfId="15580" priority="1630" stopIfTrue="1">
      <formula>AND(AC157&gt;=8000,AC157&lt;=9999)</formula>
    </cfRule>
    <cfRule type="expression" dxfId="15579" priority="1631" stopIfTrue="1">
      <formula>AND(AC157&gt;=78100,AC157&lt;=78199)</formula>
    </cfRule>
    <cfRule type="expression" dxfId="15578" priority="1632" stopIfTrue="1">
      <formula>AND(AC157&gt;=92000,AC157&lt;=98999)</formula>
    </cfRule>
    <cfRule type="expression" dxfId="15577" priority="1633" stopIfTrue="1">
      <formula>AND(AC157&gt;=78100,AC157&lt;=78199)</formula>
    </cfRule>
    <cfRule type="expression" dxfId="15576" priority="1634" stopIfTrue="1">
      <formula>AND(AC157&gt;=91000,AC157&lt;=91999)</formula>
    </cfRule>
  </conditionalFormatting>
  <conditionalFormatting sqref="AB157">
    <cfRule type="expression" dxfId="15575" priority="1613">
      <formula>AND(AC157&gt;=79001,AC157&lt;79900)</formula>
    </cfRule>
    <cfRule type="expression" dxfId="15574" priority="1614" stopIfTrue="1">
      <formula>AND(AC157&gt;=70101,AC157&lt;=70301)</formula>
    </cfRule>
    <cfRule type="expression" dxfId="15573" priority="1615" stopIfTrue="1">
      <formula>AND(AC157&gt;70000,AC157&lt;70004)</formula>
    </cfRule>
    <cfRule type="expression" dxfId="15572" priority="1616" stopIfTrue="1">
      <formula>AND(AC157&gt;=70010,AC157&lt;=76000)</formula>
    </cfRule>
    <cfRule type="expression" dxfId="15571" priority="1617">
      <formula>AND(AC157&gt;70000,AC157&lt;70004)</formula>
    </cfRule>
    <cfRule type="expression" dxfId="15570" priority="1618" stopIfTrue="1">
      <formula>OR(AND(AC157&gt;=10000,AC157&lt;=56999),AND(AC157&gt;=57000,AC157&lt;=57999))</formula>
    </cfRule>
    <cfRule type="expression" dxfId="15569" priority="1619" stopIfTrue="1">
      <formula>AND(AC157&gt;=8000,AC157&lt;=9999)</formula>
    </cfRule>
    <cfRule type="expression" dxfId="15568" priority="1620" stopIfTrue="1">
      <formula>AND(AC157&gt;=78100,AC157&lt;=78199)</formula>
    </cfRule>
    <cfRule type="expression" dxfId="15567" priority="1621" stopIfTrue="1">
      <formula>AND(AC157&gt;=92000,AC157&lt;=98999)</formula>
    </cfRule>
    <cfRule type="expression" dxfId="15566" priority="1622" stopIfTrue="1">
      <formula>AND(AC157&gt;=78100,AC157&lt;=78199)</formula>
    </cfRule>
    <cfRule type="expression" dxfId="15565" priority="1623" stopIfTrue="1">
      <formula>AND(AC157&gt;=91000,AC157&lt;=91999)</formula>
    </cfRule>
  </conditionalFormatting>
  <conditionalFormatting sqref="AF157">
    <cfRule type="expression" dxfId="15564" priority="1602">
      <formula>AND(AG157&gt;=79001,AG157&lt;79900)</formula>
    </cfRule>
    <cfRule type="expression" dxfId="15563" priority="1603" stopIfTrue="1">
      <formula>AND(AG157&gt;=70101,AG157&lt;=70301)</formula>
    </cfRule>
    <cfRule type="expression" dxfId="15562" priority="1604" stopIfTrue="1">
      <formula>AND(AG157&gt;70000,AG157&lt;70004)</formula>
    </cfRule>
    <cfRule type="expression" dxfId="15561" priority="1605" stopIfTrue="1">
      <formula>AND(AG157&gt;=70010,AG157&lt;=76000)</formula>
    </cfRule>
    <cfRule type="expression" dxfId="15560" priority="1606">
      <formula>AND(AG157&gt;70000,AG157&lt;70004)</formula>
    </cfRule>
    <cfRule type="expression" dxfId="15559" priority="1607" stopIfTrue="1">
      <formula>OR(AND(AG157&gt;=10000,AG157&lt;=56999),AND(AG157&gt;=57000,AG157&lt;=57999))</formula>
    </cfRule>
    <cfRule type="expression" dxfId="15558" priority="1608" stopIfTrue="1">
      <formula>AND(AG157&gt;=8000,AG157&lt;=9999)</formula>
    </cfRule>
    <cfRule type="expression" dxfId="15557" priority="1609" stopIfTrue="1">
      <formula>AND(AG157&gt;=78100,AG157&lt;=78199)</formula>
    </cfRule>
    <cfRule type="expression" dxfId="15556" priority="1610" stopIfTrue="1">
      <formula>AND(AG157&gt;=92000,AG157&lt;=98999)</formula>
    </cfRule>
    <cfRule type="expression" dxfId="15555" priority="1611" stopIfTrue="1">
      <formula>AND(AG157&gt;=78100,AG157&lt;=78199)</formula>
    </cfRule>
    <cfRule type="expression" dxfId="15554" priority="1612" stopIfTrue="1">
      <formula>AND(AG157&gt;=91000,AG157&lt;=91999)</formula>
    </cfRule>
  </conditionalFormatting>
  <conditionalFormatting sqref="AF157">
    <cfRule type="expression" dxfId="15553" priority="1591">
      <formula>AND(AG157&gt;=79001,AG157&lt;79900)</formula>
    </cfRule>
    <cfRule type="expression" dxfId="15552" priority="1592" stopIfTrue="1">
      <formula>AND(AG157&gt;=70101,AG157&lt;=70301)</formula>
    </cfRule>
    <cfRule type="expression" dxfId="15551" priority="1593" stopIfTrue="1">
      <formula>AND(AG157&gt;70000,AG157&lt;70004)</formula>
    </cfRule>
    <cfRule type="expression" dxfId="15550" priority="1594" stopIfTrue="1">
      <formula>AND(AG157&gt;=70010,AG157&lt;=76000)</formula>
    </cfRule>
    <cfRule type="expression" dxfId="15549" priority="1595">
      <formula>AND(AG157&gt;70000,AG157&lt;70004)</formula>
    </cfRule>
    <cfRule type="expression" dxfId="15548" priority="1596" stopIfTrue="1">
      <formula>OR(AND(AG157&gt;=10000,AG157&lt;=56999),AND(AG157&gt;=57000,AG157&lt;=57999))</formula>
    </cfRule>
    <cfRule type="expression" dxfId="15547" priority="1597" stopIfTrue="1">
      <formula>AND(AG157&gt;=8000,AG157&lt;=9999)</formula>
    </cfRule>
    <cfRule type="expression" dxfId="15546" priority="1598" stopIfTrue="1">
      <formula>AND(AG157&gt;=78100,AG157&lt;=78199)</formula>
    </cfRule>
    <cfRule type="expression" dxfId="15545" priority="1599" stopIfTrue="1">
      <formula>AND(AG157&gt;=92000,AG157&lt;=98999)</formula>
    </cfRule>
    <cfRule type="expression" dxfId="15544" priority="1600" stopIfTrue="1">
      <formula>AND(AG157&gt;=78100,AG157&lt;=78199)</formula>
    </cfRule>
    <cfRule type="expression" dxfId="15543" priority="1601" stopIfTrue="1">
      <formula>AND(AG157&gt;=91000,AG157&lt;=91999)</formula>
    </cfRule>
  </conditionalFormatting>
  <conditionalFormatting sqref="AF157">
    <cfRule type="expression" dxfId="15542" priority="1580">
      <formula>AND(AG157&gt;=79001,AG157&lt;79900)</formula>
    </cfRule>
    <cfRule type="expression" dxfId="15541" priority="1581" stopIfTrue="1">
      <formula>AND(AG157&gt;=70101,AG157&lt;=70301)</formula>
    </cfRule>
    <cfRule type="expression" dxfId="15540" priority="1582" stopIfTrue="1">
      <formula>AND(AG157&gt;70000,AG157&lt;70004)</formula>
    </cfRule>
    <cfRule type="expression" dxfId="15539" priority="1583" stopIfTrue="1">
      <formula>AND(AG157&gt;=70010,AG157&lt;=76000)</formula>
    </cfRule>
    <cfRule type="expression" dxfId="15538" priority="1584">
      <formula>AND(AG157&gt;70000,AG157&lt;70004)</formula>
    </cfRule>
    <cfRule type="expression" dxfId="15537" priority="1585" stopIfTrue="1">
      <formula>OR(AND(AG157&gt;=10000,AG157&lt;=56999),AND(AG157&gt;=57000,AG157&lt;=57999))</formula>
    </cfRule>
    <cfRule type="expression" dxfId="15536" priority="1586" stopIfTrue="1">
      <formula>AND(AG157&gt;=8000,AG157&lt;=9999)</formula>
    </cfRule>
    <cfRule type="expression" dxfId="15535" priority="1587" stopIfTrue="1">
      <formula>AND(AG157&gt;=78100,AG157&lt;=78199)</formula>
    </cfRule>
    <cfRule type="expression" dxfId="15534" priority="1588" stopIfTrue="1">
      <formula>AND(AG157&gt;=92000,AG157&lt;=98999)</formula>
    </cfRule>
    <cfRule type="expression" dxfId="15533" priority="1589" stopIfTrue="1">
      <formula>AND(AG157&gt;=78100,AG157&lt;=78199)</formula>
    </cfRule>
    <cfRule type="expression" dxfId="15532" priority="1590" stopIfTrue="1">
      <formula>AND(AG157&gt;=91000,AG157&lt;=91999)</formula>
    </cfRule>
  </conditionalFormatting>
  <conditionalFormatting sqref="AF157">
    <cfRule type="expression" dxfId="15531" priority="1569">
      <formula>AND(AG157&gt;=79001,AG157&lt;79900)</formula>
    </cfRule>
    <cfRule type="expression" dxfId="15530" priority="1570" stopIfTrue="1">
      <formula>AND(AG157&gt;=70101,AG157&lt;=70301)</formula>
    </cfRule>
    <cfRule type="expression" dxfId="15529" priority="1571" stopIfTrue="1">
      <formula>AND(AG157&gt;70000,AG157&lt;70004)</formula>
    </cfRule>
    <cfRule type="expression" dxfId="15528" priority="1572" stopIfTrue="1">
      <formula>AND(AG157&gt;=70010,AG157&lt;=76000)</formula>
    </cfRule>
    <cfRule type="expression" dxfId="15527" priority="1573">
      <formula>AND(AG157&gt;70000,AG157&lt;70004)</formula>
    </cfRule>
    <cfRule type="expression" dxfId="15526" priority="1574" stopIfTrue="1">
      <formula>OR(AND(AG157&gt;=10000,AG157&lt;=56999),AND(AG157&gt;=57000,AG157&lt;=57999))</formula>
    </cfRule>
    <cfRule type="expression" dxfId="15525" priority="1575" stopIfTrue="1">
      <formula>AND(AG157&gt;=8000,AG157&lt;=9999)</formula>
    </cfRule>
    <cfRule type="expression" dxfId="15524" priority="1576" stopIfTrue="1">
      <formula>AND(AG157&gt;=78100,AG157&lt;=78199)</formula>
    </cfRule>
    <cfRule type="expression" dxfId="15523" priority="1577" stopIfTrue="1">
      <formula>AND(AG157&gt;=92000,AG157&lt;=98999)</formula>
    </cfRule>
    <cfRule type="expression" dxfId="15522" priority="1578" stopIfTrue="1">
      <formula>AND(AG157&gt;=78100,AG157&lt;=78199)</formula>
    </cfRule>
    <cfRule type="expression" dxfId="15521" priority="1579" stopIfTrue="1">
      <formula>AND(AG157&gt;=91000,AG157&lt;=91999)</formula>
    </cfRule>
  </conditionalFormatting>
  <conditionalFormatting sqref="T160">
    <cfRule type="expression" dxfId="15520" priority="1558">
      <formula>AND(U160&gt;=79001,U160&lt;79900)</formula>
    </cfRule>
    <cfRule type="expression" dxfId="15519" priority="1559" stopIfTrue="1">
      <formula>AND(U160&gt;=70101,U160&lt;=70301)</formula>
    </cfRule>
    <cfRule type="expression" dxfId="15518" priority="1560" stopIfTrue="1">
      <formula>AND(U160&gt;70000,U160&lt;70004)</formula>
    </cfRule>
    <cfRule type="expression" dxfId="15517" priority="1561" stopIfTrue="1">
      <formula>AND(U160&gt;=70010,U160&lt;=76000)</formula>
    </cfRule>
    <cfRule type="expression" dxfId="15516" priority="1562">
      <formula>AND(U160&gt;70000,U160&lt;70004)</formula>
    </cfRule>
    <cfRule type="expression" dxfId="15515" priority="1563" stopIfTrue="1">
      <formula>OR(AND(U160&gt;=10000,U160&lt;=56999),AND(U160&gt;=57000,U160&lt;=57999))</formula>
    </cfRule>
    <cfRule type="expression" dxfId="15514" priority="1564" stopIfTrue="1">
      <formula>AND(U160&gt;=8000,U160&lt;=9999)</formula>
    </cfRule>
    <cfRule type="expression" dxfId="15513" priority="1565" stopIfTrue="1">
      <formula>AND(U160&gt;=78100,U160&lt;=78199)</formula>
    </cfRule>
    <cfRule type="expression" dxfId="15512" priority="1566" stopIfTrue="1">
      <formula>AND(U160&gt;=92000,U160&lt;=98999)</formula>
    </cfRule>
    <cfRule type="expression" dxfId="15511" priority="1567" stopIfTrue="1">
      <formula>AND(U160&gt;=78100,U160&lt;=78199)</formula>
    </cfRule>
    <cfRule type="expression" dxfId="15510" priority="1568" stopIfTrue="1">
      <formula>AND(U160&gt;=91000,U160&lt;=91999)</formula>
    </cfRule>
  </conditionalFormatting>
  <conditionalFormatting sqref="T160">
    <cfRule type="expression" dxfId="15509" priority="1547">
      <formula>AND(U160&gt;=79001,U160&lt;79900)</formula>
    </cfRule>
    <cfRule type="expression" dxfId="15508" priority="1548" stopIfTrue="1">
      <formula>AND(U160&gt;=70101,U160&lt;=70301)</formula>
    </cfRule>
    <cfRule type="expression" dxfId="15507" priority="1549" stopIfTrue="1">
      <formula>AND(U160&gt;70000,U160&lt;70004)</formula>
    </cfRule>
    <cfRule type="expression" dxfId="15506" priority="1550" stopIfTrue="1">
      <formula>AND(U160&gt;=70010,U160&lt;=76000)</formula>
    </cfRule>
    <cfRule type="expression" dxfId="15505" priority="1551">
      <formula>AND(U160&gt;70000,U160&lt;70004)</formula>
    </cfRule>
    <cfRule type="expression" dxfId="15504" priority="1552" stopIfTrue="1">
      <formula>OR(AND(U160&gt;=10000,U160&lt;=56999),AND(U160&gt;=57000,U160&lt;=57999))</formula>
    </cfRule>
    <cfRule type="expression" dxfId="15503" priority="1553" stopIfTrue="1">
      <formula>AND(U160&gt;=8000,U160&lt;=9999)</formula>
    </cfRule>
    <cfRule type="expression" dxfId="15502" priority="1554" stopIfTrue="1">
      <formula>AND(U160&gt;=78100,U160&lt;=78199)</formula>
    </cfRule>
    <cfRule type="expression" dxfId="15501" priority="1555" stopIfTrue="1">
      <formula>AND(U160&gt;=92000,U160&lt;=98999)</formula>
    </cfRule>
    <cfRule type="expression" dxfId="15500" priority="1556" stopIfTrue="1">
      <formula>AND(U160&gt;=78100,U160&lt;=78199)</formula>
    </cfRule>
    <cfRule type="expression" dxfId="15499" priority="1557" stopIfTrue="1">
      <formula>AND(U160&gt;=91000,U160&lt;=91999)</formula>
    </cfRule>
  </conditionalFormatting>
  <conditionalFormatting sqref="T160">
    <cfRule type="expression" dxfId="15498" priority="1536">
      <formula>AND(U160&gt;=79001,U160&lt;79900)</formula>
    </cfRule>
    <cfRule type="expression" dxfId="15497" priority="1537" stopIfTrue="1">
      <formula>AND(U160&gt;=70101,U160&lt;=70301)</formula>
    </cfRule>
    <cfRule type="expression" dxfId="15496" priority="1538" stopIfTrue="1">
      <formula>AND(U160&gt;70000,U160&lt;70004)</formula>
    </cfRule>
    <cfRule type="expression" dxfId="15495" priority="1539" stopIfTrue="1">
      <formula>AND(U160&gt;=70010,U160&lt;=76000)</formula>
    </cfRule>
    <cfRule type="expression" dxfId="15494" priority="1540">
      <formula>AND(U160&gt;70000,U160&lt;70004)</formula>
    </cfRule>
    <cfRule type="expression" dxfId="15493" priority="1541" stopIfTrue="1">
      <formula>OR(AND(U160&gt;=10000,U160&lt;=56999),AND(U160&gt;=57000,U160&lt;=57999))</formula>
    </cfRule>
    <cfRule type="expression" dxfId="15492" priority="1542" stopIfTrue="1">
      <formula>AND(U160&gt;=8000,U160&lt;=9999)</formula>
    </cfRule>
    <cfRule type="expression" dxfId="15491" priority="1543" stopIfTrue="1">
      <formula>AND(U160&gt;=78100,U160&lt;=78199)</formula>
    </cfRule>
    <cfRule type="expression" dxfId="15490" priority="1544" stopIfTrue="1">
      <formula>AND(U160&gt;=92000,U160&lt;=98999)</formula>
    </cfRule>
    <cfRule type="expression" dxfId="15489" priority="1545" stopIfTrue="1">
      <formula>AND(U160&gt;=78100,U160&lt;=78199)</formula>
    </cfRule>
    <cfRule type="expression" dxfId="15488" priority="1546" stopIfTrue="1">
      <formula>AND(U160&gt;=91000,U160&lt;=91999)</formula>
    </cfRule>
  </conditionalFormatting>
  <conditionalFormatting sqref="T160">
    <cfRule type="expression" dxfId="15487" priority="1525">
      <formula>AND(U160&gt;=79001,U160&lt;79900)</formula>
    </cfRule>
    <cfRule type="expression" dxfId="15486" priority="1526" stopIfTrue="1">
      <formula>AND(U160&gt;=70101,U160&lt;=70301)</formula>
    </cfRule>
    <cfRule type="expression" dxfId="15485" priority="1527" stopIfTrue="1">
      <formula>AND(U160&gt;70000,U160&lt;70004)</formula>
    </cfRule>
    <cfRule type="expression" dxfId="15484" priority="1528" stopIfTrue="1">
      <formula>AND(U160&gt;=70010,U160&lt;=76000)</formula>
    </cfRule>
    <cfRule type="expression" dxfId="15483" priority="1529">
      <formula>AND(U160&gt;70000,U160&lt;70004)</formula>
    </cfRule>
    <cfRule type="expression" dxfId="15482" priority="1530" stopIfTrue="1">
      <formula>OR(AND(U160&gt;=10000,U160&lt;=56999),AND(U160&gt;=57000,U160&lt;=57999))</formula>
    </cfRule>
    <cfRule type="expression" dxfId="15481" priority="1531" stopIfTrue="1">
      <formula>AND(U160&gt;=8000,U160&lt;=9999)</formula>
    </cfRule>
    <cfRule type="expression" dxfId="15480" priority="1532" stopIfTrue="1">
      <formula>AND(U160&gt;=78100,U160&lt;=78199)</formula>
    </cfRule>
    <cfRule type="expression" dxfId="15479" priority="1533" stopIfTrue="1">
      <formula>AND(U160&gt;=92000,U160&lt;=98999)</formula>
    </cfRule>
    <cfRule type="expression" dxfId="15478" priority="1534" stopIfTrue="1">
      <formula>AND(U160&gt;=78100,U160&lt;=78199)</formula>
    </cfRule>
    <cfRule type="expression" dxfId="15477" priority="1535" stopIfTrue="1">
      <formula>AND(U160&gt;=91000,U160&lt;=91999)</formula>
    </cfRule>
  </conditionalFormatting>
  <conditionalFormatting sqref="X160">
    <cfRule type="expression" dxfId="15476" priority="1514">
      <formula>AND(Y160&gt;=79001,Y160&lt;79900)</formula>
    </cfRule>
    <cfRule type="expression" dxfId="15475" priority="1515" stopIfTrue="1">
      <formula>AND(Y160&gt;=70101,Y160&lt;=70301)</formula>
    </cfRule>
    <cfRule type="expression" dxfId="15474" priority="1516" stopIfTrue="1">
      <formula>AND(Y160&gt;70000,Y160&lt;70004)</formula>
    </cfRule>
    <cfRule type="expression" dxfId="15473" priority="1517" stopIfTrue="1">
      <formula>AND(Y160&gt;=70010,Y160&lt;=76000)</formula>
    </cfRule>
    <cfRule type="expression" dxfId="15472" priority="1518">
      <formula>AND(Y160&gt;70000,Y160&lt;70004)</formula>
    </cfRule>
    <cfRule type="expression" dxfId="15471" priority="1519" stopIfTrue="1">
      <formula>OR(AND(Y160&gt;=10000,Y160&lt;=56999),AND(Y160&gt;=57000,Y160&lt;=57999))</formula>
    </cfRule>
    <cfRule type="expression" dxfId="15470" priority="1520" stopIfTrue="1">
      <formula>AND(Y160&gt;=8000,Y160&lt;=9999)</formula>
    </cfRule>
    <cfRule type="expression" dxfId="15469" priority="1521" stopIfTrue="1">
      <formula>AND(Y160&gt;=78100,Y160&lt;=78199)</formula>
    </cfRule>
    <cfRule type="expression" dxfId="15468" priority="1522" stopIfTrue="1">
      <formula>AND(Y160&gt;=92000,Y160&lt;=98999)</formula>
    </cfRule>
    <cfRule type="expression" dxfId="15467" priority="1523" stopIfTrue="1">
      <formula>AND(Y160&gt;=78100,Y160&lt;=78199)</formula>
    </cfRule>
    <cfRule type="expression" dxfId="15466" priority="1524" stopIfTrue="1">
      <formula>AND(Y160&gt;=91000,Y160&lt;=91999)</formula>
    </cfRule>
  </conditionalFormatting>
  <conditionalFormatting sqref="X160">
    <cfRule type="expression" dxfId="15465" priority="1503">
      <formula>AND(Y160&gt;=79001,Y160&lt;79900)</formula>
    </cfRule>
    <cfRule type="expression" dxfId="15464" priority="1504" stopIfTrue="1">
      <formula>AND(Y160&gt;=70101,Y160&lt;=70301)</formula>
    </cfRule>
    <cfRule type="expression" dxfId="15463" priority="1505" stopIfTrue="1">
      <formula>AND(Y160&gt;70000,Y160&lt;70004)</formula>
    </cfRule>
    <cfRule type="expression" dxfId="15462" priority="1506" stopIfTrue="1">
      <formula>AND(Y160&gt;=70010,Y160&lt;=76000)</formula>
    </cfRule>
    <cfRule type="expression" dxfId="15461" priority="1507">
      <formula>AND(Y160&gt;70000,Y160&lt;70004)</formula>
    </cfRule>
    <cfRule type="expression" dxfId="15460" priority="1508" stopIfTrue="1">
      <formula>OR(AND(Y160&gt;=10000,Y160&lt;=56999),AND(Y160&gt;=57000,Y160&lt;=57999))</formula>
    </cfRule>
    <cfRule type="expression" dxfId="15459" priority="1509" stopIfTrue="1">
      <formula>AND(Y160&gt;=8000,Y160&lt;=9999)</formula>
    </cfRule>
    <cfRule type="expression" dxfId="15458" priority="1510" stopIfTrue="1">
      <formula>AND(Y160&gt;=78100,Y160&lt;=78199)</formula>
    </cfRule>
    <cfRule type="expression" dxfId="15457" priority="1511" stopIfTrue="1">
      <formula>AND(Y160&gt;=92000,Y160&lt;=98999)</formula>
    </cfRule>
    <cfRule type="expression" dxfId="15456" priority="1512" stopIfTrue="1">
      <formula>AND(Y160&gt;=78100,Y160&lt;=78199)</formula>
    </cfRule>
    <cfRule type="expression" dxfId="15455" priority="1513" stopIfTrue="1">
      <formula>AND(Y160&gt;=91000,Y160&lt;=91999)</formula>
    </cfRule>
  </conditionalFormatting>
  <conditionalFormatting sqref="X160">
    <cfRule type="expression" dxfId="15454" priority="1492">
      <formula>AND(Y160&gt;=79001,Y160&lt;79900)</formula>
    </cfRule>
    <cfRule type="expression" dxfId="15453" priority="1493" stopIfTrue="1">
      <formula>AND(Y160&gt;=70101,Y160&lt;=70301)</formula>
    </cfRule>
    <cfRule type="expression" dxfId="15452" priority="1494" stopIfTrue="1">
      <formula>AND(Y160&gt;70000,Y160&lt;70004)</formula>
    </cfRule>
    <cfRule type="expression" dxfId="15451" priority="1495" stopIfTrue="1">
      <formula>AND(Y160&gt;=70010,Y160&lt;=76000)</formula>
    </cfRule>
    <cfRule type="expression" dxfId="15450" priority="1496">
      <formula>AND(Y160&gt;70000,Y160&lt;70004)</formula>
    </cfRule>
    <cfRule type="expression" dxfId="15449" priority="1497" stopIfTrue="1">
      <formula>OR(AND(Y160&gt;=10000,Y160&lt;=56999),AND(Y160&gt;=57000,Y160&lt;=57999))</formula>
    </cfRule>
    <cfRule type="expression" dxfId="15448" priority="1498" stopIfTrue="1">
      <formula>AND(Y160&gt;=8000,Y160&lt;=9999)</formula>
    </cfRule>
    <cfRule type="expression" dxfId="15447" priority="1499" stopIfTrue="1">
      <formula>AND(Y160&gt;=78100,Y160&lt;=78199)</formula>
    </cfRule>
    <cfRule type="expression" dxfId="15446" priority="1500" stopIfTrue="1">
      <formula>AND(Y160&gt;=92000,Y160&lt;=98999)</formula>
    </cfRule>
    <cfRule type="expression" dxfId="15445" priority="1501" stopIfTrue="1">
      <formula>AND(Y160&gt;=78100,Y160&lt;=78199)</formula>
    </cfRule>
    <cfRule type="expression" dxfId="15444" priority="1502" stopIfTrue="1">
      <formula>AND(Y160&gt;=91000,Y160&lt;=91999)</formula>
    </cfRule>
  </conditionalFormatting>
  <conditionalFormatting sqref="X160">
    <cfRule type="expression" dxfId="15443" priority="1481">
      <formula>AND(Y160&gt;=79001,Y160&lt;79900)</formula>
    </cfRule>
    <cfRule type="expression" dxfId="15442" priority="1482" stopIfTrue="1">
      <formula>AND(Y160&gt;=70101,Y160&lt;=70301)</formula>
    </cfRule>
    <cfRule type="expression" dxfId="15441" priority="1483" stopIfTrue="1">
      <formula>AND(Y160&gt;70000,Y160&lt;70004)</formula>
    </cfRule>
    <cfRule type="expression" dxfId="15440" priority="1484" stopIfTrue="1">
      <formula>AND(Y160&gt;=70010,Y160&lt;=76000)</formula>
    </cfRule>
    <cfRule type="expression" dxfId="15439" priority="1485">
      <formula>AND(Y160&gt;70000,Y160&lt;70004)</formula>
    </cfRule>
    <cfRule type="expression" dxfId="15438" priority="1486" stopIfTrue="1">
      <formula>OR(AND(Y160&gt;=10000,Y160&lt;=56999),AND(Y160&gt;=57000,Y160&lt;=57999))</formula>
    </cfRule>
    <cfRule type="expression" dxfId="15437" priority="1487" stopIfTrue="1">
      <formula>AND(Y160&gt;=8000,Y160&lt;=9999)</formula>
    </cfRule>
    <cfRule type="expression" dxfId="15436" priority="1488" stopIfTrue="1">
      <formula>AND(Y160&gt;=78100,Y160&lt;=78199)</formula>
    </cfRule>
    <cfRule type="expression" dxfId="15435" priority="1489" stopIfTrue="1">
      <formula>AND(Y160&gt;=92000,Y160&lt;=98999)</formula>
    </cfRule>
    <cfRule type="expression" dxfId="15434" priority="1490" stopIfTrue="1">
      <formula>AND(Y160&gt;=78100,Y160&lt;=78199)</formula>
    </cfRule>
    <cfRule type="expression" dxfId="15433" priority="1491" stopIfTrue="1">
      <formula>AND(Y160&gt;=91000,Y160&lt;=91999)</formula>
    </cfRule>
  </conditionalFormatting>
  <conditionalFormatting sqref="AF160">
    <cfRule type="expression" dxfId="15432" priority="1426">
      <formula>AND(AG160&gt;=79001,AG160&lt;79900)</formula>
    </cfRule>
    <cfRule type="expression" dxfId="15431" priority="1427" stopIfTrue="1">
      <formula>AND(AG160&gt;=70101,AG160&lt;=70301)</formula>
    </cfRule>
    <cfRule type="expression" dxfId="15430" priority="1428" stopIfTrue="1">
      <formula>AND(AG160&gt;70000,AG160&lt;70004)</formula>
    </cfRule>
    <cfRule type="expression" dxfId="15429" priority="1429" stopIfTrue="1">
      <formula>AND(AG160&gt;=70010,AG160&lt;=76000)</formula>
    </cfRule>
    <cfRule type="expression" dxfId="15428" priority="1430">
      <formula>AND(AG160&gt;70000,AG160&lt;70004)</formula>
    </cfRule>
    <cfRule type="expression" dxfId="15427" priority="1431" stopIfTrue="1">
      <formula>OR(AND(AG160&gt;=10000,AG160&lt;=56999),AND(AG160&gt;=57000,AG160&lt;=57999))</formula>
    </cfRule>
    <cfRule type="expression" dxfId="15426" priority="1432" stopIfTrue="1">
      <formula>AND(AG160&gt;=8000,AG160&lt;=9999)</formula>
    </cfRule>
    <cfRule type="expression" dxfId="15425" priority="1433" stopIfTrue="1">
      <formula>AND(AG160&gt;=78100,AG160&lt;=78199)</formula>
    </cfRule>
    <cfRule type="expression" dxfId="15424" priority="1434" stopIfTrue="1">
      <formula>AND(AG160&gt;=92000,AG160&lt;=98999)</formula>
    </cfRule>
    <cfRule type="expression" dxfId="15423" priority="1435" stopIfTrue="1">
      <formula>AND(AG160&gt;=78100,AG160&lt;=78199)</formula>
    </cfRule>
    <cfRule type="expression" dxfId="15422" priority="1436" stopIfTrue="1">
      <formula>AND(AG160&gt;=91000,AG160&lt;=91999)</formula>
    </cfRule>
  </conditionalFormatting>
  <conditionalFormatting sqref="AF160">
    <cfRule type="expression" dxfId="15421" priority="1415">
      <formula>AND(AG160&gt;=79001,AG160&lt;79900)</formula>
    </cfRule>
    <cfRule type="expression" dxfId="15420" priority="1416" stopIfTrue="1">
      <formula>AND(AG160&gt;=70101,AG160&lt;=70301)</formula>
    </cfRule>
    <cfRule type="expression" dxfId="15419" priority="1417" stopIfTrue="1">
      <formula>AND(AG160&gt;70000,AG160&lt;70004)</formula>
    </cfRule>
    <cfRule type="expression" dxfId="15418" priority="1418" stopIfTrue="1">
      <formula>AND(AG160&gt;=70010,AG160&lt;=76000)</formula>
    </cfRule>
    <cfRule type="expression" dxfId="15417" priority="1419">
      <formula>AND(AG160&gt;70000,AG160&lt;70004)</formula>
    </cfRule>
    <cfRule type="expression" dxfId="15416" priority="1420" stopIfTrue="1">
      <formula>OR(AND(AG160&gt;=10000,AG160&lt;=56999),AND(AG160&gt;=57000,AG160&lt;=57999))</formula>
    </cfRule>
    <cfRule type="expression" dxfId="15415" priority="1421" stopIfTrue="1">
      <formula>AND(AG160&gt;=8000,AG160&lt;=9999)</formula>
    </cfRule>
    <cfRule type="expression" dxfId="15414" priority="1422" stopIfTrue="1">
      <formula>AND(AG160&gt;=78100,AG160&lt;=78199)</formula>
    </cfRule>
    <cfRule type="expression" dxfId="15413" priority="1423" stopIfTrue="1">
      <formula>AND(AG160&gt;=92000,AG160&lt;=98999)</formula>
    </cfRule>
    <cfRule type="expression" dxfId="15412" priority="1424" stopIfTrue="1">
      <formula>AND(AG160&gt;=78100,AG160&lt;=78199)</formula>
    </cfRule>
    <cfRule type="expression" dxfId="15411" priority="1425" stopIfTrue="1">
      <formula>AND(AG160&gt;=91000,AG160&lt;=91999)</formula>
    </cfRule>
  </conditionalFormatting>
  <conditionalFormatting sqref="AF160">
    <cfRule type="expression" dxfId="15410" priority="1404">
      <formula>AND(AG160&gt;=79001,AG160&lt;79900)</formula>
    </cfRule>
    <cfRule type="expression" dxfId="15409" priority="1405" stopIfTrue="1">
      <formula>AND(AG160&gt;=70101,AG160&lt;=70301)</formula>
    </cfRule>
    <cfRule type="expression" dxfId="15408" priority="1406" stopIfTrue="1">
      <formula>AND(AG160&gt;70000,AG160&lt;70004)</formula>
    </cfRule>
    <cfRule type="expression" dxfId="15407" priority="1407" stopIfTrue="1">
      <formula>AND(AG160&gt;=70010,AG160&lt;=76000)</formula>
    </cfRule>
    <cfRule type="expression" dxfId="15406" priority="1408">
      <formula>AND(AG160&gt;70000,AG160&lt;70004)</formula>
    </cfRule>
    <cfRule type="expression" dxfId="15405" priority="1409" stopIfTrue="1">
      <formula>OR(AND(AG160&gt;=10000,AG160&lt;=56999),AND(AG160&gt;=57000,AG160&lt;=57999))</formula>
    </cfRule>
    <cfRule type="expression" dxfId="15404" priority="1410" stopIfTrue="1">
      <formula>AND(AG160&gt;=8000,AG160&lt;=9999)</formula>
    </cfRule>
    <cfRule type="expression" dxfId="15403" priority="1411" stopIfTrue="1">
      <formula>AND(AG160&gt;=78100,AG160&lt;=78199)</formula>
    </cfRule>
    <cfRule type="expression" dxfId="15402" priority="1412" stopIfTrue="1">
      <formula>AND(AG160&gt;=92000,AG160&lt;=98999)</formula>
    </cfRule>
    <cfRule type="expression" dxfId="15401" priority="1413" stopIfTrue="1">
      <formula>AND(AG160&gt;=78100,AG160&lt;=78199)</formula>
    </cfRule>
    <cfRule type="expression" dxfId="15400" priority="1414" stopIfTrue="1">
      <formula>AND(AG160&gt;=91000,AG160&lt;=91999)</formula>
    </cfRule>
  </conditionalFormatting>
  <conditionalFormatting sqref="AF160">
    <cfRule type="expression" dxfId="15399" priority="1393">
      <formula>AND(AG160&gt;=79001,AG160&lt;79900)</formula>
    </cfRule>
    <cfRule type="expression" dxfId="15398" priority="1394" stopIfTrue="1">
      <formula>AND(AG160&gt;=70101,AG160&lt;=70301)</formula>
    </cfRule>
    <cfRule type="expression" dxfId="15397" priority="1395" stopIfTrue="1">
      <formula>AND(AG160&gt;70000,AG160&lt;70004)</formula>
    </cfRule>
    <cfRule type="expression" dxfId="15396" priority="1396" stopIfTrue="1">
      <formula>AND(AG160&gt;=70010,AG160&lt;=76000)</formula>
    </cfRule>
    <cfRule type="expression" dxfId="15395" priority="1397">
      <formula>AND(AG160&gt;70000,AG160&lt;70004)</formula>
    </cfRule>
    <cfRule type="expression" dxfId="15394" priority="1398" stopIfTrue="1">
      <formula>OR(AND(AG160&gt;=10000,AG160&lt;=56999),AND(AG160&gt;=57000,AG160&lt;=57999))</formula>
    </cfRule>
    <cfRule type="expression" dxfId="15393" priority="1399" stopIfTrue="1">
      <formula>AND(AG160&gt;=8000,AG160&lt;=9999)</formula>
    </cfRule>
    <cfRule type="expression" dxfId="15392" priority="1400" stopIfTrue="1">
      <formula>AND(AG160&gt;=78100,AG160&lt;=78199)</formula>
    </cfRule>
    <cfRule type="expression" dxfId="15391" priority="1401" stopIfTrue="1">
      <formula>AND(AG160&gt;=92000,AG160&lt;=98999)</formula>
    </cfRule>
    <cfRule type="expression" dxfId="15390" priority="1402" stopIfTrue="1">
      <formula>AND(AG160&gt;=78100,AG160&lt;=78199)</formula>
    </cfRule>
    <cfRule type="expression" dxfId="15389" priority="1403" stopIfTrue="1">
      <formula>AND(AG160&gt;=91000,AG160&lt;=91999)</formula>
    </cfRule>
  </conditionalFormatting>
  <conditionalFormatting sqref="X163">
    <cfRule type="expression" dxfId="15388" priority="1382">
      <formula>AND(Y163&gt;=79001,Y163&lt;79900)</formula>
    </cfRule>
    <cfRule type="expression" dxfId="15387" priority="1383" stopIfTrue="1">
      <formula>AND(Y163&gt;=70101,Y163&lt;=70301)</formula>
    </cfRule>
    <cfRule type="expression" dxfId="15386" priority="1384" stopIfTrue="1">
      <formula>AND(Y163&gt;70000,Y163&lt;70004)</formula>
    </cfRule>
    <cfRule type="expression" dxfId="15385" priority="1385" stopIfTrue="1">
      <formula>AND(Y163&gt;=70010,Y163&lt;=76000)</formula>
    </cfRule>
    <cfRule type="expression" dxfId="15384" priority="1386">
      <formula>AND(Y163&gt;70000,Y163&lt;70004)</formula>
    </cfRule>
    <cfRule type="expression" dxfId="15383" priority="1387" stopIfTrue="1">
      <formula>OR(AND(Y163&gt;=10000,Y163&lt;=56999),AND(Y163&gt;=57000,Y163&lt;=57999))</formula>
    </cfRule>
    <cfRule type="expression" dxfId="15382" priority="1388" stopIfTrue="1">
      <formula>AND(Y163&gt;=8000,Y163&lt;=9999)</formula>
    </cfRule>
    <cfRule type="expression" dxfId="15381" priority="1389" stopIfTrue="1">
      <formula>AND(Y163&gt;=78100,Y163&lt;=78199)</formula>
    </cfRule>
    <cfRule type="expression" dxfId="15380" priority="1390" stopIfTrue="1">
      <formula>AND(Y163&gt;=92000,Y163&lt;=98999)</formula>
    </cfRule>
    <cfRule type="expression" dxfId="15379" priority="1391" stopIfTrue="1">
      <formula>AND(Y163&gt;=78100,Y163&lt;=78199)</formula>
    </cfRule>
    <cfRule type="expression" dxfId="15378" priority="1392" stopIfTrue="1">
      <formula>AND(Y163&gt;=91000,Y163&lt;=91999)</formula>
    </cfRule>
  </conditionalFormatting>
  <conditionalFormatting sqref="X163">
    <cfRule type="expression" dxfId="15377" priority="1371">
      <formula>AND(Y163&gt;=79001,Y163&lt;79900)</formula>
    </cfRule>
    <cfRule type="expression" dxfId="15376" priority="1372" stopIfTrue="1">
      <formula>AND(Y163&gt;=70101,Y163&lt;=70301)</formula>
    </cfRule>
    <cfRule type="expression" dxfId="15375" priority="1373" stopIfTrue="1">
      <formula>AND(Y163&gt;70000,Y163&lt;70004)</formula>
    </cfRule>
    <cfRule type="expression" dxfId="15374" priority="1374" stopIfTrue="1">
      <formula>AND(Y163&gt;=70010,Y163&lt;=76000)</formula>
    </cfRule>
    <cfRule type="expression" dxfId="15373" priority="1375">
      <formula>AND(Y163&gt;70000,Y163&lt;70004)</formula>
    </cfRule>
    <cfRule type="expression" dxfId="15372" priority="1376" stopIfTrue="1">
      <formula>OR(AND(Y163&gt;=10000,Y163&lt;=56999),AND(Y163&gt;=57000,Y163&lt;=57999))</formula>
    </cfRule>
    <cfRule type="expression" dxfId="15371" priority="1377" stopIfTrue="1">
      <formula>AND(Y163&gt;=8000,Y163&lt;=9999)</formula>
    </cfRule>
    <cfRule type="expression" dxfId="15370" priority="1378" stopIfTrue="1">
      <formula>AND(Y163&gt;=78100,Y163&lt;=78199)</formula>
    </cfRule>
    <cfRule type="expression" dxfId="15369" priority="1379" stopIfTrue="1">
      <formula>AND(Y163&gt;=92000,Y163&lt;=98999)</formula>
    </cfRule>
    <cfRule type="expression" dxfId="15368" priority="1380" stopIfTrue="1">
      <formula>AND(Y163&gt;=78100,Y163&lt;=78199)</formula>
    </cfRule>
    <cfRule type="expression" dxfId="15367" priority="1381" stopIfTrue="1">
      <formula>AND(Y163&gt;=91000,Y163&lt;=91999)</formula>
    </cfRule>
  </conditionalFormatting>
  <conditionalFormatting sqref="X163">
    <cfRule type="expression" dxfId="15366" priority="1360">
      <formula>AND(Y163&gt;=79001,Y163&lt;79900)</formula>
    </cfRule>
    <cfRule type="expression" dxfId="15365" priority="1361" stopIfTrue="1">
      <formula>AND(Y163&gt;=70101,Y163&lt;=70301)</formula>
    </cfRule>
    <cfRule type="expression" dxfId="15364" priority="1362" stopIfTrue="1">
      <formula>AND(Y163&gt;70000,Y163&lt;70004)</formula>
    </cfRule>
    <cfRule type="expression" dxfId="15363" priority="1363" stopIfTrue="1">
      <formula>AND(Y163&gt;=70010,Y163&lt;=76000)</formula>
    </cfRule>
    <cfRule type="expression" dxfId="15362" priority="1364">
      <formula>AND(Y163&gt;70000,Y163&lt;70004)</formula>
    </cfRule>
    <cfRule type="expression" dxfId="15361" priority="1365" stopIfTrue="1">
      <formula>OR(AND(Y163&gt;=10000,Y163&lt;=56999),AND(Y163&gt;=57000,Y163&lt;=57999))</formula>
    </cfRule>
    <cfRule type="expression" dxfId="15360" priority="1366" stopIfTrue="1">
      <formula>AND(Y163&gt;=8000,Y163&lt;=9999)</formula>
    </cfRule>
    <cfRule type="expression" dxfId="15359" priority="1367" stopIfTrue="1">
      <formula>AND(Y163&gt;=78100,Y163&lt;=78199)</formula>
    </cfRule>
    <cfRule type="expression" dxfId="15358" priority="1368" stopIfTrue="1">
      <formula>AND(Y163&gt;=92000,Y163&lt;=98999)</formula>
    </cfRule>
    <cfRule type="expression" dxfId="15357" priority="1369" stopIfTrue="1">
      <formula>AND(Y163&gt;=78100,Y163&lt;=78199)</formula>
    </cfRule>
    <cfRule type="expression" dxfId="15356" priority="1370" stopIfTrue="1">
      <formula>AND(Y163&gt;=91000,Y163&lt;=91999)</formula>
    </cfRule>
  </conditionalFormatting>
  <conditionalFormatting sqref="X163">
    <cfRule type="expression" dxfId="15355" priority="1349">
      <formula>AND(Y163&gt;=79001,Y163&lt;79900)</formula>
    </cfRule>
    <cfRule type="expression" dxfId="15354" priority="1350" stopIfTrue="1">
      <formula>AND(Y163&gt;=70101,Y163&lt;=70301)</formula>
    </cfRule>
    <cfRule type="expression" dxfId="15353" priority="1351" stopIfTrue="1">
      <formula>AND(Y163&gt;70000,Y163&lt;70004)</formula>
    </cfRule>
    <cfRule type="expression" dxfId="15352" priority="1352" stopIfTrue="1">
      <formula>AND(Y163&gt;=70010,Y163&lt;=76000)</formula>
    </cfRule>
    <cfRule type="expression" dxfId="15351" priority="1353">
      <formula>AND(Y163&gt;70000,Y163&lt;70004)</formula>
    </cfRule>
    <cfRule type="expression" dxfId="15350" priority="1354" stopIfTrue="1">
      <formula>OR(AND(Y163&gt;=10000,Y163&lt;=56999),AND(Y163&gt;=57000,Y163&lt;=57999))</formula>
    </cfRule>
    <cfRule type="expression" dxfId="15349" priority="1355" stopIfTrue="1">
      <formula>AND(Y163&gt;=8000,Y163&lt;=9999)</formula>
    </cfRule>
    <cfRule type="expression" dxfId="15348" priority="1356" stopIfTrue="1">
      <formula>AND(Y163&gt;=78100,Y163&lt;=78199)</formula>
    </cfRule>
    <cfRule type="expression" dxfId="15347" priority="1357" stopIfTrue="1">
      <formula>AND(Y163&gt;=92000,Y163&lt;=98999)</formula>
    </cfRule>
    <cfRule type="expression" dxfId="15346" priority="1358" stopIfTrue="1">
      <formula>AND(Y163&gt;=78100,Y163&lt;=78199)</formula>
    </cfRule>
    <cfRule type="expression" dxfId="15345" priority="1359" stopIfTrue="1">
      <formula>AND(Y163&gt;=91000,Y163&lt;=91999)</formula>
    </cfRule>
  </conditionalFormatting>
  <conditionalFormatting sqref="AF163">
    <cfRule type="expression" dxfId="15344" priority="1294">
      <formula>AND(AG163&gt;=79001,AG163&lt;79900)</formula>
    </cfRule>
    <cfRule type="expression" dxfId="15343" priority="1295" stopIfTrue="1">
      <formula>AND(AG163&gt;=70101,AG163&lt;=70301)</formula>
    </cfRule>
    <cfRule type="expression" dxfId="15342" priority="1296" stopIfTrue="1">
      <formula>AND(AG163&gt;70000,AG163&lt;70004)</formula>
    </cfRule>
    <cfRule type="expression" dxfId="15341" priority="1297" stopIfTrue="1">
      <formula>AND(AG163&gt;=70010,AG163&lt;=76000)</formula>
    </cfRule>
    <cfRule type="expression" dxfId="15340" priority="1298">
      <formula>AND(AG163&gt;70000,AG163&lt;70004)</formula>
    </cfRule>
    <cfRule type="expression" dxfId="15339" priority="1299" stopIfTrue="1">
      <formula>OR(AND(AG163&gt;=10000,AG163&lt;=56999),AND(AG163&gt;=57000,AG163&lt;=57999))</formula>
    </cfRule>
    <cfRule type="expression" dxfId="15338" priority="1300" stopIfTrue="1">
      <formula>AND(AG163&gt;=8000,AG163&lt;=9999)</formula>
    </cfRule>
    <cfRule type="expression" dxfId="15337" priority="1301" stopIfTrue="1">
      <formula>AND(AG163&gt;=78100,AG163&lt;=78199)</formula>
    </cfRule>
    <cfRule type="expression" dxfId="15336" priority="1302" stopIfTrue="1">
      <formula>AND(AG163&gt;=92000,AG163&lt;=98999)</formula>
    </cfRule>
    <cfRule type="expression" dxfId="15335" priority="1303" stopIfTrue="1">
      <formula>AND(AG163&gt;=78100,AG163&lt;=78199)</formula>
    </cfRule>
    <cfRule type="expression" dxfId="15334" priority="1304" stopIfTrue="1">
      <formula>AND(AG163&gt;=91000,AG163&lt;=91999)</formula>
    </cfRule>
  </conditionalFormatting>
  <conditionalFormatting sqref="AF163">
    <cfRule type="expression" dxfId="15333" priority="1283">
      <formula>AND(AG163&gt;=79001,AG163&lt;79900)</formula>
    </cfRule>
    <cfRule type="expression" dxfId="15332" priority="1284" stopIfTrue="1">
      <formula>AND(AG163&gt;=70101,AG163&lt;=70301)</formula>
    </cfRule>
    <cfRule type="expression" dxfId="15331" priority="1285" stopIfTrue="1">
      <formula>AND(AG163&gt;70000,AG163&lt;70004)</formula>
    </cfRule>
    <cfRule type="expression" dxfId="15330" priority="1286" stopIfTrue="1">
      <formula>AND(AG163&gt;=70010,AG163&lt;=76000)</formula>
    </cfRule>
    <cfRule type="expression" dxfId="15329" priority="1287">
      <formula>AND(AG163&gt;70000,AG163&lt;70004)</formula>
    </cfRule>
    <cfRule type="expression" dxfId="15328" priority="1288" stopIfTrue="1">
      <formula>OR(AND(AG163&gt;=10000,AG163&lt;=56999),AND(AG163&gt;=57000,AG163&lt;=57999))</formula>
    </cfRule>
    <cfRule type="expression" dxfId="15327" priority="1289" stopIfTrue="1">
      <formula>AND(AG163&gt;=8000,AG163&lt;=9999)</formula>
    </cfRule>
    <cfRule type="expression" dxfId="15326" priority="1290" stopIfTrue="1">
      <formula>AND(AG163&gt;=78100,AG163&lt;=78199)</formula>
    </cfRule>
    <cfRule type="expression" dxfId="15325" priority="1291" stopIfTrue="1">
      <formula>AND(AG163&gt;=92000,AG163&lt;=98999)</formula>
    </cfRule>
    <cfRule type="expression" dxfId="15324" priority="1292" stopIfTrue="1">
      <formula>AND(AG163&gt;=78100,AG163&lt;=78199)</formula>
    </cfRule>
    <cfRule type="expression" dxfId="15323" priority="1293" stopIfTrue="1">
      <formula>AND(AG163&gt;=91000,AG163&lt;=91999)</formula>
    </cfRule>
  </conditionalFormatting>
  <conditionalFormatting sqref="AF163">
    <cfRule type="expression" dxfId="15322" priority="1272">
      <formula>AND(AG163&gt;=79001,AG163&lt;79900)</formula>
    </cfRule>
    <cfRule type="expression" dxfId="15321" priority="1273" stopIfTrue="1">
      <formula>AND(AG163&gt;=70101,AG163&lt;=70301)</formula>
    </cfRule>
    <cfRule type="expression" dxfId="15320" priority="1274" stopIfTrue="1">
      <formula>AND(AG163&gt;70000,AG163&lt;70004)</formula>
    </cfRule>
    <cfRule type="expression" dxfId="15319" priority="1275" stopIfTrue="1">
      <formula>AND(AG163&gt;=70010,AG163&lt;=76000)</formula>
    </cfRule>
    <cfRule type="expression" dxfId="15318" priority="1276">
      <formula>AND(AG163&gt;70000,AG163&lt;70004)</formula>
    </cfRule>
    <cfRule type="expression" dxfId="15317" priority="1277" stopIfTrue="1">
      <formula>OR(AND(AG163&gt;=10000,AG163&lt;=56999),AND(AG163&gt;=57000,AG163&lt;=57999))</formula>
    </cfRule>
    <cfRule type="expression" dxfId="15316" priority="1278" stopIfTrue="1">
      <formula>AND(AG163&gt;=8000,AG163&lt;=9999)</formula>
    </cfRule>
    <cfRule type="expression" dxfId="15315" priority="1279" stopIfTrue="1">
      <formula>AND(AG163&gt;=78100,AG163&lt;=78199)</formula>
    </cfRule>
    <cfRule type="expression" dxfId="15314" priority="1280" stopIfTrue="1">
      <formula>AND(AG163&gt;=92000,AG163&lt;=98999)</formula>
    </cfRule>
    <cfRule type="expression" dxfId="15313" priority="1281" stopIfTrue="1">
      <formula>AND(AG163&gt;=78100,AG163&lt;=78199)</formula>
    </cfRule>
    <cfRule type="expression" dxfId="15312" priority="1282" stopIfTrue="1">
      <formula>AND(AG163&gt;=91000,AG163&lt;=91999)</formula>
    </cfRule>
  </conditionalFormatting>
  <conditionalFormatting sqref="AF163">
    <cfRule type="expression" dxfId="15311" priority="1261">
      <formula>AND(AG163&gt;=79001,AG163&lt;79900)</formula>
    </cfRule>
    <cfRule type="expression" dxfId="15310" priority="1262" stopIfTrue="1">
      <formula>AND(AG163&gt;=70101,AG163&lt;=70301)</formula>
    </cfRule>
    <cfRule type="expression" dxfId="15309" priority="1263" stopIfTrue="1">
      <formula>AND(AG163&gt;70000,AG163&lt;70004)</formula>
    </cfRule>
    <cfRule type="expression" dxfId="15308" priority="1264" stopIfTrue="1">
      <formula>AND(AG163&gt;=70010,AG163&lt;=76000)</formula>
    </cfRule>
    <cfRule type="expression" dxfId="15307" priority="1265">
      <formula>AND(AG163&gt;70000,AG163&lt;70004)</formula>
    </cfRule>
    <cfRule type="expression" dxfId="15306" priority="1266" stopIfTrue="1">
      <formula>OR(AND(AG163&gt;=10000,AG163&lt;=56999),AND(AG163&gt;=57000,AG163&lt;=57999))</formula>
    </cfRule>
    <cfRule type="expression" dxfId="15305" priority="1267" stopIfTrue="1">
      <formula>AND(AG163&gt;=8000,AG163&lt;=9999)</formula>
    </cfRule>
    <cfRule type="expression" dxfId="15304" priority="1268" stopIfTrue="1">
      <formula>AND(AG163&gt;=78100,AG163&lt;=78199)</formula>
    </cfRule>
    <cfRule type="expression" dxfId="15303" priority="1269" stopIfTrue="1">
      <formula>AND(AG163&gt;=92000,AG163&lt;=98999)</formula>
    </cfRule>
    <cfRule type="expression" dxfId="15302" priority="1270" stopIfTrue="1">
      <formula>AND(AG163&gt;=78100,AG163&lt;=78199)</formula>
    </cfRule>
    <cfRule type="expression" dxfId="15301" priority="1271" stopIfTrue="1">
      <formula>AND(AG163&gt;=91000,AG163&lt;=91999)</formula>
    </cfRule>
  </conditionalFormatting>
  <conditionalFormatting sqref="X166:X167">
    <cfRule type="expression" dxfId="15300" priority="1250">
      <formula>AND(Y166&gt;=79001,Y166&lt;79900)</formula>
    </cfRule>
    <cfRule type="expression" dxfId="15299" priority="1251" stopIfTrue="1">
      <formula>AND(Y166&gt;=70101,Y166&lt;=70301)</formula>
    </cfRule>
    <cfRule type="expression" dxfId="15298" priority="1252" stopIfTrue="1">
      <formula>AND(Y166&gt;70000,Y166&lt;70004)</formula>
    </cfRule>
    <cfRule type="expression" dxfId="15297" priority="1253" stopIfTrue="1">
      <formula>AND(Y166&gt;=70010,Y166&lt;=76000)</formula>
    </cfRule>
    <cfRule type="expression" dxfId="15296" priority="1254">
      <formula>AND(Y166&gt;70000,Y166&lt;70004)</formula>
    </cfRule>
    <cfRule type="expression" dxfId="15295" priority="1255" stopIfTrue="1">
      <formula>OR(AND(Y166&gt;=10000,Y166&lt;=56999),AND(Y166&gt;=57000,Y166&lt;=57999))</formula>
    </cfRule>
    <cfRule type="expression" dxfId="15294" priority="1256" stopIfTrue="1">
      <formula>AND(Y166&gt;=8000,Y166&lt;=9999)</formula>
    </cfRule>
    <cfRule type="expression" dxfId="15293" priority="1257" stopIfTrue="1">
      <formula>AND(Y166&gt;=78100,Y166&lt;=78199)</formula>
    </cfRule>
    <cfRule type="expression" dxfId="15292" priority="1258" stopIfTrue="1">
      <formula>AND(Y166&gt;=92000,Y166&lt;=98999)</formula>
    </cfRule>
    <cfRule type="expression" dxfId="15291" priority="1259" stopIfTrue="1">
      <formula>AND(Y166&gt;=78100,Y166&lt;=78199)</formula>
    </cfRule>
    <cfRule type="expression" dxfId="15290" priority="1260" stopIfTrue="1">
      <formula>AND(Y166&gt;=91000,Y166&lt;=91999)</formula>
    </cfRule>
  </conditionalFormatting>
  <conditionalFormatting sqref="X166:X167">
    <cfRule type="expression" dxfId="15289" priority="1239">
      <formula>AND(Y166&gt;=79001,Y166&lt;79900)</formula>
    </cfRule>
    <cfRule type="expression" dxfId="15288" priority="1240" stopIfTrue="1">
      <formula>AND(Y166&gt;=70101,Y166&lt;=70301)</formula>
    </cfRule>
    <cfRule type="expression" dxfId="15287" priority="1241" stopIfTrue="1">
      <formula>AND(Y166&gt;70000,Y166&lt;70004)</formula>
    </cfRule>
    <cfRule type="expression" dxfId="15286" priority="1242" stopIfTrue="1">
      <formula>AND(Y166&gt;=70010,Y166&lt;=76000)</formula>
    </cfRule>
    <cfRule type="expression" dxfId="15285" priority="1243">
      <formula>AND(Y166&gt;70000,Y166&lt;70004)</formula>
    </cfRule>
    <cfRule type="expression" dxfId="15284" priority="1244" stopIfTrue="1">
      <formula>OR(AND(Y166&gt;=10000,Y166&lt;=56999),AND(Y166&gt;=57000,Y166&lt;=57999))</formula>
    </cfRule>
    <cfRule type="expression" dxfId="15283" priority="1245" stopIfTrue="1">
      <formula>AND(Y166&gt;=8000,Y166&lt;=9999)</formula>
    </cfRule>
    <cfRule type="expression" dxfId="15282" priority="1246" stopIfTrue="1">
      <formula>AND(Y166&gt;=78100,Y166&lt;=78199)</formula>
    </cfRule>
    <cfRule type="expression" dxfId="15281" priority="1247" stopIfTrue="1">
      <formula>AND(Y166&gt;=92000,Y166&lt;=98999)</formula>
    </cfRule>
    <cfRule type="expression" dxfId="15280" priority="1248" stopIfTrue="1">
      <formula>AND(Y166&gt;=78100,Y166&lt;=78199)</formula>
    </cfRule>
    <cfRule type="expression" dxfId="15279" priority="1249" stopIfTrue="1">
      <formula>AND(Y166&gt;=91000,Y166&lt;=91999)</formula>
    </cfRule>
  </conditionalFormatting>
  <conditionalFormatting sqref="X166:X167">
    <cfRule type="expression" dxfId="15278" priority="1228">
      <formula>AND(Y166&gt;=79001,Y166&lt;79900)</formula>
    </cfRule>
    <cfRule type="expression" dxfId="15277" priority="1229" stopIfTrue="1">
      <formula>AND(Y166&gt;=70101,Y166&lt;=70301)</formula>
    </cfRule>
    <cfRule type="expression" dxfId="15276" priority="1230" stopIfTrue="1">
      <formula>AND(Y166&gt;70000,Y166&lt;70004)</formula>
    </cfRule>
    <cfRule type="expression" dxfId="15275" priority="1231" stopIfTrue="1">
      <formula>AND(Y166&gt;=70010,Y166&lt;=76000)</formula>
    </cfRule>
    <cfRule type="expression" dxfId="15274" priority="1232">
      <formula>AND(Y166&gt;70000,Y166&lt;70004)</formula>
    </cfRule>
    <cfRule type="expression" dxfId="15273" priority="1233" stopIfTrue="1">
      <formula>OR(AND(Y166&gt;=10000,Y166&lt;=56999),AND(Y166&gt;=57000,Y166&lt;=57999))</formula>
    </cfRule>
    <cfRule type="expression" dxfId="15272" priority="1234" stopIfTrue="1">
      <formula>AND(Y166&gt;=8000,Y166&lt;=9999)</formula>
    </cfRule>
    <cfRule type="expression" dxfId="15271" priority="1235" stopIfTrue="1">
      <formula>AND(Y166&gt;=78100,Y166&lt;=78199)</formula>
    </cfRule>
    <cfRule type="expression" dxfId="15270" priority="1236" stopIfTrue="1">
      <formula>AND(Y166&gt;=92000,Y166&lt;=98999)</formula>
    </cfRule>
    <cfRule type="expression" dxfId="15269" priority="1237" stopIfTrue="1">
      <formula>AND(Y166&gt;=78100,Y166&lt;=78199)</formula>
    </cfRule>
    <cfRule type="expression" dxfId="15268" priority="1238" stopIfTrue="1">
      <formula>AND(Y166&gt;=91000,Y166&lt;=91999)</formula>
    </cfRule>
  </conditionalFormatting>
  <conditionalFormatting sqref="X166:X167">
    <cfRule type="expression" dxfId="15267" priority="1217">
      <formula>AND(Y166&gt;=79001,Y166&lt;79900)</formula>
    </cfRule>
    <cfRule type="expression" dxfId="15266" priority="1218" stopIfTrue="1">
      <formula>AND(Y166&gt;=70101,Y166&lt;=70301)</formula>
    </cfRule>
    <cfRule type="expression" dxfId="15265" priority="1219" stopIfTrue="1">
      <formula>AND(Y166&gt;70000,Y166&lt;70004)</formula>
    </cfRule>
    <cfRule type="expression" dxfId="15264" priority="1220" stopIfTrue="1">
      <formula>AND(Y166&gt;=70010,Y166&lt;=76000)</formula>
    </cfRule>
    <cfRule type="expression" dxfId="15263" priority="1221">
      <formula>AND(Y166&gt;70000,Y166&lt;70004)</formula>
    </cfRule>
    <cfRule type="expression" dxfId="15262" priority="1222" stopIfTrue="1">
      <formula>OR(AND(Y166&gt;=10000,Y166&lt;=56999),AND(Y166&gt;=57000,Y166&lt;=57999))</formula>
    </cfRule>
    <cfRule type="expression" dxfId="15261" priority="1223" stopIfTrue="1">
      <formula>AND(Y166&gt;=8000,Y166&lt;=9999)</formula>
    </cfRule>
    <cfRule type="expression" dxfId="15260" priority="1224" stopIfTrue="1">
      <formula>AND(Y166&gt;=78100,Y166&lt;=78199)</formula>
    </cfRule>
    <cfRule type="expression" dxfId="15259" priority="1225" stopIfTrue="1">
      <formula>AND(Y166&gt;=92000,Y166&lt;=98999)</formula>
    </cfRule>
    <cfRule type="expression" dxfId="15258" priority="1226" stopIfTrue="1">
      <formula>AND(Y166&gt;=78100,Y166&lt;=78199)</formula>
    </cfRule>
    <cfRule type="expression" dxfId="15257" priority="1227" stopIfTrue="1">
      <formula>AND(Y166&gt;=91000,Y166&lt;=91999)</formula>
    </cfRule>
  </conditionalFormatting>
  <conditionalFormatting sqref="AB166:AB167">
    <cfRule type="expression" dxfId="15256" priority="1206">
      <formula>AND(AC166&gt;=79001,AC166&lt;79900)</formula>
    </cfRule>
    <cfRule type="expression" dxfId="15255" priority="1207" stopIfTrue="1">
      <formula>AND(AC166&gt;=70101,AC166&lt;=70301)</formula>
    </cfRule>
    <cfRule type="expression" dxfId="15254" priority="1208" stopIfTrue="1">
      <formula>AND(AC166&gt;70000,AC166&lt;70004)</formula>
    </cfRule>
    <cfRule type="expression" dxfId="15253" priority="1209" stopIfTrue="1">
      <formula>AND(AC166&gt;=70010,AC166&lt;=76000)</formula>
    </cfRule>
    <cfRule type="expression" dxfId="15252" priority="1210">
      <formula>AND(AC166&gt;70000,AC166&lt;70004)</formula>
    </cfRule>
    <cfRule type="expression" dxfId="15251" priority="1211" stopIfTrue="1">
      <formula>OR(AND(AC166&gt;=10000,AC166&lt;=56999),AND(AC166&gt;=57000,AC166&lt;=57999))</formula>
    </cfRule>
    <cfRule type="expression" dxfId="15250" priority="1212" stopIfTrue="1">
      <formula>AND(AC166&gt;=8000,AC166&lt;=9999)</formula>
    </cfRule>
    <cfRule type="expression" dxfId="15249" priority="1213" stopIfTrue="1">
      <formula>AND(AC166&gt;=78100,AC166&lt;=78199)</formula>
    </cfRule>
    <cfRule type="expression" dxfId="15248" priority="1214" stopIfTrue="1">
      <formula>AND(AC166&gt;=92000,AC166&lt;=98999)</formula>
    </cfRule>
    <cfRule type="expression" dxfId="15247" priority="1215" stopIfTrue="1">
      <formula>AND(AC166&gt;=78100,AC166&lt;=78199)</formula>
    </cfRule>
    <cfRule type="expression" dxfId="15246" priority="1216" stopIfTrue="1">
      <formula>AND(AC166&gt;=91000,AC166&lt;=91999)</formula>
    </cfRule>
  </conditionalFormatting>
  <conditionalFormatting sqref="AB166:AB167">
    <cfRule type="expression" dxfId="15245" priority="1195">
      <formula>AND(AC166&gt;=79001,AC166&lt;79900)</formula>
    </cfRule>
    <cfRule type="expression" dxfId="15244" priority="1196" stopIfTrue="1">
      <formula>AND(AC166&gt;=70101,AC166&lt;=70301)</formula>
    </cfRule>
    <cfRule type="expression" dxfId="15243" priority="1197" stopIfTrue="1">
      <formula>AND(AC166&gt;70000,AC166&lt;70004)</formula>
    </cfRule>
    <cfRule type="expression" dxfId="15242" priority="1198" stopIfTrue="1">
      <formula>AND(AC166&gt;=70010,AC166&lt;=76000)</formula>
    </cfRule>
    <cfRule type="expression" dxfId="15241" priority="1199">
      <formula>AND(AC166&gt;70000,AC166&lt;70004)</formula>
    </cfRule>
    <cfRule type="expression" dxfId="15240" priority="1200" stopIfTrue="1">
      <formula>OR(AND(AC166&gt;=10000,AC166&lt;=56999),AND(AC166&gt;=57000,AC166&lt;=57999))</formula>
    </cfRule>
    <cfRule type="expression" dxfId="15239" priority="1201" stopIfTrue="1">
      <formula>AND(AC166&gt;=8000,AC166&lt;=9999)</formula>
    </cfRule>
    <cfRule type="expression" dxfId="15238" priority="1202" stopIfTrue="1">
      <formula>AND(AC166&gt;=78100,AC166&lt;=78199)</formula>
    </cfRule>
    <cfRule type="expression" dxfId="15237" priority="1203" stopIfTrue="1">
      <formula>AND(AC166&gt;=92000,AC166&lt;=98999)</formula>
    </cfRule>
    <cfRule type="expression" dxfId="15236" priority="1204" stopIfTrue="1">
      <formula>AND(AC166&gt;=78100,AC166&lt;=78199)</formula>
    </cfRule>
    <cfRule type="expression" dxfId="15235" priority="1205" stopIfTrue="1">
      <formula>AND(AC166&gt;=91000,AC166&lt;=91999)</formula>
    </cfRule>
  </conditionalFormatting>
  <conditionalFormatting sqref="AB166:AB167">
    <cfRule type="expression" dxfId="15234" priority="1184">
      <formula>AND(AC166&gt;=79001,AC166&lt;79900)</formula>
    </cfRule>
    <cfRule type="expression" dxfId="15233" priority="1185" stopIfTrue="1">
      <formula>AND(AC166&gt;=70101,AC166&lt;=70301)</formula>
    </cfRule>
    <cfRule type="expression" dxfId="15232" priority="1186" stopIfTrue="1">
      <formula>AND(AC166&gt;70000,AC166&lt;70004)</formula>
    </cfRule>
    <cfRule type="expression" dxfId="15231" priority="1187" stopIfTrue="1">
      <formula>AND(AC166&gt;=70010,AC166&lt;=76000)</formula>
    </cfRule>
    <cfRule type="expression" dxfId="15230" priority="1188">
      <formula>AND(AC166&gt;70000,AC166&lt;70004)</formula>
    </cfRule>
    <cfRule type="expression" dxfId="15229" priority="1189" stopIfTrue="1">
      <formula>OR(AND(AC166&gt;=10000,AC166&lt;=56999),AND(AC166&gt;=57000,AC166&lt;=57999))</formula>
    </cfRule>
    <cfRule type="expression" dxfId="15228" priority="1190" stopIfTrue="1">
      <formula>AND(AC166&gt;=8000,AC166&lt;=9999)</formula>
    </cfRule>
    <cfRule type="expression" dxfId="15227" priority="1191" stopIfTrue="1">
      <formula>AND(AC166&gt;=78100,AC166&lt;=78199)</formula>
    </cfRule>
    <cfRule type="expression" dxfId="15226" priority="1192" stopIfTrue="1">
      <formula>AND(AC166&gt;=92000,AC166&lt;=98999)</formula>
    </cfRule>
    <cfRule type="expression" dxfId="15225" priority="1193" stopIfTrue="1">
      <formula>AND(AC166&gt;=78100,AC166&lt;=78199)</formula>
    </cfRule>
    <cfRule type="expression" dxfId="15224" priority="1194" stopIfTrue="1">
      <formula>AND(AC166&gt;=91000,AC166&lt;=91999)</formula>
    </cfRule>
  </conditionalFormatting>
  <conditionalFormatting sqref="AB166:AB167">
    <cfRule type="expression" dxfId="15223" priority="1173">
      <formula>AND(AC166&gt;=79001,AC166&lt;79900)</formula>
    </cfRule>
    <cfRule type="expression" dxfId="15222" priority="1174" stopIfTrue="1">
      <formula>AND(AC166&gt;=70101,AC166&lt;=70301)</formula>
    </cfRule>
    <cfRule type="expression" dxfId="15221" priority="1175" stopIfTrue="1">
      <formula>AND(AC166&gt;70000,AC166&lt;70004)</formula>
    </cfRule>
    <cfRule type="expression" dxfId="15220" priority="1176" stopIfTrue="1">
      <formula>AND(AC166&gt;=70010,AC166&lt;=76000)</formula>
    </cfRule>
    <cfRule type="expression" dxfId="15219" priority="1177">
      <formula>AND(AC166&gt;70000,AC166&lt;70004)</formula>
    </cfRule>
    <cfRule type="expression" dxfId="15218" priority="1178" stopIfTrue="1">
      <formula>OR(AND(AC166&gt;=10000,AC166&lt;=56999),AND(AC166&gt;=57000,AC166&lt;=57999))</formula>
    </cfRule>
    <cfRule type="expression" dxfId="15217" priority="1179" stopIfTrue="1">
      <formula>AND(AC166&gt;=8000,AC166&lt;=9999)</formula>
    </cfRule>
    <cfRule type="expression" dxfId="15216" priority="1180" stopIfTrue="1">
      <formula>AND(AC166&gt;=78100,AC166&lt;=78199)</formula>
    </cfRule>
    <cfRule type="expression" dxfId="15215" priority="1181" stopIfTrue="1">
      <formula>AND(AC166&gt;=92000,AC166&lt;=98999)</formula>
    </cfRule>
    <cfRule type="expression" dxfId="15214" priority="1182" stopIfTrue="1">
      <formula>AND(AC166&gt;=78100,AC166&lt;=78199)</formula>
    </cfRule>
    <cfRule type="expression" dxfId="15213" priority="1183" stopIfTrue="1">
      <formula>AND(AC166&gt;=91000,AC166&lt;=91999)</formula>
    </cfRule>
  </conditionalFormatting>
  <conditionalFormatting sqref="AF166:AF167">
    <cfRule type="expression" dxfId="15212" priority="1162">
      <formula>AND(AG166&gt;=79001,AG166&lt;79900)</formula>
    </cfRule>
    <cfRule type="expression" dxfId="15211" priority="1163" stopIfTrue="1">
      <formula>AND(AG166&gt;=70101,AG166&lt;=70301)</formula>
    </cfRule>
    <cfRule type="expression" dxfId="15210" priority="1164" stopIfTrue="1">
      <formula>AND(AG166&gt;70000,AG166&lt;70004)</formula>
    </cfRule>
    <cfRule type="expression" dxfId="15209" priority="1165" stopIfTrue="1">
      <formula>AND(AG166&gt;=70010,AG166&lt;=76000)</formula>
    </cfRule>
    <cfRule type="expression" dxfId="15208" priority="1166">
      <formula>AND(AG166&gt;70000,AG166&lt;70004)</formula>
    </cfRule>
    <cfRule type="expression" dxfId="15207" priority="1167" stopIfTrue="1">
      <formula>OR(AND(AG166&gt;=10000,AG166&lt;=56999),AND(AG166&gt;=57000,AG166&lt;=57999))</formula>
    </cfRule>
    <cfRule type="expression" dxfId="15206" priority="1168" stopIfTrue="1">
      <formula>AND(AG166&gt;=8000,AG166&lt;=9999)</formula>
    </cfRule>
    <cfRule type="expression" dxfId="15205" priority="1169" stopIfTrue="1">
      <formula>AND(AG166&gt;=78100,AG166&lt;=78199)</formula>
    </cfRule>
    <cfRule type="expression" dxfId="15204" priority="1170" stopIfTrue="1">
      <formula>AND(AG166&gt;=92000,AG166&lt;=98999)</formula>
    </cfRule>
    <cfRule type="expression" dxfId="15203" priority="1171" stopIfTrue="1">
      <formula>AND(AG166&gt;=78100,AG166&lt;=78199)</formula>
    </cfRule>
    <cfRule type="expression" dxfId="15202" priority="1172" stopIfTrue="1">
      <formula>AND(AG166&gt;=91000,AG166&lt;=91999)</formula>
    </cfRule>
  </conditionalFormatting>
  <conditionalFormatting sqref="AF166:AF167">
    <cfRule type="expression" dxfId="15201" priority="1151">
      <formula>AND(AG166&gt;=79001,AG166&lt;79900)</formula>
    </cfRule>
    <cfRule type="expression" dxfId="15200" priority="1152" stopIfTrue="1">
      <formula>AND(AG166&gt;=70101,AG166&lt;=70301)</formula>
    </cfRule>
    <cfRule type="expression" dxfId="15199" priority="1153" stopIfTrue="1">
      <formula>AND(AG166&gt;70000,AG166&lt;70004)</formula>
    </cfRule>
    <cfRule type="expression" dxfId="15198" priority="1154" stopIfTrue="1">
      <formula>AND(AG166&gt;=70010,AG166&lt;=76000)</formula>
    </cfRule>
    <cfRule type="expression" dxfId="15197" priority="1155">
      <formula>AND(AG166&gt;70000,AG166&lt;70004)</formula>
    </cfRule>
    <cfRule type="expression" dxfId="15196" priority="1156" stopIfTrue="1">
      <formula>OR(AND(AG166&gt;=10000,AG166&lt;=56999),AND(AG166&gt;=57000,AG166&lt;=57999))</formula>
    </cfRule>
    <cfRule type="expression" dxfId="15195" priority="1157" stopIfTrue="1">
      <formula>AND(AG166&gt;=8000,AG166&lt;=9999)</formula>
    </cfRule>
    <cfRule type="expression" dxfId="15194" priority="1158" stopIfTrue="1">
      <formula>AND(AG166&gt;=78100,AG166&lt;=78199)</formula>
    </cfRule>
    <cfRule type="expression" dxfId="15193" priority="1159" stopIfTrue="1">
      <formula>AND(AG166&gt;=92000,AG166&lt;=98999)</formula>
    </cfRule>
    <cfRule type="expression" dxfId="15192" priority="1160" stopIfTrue="1">
      <formula>AND(AG166&gt;=78100,AG166&lt;=78199)</formula>
    </cfRule>
    <cfRule type="expression" dxfId="15191" priority="1161" stopIfTrue="1">
      <formula>AND(AG166&gt;=91000,AG166&lt;=91999)</formula>
    </cfRule>
  </conditionalFormatting>
  <conditionalFormatting sqref="AF166:AF167">
    <cfRule type="expression" dxfId="15190" priority="1140">
      <formula>AND(AG166&gt;=79001,AG166&lt;79900)</formula>
    </cfRule>
    <cfRule type="expression" dxfId="15189" priority="1141" stopIfTrue="1">
      <formula>AND(AG166&gt;=70101,AG166&lt;=70301)</formula>
    </cfRule>
    <cfRule type="expression" dxfId="15188" priority="1142" stopIfTrue="1">
      <formula>AND(AG166&gt;70000,AG166&lt;70004)</formula>
    </cfRule>
    <cfRule type="expression" dxfId="15187" priority="1143" stopIfTrue="1">
      <formula>AND(AG166&gt;=70010,AG166&lt;=76000)</formula>
    </cfRule>
    <cfRule type="expression" dxfId="15186" priority="1144">
      <formula>AND(AG166&gt;70000,AG166&lt;70004)</formula>
    </cfRule>
    <cfRule type="expression" dxfId="15185" priority="1145" stopIfTrue="1">
      <formula>OR(AND(AG166&gt;=10000,AG166&lt;=56999),AND(AG166&gt;=57000,AG166&lt;=57999))</formula>
    </cfRule>
    <cfRule type="expression" dxfId="15184" priority="1146" stopIfTrue="1">
      <formula>AND(AG166&gt;=8000,AG166&lt;=9999)</formula>
    </cfRule>
    <cfRule type="expression" dxfId="15183" priority="1147" stopIfTrue="1">
      <formula>AND(AG166&gt;=78100,AG166&lt;=78199)</formula>
    </cfRule>
    <cfRule type="expression" dxfId="15182" priority="1148" stopIfTrue="1">
      <formula>AND(AG166&gt;=92000,AG166&lt;=98999)</formula>
    </cfRule>
    <cfRule type="expression" dxfId="15181" priority="1149" stopIfTrue="1">
      <formula>AND(AG166&gt;=78100,AG166&lt;=78199)</formula>
    </cfRule>
    <cfRule type="expression" dxfId="15180" priority="1150" stopIfTrue="1">
      <formula>AND(AG166&gt;=91000,AG166&lt;=91999)</formula>
    </cfRule>
  </conditionalFormatting>
  <conditionalFormatting sqref="AF166:AF167">
    <cfRule type="expression" dxfId="15179" priority="1129">
      <formula>AND(AG166&gt;=79001,AG166&lt;79900)</formula>
    </cfRule>
    <cfRule type="expression" dxfId="15178" priority="1130" stopIfTrue="1">
      <formula>AND(AG166&gt;=70101,AG166&lt;=70301)</formula>
    </cfRule>
    <cfRule type="expression" dxfId="15177" priority="1131" stopIfTrue="1">
      <formula>AND(AG166&gt;70000,AG166&lt;70004)</formula>
    </cfRule>
    <cfRule type="expression" dxfId="15176" priority="1132" stopIfTrue="1">
      <formula>AND(AG166&gt;=70010,AG166&lt;=76000)</formula>
    </cfRule>
    <cfRule type="expression" dxfId="15175" priority="1133">
      <formula>AND(AG166&gt;70000,AG166&lt;70004)</formula>
    </cfRule>
    <cfRule type="expression" dxfId="15174" priority="1134" stopIfTrue="1">
      <formula>OR(AND(AG166&gt;=10000,AG166&lt;=56999),AND(AG166&gt;=57000,AG166&lt;=57999))</formula>
    </cfRule>
    <cfRule type="expression" dxfId="15173" priority="1135" stopIfTrue="1">
      <formula>AND(AG166&gt;=8000,AG166&lt;=9999)</formula>
    </cfRule>
    <cfRule type="expression" dxfId="15172" priority="1136" stopIfTrue="1">
      <formula>AND(AG166&gt;=78100,AG166&lt;=78199)</formula>
    </cfRule>
    <cfRule type="expression" dxfId="15171" priority="1137" stopIfTrue="1">
      <formula>AND(AG166&gt;=92000,AG166&lt;=98999)</formula>
    </cfRule>
    <cfRule type="expression" dxfId="15170" priority="1138" stopIfTrue="1">
      <formula>AND(AG166&gt;=78100,AG166&lt;=78199)</formula>
    </cfRule>
    <cfRule type="expression" dxfId="15169" priority="1139" stopIfTrue="1">
      <formula>AND(AG166&gt;=91000,AG166&lt;=91999)</formula>
    </cfRule>
  </conditionalFormatting>
  <conditionalFormatting sqref="T166:T167">
    <cfRule type="expression" dxfId="15168" priority="1118">
      <formula>AND(U166&gt;=79001,U166&lt;79900)</formula>
    </cfRule>
    <cfRule type="expression" dxfId="15167" priority="1119" stopIfTrue="1">
      <formula>AND(U166&gt;=70101,U166&lt;=70301)</formula>
    </cfRule>
    <cfRule type="expression" dxfId="15166" priority="1120" stopIfTrue="1">
      <formula>AND(U166&gt;70000,U166&lt;70004)</formula>
    </cfRule>
    <cfRule type="expression" dxfId="15165" priority="1121" stopIfTrue="1">
      <formula>AND(U166&gt;=70010,U166&lt;=76000)</formula>
    </cfRule>
    <cfRule type="expression" dxfId="15164" priority="1122">
      <formula>AND(U166&gt;70000,U166&lt;70004)</formula>
    </cfRule>
    <cfRule type="expression" dxfId="15163" priority="1123" stopIfTrue="1">
      <formula>OR(AND(U166&gt;=10000,U166&lt;=56999),AND(U166&gt;=57000,U166&lt;=57999))</formula>
    </cfRule>
    <cfRule type="expression" dxfId="15162" priority="1124" stopIfTrue="1">
      <formula>AND(U166&gt;=8000,U166&lt;=9999)</formula>
    </cfRule>
    <cfRule type="expression" dxfId="15161" priority="1125" stopIfTrue="1">
      <formula>AND(U166&gt;=78100,U166&lt;=78199)</formula>
    </cfRule>
    <cfRule type="expression" dxfId="15160" priority="1126" stopIfTrue="1">
      <formula>AND(U166&gt;=92000,U166&lt;=98999)</formula>
    </cfRule>
    <cfRule type="expression" dxfId="15159" priority="1127" stopIfTrue="1">
      <formula>AND(U166&gt;=78100,U166&lt;=78199)</formula>
    </cfRule>
    <cfRule type="expression" dxfId="15158" priority="1128" stopIfTrue="1">
      <formula>AND(U166&gt;=91000,U166&lt;=91999)</formula>
    </cfRule>
  </conditionalFormatting>
  <conditionalFormatting sqref="T166:T167">
    <cfRule type="expression" dxfId="15157" priority="1107">
      <formula>AND(U166&gt;=79001,U166&lt;79900)</formula>
    </cfRule>
    <cfRule type="expression" dxfId="15156" priority="1108" stopIfTrue="1">
      <formula>AND(U166&gt;=70101,U166&lt;=70301)</formula>
    </cfRule>
    <cfRule type="expression" dxfId="15155" priority="1109" stopIfTrue="1">
      <formula>AND(U166&gt;70000,U166&lt;70004)</formula>
    </cfRule>
    <cfRule type="expression" dxfId="15154" priority="1110" stopIfTrue="1">
      <formula>AND(U166&gt;=70010,U166&lt;=76000)</formula>
    </cfRule>
    <cfRule type="expression" dxfId="15153" priority="1111">
      <formula>AND(U166&gt;70000,U166&lt;70004)</formula>
    </cfRule>
    <cfRule type="expression" dxfId="15152" priority="1112" stopIfTrue="1">
      <formula>OR(AND(U166&gt;=10000,U166&lt;=56999),AND(U166&gt;=57000,U166&lt;=57999))</formula>
    </cfRule>
    <cfRule type="expression" dxfId="15151" priority="1113" stopIfTrue="1">
      <formula>AND(U166&gt;=8000,U166&lt;=9999)</formula>
    </cfRule>
    <cfRule type="expression" dxfId="15150" priority="1114" stopIfTrue="1">
      <formula>AND(U166&gt;=78100,U166&lt;=78199)</formula>
    </cfRule>
    <cfRule type="expression" dxfId="15149" priority="1115" stopIfTrue="1">
      <formula>AND(U166&gt;=92000,U166&lt;=98999)</formula>
    </cfRule>
    <cfRule type="expression" dxfId="15148" priority="1116" stopIfTrue="1">
      <formula>AND(U166&gt;=78100,U166&lt;=78199)</formula>
    </cfRule>
    <cfRule type="expression" dxfId="15147" priority="1117" stopIfTrue="1">
      <formula>AND(U166&gt;=91000,U166&lt;=91999)</formula>
    </cfRule>
  </conditionalFormatting>
  <conditionalFormatting sqref="T166:T167">
    <cfRule type="expression" dxfId="15146" priority="1096">
      <formula>AND(U166&gt;=79001,U166&lt;79900)</formula>
    </cfRule>
    <cfRule type="expression" dxfId="15145" priority="1097" stopIfTrue="1">
      <formula>AND(U166&gt;=70101,U166&lt;=70301)</formula>
    </cfRule>
    <cfRule type="expression" dxfId="15144" priority="1098" stopIfTrue="1">
      <formula>AND(U166&gt;70000,U166&lt;70004)</formula>
    </cfRule>
    <cfRule type="expression" dxfId="15143" priority="1099" stopIfTrue="1">
      <formula>AND(U166&gt;=70010,U166&lt;=76000)</formula>
    </cfRule>
    <cfRule type="expression" dxfId="15142" priority="1100">
      <formula>AND(U166&gt;70000,U166&lt;70004)</formula>
    </cfRule>
    <cfRule type="expression" dxfId="15141" priority="1101" stopIfTrue="1">
      <formula>OR(AND(U166&gt;=10000,U166&lt;=56999),AND(U166&gt;=57000,U166&lt;=57999))</formula>
    </cfRule>
    <cfRule type="expression" dxfId="15140" priority="1102" stopIfTrue="1">
      <formula>AND(U166&gt;=8000,U166&lt;=9999)</formula>
    </cfRule>
    <cfRule type="expression" dxfId="15139" priority="1103" stopIfTrue="1">
      <formula>AND(U166&gt;=78100,U166&lt;=78199)</formula>
    </cfRule>
    <cfRule type="expression" dxfId="15138" priority="1104" stopIfTrue="1">
      <formula>AND(U166&gt;=92000,U166&lt;=98999)</formula>
    </cfRule>
    <cfRule type="expression" dxfId="15137" priority="1105" stopIfTrue="1">
      <formula>AND(U166&gt;=78100,U166&lt;=78199)</formula>
    </cfRule>
    <cfRule type="expression" dxfId="15136" priority="1106" stopIfTrue="1">
      <formula>AND(U166&gt;=91000,U166&lt;=91999)</formula>
    </cfRule>
  </conditionalFormatting>
  <conditionalFormatting sqref="T166:T167">
    <cfRule type="expression" dxfId="15135" priority="1085">
      <formula>AND(U166&gt;=79001,U166&lt;79900)</formula>
    </cfRule>
    <cfRule type="expression" dxfId="15134" priority="1086" stopIfTrue="1">
      <formula>AND(U166&gt;=70101,U166&lt;=70301)</formula>
    </cfRule>
    <cfRule type="expression" dxfId="15133" priority="1087" stopIfTrue="1">
      <formula>AND(U166&gt;70000,U166&lt;70004)</formula>
    </cfRule>
    <cfRule type="expression" dxfId="15132" priority="1088" stopIfTrue="1">
      <formula>AND(U166&gt;=70010,U166&lt;=76000)</formula>
    </cfRule>
    <cfRule type="expression" dxfId="15131" priority="1089">
      <formula>AND(U166&gt;70000,U166&lt;70004)</formula>
    </cfRule>
    <cfRule type="expression" dxfId="15130" priority="1090" stopIfTrue="1">
      <formula>OR(AND(U166&gt;=10000,U166&lt;=56999),AND(U166&gt;=57000,U166&lt;=57999))</formula>
    </cfRule>
    <cfRule type="expression" dxfId="15129" priority="1091" stopIfTrue="1">
      <formula>AND(U166&gt;=8000,U166&lt;=9999)</formula>
    </cfRule>
    <cfRule type="expression" dxfId="15128" priority="1092" stopIfTrue="1">
      <formula>AND(U166&gt;=78100,U166&lt;=78199)</formula>
    </cfRule>
    <cfRule type="expression" dxfId="15127" priority="1093" stopIfTrue="1">
      <formula>AND(U166&gt;=92000,U166&lt;=98999)</formula>
    </cfRule>
    <cfRule type="expression" dxfId="15126" priority="1094" stopIfTrue="1">
      <formula>AND(U166&gt;=78100,U166&lt;=78199)</formula>
    </cfRule>
    <cfRule type="expression" dxfId="15125" priority="1095" stopIfTrue="1">
      <formula>AND(U166&gt;=91000,U166&lt;=91999)</formula>
    </cfRule>
  </conditionalFormatting>
  <conditionalFormatting sqref="X122">
    <cfRule type="expression" dxfId="15124" priority="1074">
      <formula>AND(Y122&gt;=79001,Y122&lt;79900)</formula>
    </cfRule>
    <cfRule type="expression" dxfId="15123" priority="1075" stopIfTrue="1">
      <formula>AND(Y122&gt;=70101,Y122&lt;=70301)</formula>
    </cfRule>
    <cfRule type="expression" dxfId="15122" priority="1076" stopIfTrue="1">
      <formula>AND(Y122&gt;70000,Y122&lt;70004)</formula>
    </cfRule>
    <cfRule type="expression" dxfId="15121" priority="1077" stopIfTrue="1">
      <formula>AND(Y122&gt;=70010,Y122&lt;=76000)</formula>
    </cfRule>
    <cfRule type="expression" dxfId="15120" priority="1078">
      <formula>AND(Y122&gt;70000,Y122&lt;70004)</formula>
    </cfRule>
    <cfRule type="expression" dxfId="15119" priority="1079" stopIfTrue="1">
      <formula>OR(AND(Y122&gt;=10000,Y122&lt;=56999),AND(Y122&gt;=57000,Y122&lt;=57999))</formula>
    </cfRule>
    <cfRule type="expression" dxfId="15118" priority="1080" stopIfTrue="1">
      <formula>AND(Y122&gt;=8000,Y122&lt;=9999)</formula>
    </cfRule>
    <cfRule type="expression" dxfId="15117" priority="1081" stopIfTrue="1">
      <formula>AND(Y122&gt;=78100,Y122&lt;=78199)</formula>
    </cfRule>
    <cfRule type="expression" dxfId="15116" priority="1082" stopIfTrue="1">
      <formula>AND(Y122&gt;=92000,Y122&lt;=98999)</formula>
    </cfRule>
    <cfRule type="expression" dxfId="15115" priority="1083" stopIfTrue="1">
      <formula>AND(Y122&gt;=78100,Y122&lt;=78199)</formula>
    </cfRule>
    <cfRule type="expression" dxfId="15114" priority="1084" stopIfTrue="1">
      <formula>AND(Y122&gt;=91000,Y122&lt;=91999)</formula>
    </cfRule>
  </conditionalFormatting>
  <conditionalFormatting sqref="X122">
    <cfRule type="expression" dxfId="15113" priority="1063">
      <formula>AND(Y122&gt;=79001,Y122&lt;79900)</formula>
    </cfRule>
    <cfRule type="expression" dxfId="15112" priority="1064" stopIfTrue="1">
      <formula>AND(Y122&gt;=70101,Y122&lt;=70301)</formula>
    </cfRule>
    <cfRule type="expression" dxfId="15111" priority="1065" stopIfTrue="1">
      <formula>AND(Y122&gt;70000,Y122&lt;70004)</formula>
    </cfRule>
    <cfRule type="expression" dxfId="15110" priority="1066" stopIfTrue="1">
      <formula>AND(Y122&gt;=70010,Y122&lt;=76000)</formula>
    </cfRule>
    <cfRule type="expression" dxfId="15109" priority="1067">
      <formula>AND(Y122&gt;70000,Y122&lt;70004)</formula>
    </cfRule>
    <cfRule type="expression" dxfId="15108" priority="1068" stopIfTrue="1">
      <formula>OR(AND(Y122&gt;=10000,Y122&lt;=56999),AND(Y122&gt;=57000,Y122&lt;=57999))</formula>
    </cfRule>
    <cfRule type="expression" dxfId="15107" priority="1069" stopIfTrue="1">
      <formula>AND(Y122&gt;=8000,Y122&lt;=9999)</formula>
    </cfRule>
    <cfRule type="expression" dxfId="15106" priority="1070" stopIfTrue="1">
      <formula>AND(Y122&gt;=78100,Y122&lt;=78199)</formula>
    </cfRule>
    <cfRule type="expression" dxfId="15105" priority="1071" stopIfTrue="1">
      <formula>AND(Y122&gt;=92000,Y122&lt;=98999)</formula>
    </cfRule>
    <cfRule type="expression" dxfId="15104" priority="1072" stopIfTrue="1">
      <formula>AND(Y122&gt;=78100,Y122&lt;=78199)</formula>
    </cfRule>
    <cfRule type="expression" dxfId="15103" priority="1073" stopIfTrue="1">
      <formula>AND(Y122&gt;=91000,Y122&lt;=91999)</formula>
    </cfRule>
  </conditionalFormatting>
  <conditionalFormatting sqref="X122">
    <cfRule type="expression" dxfId="15102" priority="1052">
      <formula>AND(Y122&gt;=79001,Y122&lt;79900)</formula>
    </cfRule>
    <cfRule type="expression" dxfId="15101" priority="1053" stopIfTrue="1">
      <formula>AND(Y122&gt;=70101,Y122&lt;=70301)</formula>
    </cfRule>
    <cfRule type="expression" dxfId="15100" priority="1054" stopIfTrue="1">
      <formula>AND(Y122&gt;70000,Y122&lt;70004)</formula>
    </cfRule>
    <cfRule type="expression" dxfId="15099" priority="1055" stopIfTrue="1">
      <formula>AND(Y122&gt;=70010,Y122&lt;=76000)</formula>
    </cfRule>
    <cfRule type="expression" dxfId="15098" priority="1056">
      <formula>AND(Y122&gt;70000,Y122&lt;70004)</formula>
    </cfRule>
    <cfRule type="expression" dxfId="15097" priority="1057" stopIfTrue="1">
      <formula>OR(AND(Y122&gt;=10000,Y122&lt;=56999),AND(Y122&gt;=57000,Y122&lt;=57999))</formula>
    </cfRule>
    <cfRule type="expression" dxfId="15096" priority="1058" stopIfTrue="1">
      <formula>AND(Y122&gt;=8000,Y122&lt;=9999)</formula>
    </cfRule>
    <cfRule type="expression" dxfId="15095" priority="1059" stopIfTrue="1">
      <formula>AND(Y122&gt;=78100,Y122&lt;=78199)</formula>
    </cfRule>
    <cfRule type="expression" dxfId="15094" priority="1060" stopIfTrue="1">
      <formula>AND(Y122&gt;=92000,Y122&lt;=98999)</formula>
    </cfRule>
    <cfRule type="expression" dxfId="15093" priority="1061" stopIfTrue="1">
      <formula>AND(Y122&gt;=78100,Y122&lt;=78199)</formula>
    </cfRule>
    <cfRule type="expression" dxfId="15092" priority="1062" stopIfTrue="1">
      <formula>AND(Y122&gt;=91000,Y122&lt;=91999)</formula>
    </cfRule>
  </conditionalFormatting>
  <conditionalFormatting sqref="X122">
    <cfRule type="expression" dxfId="15091" priority="1041">
      <formula>AND(Y122&gt;=79001,Y122&lt;79900)</formula>
    </cfRule>
    <cfRule type="expression" dxfId="15090" priority="1042" stopIfTrue="1">
      <formula>AND(Y122&gt;=70101,Y122&lt;=70301)</formula>
    </cfRule>
    <cfRule type="expression" dxfId="15089" priority="1043" stopIfTrue="1">
      <formula>AND(Y122&gt;70000,Y122&lt;70004)</formula>
    </cfRule>
    <cfRule type="expression" dxfId="15088" priority="1044" stopIfTrue="1">
      <formula>AND(Y122&gt;=70010,Y122&lt;=76000)</formula>
    </cfRule>
    <cfRule type="expression" dxfId="15087" priority="1045">
      <formula>AND(Y122&gt;70000,Y122&lt;70004)</formula>
    </cfRule>
    <cfRule type="expression" dxfId="15086" priority="1046" stopIfTrue="1">
      <formula>OR(AND(Y122&gt;=10000,Y122&lt;=56999),AND(Y122&gt;=57000,Y122&lt;=57999))</formula>
    </cfRule>
    <cfRule type="expression" dxfId="15085" priority="1047" stopIfTrue="1">
      <formula>AND(Y122&gt;=8000,Y122&lt;=9999)</formula>
    </cfRule>
    <cfRule type="expression" dxfId="15084" priority="1048" stopIfTrue="1">
      <formula>AND(Y122&gt;=78100,Y122&lt;=78199)</formula>
    </cfRule>
    <cfRule type="expression" dxfId="15083" priority="1049" stopIfTrue="1">
      <formula>AND(Y122&gt;=92000,Y122&lt;=98999)</formula>
    </cfRule>
    <cfRule type="expression" dxfId="15082" priority="1050" stopIfTrue="1">
      <formula>AND(Y122&gt;=78100,Y122&lt;=78199)</formula>
    </cfRule>
    <cfRule type="expression" dxfId="15081" priority="1051" stopIfTrue="1">
      <formula>AND(Y122&gt;=91000,Y122&lt;=91999)</formula>
    </cfRule>
  </conditionalFormatting>
  <conditionalFormatting sqref="AB122">
    <cfRule type="expression" dxfId="15080" priority="1030">
      <formula>AND(AC122&gt;=79001,AC122&lt;79900)</formula>
    </cfRule>
    <cfRule type="expression" dxfId="15079" priority="1031" stopIfTrue="1">
      <formula>AND(AC122&gt;=70101,AC122&lt;=70301)</formula>
    </cfRule>
    <cfRule type="expression" dxfId="15078" priority="1032" stopIfTrue="1">
      <formula>AND(AC122&gt;70000,AC122&lt;70004)</formula>
    </cfRule>
    <cfRule type="expression" dxfId="15077" priority="1033" stopIfTrue="1">
      <formula>AND(AC122&gt;=70010,AC122&lt;=76000)</formula>
    </cfRule>
    <cfRule type="expression" dxfId="15076" priority="1034">
      <formula>AND(AC122&gt;70000,AC122&lt;70004)</formula>
    </cfRule>
    <cfRule type="expression" dxfId="15075" priority="1035" stopIfTrue="1">
      <formula>OR(AND(AC122&gt;=10000,AC122&lt;=56999),AND(AC122&gt;=57000,AC122&lt;=57999))</formula>
    </cfRule>
    <cfRule type="expression" dxfId="15074" priority="1036" stopIfTrue="1">
      <formula>AND(AC122&gt;=8000,AC122&lt;=9999)</formula>
    </cfRule>
    <cfRule type="expression" dxfId="15073" priority="1037" stopIfTrue="1">
      <formula>AND(AC122&gt;=78100,AC122&lt;=78199)</formula>
    </cfRule>
    <cfRule type="expression" dxfId="15072" priority="1038" stopIfTrue="1">
      <formula>AND(AC122&gt;=92000,AC122&lt;=98999)</formula>
    </cfRule>
    <cfRule type="expression" dxfId="15071" priority="1039" stopIfTrue="1">
      <formula>AND(AC122&gt;=78100,AC122&lt;=78199)</formula>
    </cfRule>
    <cfRule type="expression" dxfId="15070" priority="1040" stopIfTrue="1">
      <formula>AND(AC122&gt;=91000,AC122&lt;=91999)</formula>
    </cfRule>
  </conditionalFormatting>
  <conditionalFormatting sqref="AB122">
    <cfRule type="expression" dxfId="15069" priority="1019">
      <formula>AND(AC122&gt;=79001,AC122&lt;79900)</formula>
    </cfRule>
    <cfRule type="expression" dxfId="15068" priority="1020" stopIfTrue="1">
      <formula>AND(AC122&gt;=70101,AC122&lt;=70301)</formula>
    </cfRule>
    <cfRule type="expression" dxfId="15067" priority="1021" stopIfTrue="1">
      <formula>AND(AC122&gt;70000,AC122&lt;70004)</formula>
    </cfRule>
    <cfRule type="expression" dxfId="15066" priority="1022" stopIfTrue="1">
      <formula>AND(AC122&gt;=70010,AC122&lt;=76000)</formula>
    </cfRule>
    <cfRule type="expression" dxfId="15065" priority="1023">
      <formula>AND(AC122&gt;70000,AC122&lt;70004)</formula>
    </cfRule>
    <cfRule type="expression" dxfId="15064" priority="1024" stopIfTrue="1">
      <formula>OR(AND(AC122&gt;=10000,AC122&lt;=56999),AND(AC122&gt;=57000,AC122&lt;=57999))</formula>
    </cfRule>
    <cfRule type="expression" dxfId="15063" priority="1025" stopIfTrue="1">
      <formula>AND(AC122&gt;=8000,AC122&lt;=9999)</formula>
    </cfRule>
    <cfRule type="expression" dxfId="15062" priority="1026" stopIfTrue="1">
      <formula>AND(AC122&gt;=78100,AC122&lt;=78199)</formula>
    </cfRule>
    <cfRule type="expression" dxfId="15061" priority="1027" stopIfTrue="1">
      <formula>AND(AC122&gt;=92000,AC122&lt;=98999)</formula>
    </cfRule>
    <cfRule type="expression" dxfId="15060" priority="1028" stopIfTrue="1">
      <formula>AND(AC122&gt;=78100,AC122&lt;=78199)</formula>
    </cfRule>
    <cfRule type="expression" dxfId="15059" priority="1029" stopIfTrue="1">
      <formula>AND(AC122&gt;=91000,AC122&lt;=91999)</formula>
    </cfRule>
  </conditionalFormatting>
  <conditionalFormatting sqref="AF122">
    <cfRule type="expression" dxfId="15058" priority="1008">
      <formula>AND(AG122&gt;=79001,AG122&lt;79900)</formula>
    </cfRule>
    <cfRule type="expression" dxfId="15057" priority="1009" stopIfTrue="1">
      <formula>AND(AG122&gt;=70101,AG122&lt;=70301)</formula>
    </cfRule>
    <cfRule type="expression" dxfId="15056" priority="1010" stopIfTrue="1">
      <formula>AND(AG122&gt;70000,AG122&lt;70004)</formula>
    </cfRule>
    <cfRule type="expression" dxfId="15055" priority="1011" stopIfTrue="1">
      <formula>AND(AG122&gt;=70010,AG122&lt;=76000)</formula>
    </cfRule>
    <cfRule type="expression" dxfId="15054" priority="1012">
      <formula>AND(AG122&gt;70000,AG122&lt;70004)</formula>
    </cfRule>
    <cfRule type="expression" dxfId="15053" priority="1013" stopIfTrue="1">
      <formula>OR(AND(AG122&gt;=10000,AG122&lt;=56999),AND(AG122&gt;=57000,AG122&lt;=57999))</formula>
    </cfRule>
    <cfRule type="expression" dxfId="15052" priority="1014" stopIfTrue="1">
      <formula>AND(AG122&gt;=8000,AG122&lt;=9999)</formula>
    </cfRule>
    <cfRule type="expression" dxfId="15051" priority="1015" stopIfTrue="1">
      <formula>AND(AG122&gt;=78100,AG122&lt;=78199)</formula>
    </cfRule>
    <cfRule type="expression" dxfId="15050" priority="1016" stopIfTrue="1">
      <formula>AND(AG122&gt;=92000,AG122&lt;=98999)</formula>
    </cfRule>
    <cfRule type="expression" dxfId="15049" priority="1017" stopIfTrue="1">
      <formula>AND(AG122&gt;=78100,AG122&lt;=78199)</formula>
    </cfRule>
    <cfRule type="expression" dxfId="15048" priority="1018" stopIfTrue="1">
      <formula>AND(AG122&gt;=91000,AG122&lt;=91999)</formula>
    </cfRule>
  </conditionalFormatting>
  <conditionalFormatting sqref="AJ122">
    <cfRule type="expression" dxfId="15047" priority="997">
      <formula>AND(AK122&gt;=79001,AK122&lt;79900)</formula>
    </cfRule>
    <cfRule type="expression" dxfId="15046" priority="998" stopIfTrue="1">
      <formula>AND(AK122&gt;=70101,AK122&lt;=70301)</formula>
    </cfRule>
    <cfRule type="expression" dxfId="15045" priority="999" stopIfTrue="1">
      <formula>AND(AK122&gt;70000,AK122&lt;70004)</formula>
    </cfRule>
    <cfRule type="expression" dxfId="15044" priority="1000" stopIfTrue="1">
      <formula>AND(AK122&gt;=70010,AK122&lt;=76000)</formula>
    </cfRule>
    <cfRule type="expression" dxfId="15043" priority="1001">
      <formula>AND(AK122&gt;70000,AK122&lt;70004)</formula>
    </cfRule>
    <cfRule type="expression" dxfId="15042" priority="1002" stopIfTrue="1">
      <formula>OR(AND(AK122&gt;=10000,AK122&lt;=56999),AND(AK122&gt;=57000,AK122&lt;=57999))</formula>
    </cfRule>
    <cfRule type="expression" dxfId="15041" priority="1003" stopIfTrue="1">
      <formula>AND(AK122&gt;=8000,AK122&lt;=9999)</formula>
    </cfRule>
    <cfRule type="expression" dxfId="15040" priority="1004" stopIfTrue="1">
      <formula>AND(AK122&gt;=78100,AK122&lt;=78199)</formula>
    </cfRule>
    <cfRule type="expression" dxfId="15039" priority="1005" stopIfTrue="1">
      <formula>AND(AK122&gt;=92000,AK122&lt;=98999)</formula>
    </cfRule>
    <cfRule type="expression" dxfId="15038" priority="1006" stopIfTrue="1">
      <formula>AND(AK122&gt;=78100,AK122&lt;=78199)</formula>
    </cfRule>
    <cfRule type="expression" dxfId="15037" priority="1007" stopIfTrue="1">
      <formula>AND(AK122&gt;=91000,AK122&lt;=91999)</formula>
    </cfRule>
  </conditionalFormatting>
  <conditionalFormatting sqref="AF122">
    <cfRule type="expression" dxfId="15036" priority="986">
      <formula>AND(AG122&gt;=79001,AG122&lt;79900)</formula>
    </cfRule>
    <cfRule type="expression" dxfId="15035" priority="987" stopIfTrue="1">
      <formula>AND(AG122&gt;=70101,AG122&lt;=70301)</formula>
    </cfRule>
    <cfRule type="expression" dxfId="15034" priority="988" stopIfTrue="1">
      <formula>AND(AG122&gt;70000,AG122&lt;70004)</formula>
    </cfRule>
    <cfRule type="expression" dxfId="15033" priority="989" stopIfTrue="1">
      <formula>AND(AG122&gt;=70010,AG122&lt;=76000)</formula>
    </cfRule>
    <cfRule type="expression" dxfId="15032" priority="990">
      <formula>AND(AG122&gt;70000,AG122&lt;70004)</formula>
    </cfRule>
    <cfRule type="expression" dxfId="15031" priority="991" stopIfTrue="1">
      <formula>OR(AND(AG122&gt;=10000,AG122&lt;=56999),AND(AG122&gt;=57000,AG122&lt;=57999))</formula>
    </cfRule>
    <cfRule type="expression" dxfId="15030" priority="992" stopIfTrue="1">
      <formula>AND(AG122&gt;=8000,AG122&lt;=9999)</formula>
    </cfRule>
    <cfRule type="expression" dxfId="15029" priority="993" stopIfTrue="1">
      <formula>AND(AG122&gt;=78100,AG122&lt;=78199)</formula>
    </cfRule>
    <cfRule type="expression" dxfId="15028" priority="994" stopIfTrue="1">
      <formula>AND(AG122&gt;=92000,AG122&lt;=98999)</formula>
    </cfRule>
    <cfRule type="expression" dxfId="15027" priority="995" stopIfTrue="1">
      <formula>AND(AG122&gt;=78100,AG122&lt;=78199)</formula>
    </cfRule>
    <cfRule type="expression" dxfId="15026" priority="996" stopIfTrue="1">
      <formula>AND(AG122&gt;=91000,AG122&lt;=91999)</formula>
    </cfRule>
  </conditionalFormatting>
  <conditionalFormatting sqref="AJ122">
    <cfRule type="expression" dxfId="15025" priority="975">
      <formula>AND(AK122&gt;=79001,AK122&lt;79900)</formula>
    </cfRule>
    <cfRule type="expression" dxfId="15024" priority="976" stopIfTrue="1">
      <formula>AND(AK122&gt;=70101,AK122&lt;=70301)</formula>
    </cfRule>
    <cfRule type="expression" dxfId="15023" priority="977" stopIfTrue="1">
      <formula>AND(AK122&gt;70000,AK122&lt;70004)</formula>
    </cfRule>
    <cfRule type="expression" dxfId="15022" priority="978" stopIfTrue="1">
      <formula>AND(AK122&gt;=70010,AK122&lt;=76000)</formula>
    </cfRule>
    <cfRule type="expression" dxfId="15021" priority="979">
      <formula>AND(AK122&gt;70000,AK122&lt;70004)</formula>
    </cfRule>
    <cfRule type="expression" dxfId="15020" priority="980" stopIfTrue="1">
      <formula>OR(AND(AK122&gt;=10000,AK122&lt;=56999),AND(AK122&gt;=57000,AK122&lt;=57999))</formula>
    </cfRule>
    <cfRule type="expression" dxfId="15019" priority="981" stopIfTrue="1">
      <formula>AND(AK122&gt;=8000,AK122&lt;=9999)</formula>
    </cfRule>
    <cfRule type="expression" dxfId="15018" priority="982" stopIfTrue="1">
      <formula>AND(AK122&gt;=78100,AK122&lt;=78199)</formula>
    </cfRule>
    <cfRule type="expression" dxfId="15017" priority="983" stopIfTrue="1">
      <formula>AND(AK122&gt;=92000,AK122&lt;=98999)</formula>
    </cfRule>
    <cfRule type="expression" dxfId="15016" priority="984" stopIfTrue="1">
      <formula>AND(AK122&gt;=78100,AK122&lt;=78199)</formula>
    </cfRule>
    <cfRule type="expression" dxfId="15015" priority="985" stopIfTrue="1">
      <formula>AND(AK122&gt;=91000,AK122&lt;=91999)</formula>
    </cfRule>
  </conditionalFormatting>
  <conditionalFormatting sqref="AM12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2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22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22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22">
    <cfRule type="colorScale" priority="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22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22">
    <cfRule type="expression" dxfId="15014" priority="958">
      <formula>AND(U122&gt;=79001,U122&lt;79900)</formula>
    </cfRule>
    <cfRule type="expression" dxfId="15013" priority="959" stopIfTrue="1">
      <formula>AND(U122&gt;=70101,U122&lt;=70301)</formula>
    </cfRule>
    <cfRule type="expression" dxfId="15012" priority="960" stopIfTrue="1">
      <formula>AND(U122&gt;70000,U122&lt;70004)</formula>
    </cfRule>
    <cfRule type="expression" dxfId="15011" priority="961" stopIfTrue="1">
      <formula>AND(U122&gt;=70010,U122&lt;=76000)</formula>
    </cfRule>
    <cfRule type="expression" dxfId="15010" priority="962">
      <formula>AND(U122&gt;70000,U122&lt;70004)</formula>
    </cfRule>
    <cfRule type="expression" dxfId="15009" priority="963" stopIfTrue="1">
      <formula>OR(AND(U122&gt;=10000,U122&lt;=56999),AND(U122&gt;=57000,U122&lt;=57999))</formula>
    </cfRule>
    <cfRule type="expression" dxfId="15008" priority="964" stopIfTrue="1">
      <formula>AND(U122&gt;=8000,U122&lt;=9999)</formula>
    </cfRule>
    <cfRule type="expression" dxfId="15007" priority="965" stopIfTrue="1">
      <formula>AND(U122&gt;=78100,U122&lt;=78199)</formula>
    </cfRule>
    <cfRule type="expression" dxfId="15006" priority="966" stopIfTrue="1">
      <formula>AND(U122&gt;=92000,U122&lt;=98999)</formula>
    </cfRule>
    <cfRule type="expression" dxfId="15005" priority="967" stopIfTrue="1">
      <formula>AND(U122&gt;=78100,U122&lt;=78199)</formula>
    </cfRule>
    <cfRule type="expression" dxfId="15004" priority="968" stopIfTrue="1">
      <formula>AND(U122&gt;=91000,U122&lt;=91999)</formula>
    </cfRule>
  </conditionalFormatting>
  <conditionalFormatting sqref="T122">
    <cfRule type="expression" dxfId="15003" priority="947">
      <formula>AND(U122&gt;=79001,U122&lt;79900)</formula>
    </cfRule>
    <cfRule type="expression" dxfId="15002" priority="948" stopIfTrue="1">
      <formula>AND(U122&gt;=70101,U122&lt;=70301)</formula>
    </cfRule>
    <cfRule type="expression" dxfId="15001" priority="949" stopIfTrue="1">
      <formula>AND(U122&gt;70000,U122&lt;70004)</formula>
    </cfRule>
    <cfRule type="expression" dxfId="15000" priority="950" stopIfTrue="1">
      <formula>AND(U122&gt;=70010,U122&lt;=76000)</formula>
    </cfRule>
    <cfRule type="expression" dxfId="14999" priority="951">
      <formula>AND(U122&gt;70000,U122&lt;70004)</formula>
    </cfRule>
    <cfRule type="expression" dxfId="14998" priority="952" stopIfTrue="1">
      <formula>OR(AND(U122&gt;=10000,U122&lt;=56999),AND(U122&gt;=57000,U122&lt;=57999))</formula>
    </cfRule>
    <cfRule type="expression" dxfId="14997" priority="953" stopIfTrue="1">
      <formula>AND(U122&gt;=8000,U122&lt;=9999)</formula>
    </cfRule>
    <cfRule type="expression" dxfId="14996" priority="954" stopIfTrue="1">
      <formula>AND(U122&gt;=78100,U122&lt;=78199)</formula>
    </cfRule>
    <cfRule type="expression" dxfId="14995" priority="955" stopIfTrue="1">
      <formula>AND(U122&gt;=92000,U122&lt;=98999)</formula>
    </cfRule>
    <cfRule type="expression" dxfId="14994" priority="956" stopIfTrue="1">
      <formula>AND(U122&gt;=78100,U122&lt;=78199)</formula>
    </cfRule>
    <cfRule type="expression" dxfId="14993" priority="957" stopIfTrue="1">
      <formula>AND(U122&gt;=91000,U122&lt;=91999)</formula>
    </cfRule>
  </conditionalFormatting>
  <conditionalFormatting sqref="T122">
    <cfRule type="expression" dxfId="14992" priority="936">
      <formula>AND(U122&gt;=79001,U122&lt;79900)</formula>
    </cfRule>
    <cfRule type="expression" dxfId="14991" priority="937" stopIfTrue="1">
      <formula>AND(U122&gt;=70101,U122&lt;=70301)</formula>
    </cfRule>
    <cfRule type="expression" dxfId="14990" priority="938" stopIfTrue="1">
      <formula>AND(U122&gt;70000,U122&lt;70004)</formula>
    </cfRule>
    <cfRule type="expression" dxfId="14989" priority="939" stopIfTrue="1">
      <formula>AND(U122&gt;=70010,U122&lt;=76000)</formula>
    </cfRule>
    <cfRule type="expression" dxfId="14988" priority="940">
      <formula>AND(U122&gt;70000,U122&lt;70004)</formula>
    </cfRule>
    <cfRule type="expression" dxfId="14987" priority="941" stopIfTrue="1">
      <formula>OR(AND(U122&gt;=10000,U122&lt;=56999),AND(U122&gt;=57000,U122&lt;=57999))</formula>
    </cfRule>
    <cfRule type="expression" dxfId="14986" priority="942" stopIfTrue="1">
      <formula>AND(U122&gt;=8000,U122&lt;=9999)</formula>
    </cfRule>
    <cfRule type="expression" dxfId="14985" priority="943" stopIfTrue="1">
      <formula>AND(U122&gt;=78100,U122&lt;=78199)</formula>
    </cfRule>
    <cfRule type="expression" dxfId="14984" priority="944" stopIfTrue="1">
      <formula>AND(U122&gt;=92000,U122&lt;=98999)</formula>
    </cfRule>
    <cfRule type="expression" dxfId="14983" priority="945" stopIfTrue="1">
      <formula>AND(U122&gt;=78100,U122&lt;=78199)</formula>
    </cfRule>
    <cfRule type="expression" dxfId="14982" priority="946" stopIfTrue="1">
      <formula>AND(U122&gt;=91000,U122&lt;=91999)</formula>
    </cfRule>
  </conditionalFormatting>
  <conditionalFormatting sqref="T122">
    <cfRule type="expression" dxfId="14981" priority="925">
      <formula>AND(U122&gt;=79001,U122&lt;79900)</formula>
    </cfRule>
    <cfRule type="expression" dxfId="14980" priority="926" stopIfTrue="1">
      <formula>AND(U122&gt;=70101,U122&lt;=70301)</formula>
    </cfRule>
    <cfRule type="expression" dxfId="14979" priority="927" stopIfTrue="1">
      <formula>AND(U122&gt;70000,U122&lt;70004)</formula>
    </cfRule>
    <cfRule type="expression" dxfId="14978" priority="928" stopIfTrue="1">
      <formula>AND(U122&gt;=70010,U122&lt;=76000)</formula>
    </cfRule>
    <cfRule type="expression" dxfId="14977" priority="929">
      <formula>AND(U122&gt;70000,U122&lt;70004)</formula>
    </cfRule>
    <cfRule type="expression" dxfId="14976" priority="930" stopIfTrue="1">
      <formula>OR(AND(U122&gt;=10000,U122&lt;=56999),AND(U122&gt;=57000,U122&lt;=57999))</formula>
    </cfRule>
    <cfRule type="expression" dxfId="14975" priority="931" stopIfTrue="1">
      <formula>AND(U122&gt;=8000,U122&lt;=9999)</formula>
    </cfRule>
    <cfRule type="expression" dxfId="14974" priority="932" stopIfTrue="1">
      <formula>AND(U122&gt;=78100,U122&lt;=78199)</formula>
    </cfRule>
    <cfRule type="expression" dxfId="14973" priority="933" stopIfTrue="1">
      <formula>AND(U122&gt;=92000,U122&lt;=98999)</formula>
    </cfRule>
    <cfRule type="expression" dxfId="14972" priority="934" stopIfTrue="1">
      <formula>AND(U122&gt;=78100,U122&lt;=78199)</formula>
    </cfRule>
    <cfRule type="expression" dxfId="14971" priority="935" stopIfTrue="1">
      <formula>AND(U122&gt;=91000,U122&lt;=91999)</formula>
    </cfRule>
  </conditionalFormatting>
  <conditionalFormatting sqref="AJ136:AK136 AM136">
    <cfRule type="expression" dxfId="14970" priority="914">
      <formula>AND(AK136&gt;=79001,AK136&lt;79900)</formula>
    </cfRule>
    <cfRule type="expression" dxfId="14969" priority="915" stopIfTrue="1">
      <formula>AND(AK136&gt;=70101,AK136&lt;=70301)</formula>
    </cfRule>
    <cfRule type="expression" dxfId="14968" priority="916" stopIfTrue="1">
      <formula>AND(AK136&gt;70000,AK136&lt;70004)</formula>
    </cfRule>
    <cfRule type="expression" dxfId="14967" priority="917" stopIfTrue="1">
      <formula>AND(AK136&gt;=70010,AK136&lt;=76000)</formula>
    </cfRule>
    <cfRule type="expression" dxfId="14966" priority="918">
      <formula>AND(AK136&gt;70000,AK136&lt;70004)</formula>
    </cfRule>
    <cfRule type="expression" dxfId="14965" priority="919" stopIfTrue="1">
      <formula>OR(AND(AK136&gt;=10000,AK136&lt;=56999),AND(AK136&gt;=57000,AK136&lt;=57999))</formula>
    </cfRule>
    <cfRule type="expression" dxfId="14964" priority="920" stopIfTrue="1">
      <formula>AND(AK136&gt;=8000,AK136&lt;=9999)</formula>
    </cfRule>
    <cfRule type="expression" dxfId="14963" priority="921" stopIfTrue="1">
      <formula>AND(AK136&gt;=78100,AK136&lt;=78199)</formula>
    </cfRule>
    <cfRule type="expression" dxfId="14962" priority="922" stopIfTrue="1">
      <formula>AND(AK136&gt;=92000,AK136&lt;=98999)</formula>
    </cfRule>
    <cfRule type="expression" dxfId="14961" priority="923" stopIfTrue="1">
      <formula>AND(AK136&gt;=78100,AK136&lt;=78199)</formula>
    </cfRule>
    <cfRule type="expression" dxfId="14960" priority="924" stopIfTrue="1">
      <formula>AND(AK136&gt;=91000,AK136&lt;=91999)</formula>
    </cfRule>
  </conditionalFormatting>
  <conditionalFormatting sqref="AJ136:AK136 AM136">
    <cfRule type="expression" dxfId="14959" priority="903">
      <formula>AND(AK136&gt;=79001,AK136&lt;79900)</formula>
    </cfRule>
    <cfRule type="expression" dxfId="14958" priority="904" stopIfTrue="1">
      <formula>AND(AK136&gt;=70101,AK136&lt;=70301)</formula>
    </cfRule>
    <cfRule type="expression" dxfId="14957" priority="905" stopIfTrue="1">
      <formula>AND(AK136&gt;70000,AK136&lt;70004)</formula>
    </cfRule>
    <cfRule type="expression" dxfId="14956" priority="906" stopIfTrue="1">
      <formula>AND(AK136&gt;=70010,AK136&lt;=76000)</formula>
    </cfRule>
    <cfRule type="expression" dxfId="14955" priority="907">
      <formula>AND(AK136&gt;70000,AK136&lt;70004)</formula>
    </cfRule>
    <cfRule type="expression" dxfId="14954" priority="908" stopIfTrue="1">
      <formula>OR(AND(AK136&gt;=10000,AK136&lt;=56999),AND(AK136&gt;=57000,AK136&lt;=57999))</formula>
    </cfRule>
    <cfRule type="expression" dxfId="14953" priority="909" stopIfTrue="1">
      <formula>AND(AK136&gt;=8000,AK136&lt;=9999)</formula>
    </cfRule>
    <cfRule type="expression" dxfId="14952" priority="910" stopIfTrue="1">
      <formula>AND(AK136&gt;=78100,AK136&lt;=78199)</formula>
    </cfRule>
    <cfRule type="expression" dxfId="14951" priority="911" stopIfTrue="1">
      <formula>AND(AK136&gt;=92000,AK136&lt;=98999)</formula>
    </cfRule>
    <cfRule type="expression" dxfId="14950" priority="912" stopIfTrue="1">
      <formula>AND(AK136&gt;=78100,AK136&lt;=78199)</formula>
    </cfRule>
    <cfRule type="expression" dxfId="14949" priority="913" stopIfTrue="1">
      <formula>AND(AK136&gt;=91000,AK136&lt;=91999)</formula>
    </cfRule>
  </conditionalFormatting>
  <conditionalFormatting sqref="AJ136:AK136 AM136">
    <cfRule type="expression" dxfId="14948" priority="892">
      <formula>AND(AK136&gt;=79001,AK136&lt;79900)</formula>
    </cfRule>
    <cfRule type="expression" dxfId="14947" priority="893" stopIfTrue="1">
      <formula>AND(AK136&gt;=70101,AK136&lt;=70301)</formula>
    </cfRule>
    <cfRule type="expression" dxfId="14946" priority="894" stopIfTrue="1">
      <formula>AND(AK136&gt;70000,AK136&lt;70004)</formula>
    </cfRule>
    <cfRule type="expression" dxfId="14945" priority="895" stopIfTrue="1">
      <formula>AND(AK136&gt;=70010,AK136&lt;=76000)</formula>
    </cfRule>
    <cfRule type="expression" dxfId="14944" priority="896">
      <formula>AND(AK136&gt;70000,AK136&lt;70004)</formula>
    </cfRule>
    <cfRule type="expression" dxfId="14943" priority="897" stopIfTrue="1">
      <formula>OR(AND(AK136&gt;=10000,AK136&lt;=56999),AND(AK136&gt;=57000,AK136&lt;=57999))</formula>
    </cfRule>
    <cfRule type="expression" dxfId="14942" priority="898" stopIfTrue="1">
      <formula>AND(AK136&gt;=8000,AK136&lt;=9999)</formula>
    </cfRule>
    <cfRule type="expression" dxfId="14941" priority="899" stopIfTrue="1">
      <formula>AND(AK136&gt;=78100,AK136&lt;=78199)</formula>
    </cfRule>
    <cfRule type="expression" dxfId="14940" priority="900" stopIfTrue="1">
      <formula>AND(AK136&gt;=92000,AK136&lt;=98999)</formula>
    </cfRule>
    <cfRule type="expression" dxfId="14939" priority="901" stopIfTrue="1">
      <formula>AND(AK136&gt;=78100,AK136&lt;=78199)</formula>
    </cfRule>
    <cfRule type="expression" dxfId="14938" priority="902" stopIfTrue="1">
      <formula>AND(AK136&gt;=91000,AK136&lt;=91999)</formula>
    </cfRule>
  </conditionalFormatting>
  <conditionalFormatting sqref="AJ136:AK136 AM136">
    <cfRule type="expression" dxfId="14937" priority="881">
      <formula>AND(AK136&gt;=79001,AK136&lt;79900)</formula>
    </cfRule>
    <cfRule type="expression" dxfId="14936" priority="882" stopIfTrue="1">
      <formula>AND(AK136&gt;=70101,AK136&lt;=70301)</formula>
    </cfRule>
    <cfRule type="expression" dxfId="14935" priority="883" stopIfTrue="1">
      <formula>AND(AK136&gt;70000,AK136&lt;70004)</formula>
    </cfRule>
    <cfRule type="expression" dxfId="14934" priority="884" stopIfTrue="1">
      <formula>AND(AK136&gt;=70010,AK136&lt;=76000)</formula>
    </cfRule>
    <cfRule type="expression" dxfId="14933" priority="885">
      <formula>AND(AK136&gt;70000,AK136&lt;70004)</formula>
    </cfRule>
    <cfRule type="expression" dxfId="14932" priority="886" stopIfTrue="1">
      <formula>OR(AND(AK136&gt;=10000,AK136&lt;=56999),AND(AK136&gt;=57000,AK136&lt;=57999))</formula>
    </cfRule>
    <cfRule type="expression" dxfId="14931" priority="887" stopIfTrue="1">
      <formula>AND(AK136&gt;=8000,AK136&lt;=9999)</formula>
    </cfRule>
    <cfRule type="expression" dxfId="14930" priority="888" stopIfTrue="1">
      <formula>AND(AK136&gt;=78100,AK136&lt;=78199)</formula>
    </cfRule>
    <cfRule type="expression" dxfId="14929" priority="889" stopIfTrue="1">
      <formula>AND(AK136&gt;=92000,AK136&lt;=98999)</formula>
    </cfRule>
    <cfRule type="expression" dxfId="14928" priority="890" stopIfTrue="1">
      <formula>AND(AK136&gt;=78100,AK136&lt;=78199)</formula>
    </cfRule>
    <cfRule type="expression" dxfId="14927" priority="891" stopIfTrue="1">
      <formula>AND(AK136&gt;=91000,AK136&lt;=91999)</formula>
    </cfRule>
  </conditionalFormatting>
  <conditionalFormatting sqref="T124">
    <cfRule type="expression" dxfId="14926" priority="870">
      <formula>AND(U124&gt;=79001,U124&lt;79900)</formula>
    </cfRule>
    <cfRule type="expression" dxfId="14925" priority="871" stopIfTrue="1">
      <formula>AND(U124&gt;=70101,U124&lt;=70301)</formula>
    </cfRule>
    <cfRule type="expression" dxfId="14924" priority="872" stopIfTrue="1">
      <formula>AND(U124&gt;70000,U124&lt;70004)</formula>
    </cfRule>
    <cfRule type="expression" dxfId="14923" priority="873" stopIfTrue="1">
      <formula>AND(U124&gt;=70010,U124&lt;=76000)</formula>
    </cfRule>
    <cfRule type="expression" dxfId="14922" priority="874">
      <formula>AND(U124&gt;70000,U124&lt;70004)</formula>
    </cfRule>
    <cfRule type="expression" dxfId="14921" priority="875" stopIfTrue="1">
      <formula>OR(AND(U124&gt;=10000,U124&lt;=56999),AND(U124&gt;=57000,U124&lt;=57999))</formula>
    </cfRule>
    <cfRule type="expression" dxfId="14920" priority="876" stopIfTrue="1">
      <formula>AND(U124&gt;=8000,U124&lt;=9999)</formula>
    </cfRule>
    <cfRule type="expression" dxfId="14919" priority="877" stopIfTrue="1">
      <formula>AND(U124&gt;=78100,U124&lt;=78199)</formula>
    </cfRule>
    <cfRule type="expression" dxfId="14918" priority="878" stopIfTrue="1">
      <formula>AND(U124&gt;=92000,U124&lt;=98999)</formula>
    </cfRule>
    <cfRule type="expression" dxfId="14917" priority="879" stopIfTrue="1">
      <formula>AND(U124&gt;=78100,U124&lt;=78199)</formula>
    </cfRule>
    <cfRule type="expression" dxfId="14916" priority="880" stopIfTrue="1">
      <formula>AND(U124&gt;=91000,U124&lt;=91999)</formula>
    </cfRule>
  </conditionalFormatting>
  <conditionalFormatting sqref="T124">
    <cfRule type="expression" dxfId="14915" priority="859">
      <formula>AND(U124&gt;=79001,U124&lt;79900)</formula>
    </cfRule>
    <cfRule type="expression" dxfId="14914" priority="860" stopIfTrue="1">
      <formula>AND(U124&gt;=70101,U124&lt;=70301)</formula>
    </cfRule>
    <cfRule type="expression" dxfId="14913" priority="861" stopIfTrue="1">
      <formula>AND(U124&gt;70000,U124&lt;70004)</formula>
    </cfRule>
    <cfRule type="expression" dxfId="14912" priority="862" stopIfTrue="1">
      <formula>AND(U124&gt;=70010,U124&lt;=76000)</formula>
    </cfRule>
    <cfRule type="expression" dxfId="14911" priority="863">
      <formula>AND(U124&gt;70000,U124&lt;70004)</formula>
    </cfRule>
    <cfRule type="expression" dxfId="14910" priority="864" stopIfTrue="1">
      <formula>OR(AND(U124&gt;=10000,U124&lt;=56999),AND(U124&gt;=57000,U124&lt;=57999))</formula>
    </cfRule>
    <cfRule type="expression" dxfId="14909" priority="865" stopIfTrue="1">
      <formula>AND(U124&gt;=8000,U124&lt;=9999)</formula>
    </cfRule>
    <cfRule type="expression" dxfId="14908" priority="866" stopIfTrue="1">
      <formula>AND(U124&gt;=78100,U124&lt;=78199)</formula>
    </cfRule>
    <cfRule type="expression" dxfId="14907" priority="867" stopIfTrue="1">
      <formula>AND(U124&gt;=92000,U124&lt;=98999)</formula>
    </cfRule>
    <cfRule type="expression" dxfId="14906" priority="868" stopIfTrue="1">
      <formula>AND(U124&gt;=78100,U124&lt;=78199)</formula>
    </cfRule>
    <cfRule type="expression" dxfId="14905" priority="869" stopIfTrue="1">
      <formula>AND(U124&gt;=91000,U124&lt;=91999)</formula>
    </cfRule>
  </conditionalFormatting>
  <conditionalFormatting sqref="T124">
    <cfRule type="expression" dxfId="14904" priority="848">
      <formula>AND(U124&gt;=79001,U124&lt;79900)</formula>
    </cfRule>
    <cfRule type="expression" dxfId="14903" priority="849" stopIfTrue="1">
      <formula>AND(U124&gt;=70101,U124&lt;=70301)</formula>
    </cfRule>
    <cfRule type="expression" dxfId="14902" priority="850" stopIfTrue="1">
      <formula>AND(U124&gt;70000,U124&lt;70004)</formula>
    </cfRule>
    <cfRule type="expression" dxfId="14901" priority="851" stopIfTrue="1">
      <formula>AND(U124&gt;=70010,U124&lt;=76000)</formula>
    </cfRule>
    <cfRule type="expression" dxfId="14900" priority="852">
      <formula>AND(U124&gt;70000,U124&lt;70004)</formula>
    </cfRule>
    <cfRule type="expression" dxfId="14899" priority="853" stopIfTrue="1">
      <formula>OR(AND(U124&gt;=10000,U124&lt;=56999),AND(U124&gt;=57000,U124&lt;=57999))</formula>
    </cfRule>
    <cfRule type="expression" dxfId="14898" priority="854" stopIfTrue="1">
      <formula>AND(U124&gt;=8000,U124&lt;=9999)</formula>
    </cfRule>
    <cfRule type="expression" dxfId="14897" priority="855" stopIfTrue="1">
      <formula>AND(U124&gt;=78100,U124&lt;=78199)</formula>
    </cfRule>
    <cfRule type="expression" dxfId="14896" priority="856" stopIfTrue="1">
      <formula>AND(U124&gt;=92000,U124&lt;=98999)</formula>
    </cfRule>
    <cfRule type="expression" dxfId="14895" priority="857" stopIfTrue="1">
      <formula>AND(U124&gt;=78100,U124&lt;=78199)</formula>
    </cfRule>
    <cfRule type="expression" dxfId="14894" priority="858" stopIfTrue="1">
      <formula>AND(U124&gt;=91000,U124&lt;=91999)</formula>
    </cfRule>
  </conditionalFormatting>
  <conditionalFormatting sqref="T124">
    <cfRule type="expression" dxfId="14893" priority="837">
      <formula>AND(U124&gt;=79001,U124&lt;79900)</formula>
    </cfRule>
    <cfRule type="expression" dxfId="14892" priority="838" stopIfTrue="1">
      <formula>AND(U124&gt;=70101,U124&lt;=70301)</formula>
    </cfRule>
    <cfRule type="expression" dxfId="14891" priority="839" stopIfTrue="1">
      <formula>AND(U124&gt;70000,U124&lt;70004)</formula>
    </cfRule>
    <cfRule type="expression" dxfId="14890" priority="840" stopIfTrue="1">
      <formula>AND(U124&gt;=70010,U124&lt;=76000)</formula>
    </cfRule>
    <cfRule type="expression" dxfId="14889" priority="841">
      <formula>AND(U124&gt;70000,U124&lt;70004)</formula>
    </cfRule>
    <cfRule type="expression" dxfId="14888" priority="842" stopIfTrue="1">
      <formula>OR(AND(U124&gt;=10000,U124&lt;=56999),AND(U124&gt;=57000,U124&lt;=57999))</formula>
    </cfRule>
    <cfRule type="expression" dxfId="14887" priority="843" stopIfTrue="1">
      <formula>AND(U124&gt;=8000,U124&lt;=9999)</formula>
    </cfRule>
    <cfRule type="expression" dxfId="14886" priority="844" stopIfTrue="1">
      <formula>AND(U124&gt;=78100,U124&lt;=78199)</formula>
    </cfRule>
    <cfRule type="expression" dxfId="14885" priority="845" stopIfTrue="1">
      <formula>AND(U124&gt;=92000,U124&lt;=98999)</formula>
    </cfRule>
    <cfRule type="expression" dxfId="14884" priority="846" stopIfTrue="1">
      <formula>AND(U124&gt;=78100,U124&lt;=78199)</formula>
    </cfRule>
    <cfRule type="expression" dxfId="14883" priority="847" stopIfTrue="1">
      <formula>AND(U124&gt;=91000,U124&lt;=91999)</formula>
    </cfRule>
  </conditionalFormatting>
  <conditionalFormatting sqref="T133">
    <cfRule type="expression" dxfId="14882" priority="826">
      <formula>AND(U133&gt;=79001,U133&lt;79900)</formula>
    </cfRule>
    <cfRule type="expression" dxfId="14881" priority="827" stopIfTrue="1">
      <formula>AND(U133&gt;=70101,U133&lt;=70301)</formula>
    </cfRule>
    <cfRule type="expression" dxfId="14880" priority="828" stopIfTrue="1">
      <formula>AND(U133&gt;70000,U133&lt;70004)</formula>
    </cfRule>
    <cfRule type="expression" dxfId="14879" priority="829" stopIfTrue="1">
      <formula>AND(U133&gt;=70010,U133&lt;=76000)</formula>
    </cfRule>
    <cfRule type="expression" dxfId="14878" priority="830">
      <formula>AND(U133&gt;70000,U133&lt;70004)</formula>
    </cfRule>
    <cfRule type="expression" dxfId="14877" priority="831" stopIfTrue="1">
      <formula>OR(AND(U133&gt;=10000,U133&lt;=56999),AND(U133&gt;=57000,U133&lt;=57999))</formula>
    </cfRule>
    <cfRule type="expression" dxfId="14876" priority="832" stopIfTrue="1">
      <formula>AND(U133&gt;=8000,U133&lt;=9999)</formula>
    </cfRule>
    <cfRule type="expression" dxfId="14875" priority="833" stopIfTrue="1">
      <formula>AND(U133&gt;=78100,U133&lt;=78199)</formula>
    </cfRule>
    <cfRule type="expression" dxfId="14874" priority="834" stopIfTrue="1">
      <formula>AND(U133&gt;=92000,U133&lt;=98999)</formula>
    </cfRule>
    <cfRule type="expression" dxfId="14873" priority="835" stopIfTrue="1">
      <formula>AND(U133&gt;=78100,U133&lt;=78199)</formula>
    </cfRule>
    <cfRule type="expression" dxfId="14872" priority="836" stopIfTrue="1">
      <formula>AND(U133&gt;=91000,U133&lt;=91999)</formula>
    </cfRule>
  </conditionalFormatting>
  <conditionalFormatting sqref="T133">
    <cfRule type="expression" dxfId="14871" priority="815">
      <formula>AND(U133&gt;=79001,U133&lt;79900)</formula>
    </cfRule>
    <cfRule type="expression" dxfId="14870" priority="816" stopIfTrue="1">
      <formula>AND(U133&gt;=70101,U133&lt;=70301)</formula>
    </cfRule>
    <cfRule type="expression" dxfId="14869" priority="817" stopIfTrue="1">
      <formula>AND(U133&gt;70000,U133&lt;70004)</formula>
    </cfRule>
    <cfRule type="expression" dxfId="14868" priority="818" stopIfTrue="1">
      <formula>AND(U133&gt;=70010,U133&lt;=76000)</formula>
    </cfRule>
    <cfRule type="expression" dxfId="14867" priority="819">
      <formula>AND(U133&gt;70000,U133&lt;70004)</formula>
    </cfRule>
    <cfRule type="expression" dxfId="14866" priority="820" stopIfTrue="1">
      <formula>OR(AND(U133&gt;=10000,U133&lt;=56999),AND(U133&gt;=57000,U133&lt;=57999))</formula>
    </cfRule>
    <cfRule type="expression" dxfId="14865" priority="821" stopIfTrue="1">
      <formula>AND(U133&gt;=8000,U133&lt;=9999)</formula>
    </cfRule>
    <cfRule type="expression" dxfId="14864" priority="822" stopIfTrue="1">
      <formula>AND(U133&gt;=78100,U133&lt;=78199)</formula>
    </cfRule>
    <cfRule type="expression" dxfId="14863" priority="823" stopIfTrue="1">
      <formula>AND(U133&gt;=92000,U133&lt;=98999)</formula>
    </cfRule>
    <cfRule type="expression" dxfId="14862" priority="824" stopIfTrue="1">
      <formula>AND(U133&gt;=78100,U133&lt;=78199)</formula>
    </cfRule>
    <cfRule type="expression" dxfId="14861" priority="825" stopIfTrue="1">
      <formula>AND(U133&gt;=91000,U133&lt;=91999)</formula>
    </cfRule>
  </conditionalFormatting>
  <conditionalFormatting sqref="T133">
    <cfRule type="expression" dxfId="14860" priority="804">
      <formula>AND(U133&gt;=79001,U133&lt;79900)</formula>
    </cfRule>
    <cfRule type="expression" dxfId="14859" priority="805" stopIfTrue="1">
      <formula>AND(U133&gt;=70101,U133&lt;=70301)</formula>
    </cfRule>
    <cfRule type="expression" dxfId="14858" priority="806" stopIfTrue="1">
      <formula>AND(U133&gt;70000,U133&lt;70004)</formula>
    </cfRule>
    <cfRule type="expression" dxfId="14857" priority="807" stopIfTrue="1">
      <formula>AND(U133&gt;=70010,U133&lt;=76000)</formula>
    </cfRule>
    <cfRule type="expression" dxfId="14856" priority="808">
      <formula>AND(U133&gt;70000,U133&lt;70004)</formula>
    </cfRule>
    <cfRule type="expression" dxfId="14855" priority="809" stopIfTrue="1">
      <formula>OR(AND(U133&gt;=10000,U133&lt;=56999),AND(U133&gt;=57000,U133&lt;=57999))</formula>
    </cfRule>
    <cfRule type="expression" dxfId="14854" priority="810" stopIfTrue="1">
      <formula>AND(U133&gt;=8000,U133&lt;=9999)</formula>
    </cfRule>
    <cfRule type="expression" dxfId="14853" priority="811" stopIfTrue="1">
      <formula>AND(U133&gt;=78100,U133&lt;=78199)</formula>
    </cfRule>
    <cfRule type="expression" dxfId="14852" priority="812" stopIfTrue="1">
      <formula>AND(U133&gt;=92000,U133&lt;=98999)</formula>
    </cfRule>
    <cfRule type="expression" dxfId="14851" priority="813" stopIfTrue="1">
      <formula>AND(U133&gt;=78100,U133&lt;=78199)</formula>
    </cfRule>
    <cfRule type="expression" dxfId="14850" priority="814" stopIfTrue="1">
      <formula>AND(U133&gt;=91000,U133&lt;=91999)</formula>
    </cfRule>
  </conditionalFormatting>
  <conditionalFormatting sqref="T133">
    <cfRule type="expression" dxfId="14849" priority="793">
      <formula>AND(U133&gt;=79001,U133&lt;79900)</formula>
    </cfRule>
    <cfRule type="expression" dxfId="14848" priority="794" stopIfTrue="1">
      <formula>AND(U133&gt;=70101,U133&lt;=70301)</formula>
    </cfRule>
    <cfRule type="expression" dxfId="14847" priority="795" stopIfTrue="1">
      <formula>AND(U133&gt;70000,U133&lt;70004)</formula>
    </cfRule>
    <cfRule type="expression" dxfId="14846" priority="796" stopIfTrue="1">
      <formula>AND(U133&gt;=70010,U133&lt;=76000)</formula>
    </cfRule>
    <cfRule type="expression" dxfId="14845" priority="797">
      <formula>AND(U133&gt;70000,U133&lt;70004)</formula>
    </cfRule>
    <cfRule type="expression" dxfId="14844" priority="798" stopIfTrue="1">
      <formula>OR(AND(U133&gt;=10000,U133&lt;=56999),AND(U133&gt;=57000,U133&lt;=57999))</formula>
    </cfRule>
    <cfRule type="expression" dxfId="14843" priority="799" stopIfTrue="1">
      <formula>AND(U133&gt;=8000,U133&lt;=9999)</formula>
    </cfRule>
    <cfRule type="expression" dxfId="14842" priority="800" stopIfTrue="1">
      <formula>AND(U133&gt;=78100,U133&lt;=78199)</formula>
    </cfRule>
    <cfRule type="expression" dxfId="14841" priority="801" stopIfTrue="1">
      <formula>AND(U133&gt;=92000,U133&lt;=98999)</formula>
    </cfRule>
    <cfRule type="expression" dxfId="14840" priority="802" stopIfTrue="1">
      <formula>AND(U133&gt;=78100,U133&lt;=78199)</formula>
    </cfRule>
    <cfRule type="expression" dxfId="14839" priority="803" stopIfTrue="1">
      <formula>AND(U133&gt;=91000,U133&lt;=91999)</formula>
    </cfRule>
  </conditionalFormatting>
  <conditionalFormatting sqref="X124">
    <cfRule type="expression" dxfId="14838" priority="782">
      <formula>AND(Y124&gt;=79001,Y124&lt;79900)</formula>
    </cfRule>
    <cfRule type="expression" dxfId="14837" priority="783" stopIfTrue="1">
      <formula>AND(Y124&gt;=70101,Y124&lt;=70301)</formula>
    </cfRule>
    <cfRule type="expression" dxfId="14836" priority="784" stopIfTrue="1">
      <formula>AND(Y124&gt;70000,Y124&lt;70004)</formula>
    </cfRule>
    <cfRule type="expression" dxfId="14835" priority="785" stopIfTrue="1">
      <formula>AND(Y124&gt;=70010,Y124&lt;=76000)</formula>
    </cfRule>
    <cfRule type="expression" dxfId="14834" priority="786">
      <formula>AND(Y124&gt;70000,Y124&lt;70004)</formula>
    </cfRule>
    <cfRule type="expression" dxfId="14833" priority="787" stopIfTrue="1">
      <formula>OR(AND(Y124&gt;=10000,Y124&lt;=56999),AND(Y124&gt;=57000,Y124&lt;=57999))</formula>
    </cfRule>
    <cfRule type="expression" dxfId="14832" priority="788" stopIfTrue="1">
      <formula>AND(Y124&gt;=8000,Y124&lt;=9999)</formula>
    </cfRule>
    <cfRule type="expression" dxfId="14831" priority="789" stopIfTrue="1">
      <formula>AND(Y124&gt;=78100,Y124&lt;=78199)</formula>
    </cfRule>
    <cfRule type="expression" dxfId="14830" priority="790" stopIfTrue="1">
      <formula>AND(Y124&gt;=92000,Y124&lt;=98999)</formula>
    </cfRule>
    <cfRule type="expression" dxfId="14829" priority="791" stopIfTrue="1">
      <formula>AND(Y124&gt;=78100,Y124&lt;=78199)</formula>
    </cfRule>
    <cfRule type="expression" dxfId="14828" priority="792" stopIfTrue="1">
      <formula>AND(Y124&gt;=91000,Y124&lt;=91999)</formula>
    </cfRule>
  </conditionalFormatting>
  <conditionalFormatting sqref="X124">
    <cfRule type="expression" dxfId="14827" priority="771">
      <formula>AND(Y124&gt;=79001,Y124&lt;79900)</formula>
    </cfRule>
    <cfRule type="expression" dxfId="14826" priority="772" stopIfTrue="1">
      <formula>AND(Y124&gt;=70101,Y124&lt;=70301)</formula>
    </cfRule>
    <cfRule type="expression" dxfId="14825" priority="773" stopIfTrue="1">
      <formula>AND(Y124&gt;70000,Y124&lt;70004)</formula>
    </cfRule>
    <cfRule type="expression" dxfId="14824" priority="774" stopIfTrue="1">
      <formula>AND(Y124&gt;=70010,Y124&lt;=76000)</formula>
    </cfRule>
    <cfRule type="expression" dxfId="14823" priority="775">
      <formula>AND(Y124&gt;70000,Y124&lt;70004)</formula>
    </cfRule>
    <cfRule type="expression" dxfId="14822" priority="776" stopIfTrue="1">
      <formula>OR(AND(Y124&gt;=10000,Y124&lt;=56999),AND(Y124&gt;=57000,Y124&lt;=57999))</formula>
    </cfRule>
    <cfRule type="expression" dxfId="14821" priority="777" stopIfTrue="1">
      <formula>AND(Y124&gt;=8000,Y124&lt;=9999)</formula>
    </cfRule>
    <cfRule type="expression" dxfId="14820" priority="778" stopIfTrue="1">
      <formula>AND(Y124&gt;=78100,Y124&lt;=78199)</formula>
    </cfRule>
    <cfRule type="expression" dxfId="14819" priority="779" stopIfTrue="1">
      <formula>AND(Y124&gt;=92000,Y124&lt;=98999)</formula>
    </cfRule>
    <cfRule type="expression" dxfId="14818" priority="780" stopIfTrue="1">
      <formula>AND(Y124&gt;=78100,Y124&lt;=78199)</formula>
    </cfRule>
    <cfRule type="expression" dxfId="14817" priority="781" stopIfTrue="1">
      <formula>AND(Y124&gt;=91000,Y124&lt;=91999)</formula>
    </cfRule>
  </conditionalFormatting>
  <conditionalFormatting sqref="X124">
    <cfRule type="expression" dxfId="14816" priority="760">
      <formula>AND(Y124&gt;=79001,Y124&lt;79900)</formula>
    </cfRule>
    <cfRule type="expression" dxfId="14815" priority="761" stopIfTrue="1">
      <formula>AND(Y124&gt;=70101,Y124&lt;=70301)</formula>
    </cfRule>
    <cfRule type="expression" dxfId="14814" priority="762" stopIfTrue="1">
      <formula>AND(Y124&gt;70000,Y124&lt;70004)</formula>
    </cfRule>
    <cfRule type="expression" dxfId="14813" priority="763" stopIfTrue="1">
      <formula>AND(Y124&gt;=70010,Y124&lt;=76000)</formula>
    </cfRule>
    <cfRule type="expression" dxfId="14812" priority="764">
      <formula>AND(Y124&gt;70000,Y124&lt;70004)</formula>
    </cfRule>
    <cfRule type="expression" dxfId="14811" priority="765" stopIfTrue="1">
      <formula>OR(AND(Y124&gt;=10000,Y124&lt;=56999),AND(Y124&gt;=57000,Y124&lt;=57999))</formula>
    </cfRule>
    <cfRule type="expression" dxfId="14810" priority="766" stopIfTrue="1">
      <formula>AND(Y124&gt;=8000,Y124&lt;=9999)</formula>
    </cfRule>
    <cfRule type="expression" dxfId="14809" priority="767" stopIfTrue="1">
      <formula>AND(Y124&gt;=78100,Y124&lt;=78199)</formula>
    </cfRule>
    <cfRule type="expression" dxfId="14808" priority="768" stopIfTrue="1">
      <formula>AND(Y124&gt;=92000,Y124&lt;=98999)</formula>
    </cfRule>
    <cfRule type="expression" dxfId="14807" priority="769" stopIfTrue="1">
      <formula>AND(Y124&gt;=78100,Y124&lt;=78199)</formula>
    </cfRule>
    <cfRule type="expression" dxfId="14806" priority="770" stopIfTrue="1">
      <formula>AND(Y124&gt;=91000,Y124&lt;=91999)</formula>
    </cfRule>
  </conditionalFormatting>
  <conditionalFormatting sqref="X124">
    <cfRule type="expression" dxfId="14805" priority="749">
      <formula>AND(Y124&gt;=79001,Y124&lt;79900)</formula>
    </cfRule>
    <cfRule type="expression" dxfId="14804" priority="750" stopIfTrue="1">
      <formula>AND(Y124&gt;=70101,Y124&lt;=70301)</formula>
    </cfRule>
    <cfRule type="expression" dxfId="14803" priority="751" stopIfTrue="1">
      <formula>AND(Y124&gt;70000,Y124&lt;70004)</formula>
    </cfRule>
    <cfRule type="expression" dxfId="14802" priority="752" stopIfTrue="1">
      <formula>AND(Y124&gt;=70010,Y124&lt;=76000)</formula>
    </cfRule>
    <cfRule type="expression" dxfId="14801" priority="753">
      <formula>AND(Y124&gt;70000,Y124&lt;70004)</formula>
    </cfRule>
    <cfRule type="expression" dxfId="14800" priority="754" stopIfTrue="1">
      <formula>OR(AND(Y124&gt;=10000,Y124&lt;=56999),AND(Y124&gt;=57000,Y124&lt;=57999))</formula>
    </cfRule>
    <cfRule type="expression" dxfId="14799" priority="755" stopIfTrue="1">
      <formula>AND(Y124&gt;=8000,Y124&lt;=9999)</formula>
    </cfRule>
    <cfRule type="expression" dxfId="14798" priority="756" stopIfTrue="1">
      <formula>AND(Y124&gt;=78100,Y124&lt;=78199)</formula>
    </cfRule>
    <cfRule type="expression" dxfId="14797" priority="757" stopIfTrue="1">
      <formula>AND(Y124&gt;=92000,Y124&lt;=98999)</formula>
    </cfRule>
    <cfRule type="expression" dxfId="14796" priority="758" stopIfTrue="1">
      <formula>AND(Y124&gt;=78100,Y124&lt;=78199)</formula>
    </cfRule>
    <cfRule type="expression" dxfId="14795" priority="759" stopIfTrue="1">
      <formula>AND(Y124&gt;=91000,Y124&lt;=91999)</formula>
    </cfRule>
  </conditionalFormatting>
  <conditionalFormatting sqref="AB124">
    <cfRule type="expression" dxfId="14794" priority="738">
      <formula>AND(AC124&gt;=79001,AC124&lt;79900)</formula>
    </cfRule>
    <cfRule type="expression" dxfId="14793" priority="739" stopIfTrue="1">
      <formula>AND(AC124&gt;=70101,AC124&lt;=70301)</formula>
    </cfRule>
    <cfRule type="expression" dxfId="14792" priority="740" stopIfTrue="1">
      <formula>AND(AC124&gt;70000,AC124&lt;70004)</formula>
    </cfRule>
    <cfRule type="expression" dxfId="14791" priority="741" stopIfTrue="1">
      <formula>AND(AC124&gt;=70010,AC124&lt;=76000)</formula>
    </cfRule>
    <cfRule type="expression" dxfId="14790" priority="742">
      <formula>AND(AC124&gt;70000,AC124&lt;70004)</formula>
    </cfRule>
    <cfRule type="expression" dxfId="14789" priority="743" stopIfTrue="1">
      <formula>OR(AND(AC124&gt;=10000,AC124&lt;=56999),AND(AC124&gt;=57000,AC124&lt;=57999))</formula>
    </cfRule>
    <cfRule type="expression" dxfId="14788" priority="744" stopIfTrue="1">
      <formula>AND(AC124&gt;=8000,AC124&lt;=9999)</formula>
    </cfRule>
    <cfRule type="expression" dxfId="14787" priority="745" stopIfTrue="1">
      <formula>AND(AC124&gt;=78100,AC124&lt;=78199)</formula>
    </cfRule>
    <cfRule type="expression" dxfId="14786" priority="746" stopIfTrue="1">
      <formula>AND(AC124&gt;=92000,AC124&lt;=98999)</formula>
    </cfRule>
    <cfRule type="expression" dxfId="14785" priority="747" stopIfTrue="1">
      <formula>AND(AC124&gt;=78100,AC124&lt;=78199)</formula>
    </cfRule>
    <cfRule type="expression" dxfId="14784" priority="748" stopIfTrue="1">
      <formula>AND(AC124&gt;=91000,AC124&lt;=91999)</formula>
    </cfRule>
  </conditionalFormatting>
  <conditionalFormatting sqref="AB124">
    <cfRule type="expression" dxfId="14783" priority="727">
      <formula>AND(AC124&gt;=79001,AC124&lt;79900)</formula>
    </cfRule>
    <cfRule type="expression" dxfId="14782" priority="728" stopIfTrue="1">
      <formula>AND(AC124&gt;=70101,AC124&lt;=70301)</formula>
    </cfRule>
    <cfRule type="expression" dxfId="14781" priority="729" stopIfTrue="1">
      <formula>AND(AC124&gt;70000,AC124&lt;70004)</formula>
    </cfRule>
    <cfRule type="expression" dxfId="14780" priority="730" stopIfTrue="1">
      <formula>AND(AC124&gt;=70010,AC124&lt;=76000)</formula>
    </cfRule>
    <cfRule type="expression" dxfId="14779" priority="731">
      <formula>AND(AC124&gt;70000,AC124&lt;70004)</formula>
    </cfRule>
    <cfRule type="expression" dxfId="14778" priority="732" stopIfTrue="1">
      <formula>OR(AND(AC124&gt;=10000,AC124&lt;=56999),AND(AC124&gt;=57000,AC124&lt;=57999))</formula>
    </cfRule>
    <cfRule type="expression" dxfId="14777" priority="733" stopIfTrue="1">
      <formula>AND(AC124&gt;=8000,AC124&lt;=9999)</formula>
    </cfRule>
    <cfRule type="expression" dxfId="14776" priority="734" stopIfTrue="1">
      <formula>AND(AC124&gt;=78100,AC124&lt;=78199)</formula>
    </cfRule>
    <cfRule type="expression" dxfId="14775" priority="735" stopIfTrue="1">
      <formula>AND(AC124&gt;=92000,AC124&lt;=98999)</formula>
    </cfRule>
    <cfRule type="expression" dxfId="14774" priority="736" stopIfTrue="1">
      <formula>AND(AC124&gt;=78100,AC124&lt;=78199)</formula>
    </cfRule>
    <cfRule type="expression" dxfId="14773" priority="737" stopIfTrue="1">
      <formula>AND(AC124&gt;=91000,AC124&lt;=91999)</formula>
    </cfRule>
  </conditionalFormatting>
  <conditionalFormatting sqref="AB124">
    <cfRule type="expression" dxfId="14772" priority="716">
      <formula>AND(AC124&gt;=79001,AC124&lt;79900)</formula>
    </cfRule>
    <cfRule type="expression" dxfId="14771" priority="717" stopIfTrue="1">
      <formula>AND(AC124&gt;=70101,AC124&lt;=70301)</formula>
    </cfRule>
    <cfRule type="expression" dxfId="14770" priority="718" stopIfTrue="1">
      <formula>AND(AC124&gt;70000,AC124&lt;70004)</formula>
    </cfRule>
    <cfRule type="expression" dxfId="14769" priority="719" stopIfTrue="1">
      <formula>AND(AC124&gt;=70010,AC124&lt;=76000)</formula>
    </cfRule>
    <cfRule type="expression" dxfId="14768" priority="720">
      <formula>AND(AC124&gt;70000,AC124&lt;70004)</formula>
    </cfRule>
    <cfRule type="expression" dxfId="14767" priority="721" stopIfTrue="1">
      <formula>OR(AND(AC124&gt;=10000,AC124&lt;=56999),AND(AC124&gt;=57000,AC124&lt;=57999))</formula>
    </cfRule>
    <cfRule type="expression" dxfId="14766" priority="722" stopIfTrue="1">
      <formula>AND(AC124&gt;=8000,AC124&lt;=9999)</formula>
    </cfRule>
    <cfRule type="expression" dxfId="14765" priority="723" stopIfTrue="1">
      <formula>AND(AC124&gt;=78100,AC124&lt;=78199)</formula>
    </cfRule>
    <cfRule type="expression" dxfId="14764" priority="724" stopIfTrue="1">
      <formula>AND(AC124&gt;=92000,AC124&lt;=98999)</formula>
    </cfRule>
    <cfRule type="expression" dxfId="14763" priority="725" stopIfTrue="1">
      <formula>AND(AC124&gt;=78100,AC124&lt;=78199)</formula>
    </cfRule>
    <cfRule type="expression" dxfId="14762" priority="726" stopIfTrue="1">
      <formula>AND(AC124&gt;=91000,AC124&lt;=91999)</formula>
    </cfRule>
  </conditionalFormatting>
  <conditionalFormatting sqref="AB124">
    <cfRule type="expression" dxfId="14761" priority="705">
      <formula>AND(AC124&gt;=79001,AC124&lt;79900)</formula>
    </cfRule>
    <cfRule type="expression" dxfId="14760" priority="706" stopIfTrue="1">
      <formula>AND(AC124&gt;=70101,AC124&lt;=70301)</formula>
    </cfRule>
    <cfRule type="expression" dxfId="14759" priority="707" stopIfTrue="1">
      <formula>AND(AC124&gt;70000,AC124&lt;70004)</formula>
    </cfRule>
    <cfRule type="expression" dxfId="14758" priority="708" stopIfTrue="1">
      <formula>AND(AC124&gt;=70010,AC124&lt;=76000)</formula>
    </cfRule>
    <cfRule type="expression" dxfId="14757" priority="709">
      <formula>AND(AC124&gt;70000,AC124&lt;70004)</formula>
    </cfRule>
    <cfRule type="expression" dxfId="14756" priority="710" stopIfTrue="1">
      <formula>OR(AND(AC124&gt;=10000,AC124&lt;=56999),AND(AC124&gt;=57000,AC124&lt;=57999))</formula>
    </cfRule>
    <cfRule type="expression" dxfId="14755" priority="711" stopIfTrue="1">
      <formula>AND(AC124&gt;=8000,AC124&lt;=9999)</formula>
    </cfRule>
    <cfRule type="expression" dxfId="14754" priority="712" stopIfTrue="1">
      <formula>AND(AC124&gt;=78100,AC124&lt;=78199)</formula>
    </cfRule>
    <cfRule type="expression" dxfId="14753" priority="713" stopIfTrue="1">
      <formula>AND(AC124&gt;=92000,AC124&lt;=98999)</formula>
    </cfRule>
    <cfRule type="expression" dxfId="14752" priority="714" stopIfTrue="1">
      <formula>AND(AC124&gt;=78100,AC124&lt;=78199)</formula>
    </cfRule>
    <cfRule type="expression" dxfId="14751" priority="715" stopIfTrue="1">
      <formula>AND(AC124&gt;=91000,AC124&lt;=91999)</formula>
    </cfRule>
  </conditionalFormatting>
  <conditionalFormatting sqref="AF124">
    <cfRule type="expression" dxfId="14750" priority="694">
      <formula>AND(AG124&gt;=79001,AG124&lt;79900)</formula>
    </cfRule>
    <cfRule type="expression" dxfId="14749" priority="695" stopIfTrue="1">
      <formula>AND(AG124&gt;=70101,AG124&lt;=70301)</formula>
    </cfRule>
    <cfRule type="expression" dxfId="14748" priority="696" stopIfTrue="1">
      <formula>AND(AG124&gt;70000,AG124&lt;70004)</formula>
    </cfRule>
    <cfRule type="expression" dxfId="14747" priority="697" stopIfTrue="1">
      <formula>AND(AG124&gt;=70010,AG124&lt;=76000)</formula>
    </cfRule>
    <cfRule type="expression" dxfId="14746" priority="698">
      <formula>AND(AG124&gt;70000,AG124&lt;70004)</formula>
    </cfRule>
    <cfRule type="expression" dxfId="14745" priority="699" stopIfTrue="1">
      <formula>OR(AND(AG124&gt;=10000,AG124&lt;=56999),AND(AG124&gt;=57000,AG124&lt;=57999))</formula>
    </cfRule>
    <cfRule type="expression" dxfId="14744" priority="700" stopIfTrue="1">
      <formula>AND(AG124&gt;=8000,AG124&lt;=9999)</formula>
    </cfRule>
    <cfRule type="expression" dxfId="14743" priority="701" stopIfTrue="1">
      <formula>AND(AG124&gt;=78100,AG124&lt;=78199)</formula>
    </cfRule>
    <cfRule type="expression" dxfId="14742" priority="702" stopIfTrue="1">
      <formula>AND(AG124&gt;=92000,AG124&lt;=98999)</formula>
    </cfRule>
    <cfRule type="expression" dxfId="14741" priority="703" stopIfTrue="1">
      <formula>AND(AG124&gt;=78100,AG124&lt;=78199)</formula>
    </cfRule>
    <cfRule type="expression" dxfId="14740" priority="704" stopIfTrue="1">
      <formula>AND(AG124&gt;=91000,AG124&lt;=91999)</formula>
    </cfRule>
  </conditionalFormatting>
  <conditionalFormatting sqref="AF124">
    <cfRule type="expression" dxfId="14739" priority="683">
      <formula>AND(AG124&gt;=79001,AG124&lt;79900)</formula>
    </cfRule>
    <cfRule type="expression" dxfId="14738" priority="684" stopIfTrue="1">
      <formula>AND(AG124&gt;=70101,AG124&lt;=70301)</formula>
    </cfRule>
    <cfRule type="expression" dxfId="14737" priority="685" stopIfTrue="1">
      <formula>AND(AG124&gt;70000,AG124&lt;70004)</formula>
    </cfRule>
    <cfRule type="expression" dxfId="14736" priority="686" stopIfTrue="1">
      <formula>AND(AG124&gt;=70010,AG124&lt;=76000)</formula>
    </cfRule>
    <cfRule type="expression" dxfId="14735" priority="687">
      <formula>AND(AG124&gt;70000,AG124&lt;70004)</formula>
    </cfRule>
    <cfRule type="expression" dxfId="14734" priority="688" stopIfTrue="1">
      <formula>OR(AND(AG124&gt;=10000,AG124&lt;=56999),AND(AG124&gt;=57000,AG124&lt;=57999))</formula>
    </cfRule>
    <cfRule type="expression" dxfId="14733" priority="689" stopIfTrue="1">
      <formula>AND(AG124&gt;=8000,AG124&lt;=9999)</formula>
    </cfRule>
    <cfRule type="expression" dxfId="14732" priority="690" stopIfTrue="1">
      <formula>AND(AG124&gt;=78100,AG124&lt;=78199)</formula>
    </cfRule>
    <cfRule type="expression" dxfId="14731" priority="691" stopIfTrue="1">
      <formula>AND(AG124&gt;=92000,AG124&lt;=98999)</formula>
    </cfRule>
    <cfRule type="expression" dxfId="14730" priority="692" stopIfTrue="1">
      <formula>AND(AG124&gt;=78100,AG124&lt;=78199)</formula>
    </cfRule>
    <cfRule type="expression" dxfId="14729" priority="693" stopIfTrue="1">
      <formula>AND(AG124&gt;=91000,AG124&lt;=91999)</formula>
    </cfRule>
  </conditionalFormatting>
  <conditionalFormatting sqref="AF124">
    <cfRule type="expression" dxfId="14728" priority="672">
      <formula>AND(AG124&gt;=79001,AG124&lt;79900)</formula>
    </cfRule>
    <cfRule type="expression" dxfId="14727" priority="673" stopIfTrue="1">
      <formula>AND(AG124&gt;=70101,AG124&lt;=70301)</formula>
    </cfRule>
    <cfRule type="expression" dxfId="14726" priority="674" stopIfTrue="1">
      <formula>AND(AG124&gt;70000,AG124&lt;70004)</formula>
    </cfRule>
    <cfRule type="expression" dxfId="14725" priority="675" stopIfTrue="1">
      <formula>AND(AG124&gt;=70010,AG124&lt;=76000)</formula>
    </cfRule>
    <cfRule type="expression" dxfId="14724" priority="676">
      <formula>AND(AG124&gt;70000,AG124&lt;70004)</formula>
    </cfRule>
    <cfRule type="expression" dxfId="14723" priority="677" stopIfTrue="1">
      <formula>OR(AND(AG124&gt;=10000,AG124&lt;=56999),AND(AG124&gt;=57000,AG124&lt;=57999))</formula>
    </cfRule>
    <cfRule type="expression" dxfId="14722" priority="678" stopIfTrue="1">
      <formula>AND(AG124&gt;=8000,AG124&lt;=9999)</formula>
    </cfRule>
    <cfRule type="expression" dxfId="14721" priority="679" stopIfTrue="1">
      <formula>AND(AG124&gt;=78100,AG124&lt;=78199)</formula>
    </cfRule>
    <cfRule type="expression" dxfId="14720" priority="680" stopIfTrue="1">
      <formula>AND(AG124&gt;=92000,AG124&lt;=98999)</formula>
    </cfRule>
    <cfRule type="expression" dxfId="14719" priority="681" stopIfTrue="1">
      <formula>AND(AG124&gt;=78100,AG124&lt;=78199)</formula>
    </cfRule>
    <cfRule type="expression" dxfId="14718" priority="682" stopIfTrue="1">
      <formula>AND(AG124&gt;=91000,AG124&lt;=91999)</formula>
    </cfRule>
  </conditionalFormatting>
  <conditionalFormatting sqref="AF124">
    <cfRule type="expression" dxfId="14717" priority="661">
      <formula>AND(AG124&gt;=79001,AG124&lt;79900)</formula>
    </cfRule>
    <cfRule type="expression" dxfId="14716" priority="662" stopIfTrue="1">
      <formula>AND(AG124&gt;=70101,AG124&lt;=70301)</formula>
    </cfRule>
    <cfRule type="expression" dxfId="14715" priority="663" stopIfTrue="1">
      <formula>AND(AG124&gt;70000,AG124&lt;70004)</formula>
    </cfRule>
    <cfRule type="expression" dxfId="14714" priority="664" stopIfTrue="1">
      <formula>AND(AG124&gt;=70010,AG124&lt;=76000)</formula>
    </cfRule>
    <cfRule type="expression" dxfId="14713" priority="665">
      <formula>AND(AG124&gt;70000,AG124&lt;70004)</formula>
    </cfRule>
    <cfRule type="expression" dxfId="14712" priority="666" stopIfTrue="1">
      <formula>OR(AND(AG124&gt;=10000,AG124&lt;=56999),AND(AG124&gt;=57000,AG124&lt;=57999))</formula>
    </cfRule>
    <cfRule type="expression" dxfId="14711" priority="667" stopIfTrue="1">
      <formula>AND(AG124&gt;=8000,AG124&lt;=9999)</formula>
    </cfRule>
    <cfRule type="expression" dxfId="14710" priority="668" stopIfTrue="1">
      <formula>AND(AG124&gt;=78100,AG124&lt;=78199)</formula>
    </cfRule>
    <cfRule type="expression" dxfId="14709" priority="669" stopIfTrue="1">
      <formula>AND(AG124&gt;=92000,AG124&lt;=98999)</formula>
    </cfRule>
    <cfRule type="expression" dxfId="14708" priority="670" stopIfTrue="1">
      <formula>AND(AG124&gt;=78100,AG124&lt;=78199)</formula>
    </cfRule>
    <cfRule type="expression" dxfId="14707" priority="671" stopIfTrue="1">
      <formula>AND(AG124&gt;=91000,AG124&lt;=91999)</formula>
    </cfRule>
  </conditionalFormatting>
  <conditionalFormatting sqref="T127">
    <cfRule type="expression" dxfId="14706" priority="650">
      <formula>AND(U127&gt;=79001,U127&lt;79900)</formula>
    </cfRule>
    <cfRule type="expression" dxfId="14705" priority="651" stopIfTrue="1">
      <formula>AND(U127&gt;=70101,U127&lt;=70301)</formula>
    </cfRule>
    <cfRule type="expression" dxfId="14704" priority="652" stopIfTrue="1">
      <formula>AND(U127&gt;70000,U127&lt;70004)</formula>
    </cfRule>
    <cfRule type="expression" dxfId="14703" priority="653" stopIfTrue="1">
      <formula>AND(U127&gt;=70010,U127&lt;=76000)</formula>
    </cfRule>
    <cfRule type="expression" dxfId="14702" priority="654">
      <formula>AND(U127&gt;70000,U127&lt;70004)</formula>
    </cfRule>
    <cfRule type="expression" dxfId="14701" priority="655" stopIfTrue="1">
      <formula>OR(AND(U127&gt;=10000,U127&lt;=56999),AND(U127&gt;=57000,U127&lt;=57999))</formula>
    </cfRule>
    <cfRule type="expression" dxfId="14700" priority="656" stopIfTrue="1">
      <formula>AND(U127&gt;=8000,U127&lt;=9999)</formula>
    </cfRule>
    <cfRule type="expression" dxfId="14699" priority="657" stopIfTrue="1">
      <formula>AND(U127&gt;=78100,U127&lt;=78199)</formula>
    </cfRule>
    <cfRule type="expression" dxfId="14698" priority="658" stopIfTrue="1">
      <formula>AND(U127&gt;=92000,U127&lt;=98999)</formula>
    </cfRule>
    <cfRule type="expression" dxfId="14697" priority="659" stopIfTrue="1">
      <formula>AND(U127&gt;=78100,U127&lt;=78199)</formula>
    </cfRule>
    <cfRule type="expression" dxfId="14696" priority="660" stopIfTrue="1">
      <formula>AND(U127&gt;=91000,U127&lt;=91999)</formula>
    </cfRule>
  </conditionalFormatting>
  <conditionalFormatting sqref="T127">
    <cfRule type="expression" dxfId="14695" priority="639">
      <formula>AND(U127&gt;=79001,U127&lt;79900)</formula>
    </cfRule>
    <cfRule type="expression" dxfId="14694" priority="640" stopIfTrue="1">
      <formula>AND(U127&gt;=70101,U127&lt;=70301)</formula>
    </cfRule>
    <cfRule type="expression" dxfId="14693" priority="641" stopIfTrue="1">
      <formula>AND(U127&gt;70000,U127&lt;70004)</formula>
    </cfRule>
    <cfRule type="expression" dxfId="14692" priority="642" stopIfTrue="1">
      <formula>AND(U127&gt;=70010,U127&lt;=76000)</formula>
    </cfRule>
    <cfRule type="expression" dxfId="14691" priority="643">
      <formula>AND(U127&gt;70000,U127&lt;70004)</formula>
    </cfRule>
    <cfRule type="expression" dxfId="14690" priority="644" stopIfTrue="1">
      <formula>OR(AND(U127&gt;=10000,U127&lt;=56999),AND(U127&gt;=57000,U127&lt;=57999))</formula>
    </cfRule>
    <cfRule type="expression" dxfId="14689" priority="645" stopIfTrue="1">
      <formula>AND(U127&gt;=8000,U127&lt;=9999)</formula>
    </cfRule>
    <cfRule type="expression" dxfId="14688" priority="646" stopIfTrue="1">
      <formula>AND(U127&gt;=78100,U127&lt;=78199)</formula>
    </cfRule>
    <cfRule type="expression" dxfId="14687" priority="647" stopIfTrue="1">
      <formula>AND(U127&gt;=92000,U127&lt;=98999)</formula>
    </cfRule>
    <cfRule type="expression" dxfId="14686" priority="648" stopIfTrue="1">
      <formula>AND(U127&gt;=78100,U127&lt;=78199)</formula>
    </cfRule>
    <cfRule type="expression" dxfId="14685" priority="649" stopIfTrue="1">
      <formula>AND(U127&gt;=91000,U127&lt;=91999)</formula>
    </cfRule>
  </conditionalFormatting>
  <conditionalFormatting sqref="T127">
    <cfRule type="expression" dxfId="14684" priority="628">
      <formula>AND(U127&gt;=79001,U127&lt;79900)</formula>
    </cfRule>
    <cfRule type="expression" dxfId="14683" priority="629" stopIfTrue="1">
      <formula>AND(U127&gt;=70101,U127&lt;=70301)</formula>
    </cfRule>
    <cfRule type="expression" dxfId="14682" priority="630" stopIfTrue="1">
      <formula>AND(U127&gt;70000,U127&lt;70004)</formula>
    </cfRule>
    <cfRule type="expression" dxfId="14681" priority="631" stopIfTrue="1">
      <formula>AND(U127&gt;=70010,U127&lt;=76000)</formula>
    </cfRule>
    <cfRule type="expression" dxfId="14680" priority="632">
      <formula>AND(U127&gt;70000,U127&lt;70004)</formula>
    </cfRule>
    <cfRule type="expression" dxfId="14679" priority="633" stopIfTrue="1">
      <formula>OR(AND(U127&gt;=10000,U127&lt;=56999),AND(U127&gt;=57000,U127&lt;=57999))</formula>
    </cfRule>
    <cfRule type="expression" dxfId="14678" priority="634" stopIfTrue="1">
      <formula>AND(U127&gt;=8000,U127&lt;=9999)</formula>
    </cfRule>
    <cfRule type="expression" dxfId="14677" priority="635" stopIfTrue="1">
      <formula>AND(U127&gt;=78100,U127&lt;=78199)</formula>
    </cfRule>
    <cfRule type="expression" dxfId="14676" priority="636" stopIfTrue="1">
      <formula>AND(U127&gt;=92000,U127&lt;=98999)</formula>
    </cfRule>
    <cfRule type="expression" dxfId="14675" priority="637" stopIfTrue="1">
      <formula>AND(U127&gt;=78100,U127&lt;=78199)</formula>
    </cfRule>
    <cfRule type="expression" dxfId="14674" priority="638" stopIfTrue="1">
      <formula>AND(U127&gt;=91000,U127&lt;=91999)</formula>
    </cfRule>
  </conditionalFormatting>
  <conditionalFormatting sqref="T127">
    <cfRule type="expression" dxfId="14673" priority="617">
      <formula>AND(U127&gt;=79001,U127&lt;79900)</formula>
    </cfRule>
    <cfRule type="expression" dxfId="14672" priority="618" stopIfTrue="1">
      <formula>AND(U127&gt;=70101,U127&lt;=70301)</formula>
    </cfRule>
    <cfRule type="expression" dxfId="14671" priority="619" stopIfTrue="1">
      <formula>AND(U127&gt;70000,U127&lt;70004)</formula>
    </cfRule>
    <cfRule type="expression" dxfId="14670" priority="620" stopIfTrue="1">
      <formula>AND(U127&gt;=70010,U127&lt;=76000)</formula>
    </cfRule>
    <cfRule type="expression" dxfId="14669" priority="621">
      <formula>AND(U127&gt;70000,U127&lt;70004)</formula>
    </cfRule>
    <cfRule type="expression" dxfId="14668" priority="622" stopIfTrue="1">
      <formula>OR(AND(U127&gt;=10000,U127&lt;=56999),AND(U127&gt;=57000,U127&lt;=57999))</formula>
    </cfRule>
    <cfRule type="expression" dxfId="14667" priority="623" stopIfTrue="1">
      <formula>AND(U127&gt;=8000,U127&lt;=9999)</formula>
    </cfRule>
    <cfRule type="expression" dxfId="14666" priority="624" stopIfTrue="1">
      <formula>AND(U127&gt;=78100,U127&lt;=78199)</formula>
    </cfRule>
    <cfRule type="expression" dxfId="14665" priority="625" stopIfTrue="1">
      <formula>AND(U127&gt;=92000,U127&lt;=98999)</formula>
    </cfRule>
    <cfRule type="expression" dxfId="14664" priority="626" stopIfTrue="1">
      <formula>AND(U127&gt;=78100,U127&lt;=78199)</formula>
    </cfRule>
    <cfRule type="expression" dxfId="14663" priority="627" stopIfTrue="1">
      <formula>AND(U127&gt;=91000,U127&lt;=91999)</formula>
    </cfRule>
  </conditionalFormatting>
  <conditionalFormatting sqref="X127">
    <cfRule type="expression" dxfId="14662" priority="606">
      <formula>AND(Y127&gt;=79001,Y127&lt;79900)</formula>
    </cfRule>
    <cfRule type="expression" dxfId="14661" priority="607" stopIfTrue="1">
      <formula>AND(Y127&gt;=70101,Y127&lt;=70301)</formula>
    </cfRule>
    <cfRule type="expression" dxfId="14660" priority="608" stopIfTrue="1">
      <formula>AND(Y127&gt;70000,Y127&lt;70004)</formula>
    </cfRule>
    <cfRule type="expression" dxfId="14659" priority="609" stopIfTrue="1">
      <formula>AND(Y127&gt;=70010,Y127&lt;=76000)</formula>
    </cfRule>
    <cfRule type="expression" dxfId="14658" priority="610">
      <formula>AND(Y127&gt;70000,Y127&lt;70004)</formula>
    </cfRule>
    <cfRule type="expression" dxfId="14657" priority="611" stopIfTrue="1">
      <formula>OR(AND(Y127&gt;=10000,Y127&lt;=56999),AND(Y127&gt;=57000,Y127&lt;=57999))</formula>
    </cfRule>
    <cfRule type="expression" dxfId="14656" priority="612" stopIfTrue="1">
      <formula>AND(Y127&gt;=8000,Y127&lt;=9999)</formula>
    </cfRule>
    <cfRule type="expression" dxfId="14655" priority="613" stopIfTrue="1">
      <formula>AND(Y127&gt;=78100,Y127&lt;=78199)</formula>
    </cfRule>
    <cfRule type="expression" dxfId="14654" priority="614" stopIfTrue="1">
      <formula>AND(Y127&gt;=92000,Y127&lt;=98999)</formula>
    </cfRule>
    <cfRule type="expression" dxfId="14653" priority="615" stopIfTrue="1">
      <formula>AND(Y127&gt;=78100,Y127&lt;=78199)</formula>
    </cfRule>
    <cfRule type="expression" dxfId="14652" priority="616" stopIfTrue="1">
      <formula>AND(Y127&gt;=91000,Y127&lt;=91999)</formula>
    </cfRule>
  </conditionalFormatting>
  <conditionalFormatting sqref="X127">
    <cfRule type="expression" dxfId="14651" priority="595">
      <formula>AND(Y127&gt;=79001,Y127&lt;79900)</formula>
    </cfRule>
    <cfRule type="expression" dxfId="14650" priority="596" stopIfTrue="1">
      <formula>AND(Y127&gt;=70101,Y127&lt;=70301)</formula>
    </cfRule>
    <cfRule type="expression" dxfId="14649" priority="597" stopIfTrue="1">
      <formula>AND(Y127&gt;70000,Y127&lt;70004)</formula>
    </cfRule>
    <cfRule type="expression" dxfId="14648" priority="598" stopIfTrue="1">
      <formula>AND(Y127&gt;=70010,Y127&lt;=76000)</formula>
    </cfRule>
    <cfRule type="expression" dxfId="14647" priority="599">
      <formula>AND(Y127&gt;70000,Y127&lt;70004)</formula>
    </cfRule>
    <cfRule type="expression" dxfId="14646" priority="600" stopIfTrue="1">
      <formula>OR(AND(Y127&gt;=10000,Y127&lt;=56999),AND(Y127&gt;=57000,Y127&lt;=57999))</formula>
    </cfRule>
    <cfRule type="expression" dxfId="14645" priority="601" stopIfTrue="1">
      <formula>AND(Y127&gt;=8000,Y127&lt;=9999)</formula>
    </cfRule>
    <cfRule type="expression" dxfId="14644" priority="602" stopIfTrue="1">
      <formula>AND(Y127&gt;=78100,Y127&lt;=78199)</formula>
    </cfRule>
    <cfRule type="expression" dxfId="14643" priority="603" stopIfTrue="1">
      <formula>AND(Y127&gt;=92000,Y127&lt;=98999)</formula>
    </cfRule>
    <cfRule type="expression" dxfId="14642" priority="604" stopIfTrue="1">
      <formula>AND(Y127&gt;=78100,Y127&lt;=78199)</formula>
    </cfRule>
    <cfRule type="expression" dxfId="14641" priority="605" stopIfTrue="1">
      <formula>AND(Y127&gt;=91000,Y127&lt;=91999)</formula>
    </cfRule>
  </conditionalFormatting>
  <conditionalFormatting sqref="X127">
    <cfRule type="expression" dxfId="14640" priority="584">
      <formula>AND(Y127&gt;=79001,Y127&lt;79900)</formula>
    </cfRule>
    <cfRule type="expression" dxfId="14639" priority="585" stopIfTrue="1">
      <formula>AND(Y127&gt;=70101,Y127&lt;=70301)</formula>
    </cfRule>
    <cfRule type="expression" dxfId="14638" priority="586" stopIfTrue="1">
      <formula>AND(Y127&gt;70000,Y127&lt;70004)</formula>
    </cfRule>
    <cfRule type="expression" dxfId="14637" priority="587" stopIfTrue="1">
      <formula>AND(Y127&gt;=70010,Y127&lt;=76000)</formula>
    </cfRule>
    <cfRule type="expression" dxfId="14636" priority="588">
      <formula>AND(Y127&gt;70000,Y127&lt;70004)</formula>
    </cfRule>
    <cfRule type="expression" dxfId="14635" priority="589" stopIfTrue="1">
      <formula>OR(AND(Y127&gt;=10000,Y127&lt;=56999),AND(Y127&gt;=57000,Y127&lt;=57999))</formula>
    </cfRule>
    <cfRule type="expression" dxfId="14634" priority="590" stopIfTrue="1">
      <formula>AND(Y127&gt;=8000,Y127&lt;=9999)</formula>
    </cfRule>
    <cfRule type="expression" dxfId="14633" priority="591" stopIfTrue="1">
      <formula>AND(Y127&gt;=78100,Y127&lt;=78199)</formula>
    </cfRule>
    <cfRule type="expression" dxfId="14632" priority="592" stopIfTrue="1">
      <formula>AND(Y127&gt;=92000,Y127&lt;=98999)</formula>
    </cfRule>
    <cfRule type="expression" dxfId="14631" priority="593" stopIfTrue="1">
      <formula>AND(Y127&gt;=78100,Y127&lt;=78199)</formula>
    </cfRule>
    <cfRule type="expression" dxfId="14630" priority="594" stopIfTrue="1">
      <formula>AND(Y127&gt;=91000,Y127&lt;=91999)</formula>
    </cfRule>
  </conditionalFormatting>
  <conditionalFormatting sqref="X127">
    <cfRule type="expression" dxfId="14629" priority="573">
      <formula>AND(Y127&gt;=79001,Y127&lt;79900)</formula>
    </cfRule>
    <cfRule type="expression" dxfId="14628" priority="574" stopIfTrue="1">
      <formula>AND(Y127&gt;=70101,Y127&lt;=70301)</formula>
    </cfRule>
    <cfRule type="expression" dxfId="14627" priority="575" stopIfTrue="1">
      <formula>AND(Y127&gt;70000,Y127&lt;70004)</formula>
    </cfRule>
    <cfRule type="expression" dxfId="14626" priority="576" stopIfTrue="1">
      <formula>AND(Y127&gt;=70010,Y127&lt;=76000)</formula>
    </cfRule>
    <cfRule type="expression" dxfId="14625" priority="577">
      <formula>AND(Y127&gt;70000,Y127&lt;70004)</formula>
    </cfRule>
    <cfRule type="expression" dxfId="14624" priority="578" stopIfTrue="1">
      <formula>OR(AND(Y127&gt;=10000,Y127&lt;=56999),AND(Y127&gt;=57000,Y127&lt;=57999))</formula>
    </cfRule>
    <cfRule type="expression" dxfId="14623" priority="579" stopIfTrue="1">
      <formula>AND(Y127&gt;=8000,Y127&lt;=9999)</formula>
    </cfRule>
    <cfRule type="expression" dxfId="14622" priority="580" stopIfTrue="1">
      <formula>AND(Y127&gt;=78100,Y127&lt;=78199)</formula>
    </cfRule>
    <cfRule type="expression" dxfId="14621" priority="581" stopIfTrue="1">
      <formula>AND(Y127&gt;=92000,Y127&lt;=98999)</formula>
    </cfRule>
    <cfRule type="expression" dxfId="14620" priority="582" stopIfTrue="1">
      <formula>AND(Y127&gt;=78100,Y127&lt;=78199)</formula>
    </cfRule>
    <cfRule type="expression" dxfId="14619" priority="583" stopIfTrue="1">
      <formula>AND(Y127&gt;=91000,Y127&lt;=91999)</formula>
    </cfRule>
  </conditionalFormatting>
  <conditionalFormatting sqref="AB127">
    <cfRule type="expression" dxfId="14618" priority="562">
      <formula>AND(AC127&gt;=79001,AC127&lt;79900)</formula>
    </cfRule>
    <cfRule type="expression" dxfId="14617" priority="563" stopIfTrue="1">
      <formula>AND(AC127&gt;=70101,AC127&lt;=70301)</formula>
    </cfRule>
    <cfRule type="expression" dxfId="14616" priority="564" stopIfTrue="1">
      <formula>AND(AC127&gt;70000,AC127&lt;70004)</formula>
    </cfRule>
    <cfRule type="expression" dxfId="14615" priority="565" stopIfTrue="1">
      <formula>AND(AC127&gt;=70010,AC127&lt;=76000)</formula>
    </cfRule>
    <cfRule type="expression" dxfId="14614" priority="566">
      <formula>AND(AC127&gt;70000,AC127&lt;70004)</formula>
    </cfRule>
    <cfRule type="expression" dxfId="14613" priority="567" stopIfTrue="1">
      <formula>OR(AND(AC127&gt;=10000,AC127&lt;=56999),AND(AC127&gt;=57000,AC127&lt;=57999))</formula>
    </cfRule>
    <cfRule type="expression" dxfId="14612" priority="568" stopIfTrue="1">
      <formula>AND(AC127&gt;=8000,AC127&lt;=9999)</formula>
    </cfRule>
    <cfRule type="expression" dxfId="14611" priority="569" stopIfTrue="1">
      <formula>AND(AC127&gt;=78100,AC127&lt;=78199)</formula>
    </cfRule>
    <cfRule type="expression" dxfId="14610" priority="570" stopIfTrue="1">
      <formula>AND(AC127&gt;=92000,AC127&lt;=98999)</formula>
    </cfRule>
    <cfRule type="expression" dxfId="14609" priority="571" stopIfTrue="1">
      <formula>AND(AC127&gt;=78100,AC127&lt;=78199)</formula>
    </cfRule>
    <cfRule type="expression" dxfId="14608" priority="572" stopIfTrue="1">
      <formula>AND(AC127&gt;=91000,AC127&lt;=91999)</formula>
    </cfRule>
  </conditionalFormatting>
  <conditionalFormatting sqref="AB127">
    <cfRule type="expression" dxfId="14607" priority="551">
      <formula>AND(AC127&gt;=79001,AC127&lt;79900)</formula>
    </cfRule>
    <cfRule type="expression" dxfId="14606" priority="552" stopIfTrue="1">
      <formula>AND(AC127&gt;=70101,AC127&lt;=70301)</formula>
    </cfRule>
    <cfRule type="expression" dxfId="14605" priority="553" stopIfTrue="1">
      <formula>AND(AC127&gt;70000,AC127&lt;70004)</formula>
    </cfRule>
    <cfRule type="expression" dxfId="14604" priority="554" stopIfTrue="1">
      <formula>AND(AC127&gt;=70010,AC127&lt;=76000)</formula>
    </cfRule>
    <cfRule type="expression" dxfId="14603" priority="555">
      <formula>AND(AC127&gt;70000,AC127&lt;70004)</formula>
    </cfRule>
    <cfRule type="expression" dxfId="14602" priority="556" stopIfTrue="1">
      <formula>OR(AND(AC127&gt;=10000,AC127&lt;=56999),AND(AC127&gt;=57000,AC127&lt;=57999))</formula>
    </cfRule>
    <cfRule type="expression" dxfId="14601" priority="557" stopIfTrue="1">
      <formula>AND(AC127&gt;=8000,AC127&lt;=9999)</formula>
    </cfRule>
    <cfRule type="expression" dxfId="14600" priority="558" stopIfTrue="1">
      <formula>AND(AC127&gt;=78100,AC127&lt;=78199)</formula>
    </cfRule>
    <cfRule type="expression" dxfId="14599" priority="559" stopIfTrue="1">
      <formula>AND(AC127&gt;=92000,AC127&lt;=98999)</formula>
    </cfRule>
    <cfRule type="expression" dxfId="14598" priority="560" stopIfTrue="1">
      <formula>AND(AC127&gt;=78100,AC127&lt;=78199)</formula>
    </cfRule>
    <cfRule type="expression" dxfId="14597" priority="561" stopIfTrue="1">
      <formula>AND(AC127&gt;=91000,AC127&lt;=91999)</formula>
    </cfRule>
  </conditionalFormatting>
  <conditionalFormatting sqref="AB127">
    <cfRule type="expression" dxfId="14596" priority="540">
      <formula>AND(AC127&gt;=79001,AC127&lt;79900)</formula>
    </cfRule>
    <cfRule type="expression" dxfId="14595" priority="541" stopIfTrue="1">
      <formula>AND(AC127&gt;=70101,AC127&lt;=70301)</formula>
    </cfRule>
    <cfRule type="expression" dxfId="14594" priority="542" stopIfTrue="1">
      <formula>AND(AC127&gt;70000,AC127&lt;70004)</formula>
    </cfRule>
    <cfRule type="expression" dxfId="14593" priority="543" stopIfTrue="1">
      <formula>AND(AC127&gt;=70010,AC127&lt;=76000)</formula>
    </cfRule>
    <cfRule type="expression" dxfId="14592" priority="544">
      <formula>AND(AC127&gt;70000,AC127&lt;70004)</formula>
    </cfRule>
    <cfRule type="expression" dxfId="14591" priority="545" stopIfTrue="1">
      <formula>OR(AND(AC127&gt;=10000,AC127&lt;=56999),AND(AC127&gt;=57000,AC127&lt;=57999))</formula>
    </cfRule>
    <cfRule type="expression" dxfId="14590" priority="546" stopIfTrue="1">
      <formula>AND(AC127&gt;=8000,AC127&lt;=9999)</formula>
    </cfRule>
    <cfRule type="expression" dxfId="14589" priority="547" stopIfTrue="1">
      <formula>AND(AC127&gt;=78100,AC127&lt;=78199)</formula>
    </cfRule>
    <cfRule type="expression" dxfId="14588" priority="548" stopIfTrue="1">
      <formula>AND(AC127&gt;=92000,AC127&lt;=98999)</formula>
    </cfRule>
    <cfRule type="expression" dxfId="14587" priority="549" stopIfTrue="1">
      <formula>AND(AC127&gt;=78100,AC127&lt;=78199)</formula>
    </cfRule>
    <cfRule type="expression" dxfId="14586" priority="550" stopIfTrue="1">
      <formula>AND(AC127&gt;=91000,AC127&lt;=91999)</formula>
    </cfRule>
  </conditionalFormatting>
  <conditionalFormatting sqref="AB127">
    <cfRule type="expression" dxfId="14585" priority="529">
      <formula>AND(AC127&gt;=79001,AC127&lt;79900)</formula>
    </cfRule>
    <cfRule type="expression" dxfId="14584" priority="530" stopIfTrue="1">
      <formula>AND(AC127&gt;=70101,AC127&lt;=70301)</formula>
    </cfRule>
    <cfRule type="expression" dxfId="14583" priority="531" stopIfTrue="1">
      <formula>AND(AC127&gt;70000,AC127&lt;70004)</formula>
    </cfRule>
    <cfRule type="expression" dxfId="14582" priority="532" stopIfTrue="1">
      <formula>AND(AC127&gt;=70010,AC127&lt;=76000)</formula>
    </cfRule>
    <cfRule type="expression" dxfId="14581" priority="533">
      <formula>AND(AC127&gt;70000,AC127&lt;70004)</formula>
    </cfRule>
    <cfRule type="expression" dxfId="14580" priority="534" stopIfTrue="1">
      <formula>OR(AND(AC127&gt;=10000,AC127&lt;=56999),AND(AC127&gt;=57000,AC127&lt;=57999))</formula>
    </cfRule>
    <cfRule type="expression" dxfId="14579" priority="535" stopIfTrue="1">
      <formula>AND(AC127&gt;=8000,AC127&lt;=9999)</formula>
    </cfRule>
    <cfRule type="expression" dxfId="14578" priority="536" stopIfTrue="1">
      <formula>AND(AC127&gt;=78100,AC127&lt;=78199)</formula>
    </cfRule>
    <cfRule type="expression" dxfId="14577" priority="537" stopIfTrue="1">
      <formula>AND(AC127&gt;=92000,AC127&lt;=98999)</formula>
    </cfRule>
    <cfRule type="expression" dxfId="14576" priority="538" stopIfTrue="1">
      <formula>AND(AC127&gt;=78100,AC127&lt;=78199)</formula>
    </cfRule>
    <cfRule type="expression" dxfId="14575" priority="539" stopIfTrue="1">
      <formula>AND(AC127&gt;=91000,AC127&lt;=91999)</formula>
    </cfRule>
  </conditionalFormatting>
  <conditionalFormatting sqref="AF127">
    <cfRule type="expression" dxfId="14574" priority="518">
      <formula>AND(AG127&gt;=79001,AG127&lt;79900)</formula>
    </cfRule>
    <cfRule type="expression" dxfId="14573" priority="519" stopIfTrue="1">
      <formula>AND(AG127&gt;=70101,AG127&lt;=70301)</formula>
    </cfRule>
    <cfRule type="expression" dxfId="14572" priority="520" stopIfTrue="1">
      <formula>AND(AG127&gt;70000,AG127&lt;70004)</formula>
    </cfRule>
    <cfRule type="expression" dxfId="14571" priority="521" stopIfTrue="1">
      <formula>AND(AG127&gt;=70010,AG127&lt;=76000)</formula>
    </cfRule>
    <cfRule type="expression" dxfId="14570" priority="522">
      <formula>AND(AG127&gt;70000,AG127&lt;70004)</formula>
    </cfRule>
    <cfRule type="expression" dxfId="14569" priority="523" stopIfTrue="1">
      <formula>OR(AND(AG127&gt;=10000,AG127&lt;=56999),AND(AG127&gt;=57000,AG127&lt;=57999))</formula>
    </cfRule>
    <cfRule type="expression" dxfId="14568" priority="524" stopIfTrue="1">
      <formula>AND(AG127&gt;=8000,AG127&lt;=9999)</formula>
    </cfRule>
    <cfRule type="expression" dxfId="14567" priority="525" stopIfTrue="1">
      <formula>AND(AG127&gt;=78100,AG127&lt;=78199)</formula>
    </cfRule>
    <cfRule type="expression" dxfId="14566" priority="526" stopIfTrue="1">
      <formula>AND(AG127&gt;=92000,AG127&lt;=98999)</formula>
    </cfRule>
    <cfRule type="expression" dxfId="14565" priority="527" stopIfTrue="1">
      <formula>AND(AG127&gt;=78100,AG127&lt;=78199)</formula>
    </cfRule>
    <cfRule type="expression" dxfId="14564" priority="528" stopIfTrue="1">
      <formula>AND(AG127&gt;=91000,AG127&lt;=91999)</formula>
    </cfRule>
  </conditionalFormatting>
  <conditionalFormatting sqref="AF127">
    <cfRule type="expression" dxfId="14563" priority="507">
      <formula>AND(AG127&gt;=79001,AG127&lt;79900)</formula>
    </cfRule>
    <cfRule type="expression" dxfId="14562" priority="508" stopIfTrue="1">
      <formula>AND(AG127&gt;=70101,AG127&lt;=70301)</formula>
    </cfRule>
    <cfRule type="expression" dxfId="14561" priority="509" stopIfTrue="1">
      <formula>AND(AG127&gt;70000,AG127&lt;70004)</formula>
    </cfRule>
    <cfRule type="expression" dxfId="14560" priority="510" stopIfTrue="1">
      <formula>AND(AG127&gt;=70010,AG127&lt;=76000)</formula>
    </cfRule>
    <cfRule type="expression" dxfId="14559" priority="511">
      <formula>AND(AG127&gt;70000,AG127&lt;70004)</formula>
    </cfRule>
    <cfRule type="expression" dxfId="14558" priority="512" stopIfTrue="1">
      <formula>OR(AND(AG127&gt;=10000,AG127&lt;=56999),AND(AG127&gt;=57000,AG127&lt;=57999))</formula>
    </cfRule>
    <cfRule type="expression" dxfId="14557" priority="513" stopIfTrue="1">
      <formula>AND(AG127&gt;=8000,AG127&lt;=9999)</formula>
    </cfRule>
    <cfRule type="expression" dxfId="14556" priority="514" stopIfTrue="1">
      <formula>AND(AG127&gt;=78100,AG127&lt;=78199)</formula>
    </cfRule>
    <cfRule type="expression" dxfId="14555" priority="515" stopIfTrue="1">
      <formula>AND(AG127&gt;=92000,AG127&lt;=98999)</formula>
    </cfRule>
    <cfRule type="expression" dxfId="14554" priority="516" stopIfTrue="1">
      <formula>AND(AG127&gt;=78100,AG127&lt;=78199)</formula>
    </cfRule>
    <cfRule type="expression" dxfId="14553" priority="517" stopIfTrue="1">
      <formula>AND(AG127&gt;=91000,AG127&lt;=91999)</formula>
    </cfRule>
  </conditionalFormatting>
  <conditionalFormatting sqref="AF127">
    <cfRule type="expression" dxfId="14552" priority="496">
      <formula>AND(AG127&gt;=79001,AG127&lt;79900)</formula>
    </cfRule>
    <cfRule type="expression" dxfId="14551" priority="497" stopIfTrue="1">
      <formula>AND(AG127&gt;=70101,AG127&lt;=70301)</formula>
    </cfRule>
    <cfRule type="expression" dxfId="14550" priority="498" stopIfTrue="1">
      <formula>AND(AG127&gt;70000,AG127&lt;70004)</formula>
    </cfRule>
    <cfRule type="expression" dxfId="14549" priority="499" stopIfTrue="1">
      <formula>AND(AG127&gt;=70010,AG127&lt;=76000)</formula>
    </cfRule>
    <cfRule type="expression" dxfId="14548" priority="500">
      <formula>AND(AG127&gt;70000,AG127&lt;70004)</formula>
    </cfRule>
    <cfRule type="expression" dxfId="14547" priority="501" stopIfTrue="1">
      <formula>OR(AND(AG127&gt;=10000,AG127&lt;=56999),AND(AG127&gt;=57000,AG127&lt;=57999))</formula>
    </cfRule>
    <cfRule type="expression" dxfId="14546" priority="502" stopIfTrue="1">
      <formula>AND(AG127&gt;=8000,AG127&lt;=9999)</formula>
    </cfRule>
    <cfRule type="expression" dxfId="14545" priority="503" stopIfTrue="1">
      <formula>AND(AG127&gt;=78100,AG127&lt;=78199)</formula>
    </cfRule>
    <cfRule type="expression" dxfId="14544" priority="504" stopIfTrue="1">
      <formula>AND(AG127&gt;=92000,AG127&lt;=98999)</formula>
    </cfRule>
    <cfRule type="expression" dxfId="14543" priority="505" stopIfTrue="1">
      <formula>AND(AG127&gt;=78100,AG127&lt;=78199)</formula>
    </cfRule>
    <cfRule type="expression" dxfId="14542" priority="506" stopIfTrue="1">
      <formula>AND(AG127&gt;=91000,AG127&lt;=91999)</formula>
    </cfRule>
  </conditionalFormatting>
  <conditionalFormatting sqref="AF127">
    <cfRule type="expression" dxfId="14541" priority="485">
      <formula>AND(AG127&gt;=79001,AG127&lt;79900)</formula>
    </cfRule>
    <cfRule type="expression" dxfId="14540" priority="486" stopIfTrue="1">
      <formula>AND(AG127&gt;=70101,AG127&lt;=70301)</formula>
    </cfRule>
    <cfRule type="expression" dxfId="14539" priority="487" stopIfTrue="1">
      <formula>AND(AG127&gt;70000,AG127&lt;70004)</formula>
    </cfRule>
    <cfRule type="expression" dxfId="14538" priority="488" stopIfTrue="1">
      <formula>AND(AG127&gt;=70010,AG127&lt;=76000)</formula>
    </cfRule>
    <cfRule type="expression" dxfId="14537" priority="489">
      <formula>AND(AG127&gt;70000,AG127&lt;70004)</formula>
    </cfRule>
    <cfRule type="expression" dxfId="14536" priority="490" stopIfTrue="1">
      <formula>OR(AND(AG127&gt;=10000,AG127&lt;=56999),AND(AG127&gt;=57000,AG127&lt;=57999))</formula>
    </cfRule>
    <cfRule type="expression" dxfId="14535" priority="491" stopIfTrue="1">
      <formula>AND(AG127&gt;=8000,AG127&lt;=9999)</formula>
    </cfRule>
    <cfRule type="expression" dxfId="14534" priority="492" stopIfTrue="1">
      <formula>AND(AG127&gt;=78100,AG127&lt;=78199)</formula>
    </cfRule>
    <cfRule type="expression" dxfId="14533" priority="493" stopIfTrue="1">
      <formula>AND(AG127&gt;=92000,AG127&lt;=98999)</formula>
    </cfRule>
    <cfRule type="expression" dxfId="14532" priority="494" stopIfTrue="1">
      <formula>AND(AG127&gt;=78100,AG127&lt;=78199)</formula>
    </cfRule>
    <cfRule type="expression" dxfId="14531" priority="495" stopIfTrue="1">
      <formula>AND(AG127&gt;=91000,AG127&lt;=91999)</formula>
    </cfRule>
  </conditionalFormatting>
  <conditionalFormatting sqref="T130">
    <cfRule type="expression" dxfId="14530" priority="474">
      <formula>AND(U130&gt;=79001,U130&lt;79900)</formula>
    </cfRule>
    <cfRule type="expression" dxfId="14529" priority="475" stopIfTrue="1">
      <formula>AND(U130&gt;=70101,U130&lt;=70301)</formula>
    </cfRule>
    <cfRule type="expression" dxfId="14528" priority="476" stopIfTrue="1">
      <formula>AND(U130&gt;70000,U130&lt;70004)</formula>
    </cfRule>
    <cfRule type="expression" dxfId="14527" priority="477" stopIfTrue="1">
      <formula>AND(U130&gt;=70010,U130&lt;=76000)</formula>
    </cfRule>
    <cfRule type="expression" dxfId="14526" priority="478">
      <formula>AND(U130&gt;70000,U130&lt;70004)</formula>
    </cfRule>
    <cfRule type="expression" dxfId="14525" priority="479" stopIfTrue="1">
      <formula>OR(AND(U130&gt;=10000,U130&lt;=56999),AND(U130&gt;=57000,U130&lt;=57999))</formula>
    </cfRule>
    <cfRule type="expression" dxfId="14524" priority="480" stopIfTrue="1">
      <formula>AND(U130&gt;=8000,U130&lt;=9999)</formula>
    </cfRule>
    <cfRule type="expression" dxfId="14523" priority="481" stopIfTrue="1">
      <formula>AND(U130&gt;=78100,U130&lt;=78199)</formula>
    </cfRule>
    <cfRule type="expression" dxfId="14522" priority="482" stopIfTrue="1">
      <formula>AND(U130&gt;=92000,U130&lt;=98999)</formula>
    </cfRule>
    <cfRule type="expression" dxfId="14521" priority="483" stopIfTrue="1">
      <formula>AND(U130&gt;=78100,U130&lt;=78199)</formula>
    </cfRule>
    <cfRule type="expression" dxfId="14520" priority="484" stopIfTrue="1">
      <formula>AND(U130&gt;=91000,U130&lt;=91999)</formula>
    </cfRule>
  </conditionalFormatting>
  <conditionalFormatting sqref="T130">
    <cfRule type="expression" dxfId="14519" priority="463">
      <formula>AND(U130&gt;=79001,U130&lt;79900)</formula>
    </cfRule>
    <cfRule type="expression" dxfId="14518" priority="464" stopIfTrue="1">
      <formula>AND(U130&gt;=70101,U130&lt;=70301)</formula>
    </cfRule>
    <cfRule type="expression" dxfId="14517" priority="465" stopIfTrue="1">
      <formula>AND(U130&gt;70000,U130&lt;70004)</formula>
    </cfRule>
    <cfRule type="expression" dxfId="14516" priority="466" stopIfTrue="1">
      <formula>AND(U130&gt;=70010,U130&lt;=76000)</formula>
    </cfRule>
    <cfRule type="expression" dxfId="14515" priority="467">
      <formula>AND(U130&gt;70000,U130&lt;70004)</formula>
    </cfRule>
    <cfRule type="expression" dxfId="14514" priority="468" stopIfTrue="1">
      <formula>OR(AND(U130&gt;=10000,U130&lt;=56999),AND(U130&gt;=57000,U130&lt;=57999))</formula>
    </cfRule>
    <cfRule type="expression" dxfId="14513" priority="469" stopIfTrue="1">
      <formula>AND(U130&gt;=8000,U130&lt;=9999)</formula>
    </cfRule>
    <cfRule type="expression" dxfId="14512" priority="470" stopIfTrue="1">
      <formula>AND(U130&gt;=78100,U130&lt;=78199)</formula>
    </cfRule>
    <cfRule type="expression" dxfId="14511" priority="471" stopIfTrue="1">
      <formula>AND(U130&gt;=92000,U130&lt;=98999)</formula>
    </cfRule>
    <cfRule type="expression" dxfId="14510" priority="472" stopIfTrue="1">
      <formula>AND(U130&gt;=78100,U130&lt;=78199)</formula>
    </cfRule>
    <cfRule type="expression" dxfId="14509" priority="473" stopIfTrue="1">
      <formula>AND(U130&gt;=91000,U130&lt;=91999)</formula>
    </cfRule>
  </conditionalFormatting>
  <conditionalFormatting sqref="T130">
    <cfRule type="expression" dxfId="14508" priority="452">
      <formula>AND(U130&gt;=79001,U130&lt;79900)</formula>
    </cfRule>
    <cfRule type="expression" dxfId="14507" priority="453" stopIfTrue="1">
      <formula>AND(U130&gt;=70101,U130&lt;=70301)</formula>
    </cfRule>
    <cfRule type="expression" dxfId="14506" priority="454" stopIfTrue="1">
      <formula>AND(U130&gt;70000,U130&lt;70004)</formula>
    </cfRule>
    <cfRule type="expression" dxfId="14505" priority="455" stopIfTrue="1">
      <formula>AND(U130&gt;=70010,U130&lt;=76000)</formula>
    </cfRule>
    <cfRule type="expression" dxfId="14504" priority="456">
      <formula>AND(U130&gt;70000,U130&lt;70004)</formula>
    </cfRule>
    <cfRule type="expression" dxfId="14503" priority="457" stopIfTrue="1">
      <formula>OR(AND(U130&gt;=10000,U130&lt;=56999),AND(U130&gt;=57000,U130&lt;=57999))</formula>
    </cfRule>
    <cfRule type="expression" dxfId="14502" priority="458" stopIfTrue="1">
      <formula>AND(U130&gt;=8000,U130&lt;=9999)</formula>
    </cfRule>
    <cfRule type="expression" dxfId="14501" priority="459" stopIfTrue="1">
      <formula>AND(U130&gt;=78100,U130&lt;=78199)</formula>
    </cfRule>
    <cfRule type="expression" dxfId="14500" priority="460" stopIfTrue="1">
      <formula>AND(U130&gt;=92000,U130&lt;=98999)</formula>
    </cfRule>
    <cfRule type="expression" dxfId="14499" priority="461" stopIfTrue="1">
      <formula>AND(U130&gt;=78100,U130&lt;=78199)</formula>
    </cfRule>
    <cfRule type="expression" dxfId="14498" priority="462" stopIfTrue="1">
      <formula>AND(U130&gt;=91000,U130&lt;=91999)</formula>
    </cfRule>
  </conditionalFormatting>
  <conditionalFormatting sqref="T130">
    <cfRule type="expression" dxfId="14497" priority="441">
      <formula>AND(U130&gt;=79001,U130&lt;79900)</formula>
    </cfRule>
    <cfRule type="expression" dxfId="14496" priority="442" stopIfTrue="1">
      <formula>AND(U130&gt;=70101,U130&lt;=70301)</formula>
    </cfRule>
    <cfRule type="expression" dxfId="14495" priority="443" stopIfTrue="1">
      <formula>AND(U130&gt;70000,U130&lt;70004)</formula>
    </cfRule>
    <cfRule type="expression" dxfId="14494" priority="444" stopIfTrue="1">
      <formula>AND(U130&gt;=70010,U130&lt;=76000)</formula>
    </cfRule>
    <cfRule type="expression" dxfId="14493" priority="445">
      <formula>AND(U130&gt;70000,U130&lt;70004)</formula>
    </cfRule>
    <cfRule type="expression" dxfId="14492" priority="446" stopIfTrue="1">
      <formula>OR(AND(U130&gt;=10000,U130&lt;=56999),AND(U130&gt;=57000,U130&lt;=57999))</formula>
    </cfRule>
    <cfRule type="expression" dxfId="14491" priority="447" stopIfTrue="1">
      <formula>AND(U130&gt;=8000,U130&lt;=9999)</formula>
    </cfRule>
    <cfRule type="expression" dxfId="14490" priority="448" stopIfTrue="1">
      <formula>AND(U130&gt;=78100,U130&lt;=78199)</formula>
    </cfRule>
    <cfRule type="expression" dxfId="14489" priority="449" stopIfTrue="1">
      <formula>AND(U130&gt;=92000,U130&lt;=98999)</formula>
    </cfRule>
    <cfRule type="expression" dxfId="14488" priority="450" stopIfTrue="1">
      <formula>AND(U130&gt;=78100,U130&lt;=78199)</formula>
    </cfRule>
    <cfRule type="expression" dxfId="14487" priority="451" stopIfTrue="1">
      <formula>AND(U130&gt;=91000,U130&lt;=91999)</formula>
    </cfRule>
  </conditionalFormatting>
  <conditionalFormatting sqref="X130">
    <cfRule type="expression" dxfId="14486" priority="430">
      <formula>AND(Y130&gt;=79001,Y130&lt;79900)</formula>
    </cfRule>
    <cfRule type="expression" dxfId="14485" priority="431" stopIfTrue="1">
      <formula>AND(Y130&gt;=70101,Y130&lt;=70301)</formula>
    </cfRule>
    <cfRule type="expression" dxfId="14484" priority="432" stopIfTrue="1">
      <formula>AND(Y130&gt;70000,Y130&lt;70004)</formula>
    </cfRule>
    <cfRule type="expression" dxfId="14483" priority="433" stopIfTrue="1">
      <formula>AND(Y130&gt;=70010,Y130&lt;=76000)</formula>
    </cfRule>
    <cfRule type="expression" dxfId="14482" priority="434">
      <formula>AND(Y130&gt;70000,Y130&lt;70004)</formula>
    </cfRule>
    <cfRule type="expression" dxfId="14481" priority="435" stopIfTrue="1">
      <formula>OR(AND(Y130&gt;=10000,Y130&lt;=56999),AND(Y130&gt;=57000,Y130&lt;=57999))</formula>
    </cfRule>
    <cfRule type="expression" dxfId="14480" priority="436" stopIfTrue="1">
      <formula>AND(Y130&gt;=8000,Y130&lt;=9999)</formula>
    </cfRule>
    <cfRule type="expression" dxfId="14479" priority="437" stopIfTrue="1">
      <formula>AND(Y130&gt;=78100,Y130&lt;=78199)</formula>
    </cfRule>
    <cfRule type="expression" dxfId="14478" priority="438" stopIfTrue="1">
      <formula>AND(Y130&gt;=92000,Y130&lt;=98999)</formula>
    </cfRule>
    <cfRule type="expression" dxfId="14477" priority="439" stopIfTrue="1">
      <formula>AND(Y130&gt;=78100,Y130&lt;=78199)</formula>
    </cfRule>
    <cfRule type="expression" dxfId="14476" priority="440" stopIfTrue="1">
      <formula>AND(Y130&gt;=91000,Y130&lt;=91999)</formula>
    </cfRule>
  </conditionalFormatting>
  <conditionalFormatting sqref="X130">
    <cfRule type="expression" dxfId="14475" priority="419">
      <formula>AND(Y130&gt;=79001,Y130&lt;79900)</formula>
    </cfRule>
    <cfRule type="expression" dxfId="14474" priority="420" stopIfTrue="1">
      <formula>AND(Y130&gt;=70101,Y130&lt;=70301)</formula>
    </cfRule>
    <cfRule type="expression" dxfId="14473" priority="421" stopIfTrue="1">
      <formula>AND(Y130&gt;70000,Y130&lt;70004)</formula>
    </cfRule>
    <cfRule type="expression" dxfId="14472" priority="422" stopIfTrue="1">
      <formula>AND(Y130&gt;=70010,Y130&lt;=76000)</formula>
    </cfRule>
    <cfRule type="expression" dxfId="14471" priority="423">
      <formula>AND(Y130&gt;70000,Y130&lt;70004)</formula>
    </cfRule>
    <cfRule type="expression" dxfId="14470" priority="424" stopIfTrue="1">
      <formula>OR(AND(Y130&gt;=10000,Y130&lt;=56999),AND(Y130&gt;=57000,Y130&lt;=57999))</formula>
    </cfRule>
    <cfRule type="expression" dxfId="14469" priority="425" stopIfTrue="1">
      <formula>AND(Y130&gt;=8000,Y130&lt;=9999)</formula>
    </cfRule>
    <cfRule type="expression" dxfId="14468" priority="426" stopIfTrue="1">
      <formula>AND(Y130&gt;=78100,Y130&lt;=78199)</formula>
    </cfRule>
    <cfRule type="expression" dxfId="14467" priority="427" stopIfTrue="1">
      <formula>AND(Y130&gt;=92000,Y130&lt;=98999)</formula>
    </cfRule>
    <cfRule type="expression" dxfId="14466" priority="428" stopIfTrue="1">
      <formula>AND(Y130&gt;=78100,Y130&lt;=78199)</formula>
    </cfRule>
    <cfRule type="expression" dxfId="14465" priority="429" stopIfTrue="1">
      <formula>AND(Y130&gt;=91000,Y130&lt;=91999)</formula>
    </cfRule>
  </conditionalFormatting>
  <conditionalFormatting sqref="X130">
    <cfRule type="expression" dxfId="14464" priority="408">
      <formula>AND(Y130&gt;=79001,Y130&lt;79900)</formula>
    </cfRule>
    <cfRule type="expression" dxfId="14463" priority="409" stopIfTrue="1">
      <formula>AND(Y130&gt;=70101,Y130&lt;=70301)</formula>
    </cfRule>
    <cfRule type="expression" dxfId="14462" priority="410" stopIfTrue="1">
      <formula>AND(Y130&gt;70000,Y130&lt;70004)</formula>
    </cfRule>
    <cfRule type="expression" dxfId="14461" priority="411" stopIfTrue="1">
      <formula>AND(Y130&gt;=70010,Y130&lt;=76000)</formula>
    </cfRule>
    <cfRule type="expression" dxfId="14460" priority="412">
      <formula>AND(Y130&gt;70000,Y130&lt;70004)</formula>
    </cfRule>
    <cfRule type="expression" dxfId="14459" priority="413" stopIfTrue="1">
      <formula>OR(AND(Y130&gt;=10000,Y130&lt;=56999),AND(Y130&gt;=57000,Y130&lt;=57999))</formula>
    </cfRule>
    <cfRule type="expression" dxfId="14458" priority="414" stopIfTrue="1">
      <formula>AND(Y130&gt;=8000,Y130&lt;=9999)</formula>
    </cfRule>
    <cfRule type="expression" dxfId="14457" priority="415" stopIfTrue="1">
      <formula>AND(Y130&gt;=78100,Y130&lt;=78199)</formula>
    </cfRule>
    <cfRule type="expression" dxfId="14456" priority="416" stopIfTrue="1">
      <formula>AND(Y130&gt;=92000,Y130&lt;=98999)</formula>
    </cfRule>
    <cfRule type="expression" dxfId="14455" priority="417" stopIfTrue="1">
      <formula>AND(Y130&gt;=78100,Y130&lt;=78199)</formula>
    </cfRule>
    <cfRule type="expression" dxfId="14454" priority="418" stopIfTrue="1">
      <formula>AND(Y130&gt;=91000,Y130&lt;=91999)</formula>
    </cfRule>
  </conditionalFormatting>
  <conditionalFormatting sqref="X130">
    <cfRule type="expression" dxfId="14453" priority="397">
      <formula>AND(Y130&gt;=79001,Y130&lt;79900)</formula>
    </cfRule>
    <cfRule type="expression" dxfId="14452" priority="398" stopIfTrue="1">
      <formula>AND(Y130&gt;=70101,Y130&lt;=70301)</formula>
    </cfRule>
    <cfRule type="expression" dxfId="14451" priority="399" stopIfTrue="1">
      <formula>AND(Y130&gt;70000,Y130&lt;70004)</formula>
    </cfRule>
    <cfRule type="expression" dxfId="14450" priority="400" stopIfTrue="1">
      <formula>AND(Y130&gt;=70010,Y130&lt;=76000)</formula>
    </cfRule>
    <cfRule type="expression" dxfId="14449" priority="401">
      <formula>AND(Y130&gt;70000,Y130&lt;70004)</formula>
    </cfRule>
    <cfRule type="expression" dxfId="14448" priority="402" stopIfTrue="1">
      <formula>OR(AND(Y130&gt;=10000,Y130&lt;=56999),AND(Y130&gt;=57000,Y130&lt;=57999))</formula>
    </cfRule>
    <cfRule type="expression" dxfId="14447" priority="403" stopIfTrue="1">
      <formula>AND(Y130&gt;=8000,Y130&lt;=9999)</formula>
    </cfRule>
    <cfRule type="expression" dxfId="14446" priority="404" stopIfTrue="1">
      <formula>AND(Y130&gt;=78100,Y130&lt;=78199)</formula>
    </cfRule>
    <cfRule type="expression" dxfId="14445" priority="405" stopIfTrue="1">
      <formula>AND(Y130&gt;=92000,Y130&lt;=98999)</formula>
    </cfRule>
    <cfRule type="expression" dxfId="14444" priority="406" stopIfTrue="1">
      <formula>AND(Y130&gt;=78100,Y130&lt;=78199)</formula>
    </cfRule>
    <cfRule type="expression" dxfId="14443" priority="407" stopIfTrue="1">
      <formula>AND(Y130&gt;=91000,Y130&lt;=91999)</formula>
    </cfRule>
  </conditionalFormatting>
  <conditionalFormatting sqref="AB130">
    <cfRule type="expression" dxfId="14442" priority="386">
      <formula>AND(AC130&gt;=79001,AC130&lt;79900)</formula>
    </cfRule>
    <cfRule type="expression" dxfId="14441" priority="387" stopIfTrue="1">
      <formula>AND(AC130&gt;=70101,AC130&lt;=70301)</formula>
    </cfRule>
    <cfRule type="expression" dxfId="14440" priority="388" stopIfTrue="1">
      <formula>AND(AC130&gt;70000,AC130&lt;70004)</formula>
    </cfRule>
    <cfRule type="expression" dxfId="14439" priority="389" stopIfTrue="1">
      <formula>AND(AC130&gt;=70010,AC130&lt;=76000)</formula>
    </cfRule>
    <cfRule type="expression" dxfId="14438" priority="390">
      <formula>AND(AC130&gt;70000,AC130&lt;70004)</formula>
    </cfRule>
    <cfRule type="expression" dxfId="14437" priority="391" stopIfTrue="1">
      <formula>OR(AND(AC130&gt;=10000,AC130&lt;=56999),AND(AC130&gt;=57000,AC130&lt;=57999))</formula>
    </cfRule>
    <cfRule type="expression" dxfId="14436" priority="392" stopIfTrue="1">
      <formula>AND(AC130&gt;=8000,AC130&lt;=9999)</formula>
    </cfRule>
    <cfRule type="expression" dxfId="14435" priority="393" stopIfTrue="1">
      <formula>AND(AC130&gt;=78100,AC130&lt;=78199)</formula>
    </cfRule>
    <cfRule type="expression" dxfId="14434" priority="394" stopIfTrue="1">
      <formula>AND(AC130&gt;=92000,AC130&lt;=98999)</formula>
    </cfRule>
    <cfRule type="expression" dxfId="14433" priority="395" stopIfTrue="1">
      <formula>AND(AC130&gt;=78100,AC130&lt;=78199)</formula>
    </cfRule>
    <cfRule type="expression" dxfId="14432" priority="396" stopIfTrue="1">
      <formula>AND(AC130&gt;=91000,AC130&lt;=91999)</formula>
    </cfRule>
  </conditionalFormatting>
  <conditionalFormatting sqref="AB130">
    <cfRule type="expression" dxfId="14431" priority="375">
      <formula>AND(AC130&gt;=79001,AC130&lt;79900)</formula>
    </cfRule>
    <cfRule type="expression" dxfId="14430" priority="376" stopIfTrue="1">
      <formula>AND(AC130&gt;=70101,AC130&lt;=70301)</formula>
    </cfRule>
    <cfRule type="expression" dxfId="14429" priority="377" stopIfTrue="1">
      <formula>AND(AC130&gt;70000,AC130&lt;70004)</formula>
    </cfRule>
    <cfRule type="expression" dxfId="14428" priority="378" stopIfTrue="1">
      <formula>AND(AC130&gt;=70010,AC130&lt;=76000)</formula>
    </cfRule>
    <cfRule type="expression" dxfId="14427" priority="379">
      <formula>AND(AC130&gt;70000,AC130&lt;70004)</formula>
    </cfRule>
    <cfRule type="expression" dxfId="14426" priority="380" stopIfTrue="1">
      <formula>OR(AND(AC130&gt;=10000,AC130&lt;=56999),AND(AC130&gt;=57000,AC130&lt;=57999))</formula>
    </cfRule>
    <cfRule type="expression" dxfId="14425" priority="381" stopIfTrue="1">
      <formula>AND(AC130&gt;=8000,AC130&lt;=9999)</formula>
    </cfRule>
    <cfRule type="expression" dxfId="14424" priority="382" stopIfTrue="1">
      <formula>AND(AC130&gt;=78100,AC130&lt;=78199)</formula>
    </cfRule>
    <cfRule type="expression" dxfId="14423" priority="383" stopIfTrue="1">
      <formula>AND(AC130&gt;=92000,AC130&lt;=98999)</formula>
    </cfRule>
    <cfRule type="expression" dxfId="14422" priority="384" stopIfTrue="1">
      <formula>AND(AC130&gt;=78100,AC130&lt;=78199)</formula>
    </cfRule>
    <cfRule type="expression" dxfId="14421" priority="385" stopIfTrue="1">
      <formula>AND(AC130&gt;=91000,AC130&lt;=91999)</formula>
    </cfRule>
  </conditionalFormatting>
  <conditionalFormatting sqref="AB130">
    <cfRule type="expression" dxfId="14420" priority="364">
      <formula>AND(AC130&gt;=79001,AC130&lt;79900)</formula>
    </cfRule>
    <cfRule type="expression" dxfId="14419" priority="365" stopIfTrue="1">
      <formula>AND(AC130&gt;=70101,AC130&lt;=70301)</formula>
    </cfRule>
    <cfRule type="expression" dxfId="14418" priority="366" stopIfTrue="1">
      <formula>AND(AC130&gt;70000,AC130&lt;70004)</formula>
    </cfRule>
    <cfRule type="expression" dxfId="14417" priority="367" stopIfTrue="1">
      <formula>AND(AC130&gt;=70010,AC130&lt;=76000)</formula>
    </cfRule>
    <cfRule type="expression" dxfId="14416" priority="368">
      <formula>AND(AC130&gt;70000,AC130&lt;70004)</formula>
    </cfRule>
    <cfRule type="expression" dxfId="14415" priority="369" stopIfTrue="1">
      <formula>OR(AND(AC130&gt;=10000,AC130&lt;=56999),AND(AC130&gt;=57000,AC130&lt;=57999))</formula>
    </cfRule>
    <cfRule type="expression" dxfId="14414" priority="370" stopIfTrue="1">
      <formula>AND(AC130&gt;=8000,AC130&lt;=9999)</formula>
    </cfRule>
    <cfRule type="expression" dxfId="14413" priority="371" stopIfTrue="1">
      <formula>AND(AC130&gt;=78100,AC130&lt;=78199)</formula>
    </cfRule>
    <cfRule type="expression" dxfId="14412" priority="372" stopIfTrue="1">
      <formula>AND(AC130&gt;=92000,AC130&lt;=98999)</formula>
    </cfRule>
    <cfRule type="expression" dxfId="14411" priority="373" stopIfTrue="1">
      <formula>AND(AC130&gt;=78100,AC130&lt;=78199)</formula>
    </cfRule>
    <cfRule type="expression" dxfId="14410" priority="374" stopIfTrue="1">
      <formula>AND(AC130&gt;=91000,AC130&lt;=91999)</formula>
    </cfRule>
  </conditionalFormatting>
  <conditionalFormatting sqref="AB130">
    <cfRule type="expression" dxfId="14409" priority="353">
      <formula>AND(AC130&gt;=79001,AC130&lt;79900)</formula>
    </cfRule>
    <cfRule type="expression" dxfId="14408" priority="354" stopIfTrue="1">
      <formula>AND(AC130&gt;=70101,AC130&lt;=70301)</formula>
    </cfRule>
    <cfRule type="expression" dxfId="14407" priority="355" stopIfTrue="1">
      <formula>AND(AC130&gt;70000,AC130&lt;70004)</formula>
    </cfRule>
    <cfRule type="expression" dxfId="14406" priority="356" stopIfTrue="1">
      <formula>AND(AC130&gt;=70010,AC130&lt;=76000)</formula>
    </cfRule>
    <cfRule type="expression" dxfId="14405" priority="357">
      <formula>AND(AC130&gt;70000,AC130&lt;70004)</formula>
    </cfRule>
    <cfRule type="expression" dxfId="14404" priority="358" stopIfTrue="1">
      <formula>OR(AND(AC130&gt;=10000,AC130&lt;=56999),AND(AC130&gt;=57000,AC130&lt;=57999))</formula>
    </cfRule>
    <cfRule type="expression" dxfId="14403" priority="359" stopIfTrue="1">
      <formula>AND(AC130&gt;=8000,AC130&lt;=9999)</formula>
    </cfRule>
    <cfRule type="expression" dxfId="14402" priority="360" stopIfTrue="1">
      <formula>AND(AC130&gt;=78100,AC130&lt;=78199)</formula>
    </cfRule>
    <cfRule type="expression" dxfId="14401" priority="361" stopIfTrue="1">
      <formula>AND(AC130&gt;=92000,AC130&lt;=98999)</formula>
    </cfRule>
    <cfRule type="expression" dxfId="14400" priority="362" stopIfTrue="1">
      <formula>AND(AC130&gt;=78100,AC130&lt;=78199)</formula>
    </cfRule>
    <cfRule type="expression" dxfId="14399" priority="363" stopIfTrue="1">
      <formula>AND(AC130&gt;=91000,AC130&lt;=91999)</formula>
    </cfRule>
  </conditionalFormatting>
  <conditionalFormatting sqref="AF130">
    <cfRule type="expression" dxfId="14398" priority="342">
      <formula>AND(AG130&gt;=79001,AG130&lt;79900)</formula>
    </cfRule>
    <cfRule type="expression" dxfId="14397" priority="343" stopIfTrue="1">
      <formula>AND(AG130&gt;=70101,AG130&lt;=70301)</formula>
    </cfRule>
    <cfRule type="expression" dxfId="14396" priority="344" stopIfTrue="1">
      <formula>AND(AG130&gt;70000,AG130&lt;70004)</formula>
    </cfRule>
    <cfRule type="expression" dxfId="14395" priority="345" stopIfTrue="1">
      <formula>AND(AG130&gt;=70010,AG130&lt;=76000)</formula>
    </cfRule>
    <cfRule type="expression" dxfId="14394" priority="346">
      <formula>AND(AG130&gt;70000,AG130&lt;70004)</formula>
    </cfRule>
    <cfRule type="expression" dxfId="14393" priority="347" stopIfTrue="1">
      <formula>OR(AND(AG130&gt;=10000,AG130&lt;=56999),AND(AG130&gt;=57000,AG130&lt;=57999))</formula>
    </cfRule>
    <cfRule type="expression" dxfId="14392" priority="348" stopIfTrue="1">
      <formula>AND(AG130&gt;=8000,AG130&lt;=9999)</formula>
    </cfRule>
    <cfRule type="expression" dxfId="14391" priority="349" stopIfTrue="1">
      <formula>AND(AG130&gt;=78100,AG130&lt;=78199)</formula>
    </cfRule>
    <cfRule type="expression" dxfId="14390" priority="350" stopIfTrue="1">
      <formula>AND(AG130&gt;=92000,AG130&lt;=98999)</formula>
    </cfRule>
    <cfRule type="expression" dxfId="14389" priority="351" stopIfTrue="1">
      <formula>AND(AG130&gt;=78100,AG130&lt;=78199)</formula>
    </cfRule>
    <cfRule type="expression" dxfId="14388" priority="352" stopIfTrue="1">
      <formula>AND(AG130&gt;=91000,AG130&lt;=91999)</formula>
    </cfRule>
  </conditionalFormatting>
  <conditionalFormatting sqref="AF130">
    <cfRule type="expression" dxfId="14387" priority="331">
      <formula>AND(AG130&gt;=79001,AG130&lt;79900)</formula>
    </cfRule>
    <cfRule type="expression" dxfId="14386" priority="332" stopIfTrue="1">
      <formula>AND(AG130&gt;=70101,AG130&lt;=70301)</formula>
    </cfRule>
    <cfRule type="expression" dxfId="14385" priority="333" stopIfTrue="1">
      <formula>AND(AG130&gt;70000,AG130&lt;70004)</formula>
    </cfRule>
    <cfRule type="expression" dxfId="14384" priority="334" stopIfTrue="1">
      <formula>AND(AG130&gt;=70010,AG130&lt;=76000)</formula>
    </cfRule>
    <cfRule type="expression" dxfId="14383" priority="335">
      <formula>AND(AG130&gt;70000,AG130&lt;70004)</formula>
    </cfRule>
    <cfRule type="expression" dxfId="14382" priority="336" stopIfTrue="1">
      <formula>OR(AND(AG130&gt;=10000,AG130&lt;=56999),AND(AG130&gt;=57000,AG130&lt;=57999))</formula>
    </cfRule>
    <cfRule type="expression" dxfId="14381" priority="337" stopIfTrue="1">
      <formula>AND(AG130&gt;=8000,AG130&lt;=9999)</formula>
    </cfRule>
    <cfRule type="expression" dxfId="14380" priority="338" stopIfTrue="1">
      <formula>AND(AG130&gt;=78100,AG130&lt;=78199)</formula>
    </cfRule>
    <cfRule type="expression" dxfId="14379" priority="339" stopIfTrue="1">
      <formula>AND(AG130&gt;=92000,AG130&lt;=98999)</formula>
    </cfRule>
    <cfRule type="expression" dxfId="14378" priority="340" stopIfTrue="1">
      <formula>AND(AG130&gt;=78100,AG130&lt;=78199)</formula>
    </cfRule>
    <cfRule type="expression" dxfId="14377" priority="341" stopIfTrue="1">
      <formula>AND(AG130&gt;=91000,AG130&lt;=91999)</formula>
    </cfRule>
  </conditionalFormatting>
  <conditionalFormatting sqref="AF130">
    <cfRule type="expression" dxfId="14376" priority="320">
      <formula>AND(AG130&gt;=79001,AG130&lt;79900)</formula>
    </cfRule>
    <cfRule type="expression" dxfId="14375" priority="321" stopIfTrue="1">
      <formula>AND(AG130&gt;=70101,AG130&lt;=70301)</formula>
    </cfRule>
    <cfRule type="expression" dxfId="14374" priority="322" stopIfTrue="1">
      <formula>AND(AG130&gt;70000,AG130&lt;70004)</formula>
    </cfRule>
    <cfRule type="expression" dxfId="14373" priority="323" stopIfTrue="1">
      <formula>AND(AG130&gt;=70010,AG130&lt;=76000)</formula>
    </cfRule>
    <cfRule type="expression" dxfId="14372" priority="324">
      <formula>AND(AG130&gt;70000,AG130&lt;70004)</formula>
    </cfRule>
    <cfRule type="expression" dxfId="14371" priority="325" stopIfTrue="1">
      <formula>OR(AND(AG130&gt;=10000,AG130&lt;=56999),AND(AG130&gt;=57000,AG130&lt;=57999))</formula>
    </cfRule>
    <cfRule type="expression" dxfId="14370" priority="326" stopIfTrue="1">
      <formula>AND(AG130&gt;=8000,AG130&lt;=9999)</formula>
    </cfRule>
    <cfRule type="expression" dxfId="14369" priority="327" stopIfTrue="1">
      <formula>AND(AG130&gt;=78100,AG130&lt;=78199)</formula>
    </cfRule>
    <cfRule type="expression" dxfId="14368" priority="328" stopIfTrue="1">
      <formula>AND(AG130&gt;=92000,AG130&lt;=98999)</formula>
    </cfRule>
    <cfRule type="expression" dxfId="14367" priority="329" stopIfTrue="1">
      <formula>AND(AG130&gt;=78100,AG130&lt;=78199)</formula>
    </cfRule>
    <cfRule type="expression" dxfId="14366" priority="330" stopIfTrue="1">
      <formula>AND(AG130&gt;=91000,AG130&lt;=91999)</formula>
    </cfRule>
  </conditionalFormatting>
  <conditionalFormatting sqref="AF130">
    <cfRule type="expression" dxfId="14365" priority="309">
      <formula>AND(AG130&gt;=79001,AG130&lt;79900)</formula>
    </cfRule>
    <cfRule type="expression" dxfId="14364" priority="310" stopIfTrue="1">
      <formula>AND(AG130&gt;=70101,AG130&lt;=70301)</formula>
    </cfRule>
    <cfRule type="expression" dxfId="14363" priority="311" stopIfTrue="1">
      <formula>AND(AG130&gt;70000,AG130&lt;70004)</formula>
    </cfRule>
    <cfRule type="expression" dxfId="14362" priority="312" stopIfTrue="1">
      <formula>AND(AG130&gt;=70010,AG130&lt;=76000)</formula>
    </cfRule>
    <cfRule type="expression" dxfId="14361" priority="313">
      <formula>AND(AG130&gt;70000,AG130&lt;70004)</formula>
    </cfRule>
    <cfRule type="expression" dxfId="14360" priority="314" stopIfTrue="1">
      <formula>OR(AND(AG130&gt;=10000,AG130&lt;=56999),AND(AG130&gt;=57000,AG130&lt;=57999))</formula>
    </cfRule>
    <cfRule type="expression" dxfId="14359" priority="315" stopIfTrue="1">
      <formula>AND(AG130&gt;=8000,AG130&lt;=9999)</formula>
    </cfRule>
    <cfRule type="expression" dxfId="14358" priority="316" stopIfTrue="1">
      <formula>AND(AG130&gt;=78100,AG130&lt;=78199)</formula>
    </cfRule>
    <cfRule type="expression" dxfId="14357" priority="317" stopIfTrue="1">
      <formula>AND(AG130&gt;=92000,AG130&lt;=98999)</formula>
    </cfRule>
    <cfRule type="expression" dxfId="14356" priority="318" stopIfTrue="1">
      <formula>AND(AG130&gt;=78100,AG130&lt;=78199)</formula>
    </cfRule>
    <cfRule type="expression" dxfId="14355" priority="319" stopIfTrue="1">
      <formula>AND(AG130&gt;=91000,AG130&lt;=91999)</formula>
    </cfRule>
  </conditionalFormatting>
  <conditionalFormatting sqref="X133">
    <cfRule type="expression" dxfId="14354" priority="298">
      <formula>AND(Y133&gt;=79001,Y133&lt;79900)</formula>
    </cfRule>
    <cfRule type="expression" dxfId="14353" priority="299" stopIfTrue="1">
      <formula>AND(Y133&gt;=70101,Y133&lt;=70301)</formula>
    </cfRule>
    <cfRule type="expression" dxfId="14352" priority="300" stopIfTrue="1">
      <formula>AND(Y133&gt;70000,Y133&lt;70004)</formula>
    </cfRule>
    <cfRule type="expression" dxfId="14351" priority="301" stopIfTrue="1">
      <formula>AND(Y133&gt;=70010,Y133&lt;=76000)</formula>
    </cfRule>
    <cfRule type="expression" dxfId="14350" priority="302">
      <formula>AND(Y133&gt;70000,Y133&lt;70004)</formula>
    </cfRule>
    <cfRule type="expression" dxfId="14349" priority="303" stopIfTrue="1">
      <formula>OR(AND(Y133&gt;=10000,Y133&lt;=56999),AND(Y133&gt;=57000,Y133&lt;=57999))</formula>
    </cfRule>
    <cfRule type="expression" dxfId="14348" priority="304" stopIfTrue="1">
      <formula>AND(Y133&gt;=8000,Y133&lt;=9999)</formula>
    </cfRule>
    <cfRule type="expression" dxfId="14347" priority="305" stopIfTrue="1">
      <formula>AND(Y133&gt;=78100,Y133&lt;=78199)</formula>
    </cfRule>
    <cfRule type="expression" dxfId="14346" priority="306" stopIfTrue="1">
      <formula>AND(Y133&gt;=92000,Y133&lt;=98999)</formula>
    </cfRule>
    <cfRule type="expression" dxfId="14345" priority="307" stopIfTrue="1">
      <formula>AND(Y133&gt;=78100,Y133&lt;=78199)</formula>
    </cfRule>
    <cfRule type="expression" dxfId="14344" priority="308" stopIfTrue="1">
      <formula>AND(Y133&gt;=91000,Y133&lt;=91999)</formula>
    </cfRule>
  </conditionalFormatting>
  <conditionalFormatting sqref="X133">
    <cfRule type="expression" dxfId="14343" priority="287">
      <formula>AND(Y133&gt;=79001,Y133&lt;79900)</formula>
    </cfRule>
    <cfRule type="expression" dxfId="14342" priority="288" stopIfTrue="1">
      <formula>AND(Y133&gt;=70101,Y133&lt;=70301)</formula>
    </cfRule>
    <cfRule type="expression" dxfId="14341" priority="289" stopIfTrue="1">
      <formula>AND(Y133&gt;70000,Y133&lt;70004)</formula>
    </cfRule>
    <cfRule type="expression" dxfId="14340" priority="290" stopIfTrue="1">
      <formula>AND(Y133&gt;=70010,Y133&lt;=76000)</formula>
    </cfRule>
    <cfRule type="expression" dxfId="14339" priority="291">
      <formula>AND(Y133&gt;70000,Y133&lt;70004)</formula>
    </cfRule>
    <cfRule type="expression" dxfId="14338" priority="292" stopIfTrue="1">
      <formula>OR(AND(Y133&gt;=10000,Y133&lt;=56999),AND(Y133&gt;=57000,Y133&lt;=57999))</formula>
    </cfRule>
    <cfRule type="expression" dxfId="14337" priority="293" stopIfTrue="1">
      <formula>AND(Y133&gt;=8000,Y133&lt;=9999)</formula>
    </cfRule>
    <cfRule type="expression" dxfId="14336" priority="294" stopIfTrue="1">
      <formula>AND(Y133&gt;=78100,Y133&lt;=78199)</formula>
    </cfRule>
    <cfRule type="expression" dxfId="14335" priority="295" stopIfTrue="1">
      <formula>AND(Y133&gt;=92000,Y133&lt;=98999)</formula>
    </cfRule>
    <cfRule type="expression" dxfId="14334" priority="296" stopIfTrue="1">
      <formula>AND(Y133&gt;=78100,Y133&lt;=78199)</formula>
    </cfRule>
    <cfRule type="expression" dxfId="14333" priority="297" stopIfTrue="1">
      <formula>AND(Y133&gt;=91000,Y133&lt;=91999)</formula>
    </cfRule>
  </conditionalFormatting>
  <conditionalFormatting sqref="X133">
    <cfRule type="expression" dxfId="14332" priority="276">
      <formula>AND(Y133&gt;=79001,Y133&lt;79900)</formula>
    </cfRule>
    <cfRule type="expression" dxfId="14331" priority="277" stopIfTrue="1">
      <formula>AND(Y133&gt;=70101,Y133&lt;=70301)</formula>
    </cfRule>
    <cfRule type="expression" dxfId="14330" priority="278" stopIfTrue="1">
      <formula>AND(Y133&gt;70000,Y133&lt;70004)</formula>
    </cfRule>
    <cfRule type="expression" dxfId="14329" priority="279" stopIfTrue="1">
      <formula>AND(Y133&gt;=70010,Y133&lt;=76000)</formula>
    </cfRule>
    <cfRule type="expression" dxfId="14328" priority="280">
      <formula>AND(Y133&gt;70000,Y133&lt;70004)</formula>
    </cfRule>
    <cfRule type="expression" dxfId="14327" priority="281" stopIfTrue="1">
      <formula>OR(AND(Y133&gt;=10000,Y133&lt;=56999),AND(Y133&gt;=57000,Y133&lt;=57999))</formula>
    </cfRule>
    <cfRule type="expression" dxfId="14326" priority="282" stopIfTrue="1">
      <formula>AND(Y133&gt;=8000,Y133&lt;=9999)</formula>
    </cfRule>
    <cfRule type="expression" dxfId="14325" priority="283" stopIfTrue="1">
      <formula>AND(Y133&gt;=78100,Y133&lt;=78199)</formula>
    </cfRule>
    <cfRule type="expression" dxfId="14324" priority="284" stopIfTrue="1">
      <formula>AND(Y133&gt;=92000,Y133&lt;=98999)</formula>
    </cfRule>
    <cfRule type="expression" dxfId="14323" priority="285" stopIfTrue="1">
      <formula>AND(Y133&gt;=78100,Y133&lt;=78199)</formula>
    </cfRule>
    <cfRule type="expression" dxfId="14322" priority="286" stopIfTrue="1">
      <formula>AND(Y133&gt;=91000,Y133&lt;=91999)</formula>
    </cfRule>
  </conditionalFormatting>
  <conditionalFormatting sqref="X133">
    <cfRule type="expression" dxfId="14321" priority="265">
      <formula>AND(Y133&gt;=79001,Y133&lt;79900)</formula>
    </cfRule>
    <cfRule type="expression" dxfId="14320" priority="266" stopIfTrue="1">
      <formula>AND(Y133&gt;=70101,Y133&lt;=70301)</formula>
    </cfRule>
    <cfRule type="expression" dxfId="14319" priority="267" stopIfTrue="1">
      <formula>AND(Y133&gt;70000,Y133&lt;70004)</formula>
    </cfRule>
    <cfRule type="expression" dxfId="14318" priority="268" stopIfTrue="1">
      <formula>AND(Y133&gt;=70010,Y133&lt;=76000)</formula>
    </cfRule>
    <cfRule type="expression" dxfId="14317" priority="269">
      <formula>AND(Y133&gt;70000,Y133&lt;70004)</formula>
    </cfRule>
    <cfRule type="expression" dxfId="14316" priority="270" stopIfTrue="1">
      <formula>OR(AND(Y133&gt;=10000,Y133&lt;=56999),AND(Y133&gt;=57000,Y133&lt;=57999))</formula>
    </cfRule>
    <cfRule type="expression" dxfId="14315" priority="271" stopIfTrue="1">
      <formula>AND(Y133&gt;=8000,Y133&lt;=9999)</formula>
    </cfRule>
    <cfRule type="expression" dxfId="14314" priority="272" stopIfTrue="1">
      <formula>AND(Y133&gt;=78100,Y133&lt;=78199)</formula>
    </cfRule>
    <cfRule type="expression" dxfId="14313" priority="273" stopIfTrue="1">
      <formula>AND(Y133&gt;=92000,Y133&lt;=98999)</formula>
    </cfRule>
    <cfRule type="expression" dxfId="14312" priority="274" stopIfTrue="1">
      <formula>AND(Y133&gt;=78100,Y133&lt;=78199)</formula>
    </cfRule>
    <cfRule type="expression" dxfId="14311" priority="275" stopIfTrue="1">
      <formula>AND(Y133&gt;=91000,Y133&lt;=91999)</formula>
    </cfRule>
  </conditionalFormatting>
  <conditionalFormatting sqref="AB133">
    <cfRule type="expression" dxfId="14310" priority="254">
      <formula>AND(AC133&gt;=79001,AC133&lt;79900)</formula>
    </cfRule>
    <cfRule type="expression" dxfId="14309" priority="255" stopIfTrue="1">
      <formula>AND(AC133&gt;=70101,AC133&lt;=70301)</formula>
    </cfRule>
    <cfRule type="expression" dxfId="14308" priority="256" stopIfTrue="1">
      <formula>AND(AC133&gt;70000,AC133&lt;70004)</formula>
    </cfRule>
    <cfRule type="expression" dxfId="14307" priority="257" stopIfTrue="1">
      <formula>AND(AC133&gt;=70010,AC133&lt;=76000)</formula>
    </cfRule>
    <cfRule type="expression" dxfId="14306" priority="258">
      <formula>AND(AC133&gt;70000,AC133&lt;70004)</formula>
    </cfRule>
    <cfRule type="expression" dxfId="14305" priority="259" stopIfTrue="1">
      <formula>OR(AND(AC133&gt;=10000,AC133&lt;=56999),AND(AC133&gt;=57000,AC133&lt;=57999))</formula>
    </cfRule>
    <cfRule type="expression" dxfId="14304" priority="260" stopIfTrue="1">
      <formula>AND(AC133&gt;=8000,AC133&lt;=9999)</formula>
    </cfRule>
    <cfRule type="expression" dxfId="14303" priority="261" stopIfTrue="1">
      <formula>AND(AC133&gt;=78100,AC133&lt;=78199)</formula>
    </cfRule>
    <cfRule type="expression" dxfId="14302" priority="262" stopIfTrue="1">
      <formula>AND(AC133&gt;=92000,AC133&lt;=98999)</formula>
    </cfRule>
    <cfRule type="expression" dxfId="14301" priority="263" stopIfTrue="1">
      <formula>AND(AC133&gt;=78100,AC133&lt;=78199)</formula>
    </cfRule>
    <cfRule type="expression" dxfId="14300" priority="264" stopIfTrue="1">
      <formula>AND(AC133&gt;=91000,AC133&lt;=91999)</formula>
    </cfRule>
  </conditionalFormatting>
  <conditionalFormatting sqref="AB133">
    <cfRule type="expression" dxfId="14299" priority="243">
      <formula>AND(AC133&gt;=79001,AC133&lt;79900)</formula>
    </cfRule>
    <cfRule type="expression" dxfId="14298" priority="244" stopIfTrue="1">
      <formula>AND(AC133&gt;=70101,AC133&lt;=70301)</formula>
    </cfRule>
    <cfRule type="expression" dxfId="14297" priority="245" stopIfTrue="1">
      <formula>AND(AC133&gt;70000,AC133&lt;70004)</formula>
    </cfRule>
    <cfRule type="expression" dxfId="14296" priority="246" stopIfTrue="1">
      <formula>AND(AC133&gt;=70010,AC133&lt;=76000)</formula>
    </cfRule>
    <cfRule type="expression" dxfId="14295" priority="247">
      <formula>AND(AC133&gt;70000,AC133&lt;70004)</formula>
    </cfRule>
    <cfRule type="expression" dxfId="14294" priority="248" stopIfTrue="1">
      <formula>OR(AND(AC133&gt;=10000,AC133&lt;=56999),AND(AC133&gt;=57000,AC133&lt;=57999))</formula>
    </cfRule>
    <cfRule type="expression" dxfId="14293" priority="249" stopIfTrue="1">
      <formula>AND(AC133&gt;=8000,AC133&lt;=9999)</formula>
    </cfRule>
    <cfRule type="expression" dxfId="14292" priority="250" stopIfTrue="1">
      <formula>AND(AC133&gt;=78100,AC133&lt;=78199)</formula>
    </cfRule>
    <cfRule type="expression" dxfId="14291" priority="251" stopIfTrue="1">
      <formula>AND(AC133&gt;=92000,AC133&lt;=98999)</formula>
    </cfRule>
    <cfRule type="expression" dxfId="14290" priority="252" stopIfTrue="1">
      <formula>AND(AC133&gt;=78100,AC133&lt;=78199)</formula>
    </cfRule>
    <cfRule type="expression" dxfId="14289" priority="253" stopIfTrue="1">
      <formula>AND(AC133&gt;=91000,AC133&lt;=91999)</formula>
    </cfRule>
  </conditionalFormatting>
  <conditionalFormatting sqref="AB133">
    <cfRule type="expression" dxfId="14288" priority="232">
      <formula>AND(AC133&gt;=79001,AC133&lt;79900)</formula>
    </cfRule>
    <cfRule type="expression" dxfId="14287" priority="233" stopIfTrue="1">
      <formula>AND(AC133&gt;=70101,AC133&lt;=70301)</formula>
    </cfRule>
    <cfRule type="expression" dxfId="14286" priority="234" stopIfTrue="1">
      <formula>AND(AC133&gt;70000,AC133&lt;70004)</formula>
    </cfRule>
    <cfRule type="expression" dxfId="14285" priority="235" stopIfTrue="1">
      <formula>AND(AC133&gt;=70010,AC133&lt;=76000)</formula>
    </cfRule>
    <cfRule type="expression" dxfId="14284" priority="236">
      <formula>AND(AC133&gt;70000,AC133&lt;70004)</formula>
    </cfRule>
    <cfRule type="expression" dxfId="14283" priority="237" stopIfTrue="1">
      <formula>OR(AND(AC133&gt;=10000,AC133&lt;=56999),AND(AC133&gt;=57000,AC133&lt;=57999))</formula>
    </cfRule>
    <cfRule type="expression" dxfId="14282" priority="238" stopIfTrue="1">
      <formula>AND(AC133&gt;=8000,AC133&lt;=9999)</formula>
    </cfRule>
    <cfRule type="expression" dxfId="14281" priority="239" stopIfTrue="1">
      <formula>AND(AC133&gt;=78100,AC133&lt;=78199)</formula>
    </cfRule>
    <cfRule type="expression" dxfId="14280" priority="240" stopIfTrue="1">
      <formula>AND(AC133&gt;=92000,AC133&lt;=98999)</formula>
    </cfRule>
    <cfRule type="expression" dxfId="14279" priority="241" stopIfTrue="1">
      <formula>AND(AC133&gt;=78100,AC133&lt;=78199)</formula>
    </cfRule>
    <cfRule type="expression" dxfId="14278" priority="242" stopIfTrue="1">
      <formula>AND(AC133&gt;=91000,AC133&lt;=91999)</formula>
    </cfRule>
  </conditionalFormatting>
  <conditionalFormatting sqref="AB133">
    <cfRule type="expression" dxfId="14277" priority="221">
      <formula>AND(AC133&gt;=79001,AC133&lt;79900)</formula>
    </cfRule>
    <cfRule type="expression" dxfId="14276" priority="222" stopIfTrue="1">
      <formula>AND(AC133&gt;=70101,AC133&lt;=70301)</formula>
    </cfRule>
    <cfRule type="expression" dxfId="14275" priority="223" stopIfTrue="1">
      <formula>AND(AC133&gt;70000,AC133&lt;70004)</formula>
    </cfRule>
    <cfRule type="expression" dxfId="14274" priority="224" stopIfTrue="1">
      <formula>AND(AC133&gt;=70010,AC133&lt;=76000)</formula>
    </cfRule>
    <cfRule type="expression" dxfId="14273" priority="225">
      <formula>AND(AC133&gt;70000,AC133&lt;70004)</formula>
    </cfRule>
    <cfRule type="expression" dxfId="14272" priority="226" stopIfTrue="1">
      <formula>OR(AND(AC133&gt;=10000,AC133&lt;=56999),AND(AC133&gt;=57000,AC133&lt;=57999))</formula>
    </cfRule>
    <cfRule type="expression" dxfId="14271" priority="227" stopIfTrue="1">
      <formula>AND(AC133&gt;=8000,AC133&lt;=9999)</formula>
    </cfRule>
    <cfRule type="expression" dxfId="14270" priority="228" stopIfTrue="1">
      <formula>AND(AC133&gt;=78100,AC133&lt;=78199)</formula>
    </cfRule>
    <cfRule type="expression" dxfId="14269" priority="229" stopIfTrue="1">
      <formula>AND(AC133&gt;=92000,AC133&lt;=98999)</formula>
    </cfRule>
    <cfRule type="expression" dxfId="14268" priority="230" stopIfTrue="1">
      <formula>AND(AC133&gt;=78100,AC133&lt;=78199)</formula>
    </cfRule>
    <cfRule type="expression" dxfId="14267" priority="231" stopIfTrue="1">
      <formula>AND(AC133&gt;=91000,AC133&lt;=91999)</formula>
    </cfRule>
  </conditionalFormatting>
  <conditionalFormatting sqref="AF133">
    <cfRule type="expression" dxfId="14266" priority="210">
      <formula>AND(AG133&gt;=79001,AG133&lt;79900)</formula>
    </cfRule>
    <cfRule type="expression" dxfId="14265" priority="211" stopIfTrue="1">
      <formula>AND(AG133&gt;=70101,AG133&lt;=70301)</formula>
    </cfRule>
    <cfRule type="expression" dxfId="14264" priority="212" stopIfTrue="1">
      <formula>AND(AG133&gt;70000,AG133&lt;70004)</formula>
    </cfRule>
    <cfRule type="expression" dxfId="14263" priority="213" stopIfTrue="1">
      <formula>AND(AG133&gt;=70010,AG133&lt;=76000)</formula>
    </cfRule>
    <cfRule type="expression" dxfId="14262" priority="214">
      <formula>AND(AG133&gt;70000,AG133&lt;70004)</formula>
    </cfRule>
    <cfRule type="expression" dxfId="14261" priority="215" stopIfTrue="1">
      <formula>OR(AND(AG133&gt;=10000,AG133&lt;=56999),AND(AG133&gt;=57000,AG133&lt;=57999))</formula>
    </cfRule>
    <cfRule type="expression" dxfId="14260" priority="216" stopIfTrue="1">
      <formula>AND(AG133&gt;=8000,AG133&lt;=9999)</formula>
    </cfRule>
    <cfRule type="expression" dxfId="14259" priority="217" stopIfTrue="1">
      <formula>AND(AG133&gt;=78100,AG133&lt;=78199)</formula>
    </cfRule>
    <cfRule type="expression" dxfId="14258" priority="218" stopIfTrue="1">
      <formula>AND(AG133&gt;=92000,AG133&lt;=98999)</formula>
    </cfRule>
    <cfRule type="expression" dxfId="14257" priority="219" stopIfTrue="1">
      <formula>AND(AG133&gt;=78100,AG133&lt;=78199)</formula>
    </cfRule>
    <cfRule type="expression" dxfId="14256" priority="220" stopIfTrue="1">
      <formula>AND(AG133&gt;=91000,AG133&lt;=91999)</formula>
    </cfRule>
  </conditionalFormatting>
  <conditionalFormatting sqref="AF133">
    <cfRule type="expression" dxfId="14255" priority="199">
      <formula>AND(AG133&gt;=79001,AG133&lt;79900)</formula>
    </cfRule>
    <cfRule type="expression" dxfId="14254" priority="200" stopIfTrue="1">
      <formula>AND(AG133&gt;=70101,AG133&lt;=70301)</formula>
    </cfRule>
    <cfRule type="expression" dxfId="14253" priority="201" stopIfTrue="1">
      <formula>AND(AG133&gt;70000,AG133&lt;70004)</formula>
    </cfRule>
    <cfRule type="expression" dxfId="14252" priority="202" stopIfTrue="1">
      <formula>AND(AG133&gt;=70010,AG133&lt;=76000)</formula>
    </cfRule>
    <cfRule type="expression" dxfId="14251" priority="203">
      <formula>AND(AG133&gt;70000,AG133&lt;70004)</formula>
    </cfRule>
    <cfRule type="expression" dxfId="14250" priority="204" stopIfTrue="1">
      <formula>OR(AND(AG133&gt;=10000,AG133&lt;=56999),AND(AG133&gt;=57000,AG133&lt;=57999))</formula>
    </cfRule>
    <cfRule type="expression" dxfId="14249" priority="205" stopIfTrue="1">
      <formula>AND(AG133&gt;=8000,AG133&lt;=9999)</formula>
    </cfRule>
    <cfRule type="expression" dxfId="14248" priority="206" stopIfTrue="1">
      <formula>AND(AG133&gt;=78100,AG133&lt;=78199)</formula>
    </cfRule>
    <cfRule type="expression" dxfId="14247" priority="207" stopIfTrue="1">
      <formula>AND(AG133&gt;=92000,AG133&lt;=98999)</formula>
    </cfRule>
    <cfRule type="expression" dxfId="14246" priority="208" stopIfTrue="1">
      <formula>AND(AG133&gt;=78100,AG133&lt;=78199)</formula>
    </cfRule>
    <cfRule type="expression" dxfId="14245" priority="209" stopIfTrue="1">
      <formula>AND(AG133&gt;=91000,AG133&lt;=91999)</formula>
    </cfRule>
  </conditionalFormatting>
  <conditionalFormatting sqref="AF133">
    <cfRule type="expression" dxfId="14244" priority="188">
      <formula>AND(AG133&gt;=79001,AG133&lt;79900)</formula>
    </cfRule>
    <cfRule type="expression" dxfId="14243" priority="189" stopIfTrue="1">
      <formula>AND(AG133&gt;=70101,AG133&lt;=70301)</formula>
    </cfRule>
    <cfRule type="expression" dxfId="14242" priority="190" stopIfTrue="1">
      <formula>AND(AG133&gt;70000,AG133&lt;70004)</formula>
    </cfRule>
    <cfRule type="expression" dxfId="14241" priority="191" stopIfTrue="1">
      <formula>AND(AG133&gt;=70010,AG133&lt;=76000)</formula>
    </cfRule>
    <cfRule type="expression" dxfId="14240" priority="192">
      <formula>AND(AG133&gt;70000,AG133&lt;70004)</formula>
    </cfRule>
    <cfRule type="expression" dxfId="14239" priority="193" stopIfTrue="1">
      <formula>OR(AND(AG133&gt;=10000,AG133&lt;=56999),AND(AG133&gt;=57000,AG133&lt;=57999))</formula>
    </cfRule>
    <cfRule type="expression" dxfId="14238" priority="194" stopIfTrue="1">
      <formula>AND(AG133&gt;=8000,AG133&lt;=9999)</formula>
    </cfRule>
    <cfRule type="expression" dxfId="14237" priority="195" stopIfTrue="1">
      <formula>AND(AG133&gt;=78100,AG133&lt;=78199)</formula>
    </cfRule>
    <cfRule type="expression" dxfId="14236" priority="196" stopIfTrue="1">
      <formula>AND(AG133&gt;=92000,AG133&lt;=98999)</formula>
    </cfRule>
    <cfRule type="expression" dxfId="14235" priority="197" stopIfTrue="1">
      <formula>AND(AG133&gt;=78100,AG133&lt;=78199)</formula>
    </cfRule>
    <cfRule type="expression" dxfId="14234" priority="198" stopIfTrue="1">
      <formula>AND(AG133&gt;=91000,AG133&lt;=91999)</formula>
    </cfRule>
  </conditionalFormatting>
  <conditionalFormatting sqref="AF133">
    <cfRule type="expression" dxfId="14233" priority="177">
      <formula>AND(AG133&gt;=79001,AG133&lt;79900)</formula>
    </cfRule>
    <cfRule type="expression" dxfId="14232" priority="178" stopIfTrue="1">
      <formula>AND(AG133&gt;=70101,AG133&lt;=70301)</formula>
    </cfRule>
    <cfRule type="expression" dxfId="14231" priority="179" stopIfTrue="1">
      <formula>AND(AG133&gt;70000,AG133&lt;70004)</formula>
    </cfRule>
    <cfRule type="expression" dxfId="14230" priority="180" stopIfTrue="1">
      <formula>AND(AG133&gt;=70010,AG133&lt;=76000)</formula>
    </cfRule>
    <cfRule type="expression" dxfId="14229" priority="181">
      <formula>AND(AG133&gt;70000,AG133&lt;70004)</formula>
    </cfRule>
    <cfRule type="expression" dxfId="14228" priority="182" stopIfTrue="1">
      <formula>OR(AND(AG133&gt;=10000,AG133&lt;=56999),AND(AG133&gt;=57000,AG133&lt;=57999))</formula>
    </cfRule>
    <cfRule type="expression" dxfId="14227" priority="183" stopIfTrue="1">
      <formula>AND(AG133&gt;=8000,AG133&lt;=9999)</formula>
    </cfRule>
    <cfRule type="expression" dxfId="14226" priority="184" stopIfTrue="1">
      <formula>AND(AG133&gt;=78100,AG133&lt;=78199)</formula>
    </cfRule>
    <cfRule type="expression" dxfId="14225" priority="185" stopIfTrue="1">
      <formula>AND(AG133&gt;=92000,AG133&lt;=98999)</formula>
    </cfRule>
    <cfRule type="expression" dxfId="14224" priority="186" stopIfTrue="1">
      <formula>AND(AG133&gt;=78100,AG133&lt;=78199)</formula>
    </cfRule>
    <cfRule type="expression" dxfId="14223" priority="187" stopIfTrue="1">
      <formula>AND(AG133&gt;=91000,AG133&lt;=91999)</formula>
    </cfRule>
  </conditionalFormatting>
  <conditionalFormatting sqref="X136">
    <cfRule type="expression" dxfId="14222" priority="166">
      <formula>AND(Y136&gt;=79001,Y136&lt;79900)</formula>
    </cfRule>
    <cfRule type="expression" dxfId="14221" priority="167" stopIfTrue="1">
      <formula>AND(Y136&gt;=70101,Y136&lt;=70301)</formula>
    </cfRule>
    <cfRule type="expression" dxfId="14220" priority="168" stopIfTrue="1">
      <formula>AND(Y136&gt;70000,Y136&lt;70004)</formula>
    </cfRule>
    <cfRule type="expression" dxfId="14219" priority="169" stopIfTrue="1">
      <formula>AND(Y136&gt;=70010,Y136&lt;=76000)</formula>
    </cfRule>
    <cfRule type="expression" dxfId="14218" priority="170">
      <formula>AND(Y136&gt;70000,Y136&lt;70004)</formula>
    </cfRule>
    <cfRule type="expression" dxfId="14217" priority="171" stopIfTrue="1">
      <formula>OR(AND(Y136&gt;=10000,Y136&lt;=56999),AND(Y136&gt;=57000,Y136&lt;=57999))</formula>
    </cfRule>
    <cfRule type="expression" dxfId="14216" priority="172" stopIfTrue="1">
      <formula>AND(Y136&gt;=8000,Y136&lt;=9999)</formula>
    </cfRule>
    <cfRule type="expression" dxfId="14215" priority="173" stopIfTrue="1">
      <formula>AND(Y136&gt;=78100,Y136&lt;=78199)</formula>
    </cfRule>
    <cfRule type="expression" dxfId="14214" priority="174" stopIfTrue="1">
      <formula>AND(Y136&gt;=92000,Y136&lt;=98999)</formula>
    </cfRule>
    <cfRule type="expression" dxfId="14213" priority="175" stopIfTrue="1">
      <formula>AND(Y136&gt;=78100,Y136&lt;=78199)</formula>
    </cfRule>
    <cfRule type="expression" dxfId="14212" priority="176" stopIfTrue="1">
      <formula>AND(Y136&gt;=91000,Y136&lt;=91999)</formula>
    </cfRule>
  </conditionalFormatting>
  <conditionalFormatting sqref="X136">
    <cfRule type="expression" dxfId="14211" priority="155">
      <formula>AND(Y136&gt;=79001,Y136&lt;79900)</formula>
    </cfRule>
    <cfRule type="expression" dxfId="14210" priority="156" stopIfTrue="1">
      <formula>AND(Y136&gt;=70101,Y136&lt;=70301)</formula>
    </cfRule>
    <cfRule type="expression" dxfId="14209" priority="157" stopIfTrue="1">
      <formula>AND(Y136&gt;70000,Y136&lt;70004)</formula>
    </cfRule>
    <cfRule type="expression" dxfId="14208" priority="158" stopIfTrue="1">
      <formula>AND(Y136&gt;=70010,Y136&lt;=76000)</formula>
    </cfRule>
    <cfRule type="expression" dxfId="14207" priority="159">
      <formula>AND(Y136&gt;70000,Y136&lt;70004)</formula>
    </cfRule>
    <cfRule type="expression" dxfId="14206" priority="160" stopIfTrue="1">
      <formula>OR(AND(Y136&gt;=10000,Y136&lt;=56999),AND(Y136&gt;=57000,Y136&lt;=57999))</formula>
    </cfRule>
    <cfRule type="expression" dxfId="14205" priority="161" stopIfTrue="1">
      <formula>AND(Y136&gt;=8000,Y136&lt;=9999)</formula>
    </cfRule>
    <cfRule type="expression" dxfId="14204" priority="162" stopIfTrue="1">
      <formula>AND(Y136&gt;=78100,Y136&lt;=78199)</formula>
    </cfRule>
    <cfRule type="expression" dxfId="14203" priority="163" stopIfTrue="1">
      <formula>AND(Y136&gt;=92000,Y136&lt;=98999)</formula>
    </cfRule>
    <cfRule type="expression" dxfId="14202" priority="164" stopIfTrue="1">
      <formula>AND(Y136&gt;=78100,Y136&lt;=78199)</formula>
    </cfRule>
    <cfRule type="expression" dxfId="14201" priority="165" stopIfTrue="1">
      <formula>AND(Y136&gt;=91000,Y136&lt;=91999)</formula>
    </cfRule>
  </conditionalFormatting>
  <conditionalFormatting sqref="X136">
    <cfRule type="expression" dxfId="14200" priority="144">
      <formula>AND(Y136&gt;=79001,Y136&lt;79900)</formula>
    </cfRule>
    <cfRule type="expression" dxfId="14199" priority="145" stopIfTrue="1">
      <formula>AND(Y136&gt;=70101,Y136&lt;=70301)</formula>
    </cfRule>
    <cfRule type="expression" dxfId="14198" priority="146" stopIfTrue="1">
      <formula>AND(Y136&gt;70000,Y136&lt;70004)</formula>
    </cfRule>
    <cfRule type="expression" dxfId="14197" priority="147" stopIfTrue="1">
      <formula>AND(Y136&gt;=70010,Y136&lt;=76000)</formula>
    </cfRule>
    <cfRule type="expression" dxfId="14196" priority="148">
      <formula>AND(Y136&gt;70000,Y136&lt;70004)</formula>
    </cfRule>
    <cfRule type="expression" dxfId="14195" priority="149" stopIfTrue="1">
      <formula>OR(AND(Y136&gt;=10000,Y136&lt;=56999),AND(Y136&gt;=57000,Y136&lt;=57999))</formula>
    </cfRule>
    <cfRule type="expression" dxfId="14194" priority="150" stopIfTrue="1">
      <formula>AND(Y136&gt;=8000,Y136&lt;=9999)</formula>
    </cfRule>
    <cfRule type="expression" dxfId="14193" priority="151" stopIfTrue="1">
      <formula>AND(Y136&gt;=78100,Y136&lt;=78199)</formula>
    </cfRule>
    <cfRule type="expression" dxfId="14192" priority="152" stopIfTrue="1">
      <formula>AND(Y136&gt;=92000,Y136&lt;=98999)</formula>
    </cfRule>
    <cfRule type="expression" dxfId="14191" priority="153" stopIfTrue="1">
      <formula>AND(Y136&gt;=78100,Y136&lt;=78199)</formula>
    </cfRule>
    <cfRule type="expression" dxfId="14190" priority="154" stopIfTrue="1">
      <formula>AND(Y136&gt;=91000,Y136&lt;=91999)</formula>
    </cfRule>
  </conditionalFormatting>
  <conditionalFormatting sqref="X136">
    <cfRule type="expression" dxfId="14189" priority="133">
      <formula>AND(Y136&gt;=79001,Y136&lt;79900)</formula>
    </cfRule>
    <cfRule type="expression" dxfId="14188" priority="134" stopIfTrue="1">
      <formula>AND(Y136&gt;=70101,Y136&lt;=70301)</formula>
    </cfRule>
    <cfRule type="expression" dxfId="14187" priority="135" stopIfTrue="1">
      <formula>AND(Y136&gt;70000,Y136&lt;70004)</formula>
    </cfRule>
    <cfRule type="expression" dxfId="14186" priority="136" stopIfTrue="1">
      <formula>AND(Y136&gt;=70010,Y136&lt;=76000)</formula>
    </cfRule>
    <cfRule type="expression" dxfId="14185" priority="137">
      <formula>AND(Y136&gt;70000,Y136&lt;70004)</formula>
    </cfRule>
    <cfRule type="expression" dxfId="14184" priority="138" stopIfTrue="1">
      <formula>OR(AND(Y136&gt;=10000,Y136&lt;=56999),AND(Y136&gt;=57000,Y136&lt;=57999))</formula>
    </cfRule>
    <cfRule type="expression" dxfId="14183" priority="139" stopIfTrue="1">
      <formula>AND(Y136&gt;=8000,Y136&lt;=9999)</formula>
    </cfRule>
    <cfRule type="expression" dxfId="14182" priority="140" stopIfTrue="1">
      <formula>AND(Y136&gt;=78100,Y136&lt;=78199)</formula>
    </cfRule>
    <cfRule type="expression" dxfId="14181" priority="141" stopIfTrue="1">
      <formula>AND(Y136&gt;=92000,Y136&lt;=98999)</formula>
    </cfRule>
    <cfRule type="expression" dxfId="14180" priority="142" stopIfTrue="1">
      <formula>AND(Y136&gt;=78100,Y136&lt;=78199)</formula>
    </cfRule>
    <cfRule type="expression" dxfId="14179" priority="143" stopIfTrue="1">
      <formula>AND(Y136&gt;=91000,Y136&lt;=91999)</formula>
    </cfRule>
  </conditionalFormatting>
  <conditionalFormatting sqref="AB136">
    <cfRule type="expression" dxfId="14178" priority="122">
      <formula>AND(AC136&gt;=79001,AC136&lt;79900)</formula>
    </cfRule>
    <cfRule type="expression" dxfId="14177" priority="123" stopIfTrue="1">
      <formula>AND(AC136&gt;=70101,AC136&lt;=70301)</formula>
    </cfRule>
    <cfRule type="expression" dxfId="14176" priority="124" stopIfTrue="1">
      <formula>AND(AC136&gt;70000,AC136&lt;70004)</formula>
    </cfRule>
    <cfRule type="expression" dxfId="14175" priority="125" stopIfTrue="1">
      <formula>AND(AC136&gt;=70010,AC136&lt;=76000)</formula>
    </cfRule>
    <cfRule type="expression" dxfId="14174" priority="126">
      <formula>AND(AC136&gt;70000,AC136&lt;70004)</formula>
    </cfRule>
    <cfRule type="expression" dxfId="14173" priority="127" stopIfTrue="1">
      <formula>OR(AND(AC136&gt;=10000,AC136&lt;=56999),AND(AC136&gt;=57000,AC136&lt;=57999))</formula>
    </cfRule>
    <cfRule type="expression" dxfId="14172" priority="128" stopIfTrue="1">
      <formula>AND(AC136&gt;=8000,AC136&lt;=9999)</formula>
    </cfRule>
    <cfRule type="expression" dxfId="14171" priority="129" stopIfTrue="1">
      <formula>AND(AC136&gt;=78100,AC136&lt;=78199)</formula>
    </cfRule>
    <cfRule type="expression" dxfId="14170" priority="130" stopIfTrue="1">
      <formula>AND(AC136&gt;=92000,AC136&lt;=98999)</formula>
    </cfRule>
    <cfRule type="expression" dxfId="14169" priority="131" stopIfTrue="1">
      <formula>AND(AC136&gt;=78100,AC136&lt;=78199)</formula>
    </cfRule>
    <cfRule type="expression" dxfId="14168" priority="132" stopIfTrue="1">
      <formula>AND(AC136&gt;=91000,AC136&lt;=91999)</formula>
    </cfRule>
  </conditionalFormatting>
  <conditionalFormatting sqref="AB136">
    <cfRule type="expression" dxfId="14167" priority="111">
      <formula>AND(AC136&gt;=79001,AC136&lt;79900)</formula>
    </cfRule>
    <cfRule type="expression" dxfId="14166" priority="112" stopIfTrue="1">
      <formula>AND(AC136&gt;=70101,AC136&lt;=70301)</formula>
    </cfRule>
    <cfRule type="expression" dxfId="14165" priority="113" stopIfTrue="1">
      <formula>AND(AC136&gt;70000,AC136&lt;70004)</formula>
    </cfRule>
    <cfRule type="expression" dxfId="14164" priority="114" stopIfTrue="1">
      <formula>AND(AC136&gt;=70010,AC136&lt;=76000)</formula>
    </cfRule>
    <cfRule type="expression" dxfId="14163" priority="115">
      <formula>AND(AC136&gt;70000,AC136&lt;70004)</formula>
    </cfRule>
    <cfRule type="expression" dxfId="14162" priority="116" stopIfTrue="1">
      <formula>OR(AND(AC136&gt;=10000,AC136&lt;=56999),AND(AC136&gt;=57000,AC136&lt;=57999))</formula>
    </cfRule>
    <cfRule type="expression" dxfId="14161" priority="117" stopIfTrue="1">
      <formula>AND(AC136&gt;=8000,AC136&lt;=9999)</formula>
    </cfRule>
    <cfRule type="expression" dxfId="14160" priority="118" stopIfTrue="1">
      <formula>AND(AC136&gt;=78100,AC136&lt;=78199)</formula>
    </cfRule>
    <cfRule type="expression" dxfId="14159" priority="119" stopIfTrue="1">
      <formula>AND(AC136&gt;=92000,AC136&lt;=98999)</formula>
    </cfRule>
    <cfRule type="expression" dxfId="14158" priority="120" stopIfTrue="1">
      <formula>AND(AC136&gt;=78100,AC136&lt;=78199)</formula>
    </cfRule>
    <cfRule type="expression" dxfId="14157" priority="121" stopIfTrue="1">
      <formula>AND(AC136&gt;=91000,AC136&lt;=91999)</formula>
    </cfRule>
  </conditionalFormatting>
  <conditionalFormatting sqref="AB136">
    <cfRule type="expression" dxfId="14156" priority="100">
      <formula>AND(AC136&gt;=79001,AC136&lt;79900)</formula>
    </cfRule>
    <cfRule type="expression" dxfId="14155" priority="101" stopIfTrue="1">
      <formula>AND(AC136&gt;=70101,AC136&lt;=70301)</formula>
    </cfRule>
    <cfRule type="expression" dxfId="14154" priority="102" stopIfTrue="1">
      <formula>AND(AC136&gt;70000,AC136&lt;70004)</formula>
    </cfRule>
    <cfRule type="expression" dxfId="14153" priority="103" stopIfTrue="1">
      <formula>AND(AC136&gt;=70010,AC136&lt;=76000)</formula>
    </cfRule>
    <cfRule type="expression" dxfId="14152" priority="104">
      <formula>AND(AC136&gt;70000,AC136&lt;70004)</formula>
    </cfRule>
    <cfRule type="expression" dxfId="14151" priority="105" stopIfTrue="1">
      <formula>OR(AND(AC136&gt;=10000,AC136&lt;=56999),AND(AC136&gt;=57000,AC136&lt;=57999))</formula>
    </cfRule>
    <cfRule type="expression" dxfId="14150" priority="106" stopIfTrue="1">
      <formula>AND(AC136&gt;=8000,AC136&lt;=9999)</formula>
    </cfRule>
    <cfRule type="expression" dxfId="14149" priority="107" stopIfTrue="1">
      <formula>AND(AC136&gt;=78100,AC136&lt;=78199)</formula>
    </cfRule>
    <cfRule type="expression" dxfId="14148" priority="108" stopIfTrue="1">
      <formula>AND(AC136&gt;=92000,AC136&lt;=98999)</formula>
    </cfRule>
    <cfRule type="expression" dxfId="14147" priority="109" stopIfTrue="1">
      <formula>AND(AC136&gt;=78100,AC136&lt;=78199)</formula>
    </cfRule>
    <cfRule type="expression" dxfId="14146" priority="110" stopIfTrue="1">
      <formula>AND(AC136&gt;=91000,AC136&lt;=91999)</formula>
    </cfRule>
  </conditionalFormatting>
  <conditionalFormatting sqref="AB136">
    <cfRule type="expression" dxfId="14145" priority="89">
      <formula>AND(AC136&gt;=79001,AC136&lt;79900)</formula>
    </cfRule>
    <cfRule type="expression" dxfId="14144" priority="90" stopIfTrue="1">
      <formula>AND(AC136&gt;=70101,AC136&lt;=70301)</formula>
    </cfRule>
    <cfRule type="expression" dxfId="14143" priority="91" stopIfTrue="1">
      <formula>AND(AC136&gt;70000,AC136&lt;70004)</formula>
    </cfRule>
    <cfRule type="expression" dxfId="14142" priority="92" stopIfTrue="1">
      <formula>AND(AC136&gt;=70010,AC136&lt;=76000)</formula>
    </cfRule>
    <cfRule type="expression" dxfId="14141" priority="93">
      <formula>AND(AC136&gt;70000,AC136&lt;70004)</formula>
    </cfRule>
    <cfRule type="expression" dxfId="14140" priority="94" stopIfTrue="1">
      <formula>OR(AND(AC136&gt;=10000,AC136&lt;=56999),AND(AC136&gt;=57000,AC136&lt;=57999))</formula>
    </cfRule>
    <cfRule type="expression" dxfId="14139" priority="95" stopIfTrue="1">
      <formula>AND(AC136&gt;=8000,AC136&lt;=9999)</formula>
    </cfRule>
    <cfRule type="expression" dxfId="14138" priority="96" stopIfTrue="1">
      <formula>AND(AC136&gt;=78100,AC136&lt;=78199)</formula>
    </cfRule>
    <cfRule type="expression" dxfId="14137" priority="97" stopIfTrue="1">
      <formula>AND(AC136&gt;=92000,AC136&lt;=98999)</formula>
    </cfRule>
    <cfRule type="expression" dxfId="14136" priority="98" stopIfTrue="1">
      <formula>AND(AC136&gt;=78100,AC136&lt;=78199)</formula>
    </cfRule>
    <cfRule type="expression" dxfId="14135" priority="99" stopIfTrue="1">
      <formula>AND(AC136&gt;=91000,AC136&lt;=91999)</formula>
    </cfRule>
  </conditionalFormatting>
  <conditionalFormatting sqref="AF136">
    <cfRule type="expression" dxfId="14134" priority="78">
      <formula>AND(AG136&gt;=79001,AG136&lt;79900)</formula>
    </cfRule>
    <cfRule type="expression" dxfId="14133" priority="79" stopIfTrue="1">
      <formula>AND(AG136&gt;=70101,AG136&lt;=70301)</formula>
    </cfRule>
    <cfRule type="expression" dxfId="14132" priority="80" stopIfTrue="1">
      <formula>AND(AG136&gt;70000,AG136&lt;70004)</formula>
    </cfRule>
    <cfRule type="expression" dxfId="14131" priority="81" stopIfTrue="1">
      <formula>AND(AG136&gt;=70010,AG136&lt;=76000)</formula>
    </cfRule>
    <cfRule type="expression" dxfId="14130" priority="82">
      <formula>AND(AG136&gt;70000,AG136&lt;70004)</formula>
    </cfRule>
    <cfRule type="expression" dxfId="14129" priority="83" stopIfTrue="1">
      <formula>OR(AND(AG136&gt;=10000,AG136&lt;=56999),AND(AG136&gt;=57000,AG136&lt;=57999))</formula>
    </cfRule>
    <cfRule type="expression" dxfId="14128" priority="84" stopIfTrue="1">
      <formula>AND(AG136&gt;=8000,AG136&lt;=9999)</formula>
    </cfRule>
    <cfRule type="expression" dxfId="14127" priority="85" stopIfTrue="1">
      <formula>AND(AG136&gt;=78100,AG136&lt;=78199)</formula>
    </cfRule>
    <cfRule type="expression" dxfId="14126" priority="86" stopIfTrue="1">
      <formula>AND(AG136&gt;=92000,AG136&lt;=98999)</formula>
    </cfRule>
    <cfRule type="expression" dxfId="14125" priority="87" stopIfTrue="1">
      <formula>AND(AG136&gt;=78100,AG136&lt;=78199)</formula>
    </cfRule>
    <cfRule type="expression" dxfId="14124" priority="88" stopIfTrue="1">
      <formula>AND(AG136&gt;=91000,AG136&lt;=91999)</formula>
    </cfRule>
  </conditionalFormatting>
  <conditionalFormatting sqref="AF136">
    <cfRule type="expression" dxfId="14123" priority="67">
      <formula>AND(AG136&gt;=79001,AG136&lt;79900)</formula>
    </cfRule>
    <cfRule type="expression" dxfId="14122" priority="68" stopIfTrue="1">
      <formula>AND(AG136&gt;=70101,AG136&lt;=70301)</formula>
    </cfRule>
    <cfRule type="expression" dxfId="14121" priority="69" stopIfTrue="1">
      <formula>AND(AG136&gt;70000,AG136&lt;70004)</formula>
    </cfRule>
    <cfRule type="expression" dxfId="14120" priority="70" stopIfTrue="1">
      <formula>AND(AG136&gt;=70010,AG136&lt;=76000)</formula>
    </cfRule>
    <cfRule type="expression" dxfId="14119" priority="71">
      <formula>AND(AG136&gt;70000,AG136&lt;70004)</formula>
    </cfRule>
    <cfRule type="expression" dxfId="14118" priority="72" stopIfTrue="1">
      <formula>OR(AND(AG136&gt;=10000,AG136&lt;=56999),AND(AG136&gt;=57000,AG136&lt;=57999))</formula>
    </cfRule>
    <cfRule type="expression" dxfId="14117" priority="73" stopIfTrue="1">
      <formula>AND(AG136&gt;=8000,AG136&lt;=9999)</formula>
    </cfRule>
    <cfRule type="expression" dxfId="14116" priority="74" stopIfTrue="1">
      <formula>AND(AG136&gt;=78100,AG136&lt;=78199)</formula>
    </cfRule>
    <cfRule type="expression" dxfId="14115" priority="75" stopIfTrue="1">
      <formula>AND(AG136&gt;=92000,AG136&lt;=98999)</formula>
    </cfRule>
    <cfRule type="expression" dxfId="14114" priority="76" stopIfTrue="1">
      <formula>AND(AG136&gt;=78100,AG136&lt;=78199)</formula>
    </cfRule>
    <cfRule type="expression" dxfId="14113" priority="77" stopIfTrue="1">
      <formula>AND(AG136&gt;=91000,AG136&lt;=91999)</formula>
    </cfRule>
  </conditionalFormatting>
  <conditionalFormatting sqref="AF136">
    <cfRule type="expression" dxfId="14112" priority="56">
      <formula>AND(AG136&gt;=79001,AG136&lt;79900)</formula>
    </cfRule>
    <cfRule type="expression" dxfId="14111" priority="57" stopIfTrue="1">
      <formula>AND(AG136&gt;=70101,AG136&lt;=70301)</formula>
    </cfRule>
    <cfRule type="expression" dxfId="14110" priority="58" stopIfTrue="1">
      <formula>AND(AG136&gt;70000,AG136&lt;70004)</formula>
    </cfRule>
    <cfRule type="expression" dxfId="14109" priority="59" stopIfTrue="1">
      <formula>AND(AG136&gt;=70010,AG136&lt;=76000)</formula>
    </cfRule>
    <cfRule type="expression" dxfId="14108" priority="60">
      <formula>AND(AG136&gt;70000,AG136&lt;70004)</formula>
    </cfRule>
    <cfRule type="expression" dxfId="14107" priority="61" stopIfTrue="1">
      <formula>OR(AND(AG136&gt;=10000,AG136&lt;=56999),AND(AG136&gt;=57000,AG136&lt;=57999))</formula>
    </cfRule>
    <cfRule type="expression" dxfId="14106" priority="62" stopIfTrue="1">
      <formula>AND(AG136&gt;=8000,AG136&lt;=9999)</formula>
    </cfRule>
    <cfRule type="expression" dxfId="14105" priority="63" stopIfTrue="1">
      <formula>AND(AG136&gt;=78100,AG136&lt;=78199)</formula>
    </cfRule>
    <cfRule type="expression" dxfId="14104" priority="64" stopIfTrue="1">
      <formula>AND(AG136&gt;=92000,AG136&lt;=98999)</formula>
    </cfRule>
    <cfRule type="expression" dxfId="14103" priority="65" stopIfTrue="1">
      <formula>AND(AG136&gt;=78100,AG136&lt;=78199)</formula>
    </cfRule>
    <cfRule type="expression" dxfId="14102" priority="66" stopIfTrue="1">
      <formula>AND(AG136&gt;=91000,AG136&lt;=91999)</formula>
    </cfRule>
  </conditionalFormatting>
  <conditionalFormatting sqref="AF136">
    <cfRule type="expression" dxfId="14101" priority="45">
      <formula>AND(AG136&gt;=79001,AG136&lt;79900)</formula>
    </cfRule>
    <cfRule type="expression" dxfId="14100" priority="46" stopIfTrue="1">
      <formula>AND(AG136&gt;=70101,AG136&lt;=70301)</formula>
    </cfRule>
    <cfRule type="expression" dxfId="14099" priority="47" stopIfTrue="1">
      <formula>AND(AG136&gt;70000,AG136&lt;70004)</formula>
    </cfRule>
    <cfRule type="expression" dxfId="14098" priority="48" stopIfTrue="1">
      <formula>AND(AG136&gt;=70010,AG136&lt;=76000)</formula>
    </cfRule>
    <cfRule type="expression" dxfId="14097" priority="49">
      <formula>AND(AG136&gt;70000,AG136&lt;70004)</formula>
    </cfRule>
    <cfRule type="expression" dxfId="14096" priority="50" stopIfTrue="1">
      <formula>OR(AND(AG136&gt;=10000,AG136&lt;=56999),AND(AG136&gt;=57000,AG136&lt;=57999))</formula>
    </cfRule>
    <cfRule type="expression" dxfId="14095" priority="51" stopIfTrue="1">
      <formula>AND(AG136&gt;=8000,AG136&lt;=9999)</formula>
    </cfRule>
    <cfRule type="expression" dxfId="14094" priority="52" stopIfTrue="1">
      <formula>AND(AG136&gt;=78100,AG136&lt;=78199)</formula>
    </cfRule>
    <cfRule type="expression" dxfId="14093" priority="53" stopIfTrue="1">
      <formula>AND(AG136&gt;=92000,AG136&lt;=98999)</formula>
    </cfRule>
    <cfRule type="expression" dxfId="14092" priority="54" stopIfTrue="1">
      <formula>AND(AG136&gt;=78100,AG136&lt;=78199)</formula>
    </cfRule>
    <cfRule type="expression" dxfId="14091" priority="55" stopIfTrue="1">
      <formula>AND(AG136&gt;=91000,AG136&lt;=91999)</formula>
    </cfRule>
  </conditionalFormatting>
  <conditionalFormatting sqref="T136">
    <cfRule type="expression" dxfId="14090" priority="34">
      <formula>AND(U136&gt;=79001,U136&lt;79900)</formula>
    </cfRule>
    <cfRule type="expression" dxfId="14089" priority="35" stopIfTrue="1">
      <formula>AND(U136&gt;=70101,U136&lt;=70301)</formula>
    </cfRule>
    <cfRule type="expression" dxfId="14088" priority="36" stopIfTrue="1">
      <formula>AND(U136&gt;70000,U136&lt;70004)</formula>
    </cfRule>
    <cfRule type="expression" dxfId="14087" priority="37" stopIfTrue="1">
      <formula>AND(U136&gt;=70010,U136&lt;=76000)</formula>
    </cfRule>
    <cfRule type="expression" dxfId="14086" priority="38">
      <formula>AND(U136&gt;70000,U136&lt;70004)</formula>
    </cfRule>
    <cfRule type="expression" dxfId="14085" priority="39" stopIfTrue="1">
      <formula>OR(AND(U136&gt;=10000,U136&lt;=56999),AND(U136&gt;=57000,U136&lt;=57999))</formula>
    </cfRule>
    <cfRule type="expression" dxfId="14084" priority="40" stopIfTrue="1">
      <formula>AND(U136&gt;=8000,U136&lt;=9999)</formula>
    </cfRule>
    <cfRule type="expression" dxfId="14083" priority="41" stopIfTrue="1">
      <formula>AND(U136&gt;=78100,U136&lt;=78199)</formula>
    </cfRule>
    <cfRule type="expression" dxfId="14082" priority="42" stopIfTrue="1">
      <formula>AND(U136&gt;=92000,U136&lt;=98999)</formula>
    </cfRule>
    <cfRule type="expression" dxfId="14081" priority="43" stopIfTrue="1">
      <formula>AND(U136&gt;=78100,U136&lt;=78199)</formula>
    </cfRule>
    <cfRule type="expression" dxfId="14080" priority="44" stopIfTrue="1">
      <formula>AND(U136&gt;=91000,U136&lt;=91999)</formula>
    </cfRule>
  </conditionalFormatting>
  <conditionalFormatting sqref="T136">
    <cfRule type="expression" dxfId="14079" priority="23">
      <formula>AND(U136&gt;=79001,U136&lt;79900)</formula>
    </cfRule>
    <cfRule type="expression" dxfId="14078" priority="24" stopIfTrue="1">
      <formula>AND(U136&gt;=70101,U136&lt;=70301)</formula>
    </cfRule>
    <cfRule type="expression" dxfId="14077" priority="25" stopIfTrue="1">
      <formula>AND(U136&gt;70000,U136&lt;70004)</formula>
    </cfRule>
    <cfRule type="expression" dxfId="14076" priority="26" stopIfTrue="1">
      <formula>AND(U136&gt;=70010,U136&lt;=76000)</formula>
    </cfRule>
    <cfRule type="expression" dxfId="14075" priority="27">
      <formula>AND(U136&gt;70000,U136&lt;70004)</formula>
    </cfRule>
    <cfRule type="expression" dxfId="14074" priority="28" stopIfTrue="1">
      <formula>OR(AND(U136&gt;=10000,U136&lt;=56999),AND(U136&gt;=57000,U136&lt;=57999))</formula>
    </cfRule>
    <cfRule type="expression" dxfId="14073" priority="29" stopIfTrue="1">
      <formula>AND(U136&gt;=8000,U136&lt;=9999)</formula>
    </cfRule>
    <cfRule type="expression" dxfId="14072" priority="30" stopIfTrue="1">
      <formula>AND(U136&gt;=78100,U136&lt;=78199)</formula>
    </cfRule>
    <cfRule type="expression" dxfId="14071" priority="31" stopIfTrue="1">
      <formula>AND(U136&gt;=92000,U136&lt;=98999)</formula>
    </cfRule>
    <cfRule type="expression" dxfId="14070" priority="32" stopIfTrue="1">
      <formula>AND(U136&gt;=78100,U136&lt;=78199)</formula>
    </cfRule>
    <cfRule type="expression" dxfId="14069" priority="33" stopIfTrue="1">
      <formula>AND(U136&gt;=91000,U136&lt;=91999)</formula>
    </cfRule>
  </conditionalFormatting>
  <conditionalFormatting sqref="T136">
    <cfRule type="expression" dxfId="14068" priority="12">
      <formula>AND(U136&gt;=79001,U136&lt;79900)</formula>
    </cfRule>
    <cfRule type="expression" dxfId="14067" priority="13" stopIfTrue="1">
      <formula>AND(U136&gt;=70101,U136&lt;=70301)</formula>
    </cfRule>
    <cfRule type="expression" dxfId="14066" priority="14" stopIfTrue="1">
      <formula>AND(U136&gt;70000,U136&lt;70004)</formula>
    </cfRule>
    <cfRule type="expression" dxfId="14065" priority="15" stopIfTrue="1">
      <formula>AND(U136&gt;=70010,U136&lt;=76000)</formula>
    </cfRule>
    <cfRule type="expression" dxfId="14064" priority="16">
      <formula>AND(U136&gt;70000,U136&lt;70004)</formula>
    </cfRule>
    <cfRule type="expression" dxfId="14063" priority="17" stopIfTrue="1">
      <formula>OR(AND(U136&gt;=10000,U136&lt;=56999),AND(U136&gt;=57000,U136&lt;=57999))</formula>
    </cfRule>
    <cfRule type="expression" dxfId="14062" priority="18" stopIfTrue="1">
      <formula>AND(U136&gt;=8000,U136&lt;=9999)</formula>
    </cfRule>
    <cfRule type="expression" dxfId="14061" priority="19" stopIfTrue="1">
      <formula>AND(U136&gt;=78100,U136&lt;=78199)</formula>
    </cfRule>
    <cfRule type="expression" dxfId="14060" priority="20" stopIfTrue="1">
      <formula>AND(U136&gt;=92000,U136&lt;=98999)</formula>
    </cfRule>
    <cfRule type="expression" dxfId="14059" priority="21" stopIfTrue="1">
      <formula>AND(U136&gt;=78100,U136&lt;=78199)</formula>
    </cfRule>
    <cfRule type="expression" dxfId="14058" priority="22" stopIfTrue="1">
      <formula>AND(U136&gt;=91000,U136&lt;=91999)</formula>
    </cfRule>
  </conditionalFormatting>
  <conditionalFormatting sqref="T136">
    <cfRule type="expression" dxfId="14057" priority="1">
      <formula>AND(U136&gt;=79001,U136&lt;79900)</formula>
    </cfRule>
    <cfRule type="expression" dxfId="14056" priority="2" stopIfTrue="1">
      <formula>AND(U136&gt;=70101,U136&lt;=70301)</formula>
    </cfRule>
    <cfRule type="expression" dxfId="14055" priority="3" stopIfTrue="1">
      <formula>AND(U136&gt;70000,U136&lt;70004)</formula>
    </cfRule>
    <cfRule type="expression" dxfId="14054" priority="4" stopIfTrue="1">
      <formula>AND(U136&gt;=70010,U136&lt;=76000)</formula>
    </cfRule>
    <cfRule type="expression" dxfId="14053" priority="5">
      <formula>AND(U136&gt;70000,U136&lt;70004)</formula>
    </cfRule>
    <cfRule type="expression" dxfId="14052" priority="6" stopIfTrue="1">
      <formula>OR(AND(U136&gt;=10000,U136&lt;=56999),AND(U136&gt;=57000,U136&lt;=57999))</formula>
    </cfRule>
    <cfRule type="expression" dxfId="14051" priority="7" stopIfTrue="1">
      <formula>AND(U136&gt;=8000,U136&lt;=9999)</formula>
    </cfRule>
    <cfRule type="expression" dxfId="14050" priority="8" stopIfTrue="1">
      <formula>AND(U136&gt;=78100,U136&lt;=78199)</formula>
    </cfRule>
    <cfRule type="expression" dxfId="14049" priority="9" stopIfTrue="1">
      <formula>AND(U136&gt;=92000,U136&lt;=98999)</formula>
    </cfRule>
    <cfRule type="expression" dxfId="14048" priority="10" stopIfTrue="1">
      <formula>AND(U136&gt;=78100,U136&lt;=78199)</formula>
    </cfRule>
    <cfRule type="expression" dxfId="14047" priority="11" stopIfTrue="1">
      <formula>AND(U136&gt;=91000,U136&lt;=91999)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Q28"/>
  <sheetViews>
    <sheetView workbookViewId="0">
      <selection activeCell="D19" sqref="D19"/>
    </sheetView>
  </sheetViews>
  <sheetFormatPr defaultRowHeight="13.5" x14ac:dyDescent="0.15"/>
  <cols>
    <col min="5" max="5" width="26.5" customWidth="1"/>
    <col min="6" max="6" width="14.25" customWidth="1"/>
    <col min="8" max="8" width="11.625" bestFit="1" customWidth="1"/>
    <col min="11" max="11" width="13.875" bestFit="1" customWidth="1"/>
  </cols>
  <sheetData>
    <row r="2" spans="1:17" x14ac:dyDescent="0.15">
      <c r="A2" t="s">
        <v>10</v>
      </c>
      <c r="C2" t="s">
        <v>11</v>
      </c>
    </row>
    <row r="3" spans="1:17" x14ac:dyDescent="0.15">
      <c r="A3" t="s">
        <v>12</v>
      </c>
      <c r="C3" t="s">
        <v>13</v>
      </c>
    </row>
    <row r="7" spans="1:17" x14ac:dyDescent="0.15">
      <c r="K7" s="26" t="s">
        <v>297</v>
      </c>
      <c r="L7" s="22"/>
      <c r="M7" s="22" t="s">
        <v>298</v>
      </c>
    </row>
    <row r="8" spans="1:17" x14ac:dyDescent="0.15">
      <c r="E8" s="24" t="str">
        <f>IF(F8="","",VLOOKUP(F8,引用表合并!$A:$B,2,FALSE))</f>
        <v>部位材料(项链)</v>
      </c>
      <c r="F8" s="8">
        <v>73010</v>
      </c>
      <c r="H8" s="25" t="str">
        <f>IF(I8="","",VLOOKUP(I8,引用表合并!$A:$B,2,FALSE))</f>
        <v>低级强化石</v>
      </c>
      <c r="I8" s="8">
        <v>70001</v>
      </c>
      <c r="K8" s="30" t="s">
        <v>285</v>
      </c>
      <c r="L8" s="22" t="s">
        <v>286</v>
      </c>
      <c r="M8" s="22" t="s">
        <v>287</v>
      </c>
    </row>
    <row r="9" spans="1:17" x14ac:dyDescent="0.15">
      <c r="E9" s="24" t="str">
        <f>IF(F9="","",VLOOKUP(F9,引用表合并!$A:$B,2,FALSE))</f>
        <v>部位材料(裤子)</v>
      </c>
      <c r="F9" s="8">
        <v>72010</v>
      </c>
      <c r="H9" s="25" t="str">
        <f>IF(I9="","",VLOOKUP(I9,引用表合并!$A:$B,2,FALSE))</f>
        <v>中级强化石</v>
      </c>
      <c r="I9" s="8">
        <v>70002</v>
      </c>
      <c r="K9" s="27" t="s">
        <v>294</v>
      </c>
      <c r="L9" s="22" t="s">
        <v>295</v>
      </c>
      <c r="M9" s="22" t="s">
        <v>296</v>
      </c>
    </row>
    <row r="10" spans="1:17" x14ac:dyDescent="0.15">
      <c r="E10" s="24" t="str">
        <f>IF(F10="","",VLOOKUP(F10,引用表合并!$A:$B,2,FALSE))</f>
        <v>部位材料(鞋子)</v>
      </c>
      <c r="F10" s="8">
        <v>75010</v>
      </c>
      <c r="H10" s="25" t="str">
        <f>IF(I10="","",VLOOKUP(I10,引用表合并!$A:$B,2,FALSE))</f>
        <v>高级强化石</v>
      </c>
      <c r="I10" s="8">
        <v>70003</v>
      </c>
      <c r="K10" s="21" t="s">
        <v>288</v>
      </c>
      <c r="L10" s="22" t="s">
        <v>289</v>
      </c>
      <c r="M10" s="22" t="s">
        <v>290</v>
      </c>
    </row>
    <row r="11" spans="1:17" x14ac:dyDescent="0.15">
      <c r="E11" s="24" t="str">
        <f>IF(F11="","",VLOOKUP(F11,引用表合并!$A:$B,2,FALSE))</f>
        <v>部位材料(腰带)</v>
      </c>
      <c r="F11" s="8">
        <v>74010</v>
      </c>
      <c r="K11" s="29" t="s">
        <v>291</v>
      </c>
      <c r="L11" s="22" t="s">
        <v>292</v>
      </c>
      <c r="M11" s="22" t="s">
        <v>293</v>
      </c>
    </row>
    <row r="12" spans="1:17" ht="15.6" customHeight="1" x14ac:dyDescent="0.15">
      <c r="E12" s="24" t="str">
        <f>IF(F12="","",VLOOKUP(F12,引用表合并!$A:$B,2,FALSE))</f>
        <v>部位材料(衣服)</v>
      </c>
      <c r="F12" s="8">
        <v>71010</v>
      </c>
      <c r="K12" s="28" t="s">
        <v>299</v>
      </c>
      <c r="L12" s="23" t="s">
        <v>300</v>
      </c>
      <c r="M12" s="105" t="s">
        <v>301</v>
      </c>
      <c r="N12" s="105"/>
      <c r="O12" s="105"/>
      <c r="P12" s="105"/>
      <c r="Q12" s="105"/>
    </row>
    <row r="13" spans="1:17" x14ac:dyDescent="0.15">
      <c r="E13" s="24" t="str">
        <f>IF(F13="","",VLOOKUP(F13,引用表合并!$A:$B,2,FALSE))</f>
        <v>部位材料(武器)</v>
      </c>
      <c r="F13" s="8">
        <v>70010</v>
      </c>
      <c r="M13" s="105"/>
      <c r="N13" s="105"/>
      <c r="O13" s="105"/>
      <c r="P13" s="105"/>
      <c r="Q13" s="105"/>
    </row>
    <row r="14" spans="1:17" x14ac:dyDescent="0.15">
      <c r="K14" s="8">
        <v>123</v>
      </c>
      <c r="L14" s="8">
        <v>70101</v>
      </c>
      <c r="M14" s="23" t="s">
        <v>304</v>
      </c>
    </row>
    <row r="15" spans="1:17" x14ac:dyDescent="0.15">
      <c r="F15" s="8">
        <v>73010</v>
      </c>
      <c r="I15" s="8">
        <v>70001</v>
      </c>
      <c r="K15" s="8">
        <v>123</v>
      </c>
      <c r="L15" s="8">
        <v>91000</v>
      </c>
      <c r="M15" s="23" t="s">
        <v>305</v>
      </c>
    </row>
    <row r="16" spans="1:17" x14ac:dyDescent="0.15">
      <c r="F16" s="8">
        <v>72010</v>
      </c>
      <c r="I16" s="8">
        <v>70002</v>
      </c>
      <c r="K16" s="8">
        <v>123</v>
      </c>
      <c r="L16" s="8">
        <v>78100</v>
      </c>
      <c r="M16" s="23" t="s">
        <v>311</v>
      </c>
    </row>
    <row r="17" spans="5:15" x14ac:dyDescent="0.15">
      <c r="F17" s="8">
        <v>75010</v>
      </c>
      <c r="I17" s="8">
        <v>70003</v>
      </c>
      <c r="K17" s="8">
        <v>123</v>
      </c>
      <c r="L17" s="8">
        <v>92111</v>
      </c>
      <c r="M17" s="23" t="s">
        <v>307</v>
      </c>
    </row>
    <row r="18" spans="5:15" x14ac:dyDescent="0.15">
      <c r="F18" s="8">
        <v>74010</v>
      </c>
      <c r="K18" s="8">
        <v>123</v>
      </c>
      <c r="L18" s="8">
        <v>80001</v>
      </c>
      <c r="M18" s="23" t="s">
        <v>308</v>
      </c>
    </row>
    <row r="19" spans="5:15" x14ac:dyDescent="0.15">
      <c r="F19" s="8">
        <v>71010</v>
      </c>
      <c r="K19" s="8">
        <v>123</v>
      </c>
      <c r="L19" s="8">
        <v>8101</v>
      </c>
      <c r="M19" s="23" t="s">
        <v>309</v>
      </c>
    </row>
    <row r="20" spans="5:15" x14ac:dyDescent="0.15">
      <c r="F20" s="8">
        <v>70010</v>
      </c>
      <c r="K20" s="8">
        <v>123</v>
      </c>
      <c r="L20" s="8">
        <v>57620</v>
      </c>
      <c r="M20" s="23" t="s">
        <v>310</v>
      </c>
    </row>
    <row r="21" spans="5:15" x14ac:dyDescent="0.15">
      <c r="E21">
        <v>123</v>
      </c>
      <c r="F21" t="s">
        <v>302</v>
      </c>
      <c r="K21" s="8">
        <v>123</v>
      </c>
      <c r="L21" s="10">
        <v>70001</v>
      </c>
      <c r="M21" s="23" t="s">
        <v>306</v>
      </c>
    </row>
    <row r="22" spans="5:15" x14ac:dyDescent="0.15">
      <c r="E22">
        <v>123</v>
      </c>
      <c r="F22" s="31">
        <v>72000</v>
      </c>
      <c r="H22">
        <v>123</v>
      </c>
      <c r="I22">
        <v>70001</v>
      </c>
      <c r="K22" s="8">
        <v>123</v>
      </c>
      <c r="L22" s="10">
        <v>72000</v>
      </c>
      <c r="M22" s="23" t="s">
        <v>312</v>
      </c>
    </row>
    <row r="23" spans="5:15" x14ac:dyDescent="0.15">
      <c r="K23">
        <v>123</v>
      </c>
      <c r="L23" s="8">
        <v>79001</v>
      </c>
      <c r="M23" s="23" t="s">
        <v>303</v>
      </c>
      <c r="N23">
        <v>79001</v>
      </c>
      <c r="O23">
        <v>79900</v>
      </c>
    </row>
    <row r="24" spans="5:15" x14ac:dyDescent="0.15">
      <c r="H24">
        <v>123</v>
      </c>
      <c r="I24">
        <v>70101</v>
      </c>
    </row>
    <row r="25" spans="5:15" x14ac:dyDescent="0.15">
      <c r="I25">
        <v>70301</v>
      </c>
    </row>
    <row r="28" spans="5:15" x14ac:dyDescent="0.15">
      <c r="K28" t="s">
        <v>303</v>
      </c>
    </row>
  </sheetData>
  <mergeCells count="1">
    <mergeCell ref="M12:Q13"/>
  </mergeCells>
  <phoneticPr fontId="1" type="noConversion"/>
  <conditionalFormatting sqref="F8:F1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8:F1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8:I1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20 F2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5:F20 F2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5:I1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5:I1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:E22">
    <cfRule type="expression" dxfId="14046" priority="20">
      <formula>AND(F21&gt;71000,F21&lt;76000)</formula>
    </cfRule>
  </conditionalFormatting>
  <conditionalFormatting sqref="H22">
    <cfRule type="expression" dxfId="14045" priority="19">
      <formula>AND(I22&gt;70000,I22&lt;70004)</formula>
    </cfRule>
  </conditionalFormatting>
  <conditionalFormatting sqref="H24">
    <cfRule type="expression" dxfId="14044" priority="3">
      <formula>AND(I24&gt;=70101,I24&lt;=70301)</formula>
    </cfRule>
  </conditionalFormatting>
  <conditionalFormatting sqref="K14:K24">
    <cfRule type="expression" dxfId="14043" priority="1">
      <formula>AND(L14&gt;=79001,L14&lt;79900)</formula>
    </cfRule>
    <cfRule type="expression" dxfId="14042" priority="2" stopIfTrue="1">
      <formula>AND(L14&gt;=70101,L14&lt;=70301)</formula>
    </cfRule>
    <cfRule type="expression" dxfId="14041" priority="4" stopIfTrue="1">
      <formula>AND(L14&gt;70000,L14&lt;70004)</formula>
    </cfRule>
    <cfRule type="expression" dxfId="14040" priority="5" stopIfTrue="1">
      <formula>AND(L14&gt;=70010,L14&lt;=76000)</formula>
    </cfRule>
    <cfRule type="expression" dxfId="14039" priority="6">
      <formula>AND(L14&gt;70000,L14&lt;70004)</formula>
    </cfRule>
    <cfRule type="expression" dxfId="14038" priority="8" stopIfTrue="1">
      <formula>OR(AND(L14&gt;=10000,L14&lt;=56999),AND(L14&gt;=57000,L14&lt;=57999))</formula>
    </cfRule>
    <cfRule type="expression" dxfId="14037" priority="9" stopIfTrue="1">
      <formula>AND(L14&gt;=8000,L14&lt;=9999)</formula>
    </cfRule>
    <cfRule type="expression" dxfId="14036" priority="10" stopIfTrue="1">
      <formula>AND(L14&gt;=78100,L14&lt;=78199)</formula>
    </cfRule>
    <cfRule type="expression" dxfId="14035" priority="11" stopIfTrue="1">
      <formula>AND(L14&gt;=92000,L14&lt;=98999)</formula>
    </cfRule>
    <cfRule type="expression" dxfId="14034" priority="16" stopIfTrue="1">
      <formula>AND(L14&gt;=78100,L14&lt;=78199)</formula>
    </cfRule>
    <cfRule type="expression" dxfId="14033" priority="18" stopIfTrue="1">
      <formula>AND(L14&gt;=91000,L14&lt;=91999)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0000"/>
  </sheetPr>
  <dimension ref="A1:U482"/>
  <sheetViews>
    <sheetView workbookViewId="0">
      <pane xSplit="4" ySplit="1" topLeftCell="E129" activePane="bottomRight" state="frozen"/>
      <selection pane="topRight" activeCell="D1" sqref="D1"/>
      <selection pane="bottomLeft" activeCell="A2" sqref="A2"/>
      <selection pane="bottomRight" activeCell="A159" sqref="A159"/>
    </sheetView>
  </sheetViews>
  <sheetFormatPr defaultRowHeight="13.5" x14ac:dyDescent="0.15"/>
  <cols>
    <col min="1" max="1" width="11.625" bestFit="1" customWidth="1"/>
    <col min="2" max="2" width="19.375" customWidth="1"/>
    <col min="3" max="3" width="9" bestFit="1" customWidth="1"/>
    <col min="4" max="4" width="14.875" customWidth="1"/>
    <col min="5" max="6" width="13.875" bestFit="1" customWidth="1"/>
    <col min="7" max="7" width="11.125" customWidth="1"/>
    <col min="8" max="8" width="9.5" bestFit="1" customWidth="1"/>
    <col min="9" max="9" width="7.375" customWidth="1"/>
    <col min="10" max="10" width="6.125" customWidth="1"/>
    <col min="11" max="11" width="18.375" bestFit="1" customWidth="1"/>
    <col min="12" max="13" width="19.375" bestFit="1" customWidth="1"/>
    <col min="16" max="16" width="18.25" customWidth="1"/>
    <col min="19" max="19" width="18.75" customWidth="1"/>
  </cols>
  <sheetData>
    <row r="1" spans="1:19" x14ac:dyDescent="0.15">
      <c r="A1" s="7" t="s">
        <v>117</v>
      </c>
      <c r="B1" s="13" t="s">
        <v>119</v>
      </c>
      <c r="C1" s="13" t="s">
        <v>976</v>
      </c>
      <c r="D1" s="13" t="s">
        <v>120</v>
      </c>
      <c r="E1" s="7" t="s">
        <v>52</v>
      </c>
      <c r="F1" s="7" t="s">
        <v>53</v>
      </c>
      <c r="G1" s="7" t="s">
        <v>54</v>
      </c>
      <c r="H1" s="7" t="s">
        <v>55</v>
      </c>
      <c r="I1" s="7" t="s">
        <v>56</v>
      </c>
      <c r="J1" s="7" t="s">
        <v>116</v>
      </c>
      <c r="K1" s="7" t="s">
        <v>118</v>
      </c>
      <c r="L1" s="7" t="s">
        <v>57</v>
      </c>
      <c r="M1" s="7" t="s">
        <v>58</v>
      </c>
      <c r="P1" s="14" t="s">
        <v>942</v>
      </c>
      <c r="Q1" s="14" t="s">
        <v>943</v>
      </c>
      <c r="R1" s="14" t="s">
        <v>944</v>
      </c>
      <c r="S1" s="14" t="s">
        <v>945</v>
      </c>
    </row>
    <row r="2" spans="1:19" x14ac:dyDescent="0.15">
      <c r="A2" s="6">
        <v>501001</v>
      </c>
      <c r="B2" t="str">
        <f>VLOOKUP(M2,[1]地图配置辅助表!$A$3:$E$229,4,FALSE)</f>
        <v>浴室砍巴闭</v>
      </c>
      <c r="D2">
        <f>VLOOKUP(M2,[1]地图配置辅助表!$A$3:$E$229,5,FALSE)</f>
        <v>6</v>
      </c>
      <c r="E2">
        <f t="shared" ref="E2:E33" si="0">ROUNDUP(D2*$Q$3*0.8,0)</f>
        <v>240</v>
      </c>
      <c r="F2">
        <f t="shared" ref="F2:F33" si="1">ROUNDUP(D2*$Q$3*1.2,0)</f>
        <v>360</v>
      </c>
      <c r="G2">
        <f>D2*$Q$2</f>
        <v>120</v>
      </c>
      <c r="M2">
        <f t="shared" ref="M2:M48" si="2">MOD(A2,10000)</f>
        <v>1001</v>
      </c>
      <c r="P2" t="s">
        <v>860</v>
      </c>
      <c r="Q2">
        <f>[5]体力消耗运算!$AC$5</f>
        <v>20</v>
      </c>
    </row>
    <row r="3" spans="1:19" x14ac:dyDescent="0.15">
      <c r="A3" s="6">
        <v>501002</v>
      </c>
      <c r="B3" t="str">
        <f>VLOOKUP(M3,[1]地图配置辅助表!$A$3:$E$229,4,FALSE)</f>
        <v>西贡打大傻</v>
      </c>
      <c r="D3">
        <f>VLOOKUP(M3,[1]地图配置辅助表!$A$3:$E$229,5,FALSE)</f>
        <v>6</v>
      </c>
      <c r="E3">
        <f t="shared" si="0"/>
        <v>240</v>
      </c>
      <c r="F3">
        <f t="shared" si="1"/>
        <v>360</v>
      </c>
      <c r="G3">
        <f t="shared" ref="G3:G74" si="3">D3*$Q$2</f>
        <v>120</v>
      </c>
      <c r="M3">
        <f t="shared" si="2"/>
        <v>1002</v>
      </c>
      <c r="P3" t="s">
        <v>121</v>
      </c>
      <c r="Q3">
        <v>50</v>
      </c>
      <c r="R3">
        <f>[5]金币投放!$N$8</f>
        <v>53.319249649368864</v>
      </c>
    </row>
    <row r="4" spans="1:19" x14ac:dyDescent="0.15">
      <c r="A4" s="6">
        <v>501003</v>
      </c>
      <c r="B4" t="str">
        <f>VLOOKUP(M4,[1]地图配置辅助表!$A$3:$E$229,4,FALSE)</f>
        <v>戏逗小结巴</v>
      </c>
      <c r="D4">
        <f>VLOOKUP(M4,[1]地图配置辅助表!$A$3:$E$229,5,FALSE)</f>
        <v>6</v>
      </c>
      <c r="E4">
        <f t="shared" si="0"/>
        <v>240</v>
      </c>
      <c r="F4">
        <f t="shared" si="1"/>
        <v>360</v>
      </c>
      <c r="G4">
        <f t="shared" si="3"/>
        <v>120</v>
      </c>
      <c r="M4">
        <f t="shared" si="2"/>
        <v>1003</v>
      </c>
      <c r="P4" t="s">
        <v>855</v>
      </c>
      <c r="Q4">
        <f>[5]龙魂的投放!$C$7</f>
        <v>2</v>
      </c>
    </row>
    <row r="5" spans="1:19" x14ac:dyDescent="0.15">
      <c r="A5" s="6">
        <v>501004</v>
      </c>
      <c r="B5" t="str">
        <f>VLOOKUP(M5,[1]地图配置辅助表!$A$3:$E$229,4,FALSE)</f>
        <v>秘密任务</v>
      </c>
      <c r="D5">
        <f>VLOOKUP(M5,[1]地图配置辅助表!$A$3:$E$229,5,FALSE)</f>
        <v>6</v>
      </c>
      <c r="E5">
        <f t="shared" si="0"/>
        <v>240</v>
      </c>
      <c r="F5">
        <f t="shared" si="1"/>
        <v>360</v>
      </c>
      <c r="G5">
        <f t="shared" si="3"/>
        <v>120</v>
      </c>
      <c r="M5">
        <f t="shared" si="2"/>
        <v>1004</v>
      </c>
    </row>
    <row r="6" spans="1:19" x14ac:dyDescent="0.15">
      <c r="A6" s="6">
        <v>501005</v>
      </c>
      <c r="B6" t="str">
        <f>VLOOKUP(M6,[1]地图配置辅助表!$A$3:$E$229,4,FALSE)</f>
        <v>遭遇埋伏</v>
      </c>
      <c r="D6">
        <f>VLOOKUP(M6,[1]地图配置辅助表!$A$3:$E$229,5,FALSE)</f>
        <v>6</v>
      </c>
      <c r="E6">
        <f t="shared" si="0"/>
        <v>240</v>
      </c>
      <c r="F6">
        <f t="shared" si="1"/>
        <v>360</v>
      </c>
      <c r="G6">
        <f t="shared" si="3"/>
        <v>120</v>
      </c>
      <c r="M6">
        <f t="shared" si="2"/>
        <v>1005</v>
      </c>
    </row>
    <row r="7" spans="1:19" x14ac:dyDescent="0.15">
      <c r="A7" s="6">
        <v>501006</v>
      </c>
      <c r="B7" t="str">
        <f>VLOOKUP(M7,[1]地图配置辅助表!$A$3:$E$229,4,FALSE)</f>
        <v>逃出生天</v>
      </c>
      <c r="D7">
        <f>VLOOKUP(M7,[1]地图配置辅助表!$A$3:$E$229,5,FALSE)</f>
        <v>6</v>
      </c>
      <c r="E7">
        <f t="shared" si="0"/>
        <v>240</v>
      </c>
      <c r="F7">
        <f t="shared" si="1"/>
        <v>360</v>
      </c>
      <c r="G7">
        <f t="shared" si="3"/>
        <v>120</v>
      </c>
      <c r="M7">
        <f t="shared" si="2"/>
        <v>1006</v>
      </c>
    </row>
    <row r="8" spans="1:19" x14ac:dyDescent="0.15">
      <c r="A8" s="41">
        <v>501007</v>
      </c>
      <c r="B8" t="str">
        <f>VLOOKUP(M8,[1]地图配置辅助表!$A$3:$E$229,4,FALSE)</f>
        <v>B哥遇害</v>
      </c>
      <c r="D8">
        <f>VLOOKUP(M8,[1]地图配置辅助表!$A$3:$E$229,5,FALSE)</f>
        <v>6</v>
      </c>
      <c r="E8">
        <f t="shared" si="0"/>
        <v>240</v>
      </c>
      <c r="F8">
        <f t="shared" si="1"/>
        <v>360</v>
      </c>
      <c r="G8">
        <f t="shared" ref="G8:G10" si="4">D8*$Q$2</f>
        <v>120</v>
      </c>
      <c r="M8">
        <f t="shared" ref="M8:M10" si="5">MOD(A8,10000)</f>
        <v>1007</v>
      </c>
    </row>
    <row r="9" spans="1:19" x14ac:dyDescent="0.15">
      <c r="A9" s="41">
        <v>501008</v>
      </c>
      <c r="B9" t="str">
        <f>VLOOKUP(M9,[1]地图配置辅助表!$A$3:$E$229,4,FALSE)</f>
        <v>同仇敌忾</v>
      </c>
      <c r="D9">
        <f>VLOOKUP(M9,[1]地图配置辅助表!$A$3:$E$229,5,FALSE)</f>
        <v>6</v>
      </c>
      <c r="E9">
        <f t="shared" si="0"/>
        <v>240</v>
      </c>
      <c r="F9">
        <f t="shared" si="1"/>
        <v>360</v>
      </c>
      <c r="G9">
        <f t="shared" si="4"/>
        <v>120</v>
      </c>
      <c r="M9">
        <f t="shared" si="5"/>
        <v>1008</v>
      </c>
    </row>
    <row r="10" spans="1:19" x14ac:dyDescent="0.15">
      <c r="A10" s="41">
        <v>501009</v>
      </c>
      <c r="B10" t="str">
        <f>VLOOKUP(M10,[1]地图配置辅助表!$A$3:$E$229,4,FALSE)</f>
        <v>合力毙靓坤</v>
      </c>
      <c r="D10">
        <f>VLOOKUP(M10,[1]地图配置辅助表!$A$3:$E$229,5,FALSE)</f>
        <v>6</v>
      </c>
      <c r="E10">
        <f t="shared" si="0"/>
        <v>240</v>
      </c>
      <c r="F10">
        <f t="shared" si="1"/>
        <v>360</v>
      </c>
      <c r="G10">
        <f t="shared" si="4"/>
        <v>120</v>
      </c>
      <c r="M10">
        <f t="shared" si="5"/>
        <v>1009</v>
      </c>
    </row>
    <row r="11" spans="1:19" x14ac:dyDescent="0.15">
      <c r="A11" s="6">
        <v>501010</v>
      </c>
      <c r="B11" t="str">
        <f>VLOOKUP(M11,[1]地图配置辅助表!$A$3:$E$229,4,FALSE)</f>
        <v>新手关卡</v>
      </c>
      <c r="D11">
        <f>VLOOKUP(M11,[1]地图配置辅助表!$A$3:$E$229,5,FALSE)</f>
        <v>6</v>
      </c>
      <c r="E11">
        <f t="shared" si="0"/>
        <v>240</v>
      </c>
      <c r="F11">
        <f t="shared" si="1"/>
        <v>360</v>
      </c>
      <c r="G11">
        <f t="shared" si="3"/>
        <v>120</v>
      </c>
      <c r="M11">
        <f t="shared" si="2"/>
        <v>1010</v>
      </c>
    </row>
    <row r="12" spans="1:19" x14ac:dyDescent="0.15">
      <c r="A12" s="6">
        <v>502001</v>
      </c>
      <c r="B12" t="str">
        <f>VLOOKUP(M12,[1]地图配置辅助表!$A$3:$E$229,4,FALSE)</f>
        <v>协助山鸡</v>
      </c>
      <c r="D12">
        <f>VLOOKUP(M12,[1]地图配置辅助表!$A$3:$E$229,5,FALSE)</f>
        <v>6</v>
      </c>
      <c r="E12">
        <f t="shared" si="0"/>
        <v>240</v>
      </c>
      <c r="F12">
        <f t="shared" si="1"/>
        <v>360</v>
      </c>
      <c r="G12">
        <f t="shared" si="3"/>
        <v>120</v>
      </c>
      <c r="K12">
        <f>D_普通掉落表!E13</f>
        <v>2</v>
      </c>
      <c r="M12">
        <f t="shared" si="2"/>
        <v>2001</v>
      </c>
    </row>
    <row r="13" spans="1:19" x14ac:dyDescent="0.15">
      <c r="A13" s="6">
        <v>502002</v>
      </c>
      <c r="B13" t="str">
        <f>VLOOKUP(M13,[1]地图配置辅助表!$A$3:$E$229,4,FALSE)</f>
        <v>伏击张议员</v>
      </c>
      <c r="D13">
        <f>VLOOKUP(M13,[1]地图配置辅助表!$A$3:$E$229,5,FALSE)</f>
        <v>6</v>
      </c>
      <c r="E13">
        <f t="shared" si="0"/>
        <v>240</v>
      </c>
      <c r="F13">
        <f t="shared" si="1"/>
        <v>360</v>
      </c>
      <c r="G13">
        <f t="shared" si="3"/>
        <v>120</v>
      </c>
      <c r="K13">
        <f>D_普通掉落表!E14</f>
        <v>2</v>
      </c>
      <c r="M13">
        <f t="shared" si="2"/>
        <v>2002</v>
      </c>
    </row>
    <row r="14" spans="1:19" x14ac:dyDescent="0.15">
      <c r="A14" s="6">
        <v>502003</v>
      </c>
      <c r="B14" t="str">
        <f>VLOOKUP(M14,[1]地图配置辅助表!$A$3:$E$229,4,FALSE)</f>
        <v>蒋生遇雷功</v>
      </c>
      <c r="D14">
        <f>VLOOKUP(M14,[1]地图配置辅助表!$A$3:$E$229,5,FALSE)</f>
        <v>6</v>
      </c>
      <c r="E14">
        <f t="shared" si="0"/>
        <v>240</v>
      </c>
      <c r="F14">
        <f t="shared" si="1"/>
        <v>360</v>
      </c>
      <c r="G14">
        <f t="shared" si="3"/>
        <v>120</v>
      </c>
      <c r="K14">
        <f>D_普通掉落表!E15</f>
        <v>2</v>
      </c>
      <c r="M14">
        <f t="shared" si="2"/>
        <v>2003</v>
      </c>
    </row>
    <row r="15" spans="1:19" x14ac:dyDescent="0.15">
      <c r="A15" s="6">
        <v>502004</v>
      </c>
      <c r="B15" t="str">
        <f>VLOOKUP(M15,[1]地图配置辅助表!$A$3:$E$229,4,FALSE)</f>
        <v>争夺扛把子</v>
      </c>
      <c r="D15">
        <f>VLOOKUP(M15,[1]地图配置辅助表!$A$3:$E$229,5,FALSE)</f>
        <v>6</v>
      </c>
      <c r="E15">
        <f t="shared" si="0"/>
        <v>240</v>
      </c>
      <c r="F15">
        <f t="shared" si="1"/>
        <v>360</v>
      </c>
      <c r="G15">
        <f t="shared" si="3"/>
        <v>120</v>
      </c>
      <c r="K15">
        <f>D_普通掉落表!E16</f>
        <v>2</v>
      </c>
      <c r="M15">
        <f t="shared" si="2"/>
        <v>2004</v>
      </c>
    </row>
    <row r="16" spans="1:19" x14ac:dyDescent="0.15">
      <c r="A16" s="6">
        <v>502005</v>
      </c>
      <c r="B16" t="str">
        <f>VLOOKUP(M16,[1]地图配置辅助表!$A$3:$E$229,4,FALSE)</f>
        <v>约战大飞</v>
      </c>
      <c r="D16">
        <f>VLOOKUP(M16,[1]地图配置辅助表!$A$3:$E$229,5,FALSE)</f>
        <v>6</v>
      </c>
      <c r="E16">
        <f t="shared" si="0"/>
        <v>240</v>
      </c>
      <c r="F16">
        <f t="shared" si="1"/>
        <v>360</v>
      </c>
      <c r="G16">
        <f t="shared" si="3"/>
        <v>120</v>
      </c>
      <c r="K16">
        <f>D_普通掉落表!E17</f>
        <v>2</v>
      </c>
      <c r="M16">
        <f t="shared" si="2"/>
        <v>2005</v>
      </c>
    </row>
    <row r="17" spans="1:13" x14ac:dyDescent="0.15">
      <c r="A17" s="6">
        <v>502006</v>
      </c>
      <c r="B17" t="str">
        <f>VLOOKUP(M17,[1]地图配置辅助表!$A$3:$E$229,4,FALSE)</f>
        <v>缓和契机</v>
      </c>
      <c r="D17">
        <f>VLOOKUP(M17,[1]地图配置辅助表!$A$3:$E$229,5,FALSE)</f>
        <v>6</v>
      </c>
      <c r="E17">
        <f t="shared" si="0"/>
        <v>240</v>
      </c>
      <c r="F17">
        <f t="shared" si="1"/>
        <v>360</v>
      </c>
      <c r="G17">
        <f t="shared" si="3"/>
        <v>120</v>
      </c>
      <c r="K17">
        <f>D_普通掉落表!E18</f>
        <v>2</v>
      </c>
      <c r="M17">
        <f t="shared" si="2"/>
        <v>2006</v>
      </c>
    </row>
    <row r="18" spans="1:13" x14ac:dyDescent="0.15">
      <c r="A18" s="41">
        <v>502007</v>
      </c>
      <c r="B18" t="str">
        <f>VLOOKUP(M18,[1]地图配置辅助表!$A$3:$E$229,4,FALSE)</f>
        <v>落入陷阱</v>
      </c>
      <c r="D18">
        <f>VLOOKUP(M18,[1]地图配置辅助表!$A$3:$E$229,5,FALSE)</f>
        <v>6</v>
      </c>
      <c r="E18">
        <f t="shared" si="0"/>
        <v>240</v>
      </c>
      <c r="F18">
        <f t="shared" si="1"/>
        <v>360</v>
      </c>
      <c r="G18">
        <f t="shared" ref="G18:G20" si="6">D18*$Q$2</f>
        <v>120</v>
      </c>
      <c r="K18">
        <f>D_普通掉落表!E19</f>
        <v>2</v>
      </c>
      <c r="M18">
        <f t="shared" ref="M18:M20" si="7">MOD(A18,10000)</f>
        <v>2007</v>
      </c>
    </row>
    <row r="19" spans="1:13" x14ac:dyDescent="0.15">
      <c r="A19" s="41">
        <v>502008</v>
      </c>
      <c r="B19" t="str">
        <f>VLOOKUP(M19,[1]地图配置辅助表!$A$3:$E$229,4,FALSE)</f>
        <v>突出重围</v>
      </c>
      <c r="D19">
        <f>VLOOKUP(M19,[1]地图配置辅助表!$A$3:$E$229,5,FALSE)</f>
        <v>6</v>
      </c>
      <c r="E19">
        <f t="shared" si="0"/>
        <v>240</v>
      </c>
      <c r="F19">
        <f t="shared" si="1"/>
        <v>360</v>
      </c>
      <c r="G19">
        <f t="shared" si="6"/>
        <v>120</v>
      </c>
      <c r="K19">
        <f>D_普通掉落表!E20</f>
        <v>2</v>
      </c>
      <c r="M19">
        <f t="shared" si="7"/>
        <v>2008</v>
      </c>
    </row>
    <row r="20" spans="1:13" x14ac:dyDescent="0.15">
      <c r="A20" s="41">
        <v>502009</v>
      </c>
      <c r="B20" t="str">
        <f>VLOOKUP(M20,[1]地图配置辅助表!$A$3:$E$229,4,FALSE)</f>
        <v>赌场除丁瑶</v>
      </c>
      <c r="D20">
        <f>VLOOKUP(M20,[1]地图配置辅助表!$A$3:$E$229,5,FALSE)</f>
        <v>6</v>
      </c>
      <c r="E20">
        <f t="shared" si="0"/>
        <v>240</v>
      </c>
      <c r="F20">
        <f t="shared" si="1"/>
        <v>360</v>
      </c>
      <c r="G20">
        <f t="shared" si="6"/>
        <v>120</v>
      </c>
      <c r="K20">
        <f>D_普通掉落表!E21</f>
        <v>2</v>
      </c>
      <c r="M20">
        <f t="shared" si="7"/>
        <v>2009</v>
      </c>
    </row>
    <row r="21" spans="1:13" x14ac:dyDescent="0.15">
      <c r="A21" s="6">
        <v>503001</v>
      </c>
      <c r="B21" t="str">
        <f>VLOOKUP(M21,[1]地图配置辅助表!$A$3:$E$229,4,FALSE)</f>
        <v>东星鸿门宴</v>
      </c>
      <c r="D21">
        <f>VLOOKUP(M21,[1]地图配置辅助表!$A$3:$E$229,5,FALSE)</f>
        <v>6</v>
      </c>
      <c r="E21">
        <f t="shared" si="0"/>
        <v>240</v>
      </c>
      <c r="F21">
        <f t="shared" si="1"/>
        <v>360</v>
      </c>
      <c r="G21">
        <f t="shared" si="3"/>
        <v>120</v>
      </c>
      <c r="K21">
        <f>D_普通掉落表!E22</f>
        <v>2</v>
      </c>
      <c r="M21">
        <f t="shared" si="2"/>
        <v>3001</v>
      </c>
    </row>
    <row r="22" spans="1:13" x14ac:dyDescent="0.15">
      <c r="A22" s="6">
        <v>503002</v>
      </c>
      <c r="B22" t="str">
        <f>VLOOKUP(M22,[1]地图配置辅助表!$A$3:$E$229,4,FALSE)</f>
        <v>怒打笑面虎</v>
      </c>
      <c r="D22">
        <f>VLOOKUP(M22,[1]地图配置辅助表!$A$3:$E$229,5,FALSE)</f>
        <v>6</v>
      </c>
      <c r="E22">
        <f t="shared" si="0"/>
        <v>240</v>
      </c>
      <c r="F22">
        <f t="shared" si="1"/>
        <v>360</v>
      </c>
      <c r="G22">
        <f t="shared" si="3"/>
        <v>120</v>
      </c>
      <c r="K22">
        <f>D_普通掉落表!E23</f>
        <v>2</v>
      </c>
      <c r="M22">
        <f t="shared" si="2"/>
        <v>3002</v>
      </c>
    </row>
    <row r="23" spans="1:13" x14ac:dyDescent="0.15">
      <c r="A23" s="6">
        <v>503003</v>
      </c>
      <c r="B23" t="str">
        <f>VLOOKUP(M23,[1]地图配置辅助表!$A$3:$E$229,4,FALSE)</f>
        <v>蒋生遇袭</v>
      </c>
      <c r="D23">
        <f>VLOOKUP(M23,[1]地图配置辅助表!$A$3:$E$229,5,FALSE)</f>
        <v>6</v>
      </c>
      <c r="E23">
        <f t="shared" si="0"/>
        <v>240</v>
      </c>
      <c r="F23">
        <f t="shared" si="1"/>
        <v>360</v>
      </c>
      <c r="G23">
        <f t="shared" si="3"/>
        <v>120</v>
      </c>
      <c r="K23">
        <f>D_普通掉落表!E24</f>
        <v>2</v>
      </c>
      <c r="M23">
        <f t="shared" si="2"/>
        <v>3003</v>
      </c>
    </row>
    <row r="24" spans="1:13" x14ac:dyDescent="0.15">
      <c r="A24" s="6">
        <v>503004</v>
      </c>
      <c r="B24" t="str">
        <f>VLOOKUP(M24,[1]地图配置辅助表!$A$3:$E$229,4,FALSE)</f>
        <v>遭遇诬陷</v>
      </c>
      <c r="D24">
        <f>VLOOKUP(M24,[1]地图配置辅助表!$A$3:$E$229,5,FALSE)</f>
        <v>6</v>
      </c>
      <c r="E24">
        <f t="shared" si="0"/>
        <v>240</v>
      </c>
      <c r="F24">
        <f t="shared" si="1"/>
        <v>360</v>
      </c>
      <c r="G24">
        <f t="shared" si="3"/>
        <v>120</v>
      </c>
      <c r="K24">
        <f>D_普通掉落表!E25</f>
        <v>2</v>
      </c>
      <c r="M24">
        <f t="shared" si="2"/>
        <v>3004</v>
      </c>
    </row>
    <row r="25" spans="1:13" x14ac:dyDescent="0.15">
      <c r="A25" s="6">
        <v>503005</v>
      </c>
      <c r="B25" t="str">
        <f>VLOOKUP(M25,[1]地图配置辅助表!$A$3:$E$229,4,FALSE)</f>
        <v>掩护浩南</v>
      </c>
      <c r="D25">
        <v>3</v>
      </c>
      <c r="E25">
        <f t="shared" si="0"/>
        <v>120</v>
      </c>
      <c r="F25">
        <f t="shared" si="1"/>
        <v>180</v>
      </c>
      <c r="G25">
        <f t="shared" si="3"/>
        <v>60</v>
      </c>
      <c r="K25">
        <f>D_普通掉落表!E26</f>
        <v>2</v>
      </c>
      <c r="M25">
        <f t="shared" si="2"/>
        <v>3005</v>
      </c>
    </row>
    <row r="26" spans="1:13" x14ac:dyDescent="0.15">
      <c r="A26" s="6">
        <v>503006</v>
      </c>
      <c r="B26" t="str">
        <f>VLOOKUP(M26,[1]地图配置辅助表!$A$3:$E$229,4,FALSE)</f>
        <v>获取弹药</v>
      </c>
      <c r="D26">
        <f>VLOOKUP(M26,[1]地图配置辅助表!$A$3:$E$229,5,FALSE)</f>
        <v>6</v>
      </c>
      <c r="E26">
        <f t="shared" si="0"/>
        <v>240</v>
      </c>
      <c r="F26">
        <f t="shared" si="1"/>
        <v>360</v>
      </c>
      <c r="G26">
        <f t="shared" si="3"/>
        <v>120</v>
      </c>
      <c r="K26">
        <f>D_普通掉落表!E27</f>
        <v>2</v>
      </c>
      <c r="M26">
        <f t="shared" si="2"/>
        <v>3006</v>
      </c>
    </row>
    <row r="27" spans="1:13" x14ac:dyDescent="0.15">
      <c r="A27" s="41">
        <v>503007</v>
      </c>
      <c r="B27" t="str">
        <f>VLOOKUP(M27,[1]地图配置辅助表!$A$3:$E$229,4,FALSE)</f>
        <v>小结巴之死</v>
      </c>
      <c r="D27">
        <f>VLOOKUP(M27,[1]地图配置辅助表!$A$3:$E$229,5,FALSE)</f>
        <v>6</v>
      </c>
      <c r="E27">
        <f t="shared" si="0"/>
        <v>240</v>
      </c>
      <c r="F27">
        <f t="shared" si="1"/>
        <v>360</v>
      </c>
      <c r="G27">
        <f t="shared" ref="G27:G29" si="8">D27*$Q$2</f>
        <v>120</v>
      </c>
      <c r="K27">
        <f>D_普通掉落表!E28</f>
        <v>2</v>
      </c>
      <c r="M27">
        <f t="shared" ref="M27:M29" si="9">MOD(A27,10000)</f>
        <v>3007</v>
      </c>
    </row>
    <row r="28" spans="1:13" x14ac:dyDescent="0.15">
      <c r="A28" s="41">
        <v>503008</v>
      </c>
      <c r="B28" t="str">
        <f>VLOOKUP(M28,[1]地图配置辅助表!$A$3:$E$229,4,FALSE)</f>
        <v>复仇之路</v>
      </c>
      <c r="D28">
        <f>VLOOKUP(M28,[1]地图配置辅助表!$A$3:$E$229,5,FALSE)</f>
        <v>6</v>
      </c>
      <c r="E28">
        <f t="shared" si="0"/>
        <v>240</v>
      </c>
      <c r="F28">
        <f t="shared" si="1"/>
        <v>360</v>
      </c>
      <c r="G28">
        <f t="shared" si="8"/>
        <v>120</v>
      </c>
      <c r="K28">
        <f>D_普通掉落表!E29</f>
        <v>2</v>
      </c>
      <c r="M28">
        <f t="shared" si="9"/>
        <v>3008</v>
      </c>
    </row>
    <row r="29" spans="1:13" x14ac:dyDescent="0.15">
      <c r="A29" s="41">
        <v>503009</v>
      </c>
      <c r="B29" t="str">
        <f>VLOOKUP(M29,[1]地图配置辅助表!$A$3:$E$229,4,FALSE)</f>
        <v>双虎覆灭</v>
      </c>
      <c r="D29">
        <f>VLOOKUP(M29,[1]地图配置辅助表!$A$3:$E$229,5,FALSE)</f>
        <v>6</v>
      </c>
      <c r="E29">
        <f t="shared" si="0"/>
        <v>240</v>
      </c>
      <c r="F29">
        <f t="shared" si="1"/>
        <v>360</v>
      </c>
      <c r="G29">
        <f t="shared" si="8"/>
        <v>120</v>
      </c>
      <c r="K29">
        <f>D_普通掉落表!E30</f>
        <v>2</v>
      </c>
      <c r="M29">
        <f t="shared" si="9"/>
        <v>3009</v>
      </c>
    </row>
    <row r="30" spans="1:13" x14ac:dyDescent="0.15">
      <c r="A30" s="6">
        <v>504001</v>
      </c>
      <c r="B30" t="str">
        <f>VLOOKUP(M30,[1]地图配置辅助表!$A$3:$E$229,4,FALSE)</f>
        <v>驱除袭击者</v>
      </c>
      <c r="D30">
        <f>VLOOKUP(M30,[1]地图配置辅助表!$A$3:$E$229,5,FALSE)</f>
        <v>8</v>
      </c>
      <c r="E30">
        <f t="shared" si="0"/>
        <v>320</v>
      </c>
      <c r="F30">
        <f t="shared" si="1"/>
        <v>480</v>
      </c>
      <c r="G30">
        <f t="shared" si="3"/>
        <v>160</v>
      </c>
      <c r="K30">
        <f>D_普通掉落表!E31</f>
        <v>2</v>
      </c>
      <c r="M30">
        <f t="shared" si="2"/>
        <v>4001</v>
      </c>
    </row>
    <row r="31" spans="1:13" x14ac:dyDescent="0.15">
      <c r="A31" s="6">
        <v>504002</v>
      </c>
      <c r="B31" t="str">
        <f>VLOOKUP(M31,[1]地图配置辅助表!$A$3:$E$229,4,FALSE)</f>
        <v>屯门之争</v>
      </c>
      <c r="D31">
        <f>VLOOKUP(M31,[1]地图配置辅助表!$A$3:$E$229,5,FALSE)</f>
        <v>8</v>
      </c>
      <c r="E31">
        <f t="shared" si="0"/>
        <v>320</v>
      </c>
      <c r="F31">
        <f t="shared" si="1"/>
        <v>480</v>
      </c>
      <c r="G31">
        <f t="shared" si="3"/>
        <v>160</v>
      </c>
      <c r="K31">
        <f>D_普通掉落表!E32</f>
        <v>2</v>
      </c>
      <c r="M31">
        <f t="shared" si="2"/>
        <v>4002</v>
      </c>
    </row>
    <row r="32" spans="1:13" x14ac:dyDescent="0.15">
      <c r="A32" s="6">
        <v>504003</v>
      </c>
      <c r="B32" t="str">
        <f>VLOOKUP(M32,[1]地图配置辅助表!$A$3:$E$229,4,FALSE)</f>
        <v>教会解围</v>
      </c>
      <c r="D32">
        <f>VLOOKUP(M32,[1]地图配置辅助表!$A$3:$E$229,5,FALSE)</f>
        <v>8</v>
      </c>
      <c r="E32">
        <f t="shared" si="0"/>
        <v>320</v>
      </c>
      <c r="F32">
        <f t="shared" si="1"/>
        <v>480</v>
      </c>
      <c r="G32">
        <f t="shared" si="3"/>
        <v>160</v>
      </c>
      <c r="K32">
        <f>D_普通掉落表!E33</f>
        <v>2</v>
      </c>
      <c r="M32">
        <f t="shared" si="2"/>
        <v>4003</v>
      </c>
    </row>
    <row r="33" spans="1:13" x14ac:dyDescent="0.15">
      <c r="A33" s="6">
        <v>504004</v>
      </c>
      <c r="B33" t="str">
        <f>VLOOKUP(M33,[1]地图配置辅助表!$A$3:$E$229,4,FALSE)</f>
        <v>地盘纷争</v>
      </c>
      <c r="D33">
        <f>VLOOKUP(M33,[1]地图配置辅助表!$A$3:$E$229,5,FALSE)</f>
        <v>8</v>
      </c>
      <c r="E33">
        <f t="shared" si="0"/>
        <v>320</v>
      </c>
      <c r="F33">
        <f t="shared" si="1"/>
        <v>480</v>
      </c>
      <c r="G33">
        <f t="shared" si="3"/>
        <v>160</v>
      </c>
      <c r="K33">
        <f>D_普通掉落表!E34</f>
        <v>2</v>
      </c>
      <c r="M33">
        <f t="shared" si="2"/>
        <v>4004</v>
      </c>
    </row>
    <row r="34" spans="1:13" x14ac:dyDescent="0.15">
      <c r="A34" s="6">
        <v>504005</v>
      </c>
      <c r="B34" t="str">
        <f>VLOOKUP(M34,[1]地图配置辅助表!$A$3:$E$229,4,FALSE)</f>
        <v>营救大天二</v>
      </c>
      <c r="D34">
        <f>VLOOKUP(M34,[1]地图配置辅助表!$A$3:$E$229,5,FALSE)</f>
        <v>8</v>
      </c>
      <c r="E34">
        <f t="shared" ref="E34:E65" si="10">ROUNDUP(D34*$Q$3*0.8,0)</f>
        <v>320</v>
      </c>
      <c r="F34">
        <f t="shared" ref="F34:F65" si="11">ROUNDUP(D34*$Q$3*1.2,0)</f>
        <v>480</v>
      </c>
      <c r="G34">
        <f t="shared" si="3"/>
        <v>160</v>
      </c>
      <c r="K34">
        <f>D_普通掉落表!E35</f>
        <v>2</v>
      </c>
      <c r="M34">
        <f t="shared" si="2"/>
        <v>4005</v>
      </c>
    </row>
    <row r="35" spans="1:13" x14ac:dyDescent="0.15">
      <c r="A35" s="6">
        <v>504006</v>
      </c>
      <c r="B35" t="str">
        <f>VLOOKUP(M35,[1]地图配置辅助表!$A$3:$E$229,4,FALSE)</f>
        <v>调虎离山</v>
      </c>
      <c r="D35">
        <f>VLOOKUP(M35,[1]地图配置辅助表!$A$3:$E$229,5,FALSE)</f>
        <v>8</v>
      </c>
      <c r="E35">
        <f t="shared" si="10"/>
        <v>320</v>
      </c>
      <c r="F35">
        <f t="shared" si="11"/>
        <v>480</v>
      </c>
      <c r="G35">
        <f t="shared" si="3"/>
        <v>160</v>
      </c>
      <c r="K35">
        <f>D_普通掉落表!E36</f>
        <v>2</v>
      </c>
      <c r="M35">
        <f t="shared" si="2"/>
        <v>4006</v>
      </c>
    </row>
    <row r="36" spans="1:13" x14ac:dyDescent="0.15">
      <c r="A36" s="41">
        <v>504007</v>
      </c>
      <c r="B36" t="str">
        <f>VLOOKUP(M36,[1]地图配置辅助表!$A$3:$E$229,4,FALSE)</f>
        <v>痛失战友</v>
      </c>
      <c r="D36">
        <f>VLOOKUP(M36,[1]地图配置辅助表!$A$3:$E$229,5,FALSE)</f>
        <v>8</v>
      </c>
      <c r="E36">
        <f t="shared" si="10"/>
        <v>320</v>
      </c>
      <c r="F36">
        <f t="shared" si="11"/>
        <v>480</v>
      </c>
      <c r="G36">
        <f t="shared" ref="G36:G38" si="12">D36*$Q$2</f>
        <v>160</v>
      </c>
      <c r="K36">
        <f>D_普通掉落表!E37</f>
        <v>2</v>
      </c>
      <c r="M36">
        <f t="shared" ref="M36:M38" si="13">MOD(A36,10000)</f>
        <v>4007</v>
      </c>
    </row>
    <row r="37" spans="1:13" x14ac:dyDescent="0.15">
      <c r="A37" s="41">
        <v>504008</v>
      </c>
      <c r="B37" t="str">
        <f>VLOOKUP(M37,[1]地图配置辅助表!$A$3:$E$229,4,FALSE)</f>
        <v>追击真凶</v>
      </c>
      <c r="D37">
        <f>VLOOKUP(M37,[1]地图配置辅助表!$A$3:$E$229,5,FALSE)</f>
        <v>8</v>
      </c>
      <c r="E37">
        <f t="shared" si="10"/>
        <v>320</v>
      </c>
      <c r="F37">
        <f t="shared" si="11"/>
        <v>480</v>
      </c>
      <c r="G37">
        <f t="shared" si="12"/>
        <v>160</v>
      </c>
      <c r="K37">
        <f>D_普通掉落表!E38</f>
        <v>2</v>
      </c>
      <c r="M37">
        <f t="shared" si="13"/>
        <v>4008</v>
      </c>
    </row>
    <row r="38" spans="1:13" x14ac:dyDescent="0.15">
      <c r="A38" s="41">
        <v>504009</v>
      </c>
      <c r="B38" t="str">
        <f>VLOOKUP(M38,[1]地图配置辅助表!$A$3:$E$229,4,FALSE)</f>
        <v>一决雌雄</v>
      </c>
      <c r="D38">
        <f>VLOOKUP(M38,[1]地图配置辅助表!$A$3:$E$229,5,FALSE)</f>
        <v>8</v>
      </c>
      <c r="E38">
        <f t="shared" si="10"/>
        <v>320</v>
      </c>
      <c r="F38">
        <f t="shared" si="11"/>
        <v>480</v>
      </c>
      <c r="G38">
        <f t="shared" si="12"/>
        <v>160</v>
      </c>
      <c r="K38">
        <f>D_普通掉落表!E39</f>
        <v>2</v>
      </c>
      <c r="M38">
        <f t="shared" si="13"/>
        <v>4009</v>
      </c>
    </row>
    <row r="39" spans="1:13" x14ac:dyDescent="0.15">
      <c r="A39" s="6">
        <v>505001</v>
      </c>
      <c r="B39" t="str">
        <f>VLOOKUP(M39,[1]地图配置辅助表!$A$3:$E$229,4,FALSE)</f>
        <v>双雄之争</v>
      </c>
      <c r="D39">
        <f>VLOOKUP(M39,[1]地图配置辅助表!$A$3:$E$229,5,FALSE)</f>
        <v>8</v>
      </c>
      <c r="E39">
        <f t="shared" si="10"/>
        <v>320</v>
      </c>
      <c r="F39">
        <f t="shared" si="11"/>
        <v>480</v>
      </c>
      <c r="G39">
        <f t="shared" si="3"/>
        <v>160</v>
      </c>
      <c r="K39">
        <f>D_普通掉落表!E40</f>
        <v>2</v>
      </c>
      <c r="M39">
        <f t="shared" si="2"/>
        <v>5001</v>
      </c>
    </row>
    <row r="40" spans="1:13" x14ac:dyDescent="0.15">
      <c r="A40" s="6">
        <v>505002</v>
      </c>
      <c r="B40" t="str">
        <f>VLOOKUP(M40,[1]地图配置辅助表!$A$3:$E$229,4,FALSE)</f>
        <v>守卫赌船</v>
      </c>
      <c r="D40">
        <f>VLOOKUP(M40,[1]地图配置辅助表!$A$3:$E$229,5,FALSE)</f>
        <v>8</v>
      </c>
      <c r="E40">
        <f t="shared" si="10"/>
        <v>320</v>
      </c>
      <c r="F40">
        <f t="shared" si="11"/>
        <v>480</v>
      </c>
      <c r="G40">
        <f t="shared" si="3"/>
        <v>160</v>
      </c>
      <c r="K40">
        <f>D_普通掉落表!E41</f>
        <v>2</v>
      </c>
      <c r="M40">
        <f t="shared" si="2"/>
        <v>5002</v>
      </c>
    </row>
    <row r="41" spans="1:13" x14ac:dyDescent="0.15">
      <c r="A41" s="6">
        <v>505003</v>
      </c>
      <c r="B41" t="str">
        <f>VLOOKUP(M41,[1]地图配置辅助表!$A$3:$E$229,4,FALSE)</f>
        <v>正面冲突</v>
      </c>
      <c r="D41">
        <f>VLOOKUP(M41,[1]地图配置辅助表!$A$3:$E$229,5,FALSE)</f>
        <v>8</v>
      </c>
      <c r="E41">
        <f t="shared" si="10"/>
        <v>320</v>
      </c>
      <c r="F41">
        <f t="shared" si="11"/>
        <v>480</v>
      </c>
      <c r="G41">
        <f t="shared" si="3"/>
        <v>160</v>
      </c>
      <c r="K41">
        <f>D_普通掉落表!E42</f>
        <v>2</v>
      </c>
      <c r="M41">
        <f t="shared" si="2"/>
        <v>5003</v>
      </c>
    </row>
    <row r="42" spans="1:13" x14ac:dyDescent="0.15">
      <c r="A42" s="6">
        <v>505004</v>
      </c>
      <c r="B42" t="str">
        <f>VLOOKUP(M42,[1]地图配置辅助表!$A$3:$E$229,4,FALSE)</f>
        <v>冲突升级</v>
      </c>
      <c r="D42">
        <f>VLOOKUP(M42,[1]地图配置辅助表!$A$3:$E$229,5,FALSE)</f>
        <v>8</v>
      </c>
      <c r="E42">
        <f t="shared" si="10"/>
        <v>320</v>
      </c>
      <c r="F42">
        <f t="shared" si="11"/>
        <v>480</v>
      </c>
      <c r="G42">
        <f t="shared" si="3"/>
        <v>160</v>
      </c>
      <c r="K42">
        <f>D_普通掉落表!E43</f>
        <v>2</v>
      </c>
      <c r="M42">
        <f t="shared" si="2"/>
        <v>5004</v>
      </c>
    </row>
    <row r="43" spans="1:13" x14ac:dyDescent="0.15">
      <c r="A43" s="6">
        <v>505005</v>
      </c>
      <c r="B43" t="str">
        <f>VLOOKUP(M43,[1]地图配置辅助表!$A$3:$E$229,4,FALSE)</f>
        <v>缉拿长毛</v>
      </c>
      <c r="D43">
        <f>VLOOKUP(M43,[1]地图配置辅助表!$A$3:$E$229,5,FALSE)</f>
        <v>8</v>
      </c>
      <c r="E43">
        <f t="shared" si="10"/>
        <v>320</v>
      </c>
      <c r="F43">
        <f t="shared" si="11"/>
        <v>480</v>
      </c>
      <c r="G43">
        <f t="shared" si="3"/>
        <v>160</v>
      </c>
      <c r="K43">
        <f>D_普通掉落表!E44</f>
        <v>2</v>
      </c>
      <c r="M43">
        <f t="shared" si="2"/>
        <v>5005</v>
      </c>
    </row>
    <row r="44" spans="1:13" x14ac:dyDescent="0.15">
      <c r="A44" s="6">
        <v>505006</v>
      </c>
      <c r="B44" t="str">
        <f>VLOOKUP(M44,[1]地图配置辅助表!$A$3:$E$229,4,FALSE)</f>
        <v>备战拳赛</v>
      </c>
      <c r="D44">
        <f>VLOOKUP(M44,[1]地图配置辅助表!$A$3:$E$229,5,FALSE)</f>
        <v>8</v>
      </c>
      <c r="E44">
        <f t="shared" si="10"/>
        <v>320</v>
      </c>
      <c r="F44">
        <f t="shared" si="11"/>
        <v>480</v>
      </c>
      <c r="G44">
        <f t="shared" si="3"/>
        <v>160</v>
      </c>
      <c r="K44">
        <f>D_普通掉落表!E45</f>
        <v>2</v>
      </c>
      <c r="M44">
        <f t="shared" si="2"/>
        <v>5006</v>
      </c>
    </row>
    <row r="45" spans="1:13" x14ac:dyDescent="0.15">
      <c r="A45" s="41">
        <v>505007</v>
      </c>
      <c r="B45" t="str">
        <f>VLOOKUP(M45,[1]地图配置辅助表!$A$3:$E$229,4,FALSE)</f>
        <v>金牌打手</v>
      </c>
      <c r="D45">
        <f>VLOOKUP(M45,[1]地图配置辅助表!$A$3:$E$229,5,FALSE)</f>
        <v>8</v>
      </c>
      <c r="E45">
        <f t="shared" si="10"/>
        <v>320</v>
      </c>
      <c r="F45">
        <f t="shared" si="11"/>
        <v>480</v>
      </c>
      <c r="G45">
        <f t="shared" ref="G45:G47" si="14">D45*$Q$2</f>
        <v>160</v>
      </c>
      <c r="K45">
        <f>D_普通掉落表!E46</f>
        <v>2</v>
      </c>
      <c r="M45">
        <f t="shared" ref="M45:M47" si="15">MOD(A45,10000)</f>
        <v>5007</v>
      </c>
    </row>
    <row r="46" spans="1:13" x14ac:dyDescent="0.15">
      <c r="A46" s="41">
        <v>505008</v>
      </c>
      <c r="B46" t="str">
        <f>VLOOKUP(M46,[1]地图配置辅助表!$A$3:$E$229,4,FALSE)</f>
        <v>螳臂当车</v>
      </c>
      <c r="D46">
        <f>VLOOKUP(M46,[1]地图配置辅助表!$A$3:$E$229,5,FALSE)</f>
        <v>8</v>
      </c>
      <c r="E46">
        <f t="shared" si="10"/>
        <v>320</v>
      </c>
      <c r="F46">
        <f t="shared" si="11"/>
        <v>480</v>
      </c>
      <c r="G46">
        <f t="shared" si="14"/>
        <v>160</v>
      </c>
      <c r="K46">
        <f>D_普通掉落表!E47</f>
        <v>2</v>
      </c>
      <c r="M46">
        <f t="shared" si="15"/>
        <v>5008</v>
      </c>
    </row>
    <row r="47" spans="1:13" x14ac:dyDescent="0.15">
      <c r="A47" s="41">
        <v>505009</v>
      </c>
      <c r="B47" t="str">
        <f>VLOOKUP(M47,[1]地图配置辅助表!$A$3:$E$229,4,FALSE)</f>
        <v>龙争虎斗</v>
      </c>
      <c r="D47">
        <f>VLOOKUP(M47,[1]地图配置辅助表!$A$3:$E$229,5,FALSE)</f>
        <v>8</v>
      </c>
      <c r="E47">
        <f t="shared" si="10"/>
        <v>320</v>
      </c>
      <c r="F47">
        <f t="shared" si="11"/>
        <v>480</v>
      </c>
      <c r="G47">
        <f t="shared" si="14"/>
        <v>160</v>
      </c>
      <c r="K47">
        <f>D_普通掉落表!E48</f>
        <v>2</v>
      </c>
      <c r="M47">
        <f t="shared" si="15"/>
        <v>5009</v>
      </c>
    </row>
    <row r="48" spans="1:13" x14ac:dyDescent="0.15">
      <c r="A48" s="6">
        <v>506001</v>
      </c>
      <c r="B48" t="str">
        <f>VLOOKUP(M48,[1]地图配置辅助表!$A$3:$E$229,4,FALSE)</f>
        <v>婚礼遭袭</v>
      </c>
      <c r="D48">
        <f>VLOOKUP(M48,[1]地图配置辅助表!$A$3:$E$229,5,FALSE)</f>
        <v>10</v>
      </c>
      <c r="E48">
        <f t="shared" si="10"/>
        <v>400</v>
      </c>
      <c r="F48">
        <f t="shared" si="11"/>
        <v>600</v>
      </c>
      <c r="G48">
        <f t="shared" si="3"/>
        <v>200</v>
      </c>
      <c r="K48">
        <f>D_普通掉落表!E49</f>
        <v>2</v>
      </c>
      <c r="M48">
        <f t="shared" si="2"/>
        <v>6001</v>
      </c>
    </row>
    <row r="49" spans="1:13" x14ac:dyDescent="0.15">
      <c r="A49" s="6">
        <v>506002</v>
      </c>
      <c r="B49" t="str">
        <f>VLOOKUP(M49,[1]地图配置辅助表!$A$3:$E$229,4,FALSE)</f>
        <v>纠缠不休</v>
      </c>
      <c r="D49">
        <f>VLOOKUP(M49,[1]地图配置辅助表!$A$3:$E$229,5,FALSE)</f>
        <v>10</v>
      </c>
      <c r="E49">
        <f t="shared" si="10"/>
        <v>400</v>
      </c>
      <c r="F49">
        <f t="shared" si="11"/>
        <v>600</v>
      </c>
      <c r="G49">
        <f t="shared" si="3"/>
        <v>200</v>
      </c>
      <c r="K49">
        <f>D_普通掉落表!E50</f>
        <v>2</v>
      </c>
      <c r="M49">
        <f t="shared" ref="M49:M95" si="16">MOD(A49,10000)</f>
        <v>6002</v>
      </c>
    </row>
    <row r="50" spans="1:13" x14ac:dyDescent="0.15">
      <c r="A50" s="6">
        <v>506003</v>
      </c>
      <c r="B50" t="str">
        <f>VLOOKUP(M50,[1]地图配置辅助表!$A$3:$E$229,4,FALSE)</f>
        <v>试炼之战</v>
      </c>
      <c r="D50">
        <f>VLOOKUP(M50,[1]地图配置辅助表!$A$3:$E$229,5,FALSE)</f>
        <v>10</v>
      </c>
      <c r="E50">
        <f t="shared" si="10"/>
        <v>400</v>
      </c>
      <c r="F50">
        <f t="shared" si="11"/>
        <v>600</v>
      </c>
      <c r="G50">
        <f t="shared" si="3"/>
        <v>200</v>
      </c>
      <c r="K50">
        <f>D_普通掉落表!E51</f>
        <v>2</v>
      </c>
      <c r="M50">
        <f t="shared" si="16"/>
        <v>6003</v>
      </c>
    </row>
    <row r="51" spans="1:13" x14ac:dyDescent="0.15">
      <c r="A51" s="6">
        <v>506004</v>
      </c>
      <c r="B51" t="str">
        <f>VLOOKUP(M51,[1]地图配置辅助表!$A$3:$E$229,4,FALSE)</f>
        <v>反守为攻</v>
      </c>
      <c r="D51">
        <f>VLOOKUP(M51,[1]地图配置辅助表!$A$3:$E$229,5,FALSE)</f>
        <v>10</v>
      </c>
      <c r="E51">
        <f t="shared" si="10"/>
        <v>400</v>
      </c>
      <c r="F51">
        <f t="shared" si="11"/>
        <v>600</v>
      </c>
      <c r="G51">
        <f t="shared" si="3"/>
        <v>200</v>
      </c>
      <c r="K51">
        <f>D_普通掉落表!E52</f>
        <v>2</v>
      </c>
      <c r="M51">
        <f t="shared" si="16"/>
        <v>6004</v>
      </c>
    </row>
    <row r="52" spans="1:13" x14ac:dyDescent="0.15">
      <c r="A52" s="6">
        <v>506005</v>
      </c>
      <c r="B52" t="str">
        <f>VLOOKUP(M52,[1]地图配置辅助表!$A$3:$E$229,4,FALSE)</f>
        <v>突破重围</v>
      </c>
      <c r="D52">
        <f>VLOOKUP(M52,[1]地图配置辅助表!$A$3:$E$229,5,FALSE)</f>
        <v>10</v>
      </c>
      <c r="E52">
        <f t="shared" si="10"/>
        <v>400</v>
      </c>
      <c r="F52">
        <f t="shared" si="11"/>
        <v>600</v>
      </c>
      <c r="G52">
        <f t="shared" si="3"/>
        <v>200</v>
      </c>
      <c r="K52">
        <f>D_普通掉落表!E53</f>
        <v>2</v>
      </c>
      <c r="M52">
        <f t="shared" si="16"/>
        <v>6005</v>
      </c>
    </row>
    <row r="53" spans="1:13" x14ac:dyDescent="0.15">
      <c r="A53" s="6">
        <v>506006</v>
      </c>
      <c r="B53" t="str">
        <f>VLOOKUP(M53,[1]地图配置辅助表!$A$3:$E$229,4,FALSE)</f>
        <v>力克强敌</v>
      </c>
      <c r="D53">
        <f>VLOOKUP(M53,[1]地图配置辅助表!$A$3:$E$229,5,FALSE)</f>
        <v>10</v>
      </c>
      <c r="E53">
        <f t="shared" si="10"/>
        <v>400</v>
      </c>
      <c r="F53">
        <f t="shared" si="11"/>
        <v>600</v>
      </c>
      <c r="G53">
        <f t="shared" si="3"/>
        <v>200</v>
      </c>
      <c r="K53">
        <f>D_普通掉落表!E54</f>
        <v>2</v>
      </c>
      <c r="M53">
        <f t="shared" si="16"/>
        <v>6006</v>
      </c>
    </row>
    <row r="54" spans="1:13" x14ac:dyDescent="0.15">
      <c r="A54" s="41">
        <v>506007</v>
      </c>
      <c r="B54" t="str">
        <f>VLOOKUP(M54,[1]地图配置辅助表!$A$3:$E$229,4,FALSE)</f>
        <v>正面交锋</v>
      </c>
      <c r="D54">
        <f>VLOOKUP(M54,[1]地图配置辅助表!$A$3:$E$229,5,FALSE)</f>
        <v>10</v>
      </c>
      <c r="E54">
        <f t="shared" si="10"/>
        <v>400</v>
      </c>
      <c r="F54">
        <f t="shared" si="11"/>
        <v>600</v>
      </c>
      <c r="G54">
        <f t="shared" ref="G54:G56" si="17">D54*$Q$2</f>
        <v>200</v>
      </c>
      <c r="K54">
        <f>D_普通掉落表!E55</f>
        <v>2</v>
      </c>
      <c r="M54">
        <f t="shared" ref="M54:M56" si="18">MOD(A54,10000)</f>
        <v>6007</v>
      </c>
    </row>
    <row r="55" spans="1:13" x14ac:dyDescent="0.15">
      <c r="A55" s="41">
        <v>506008</v>
      </c>
      <c r="B55" t="str">
        <f>VLOOKUP(M55,[1]地图配置辅助表!$A$3:$E$229,4,FALSE)</f>
        <v>愈战愈勇</v>
      </c>
      <c r="D55">
        <f>VLOOKUP(M55,[1]地图配置辅助表!$A$3:$E$229,5,FALSE)</f>
        <v>10</v>
      </c>
      <c r="E55">
        <f t="shared" si="10"/>
        <v>400</v>
      </c>
      <c r="F55">
        <f t="shared" si="11"/>
        <v>600</v>
      </c>
      <c r="G55">
        <f t="shared" si="17"/>
        <v>200</v>
      </c>
      <c r="K55">
        <f>D_普通掉落表!E56</f>
        <v>2</v>
      </c>
      <c r="M55">
        <f t="shared" si="18"/>
        <v>6008</v>
      </c>
    </row>
    <row r="56" spans="1:13" x14ac:dyDescent="0.15">
      <c r="A56" s="41">
        <v>506009</v>
      </c>
      <c r="B56" t="str">
        <f>VLOOKUP(M56,[1]地图配置辅助表!$A$3:$E$229,4,FALSE)</f>
        <v>决战太乙</v>
      </c>
      <c r="D56">
        <f>VLOOKUP(M56,[1]地图配置辅助表!$A$3:$E$229,5,FALSE)</f>
        <v>10</v>
      </c>
      <c r="E56">
        <f t="shared" si="10"/>
        <v>400</v>
      </c>
      <c r="F56">
        <f t="shared" si="11"/>
        <v>600</v>
      </c>
      <c r="G56">
        <f t="shared" si="17"/>
        <v>200</v>
      </c>
      <c r="K56">
        <f>D_普通掉落表!E57</f>
        <v>2</v>
      </c>
      <c r="M56">
        <f t="shared" si="18"/>
        <v>6009</v>
      </c>
    </row>
    <row r="57" spans="1:13" x14ac:dyDescent="0.15">
      <c r="A57" s="6">
        <v>507001</v>
      </c>
      <c r="B57" t="str">
        <f>VLOOKUP(M57,[1]地图配置辅助表!$A$3:$E$229,4,FALSE)</f>
        <v>突袭白虎堂</v>
      </c>
      <c r="D57">
        <f>VLOOKUP(M57,[1]地图配置辅助表!$A$3:$E$229,5,FALSE)</f>
        <v>10</v>
      </c>
      <c r="E57">
        <f t="shared" si="10"/>
        <v>400</v>
      </c>
      <c r="F57">
        <f t="shared" si="11"/>
        <v>600</v>
      </c>
      <c r="G57">
        <f t="shared" si="3"/>
        <v>200</v>
      </c>
      <c r="K57">
        <f>D_普通掉落表!E58</f>
        <v>2</v>
      </c>
      <c r="M57">
        <f t="shared" si="16"/>
        <v>7001</v>
      </c>
    </row>
    <row r="58" spans="1:13" x14ac:dyDescent="0.15">
      <c r="A58" s="6">
        <v>507002</v>
      </c>
      <c r="B58" t="str">
        <f>VLOOKUP(M58,[1]地图配置辅助表!$A$3:$E$229,4,FALSE)</f>
        <v>勇闯玄武堂</v>
      </c>
      <c r="D58">
        <f>VLOOKUP(M58,[1]地图配置辅助表!$A$3:$E$229,5,FALSE)</f>
        <v>10</v>
      </c>
      <c r="E58">
        <f t="shared" si="10"/>
        <v>400</v>
      </c>
      <c r="F58">
        <f t="shared" si="11"/>
        <v>600</v>
      </c>
      <c r="G58">
        <f t="shared" si="3"/>
        <v>200</v>
      </c>
      <c r="K58">
        <f>D_普通掉落表!E59</f>
        <v>2</v>
      </c>
      <c r="M58">
        <f t="shared" si="16"/>
        <v>7002</v>
      </c>
    </row>
    <row r="59" spans="1:13" x14ac:dyDescent="0.15">
      <c r="A59" s="6">
        <v>507003</v>
      </c>
      <c r="B59" t="str">
        <f>VLOOKUP(M59,[1]地图配置辅助表!$A$3:$E$229,4,FALSE)</f>
        <v>激战朱雀堂</v>
      </c>
      <c r="D59">
        <f>VLOOKUP(M59,[1]地图配置辅助表!$A$3:$E$229,5,FALSE)</f>
        <v>10</v>
      </c>
      <c r="E59">
        <f t="shared" si="10"/>
        <v>400</v>
      </c>
      <c r="F59">
        <f t="shared" si="11"/>
        <v>600</v>
      </c>
      <c r="G59">
        <f t="shared" si="3"/>
        <v>200</v>
      </c>
      <c r="K59">
        <f>D_普通掉落表!E60</f>
        <v>2</v>
      </c>
      <c r="M59">
        <f t="shared" si="16"/>
        <v>7003</v>
      </c>
    </row>
    <row r="60" spans="1:13" x14ac:dyDescent="0.15">
      <c r="A60" s="6">
        <v>507004</v>
      </c>
      <c r="B60" t="str">
        <f>VLOOKUP(M60,[1]地图配置辅助表!$A$3:$E$229,4,FALSE)</f>
        <v>恶战青龙堂</v>
      </c>
      <c r="D60">
        <f>VLOOKUP(M60,[1]地图配置辅助表!$A$3:$E$229,5,FALSE)</f>
        <v>10</v>
      </c>
      <c r="E60">
        <f t="shared" si="10"/>
        <v>400</v>
      </c>
      <c r="F60">
        <f t="shared" si="11"/>
        <v>600</v>
      </c>
      <c r="G60">
        <f t="shared" si="3"/>
        <v>200</v>
      </c>
      <c r="K60">
        <f>D_普通掉落表!E61</f>
        <v>2</v>
      </c>
      <c r="M60">
        <f t="shared" si="16"/>
        <v>7004</v>
      </c>
    </row>
    <row r="61" spans="1:13" x14ac:dyDescent="0.15">
      <c r="A61" s="6">
        <v>507005</v>
      </c>
      <c r="B61" t="str">
        <f>VLOOKUP(M61,[1]地图配置辅助表!$A$3:$E$229,4,FALSE)</f>
        <v>挑战佐维</v>
      </c>
      <c r="D61">
        <f>VLOOKUP(M61,[1]地图配置辅助表!$A$3:$E$229,5,FALSE)</f>
        <v>10</v>
      </c>
      <c r="E61">
        <f t="shared" si="10"/>
        <v>400</v>
      </c>
      <c r="F61">
        <f t="shared" si="11"/>
        <v>600</v>
      </c>
      <c r="G61">
        <f t="shared" si="3"/>
        <v>200</v>
      </c>
      <c r="K61">
        <f>D_普通掉落表!E62</f>
        <v>2</v>
      </c>
      <c r="M61">
        <f t="shared" si="16"/>
        <v>7005</v>
      </c>
    </row>
    <row r="62" spans="1:13" x14ac:dyDescent="0.15">
      <c r="A62" s="6">
        <v>507006</v>
      </c>
      <c r="B62" t="str">
        <f>VLOOKUP(M62,[1]地图配置辅助表!$A$3:$E$229,4,FALSE)</f>
        <v>恶虎下山</v>
      </c>
      <c r="D62">
        <f>VLOOKUP(M62,[1]地图配置辅助表!$A$3:$E$229,5,FALSE)</f>
        <v>10</v>
      </c>
      <c r="E62">
        <f t="shared" si="10"/>
        <v>400</v>
      </c>
      <c r="F62">
        <f t="shared" si="11"/>
        <v>600</v>
      </c>
      <c r="G62">
        <f t="shared" si="3"/>
        <v>200</v>
      </c>
      <c r="K62">
        <f>D_普通掉落表!E63</f>
        <v>2</v>
      </c>
      <c r="M62">
        <f t="shared" si="16"/>
        <v>7006</v>
      </c>
    </row>
    <row r="63" spans="1:13" x14ac:dyDescent="0.15">
      <c r="A63" s="41">
        <v>507007</v>
      </c>
      <c r="B63" t="str">
        <f>VLOOKUP(M63,[1]地图配置辅助表!$A$3:$E$229,4,FALSE)</f>
        <v>狂龙出海</v>
      </c>
      <c r="D63">
        <f>VLOOKUP(M63,[1]地图配置辅助表!$A$3:$E$229,5,FALSE)</f>
        <v>10</v>
      </c>
      <c r="E63">
        <f t="shared" si="10"/>
        <v>400</v>
      </c>
      <c r="F63">
        <f t="shared" si="11"/>
        <v>600</v>
      </c>
      <c r="G63">
        <f t="shared" ref="G63:G65" si="19">D63*$Q$2</f>
        <v>200</v>
      </c>
      <c r="K63">
        <f>D_普通掉落表!E64</f>
        <v>2</v>
      </c>
      <c r="M63">
        <f t="shared" ref="M63:M65" si="20">MOD(A63,10000)</f>
        <v>7007</v>
      </c>
    </row>
    <row r="64" spans="1:13" x14ac:dyDescent="0.15">
      <c r="A64" s="41">
        <v>507008</v>
      </c>
      <c r="B64" t="str">
        <f>VLOOKUP(M64,[1]地图配置辅助表!$A$3:$E$229,4,FALSE)</f>
        <v>兵临城下</v>
      </c>
      <c r="D64">
        <f>VLOOKUP(M64,[1]地图配置辅助表!$A$3:$E$229,5,FALSE)</f>
        <v>10</v>
      </c>
      <c r="E64">
        <f t="shared" si="10"/>
        <v>400</v>
      </c>
      <c r="F64">
        <f t="shared" si="11"/>
        <v>600</v>
      </c>
      <c r="G64">
        <f t="shared" si="19"/>
        <v>200</v>
      </c>
      <c r="K64">
        <f>D_普通掉落表!E65</f>
        <v>2</v>
      </c>
      <c r="M64">
        <f t="shared" si="20"/>
        <v>7008</v>
      </c>
    </row>
    <row r="65" spans="1:13" x14ac:dyDescent="0.15">
      <c r="A65" s="41">
        <v>507009</v>
      </c>
      <c r="B65" t="str">
        <f>VLOOKUP(M65,[1]地图配置辅助表!$A$3:$E$229,4,FALSE)</f>
        <v>决战东京</v>
      </c>
      <c r="D65">
        <f>VLOOKUP(M65,[1]地图配置辅助表!$A$3:$E$229,5,FALSE)</f>
        <v>10</v>
      </c>
      <c r="E65">
        <f t="shared" si="10"/>
        <v>400</v>
      </c>
      <c r="F65">
        <f t="shared" si="11"/>
        <v>600</v>
      </c>
      <c r="G65">
        <f t="shared" si="19"/>
        <v>200</v>
      </c>
      <c r="K65">
        <f>D_普通掉落表!E66</f>
        <v>2</v>
      </c>
      <c r="M65">
        <f t="shared" si="20"/>
        <v>7009</v>
      </c>
    </row>
    <row r="66" spans="1:13" x14ac:dyDescent="0.15">
      <c r="A66" s="6">
        <v>508001</v>
      </c>
      <c r="B66" t="str">
        <f>VLOOKUP(M66,[1]地图配置辅助表!$A$3:$E$229,4,FALSE)</f>
        <v>再战靓坤</v>
      </c>
      <c r="D66">
        <f>VLOOKUP(M66,[1]地图配置辅助表!$A$3:$E$229,5,FALSE)</f>
        <v>10</v>
      </c>
      <c r="E66">
        <f t="shared" ref="E66:E97" si="21">ROUNDUP(D66*$Q$3*0.8,0)</f>
        <v>400</v>
      </c>
      <c r="F66">
        <f t="shared" ref="F66:F97" si="22">ROUNDUP(D66*$Q$3*1.2,0)</f>
        <v>600</v>
      </c>
      <c r="G66">
        <f t="shared" si="3"/>
        <v>200</v>
      </c>
      <c r="K66">
        <f>D_普通掉落表!E67</f>
        <v>2</v>
      </c>
      <c r="M66">
        <f t="shared" si="16"/>
        <v>8001</v>
      </c>
    </row>
    <row r="67" spans="1:13" x14ac:dyDescent="0.15">
      <c r="A67" s="6">
        <v>508002</v>
      </c>
      <c r="B67" t="str">
        <f>VLOOKUP(M67,[1]地图配置辅助表!$A$3:$E$229,4,FALSE)</f>
        <v>噩梦再临</v>
      </c>
      <c r="D67">
        <f>VLOOKUP(M67,[1]地图配置辅助表!$A$3:$E$229,5,FALSE)</f>
        <v>10</v>
      </c>
      <c r="E67">
        <f t="shared" si="21"/>
        <v>400</v>
      </c>
      <c r="F67">
        <f t="shared" si="22"/>
        <v>600</v>
      </c>
      <c r="G67">
        <f t="shared" si="3"/>
        <v>200</v>
      </c>
      <c r="K67">
        <f>D_普通掉落表!E68</f>
        <v>2</v>
      </c>
      <c r="M67">
        <f t="shared" si="16"/>
        <v>8002</v>
      </c>
    </row>
    <row r="68" spans="1:13" x14ac:dyDescent="0.15">
      <c r="A68" s="6">
        <v>508003</v>
      </c>
      <c r="B68" t="str">
        <f>VLOOKUP(M68,[1]地图配置辅助表!$A$3:$E$229,4,FALSE)</f>
        <v>死性不改</v>
      </c>
      <c r="D68">
        <f>VLOOKUP(M68,[1]地图配置辅助表!$A$3:$E$229,5,FALSE)</f>
        <v>10</v>
      </c>
      <c r="E68">
        <f t="shared" si="21"/>
        <v>400</v>
      </c>
      <c r="F68">
        <f t="shared" si="22"/>
        <v>600</v>
      </c>
      <c r="G68">
        <f t="shared" si="3"/>
        <v>200</v>
      </c>
      <c r="K68">
        <f>D_普通掉落表!E69</f>
        <v>2</v>
      </c>
      <c r="M68">
        <f t="shared" si="16"/>
        <v>8003</v>
      </c>
    </row>
    <row r="69" spans="1:13" x14ac:dyDescent="0.15">
      <c r="A69" s="6">
        <v>508004</v>
      </c>
      <c r="B69" t="str">
        <f>VLOOKUP(M69,[1]地图配置辅助表!$A$3:$E$229,4,FALSE)</f>
        <v>阴魂不散</v>
      </c>
      <c r="D69">
        <f>VLOOKUP(M69,[1]地图配置辅助表!$A$3:$E$229,5,FALSE)</f>
        <v>10</v>
      </c>
      <c r="E69">
        <f t="shared" si="21"/>
        <v>400</v>
      </c>
      <c r="F69">
        <f t="shared" si="22"/>
        <v>600</v>
      </c>
      <c r="G69">
        <f t="shared" ref="G69:G71" si="23">D69*$Q$2</f>
        <v>200</v>
      </c>
      <c r="K69">
        <f>D_普通掉落表!E70</f>
        <v>2</v>
      </c>
      <c r="M69">
        <f t="shared" ref="M69:M71" si="24">MOD(A69,10000)</f>
        <v>8004</v>
      </c>
    </row>
    <row r="70" spans="1:13" x14ac:dyDescent="0.15">
      <c r="A70" s="6">
        <v>508005</v>
      </c>
      <c r="B70" t="str">
        <f>VLOOKUP(M70,[1]地图配置辅助表!$A$3:$E$229,4,FALSE)</f>
        <v>意外强敌</v>
      </c>
      <c r="D70">
        <f>VLOOKUP(M70,[1]地图配置辅助表!$A$3:$E$229,5,FALSE)</f>
        <v>10</v>
      </c>
      <c r="E70">
        <f t="shared" si="21"/>
        <v>400</v>
      </c>
      <c r="F70">
        <f t="shared" si="22"/>
        <v>600</v>
      </c>
      <c r="G70">
        <f t="shared" si="23"/>
        <v>200</v>
      </c>
      <c r="K70">
        <f>D_普通掉落表!E71</f>
        <v>2</v>
      </c>
      <c r="M70">
        <f t="shared" si="24"/>
        <v>8005</v>
      </c>
    </row>
    <row r="71" spans="1:13" x14ac:dyDescent="0.15">
      <c r="A71" s="6">
        <v>508006</v>
      </c>
      <c r="B71" t="str">
        <f>VLOOKUP(M71,[1]地图配置辅助表!$A$3:$E$229,4,FALSE)</f>
        <v>复仇之战</v>
      </c>
      <c r="D71">
        <f>VLOOKUP(M71,[1]地图配置辅助表!$A$3:$E$229,5,FALSE)</f>
        <v>10</v>
      </c>
      <c r="E71">
        <f t="shared" si="21"/>
        <v>400</v>
      </c>
      <c r="F71">
        <f t="shared" si="22"/>
        <v>600</v>
      </c>
      <c r="G71">
        <f t="shared" si="23"/>
        <v>200</v>
      </c>
      <c r="K71">
        <f>D_普通掉落表!E72</f>
        <v>2</v>
      </c>
      <c r="M71">
        <f t="shared" si="24"/>
        <v>8006</v>
      </c>
    </row>
    <row r="72" spans="1:13" x14ac:dyDescent="0.15">
      <c r="A72" s="41">
        <v>508007</v>
      </c>
      <c r="B72" t="str">
        <f>VLOOKUP(M72,[1]地图配置辅助表!$A$3:$E$229,4,FALSE)</f>
        <v>劲敌出现</v>
      </c>
      <c r="D72">
        <f>VLOOKUP(M72,[1]地图配置辅助表!$A$3:$E$229,5,FALSE)</f>
        <v>10</v>
      </c>
      <c r="E72">
        <f t="shared" si="21"/>
        <v>400</v>
      </c>
      <c r="F72">
        <f t="shared" si="22"/>
        <v>600</v>
      </c>
      <c r="G72">
        <f t="shared" si="3"/>
        <v>200</v>
      </c>
      <c r="K72">
        <f>D_普通掉落表!E73</f>
        <v>2</v>
      </c>
      <c r="M72">
        <f t="shared" si="16"/>
        <v>8007</v>
      </c>
    </row>
    <row r="73" spans="1:13" x14ac:dyDescent="0.15">
      <c r="A73" s="41">
        <v>508008</v>
      </c>
      <c r="B73" t="str">
        <f>VLOOKUP(M73,[1]地图配置辅助表!$A$3:$E$229,4,FALSE)</f>
        <v>约战山鸡</v>
      </c>
      <c r="D73">
        <f>VLOOKUP(M73,[1]地图配置辅助表!$A$3:$E$229,5,FALSE)</f>
        <v>10</v>
      </c>
      <c r="E73">
        <f t="shared" si="21"/>
        <v>400</v>
      </c>
      <c r="F73">
        <f t="shared" si="22"/>
        <v>600</v>
      </c>
      <c r="G73">
        <f t="shared" si="3"/>
        <v>200</v>
      </c>
      <c r="K73">
        <f>D_普通掉落表!E74</f>
        <v>2</v>
      </c>
      <c r="M73">
        <f t="shared" si="16"/>
        <v>8008</v>
      </c>
    </row>
    <row r="74" spans="1:13" x14ac:dyDescent="0.15">
      <c r="A74" s="41">
        <v>508009</v>
      </c>
      <c r="B74" t="str">
        <f>VLOOKUP(M74,[1]地图配置辅助表!$A$3:$E$229,4,FALSE)</f>
        <v>揭穿雷复轰</v>
      </c>
      <c r="D74">
        <f>VLOOKUP(M74,[1]地图配置辅助表!$A$3:$E$229,5,FALSE)</f>
        <v>10</v>
      </c>
      <c r="E74">
        <f t="shared" si="21"/>
        <v>400</v>
      </c>
      <c r="F74">
        <f t="shared" si="22"/>
        <v>600</v>
      </c>
      <c r="G74">
        <f t="shared" si="3"/>
        <v>200</v>
      </c>
      <c r="K74">
        <f>D_普通掉落表!E75</f>
        <v>2</v>
      </c>
      <c r="M74">
        <f t="shared" si="16"/>
        <v>8009</v>
      </c>
    </row>
    <row r="75" spans="1:13" x14ac:dyDescent="0.15">
      <c r="A75" s="6">
        <v>501201</v>
      </c>
      <c r="B75" t="str">
        <f>VLOOKUP(M75,[1]地图配置辅助表!$A$3:$E$229,4,FALSE)</f>
        <v>精英巴闭</v>
      </c>
      <c r="D75">
        <f>VLOOKUP(M75,[1]地图配置辅助表!$A$3:$E$229,5,FALSE)</f>
        <v>10</v>
      </c>
      <c r="E75">
        <f t="shared" si="21"/>
        <v>400</v>
      </c>
      <c r="F75">
        <f t="shared" si="22"/>
        <v>600</v>
      </c>
      <c r="G75">
        <f>D75*$Q$2</f>
        <v>200</v>
      </c>
      <c r="H75">
        <f>VLOOKUP(A75,[5]龙魂的投放!$Q:$U,5,0)</f>
        <v>20</v>
      </c>
      <c r="K75">
        <f>D_普通掉落表!E76</f>
        <v>3</v>
      </c>
      <c r="M75">
        <f t="shared" si="16"/>
        <v>1201</v>
      </c>
    </row>
    <row r="76" spans="1:13" x14ac:dyDescent="0.15">
      <c r="A76" s="6">
        <v>501202</v>
      </c>
      <c r="B76" t="str">
        <f>VLOOKUP(M76,[1]地图配置辅助表!$A$3:$E$229,4,FALSE)</f>
        <v>精英大傻保镖</v>
      </c>
      <c r="D76">
        <f>VLOOKUP(M76,[1]地图配置辅助表!$A$3:$E$229,5,FALSE)</f>
        <v>10</v>
      </c>
      <c r="E76">
        <f t="shared" si="21"/>
        <v>400</v>
      </c>
      <c r="F76">
        <f t="shared" si="22"/>
        <v>600</v>
      </c>
      <c r="G76">
        <f t="shared" ref="G76:G146" si="25">D76*$Q$2</f>
        <v>200</v>
      </c>
      <c r="H76">
        <f>VLOOKUP(A76,[5]龙魂的投放!$Q:$U,5,0)</f>
        <v>20</v>
      </c>
      <c r="K76">
        <f>D_普通掉落表!E77</f>
        <v>3</v>
      </c>
      <c r="M76">
        <f t="shared" si="16"/>
        <v>1202</v>
      </c>
    </row>
    <row r="77" spans="1:13" x14ac:dyDescent="0.15">
      <c r="A77" s="6">
        <v>501203</v>
      </c>
      <c r="B77" t="str">
        <f>VLOOKUP(M77,[1]地图配置辅助表!$A$3:$E$229,4,FALSE)</f>
        <v>精英偷车贼</v>
      </c>
      <c r="D77">
        <f>VLOOKUP(M77,[1]地图配置辅助表!$A$3:$E$229,5,FALSE)</f>
        <v>10</v>
      </c>
      <c r="E77">
        <f t="shared" si="21"/>
        <v>400</v>
      </c>
      <c r="F77">
        <f t="shared" si="22"/>
        <v>600</v>
      </c>
      <c r="G77">
        <f t="shared" si="25"/>
        <v>200</v>
      </c>
      <c r="H77">
        <f>VLOOKUP(A77,[5]龙魂的投放!$Q:$U,5,0)</f>
        <v>20</v>
      </c>
      <c r="K77">
        <f>D_普通掉落表!E78</f>
        <v>3</v>
      </c>
      <c r="M77">
        <f t="shared" si="16"/>
        <v>1203</v>
      </c>
    </row>
    <row r="78" spans="1:13" x14ac:dyDescent="0.15">
      <c r="A78" s="6">
        <v>501204</v>
      </c>
      <c r="B78" t="str">
        <f>VLOOKUP(M78,[1]地图配置辅助表!$A$3:$E$229,4,FALSE)</f>
        <v>精英丧彪手下</v>
      </c>
      <c r="D78">
        <f>VLOOKUP(M78,[1]地图配置辅助表!$A$3:$E$229,5,FALSE)</f>
        <v>10</v>
      </c>
      <c r="E78">
        <f t="shared" si="21"/>
        <v>400</v>
      </c>
      <c r="F78">
        <f t="shared" si="22"/>
        <v>600</v>
      </c>
      <c r="G78">
        <f t="shared" si="25"/>
        <v>200</v>
      </c>
      <c r="H78">
        <f>VLOOKUP(A78,[5]龙魂的投放!$Q:$U,5,0)</f>
        <v>20</v>
      </c>
      <c r="K78">
        <f>D_普通掉落表!E79</f>
        <v>3</v>
      </c>
      <c r="M78">
        <f t="shared" si="16"/>
        <v>1204</v>
      </c>
    </row>
    <row r="79" spans="1:13" x14ac:dyDescent="0.15">
      <c r="A79" s="6">
        <v>501205</v>
      </c>
      <c r="B79" t="str">
        <f>VLOOKUP(M79,[1]地图配置辅助表!$A$3:$E$229,4,FALSE)</f>
        <v>精英丧彪</v>
      </c>
      <c r="D79">
        <f>VLOOKUP(M79,[1]地图配置辅助表!$A$3:$E$229,5,FALSE)</f>
        <v>10</v>
      </c>
      <c r="E79">
        <f t="shared" si="21"/>
        <v>400</v>
      </c>
      <c r="F79">
        <f t="shared" si="22"/>
        <v>600</v>
      </c>
      <c r="G79">
        <f t="shared" si="25"/>
        <v>200</v>
      </c>
      <c r="H79">
        <f>VLOOKUP(A79,[5]龙魂的投放!$Q:$U,5,0)</f>
        <v>20</v>
      </c>
      <c r="K79">
        <f>D_普通掉落表!E80</f>
        <v>3</v>
      </c>
      <c r="M79">
        <f t="shared" si="16"/>
        <v>1205</v>
      </c>
    </row>
    <row r="80" spans="1:13" x14ac:dyDescent="0.15">
      <c r="A80" s="6">
        <v>501206</v>
      </c>
      <c r="B80" t="str">
        <f>VLOOKUP(M80,[1]地图配置辅助表!$A$3:$E$229,4,FALSE)</f>
        <v>精英拦截者</v>
      </c>
      <c r="D80">
        <f>VLOOKUP(M80,[1]地图配置辅助表!$A$3:$E$229,5,FALSE)</f>
        <v>10</v>
      </c>
      <c r="E80">
        <f t="shared" si="21"/>
        <v>400</v>
      </c>
      <c r="F80">
        <f t="shared" si="22"/>
        <v>600</v>
      </c>
      <c r="G80">
        <f t="shared" si="25"/>
        <v>200</v>
      </c>
      <c r="H80">
        <f>VLOOKUP(A80,[5]龙魂的投放!$Q:$U,5,0)</f>
        <v>20</v>
      </c>
      <c r="K80">
        <f>D_普通掉落表!E81</f>
        <v>3</v>
      </c>
      <c r="M80">
        <f t="shared" si="16"/>
        <v>1206</v>
      </c>
    </row>
    <row r="81" spans="1:17" x14ac:dyDescent="0.15">
      <c r="A81" s="41">
        <v>501207</v>
      </c>
      <c r="B81" t="str">
        <f>VLOOKUP(M81,[1]地图配置辅助表!$A$3:$E$229,4,FALSE)</f>
        <v>精英靓坤手下</v>
      </c>
      <c r="D81">
        <f>VLOOKUP(M81,[1]地图配置辅助表!$A$3:$E$229,5,FALSE)</f>
        <v>10</v>
      </c>
      <c r="E81">
        <f t="shared" si="21"/>
        <v>400</v>
      </c>
      <c r="F81">
        <f t="shared" si="22"/>
        <v>600</v>
      </c>
      <c r="G81">
        <f t="shared" ref="G81:G83" si="26">D81*$Q$2</f>
        <v>200</v>
      </c>
      <c r="H81">
        <f>VLOOKUP(A81,[5]龙魂的投放!$Q:$U,5,0)</f>
        <v>20</v>
      </c>
      <c r="K81">
        <f>D_普通掉落表!E82</f>
        <v>3</v>
      </c>
      <c r="M81">
        <f t="shared" ref="M81:M83" si="27">MOD(A81,10000)</f>
        <v>1207</v>
      </c>
    </row>
    <row r="82" spans="1:17" x14ac:dyDescent="0.15">
      <c r="A82" s="41">
        <v>501208</v>
      </c>
      <c r="B82" t="str">
        <f>VLOOKUP(M82,[1]地图配置辅助表!$A$3:$E$229,4,FALSE)</f>
        <v>精英阿强</v>
      </c>
      <c r="D82">
        <f>VLOOKUP(M82,[1]地图配置辅助表!$A$3:$E$229,5,FALSE)</f>
        <v>10</v>
      </c>
      <c r="E82">
        <f t="shared" si="21"/>
        <v>400</v>
      </c>
      <c r="F82">
        <f t="shared" si="22"/>
        <v>600</v>
      </c>
      <c r="G82">
        <f t="shared" si="26"/>
        <v>200</v>
      </c>
      <c r="H82">
        <f>VLOOKUP(A82,[5]龙魂的投放!$Q:$U,5,0)</f>
        <v>20</v>
      </c>
      <c r="K82">
        <f>D_普通掉落表!E83</f>
        <v>3</v>
      </c>
      <c r="M82">
        <f t="shared" si="27"/>
        <v>1208</v>
      </c>
    </row>
    <row r="83" spans="1:17" x14ac:dyDescent="0.15">
      <c r="A83" s="41">
        <v>501209</v>
      </c>
      <c r="B83" t="str">
        <f>VLOOKUP(M83,[1]地图配置辅助表!$A$3:$E$229,4,FALSE)</f>
        <v>精英靓坤</v>
      </c>
      <c r="D83">
        <f>VLOOKUP(M83,[1]地图配置辅助表!$A$3:$E$229,5,FALSE)</f>
        <v>10</v>
      </c>
      <c r="E83">
        <f t="shared" si="21"/>
        <v>400</v>
      </c>
      <c r="F83">
        <f t="shared" si="22"/>
        <v>600</v>
      </c>
      <c r="G83">
        <f t="shared" si="26"/>
        <v>200</v>
      </c>
      <c r="H83">
        <f>VLOOKUP(A83,[5]龙魂的投放!$Q:$U,5,0)</f>
        <v>20</v>
      </c>
      <c r="K83">
        <f>D_普通掉落表!E84</f>
        <v>3</v>
      </c>
      <c r="M83">
        <f t="shared" si="27"/>
        <v>1209</v>
      </c>
    </row>
    <row r="84" spans="1:17" x14ac:dyDescent="0.15">
      <c r="A84" s="6">
        <v>502201</v>
      </c>
      <c r="B84" t="str">
        <f>VLOOKUP(M84,[1]地图配置辅助表!$A$3:$E$229,4,FALSE)</f>
        <v>精英议员保镖</v>
      </c>
      <c r="D84">
        <f>VLOOKUP(M84,[1]地图配置辅助表!$A$3:$E$229,5,FALSE)</f>
        <v>10</v>
      </c>
      <c r="E84">
        <f t="shared" si="21"/>
        <v>400</v>
      </c>
      <c r="F84">
        <f t="shared" si="22"/>
        <v>600</v>
      </c>
      <c r="G84">
        <f t="shared" si="25"/>
        <v>200</v>
      </c>
      <c r="H84">
        <f>VLOOKUP(A84,[5]龙魂的投放!$Q:$U,5,0)</f>
        <v>20</v>
      </c>
      <c r="K84">
        <f>D_普通掉落表!E85</f>
        <v>3</v>
      </c>
      <c r="M84">
        <f t="shared" si="16"/>
        <v>2201</v>
      </c>
    </row>
    <row r="85" spans="1:17" x14ac:dyDescent="0.15">
      <c r="A85" s="6">
        <v>502202</v>
      </c>
      <c r="B85" t="str">
        <f>VLOOKUP(M85,[1]地图配置辅助表!$A$3:$E$229,4,FALSE)</f>
        <v>精英张议员</v>
      </c>
      <c r="D85">
        <f>VLOOKUP(M85,[1]地图配置辅助表!$A$3:$E$229,5,FALSE)</f>
        <v>10</v>
      </c>
      <c r="E85">
        <f t="shared" si="21"/>
        <v>400</v>
      </c>
      <c r="F85">
        <f t="shared" si="22"/>
        <v>600</v>
      </c>
      <c r="G85">
        <f t="shared" si="25"/>
        <v>200</v>
      </c>
      <c r="H85">
        <f>VLOOKUP(A85,[5]龙魂的投放!$Q:$U,5,0)</f>
        <v>20</v>
      </c>
      <c r="K85">
        <f>D_普通掉落表!E86</f>
        <v>3</v>
      </c>
      <c r="M85">
        <f t="shared" si="16"/>
        <v>2202</v>
      </c>
    </row>
    <row r="86" spans="1:17" x14ac:dyDescent="0.15">
      <c r="A86" s="6">
        <v>502203</v>
      </c>
      <c r="B86" t="str">
        <f>VLOOKUP(M86,[1]地图配置辅助表!$A$3:$E$229,4,FALSE)</f>
        <v>精英枪手</v>
      </c>
      <c r="D86">
        <f>VLOOKUP(M86,[1]地图配置辅助表!$A$3:$E$229,5,FALSE)</f>
        <v>10</v>
      </c>
      <c r="E86">
        <f t="shared" si="21"/>
        <v>400</v>
      </c>
      <c r="F86">
        <f t="shared" si="22"/>
        <v>600</v>
      </c>
      <c r="G86">
        <f t="shared" si="25"/>
        <v>200</v>
      </c>
      <c r="H86">
        <f>VLOOKUP(A86,[5]龙魂的投放!$Q:$U,5,0)</f>
        <v>20</v>
      </c>
      <c r="K86">
        <f>D_普通掉落表!E87</f>
        <v>3</v>
      </c>
      <c r="M86">
        <f t="shared" si="16"/>
        <v>2203</v>
      </c>
    </row>
    <row r="87" spans="1:17" x14ac:dyDescent="0.15">
      <c r="A87" s="6">
        <v>502204</v>
      </c>
      <c r="B87" t="str">
        <f>VLOOKUP(M87,[1]地图配置辅助表!$A$3:$E$229,4,FALSE)</f>
        <v>精英大飞手下</v>
      </c>
      <c r="D87">
        <f>VLOOKUP(M87,[1]地图配置辅助表!$A$3:$E$229,5,FALSE)</f>
        <v>10</v>
      </c>
      <c r="E87">
        <f t="shared" si="21"/>
        <v>400</v>
      </c>
      <c r="F87">
        <f t="shared" si="22"/>
        <v>600</v>
      </c>
      <c r="G87">
        <f t="shared" si="25"/>
        <v>200</v>
      </c>
      <c r="H87">
        <f>VLOOKUP(A87,[5]龙魂的投放!$Q:$U,5,0)</f>
        <v>20</v>
      </c>
      <c r="K87">
        <f>D_普通掉落表!E88</f>
        <v>3</v>
      </c>
      <c r="M87">
        <f t="shared" si="16"/>
        <v>2204</v>
      </c>
    </row>
    <row r="88" spans="1:17" x14ac:dyDescent="0.15">
      <c r="A88" s="6">
        <v>502205</v>
      </c>
      <c r="B88" t="str">
        <f>VLOOKUP(M88,[1]地图配置辅助表!$A$3:$E$229,4,FALSE)</f>
        <v>精英大飞弟子</v>
      </c>
      <c r="D88">
        <f>VLOOKUP(M88,[1]地图配置辅助表!$A$3:$E$229,5,FALSE)</f>
        <v>10</v>
      </c>
      <c r="E88">
        <f t="shared" si="21"/>
        <v>400</v>
      </c>
      <c r="F88">
        <f t="shared" si="22"/>
        <v>600</v>
      </c>
      <c r="G88">
        <f t="shared" si="25"/>
        <v>200</v>
      </c>
      <c r="H88">
        <f>VLOOKUP(A88,[5]龙魂的投放!$Q:$U,5,0)</f>
        <v>20</v>
      </c>
      <c r="K88">
        <f>D_普通掉落表!E89</f>
        <v>3</v>
      </c>
      <c r="M88">
        <f t="shared" si="16"/>
        <v>2205</v>
      </c>
    </row>
    <row r="89" spans="1:17" x14ac:dyDescent="0.15">
      <c r="A89" s="6">
        <v>502206</v>
      </c>
      <c r="B89" t="str">
        <f>VLOOKUP(M89,[1]地图配置辅助表!$A$3:$E$229,4,FALSE)</f>
        <v>精英追踪者</v>
      </c>
      <c r="D89">
        <f>VLOOKUP(M89,[1]地图配置辅助表!$A$3:$E$229,5,FALSE)</f>
        <v>10</v>
      </c>
      <c r="E89">
        <f t="shared" si="21"/>
        <v>400</v>
      </c>
      <c r="F89">
        <f t="shared" si="22"/>
        <v>600</v>
      </c>
      <c r="G89">
        <f t="shared" si="25"/>
        <v>200</v>
      </c>
      <c r="H89">
        <f>VLOOKUP(A89,[5]龙魂的投放!$Q:$U,5,0)</f>
        <v>20</v>
      </c>
      <c r="K89">
        <f>D_普通掉落表!E90</f>
        <v>3</v>
      </c>
      <c r="M89">
        <f t="shared" si="16"/>
        <v>2206</v>
      </c>
    </row>
    <row r="90" spans="1:17" x14ac:dyDescent="0.15">
      <c r="A90" s="41">
        <v>502207</v>
      </c>
      <c r="B90" t="str">
        <f>VLOOKUP(M90,[1]地图配置辅助表!$A$3:$E$229,4,FALSE)</f>
        <v>精英雷公保镖</v>
      </c>
      <c r="D90">
        <f>VLOOKUP(M90,[1]地图配置辅助表!$A$3:$E$229,5,FALSE)</f>
        <v>10</v>
      </c>
      <c r="E90">
        <f t="shared" si="21"/>
        <v>400</v>
      </c>
      <c r="F90">
        <f t="shared" si="22"/>
        <v>600</v>
      </c>
      <c r="G90">
        <f t="shared" ref="G90:G92" si="28">D90*$Q$2</f>
        <v>200</v>
      </c>
      <c r="H90">
        <f>VLOOKUP(A90,[5]龙魂的投放!$Q:$U,5,0)</f>
        <v>20</v>
      </c>
      <c r="K90">
        <f>D_普通掉落表!E91</f>
        <v>3</v>
      </c>
      <c r="M90">
        <f t="shared" ref="M90:M92" si="29">MOD(A90,10000)</f>
        <v>2207</v>
      </c>
    </row>
    <row r="91" spans="1:17" x14ac:dyDescent="0.15">
      <c r="A91" s="41">
        <v>502208</v>
      </c>
      <c r="B91" t="str">
        <f>VLOOKUP(M91,[1]地图配置辅助表!$A$3:$E$229,4,FALSE)</f>
        <v>精英赌场警卫</v>
      </c>
      <c r="D91">
        <f>VLOOKUP(M91,[1]地图配置辅助表!$A$3:$E$229,5,FALSE)</f>
        <v>10</v>
      </c>
      <c r="E91">
        <f t="shared" si="21"/>
        <v>400</v>
      </c>
      <c r="F91">
        <f t="shared" si="22"/>
        <v>600</v>
      </c>
      <c r="G91">
        <f t="shared" si="28"/>
        <v>200</v>
      </c>
      <c r="H91">
        <f>VLOOKUP(A91,[5]龙魂的投放!$Q:$U,5,0)</f>
        <v>20</v>
      </c>
      <c r="K91">
        <f>D_普通掉落表!E92</f>
        <v>3</v>
      </c>
      <c r="M91">
        <f t="shared" si="29"/>
        <v>2208</v>
      </c>
    </row>
    <row r="92" spans="1:17" x14ac:dyDescent="0.15">
      <c r="A92" s="41">
        <v>502209</v>
      </c>
      <c r="B92" t="str">
        <f>VLOOKUP(M92,[1]地图配置辅助表!$A$3:$E$229,4,FALSE)</f>
        <v>精英丁瑶护卫</v>
      </c>
      <c r="D92">
        <f>VLOOKUP(M92,[1]地图配置辅助表!$A$3:$E$229,5,FALSE)</f>
        <v>10</v>
      </c>
      <c r="E92">
        <f t="shared" si="21"/>
        <v>400</v>
      </c>
      <c r="F92">
        <f t="shared" si="22"/>
        <v>600</v>
      </c>
      <c r="G92">
        <f t="shared" si="28"/>
        <v>200</v>
      </c>
      <c r="H92">
        <f>VLOOKUP(A92,[5]龙魂的投放!$Q:$U,5,0)</f>
        <v>20</v>
      </c>
      <c r="K92">
        <f>D_普通掉落表!E93</f>
        <v>3</v>
      </c>
      <c r="M92">
        <f t="shared" si="29"/>
        <v>2209</v>
      </c>
    </row>
    <row r="93" spans="1:17" x14ac:dyDescent="0.15">
      <c r="A93" s="6">
        <v>503201</v>
      </c>
      <c r="B93" t="str">
        <f>VLOOKUP(M93,[1]地图配置辅助表!$A$3:$E$229,4,FALSE)</f>
        <v>精英乌鸦手下</v>
      </c>
      <c r="D93">
        <f>VLOOKUP(M93,[1]地图配置辅助表!$A$3:$E$229,5,FALSE)</f>
        <v>10</v>
      </c>
      <c r="E93">
        <f t="shared" si="21"/>
        <v>400</v>
      </c>
      <c r="F93">
        <f t="shared" si="22"/>
        <v>600</v>
      </c>
      <c r="G93">
        <f t="shared" si="25"/>
        <v>200</v>
      </c>
      <c r="H93">
        <f>VLOOKUP(A93,[5]龙魂的投放!$Q:$U,5,0)</f>
        <v>20</v>
      </c>
      <c r="K93">
        <f>D_普通掉落表!E94</f>
        <v>3</v>
      </c>
      <c r="M93">
        <f t="shared" si="16"/>
        <v>3201</v>
      </c>
      <c r="P93" t="s">
        <v>454</v>
      </c>
      <c r="Q93">
        <f>(D_普通掉落表!V94*D_普通掉落表!U94)/10000/IF((D_普通掉落表!J94+D_普通掉落表!N94+D_普通掉落表!R94+D_普通掉落表!V94)/10000&gt;K93,(D_普通掉落表!J94+D_普通掉落表!N94+D_普通掉落表!R94+D_普通掉落表!V94)/10000,1)</f>
        <v>0</v>
      </c>
    </row>
    <row r="94" spans="1:17" x14ac:dyDescent="0.15">
      <c r="A94" s="6">
        <v>503202</v>
      </c>
      <c r="B94" t="str">
        <f>VLOOKUP(M94,[1]地图配置辅助表!$A$3:$E$229,4,FALSE)</f>
        <v>精英笑面虎</v>
      </c>
      <c r="D94">
        <f>VLOOKUP(M94,[1]地图配置辅助表!$A$3:$E$229,5,FALSE)</f>
        <v>10</v>
      </c>
      <c r="E94">
        <f t="shared" si="21"/>
        <v>400</v>
      </c>
      <c r="F94">
        <f t="shared" si="22"/>
        <v>600</v>
      </c>
      <c r="G94">
        <f t="shared" si="25"/>
        <v>200</v>
      </c>
      <c r="H94">
        <f>VLOOKUP(A94,[5]龙魂的投放!$Q:$U,5,0)</f>
        <v>20</v>
      </c>
      <c r="K94">
        <f>D_普通掉落表!E95</f>
        <v>3</v>
      </c>
      <c r="M94">
        <f t="shared" si="16"/>
        <v>3202</v>
      </c>
    </row>
    <row r="95" spans="1:17" x14ac:dyDescent="0.15">
      <c r="A95" s="6">
        <v>503203</v>
      </c>
      <c r="B95" t="str">
        <f>VLOOKUP(M95,[1]地图配置辅助表!$A$3:$E$229,4,FALSE)</f>
        <v>精英东星杀手</v>
      </c>
      <c r="D95">
        <f>VLOOKUP(M95,[1]地图配置辅助表!$A$3:$E$229,5,FALSE)</f>
        <v>10</v>
      </c>
      <c r="E95">
        <f t="shared" si="21"/>
        <v>400</v>
      </c>
      <c r="F95">
        <f t="shared" si="22"/>
        <v>600</v>
      </c>
      <c r="G95">
        <f t="shared" si="25"/>
        <v>200</v>
      </c>
      <c r="H95">
        <f>VLOOKUP(A95,[5]龙魂的投放!$Q:$U,5,0)</f>
        <v>20</v>
      </c>
      <c r="K95">
        <f>D_普通掉落表!E96</f>
        <v>3</v>
      </c>
      <c r="M95">
        <f t="shared" si="16"/>
        <v>3203</v>
      </c>
    </row>
    <row r="96" spans="1:17" x14ac:dyDescent="0.15">
      <c r="A96" s="6">
        <v>503204</v>
      </c>
      <c r="B96" t="str">
        <f>VLOOKUP(M96,[1]地图配置辅助表!$A$3:$E$229,4,FALSE)</f>
        <v>精英赏金猎手</v>
      </c>
      <c r="D96">
        <f>VLOOKUP(M96,[1]地图配置辅助表!$A$3:$E$229,5,FALSE)</f>
        <v>10</v>
      </c>
      <c r="E96">
        <f t="shared" si="21"/>
        <v>400</v>
      </c>
      <c r="F96">
        <f t="shared" si="22"/>
        <v>600</v>
      </c>
      <c r="G96">
        <f t="shared" si="25"/>
        <v>200</v>
      </c>
      <c r="H96">
        <f>VLOOKUP(A96,[5]龙魂的投放!$Q:$U,5,0)</f>
        <v>20</v>
      </c>
      <c r="K96">
        <f>D_普通掉落表!E97</f>
        <v>3</v>
      </c>
      <c r="M96">
        <f t="shared" ref="M96:M145" si="30">MOD(A96,10000)</f>
        <v>3204</v>
      </c>
    </row>
    <row r="97" spans="1:13" x14ac:dyDescent="0.15">
      <c r="A97" s="6">
        <v>503205</v>
      </c>
      <c r="B97" t="str">
        <f>VLOOKUP(M97,[1]地图配置辅助表!$A$3:$E$229,4,FALSE)</f>
        <v>精英追杀者</v>
      </c>
      <c r="D97">
        <f>VLOOKUP(M97,[1]地图配置辅助表!$A$3:$E$229,5,FALSE)</f>
        <v>10</v>
      </c>
      <c r="E97">
        <f t="shared" si="21"/>
        <v>400</v>
      </c>
      <c r="F97">
        <f t="shared" si="22"/>
        <v>600</v>
      </c>
      <c r="G97">
        <f t="shared" si="25"/>
        <v>200</v>
      </c>
      <c r="H97">
        <f>VLOOKUP(A97,[5]龙魂的投放!$Q:$U,5,0)</f>
        <v>20</v>
      </c>
      <c r="K97">
        <f>D_普通掉落表!E98</f>
        <v>3</v>
      </c>
      <c r="M97">
        <f t="shared" si="30"/>
        <v>3205</v>
      </c>
    </row>
    <row r="98" spans="1:13" x14ac:dyDescent="0.15">
      <c r="A98" s="6">
        <v>503206</v>
      </c>
      <c r="B98" t="str">
        <f>VLOOKUP(M98,[1]地图配置辅助表!$A$3:$E$229,4,FALSE)</f>
        <v>精英弹药守卫</v>
      </c>
      <c r="D98">
        <f>VLOOKUP(M98,[1]地图配置辅助表!$A$3:$E$229,5,FALSE)</f>
        <v>10</v>
      </c>
      <c r="E98">
        <f t="shared" ref="E98:E129" si="31">ROUNDUP(D98*$Q$3*0.8,0)</f>
        <v>400</v>
      </c>
      <c r="F98">
        <f t="shared" ref="F98:F129" si="32">ROUNDUP(D98*$Q$3*1.2,0)</f>
        <v>600</v>
      </c>
      <c r="G98">
        <f t="shared" si="25"/>
        <v>200</v>
      </c>
      <c r="H98">
        <f>VLOOKUP(A98,[5]龙魂的投放!$Q:$U,5,0)</f>
        <v>20</v>
      </c>
      <c r="K98">
        <f>D_普通掉落表!E99</f>
        <v>3</v>
      </c>
      <c r="M98">
        <f t="shared" si="30"/>
        <v>3206</v>
      </c>
    </row>
    <row r="99" spans="1:13" x14ac:dyDescent="0.15">
      <c r="A99" s="41">
        <v>503207</v>
      </c>
      <c r="B99" t="str">
        <f>VLOOKUP(M99,[1]地图配置辅助表!$A$3:$E$229,4,FALSE)</f>
        <v>精英人质看守</v>
      </c>
      <c r="D99">
        <f>VLOOKUP(M99,[1]地图配置辅助表!$A$3:$E$229,5,FALSE)</f>
        <v>10</v>
      </c>
      <c r="E99">
        <f t="shared" si="31"/>
        <v>400</v>
      </c>
      <c r="F99">
        <f t="shared" si="32"/>
        <v>600</v>
      </c>
      <c r="G99">
        <f t="shared" ref="G99:G101" si="33">D99*$Q$2</f>
        <v>200</v>
      </c>
      <c r="H99">
        <f>VLOOKUP(A99,[5]龙魂的投放!$Q:$U,5,0)</f>
        <v>20</v>
      </c>
      <c r="K99">
        <f>D_普通掉落表!E100</f>
        <v>3</v>
      </c>
      <c r="M99">
        <f t="shared" ref="M99:M101" si="34">MOD(A99,10000)</f>
        <v>3207</v>
      </c>
    </row>
    <row r="100" spans="1:13" x14ac:dyDescent="0.15">
      <c r="A100" s="41">
        <v>503208</v>
      </c>
      <c r="B100" t="str">
        <f>VLOOKUP(M100,[1]地图配置辅助表!$A$3:$E$229,4,FALSE)</f>
        <v>精英乌鸦心腹</v>
      </c>
      <c r="D100">
        <f>VLOOKUP(M100,[1]地图配置辅助表!$A$3:$E$229,5,FALSE)</f>
        <v>10</v>
      </c>
      <c r="E100">
        <f t="shared" si="31"/>
        <v>400</v>
      </c>
      <c r="F100">
        <f t="shared" si="32"/>
        <v>600</v>
      </c>
      <c r="G100">
        <f t="shared" si="33"/>
        <v>200</v>
      </c>
      <c r="H100">
        <f>VLOOKUP(A100,[5]龙魂的投放!$Q:$U,5,0)</f>
        <v>20</v>
      </c>
      <c r="K100">
        <f>D_普通掉落表!E101</f>
        <v>3</v>
      </c>
      <c r="M100">
        <f t="shared" si="34"/>
        <v>3208</v>
      </c>
    </row>
    <row r="101" spans="1:13" x14ac:dyDescent="0.15">
      <c r="A101" s="41">
        <v>503209</v>
      </c>
      <c r="B101" t="str">
        <f>VLOOKUP(M101,[1]地图配置辅助表!$A$3:$E$229,4,FALSE)</f>
        <v>精英乌鸦</v>
      </c>
      <c r="D101">
        <f>VLOOKUP(M101,[1]地图配置辅助表!$A$3:$E$229,5,FALSE)</f>
        <v>10</v>
      </c>
      <c r="E101">
        <f t="shared" si="31"/>
        <v>400</v>
      </c>
      <c r="F101">
        <f t="shared" si="32"/>
        <v>600</v>
      </c>
      <c r="G101">
        <f t="shared" si="33"/>
        <v>200</v>
      </c>
      <c r="H101">
        <f>VLOOKUP(A101,[5]龙魂的投放!$Q:$U,5,0)</f>
        <v>20</v>
      </c>
      <c r="K101">
        <f>D_普通掉落表!E102</f>
        <v>3</v>
      </c>
      <c r="M101">
        <f t="shared" si="34"/>
        <v>3209</v>
      </c>
    </row>
    <row r="102" spans="1:13" x14ac:dyDescent="0.15">
      <c r="A102" s="6">
        <v>504201</v>
      </c>
      <c r="B102" t="str">
        <f>VLOOKUP(M102,[1]地图配置辅助表!$A$3:$E$229,4,FALSE)</f>
        <v>精英袭击者</v>
      </c>
      <c r="D102">
        <f>VLOOKUP(M102,[1]地图配置辅助表!$A$3:$E$229,5,FALSE)</f>
        <v>12</v>
      </c>
      <c r="E102">
        <f t="shared" si="31"/>
        <v>480</v>
      </c>
      <c r="F102">
        <f t="shared" si="32"/>
        <v>720</v>
      </c>
      <c r="G102">
        <f t="shared" si="25"/>
        <v>240</v>
      </c>
      <c r="H102">
        <f>VLOOKUP(A102,[5]龙魂的投放!$Q:$U,5,0)</f>
        <v>24</v>
      </c>
      <c r="K102">
        <f>D_普通掉落表!E103</f>
        <v>3</v>
      </c>
      <c r="M102">
        <f t="shared" si="30"/>
        <v>4201</v>
      </c>
    </row>
    <row r="103" spans="1:13" x14ac:dyDescent="0.15">
      <c r="A103" s="6">
        <v>504202</v>
      </c>
      <c r="B103" t="str">
        <f>VLOOKUP(M103,[1]地图配置辅助表!$A$3:$E$229,4,FALSE)</f>
        <v>精英生番手下</v>
      </c>
      <c r="D103">
        <f>VLOOKUP(M103,[1]地图配置辅助表!$A$3:$E$229,5,FALSE)</f>
        <v>12</v>
      </c>
      <c r="E103">
        <f t="shared" si="31"/>
        <v>480</v>
      </c>
      <c r="F103">
        <f t="shared" si="32"/>
        <v>720</v>
      </c>
      <c r="G103">
        <f t="shared" si="25"/>
        <v>240</v>
      </c>
      <c r="H103">
        <f>VLOOKUP(A103,[5]龙魂的投放!$Q:$U,5,0)</f>
        <v>24</v>
      </c>
      <c r="K103">
        <f>D_普通掉落表!E104</f>
        <v>3</v>
      </c>
      <c r="M103">
        <f t="shared" si="30"/>
        <v>4202</v>
      </c>
    </row>
    <row r="104" spans="1:13" x14ac:dyDescent="0.15">
      <c r="A104" s="6">
        <v>504203</v>
      </c>
      <c r="B104" t="str">
        <f>VLOOKUP(M104,[1]地图配置辅助表!$A$3:$E$229,4,FALSE)</f>
        <v>精英混混头目</v>
      </c>
      <c r="D104">
        <f>VLOOKUP(M104,[1]地图配置辅助表!$A$3:$E$229,5,FALSE)</f>
        <v>12</v>
      </c>
      <c r="E104">
        <f t="shared" si="31"/>
        <v>480</v>
      </c>
      <c r="F104">
        <f t="shared" si="32"/>
        <v>720</v>
      </c>
      <c r="G104">
        <f t="shared" si="25"/>
        <v>240</v>
      </c>
      <c r="H104">
        <f>VLOOKUP(A104,[5]龙魂的投放!$Q:$U,5,0)</f>
        <v>24</v>
      </c>
      <c r="K104">
        <f>D_普通掉落表!E105</f>
        <v>3</v>
      </c>
      <c r="M104">
        <f t="shared" si="30"/>
        <v>4203</v>
      </c>
    </row>
    <row r="105" spans="1:13" x14ac:dyDescent="0.15">
      <c r="A105" s="6">
        <v>504204</v>
      </c>
      <c r="B105" t="str">
        <f>VLOOKUP(M105,[1]地图配置辅助表!$A$3:$E$229,4,FALSE)</f>
        <v>精英黑星</v>
      </c>
      <c r="D105">
        <f>VLOOKUP(M105,[1]地图配置辅助表!$A$3:$E$229,5,FALSE)</f>
        <v>12</v>
      </c>
      <c r="E105">
        <f t="shared" si="31"/>
        <v>480</v>
      </c>
      <c r="F105">
        <f t="shared" si="32"/>
        <v>720</v>
      </c>
      <c r="G105">
        <f t="shared" si="25"/>
        <v>240</v>
      </c>
      <c r="H105">
        <f>VLOOKUP(A105,[5]龙魂的投放!$Q:$U,5,0)</f>
        <v>24</v>
      </c>
      <c r="K105">
        <f>D_普通掉落表!E106</f>
        <v>3</v>
      </c>
      <c r="M105">
        <f t="shared" si="30"/>
        <v>4204</v>
      </c>
    </row>
    <row r="106" spans="1:13" x14ac:dyDescent="0.15">
      <c r="A106" s="6">
        <v>504205</v>
      </c>
      <c r="B106" t="str">
        <f>VLOOKUP(M106,[1]地图配置辅助表!$A$3:$E$229,4,FALSE)</f>
        <v>精英生番</v>
      </c>
      <c r="D106">
        <f>VLOOKUP(M106,[1]地图配置辅助表!$A$3:$E$229,5,FALSE)</f>
        <v>12</v>
      </c>
      <c r="E106">
        <f t="shared" si="31"/>
        <v>480</v>
      </c>
      <c r="F106">
        <f t="shared" si="32"/>
        <v>720</v>
      </c>
      <c r="G106">
        <f t="shared" si="25"/>
        <v>240</v>
      </c>
      <c r="H106">
        <f>VLOOKUP(A106,[5]龙魂的投放!$Q:$U,5,0)</f>
        <v>24</v>
      </c>
      <c r="K106">
        <f>D_普通掉落表!E107</f>
        <v>3</v>
      </c>
      <c r="M106">
        <f t="shared" si="30"/>
        <v>4205</v>
      </c>
    </row>
    <row r="107" spans="1:13" x14ac:dyDescent="0.15">
      <c r="A107" s="6">
        <v>504206</v>
      </c>
      <c r="B107" t="str">
        <f>VLOOKUP(M107,[1]地图配置辅助表!$A$3:$E$229,4,FALSE)</f>
        <v>精英毒贩头目</v>
      </c>
      <c r="D107">
        <f>VLOOKUP(M107,[1]地图配置辅助表!$A$3:$E$229,5,FALSE)</f>
        <v>12</v>
      </c>
      <c r="E107">
        <f t="shared" si="31"/>
        <v>480</v>
      </c>
      <c r="F107">
        <f t="shared" si="32"/>
        <v>720</v>
      </c>
      <c r="G107">
        <f t="shared" si="25"/>
        <v>240</v>
      </c>
      <c r="H107">
        <f>VLOOKUP(A107,[5]龙魂的投放!$Q:$U,5,0)</f>
        <v>24</v>
      </c>
      <c r="K107">
        <f>D_普通掉落表!E108</f>
        <v>3</v>
      </c>
      <c r="M107">
        <f t="shared" si="30"/>
        <v>4206</v>
      </c>
    </row>
    <row r="108" spans="1:13" x14ac:dyDescent="0.15">
      <c r="A108" s="41">
        <v>504207</v>
      </c>
      <c r="B108" t="str">
        <f>VLOOKUP(M108,[1]地图配置辅助表!$A$3:$E$229,4,FALSE)</f>
        <v>精英耀阳手下</v>
      </c>
      <c r="D108">
        <f>VLOOKUP(M108,[1]地图配置辅助表!$A$3:$E$229,5,FALSE)</f>
        <v>12</v>
      </c>
      <c r="E108">
        <f t="shared" si="31"/>
        <v>480</v>
      </c>
      <c r="F108">
        <f t="shared" si="32"/>
        <v>720</v>
      </c>
      <c r="G108">
        <f t="shared" ref="G108:G110" si="35">D108*$Q$2</f>
        <v>240</v>
      </c>
      <c r="H108">
        <f>VLOOKUP(A108,[5]龙魂的投放!$Q:$U,5,0)</f>
        <v>24</v>
      </c>
      <c r="K108">
        <f>D_普通掉落表!E109</f>
        <v>3</v>
      </c>
      <c r="M108">
        <f t="shared" ref="M108:M110" si="36">MOD(A108,10000)</f>
        <v>4207</v>
      </c>
    </row>
    <row r="109" spans="1:13" x14ac:dyDescent="0.15">
      <c r="A109" s="41">
        <v>504208</v>
      </c>
      <c r="B109" t="str">
        <f>VLOOKUP(M109,[1]地图配置辅助表!$A$3:$E$229,4,FALSE)</f>
        <v>精英东星拳师</v>
      </c>
      <c r="D109">
        <f>VLOOKUP(M109,[1]地图配置辅助表!$A$3:$E$229,5,FALSE)</f>
        <v>12</v>
      </c>
      <c r="E109">
        <f t="shared" si="31"/>
        <v>480</v>
      </c>
      <c r="F109">
        <f t="shared" si="32"/>
        <v>720</v>
      </c>
      <c r="G109">
        <f t="shared" si="35"/>
        <v>240</v>
      </c>
      <c r="H109">
        <f>VLOOKUP(A109,[5]龙魂的投放!$Q:$U,5,0)</f>
        <v>24</v>
      </c>
      <c r="K109">
        <f>D_普通掉落表!E110</f>
        <v>3</v>
      </c>
      <c r="M109">
        <f t="shared" si="36"/>
        <v>4208</v>
      </c>
    </row>
    <row r="110" spans="1:13" x14ac:dyDescent="0.15">
      <c r="A110" s="41">
        <v>504209</v>
      </c>
      <c r="B110" t="str">
        <f>VLOOKUP(M110,[1]地图配置辅助表!$A$3:$E$229,4,FALSE)</f>
        <v>精英耀阳</v>
      </c>
      <c r="D110">
        <f>VLOOKUP(M110,[1]地图配置辅助表!$A$3:$E$229,5,FALSE)</f>
        <v>12</v>
      </c>
      <c r="E110">
        <f t="shared" si="31"/>
        <v>480</v>
      </c>
      <c r="F110">
        <f t="shared" si="32"/>
        <v>720</v>
      </c>
      <c r="G110">
        <f t="shared" si="35"/>
        <v>240</v>
      </c>
      <c r="H110">
        <f>VLOOKUP(A110,[5]龙魂的投放!$Q:$U,5,0)</f>
        <v>24</v>
      </c>
      <c r="K110">
        <f>D_普通掉落表!E111</f>
        <v>3</v>
      </c>
      <c r="M110">
        <f t="shared" si="36"/>
        <v>4209</v>
      </c>
    </row>
    <row r="111" spans="1:13" x14ac:dyDescent="0.15">
      <c r="A111" s="6">
        <v>505201</v>
      </c>
      <c r="B111" t="str">
        <f>VLOOKUP(M111,[1]地图配置辅助表!$A$3:$E$229,4,FALSE)</f>
        <v>精英司徒手下</v>
      </c>
      <c r="D111">
        <f>VLOOKUP(M111,[1]地图配置辅助表!$A$3:$E$229,5,FALSE)</f>
        <v>12</v>
      </c>
      <c r="E111">
        <f t="shared" si="31"/>
        <v>480</v>
      </c>
      <c r="F111">
        <f t="shared" si="32"/>
        <v>720</v>
      </c>
      <c r="G111">
        <f t="shared" si="25"/>
        <v>240</v>
      </c>
      <c r="H111">
        <f>VLOOKUP(A111,[5]龙魂的投放!$Q:$U,5,0)</f>
        <v>24</v>
      </c>
      <c r="K111">
        <f>D_普通掉落表!E112</f>
        <v>3</v>
      </c>
      <c r="M111">
        <f t="shared" si="30"/>
        <v>5201</v>
      </c>
    </row>
    <row r="112" spans="1:13" x14ac:dyDescent="0.15">
      <c r="A112" s="6">
        <v>505202</v>
      </c>
      <c r="B112" t="str">
        <f>VLOOKUP(M112,[1]地图配置辅助表!$A$3:$E$229,4,FALSE)</f>
        <v>精英破坏分子</v>
      </c>
      <c r="D112">
        <f>VLOOKUP(M112,[1]地图配置辅助表!$A$3:$E$229,5,FALSE)</f>
        <v>12</v>
      </c>
      <c r="E112">
        <f t="shared" si="31"/>
        <v>480</v>
      </c>
      <c r="F112">
        <f t="shared" si="32"/>
        <v>720</v>
      </c>
      <c r="G112">
        <f t="shared" si="25"/>
        <v>240</v>
      </c>
      <c r="H112">
        <f>VLOOKUP(A112,[5]龙魂的投放!$Q:$U,5,0)</f>
        <v>24</v>
      </c>
      <c r="K112">
        <f>D_普通掉落表!E113</f>
        <v>3</v>
      </c>
      <c r="M112">
        <f t="shared" si="30"/>
        <v>5202</v>
      </c>
    </row>
    <row r="113" spans="1:13" x14ac:dyDescent="0.15">
      <c r="A113" s="6">
        <v>505203</v>
      </c>
      <c r="B113" t="str">
        <f>VLOOKUP(M113,[1]地图配置辅助表!$A$3:$E$229,4,FALSE)</f>
        <v>精英地痞头目</v>
      </c>
      <c r="D113">
        <f>VLOOKUP(M113,[1]地图配置辅助表!$A$3:$E$229,5,FALSE)</f>
        <v>12</v>
      </c>
      <c r="E113">
        <f t="shared" si="31"/>
        <v>480</v>
      </c>
      <c r="F113">
        <f t="shared" si="32"/>
        <v>720</v>
      </c>
      <c r="G113">
        <f t="shared" si="25"/>
        <v>240</v>
      </c>
      <c r="H113">
        <f>VLOOKUP(A113,[5]龙魂的投放!$Q:$U,5,0)</f>
        <v>24</v>
      </c>
      <c r="K113">
        <f>D_普通掉落表!E114</f>
        <v>3</v>
      </c>
      <c r="M113">
        <f t="shared" si="30"/>
        <v>5203</v>
      </c>
    </row>
    <row r="114" spans="1:13" x14ac:dyDescent="0.15">
      <c r="A114" s="6">
        <v>505204</v>
      </c>
      <c r="B114" t="str">
        <f>VLOOKUP(M114,[1]地图配置辅助表!$A$3:$E$229,4,FALSE)</f>
        <v>精英外籍打手</v>
      </c>
      <c r="D114">
        <f>VLOOKUP(M114,[1]地图配置辅助表!$A$3:$E$229,5,FALSE)</f>
        <v>12</v>
      </c>
      <c r="E114">
        <f t="shared" si="31"/>
        <v>480</v>
      </c>
      <c r="F114">
        <f t="shared" si="32"/>
        <v>720</v>
      </c>
      <c r="G114">
        <f t="shared" si="25"/>
        <v>240</v>
      </c>
      <c r="H114">
        <f>VLOOKUP(A114,[5]龙魂的投放!$Q:$U,5,0)</f>
        <v>24</v>
      </c>
      <c r="K114">
        <f>D_普通掉落表!E115</f>
        <v>3</v>
      </c>
      <c r="M114">
        <f t="shared" si="30"/>
        <v>5204</v>
      </c>
    </row>
    <row r="115" spans="1:13" x14ac:dyDescent="0.15">
      <c r="A115" s="6">
        <v>505205</v>
      </c>
      <c r="B115" t="str">
        <f>VLOOKUP(M115,[1]地图配置辅助表!$A$3:$E$229,4,FALSE)</f>
        <v>精英长毛</v>
      </c>
      <c r="D115">
        <f>VLOOKUP(M115,[1]地图配置辅助表!$A$3:$E$229,5,FALSE)</f>
        <v>12</v>
      </c>
      <c r="E115">
        <f t="shared" si="31"/>
        <v>480</v>
      </c>
      <c r="F115">
        <f t="shared" si="32"/>
        <v>720</v>
      </c>
      <c r="G115">
        <f t="shared" si="25"/>
        <v>240</v>
      </c>
      <c r="H115">
        <f>VLOOKUP(A115,[5]龙魂的投放!$Q:$U,5,0)</f>
        <v>24</v>
      </c>
      <c r="K115">
        <f>D_普通掉落表!E116</f>
        <v>3</v>
      </c>
      <c r="M115">
        <f t="shared" si="30"/>
        <v>5205</v>
      </c>
    </row>
    <row r="116" spans="1:13" x14ac:dyDescent="0.15">
      <c r="A116" s="6">
        <v>505206</v>
      </c>
      <c r="B116" t="str">
        <f>VLOOKUP(M116,[1]地图配置辅助表!$A$3:$E$229,4,FALSE)</f>
        <v>精英大头仔</v>
      </c>
      <c r="D116">
        <f>VLOOKUP(M116,[1]地图配置辅助表!$A$3:$E$229,5,FALSE)</f>
        <v>12</v>
      </c>
      <c r="E116">
        <f t="shared" si="31"/>
        <v>480</v>
      </c>
      <c r="F116">
        <f t="shared" si="32"/>
        <v>720</v>
      </c>
      <c r="G116">
        <f t="shared" si="25"/>
        <v>240</v>
      </c>
      <c r="H116">
        <f>VLOOKUP(A116,[5]龙魂的投放!$Q:$U,5,0)</f>
        <v>24</v>
      </c>
      <c r="K116">
        <f>D_普通掉落表!E117</f>
        <v>3</v>
      </c>
      <c r="M116">
        <f t="shared" si="30"/>
        <v>5206</v>
      </c>
    </row>
    <row r="117" spans="1:13" x14ac:dyDescent="0.15">
      <c r="A117" s="41">
        <v>505207</v>
      </c>
      <c r="B117" t="str">
        <f>VLOOKUP(M117,[1]地图配置辅助表!$A$3:$E$229,4,FALSE)</f>
        <v>精英阿勇</v>
      </c>
      <c r="D117">
        <f>VLOOKUP(M117,[1]地图配置辅助表!$A$3:$E$229,5,FALSE)</f>
        <v>12</v>
      </c>
      <c r="E117">
        <f t="shared" si="31"/>
        <v>480</v>
      </c>
      <c r="F117">
        <f t="shared" si="32"/>
        <v>720</v>
      </c>
      <c r="G117">
        <f t="shared" ref="G117:G119" si="37">D117*$Q$2</f>
        <v>240</v>
      </c>
      <c r="H117">
        <f>VLOOKUP(A117,[5]龙魂的投放!$Q:$U,5,0)</f>
        <v>24</v>
      </c>
      <c r="K117">
        <f>D_普通掉落表!E118</f>
        <v>3</v>
      </c>
      <c r="M117">
        <f t="shared" ref="M117:M119" si="38">MOD(A117,10000)</f>
        <v>5207</v>
      </c>
    </row>
    <row r="118" spans="1:13" x14ac:dyDescent="0.15">
      <c r="A118" s="41">
        <v>505208</v>
      </c>
      <c r="B118" t="str">
        <f>VLOOKUP(M118,[1]地图配置辅助表!$A$3:$E$229,4,FALSE)</f>
        <v>精英非法裁判</v>
      </c>
      <c r="D118">
        <f>VLOOKUP(M118,[1]地图配置辅助表!$A$3:$E$229,5,FALSE)</f>
        <v>12</v>
      </c>
      <c r="E118">
        <f t="shared" si="31"/>
        <v>480</v>
      </c>
      <c r="F118">
        <f t="shared" si="32"/>
        <v>720</v>
      </c>
      <c r="G118">
        <f t="shared" si="37"/>
        <v>240</v>
      </c>
      <c r="H118">
        <f>VLOOKUP(A118,[5]龙魂的投放!$Q:$U,5,0)</f>
        <v>24</v>
      </c>
      <c r="K118">
        <f>D_普通掉落表!E119</f>
        <v>3</v>
      </c>
      <c r="M118">
        <f t="shared" si="38"/>
        <v>5208</v>
      </c>
    </row>
    <row r="119" spans="1:13" x14ac:dyDescent="0.15">
      <c r="A119" s="41">
        <v>505209</v>
      </c>
      <c r="B119" t="str">
        <f>VLOOKUP(M119,[1]地图配置辅助表!$A$3:$E$229,4,FALSE)</f>
        <v>精英司徒浩南</v>
      </c>
      <c r="D119">
        <f>VLOOKUP(M119,[1]地图配置辅助表!$A$3:$E$229,5,FALSE)</f>
        <v>12</v>
      </c>
      <c r="E119">
        <f t="shared" si="31"/>
        <v>480</v>
      </c>
      <c r="F119">
        <f t="shared" si="32"/>
        <v>720</v>
      </c>
      <c r="G119">
        <f t="shared" si="37"/>
        <v>240</v>
      </c>
      <c r="H119">
        <f>VLOOKUP(A119,[5]龙魂的投放!$Q:$U,5,0)</f>
        <v>24</v>
      </c>
      <c r="K119">
        <f>D_普通掉落表!E120</f>
        <v>3</v>
      </c>
      <c r="M119">
        <f t="shared" si="38"/>
        <v>5209</v>
      </c>
    </row>
    <row r="120" spans="1:13" x14ac:dyDescent="0.15">
      <c r="A120" s="6">
        <v>506201</v>
      </c>
      <c r="B120" t="str">
        <f>VLOOKUP(M120,[1]地图配置辅助表!$A$3:$E$229,4,FALSE)</f>
        <v>精英鬼冢</v>
      </c>
      <c r="D120">
        <f>VLOOKUP(M120,[1]地图配置辅助表!$A$3:$E$229,5,FALSE)</f>
        <v>14</v>
      </c>
      <c r="E120">
        <f t="shared" si="31"/>
        <v>560</v>
      </c>
      <c r="F120">
        <f t="shared" si="32"/>
        <v>840</v>
      </c>
      <c r="G120">
        <f t="shared" si="25"/>
        <v>280</v>
      </c>
      <c r="H120">
        <f>VLOOKUP(A120,[5]龙魂的投放!$Q:$U,5,0)</f>
        <v>28</v>
      </c>
      <c r="K120">
        <f>D_普通掉落表!E121</f>
        <v>3</v>
      </c>
      <c r="M120">
        <f t="shared" si="30"/>
        <v>6201</v>
      </c>
    </row>
    <row r="121" spans="1:13" x14ac:dyDescent="0.15">
      <c r="A121" s="6">
        <v>506202</v>
      </c>
      <c r="B121" t="str">
        <f>VLOOKUP(M121,[1]地图配置辅助表!$A$3:$E$229,4,FALSE)</f>
        <v>精英暗魔</v>
      </c>
      <c r="D121">
        <f>VLOOKUP(M121,[1]地图配置辅助表!$A$3:$E$229,5,FALSE)</f>
        <v>14</v>
      </c>
      <c r="E121">
        <f t="shared" si="31"/>
        <v>560</v>
      </c>
      <c r="F121">
        <f t="shared" si="32"/>
        <v>840</v>
      </c>
      <c r="G121">
        <f t="shared" si="25"/>
        <v>280</v>
      </c>
      <c r="H121">
        <f>VLOOKUP(A121,[5]龙魂的投放!$Q:$U,5,0)</f>
        <v>28</v>
      </c>
      <c r="K121">
        <f>D_普通掉落表!E122</f>
        <v>3</v>
      </c>
      <c r="M121">
        <f t="shared" si="30"/>
        <v>6202</v>
      </c>
    </row>
    <row r="122" spans="1:13" x14ac:dyDescent="0.15">
      <c r="A122" s="6">
        <v>506203</v>
      </c>
      <c r="B122" t="str">
        <f>VLOOKUP(M122,[1]地图配置辅助表!$A$3:$E$229,4,FALSE)</f>
        <v>精英血狂</v>
      </c>
      <c r="D122">
        <f>VLOOKUP(M122,[1]地图配置辅助表!$A$3:$E$229,5,FALSE)</f>
        <v>14</v>
      </c>
      <c r="E122">
        <f t="shared" si="31"/>
        <v>560</v>
      </c>
      <c r="F122">
        <f t="shared" si="32"/>
        <v>840</v>
      </c>
      <c r="G122">
        <f t="shared" si="25"/>
        <v>280</v>
      </c>
      <c r="H122">
        <f>VLOOKUP(A122,[5]龙魂的投放!$Q:$U,5,0)</f>
        <v>28</v>
      </c>
      <c r="K122">
        <f>D_普通掉落表!E123</f>
        <v>3</v>
      </c>
      <c r="M122">
        <f t="shared" si="30"/>
        <v>6203</v>
      </c>
    </row>
    <row r="123" spans="1:13" x14ac:dyDescent="0.15">
      <c r="A123" s="6">
        <v>506204</v>
      </c>
      <c r="B123" t="str">
        <f>VLOOKUP(M123,[1]地图配置辅助表!$A$3:$E$229,4,FALSE)</f>
        <v>精英獠牙</v>
      </c>
      <c r="D123">
        <f>VLOOKUP(M123,[1]地图配置辅助表!$A$3:$E$229,5,FALSE)</f>
        <v>14</v>
      </c>
      <c r="E123">
        <f t="shared" si="31"/>
        <v>560</v>
      </c>
      <c r="F123">
        <f t="shared" si="32"/>
        <v>840</v>
      </c>
      <c r="G123">
        <f t="shared" si="25"/>
        <v>280</v>
      </c>
      <c r="H123">
        <f>VLOOKUP(A123,[5]龙魂的投放!$Q:$U,5,0)</f>
        <v>28</v>
      </c>
      <c r="K123">
        <f>D_普通掉落表!E124</f>
        <v>3</v>
      </c>
      <c r="M123">
        <f t="shared" si="30"/>
        <v>6204</v>
      </c>
    </row>
    <row r="124" spans="1:13" x14ac:dyDescent="0.15">
      <c r="A124" s="6">
        <v>506205</v>
      </c>
      <c r="B124" t="str">
        <f>VLOOKUP(M124,[1]地图配置辅助表!$A$3:$E$229,4,FALSE)</f>
        <v>精英陈浩南</v>
      </c>
      <c r="D124">
        <f>VLOOKUP(M124,[1]地图配置辅助表!$A$3:$E$229,5,FALSE)</f>
        <v>14</v>
      </c>
      <c r="E124">
        <f t="shared" si="31"/>
        <v>560</v>
      </c>
      <c r="F124">
        <f t="shared" si="32"/>
        <v>840</v>
      </c>
      <c r="G124">
        <f t="shared" si="25"/>
        <v>280</v>
      </c>
      <c r="H124">
        <f>VLOOKUP(A124,[5]龙魂的投放!$Q:$U,5,0)</f>
        <v>28</v>
      </c>
      <c r="K124">
        <f>D_普通掉落表!E125</f>
        <v>3</v>
      </c>
      <c r="M124">
        <f t="shared" si="30"/>
        <v>6205</v>
      </c>
    </row>
    <row r="125" spans="1:13" x14ac:dyDescent="0.15">
      <c r="A125" s="6">
        <v>506206</v>
      </c>
      <c r="B125" t="str">
        <f>VLOOKUP(M125,[1]地图配置辅助表!$A$3:$E$229,4,FALSE)</f>
        <v>精英毒牙</v>
      </c>
      <c r="D125">
        <f>VLOOKUP(M125,[1]地图配置辅助表!$A$3:$E$229,5,FALSE)</f>
        <v>14</v>
      </c>
      <c r="E125">
        <f t="shared" si="31"/>
        <v>560</v>
      </c>
      <c r="F125">
        <f t="shared" si="32"/>
        <v>840</v>
      </c>
      <c r="G125">
        <f t="shared" si="25"/>
        <v>280</v>
      </c>
      <c r="H125">
        <f>VLOOKUP(A125,[5]龙魂的投放!$Q:$U,5,0)</f>
        <v>28</v>
      </c>
      <c r="K125">
        <f>D_普通掉落表!E126</f>
        <v>3</v>
      </c>
      <c r="M125">
        <f t="shared" si="30"/>
        <v>6206</v>
      </c>
    </row>
    <row r="126" spans="1:13" x14ac:dyDescent="0.15">
      <c r="A126" s="41">
        <v>506207</v>
      </c>
      <c r="B126" t="str">
        <f>VLOOKUP(M126,[1]地图配置辅助表!$A$3:$E$229,4,FALSE)</f>
        <v>精英织田</v>
      </c>
      <c r="D126">
        <f>VLOOKUP(M126,[1]地图配置辅助表!$A$3:$E$229,5,FALSE)</f>
        <v>14</v>
      </c>
      <c r="E126">
        <f t="shared" si="31"/>
        <v>560</v>
      </c>
      <c r="F126">
        <f t="shared" si="32"/>
        <v>840</v>
      </c>
      <c r="G126">
        <f t="shared" si="25"/>
        <v>280</v>
      </c>
      <c r="H126">
        <f>VLOOKUP(A126,[5]龙魂的投放!$Q:$U,5,0)</f>
        <v>28</v>
      </c>
      <c r="K126">
        <f>D_普通掉落表!E127</f>
        <v>3</v>
      </c>
      <c r="M126">
        <f t="shared" ref="M126:M128" si="39">MOD(A126,10000)</f>
        <v>6207</v>
      </c>
    </row>
    <row r="127" spans="1:13" x14ac:dyDescent="0.15">
      <c r="A127" s="41">
        <v>506208</v>
      </c>
      <c r="B127" t="str">
        <f>VLOOKUP(M127,[1]地图配置辅助表!$A$3:$E$229,4,FALSE)</f>
        <v>精英太乙部下</v>
      </c>
      <c r="D127">
        <f>VLOOKUP(M127,[1]地图配置辅助表!$A$3:$E$229,5,FALSE)</f>
        <v>14</v>
      </c>
      <c r="E127">
        <f t="shared" si="31"/>
        <v>560</v>
      </c>
      <c r="F127">
        <f t="shared" si="32"/>
        <v>840</v>
      </c>
      <c r="G127">
        <f t="shared" si="25"/>
        <v>280</v>
      </c>
      <c r="H127">
        <f>VLOOKUP(A127,[5]龙魂的投放!$Q:$U,5,0)</f>
        <v>28</v>
      </c>
      <c r="K127">
        <f>D_普通掉落表!E128</f>
        <v>3</v>
      </c>
      <c r="M127">
        <f t="shared" si="39"/>
        <v>6208</v>
      </c>
    </row>
    <row r="128" spans="1:13" x14ac:dyDescent="0.15">
      <c r="A128" s="41">
        <v>506209</v>
      </c>
      <c r="B128" t="str">
        <f>VLOOKUP(M128,[1]地图配置辅助表!$A$3:$E$229,4,FALSE)</f>
        <v>精英太乙</v>
      </c>
      <c r="D128">
        <f>VLOOKUP(M128,[1]地图配置辅助表!$A$3:$E$229,5,FALSE)</f>
        <v>14</v>
      </c>
      <c r="E128">
        <f t="shared" si="31"/>
        <v>560</v>
      </c>
      <c r="F128">
        <f t="shared" si="32"/>
        <v>840</v>
      </c>
      <c r="G128">
        <f t="shared" si="25"/>
        <v>280</v>
      </c>
      <c r="H128">
        <f>VLOOKUP(A128,[5]龙魂的投放!$Q:$U,5,0)</f>
        <v>28</v>
      </c>
      <c r="K128">
        <f>D_普通掉落表!E129</f>
        <v>3</v>
      </c>
      <c r="M128">
        <f t="shared" si="39"/>
        <v>6209</v>
      </c>
    </row>
    <row r="129" spans="1:13" x14ac:dyDescent="0.15">
      <c r="A129" s="6">
        <v>507201</v>
      </c>
      <c r="B129" t="str">
        <f>VLOOKUP(M129,[1]地图配置辅助表!$A$3:$E$229,4,FALSE)</f>
        <v>精英白虎堂</v>
      </c>
      <c r="D129">
        <f>VLOOKUP(M129,[1]地图配置辅助表!$A$3:$E$229,5,FALSE)</f>
        <v>14</v>
      </c>
      <c r="E129">
        <f t="shared" si="31"/>
        <v>560</v>
      </c>
      <c r="F129">
        <f t="shared" si="32"/>
        <v>840</v>
      </c>
      <c r="G129">
        <f t="shared" si="25"/>
        <v>280</v>
      </c>
      <c r="H129">
        <f>VLOOKUP(A129,[5]龙魂的投放!$Q:$U,5,0)</f>
        <v>28</v>
      </c>
      <c r="K129">
        <f>D_普通掉落表!E130</f>
        <v>3</v>
      </c>
      <c r="M129">
        <f t="shared" si="30"/>
        <v>7201</v>
      </c>
    </row>
    <row r="130" spans="1:13" x14ac:dyDescent="0.15">
      <c r="A130" s="6">
        <v>507202</v>
      </c>
      <c r="B130" t="str">
        <f>VLOOKUP(M130,[1]地图配置辅助表!$A$3:$E$229,4,FALSE)</f>
        <v>精英玄武堂</v>
      </c>
      <c r="D130">
        <f>VLOOKUP(M130,[1]地图配置辅助表!$A$3:$E$229,5,FALSE)</f>
        <v>14</v>
      </c>
      <c r="E130">
        <f t="shared" ref="E130:E146" si="40">ROUNDUP(D130*$Q$3*0.8,0)</f>
        <v>560</v>
      </c>
      <c r="F130">
        <f t="shared" ref="F130:F146" si="41">ROUNDUP(D130*$Q$3*1.2,0)</f>
        <v>840</v>
      </c>
      <c r="G130">
        <f t="shared" si="25"/>
        <v>280</v>
      </c>
      <c r="H130">
        <f>VLOOKUP(A130,[5]龙魂的投放!$Q:$U,5,0)</f>
        <v>28</v>
      </c>
      <c r="K130">
        <f>D_普通掉落表!E131</f>
        <v>3</v>
      </c>
      <c r="M130">
        <f t="shared" si="30"/>
        <v>7202</v>
      </c>
    </row>
    <row r="131" spans="1:13" x14ac:dyDescent="0.15">
      <c r="A131" s="6">
        <v>507203</v>
      </c>
      <c r="B131" t="str">
        <f>VLOOKUP(M131,[1]地图配置辅助表!$A$3:$E$229,4,FALSE)</f>
        <v>精英朱雀堂</v>
      </c>
      <c r="D131">
        <f>VLOOKUP(M131,[1]地图配置辅助表!$A$3:$E$229,5,FALSE)</f>
        <v>14</v>
      </c>
      <c r="E131">
        <f t="shared" si="40"/>
        <v>560</v>
      </c>
      <c r="F131">
        <f t="shared" si="41"/>
        <v>840</v>
      </c>
      <c r="G131">
        <f t="shared" si="25"/>
        <v>280</v>
      </c>
      <c r="H131">
        <f>VLOOKUP(A131,[5]龙魂的投放!$Q:$U,5,0)</f>
        <v>28</v>
      </c>
      <c r="K131">
        <f>D_普通掉落表!E132</f>
        <v>3</v>
      </c>
      <c r="M131">
        <f t="shared" si="30"/>
        <v>7203</v>
      </c>
    </row>
    <row r="132" spans="1:13" x14ac:dyDescent="0.15">
      <c r="A132" s="6">
        <v>507204</v>
      </c>
      <c r="B132" t="str">
        <f>VLOOKUP(M132,[1]地图配置辅助表!$A$3:$E$229,4,FALSE)</f>
        <v>精英青龙堂</v>
      </c>
      <c r="D132">
        <f>VLOOKUP(M132,[1]地图配置辅助表!$A$3:$E$229,5,FALSE)</f>
        <v>14</v>
      </c>
      <c r="E132">
        <f t="shared" si="40"/>
        <v>560</v>
      </c>
      <c r="F132">
        <f t="shared" si="41"/>
        <v>840</v>
      </c>
      <c r="G132">
        <f t="shared" si="25"/>
        <v>280</v>
      </c>
      <c r="H132">
        <f>VLOOKUP(A132,[5]龙魂的投放!$Q:$U,5,0)</f>
        <v>28</v>
      </c>
      <c r="K132">
        <f>D_普通掉落表!E133</f>
        <v>3</v>
      </c>
      <c r="M132">
        <f t="shared" si="30"/>
        <v>7204</v>
      </c>
    </row>
    <row r="133" spans="1:13" x14ac:dyDescent="0.15">
      <c r="A133" s="6">
        <v>507205</v>
      </c>
      <c r="B133" t="str">
        <f>VLOOKUP(M133,[1]地图配置辅助表!$A$3:$E$229,4,FALSE)</f>
        <v>精英佐维</v>
      </c>
      <c r="D133">
        <f>VLOOKUP(M133,[1]地图配置辅助表!$A$3:$E$229,5,FALSE)</f>
        <v>14</v>
      </c>
      <c r="E133">
        <f t="shared" si="40"/>
        <v>560</v>
      </c>
      <c r="F133">
        <f t="shared" si="41"/>
        <v>840</v>
      </c>
      <c r="G133">
        <f t="shared" si="25"/>
        <v>280</v>
      </c>
      <c r="H133">
        <f>VLOOKUP(A133,[5]龙魂的投放!$Q:$U,5,0)</f>
        <v>28</v>
      </c>
      <c r="K133">
        <f>D_普通掉落表!E134</f>
        <v>3</v>
      </c>
      <c r="M133">
        <f t="shared" si="30"/>
        <v>7205</v>
      </c>
    </row>
    <row r="134" spans="1:13" x14ac:dyDescent="0.15">
      <c r="A134" s="6">
        <v>507206</v>
      </c>
      <c r="B134" t="str">
        <f>VLOOKUP(M134,[1]地图配置辅助表!$A$3:$E$229,4,FALSE)</f>
        <v>精英傲虎</v>
      </c>
      <c r="D134">
        <f>VLOOKUP(M134,[1]地图配置辅助表!$A$3:$E$229,5,FALSE)</f>
        <v>14</v>
      </c>
      <c r="E134">
        <f t="shared" si="40"/>
        <v>560</v>
      </c>
      <c r="F134">
        <f t="shared" si="41"/>
        <v>840</v>
      </c>
      <c r="G134">
        <f t="shared" si="25"/>
        <v>280</v>
      </c>
      <c r="H134">
        <f>VLOOKUP(A134,[5]龙魂的投放!$Q:$U,5,0)</f>
        <v>28</v>
      </c>
      <c r="K134">
        <f>D_普通掉落表!E135</f>
        <v>3</v>
      </c>
      <c r="M134">
        <f t="shared" si="30"/>
        <v>7206</v>
      </c>
    </row>
    <row r="135" spans="1:13" x14ac:dyDescent="0.15">
      <c r="A135" s="41">
        <v>507207</v>
      </c>
      <c r="B135" t="str">
        <f>VLOOKUP(M135,[1]地图配置辅助表!$A$3:$E$229,4,FALSE)</f>
        <v>精英狂龙</v>
      </c>
      <c r="D135">
        <f>VLOOKUP(M135,[1]地图配置辅助表!$A$3:$E$229,5,FALSE)</f>
        <v>14</v>
      </c>
      <c r="E135">
        <f t="shared" si="40"/>
        <v>560</v>
      </c>
      <c r="F135">
        <f t="shared" si="41"/>
        <v>840</v>
      </c>
      <c r="G135">
        <f t="shared" si="25"/>
        <v>280</v>
      </c>
      <c r="H135">
        <f>VLOOKUP(A135,[5]龙魂的投放!$Q:$U,5,0)</f>
        <v>28</v>
      </c>
      <c r="K135">
        <f>D_普通掉落表!E136</f>
        <v>3</v>
      </c>
      <c r="M135">
        <f t="shared" ref="M135:M137" si="42">MOD(A135,10000)</f>
        <v>7207</v>
      </c>
    </row>
    <row r="136" spans="1:13" x14ac:dyDescent="0.15">
      <c r="A136" s="41">
        <v>507208</v>
      </c>
      <c r="B136" t="str">
        <f>VLOOKUP(M136,[1]地图配置辅助表!$A$3:$E$229,4,FALSE)</f>
        <v>精英山崎</v>
      </c>
      <c r="D136">
        <f>VLOOKUP(M136,[1]地图配置辅助表!$A$3:$E$229,5,FALSE)</f>
        <v>14</v>
      </c>
      <c r="E136">
        <f t="shared" si="40"/>
        <v>560</v>
      </c>
      <c r="F136">
        <f t="shared" si="41"/>
        <v>840</v>
      </c>
      <c r="G136">
        <f t="shared" si="25"/>
        <v>280</v>
      </c>
      <c r="H136">
        <f>VLOOKUP(A136,[5]龙魂的投放!$Q:$U,5,0)</f>
        <v>28</v>
      </c>
      <c r="K136">
        <f>D_普通掉落表!E137</f>
        <v>3</v>
      </c>
      <c r="M136">
        <f t="shared" si="42"/>
        <v>7208</v>
      </c>
    </row>
    <row r="137" spans="1:13" x14ac:dyDescent="0.15">
      <c r="A137" s="41">
        <v>507209</v>
      </c>
      <c r="B137" t="str">
        <f>VLOOKUP(M137,[1]地图配置辅助表!$A$3:$E$229,4,FALSE)</f>
        <v>精英杀手首领</v>
      </c>
      <c r="D137">
        <f>VLOOKUP(M137,[1]地图配置辅助表!$A$3:$E$229,5,FALSE)</f>
        <v>14</v>
      </c>
      <c r="E137">
        <f t="shared" si="40"/>
        <v>560</v>
      </c>
      <c r="F137">
        <f t="shared" si="41"/>
        <v>840</v>
      </c>
      <c r="G137">
        <f t="shared" si="25"/>
        <v>280</v>
      </c>
      <c r="H137">
        <f>VLOOKUP(A137,[5]龙魂的投放!$Q:$U,5,0)</f>
        <v>28</v>
      </c>
      <c r="K137">
        <f>D_普通掉落表!E138</f>
        <v>3</v>
      </c>
      <c r="M137">
        <f t="shared" si="42"/>
        <v>7209</v>
      </c>
    </row>
    <row r="138" spans="1:13" x14ac:dyDescent="0.15">
      <c r="A138" s="6">
        <v>508201</v>
      </c>
      <c r="B138" t="str">
        <f>VLOOKUP(M138,[1]地图配置辅助表!$A$3:$E$229,4,FALSE)</f>
        <v>精英复仇靓坤</v>
      </c>
      <c r="D138">
        <f>VLOOKUP(M138,[1]地图配置辅助表!$A$3:$E$229,5,FALSE)</f>
        <v>14</v>
      </c>
      <c r="E138">
        <f t="shared" si="40"/>
        <v>560</v>
      </c>
      <c r="F138">
        <f t="shared" si="41"/>
        <v>840</v>
      </c>
      <c r="G138">
        <f t="shared" si="25"/>
        <v>280</v>
      </c>
      <c r="H138">
        <f>VLOOKUP(A138,[5]龙魂的投放!$Q:$U,5,0)</f>
        <v>28</v>
      </c>
      <c r="K138">
        <f>D_普通掉落表!E139</f>
        <v>3</v>
      </c>
      <c r="M138">
        <f t="shared" si="30"/>
        <v>8201</v>
      </c>
    </row>
    <row r="139" spans="1:13" x14ac:dyDescent="0.15">
      <c r="A139" s="6">
        <v>508202</v>
      </c>
      <c r="B139" t="str">
        <f>VLOOKUP(M139,[1]地图配置辅助表!$A$3:$E$229,4,FALSE)</f>
        <v>精英复仇乌鸦</v>
      </c>
      <c r="D139">
        <f>VLOOKUP(M139,[1]地图配置辅助表!$A$3:$E$229,5,FALSE)</f>
        <v>14</v>
      </c>
      <c r="E139">
        <f t="shared" si="40"/>
        <v>560</v>
      </c>
      <c r="F139">
        <f t="shared" si="41"/>
        <v>840</v>
      </c>
      <c r="G139">
        <f t="shared" si="25"/>
        <v>280</v>
      </c>
      <c r="H139">
        <f>VLOOKUP(A139,[5]龙魂的投放!$Q:$U,5,0)</f>
        <v>28</v>
      </c>
      <c r="K139">
        <f>D_普通掉落表!E140</f>
        <v>3</v>
      </c>
      <c r="M139">
        <f t="shared" si="30"/>
        <v>8202</v>
      </c>
    </row>
    <row r="140" spans="1:13" x14ac:dyDescent="0.15">
      <c r="A140" s="6">
        <v>508203</v>
      </c>
      <c r="B140" t="str">
        <f>VLOOKUP(M140,[1]地图配置辅助表!$A$3:$E$229,4,FALSE)</f>
        <v>精英复仇司徒</v>
      </c>
      <c r="D140">
        <f>VLOOKUP(M140,[1]地图配置辅助表!$A$3:$E$229,5,FALSE)</f>
        <v>14</v>
      </c>
      <c r="E140">
        <f t="shared" si="40"/>
        <v>560</v>
      </c>
      <c r="F140">
        <f t="shared" si="41"/>
        <v>840</v>
      </c>
      <c r="G140">
        <f t="shared" si="25"/>
        <v>280</v>
      </c>
      <c r="H140">
        <f>VLOOKUP(A140,[5]龙魂的投放!$Q:$U,5,0)</f>
        <v>28</v>
      </c>
      <c r="K140">
        <f>D_普通掉落表!E141</f>
        <v>3</v>
      </c>
      <c r="M140">
        <f t="shared" si="30"/>
        <v>8203</v>
      </c>
    </row>
    <row r="141" spans="1:13" x14ac:dyDescent="0.15">
      <c r="A141" s="6">
        <v>508204</v>
      </c>
      <c r="B141" t="str">
        <f>VLOOKUP(M141,[1]地图配置辅助表!$A$3:$E$229,4,FALSE)</f>
        <v>精英生番</v>
      </c>
      <c r="D141">
        <f>VLOOKUP(M141,[1]地图配置辅助表!$A$3:$E$229,5,FALSE)</f>
        <v>14</v>
      </c>
      <c r="E141">
        <f t="shared" si="40"/>
        <v>560</v>
      </c>
      <c r="F141">
        <f t="shared" si="41"/>
        <v>840</v>
      </c>
      <c r="G141">
        <f t="shared" si="25"/>
        <v>280</v>
      </c>
      <c r="H141">
        <f>VLOOKUP(A141,[5]龙魂的投放!$Q:$U,5,0)</f>
        <v>28</v>
      </c>
      <c r="K141">
        <f>D_普通掉落表!E142</f>
        <v>3</v>
      </c>
      <c r="M141">
        <f t="shared" ref="M141:M143" si="43">MOD(A141,10000)</f>
        <v>8204</v>
      </c>
    </row>
    <row r="142" spans="1:13" x14ac:dyDescent="0.15">
      <c r="A142" s="6">
        <v>508205</v>
      </c>
      <c r="B142" t="str">
        <f>VLOOKUP(M142,[1]地图配置辅助表!$A$3:$E$229,4,FALSE)</f>
        <v>精英耀阳</v>
      </c>
      <c r="D142">
        <f>VLOOKUP(M142,[1]地图配置辅助表!$A$3:$E$229,5,FALSE)</f>
        <v>14</v>
      </c>
      <c r="E142">
        <f t="shared" si="40"/>
        <v>560</v>
      </c>
      <c r="F142">
        <f t="shared" si="41"/>
        <v>840</v>
      </c>
      <c r="G142">
        <f t="shared" si="25"/>
        <v>280</v>
      </c>
      <c r="H142">
        <f>VLOOKUP(A142,[5]龙魂的投放!$Q:$U,5,0)</f>
        <v>28</v>
      </c>
      <c r="K142">
        <f>D_普通掉落表!E143</f>
        <v>3</v>
      </c>
      <c r="M142">
        <f t="shared" si="43"/>
        <v>8205</v>
      </c>
    </row>
    <row r="143" spans="1:13" x14ac:dyDescent="0.15">
      <c r="A143" s="6">
        <v>508206</v>
      </c>
      <c r="B143" t="str">
        <f>VLOOKUP(M143,[1]地图配置辅助表!$A$3:$E$229,4,FALSE)</f>
        <v>精英赌王</v>
      </c>
      <c r="D143">
        <f>VLOOKUP(M143,[1]地图配置辅助表!$A$3:$E$229,5,FALSE)</f>
        <v>14</v>
      </c>
      <c r="E143">
        <f t="shared" si="40"/>
        <v>560</v>
      </c>
      <c r="F143">
        <f t="shared" si="41"/>
        <v>840</v>
      </c>
      <c r="G143">
        <f t="shared" si="25"/>
        <v>280</v>
      </c>
      <c r="H143">
        <f>VLOOKUP(A143,[5]龙魂的投放!$Q:$U,5,0)</f>
        <v>28</v>
      </c>
      <c r="K143">
        <f>D_普通掉落表!E144</f>
        <v>3</v>
      </c>
      <c r="M143">
        <f t="shared" si="43"/>
        <v>8206</v>
      </c>
    </row>
    <row r="144" spans="1:13" x14ac:dyDescent="0.15">
      <c r="A144" s="41">
        <v>508207</v>
      </c>
      <c r="B144" t="str">
        <f>VLOOKUP(M144,[1]地图配置辅助表!$A$3:$E$229,4,FALSE)</f>
        <v>精英地中海</v>
      </c>
      <c r="D144">
        <f>VLOOKUP(M144,[1]地图配置辅助表!$A$3:$E$229,5,FALSE)</f>
        <v>14</v>
      </c>
      <c r="E144">
        <f t="shared" si="40"/>
        <v>560</v>
      </c>
      <c r="F144">
        <f t="shared" si="41"/>
        <v>840</v>
      </c>
      <c r="G144">
        <f t="shared" si="25"/>
        <v>280</v>
      </c>
      <c r="H144">
        <f>VLOOKUP(A144,[5]龙魂的投放!$Q:$U,5,0)</f>
        <v>28</v>
      </c>
      <c r="K144">
        <f>D_普通掉落表!E145</f>
        <v>3</v>
      </c>
      <c r="M144">
        <f t="shared" si="30"/>
        <v>8207</v>
      </c>
    </row>
    <row r="145" spans="1:19" x14ac:dyDescent="0.15">
      <c r="A145" s="41">
        <v>508208</v>
      </c>
      <c r="B145" t="str">
        <f>VLOOKUP(M145,[1]地图配置辅助表!$A$3:$E$229,4,FALSE)</f>
        <v>精英山鸡</v>
      </c>
      <c r="D145">
        <f>VLOOKUP(M145,[1]地图配置辅助表!$A$3:$E$229,5,FALSE)</f>
        <v>14</v>
      </c>
      <c r="E145">
        <f t="shared" si="40"/>
        <v>560</v>
      </c>
      <c r="F145">
        <f t="shared" si="41"/>
        <v>840</v>
      </c>
      <c r="G145">
        <f t="shared" si="25"/>
        <v>280</v>
      </c>
      <c r="H145">
        <f>VLOOKUP(A145,[5]龙魂的投放!$Q:$U,5,0)</f>
        <v>28</v>
      </c>
      <c r="K145">
        <f>D_普通掉落表!E146</f>
        <v>3</v>
      </c>
      <c r="M145">
        <f t="shared" si="30"/>
        <v>8208</v>
      </c>
    </row>
    <row r="146" spans="1:19" x14ac:dyDescent="0.15">
      <c r="A146" s="41">
        <v>508209</v>
      </c>
      <c r="B146" t="str">
        <f>VLOOKUP(M146,[1]地图配置辅助表!$A$3:$E$229,4,FALSE)</f>
        <v>精英雷复轰</v>
      </c>
      <c r="D146">
        <f>VLOOKUP(M146,[1]地图配置辅助表!$A$3:$E$229,5,FALSE)</f>
        <v>14</v>
      </c>
      <c r="E146">
        <f t="shared" si="40"/>
        <v>560</v>
      </c>
      <c r="F146">
        <f t="shared" si="41"/>
        <v>840</v>
      </c>
      <c r="G146">
        <f t="shared" si="25"/>
        <v>280</v>
      </c>
      <c r="H146">
        <f>VLOOKUP(A146,[5]龙魂的投放!$Q:$U,5,0)</f>
        <v>28</v>
      </c>
      <c r="K146">
        <f>D_普通掉落表!E147</f>
        <v>3</v>
      </c>
      <c r="M146">
        <f t="shared" ref="M146:M158" si="44">MOD(A146,10000)</f>
        <v>8209</v>
      </c>
      <c r="P146" s="5">
        <f>ROUND([5]金币投放!$N$2,0)</f>
        <v>39856</v>
      </c>
      <c r="Q146">
        <v>0.81</v>
      </c>
    </row>
    <row r="147" spans="1:19" s="5" customFormat="1" x14ac:dyDescent="0.15">
      <c r="A147" s="42">
        <v>501301</v>
      </c>
      <c r="B147" s="5" t="str">
        <f>VLOOKUP(M147,[1]地图配置辅助表!$A$3:$E$229,4,FALSE)</f>
        <v>难度1（金币）</v>
      </c>
      <c r="D147" s="5">
        <f>VLOOKUP(M147,[1]地图配置辅助表!$A$3:$E$229,5,FALSE)</f>
        <v>12</v>
      </c>
      <c r="E147" s="5">
        <f>INT(P147*0.9)</f>
        <v>12970</v>
      </c>
      <c r="F147" s="5">
        <v>14073</v>
      </c>
      <c r="G147" s="5">
        <f>D147*$Q$2</f>
        <v>240</v>
      </c>
      <c r="M147" s="5">
        <f t="shared" si="44"/>
        <v>1301</v>
      </c>
      <c r="P147" s="5">
        <f>ROUND([5]金币投放!$N$2*Q147/$Q$149*$Q$146,0)</f>
        <v>14412</v>
      </c>
      <c r="Q147" s="5">
        <v>1</v>
      </c>
      <c r="R147" s="5">
        <v>17</v>
      </c>
      <c r="S147" s="5" t="s">
        <v>941</v>
      </c>
    </row>
    <row r="148" spans="1:19" s="5" customFormat="1" x14ac:dyDescent="0.15">
      <c r="A148" s="42">
        <v>501302</v>
      </c>
      <c r="B148" s="5" t="str">
        <f>VLOOKUP(M148,[1]地图配置辅助表!$A$3:$E$229,4,FALSE)</f>
        <v>难度2（金币）</v>
      </c>
      <c r="D148" s="5">
        <f>VLOOKUP(M148,[1]地图配置辅助表!$A$3:$E$229,5,FALSE)</f>
        <v>12</v>
      </c>
      <c r="E148" s="5">
        <f t="shared" ref="E148:E152" si="45">INT(P148*0.9)</f>
        <v>20754</v>
      </c>
      <c r="F148" s="5">
        <v>22517</v>
      </c>
      <c r="G148" s="5">
        <f t="shared" ref="G148:G152" si="46">D148*$Q$2</f>
        <v>240</v>
      </c>
      <c r="M148" s="5">
        <f t="shared" si="44"/>
        <v>1302</v>
      </c>
      <c r="P148" s="5">
        <f>ROUND([5]金币投放!$N$2*Q148/$Q$149*$Q$146,0)</f>
        <v>23060</v>
      </c>
      <c r="Q148" s="5">
        <f>Q147*1.6</f>
        <v>1.6</v>
      </c>
      <c r="R148" s="5">
        <v>25</v>
      </c>
      <c r="S148" s="5" t="s">
        <v>946</v>
      </c>
    </row>
    <row r="149" spans="1:19" s="5" customFormat="1" x14ac:dyDescent="0.15">
      <c r="A149" s="42">
        <v>501303</v>
      </c>
      <c r="B149" s="5" t="str">
        <f>VLOOKUP(M149,[1]地图配置辅助表!$A$3:$E$229,4,FALSE)</f>
        <v>难度3（金币）</v>
      </c>
      <c r="D149" s="5">
        <f>VLOOKUP(M149,[1]地图配置辅助表!$A$3:$E$229,5,FALSE)</f>
        <v>12</v>
      </c>
      <c r="E149" s="5">
        <f t="shared" si="45"/>
        <v>29054</v>
      </c>
      <c r="F149" s="5">
        <v>31524</v>
      </c>
      <c r="G149" s="5">
        <f t="shared" si="46"/>
        <v>240</v>
      </c>
      <c r="M149" s="5">
        <f t="shared" si="44"/>
        <v>1303</v>
      </c>
      <c r="P149" s="5">
        <f>ROUND([5]金币投放!$N$2*Q149/$Q$149*$Q$146,0)</f>
        <v>32283</v>
      </c>
      <c r="Q149" s="5">
        <f>Q148*1.4</f>
        <v>2.2399999999999998</v>
      </c>
      <c r="R149" s="5">
        <v>33</v>
      </c>
      <c r="S149" s="5">
        <f>ROUND([5]金币投放!$N$2,0)</f>
        <v>39856</v>
      </c>
    </row>
    <row r="150" spans="1:19" s="5" customFormat="1" x14ac:dyDescent="0.15">
      <c r="A150" s="42">
        <v>501304</v>
      </c>
      <c r="B150" s="5" t="str">
        <f>VLOOKUP(M150,[1]地图配置辅助表!$A$3:$E$229,4,FALSE)</f>
        <v>难度4（金币）</v>
      </c>
      <c r="D150" s="5">
        <f>VLOOKUP(M150,[1]地图配置辅助表!$A$3:$E$229,5,FALSE)</f>
        <v>12</v>
      </c>
      <c r="E150" s="5">
        <f t="shared" si="45"/>
        <v>37772</v>
      </c>
      <c r="F150" s="5">
        <v>40981</v>
      </c>
      <c r="G150" s="5">
        <f t="shared" si="46"/>
        <v>240</v>
      </c>
      <c r="M150" s="5">
        <f t="shared" si="44"/>
        <v>1304</v>
      </c>
      <c r="P150" s="5">
        <f>ROUND([5]金币投放!$N$2*Q150/$Q$149*$Q$146,0)</f>
        <v>41969</v>
      </c>
      <c r="Q150" s="5">
        <f>Q149*1.3</f>
        <v>2.9119999999999999</v>
      </c>
      <c r="R150" s="5">
        <v>41</v>
      </c>
    </row>
    <row r="151" spans="1:19" s="5" customFormat="1" x14ac:dyDescent="0.15">
      <c r="A151" s="42">
        <v>501305</v>
      </c>
      <c r="B151" s="5" t="str">
        <f>VLOOKUP(M151,[1]地图配置辅助表!$A$3:$E$229,4,FALSE)</f>
        <v>难度5（金币）</v>
      </c>
      <c r="D151" s="5">
        <f>VLOOKUP(M151,[1]地图配置辅助表!$A$3:$E$229,5,FALSE)</f>
        <v>12</v>
      </c>
      <c r="E151" s="5">
        <f t="shared" si="45"/>
        <v>47214</v>
      </c>
      <c r="F151" s="5">
        <v>51226</v>
      </c>
      <c r="G151" s="5">
        <f t="shared" si="46"/>
        <v>240</v>
      </c>
      <c r="M151" s="5">
        <f t="shared" si="44"/>
        <v>1305</v>
      </c>
      <c r="P151" s="5">
        <f>ROUND([5]金币投放!$N$2*Q151/$Q$149*$Q$146,0)</f>
        <v>52461</v>
      </c>
      <c r="Q151" s="5">
        <f>Q150*1.25</f>
        <v>3.6399999999999997</v>
      </c>
      <c r="R151" s="5">
        <v>49</v>
      </c>
    </row>
    <row r="152" spans="1:19" s="5" customFormat="1" x14ac:dyDescent="0.15">
      <c r="A152" s="42">
        <v>501306</v>
      </c>
      <c r="B152" s="5" t="str">
        <f>VLOOKUP(M152,[1]地图配置辅助表!$A$3:$E$229,4,FALSE)</f>
        <v>难度6（金币）</v>
      </c>
      <c r="D152" s="5">
        <f>VLOOKUP(M152,[1]地图配置辅助表!$A$3:$E$229,5,FALSE)</f>
        <v>12</v>
      </c>
      <c r="E152" s="5">
        <f t="shared" si="45"/>
        <v>56657</v>
      </c>
      <c r="F152" s="5">
        <v>61472</v>
      </c>
      <c r="G152" s="5">
        <f t="shared" si="46"/>
        <v>240</v>
      </c>
      <c r="M152" s="5">
        <f t="shared" si="44"/>
        <v>1306</v>
      </c>
      <c r="P152" s="5">
        <f>ROUND([5]金币投放!$N$2*Q152/$Q$149*$Q$146,0)</f>
        <v>62953</v>
      </c>
      <c r="Q152" s="5">
        <f>Q151*1.2</f>
        <v>4.3679999999999994</v>
      </c>
      <c r="R152" s="5">
        <v>57</v>
      </c>
    </row>
    <row r="153" spans="1:19" s="16" customFormat="1" x14ac:dyDescent="0.15">
      <c r="A153" s="15">
        <v>501401</v>
      </c>
      <c r="B153" s="8" t="str">
        <f>VLOOKUP(M153,[1]地图配置辅助表!$A$3:$E$229,4,FALSE)</f>
        <v>难度1(材料）</v>
      </c>
      <c r="C153" s="8"/>
      <c r="D153" s="8">
        <f>VLOOKUP(M153,[1]地图配置辅助表!$A$3:$E$229,5,FALSE)</f>
        <v>12</v>
      </c>
      <c r="E153" s="16">
        <v>0</v>
      </c>
      <c r="F153" s="16">
        <v>0</v>
      </c>
      <c r="G153" s="8">
        <f t="shared" ref="G153:G317" si="47">D153*$Q$2</f>
        <v>240</v>
      </c>
      <c r="K153" s="16">
        <v>4</v>
      </c>
      <c r="L153">
        <v>114010</v>
      </c>
      <c r="M153" s="8">
        <f t="shared" si="44"/>
        <v>1401</v>
      </c>
    </row>
    <row r="154" spans="1:19" s="16" customFormat="1" x14ac:dyDescent="0.15">
      <c r="A154" s="15">
        <v>501402</v>
      </c>
      <c r="B154" s="8" t="str">
        <f>VLOOKUP(M154,[1]地图配置辅助表!$A$3:$E$229,4,FALSE)</f>
        <v>难度2(材料）</v>
      </c>
      <c r="C154" s="8"/>
      <c r="D154" s="8">
        <f>VLOOKUP(M154,[1]地图配置辅助表!$A$3:$E$229,5,FALSE)</f>
        <v>12</v>
      </c>
      <c r="E154" s="16">
        <v>0</v>
      </c>
      <c r="F154" s="16">
        <v>0</v>
      </c>
      <c r="G154" s="8">
        <f t="shared" si="47"/>
        <v>240</v>
      </c>
      <c r="K154" s="16">
        <v>4</v>
      </c>
      <c r="L154">
        <v>114020</v>
      </c>
      <c r="M154" s="8">
        <f t="shared" si="44"/>
        <v>1402</v>
      </c>
    </row>
    <row r="155" spans="1:19" s="16" customFormat="1" x14ac:dyDescent="0.15">
      <c r="A155" s="15">
        <v>501403</v>
      </c>
      <c r="B155" s="8" t="str">
        <f>VLOOKUP(M155,[1]地图配置辅助表!$A$3:$E$229,4,FALSE)</f>
        <v>难度3(材料）</v>
      </c>
      <c r="C155" s="8"/>
      <c r="D155" s="8">
        <f>VLOOKUP(M155,[1]地图配置辅助表!$A$3:$E$229,5,FALSE)</f>
        <v>12</v>
      </c>
      <c r="E155" s="16">
        <v>0</v>
      </c>
      <c r="F155" s="16">
        <v>0</v>
      </c>
      <c r="G155" s="8">
        <f t="shared" si="47"/>
        <v>240</v>
      </c>
      <c r="K155" s="16">
        <v>5</v>
      </c>
      <c r="L155">
        <v>114030</v>
      </c>
      <c r="M155" s="8">
        <f t="shared" si="44"/>
        <v>1403</v>
      </c>
    </row>
    <row r="156" spans="1:19" s="16" customFormat="1" x14ac:dyDescent="0.15">
      <c r="A156" s="15">
        <v>501404</v>
      </c>
      <c r="B156" s="8" t="str">
        <f>VLOOKUP(M156,[1]地图配置辅助表!$A$3:$E$229,4,FALSE)</f>
        <v>难度4(材料）</v>
      </c>
      <c r="C156" s="8"/>
      <c r="D156" s="8">
        <f>VLOOKUP(M156,[1]地图配置辅助表!$A$3:$E$229,5,FALSE)</f>
        <v>12</v>
      </c>
      <c r="E156" s="16">
        <v>0</v>
      </c>
      <c r="F156" s="16">
        <v>0</v>
      </c>
      <c r="G156" s="8">
        <f t="shared" si="47"/>
        <v>240</v>
      </c>
      <c r="K156" s="16">
        <v>5</v>
      </c>
      <c r="L156">
        <v>114040</v>
      </c>
      <c r="M156" s="8">
        <f t="shared" si="44"/>
        <v>1404</v>
      </c>
    </row>
    <row r="157" spans="1:19" s="16" customFormat="1" x14ac:dyDescent="0.15">
      <c r="A157" s="15">
        <v>501405</v>
      </c>
      <c r="B157" s="8" t="str">
        <f>VLOOKUP(M157,[1]地图配置辅助表!$A$3:$E$229,4,FALSE)</f>
        <v>难度5(材料）</v>
      </c>
      <c r="C157" s="8"/>
      <c r="D157" s="8">
        <f>VLOOKUP(M157,[1]地图配置辅助表!$A$3:$E$229,5,FALSE)</f>
        <v>12</v>
      </c>
      <c r="E157" s="16">
        <v>0</v>
      </c>
      <c r="F157" s="16">
        <v>0</v>
      </c>
      <c r="G157" s="8">
        <f t="shared" si="47"/>
        <v>240</v>
      </c>
      <c r="K157" s="16">
        <v>5</v>
      </c>
      <c r="L157">
        <v>114050</v>
      </c>
      <c r="M157" s="8">
        <f t="shared" si="44"/>
        <v>1405</v>
      </c>
    </row>
    <row r="158" spans="1:19" s="16" customFormat="1" x14ac:dyDescent="0.15">
      <c r="A158" s="15">
        <v>501406</v>
      </c>
      <c r="B158" s="8" t="str">
        <f>VLOOKUP(M158,[1]地图配置辅助表!$A$3:$E$229,4,FALSE)</f>
        <v>难度6(材料）</v>
      </c>
      <c r="C158" s="8"/>
      <c r="D158" s="8">
        <f>VLOOKUP(M158,[1]地图配置辅助表!$A$3:$E$229,5,FALSE)</f>
        <v>12</v>
      </c>
      <c r="E158" s="16">
        <v>0</v>
      </c>
      <c r="F158" s="16">
        <v>0</v>
      </c>
      <c r="G158" s="8">
        <f t="shared" si="47"/>
        <v>240</v>
      </c>
      <c r="K158" s="16">
        <v>5</v>
      </c>
      <c r="L158">
        <v>114060</v>
      </c>
      <c r="M158" s="8">
        <f t="shared" si="44"/>
        <v>1406</v>
      </c>
    </row>
    <row r="159" spans="1:19" x14ac:dyDescent="0.15">
      <c r="A159" s="6">
        <v>515010</v>
      </c>
      <c r="B159" t="str">
        <f>VLOOKUP(INT(MOD(A159,100000)/10),[1]地图配置辅助表!$A$3:$E$229,4,FALSE)</f>
        <v>挑战Boss-制服太妹</v>
      </c>
      <c r="C159" s="70">
        <v>4</v>
      </c>
      <c r="D159">
        <f>VLOOKUP(INT(MOD(A159,100000)/10),[1]地图配置辅助表!$A$3:$E$229,5,FALSE)</f>
        <v>6</v>
      </c>
      <c r="E159">
        <v>0</v>
      </c>
      <c r="F159">
        <v>0</v>
      </c>
      <c r="G159" s="8">
        <f>D159*$Q$2</f>
        <v>120</v>
      </c>
      <c r="K159">
        <v>1</v>
      </c>
      <c r="L159">
        <f>A159-400000</f>
        <v>115010</v>
      </c>
      <c r="M159">
        <v>1501</v>
      </c>
    </row>
    <row r="160" spans="1:19" x14ac:dyDescent="0.15">
      <c r="A160" s="6">
        <v>515011</v>
      </c>
      <c r="B160" t="str">
        <f>VLOOKUP(INT(MOD(A160,100000)/10),[1]地图配置辅助表!$A$3:$E$229,4,FALSE)</f>
        <v>挑战Boss-制服太妹</v>
      </c>
      <c r="C160" s="71" t="s">
        <v>978</v>
      </c>
      <c r="D160">
        <f>VLOOKUP(INT(MOD(A160,100000)/10),[1]地图配置辅助表!$A$3:$E$229,5,FALSE)</f>
        <v>6</v>
      </c>
      <c r="E160">
        <v>0</v>
      </c>
      <c r="F160">
        <v>0</v>
      </c>
      <c r="G160" s="8">
        <f t="shared" si="47"/>
        <v>120</v>
      </c>
      <c r="K160">
        <v>1</v>
      </c>
      <c r="L160">
        <f t="shared" ref="L160:L223" si="48">A160-400000</f>
        <v>115011</v>
      </c>
      <c r="M160">
        <v>1501</v>
      </c>
    </row>
    <row r="161" spans="1:13" x14ac:dyDescent="0.15">
      <c r="A161" s="6">
        <v>515012</v>
      </c>
      <c r="B161" t="str">
        <f>VLOOKUP(INT(MOD(A161,100000)/10),[1]地图配置辅助表!$A$3:$E$229,4,FALSE)</f>
        <v>挑战Boss-制服太妹</v>
      </c>
      <c r="C161" s="71" t="s">
        <v>979</v>
      </c>
      <c r="D161">
        <f>VLOOKUP(INT(MOD(A161,100000)/10),[1]地图配置辅助表!$A$3:$E$229,5,FALSE)</f>
        <v>6</v>
      </c>
      <c r="E161">
        <v>0</v>
      </c>
      <c r="F161">
        <v>0</v>
      </c>
      <c r="G161" s="8">
        <f t="shared" si="47"/>
        <v>120</v>
      </c>
      <c r="K161">
        <v>1</v>
      </c>
      <c r="L161">
        <f t="shared" si="48"/>
        <v>115012</v>
      </c>
      <c r="M161">
        <v>1501</v>
      </c>
    </row>
    <row r="162" spans="1:13" x14ac:dyDescent="0.15">
      <c r="A162" s="6">
        <v>515013</v>
      </c>
      <c r="B162" t="str">
        <f>VLOOKUP(INT(MOD(A162,100000)/10),[1]地图配置辅助表!$A$3:$E$229,4,FALSE)</f>
        <v>挑战Boss-制服太妹</v>
      </c>
      <c r="C162" s="71" t="s">
        <v>979</v>
      </c>
      <c r="D162">
        <f>VLOOKUP(INT(MOD(A162,100000)/10),[1]地图配置辅助表!$A$3:$E$229,5,FALSE)</f>
        <v>6</v>
      </c>
      <c r="E162">
        <v>0</v>
      </c>
      <c r="F162">
        <v>0</v>
      </c>
      <c r="G162" s="8">
        <f t="shared" si="47"/>
        <v>120</v>
      </c>
      <c r="K162">
        <v>1</v>
      </c>
      <c r="L162">
        <f t="shared" si="48"/>
        <v>115013</v>
      </c>
      <c r="M162">
        <v>1501</v>
      </c>
    </row>
    <row r="163" spans="1:13" x14ac:dyDescent="0.15">
      <c r="A163" s="6">
        <v>515014</v>
      </c>
      <c r="B163" t="str">
        <f>VLOOKUP(INT(MOD(A163,100000)/10),[1]地图配置辅助表!$A$3:$E$229,4,FALSE)</f>
        <v>挑战Boss-制服太妹</v>
      </c>
      <c r="C163" s="71" t="s">
        <v>980</v>
      </c>
      <c r="D163">
        <f>VLOOKUP(INT(MOD(A163,100000)/10),[1]地图配置辅助表!$A$3:$E$229,5,FALSE)</f>
        <v>6</v>
      </c>
      <c r="E163">
        <v>0</v>
      </c>
      <c r="F163">
        <v>0</v>
      </c>
      <c r="G163" s="8">
        <f t="shared" si="47"/>
        <v>120</v>
      </c>
      <c r="K163">
        <v>1</v>
      </c>
      <c r="L163">
        <f t="shared" si="48"/>
        <v>115014</v>
      </c>
      <c r="M163">
        <v>1501</v>
      </c>
    </row>
    <row r="164" spans="1:13" x14ac:dyDescent="0.15">
      <c r="A164" s="6">
        <v>515015</v>
      </c>
      <c r="B164" t="str">
        <f>VLOOKUP(INT(MOD(A164,100000)/10),[1]地图配置辅助表!$A$3:$E$229,4,FALSE)</f>
        <v>挑战Boss-制服太妹</v>
      </c>
      <c r="C164" s="71" t="s">
        <v>991</v>
      </c>
      <c r="D164">
        <f>VLOOKUP(INT(MOD(A164,100000)/10),[1]地图配置辅助表!$A$3:$E$229,5,FALSE)</f>
        <v>6</v>
      </c>
      <c r="E164">
        <v>0</v>
      </c>
      <c r="F164">
        <v>0</v>
      </c>
      <c r="G164" s="8">
        <f t="shared" si="47"/>
        <v>120</v>
      </c>
      <c r="K164">
        <v>1</v>
      </c>
      <c r="L164">
        <f t="shared" si="48"/>
        <v>115015</v>
      </c>
      <c r="M164">
        <v>1501</v>
      </c>
    </row>
    <row r="165" spans="1:13" x14ac:dyDescent="0.15">
      <c r="A165" s="6">
        <v>515016</v>
      </c>
      <c r="B165" t="str">
        <f>VLOOKUP(INT(MOD(A165,100000)/10),[1]地图配置辅助表!$A$3:$E$229,4,FALSE)</f>
        <v>挑战Boss-制服太妹</v>
      </c>
      <c r="C165" s="71" t="s">
        <v>992</v>
      </c>
      <c r="D165">
        <f>VLOOKUP(INT(MOD(A165,100000)/10),[1]地图配置辅助表!$A$3:$E$229,5,FALSE)</f>
        <v>6</v>
      </c>
      <c r="E165">
        <v>0</v>
      </c>
      <c r="F165">
        <v>0</v>
      </c>
      <c r="G165" s="8">
        <f t="shared" si="47"/>
        <v>120</v>
      </c>
      <c r="K165">
        <v>1</v>
      </c>
      <c r="L165">
        <f t="shared" si="48"/>
        <v>115016</v>
      </c>
      <c r="M165">
        <v>1501</v>
      </c>
    </row>
    <row r="166" spans="1:13" x14ac:dyDescent="0.15">
      <c r="A166" s="6">
        <v>515017</v>
      </c>
      <c r="B166" t="str">
        <f>VLOOKUP(INT(MOD(A166,100000)/10),[1]地图配置辅助表!$A$3:$E$229,4,FALSE)</f>
        <v>挑战Boss-制服太妹</v>
      </c>
      <c r="C166" s="71" t="s">
        <v>993</v>
      </c>
      <c r="D166">
        <f>VLOOKUP(INT(MOD(A166,100000)/10),[1]地图配置辅助表!$A$3:$E$229,5,FALSE)</f>
        <v>6</v>
      </c>
      <c r="E166">
        <v>0</v>
      </c>
      <c r="F166">
        <v>0</v>
      </c>
      <c r="G166" s="8">
        <f t="shared" si="47"/>
        <v>120</v>
      </c>
      <c r="K166">
        <v>1</v>
      </c>
      <c r="L166">
        <f t="shared" si="48"/>
        <v>115017</v>
      </c>
      <c r="M166">
        <v>1501</v>
      </c>
    </row>
    <row r="167" spans="1:13" x14ac:dyDescent="0.15">
      <c r="A167" s="6">
        <v>515018</v>
      </c>
      <c r="B167" t="str">
        <f>VLOOKUP(INT(MOD(A167,100000)/10),[1]地图配置辅助表!$A$3:$E$229,4,FALSE)</f>
        <v>挑战Boss-制服太妹</v>
      </c>
      <c r="C167" s="71" t="s">
        <v>994</v>
      </c>
      <c r="D167">
        <f>VLOOKUP(INT(MOD(A167,100000)/10),[1]地图配置辅助表!$A$3:$E$229,5,FALSE)</f>
        <v>6</v>
      </c>
      <c r="E167">
        <v>0</v>
      </c>
      <c r="F167">
        <v>0</v>
      </c>
      <c r="G167" s="8">
        <f t="shared" si="47"/>
        <v>120</v>
      </c>
      <c r="K167">
        <v>1</v>
      </c>
      <c r="L167">
        <f t="shared" si="48"/>
        <v>115018</v>
      </c>
      <c r="M167">
        <v>1501</v>
      </c>
    </row>
    <row r="168" spans="1:13" x14ac:dyDescent="0.15">
      <c r="A168" s="6">
        <v>515019</v>
      </c>
      <c r="B168" t="str">
        <f>VLOOKUP(INT(MOD(A168,100000)/10),[1]地图配置辅助表!$A$3:$E$229,4,FALSE)</f>
        <v>挑战Boss-制服太妹</v>
      </c>
      <c r="C168" s="71" t="s">
        <v>995</v>
      </c>
      <c r="D168">
        <f>VLOOKUP(INT(MOD(A168,100000)/10),[1]地图配置辅助表!$A$3:$E$229,5,FALSE)</f>
        <v>6</v>
      </c>
      <c r="E168">
        <v>0</v>
      </c>
      <c r="F168">
        <v>0</v>
      </c>
      <c r="G168" s="8">
        <f t="shared" si="47"/>
        <v>120</v>
      </c>
      <c r="K168">
        <v>1</v>
      </c>
      <c r="L168">
        <f t="shared" si="48"/>
        <v>115019</v>
      </c>
      <c r="M168">
        <v>1501</v>
      </c>
    </row>
    <row r="169" spans="1:13" x14ac:dyDescent="0.15">
      <c r="A169" s="6">
        <v>515020</v>
      </c>
      <c r="B169" t="str">
        <f>VLOOKUP(INT(MOD(A169,100000)/10),[1]地图配置辅助表!$A$3:$E$229,4,FALSE)</f>
        <v>挑战Boss-比利</v>
      </c>
      <c r="C169" s="70">
        <v>4</v>
      </c>
      <c r="D169">
        <f>VLOOKUP(INT(MOD(A169,100000)/10),[1]地图配置辅助表!$A$3:$E$229,5,FALSE)</f>
        <v>6</v>
      </c>
      <c r="E169">
        <v>0</v>
      </c>
      <c r="F169">
        <v>0</v>
      </c>
      <c r="G169" s="8">
        <f t="shared" ref="G169:G178" si="49">D169*$Q$2</f>
        <v>120</v>
      </c>
      <c r="K169">
        <v>1</v>
      </c>
      <c r="L169">
        <f t="shared" si="48"/>
        <v>115020</v>
      </c>
      <c r="M169">
        <v>1502</v>
      </c>
    </row>
    <row r="170" spans="1:13" x14ac:dyDescent="0.15">
      <c r="A170" s="6">
        <v>515021</v>
      </c>
      <c r="B170" t="str">
        <f>VLOOKUP(INT(MOD(A170,100000)/10),[1]地图配置辅助表!$A$3:$E$229,4,FALSE)</f>
        <v>挑战Boss-比利</v>
      </c>
      <c r="C170" s="71" t="s">
        <v>978</v>
      </c>
      <c r="D170">
        <f>VLOOKUP(INT(MOD(A170,100000)/10),[1]地图配置辅助表!$A$3:$E$229,5,FALSE)</f>
        <v>6</v>
      </c>
      <c r="E170">
        <v>0</v>
      </c>
      <c r="F170">
        <v>0</v>
      </c>
      <c r="G170" s="8">
        <f t="shared" si="49"/>
        <v>120</v>
      </c>
      <c r="K170">
        <v>1</v>
      </c>
      <c r="L170">
        <f t="shared" si="48"/>
        <v>115021</v>
      </c>
      <c r="M170">
        <v>1502</v>
      </c>
    </row>
    <row r="171" spans="1:13" x14ac:dyDescent="0.15">
      <c r="A171" s="6">
        <v>515022</v>
      </c>
      <c r="B171" t="str">
        <f>VLOOKUP(INT(MOD(A171,100000)/10),[1]地图配置辅助表!$A$3:$E$229,4,FALSE)</f>
        <v>挑战Boss-比利</v>
      </c>
      <c r="C171" s="71" t="s">
        <v>979</v>
      </c>
      <c r="D171">
        <f>VLOOKUP(INT(MOD(A171,100000)/10),[1]地图配置辅助表!$A$3:$E$229,5,FALSE)</f>
        <v>6</v>
      </c>
      <c r="E171">
        <v>0</v>
      </c>
      <c r="F171">
        <v>0</v>
      </c>
      <c r="G171" s="8">
        <f t="shared" si="49"/>
        <v>120</v>
      </c>
      <c r="K171">
        <v>1</v>
      </c>
      <c r="L171">
        <f t="shared" si="48"/>
        <v>115022</v>
      </c>
      <c r="M171">
        <v>1502</v>
      </c>
    </row>
    <row r="172" spans="1:13" x14ac:dyDescent="0.15">
      <c r="A172" s="6">
        <v>515023</v>
      </c>
      <c r="B172" t="str">
        <f>VLOOKUP(INT(MOD(A172,100000)/10),[1]地图配置辅助表!$A$3:$E$229,4,FALSE)</f>
        <v>挑战Boss-比利</v>
      </c>
      <c r="C172" s="71" t="s">
        <v>979</v>
      </c>
      <c r="D172">
        <f>VLOOKUP(INT(MOD(A172,100000)/10),[1]地图配置辅助表!$A$3:$E$229,5,FALSE)</f>
        <v>6</v>
      </c>
      <c r="E172">
        <v>0</v>
      </c>
      <c r="F172">
        <v>0</v>
      </c>
      <c r="G172" s="8">
        <f t="shared" si="49"/>
        <v>120</v>
      </c>
      <c r="K172">
        <v>1</v>
      </c>
      <c r="L172">
        <f t="shared" si="48"/>
        <v>115023</v>
      </c>
      <c r="M172">
        <v>1502</v>
      </c>
    </row>
    <row r="173" spans="1:13" x14ac:dyDescent="0.15">
      <c r="A173" s="6">
        <v>515024</v>
      </c>
      <c r="B173" t="str">
        <f>VLOOKUP(INT(MOD(A173,100000)/10),[1]地图配置辅助表!$A$3:$E$229,4,FALSE)</f>
        <v>挑战Boss-比利</v>
      </c>
      <c r="C173" s="71" t="s">
        <v>980</v>
      </c>
      <c r="D173">
        <f>VLOOKUP(INT(MOD(A173,100000)/10),[1]地图配置辅助表!$A$3:$E$229,5,FALSE)</f>
        <v>6</v>
      </c>
      <c r="E173">
        <v>0</v>
      </c>
      <c r="F173">
        <v>0</v>
      </c>
      <c r="G173" s="8">
        <f t="shared" si="49"/>
        <v>120</v>
      </c>
      <c r="K173">
        <v>1</v>
      </c>
      <c r="L173">
        <f t="shared" si="48"/>
        <v>115024</v>
      </c>
      <c r="M173">
        <v>1502</v>
      </c>
    </row>
    <row r="174" spans="1:13" x14ac:dyDescent="0.15">
      <c r="A174" s="6">
        <v>515025</v>
      </c>
      <c r="B174" t="str">
        <f>VLOOKUP(INT(MOD(A174,100000)/10),[1]地图配置辅助表!$A$3:$E$229,4,FALSE)</f>
        <v>挑战Boss-比利</v>
      </c>
      <c r="C174" s="71" t="s">
        <v>991</v>
      </c>
      <c r="D174">
        <f>VLOOKUP(INT(MOD(A174,100000)/10),[1]地图配置辅助表!$A$3:$E$229,5,FALSE)</f>
        <v>6</v>
      </c>
      <c r="E174">
        <v>0</v>
      </c>
      <c r="F174">
        <v>0</v>
      </c>
      <c r="G174" s="8">
        <f t="shared" si="49"/>
        <v>120</v>
      </c>
      <c r="K174">
        <v>1</v>
      </c>
      <c r="L174">
        <f t="shared" si="48"/>
        <v>115025</v>
      </c>
      <c r="M174">
        <v>1502</v>
      </c>
    </row>
    <row r="175" spans="1:13" x14ac:dyDescent="0.15">
      <c r="A175" s="6">
        <v>515026</v>
      </c>
      <c r="B175" t="str">
        <f>VLOOKUP(INT(MOD(A175,100000)/10),[1]地图配置辅助表!$A$3:$E$229,4,FALSE)</f>
        <v>挑战Boss-比利</v>
      </c>
      <c r="C175" s="71" t="s">
        <v>992</v>
      </c>
      <c r="D175">
        <f>VLOOKUP(INT(MOD(A175,100000)/10),[1]地图配置辅助表!$A$3:$E$229,5,FALSE)</f>
        <v>6</v>
      </c>
      <c r="E175">
        <v>0</v>
      </c>
      <c r="F175">
        <v>0</v>
      </c>
      <c r="G175" s="8">
        <f t="shared" si="49"/>
        <v>120</v>
      </c>
      <c r="K175">
        <v>1</v>
      </c>
      <c r="L175">
        <f t="shared" si="48"/>
        <v>115026</v>
      </c>
      <c r="M175">
        <v>1502</v>
      </c>
    </row>
    <row r="176" spans="1:13" x14ac:dyDescent="0.15">
      <c r="A176" s="6">
        <v>515027</v>
      </c>
      <c r="B176" t="str">
        <f>VLOOKUP(INT(MOD(A176,100000)/10),[1]地图配置辅助表!$A$3:$E$229,4,FALSE)</f>
        <v>挑战Boss-比利</v>
      </c>
      <c r="C176" s="71" t="s">
        <v>993</v>
      </c>
      <c r="D176">
        <f>VLOOKUP(INT(MOD(A176,100000)/10),[1]地图配置辅助表!$A$3:$E$229,5,FALSE)</f>
        <v>6</v>
      </c>
      <c r="E176">
        <v>0</v>
      </c>
      <c r="F176">
        <v>0</v>
      </c>
      <c r="G176" s="8">
        <f t="shared" si="49"/>
        <v>120</v>
      </c>
      <c r="K176">
        <v>1</v>
      </c>
      <c r="L176">
        <f t="shared" si="48"/>
        <v>115027</v>
      </c>
      <c r="M176">
        <v>1502</v>
      </c>
    </row>
    <row r="177" spans="1:13" x14ac:dyDescent="0.15">
      <c r="A177" s="6">
        <v>515028</v>
      </c>
      <c r="B177" t="str">
        <f>VLOOKUP(INT(MOD(A177,100000)/10),[1]地图配置辅助表!$A$3:$E$229,4,FALSE)</f>
        <v>挑战Boss-比利</v>
      </c>
      <c r="C177" s="71" t="s">
        <v>994</v>
      </c>
      <c r="D177">
        <f>VLOOKUP(INT(MOD(A177,100000)/10),[1]地图配置辅助表!$A$3:$E$229,5,FALSE)</f>
        <v>6</v>
      </c>
      <c r="E177">
        <v>0</v>
      </c>
      <c r="F177">
        <v>0</v>
      </c>
      <c r="G177" s="8">
        <f t="shared" si="49"/>
        <v>120</v>
      </c>
      <c r="K177">
        <v>1</v>
      </c>
      <c r="L177">
        <f t="shared" si="48"/>
        <v>115028</v>
      </c>
      <c r="M177">
        <v>1502</v>
      </c>
    </row>
    <row r="178" spans="1:13" x14ac:dyDescent="0.15">
      <c r="A178" s="6">
        <v>515029</v>
      </c>
      <c r="B178" t="str">
        <f>VLOOKUP(INT(MOD(A178,100000)/10),[1]地图配置辅助表!$A$3:$E$229,4,FALSE)</f>
        <v>挑战Boss-比利</v>
      </c>
      <c r="C178" s="71" t="s">
        <v>995</v>
      </c>
      <c r="D178">
        <f>VLOOKUP(INT(MOD(A178,100000)/10),[1]地图配置辅助表!$A$3:$E$229,5,FALSE)</f>
        <v>6</v>
      </c>
      <c r="E178">
        <v>0</v>
      </c>
      <c r="F178">
        <v>0</v>
      </c>
      <c r="G178" s="8">
        <f t="shared" si="49"/>
        <v>120</v>
      </c>
      <c r="K178">
        <v>1</v>
      </c>
      <c r="L178">
        <f t="shared" si="48"/>
        <v>115029</v>
      </c>
      <c r="M178">
        <v>1502</v>
      </c>
    </row>
    <row r="179" spans="1:13" x14ac:dyDescent="0.15">
      <c r="A179" s="6">
        <v>515030</v>
      </c>
      <c r="B179" t="str">
        <f>VLOOKUP(INT(MOD(A179,100000)/10),[1]地图配置辅助表!$A$3:$E$229,4,FALSE)</f>
        <v>挑战Boss-靓坤</v>
      </c>
      <c r="C179" s="70">
        <v>4</v>
      </c>
      <c r="D179">
        <f>VLOOKUP(INT(MOD(A179,100000)/10),[1]地图配置辅助表!$A$3:$E$229,5,FALSE)</f>
        <v>12</v>
      </c>
      <c r="E179">
        <v>0</v>
      </c>
      <c r="F179">
        <v>0</v>
      </c>
      <c r="G179" s="8">
        <f t="shared" ref="G179:G188" si="50">D179*$Q$2</f>
        <v>240</v>
      </c>
      <c r="K179">
        <v>1</v>
      </c>
      <c r="L179">
        <f t="shared" si="48"/>
        <v>115030</v>
      </c>
      <c r="M179">
        <v>1503</v>
      </c>
    </row>
    <row r="180" spans="1:13" x14ac:dyDescent="0.15">
      <c r="A180" s="6">
        <v>515031</v>
      </c>
      <c r="B180" t="str">
        <f>VLOOKUP(INT(MOD(A180,100000)/10),[1]地图配置辅助表!$A$3:$E$229,4,FALSE)</f>
        <v>挑战Boss-靓坤</v>
      </c>
      <c r="C180" s="71" t="s">
        <v>978</v>
      </c>
      <c r="D180">
        <f>VLOOKUP(INT(MOD(A180,100000)/10),[1]地图配置辅助表!$A$3:$E$229,5,FALSE)</f>
        <v>12</v>
      </c>
      <c r="E180">
        <v>0</v>
      </c>
      <c r="F180">
        <v>0</v>
      </c>
      <c r="G180" s="8">
        <f t="shared" si="50"/>
        <v>240</v>
      </c>
      <c r="K180">
        <v>1</v>
      </c>
      <c r="L180">
        <f t="shared" si="48"/>
        <v>115031</v>
      </c>
      <c r="M180">
        <v>1503</v>
      </c>
    </row>
    <row r="181" spans="1:13" x14ac:dyDescent="0.15">
      <c r="A181" s="6">
        <v>515032</v>
      </c>
      <c r="B181" t="str">
        <f>VLOOKUP(INT(MOD(A181,100000)/10),[1]地图配置辅助表!$A$3:$E$229,4,FALSE)</f>
        <v>挑战Boss-靓坤</v>
      </c>
      <c r="C181" s="71" t="s">
        <v>979</v>
      </c>
      <c r="D181">
        <f>VLOOKUP(INT(MOD(A181,100000)/10),[1]地图配置辅助表!$A$3:$E$229,5,FALSE)</f>
        <v>12</v>
      </c>
      <c r="E181">
        <v>0</v>
      </c>
      <c r="F181">
        <v>0</v>
      </c>
      <c r="G181" s="8">
        <f t="shared" si="50"/>
        <v>240</v>
      </c>
      <c r="K181">
        <v>1</v>
      </c>
      <c r="L181">
        <f t="shared" si="48"/>
        <v>115032</v>
      </c>
      <c r="M181">
        <v>1503</v>
      </c>
    </row>
    <row r="182" spans="1:13" x14ac:dyDescent="0.15">
      <c r="A182" s="6">
        <v>515033</v>
      </c>
      <c r="B182" t="str">
        <f>VLOOKUP(INT(MOD(A182,100000)/10),[1]地图配置辅助表!$A$3:$E$229,4,FALSE)</f>
        <v>挑战Boss-靓坤</v>
      </c>
      <c r="C182" s="71" t="s">
        <v>979</v>
      </c>
      <c r="D182">
        <f>VLOOKUP(INT(MOD(A182,100000)/10),[1]地图配置辅助表!$A$3:$E$229,5,FALSE)</f>
        <v>12</v>
      </c>
      <c r="E182">
        <v>0</v>
      </c>
      <c r="F182">
        <v>0</v>
      </c>
      <c r="G182" s="8">
        <f t="shared" si="50"/>
        <v>240</v>
      </c>
      <c r="K182">
        <v>1</v>
      </c>
      <c r="L182">
        <f t="shared" si="48"/>
        <v>115033</v>
      </c>
      <c r="M182">
        <v>1503</v>
      </c>
    </row>
    <row r="183" spans="1:13" x14ac:dyDescent="0.15">
      <c r="A183" s="6">
        <v>515034</v>
      </c>
      <c r="B183" t="str">
        <f>VLOOKUP(INT(MOD(A183,100000)/10),[1]地图配置辅助表!$A$3:$E$229,4,FALSE)</f>
        <v>挑战Boss-靓坤</v>
      </c>
      <c r="C183" s="71" t="s">
        <v>980</v>
      </c>
      <c r="D183">
        <f>VLOOKUP(INT(MOD(A183,100000)/10),[1]地图配置辅助表!$A$3:$E$229,5,FALSE)</f>
        <v>12</v>
      </c>
      <c r="E183">
        <v>0</v>
      </c>
      <c r="F183">
        <v>0</v>
      </c>
      <c r="G183" s="8">
        <f t="shared" si="50"/>
        <v>240</v>
      </c>
      <c r="K183">
        <v>1</v>
      </c>
      <c r="L183">
        <f t="shared" si="48"/>
        <v>115034</v>
      </c>
      <c r="M183">
        <v>1503</v>
      </c>
    </row>
    <row r="184" spans="1:13" x14ac:dyDescent="0.15">
      <c r="A184" s="6">
        <v>515035</v>
      </c>
      <c r="B184" t="str">
        <f>VLOOKUP(INT(MOD(A184,100000)/10),[1]地图配置辅助表!$A$3:$E$229,4,FALSE)</f>
        <v>挑战Boss-靓坤</v>
      </c>
      <c r="C184" s="71" t="s">
        <v>991</v>
      </c>
      <c r="D184">
        <f>VLOOKUP(INT(MOD(A184,100000)/10),[1]地图配置辅助表!$A$3:$E$229,5,FALSE)</f>
        <v>12</v>
      </c>
      <c r="E184">
        <v>0</v>
      </c>
      <c r="F184">
        <v>0</v>
      </c>
      <c r="G184" s="8">
        <f t="shared" si="50"/>
        <v>240</v>
      </c>
      <c r="K184">
        <v>1</v>
      </c>
      <c r="L184">
        <f t="shared" si="48"/>
        <v>115035</v>
      </c>
      <c r="M184">
        <v>1503</v>
      </c>
    </row>
    <row r="185" spans="1:13" x14ac:dyDescent="0.15">
      <c r="A185" s="6">
        <v>515036</v>
      </c>
      <c r="B185" t="str">
        <f>VLOOKUP(INT(MOD(A185,100000)/10),[1]地图配置辅助表!$A$3:$E$229,4,FALSE)</f>
        <v>挑战Boss-靓坤</v>
      </c>
      <c r="C185" s="71" t="s">
        <v>992</v>
      </c>
      <c r="D185">
        <f>VLOOKUP(INT(MOD(A185,100000)/10),[1]地图配置辅助表!$A$3:$E$229,5,FALSE)</f>
        <v>12</v>
      </c>
      <c r="E185">
        <v>0</v>
      </c>
      <c r="F185">
        <v>0</v>
      </c>
      <c r="G185" s="8">
        <f t="shared" si="50"/>
        <v>240</v>
      </c>
      <c r="K185">
        <v>1</v>
      </c>
      <c r="L185">
        <f t="shared" si="48"/>
        <v>115036</v>
      </c>
      <c r="M185">
        <v>1503</v>
      </c>
    </row>
    <row r="186" spans="1:13" x14ac:dyDescent="0.15">
      <c r="A186" s="6">
        <v>515037</v>
      </c>
      <c r="B186" t="str">
        <f>VLOOKUP(INT(MOD(A186,100000)/10),[1]地图配置辅助表!$A$3:$E$229,4,FALSE)</f>
        <v>挑战Boss-靓坤</v>
      </c>
      <c r="C186" s="71" t="s">
        <v>993</v>
      </c>
      <c r="D186">
        <f>VLOOKUP(INT(MOD(A186,100000)/10),[1]地图配置辅助表!$A$3:$E$229,5,FALSE)</f>
        <v>12</v>
      </c>
      <c r="E186">
        <v>0</v>
      </c>
      <c r="F186">
        <v>0</v>
      </c>
      <c r="G186" s="8">
        <f t="shared" si="50"/>
        <v>240</v>
      </c>
      <c r="K186">
        <v>1</v>
      </c>
      <c r="L186">
        <f t="shared" si="48"/>
        <v>115037</v>
      </c>
      <c r="M186">
        <v>1503</v>
      </c>
    </row>
    <row r="187" spans="1:13" x14ac:dyDescent="0.15">
      <c r="A187" s="6">
        <v>515038</v>
      </c>
      <c r="B187" t="str">
        <f>VLOOKUP(INT(MOD(A187,100000)/10),[1]地图配置辅助表!$A$3:$E$229,4,FALSE)</f>
        <v>挑战Boss-靓坤</v>
      </c>
      <c r="C187" s="71" t="s">
        <v>994</v>
      </c>
      <c r="D187">
        <f>VLOOKUP(INT(MOD(A187,100000)/10),[1]地图配置辅助表!$A$3:$E$229,5,FALSE)</f>
        <v>12</v>
      </c>
      <c r="E187">
        <v>0</v>
      </c>
      <c r="F187">
        <v>0</v>
      </c>
      <c r="G187" s="8">
        <f t="shared" si="50"/>
        <v>240</v>
      </c>
      <c r="K187">
        <v>1</v>
      </c>
      <c r="L187">
        <f t="shared" si="48"/>
        <v>115038</v>
      </c>
      <c r="M187">
        <v>1503</v>
      </c>
    </row>
    <row r="188" spans="1:13" x14ac:dyDescent="0.15">
      <c r="A188" s="6">
        <v>515039</v>
      </c>
      <c r="B188" t="str">
        <f>VLOOKUP(INT(MOD(A188,100000)/10),[1]地图配置辅助表!$A$3:$E$229,4,FALSE)</f>
        <v>挑战Boss-靓坤</v>
      </c>
      <c r="C188" s="71" t="s">
        <v>995</v>
      </c>
      <c r="D188">
        <f>VLOOKUP(INT(MOD(A188,100000)/10),[1]地图配置辅助表!$A$3:$E$229,5,FALSE)</f>
        <v>12</v>
      </c>
      <c r="E188">
        <v>0</v>
      </c>
      <c r="F188">
        <v>0</v>
      </c>
      <c r="G188" s="8">
        <f t="shared" si="50"/>
        <v>240</v>
      </c>
      <c r="K188">
        <v>1</v>
      </c>
      <c r="L188">
        <f t="shared" si="48"/>
        <v>115039</v>
      </c>
      <c r="M188">
        <v>1503</v>
      </c>
    </row>
    <row r="189" spans="1:13" x14ac:dyDescent="0.15">
      <c r="A189" s="6">
        <v>515040</v>
      </c>
      <c r="B189" t="str">
        <f>VLOOKUP(INT(MOD(A189,100000)/10),[1]地图配置辅助表!$A$3:$E$229,4,FALSE)</f>
        <v>挑战Boss-雷复轰</v>
      </c>
      <c r="C189" s="70">
        <v>4</v>
      </c>
      <c r="D189">
        <f>VLOOKUP(INT(MOD(A189,100000)/10),[1]地图配置辅助表!$A$3:$E$229,5,FALSE)</f>
        <v>12</v>
      </c>
      <c r="E189">
        <v>0</v>
      </c>
      <c r="F189">
        <v>0</v>
      </c>
      <c r="G189" s="8">
        <f t="shared" ref="G189:G228" si="51">D189*$Q$2</f>
        <v>240</v>
      </c>
      <c r="K189">
        <v>1</v>
      </c>
      <c r="L189">
        <f t="shared" si="48"/>
        <v>115040</v>
      </c>
      <c r="M189">
        <v>1504</v>
      </c>
    </row>
    <row r="190" spans="1:13" x14ac:dyDescent="0.15">
      <c r="A190" s="6">
        <v>515041</v>
      </c>
      <c r="B190" t="str">
        <f>VLOOKUP(INT(MOD(A190,100000)/10),[1]地图配置辅助表!$A$3:$E$229,4,FALSE)</f>
        <v>挑战Boss-雷复轰</v>
      </c>
      <c r="C190" s="71" t="s">
        <v>978</v>
      </c>
      <c r="D190">
        <f>VLOOKUP(INT(MOD(A190,100000)/10),[1]地图配置辅助表!$A$3:$E$229,5,FALSE)</f>
        <v>12</v>
      </c>
      <c r="E190">
        <v>0</v>
      </c>
      <c r="F190">
        <v>0</v>
      </c>
      <c r="G190" s="8">
        <f t="shared" si="51"/>
        <v>240</v>
      </c>
      <c r="K190">
        <v>1</v>
      </c>
      <c r="L190">
        <f t="shared" si="48"/>
        <v>115041</v>
      </c>
      <c r="M190">
        <v>1504</v>
      </c>
    </row>
    <row r="191" spans="1:13" x14ac:dyDescent="0.15">
      <c r="A191" s="6">
        <v>515042</v>
      </c>
      <c r="B191" t="str">
        <f>VLOOKUP(INT(MOD(A191,100000)/10),[1]地图配置辅助表!$A$3:$E$229,4,FALSE)</f>
        <v>挑战Boss-雷复轰</v>
      </c>
      <c r="C191" s="71" t="s">
        <v>979</v>
      </c>
      <c r="D191">
        <f>VLOOKUP(INT(MOD(A191,100000)/10),[1]地图配置辅助表!$A$3:$E$229,5,FALSE)</f>
        <v>12</v>
      </c>
      <c r="E191">
        <v>0</v>
      </c>
      <c r="F191">
        <v>0</v>
      </c>
      <c r="G191" s="8">
        <f t="shared" si="51"/>
        <v>240</v>
      </c>
      <c r="K191">
        <v>1</v>
      </c>
      <c r="L191">
        <f t="shared" si="48"/>
        <v>115042</v>
      </c>
      <c r="M191">
        <v>1504</v>
      </c>
    </row>
    <row r="192" spans="1:13" x14ac:dyDescent="0.15">
      <c r="A192" s="6">
        <v>515043</v>
      </c>
      <c r="B192" t="str">
        <f>VLOOKUP(INT(MOD(A192,100000)/10),[1]地图配置辅助表!$A$3:$E$229,4,FALSE)</f>
        <v>挑战Boss-雷复轰</v>
      </c>
      <c r="C192" s="71" t="s">
        <v>979</v>
      </c>
      <c r="D192">
        <f>VLOOKUP(INT(MOD(A192,100000)/10),[1]地图配置辅助表!$A$3:$E$229,5,FALSE)</f>
        <v>12</v>
      </c>
      <c r="E192">
        <v>0</v>
      </c>
      <c r="F192">
        <v>0</v>
      </c>
      <c r="G192" s="8">
        <f t="shared" si="51"/>
        <v>240</v>
      </c>
      <c r="K192">
        <v>1</v>
      </c>
      <c r="L192">
        <f t="shared" si="48"/>
        <v>115043</v>
      </c>
      <c r="M192">
        <v>1504</v>
      </c>
    </row>
    <row r="193" spans="1:13" x14ac:dyDescent="0.15">
      <c r="A193" s="6">
        <v>515044</v>
      </c>
      <c r="B193" t="str">
        <f>VLOOKUP(INT(MOD(A193,100000)/10),[1]地图配置辅助表!$A$3:$E$229,4,FALSE)</f>
        <v>挑战Boss-雷复轰</v>
      </c>
      <c r="C193" s="71" t="s">
        <v>980</v>
      </c>
      <c r="D193">
        <f>VLOOKUP(INT(MOD(A193,100000)/10),[1]地图配置辅助表!$A$3:$E$229,5,FALSE)</f>
        <v>12</v>
      </c>
      <c r="E193">
        <v>0</v>
      </c>
      <c r="F193">
        <v>0</v>
      </c>
      <c r="G193" s="8">
        <f t="shared" si="51"/>
        <v>240</v>
      </c>
      <c r="K193">
        <v>1</v>
      </c>
      <c r="L193">
        <f t="shared" si="48"/>
        <v>115044</v>
      </c>
      <c r="M193">
        <v>1504</v>
      </c>
    </row>
    <row r="194" spans="1:13" x14ac:dyDescent="0.15">
      <c r="A194" s="6">
        <v>515045</v>
      </c>
      <c r="B194" t="str">
        <f>VLOOKUP(INT(MOD(A194,100000)/10),[1]地图配置辅助表!$A$3:$E$229,4,FALSE)</f>
        <v>挑战Boss-雷复轰</v>
      </c>
      <c r="C194" s="71" t="s">
        <v>991</v>
      </c>
      <c r="D194">
        <f>VLOOKUP(INT(MOD(A194,100000)/10),[1]地图配置辅助表!$A$3:$E$229,5,FALSE)</f>
        <v>12</v>
      </c>
      <c r="E194">
        <v>0</v>
      </c>
      <c r="F194">
        <v>0</v>
      </c>
      <c r="G194" s="8">
        <f t="shared" si="51"/>
        <v>240</v>
      </c>
      <c r="K194">
        <v>1</v>
      </c>
      <c r="L194">
        <f t="shared" si="48"/>
        <v>115045</v>
      </c>
      <c r="M194">
        <v>1504</v>
      </c>
    </row>
    <row r="195" spans="1:13" x14ac:dyDescent="0.15">
      <c r="A195" s="6">
        <v>515046</v>
      </c>
      <c r="B195" t="str">
        <f>VLOOKUP(INT(MOD(A195,100000)/10),[1]地图配置辅助表!$A$3:$E$229,4,FALSE)</f>
        <v>挑战Boss-雷复轰</v>
      </c>
      <c r="C195" s="71" t="s">
        <v>992</v>
      </c>
      <c r="D195">
        <f>VLOOKUP(INT(MOD(A195,100000)/10),[1]地图配置辅助表!$A$3:$E$229,5,FALSE)</f>
        <v>12</v>
      </c>
      <c r="E195">
        <v>0</v>
      </c>
      <c r="F195">
        <v>0</v>
      </c>
      <c r="G195" s="8">
        <f t="shared" si="51"/>
        <v>240</v>
      </c>
      <c r="K195">
        <v>1</v>
      </c>
      <c r="L195">
        <f t="shared" si="48"/>
        <v>115046</v>
      </c>
      <c r="M195">
        <v>1504</v>
      </c>
    </row>
    <row r="196" spans="1:13" x14ac:dyDescent="0.15">
      <c r="A196" s="6">
        <v>515047</v>
      </c>
      <c r="B196" t="str">
        <f>VLOOKUP(INT(MOD(A196,100000)/10),[1]地图配置辅助表!$A$3:$E$229,4,FALSE)</f>
        <v>挑战Boss-雷复轰</v>
      </c>
      <c r="C196" s="71" t="s">
        <v>993</v>
      </c>
      <c r="D196">
        <f>VLOOKUP(INT(MOD(A196,100000)/10),[1]地图配置辅助表!$A$3:$E$229,5,FALSE)</f>
        <v>12</v>
      </c>
      <c r="E196">
        <v>0</v>
      </c>
      <c r="F196">
        <v>0</v>
      </c>
      <c r="G196" s="8">
        <f t="shared" si="51"/>
        <v>240</v>
      </c>
      <c r="K196">
        <v>1</v>
      </c>
      <c r="L196">
        <f t="shared" si="48"/>
        <v>115047</v>
      </c>
      <c r="M196">
        <v>1504</v>
      </c>
    </row>
    <row r="197" spans="1:13" x14ac:dyDescent="0.15">
      <c r="A197" s="6">
        <v>515048</v>
      </c>
      <c r="B197" t="str">
        <f>VLOOKUP(INT(MOD(A197,100000)/10),[1]地图配置辅助表!$A$3:$E$229,4,FALSE)</f>
        <v>挑战Boss-雷复轰</v>
      </c>
      <c r="C197" s="71" t="s">
        <v>994</v>
      </c>
      <c r="D197">
        <f>VLOOKUP(INT(MOD(A197,100000)/10),[1]地图配置辅助表!$A$3:$E$229,5,FALSE)</f>
        <v>12</v>
      </c>
      <c r="E197">
        <v>0</v>
      </c>
      <c r="F197">
        <v>0</v>
      </c>
      <c r="G197" s="8">
        <f t="shared" si="51"/>
        <v>240</v>
      </c>
      <c r="K197">
        <v>1</v>
      </c>
      <c r="L197">
        <f t="shared" si="48"/>
        <v>115048</v>
      </c>
      <c r="M197">
        <v>1504</v>
      </c>
    </row>
    <row r="198" spans="1:13" x14ac:dyDescent="0.15">
      <c r="A198" s="6">
        <v>515049</v>
      </c>
      <c r="B198" t="str">
        <f>VLOOKUP(INT(MOD(A198,100000)/10),[1]地图配置辅助表!$A$3:$E$229,4,FALSE)</f>
        <v>挑战Boss-雷复轰</v>
      </c>
      <c r="C198" s="71" t="s">
        <v>995</v>
      </c>
      <c r="D198">
        <f>VLOOKUP(INT(MOD(A198,100000)/10),[1]地图配置辅助表!$A$3:$E$229,5,FALSE)</f>
        <v>12</v>
      </c>
      <c r="E198">
        <v>0</v>
      </c>
      <c r="F198">
        <v>0</v>
      </c>
      <c r="G198" s="8">
        <f t="shared" si="51"/>
        <v>240</v>
      </c>
      <c r="K198">
        <v>1</v>
      </c>
      <c r="L198">
        <f t="shared" si="48"/>
        <v>115049</v>
      </c>
      <c r="M198">
        <v>1504</v>
      </c>
    </row>
    <row r="199" spans="1:13" x14ac:dyDescent="0.15">
      <c r="A199" s="6">
        <v>515050</v>
      </c>
      <c r="B199" t="str">
        <f>VLOOKUP(INT(MOD(A199,100000)/10),[1]地图配置辅助表!$A$3:$E$229,4,FALSE)</f>
        <v>挑战Boss-肥仔</v>
      </c>
      <c r="C199" s="70">
        <v>4</v>
      </c>
      <c r="D199">
        <f>VLOOKUP(INT(MOD(A199,100000)/10),[1]地图配置辅助表!$A$3:$E$229,5,FALSE)</f>
        <v>12</v>
      </c>
      <c r="E199">
        <v>0</v>
      </c>
      <c r="F199">
        <v>0</v>
      </c>
      <c r="G199" s="8">
        <f t="shared" si="51"/>
        <v>240</v>
      </c>
      <c r="K199">
        <v>1</v>
      </c>
      <c r="L199">
        <f t="shared" si="48"/>
        <v>115050</v>
      </c>
      <c r="M199">
        <v>1505</v>
      </c>
    </row>
    <row r="200" spans="1:13" x14ac:dyDescent="0.15">
      <c r="A200" s="6">
        <v>515051</v>
      </c>
      <c r="B200" t="str">
        <f>VLOOKUP(INT(MOD(A200,100000)/10),[1]地图配置辅助表!$A$3:$E$229,4,FALSE)</f>
        <v>挑战Boss-肥仔</v>
      </c>
      <c r="C200" s="71" t="s">
        <v>978</v>
      </c>
      <c r="D200">
        <f>VLOOKUP(INT(MOD(A200,100000)/10),[1]地图配置辅助表!$A$3:$E$229,5,FALSE)</f>
        <v>12</v>
      </c>
      <c r="E200">
        <v>0</v>
      </c>
      <c r="F200">
        <v>0</v>
      </c>
      <c r="G200" s="8">
        <f t="shared" si="51"/>
        <v>240</v>
      </c>
      <c r="K200">
        <v>1</v>
      </c>
      <c r="L200">
        <f t="shared" si="48"/>
        <v>115051</v>
      </c>
      <c r="M200">
        <v>1505</v>
      </c>
    </row>
    <row r="201" spans="1:13" x14ac:dyDescent="0.15">
      <c r="A201" s="6">
        <v>515052</v>
      </c>
      <c r="B201" t="str">
        <f>VLOOKUP(INT(MOD(A201,100000)/10),[1]地图配置辅助表!$A$3:$E$229,4,FALSE)</f>
        <v>挑战Boss-肥仔</v>
      </c>
      <c r="C201" s="71" t="s">
        <v>979</v>
      </c>
      <c r="D201">
        <f>VLOOKUP(INT(MOD(A201,100000)/10),[1]地图配置辅助表!$A$3:$E$229,5,FALSE)</f>
        <v>12</v>
      </c>
      <c r="E201">
        <v>0</v>
      </c>
      <c r="F201">
        <v>0</v>
      </c>
      <c r="G201" s="8">
        <f t="shared" si="51"/>
        <v>240</v>
      </c>
      <c r="K201">
        <v>1</v>
      </c>
      <c r="L201">
        <f t="shared" si="48"/>
        <v>115052</v>
      </c>
      <c r="M201">
        <v>1505</v>
      </c>
    </row>
    <row r="202" spans="1:13" x14ac:dyDescent="0.15">
      <c r="A202" s="6">
        <v>515053</v>
      </c>
      <c r="B202" t="str">
        <f>VLOOKUP(INT(MOD(A202,100000)/10),[1]地图配置辅助表!$A$3:$E$229,4,FALSE)</f>
        <v>挑战Boss-肥仔</v>
      </c>
      <c r="C202" s="71" t="s">
        <v>979</v>
      </c>
      <c r="D202">
        <f>VLOOKUP(INT(MOD(A202,100000)/10),[1]地图配置辅助表!$A$3:$E$229,5,FALSE)</f>
        <v>12</v>
      </c>
      <c r="E202">
        <v>0</v>
      </c>
      <c r="F202">
        <v>0</v>
      </c>
      <c r="G202" s="8">
        <f t="shared" si="51"/>
        <v>240</v>
      </c>
      <c r="K202">
        <v>1</v>
      </c>
      <c r="L202">
        <f t="shared" si="48"/>
        <v>115053</v>
      </c>
      <c r="M202">
        <v>1505</v>
      </c>
    </row>
    <row r="203" spans="1:13" x14ac:dyDescent="0.15">
      <c r="A203" s="6">
        <v>515054</v>
      </c>
      <c r="B203" t="str">
        <f>VLOOKUP(INT(MOD(A203,100000)/10),[1]地图配置辅助表!$A$3:$E$229,4,FALSE)</f>
        <v>挑战Boss-肥仔</v>
      </c>
      <c r="C203" s="71" t="s">
        <v>980</v>
      </c>
      <c r="D203">
        <f>VLOOKUP(INT(MOD(A203,100000)/10),[1]地图配置辅助表!$A$3:$E$229,5,FALSE)</f>
        <v>12</v>
      </c>
      <c r="E203">
        <v>0</v>
      </c>
      <c r="F203">
        <v>0</v>
      </c>
      <c r="G203" s="8">
        <f t="shared" si="51"/>
        <v>240</v>
      </c>
      <c r="K203">
        <v>1</v>
      </c>
      <c r="L203">
        <f t="shared" si="48"/>
        <v>115054</v>
      </c>
      <c r="M203">
        <v>1505</v>
      </c>
    </row>
    <row r="204" spans="1:13" x14ac:dyDescent="0.15">
      <c r="A204" s="6">
        <v>515055</v>
      </c>
      <c r="B204" t="str">
        <f>VLOOKUP(INT(MOD(A204,100000)/10),[1]地图配置辅助表!$A$3:$E$229,4,FALSE)</f>
        <v>挑战Boss-肥仔</v>
      </c>
      <c r="C204" s="71" t="s">
        <v>991</v>
      </c>
      <c r="D204">
        <f>VLOOKUP(INT(MOD(A204,100000)/10),[1]地图配置辅助表!$A$3:$E$229,5,FALSE)</f>
        <v>12</v>
      </c>
      <c r="E204">
        <v>0</v>
      </c>
      <c r="F204">
        <v>0</v>
      </c>
      <c r="G204" s="8">
        <f t="shared" si="51"/>
        <v>240</v>
      </c>
      <c r="K204">
        <v>1</v>
      </c>
      <c r="L204">
        <f t="shared" si="48"/>
        <v>115055</v>
      </c>
      <c r="M204">
        <v>1505</v>
      </c>
    </row>
    <row r="205" spans="1:13" x14ac:dyDescent="0.15">
      <c r="A205" s="6">
        <v>515056</v>
      </c>
      <c r="B205" t="str">
        <f>VLOOKUP(INT(MOD(A205,100000)/10),[1]地图配置辅助表!$A$3:$E$229,4,FALSE)</f>
        <v>挑战Boss-肥仔</v>
      </c>
      <c r="C205" s="71" t="s">
        <v>992</v>
      </c>
      <c r="D205">
        <f>VLOOKUP(INT(MOD(A205,100000)/10),[1]地图配置辅助表!$A$3:$E$229,5,FALSE)</f>
        <v>12</v>
      </c>
      <c r="E205">
        <v>0</v>
      </c>
      <c r="F205">
        <v>0</v>
      </c>
      <c r="G205" s="8">
        <f t="shared" si="51"/>
        <v>240</v>
      </c>
      <c r="K205">
        <v>1</v>
      </c>
      <c r="L205">
        <f t="shared" si="48"/>
        <v>115056</v>
      </c>
      <c r="M205">
        <v>1505</v>
      </c>
    </row>
    <row r="206" spans="1:13" x14ac:dyDescent="0.15">
      <c r="A206" s="6">
        <v>515057</v>
      </c>
      <c r="B206" t="str">
        <f>VLOOKUP(INT(MOD(A206,100000)/10),[1]地图配置辅助表!$A$3:$E$229,4,FALSE)</f>
        <v>挑战Boss-肥仔</v>
      </c>
      <c r="C206" s="71" t="s">
        <v>993</v>
      </c>
      <c r="D206">
        <f>VLOOKUP(INT(MOD(A206,100000)/10),[1]地图配置辅助表!$A$3:$E$229,5,FALSE)</f>
        <v>12</v>
      </c>
      <c r="E206">
        <v>0</v>
      </c>
      <c r="F206">
        <v>0</v>
      </c>
      <c r="G206" s="8">
        <f t="shared" si="51"/>
        <v>240</v>
      </c>
      <c r="K206">
        <v>1</v>
      </c>
      <c r="L206">
        <f t="shared" si="48"/>
        <v>115057</v>
      </c>
      <c r="M206">
        <v>1505</v>
      </c>
    </row>
    <row r="207" spans="1:13" x14ac:dyDescent="0.15">
      <c r="A207" s="6">
        <v>515058</v>
      </c>
      <c r="B207" t="str">
        <f>VLOOKUP(INT(MOD(A207,100000)/10),[1]地图配置辅助表!$A$3:$E$229,4,FALSE)</f>
        <v>挑战Boss-肥仔</v>
      </c>
      <c r="C207" s="71" t="s">
        <v>994</v>
      </c>
      <c r="D207">
        <f>VLOOKUP(INT(MOD(A207,100000)/10),[1]地图配置辅助表!$A$3:$E$229,5,FALSE)</f>
        <v>12</v>
      </c>
      <c r="E207">
        <v>0</v>
      </c>
      <c r="F207">
        <v>0</v>
      </c>
      <c r="G207" s="8">
        <f t="shared" si="51"/>
        <v>240</v>
      </c>
      <c r="K207">
        <v>1</v>
      </c>
      <c r="L207">
        <f t="shared" si="48"/>
        <v>115058</v>
      </c>
      <c r="M207">
        <v>1505</v>
      </c>
    </row>
    <row r="208" spans="1:13" x14ac:dyDescent="0.15">
      <c r="A208" s="6">
        <v>515059</v>
      </c>
      <c r="B208" t="str">
        <f>VLOOKUP(INT(MOD(A208,100000)/10),[1]地图配置辅助表!$A$3:$E$229,4,FALSE)</f>
        <v>挑战Boss-肥仔</v>
      </c>
      <c r="C208" s="71" t="s">
        <v>995</v>
      </c>
      <c r="D208">
        <f>VLOOKUP(INT(MOD(A208,100000)/10),[1]地图配置辅助表!$A$3:$E$229,5,FALSE)</f>
        <v>12</v>
      </c>
      <c r="E208">
        <v>0</v>
      </c>
      <c r="F208">
        <v>0</v>
      </c>
      <c r="G208" s="8">
        <f t="shared" si="51"/>
        <v>240</v>
      </c>
      <c r="K208">
        <v>1</v>
      </c>
      <c r="L208">
        <f t="shared" si="48"/>
        <v>115059</v>
      </c>
      <c r="M208">
        <v>1505</v>
      </c>
    </row>
    <row r="209" spans="1:13" x14ac:dyDescent="0.15">
      <c r="A209" s="6">
        <v>515060</v>
      </c>
      <c r="B209" t="str">
        <f>VLOOKUP(INT(MOD(A209,100000)/10),[1]地图配置辅助表!$A$3:$E$229,4,FALSE)</f>
        <v>挑战Boss-巴闭</v>
      </c>
      <c r="C209" s="70">
        <v>4</v>
      </c>
      <c r="D209">
        <f>VLOOKUP(INT(MOD(A209,100000)/10),[1]地图配置辅助表!$A$3:$E$229,5,FALSE)</f>
        <v>12</v>
      </c>
      <c r="E209">
        <v>0</v>
      </c>
      <c r="F209">
        <v>0</v>
      </c>
      <c r="G209" s="8">
        <f t="shared" si="51"/>
        <v>240</v>
      </c>
      <c r="K209">
        <v>1</v>
      </c>
      <c r="L209">
        <f t="shared" si="48"/>
        <v>115060</v>
      </c>
      <c r="M209">
        <v>1506</v>
      </c>
    </row>
    <row r="210" spans="1:13" x14ac:dyDescent="0.15">
      <c r="A210" s="6">
        <v>515061</v>
      </c>
      <c r="B210" t="str">
        <f>VLOOKUP(INT(MOD(A210,100000)/10),[1]地图配置辅助表!$A$3:$E$229,4,FALSE)</f>
        <v>挑战Boss-巴闭</v>
      </c>
      <c r="C210" s="71" t="s">
        <v>978</v>
      </c>
      <c r="D210">
        <f>VLOOKUP(INT(MOD(A210,100000)/10),[1]地图配置辅助表!$A$3:$E$229,5,FALSE)</f>
        <v>12</v>
      </c>
      <c r="E210">
        <v>0</v>
      </c>
      <c r="F210">
        <v>0</v>
      </c>
      <c r="G210" s="8">
        <f t="shared" si="51"/>
        <v>240</v>
      </c>
      <c r="K210">
        <v>1</v>
      </c>
      <c r="L210">
        <f t="shared" si="48"/>
        <v>115061</v>
      </c>
      <c r="M210">
        <v>1506</v>
      </c>
    </row>
    <row r="211" spans="1:13" x14ac:dyDescent="0.15">
      <c r="A211" s="6">
        <v>515062</v>
      </c>
      <c r="B211" t="str">
        <f>VLOOKUP(INT(MOD(A211,100000)/10),[1]地图配置辅助表!$A$3:$E$229,4,FALSE)</f>
        <v>挑战Boss-巴闭</v>
      </c>
      <c r="C211" s="71" t="s">
        <v>979</v>
      </c>
      <c r="D211">
        <f>VLOOKUP(INT(MOD(A211,100000)/10),[1]地图配置辅助表!$A$3:$E$229,5,FALSE)</f>
        <v>12</v>
      </c>
      <c r="E211">
        <v>0</v>
      </c>
      <c r="F211">
        <v>0</v>
      </c>
      <c r="G211" s="8">
        <f t="shared" si="51"/>
        <v>240</v>
      </c>
      <c r="K211">
        <v>1</v>
      </c>
      <c r="L211">
        <f t="shared" si="48"/>
        <v>115062</v>
      </c>
      <c r="M211">
        <v>1506</v>
      </c>
    </row>
    <row r="212" spans="1:13" x14ac:dyDescent="0.15">
      <c r="A212" s="6">
        <v>515063</v>
      </c>
      <c r="B212" t="str">
        <f>VLOOKUP(INT(MOD(A212,100000)/10),[1]地图配置辅助表!$A$3:$E$229,4,FALSE)</f>
        <v>挑战Boss-巴闭</v>
      </c>
      <c r="C212" s="71" t="s">
        <v>979</v>
      </c>
      <c r="D212">
        <f>VLOOKUP(INT(MOD(A212,100000)/10),[1]地图配置辅助表!$A$3:$E$229,5,FALSE)</f>
        <v>12</v>
      </c>
      <c r="E212">
        <v>0</v>
      </c>
      <c r="F212">
        <v>0</v>
      </c>
      <c r="G212" s="8">
        <f t="shared" si="51"/>
        <v>240</v>
      </c>
      <c r="K212">
        <v>1</v>
      </c>
      <c r="L212">
        <f t="shared" si="48"/>
        <v>115063</v>
      </c>
      <c r="M212">
        <v>1506</v>
      </c>
    </row>
    <row r="213" spans="1:13" x14ac:dyDescent="0.15">
      <c r="A213" s="6">
        <v>515064</v>
      </c>
      <c r="B213" t="str">
        <f>VLOOKUP(INT(MOD(A213,100000)/10),[1]地图配置辅助表!$A$3:$E$229,4,FALSE)</f>
        <v>挑战Boss-巴闭</v>
      </c>
      <c r="C213" s="71" t="s">
        <v>980</v>
      </c>
      <c r="D213">
        <f>VLOOKUP(INT(MOD(A213,100000)/10),[1]地图配置辅助表!$A$3:$E$229,5,FALSE)</f>
        <v>12</v>
      </c>
      <c r="E213">
        <v>0</v>
      </c>
      <c r="F213">
        <v>0</v>
      </c>
      <c r="G213" s="8">
        <f t="shared" si="51"/>
        <v>240</v>
      </c>
      <c r="K213">
        <v>1</v>
      </c>
      <c r="L213">
        <f t="shared" si="48"/>
        <v>115064</v>
      </c>
      <c r="M213">
        <v>1506</v>
      </c>
    </row>
    <row r="214" spans="1:13" x14ac:dyDescent="0.15">
      <c r="A214" s="6">
        <v>515065</v>
      </c>
      <c r="B214" t="str">
        <f>VLOOKUP(INT(MOD(A214,100000)/10),[1]地图配置辅助表!$A$3:$E$229,4,FALSE)</f>
        <v>挑战Boss-巴闭</v>
      </c>
      <c r="C214" s="71" t="s">
        <v>991</v>
      </c>
      <c r="D214">
        <f>VLOOKUP(INT(MOD(A214,100000)/10),[1]地图配置辅助表!$A$3:$E$229,5,FALSE)</f>
        <v>12</v>
      </c>
      <c r="E214">
        <v>0</v>
      </c>
      <c r="F214">
        <v>0</v>
      </c>
      <c r="G214" s="8">
        <f t="shared" si="51"/>
        <v>240</v>
      </c>
      <c r="K214">
        <v>1</v>
      </c>
      <c r="L214">
        <f t="shared" si="48"/>
        <v>115065</v>
      </c>
      <c r="M214">
        <v>1506</v>
      </c>
    </row>
    <row r="215" spans="1:13" x14ac:dyDescent="0.15">
      <c r="A215" s="6">
        <v>515066</v>
      </c>
      <c r="B215" t="str">
        <f>VLOOKUP(INT(MOD(A215,100000)/10),[1]地图配置辅助表!$A$3:$E$229,4,FALSE)</f>
        <v>挑战Boss-巴闭</v>
      </c>
      <c r="C215" s="71" t="s">
        <v>992</v>
      </c>
      <c r="D215">
        <f>VLOOKUP(INT(MOD(A215,100000)/10),[1]地图配置辅助表!$A$3:$E$229,5,FALSE)</f>
        <v>12</v>
      </c>
      <c r="E215">
        <v>0</v>
      </c>
      <c r="F215">
        <v>0</v>
      </c>
      <c r="G215" s="8">
        <f t="shared" si="51"/>
        <v>240</v>
      </c>
      <c r="K215">
        <v>1</v>
      </c>
      <c r="L215">
        <f t="shared" si="48"/>
        <v>115066</v>
      </c>
      <c r="M215">
        <v>1506</v>
      </c>
    </row>
    <row r="216" spans="1:13" x14ac:dyDescent="0.15">
      <c r="A216" s="6">
        <v>515067</v>
      </c>
      <c r="B216" t="str">
        <f>VLOOKUP(INT(MOD(A216,100000)/10),[1]地图配置辅助表!$A$3:$E$229,4,FALSE)</f>
        <v>挑战Boss-巴闭</v>
      </c>
      <c r="C216" s="71" t="s">
        <v>993</v>
      </c>
      <c r="D216">
        <f>VLOOKUP(INT(MOD(A216,100000)/10),[1]地图配置辅助表!$A$3:$E$229,5,FALSE)</f>
        <v>12</v>
      </c>
      <c r="E216">
        <v>0</v>
      </c>
      <c r="F216">
        <v>0</v>
      </c>
      <c r="G216" s="8">
        <f t="shared" si="51"/>
        <v>240</v>
      </c>
      <c r="K216">
        <v>1</v>
      </c>
      <c r="L216">
        <f t="shared" si="48"/>
        <v>115067</v>
      </c>
      <c r="M216">
        <v>1506</v>
      </c>
    </row>
    <row r="217" spans="1:13" x14ac:dyDescent="0.15">
      <c r="A217" s="6">
        <v>515068</v>
      </c>
      <c r="B217" t="str">
        <f>VLOOKUP(INT(MOD(A217,100000)/10),[1]地图配置辅助表!$A$3:$E$229,4,FALSE)</f>
        <v>挑战Boss-巴闭</v>
      </c>
      <c r="C217" s="71" t="s">
        <v>994</v>
      </c>
      <c r="D217">
        <f>VLOOKUP(INT(MOD(A217,100000)/10),[1]地图配置辅助表!$A$3:$E$229,5,FALSE)</f>
        <v>12</v>
      </c>
      <c r="E217">
        <v>0</v>
      </c>
      <c r="F217">
        <v>0</v>
      </c>
      <c r="G217" s="8">
        <f t="shared" si="51"/>
        <v>240</v>
      </c>
      <c r="K217">
        <v>1</v>
      </c>
      <c r="L217">
        <f t="shared" si="48"/>
        <v>115068</v>
      </c>
      <c r="M217">
        <v>1506</v>
      </c>
    </row>
    <row r="218" spans="1:13" x14ac:dyDescent="0.15">
      <c r="A218" s="6">
        <v>515069</v>
      </c>
      <c r="B218" t="str">
        <f>VLOOKUP(INT(MOD(A218,100000)/10),[1]地图配置辅助表!$A$3:$E$229,4,FALSE)</f>
        <v>挑战Boss-巴闭</v>
      </c>
      <c r="C218" s="71" t="s">
        <v>995</v>
      </c>
      <c r="D218">
        <f>VLOOKUP(INT(MOD(A218,100000)/10),[1]地图配置辅助表!$A$3:$E$229,5,FALSE)</f>
        <v>12</v>
      </c>
      <c r="E218">
        <v>0</v>
      </c>
      <c r="F218">
        <v>0</v>
      </c>
      <c r="G218" s="8">
        <f t="shared" si="51"/>
        <v>240</v>
      </c>
      <c r="K218">
        <v>1</v>
      </c>
      <c r="L218">
        <f t="shared" si="48"/>
        <v>115069</v>
      </c>
      <c r="M218">
        <v>1506</v>
      </c>
    </row>
    <row r="219" spans="1:13" x14ac:dyDescent="0.15">
      <c r="A219" s="6">
        <v>515070</v>
      </c>
      <c r="B219" t="str">
        <f>VLOOKUP(INT(MOD(A219,100000)/10),[1]地图配置辅助表!$A$3:$E$229,4,FALSE)</f>
        <v>挑战Boss-赌王</v>
      </c>
      <c r="C219" s="70">
        <v>2</v>
      </c>
      <c r="D219">
        <f>VLOOKUP(INT(MOD(A219,100000)/10),[1]地图配置辅助表!$A$3:$E$229,5,FALSE)</f>
        <v>36</v>
      </c>
      <c r="E219">
        <v>0</v>
      </c>
      <c r="F219">
        <v>0</v>
      </c>
      <c r="G219" s="8">
        <f t="shared" si="51"/>
        <v>720</v>
      </c>
      <c r="K219">
        <v>1</v>
      </c>
      <c r="L219">
        <f t="shared" si="48"/>
        <v>115070</v>
      </c>
      <c r="M219">
        <v>1507</v>
      </c>
    </row>
    <row r="220" spans="1:13" x14ac:dyDescent="0.15">
      <c r="A220" s="6">
        <v>515071</v>
      </c>
      <c r="B220" t="str">
        <f>VLOOKUP(INT(MOD(A220,100000)/10),[1]地图配置辅助表!$A$3:$E$229,4,FALSE)</f>
        <v>挑战Boss-赌王</v>
      </c>
      <c r="C220" s="71" t="s">
        <v>981</v>
      </c>
      <c r="D220">
        <f>VLOOKUP(INT(MOD(A220,100000)/10),[1]地图配置辅助表!$A$3:$E$229,5,FALSE)</f>
        <v>36</v>
      </c>
      <c r="E220">
        <v>0</v>
      </c>
      <c r="F220">
        <v>0</v>
      </c>
      <c r="G220" s="8">
        <f t="shared" si="51"/>
        <v>720</v>
      </c>
      <c r="K220">
        <v>1</v>
      </c>
      <c r="L220">
        <f t="shared" si="48"/>
        <v>115071</v>
      </c>
      <c r="M220">
        <v>1507</v>
      </c>
    </row>
    <row r="221" spans="1:13" x14ac:dyDescent="0.15">
      <c r="A221" s="6">
        <v>515072</v>
      </c>
      <c r="B221" t="str">
        <f>VLOOKUP(INT(MOD(A221,100000)/10),[1]地图配置辅助表!$A$3:$E$229,4,FALSE)</f>
        <v>挑战Boss-赌王</v>
      </c>
      <c r="C221" s="71" t="s">
        <v>982</v>
      </c>
      <c r="D221">
        <f>VLOOKUP(INT(MOD(A221,100000)/10),[1]地图配置辅助表!$A$3:$E$229,5,FALSE)</f>
        <v>36</v>
      </c>
      <c r="E221">
        <v>0</v>
      </c>
      <c r="F221">
        <v>0</v>
      </c>
      <c r="G221" s="8">
        <f t="shared" si="51"/>
        <v>720</v>
      </c>
      <c r="K221">
        <v>1</v>
      </c>
      <c r="L221">
        <f t="shared" si="48"/>
        <v>115072</v>
      </c>
      <c r="M221">
        <v>1507</v>
      </c>
    </row>
    <row r="222" spans="1:13" x14ac:dyDescent="0.15">
      <c r="A222" s="6">
        <v>515073</v>
      </c>
      <c r="B222" t="str">
        <f>VLOOKUP(INT(MOD(A222,100000)/10),[1]地图配置辅助表!$A$3:$E$229,4,FALSE)</f>
        <v>挑战Boss-赌王</v>
      </c>
      <c r="C222" s="71" t="s">
        <v>983</v>
      </c>
      <c r="D222">
        <f>VLOOKUP(INT(MOD(A222,100000)/10),[1]地图配置辅助表!$A$3:$E$229,5,FALSE)</f>
        <v>36</v>
      </c>
      <c r="E222">
        <v>0</v>
      </c>
      <c r="F222">
        <v>0</v>
      </c>
      <c r="G222" s="8">
        <f t="shared" si="51"/>
        <v>720</v>
      </c>
      <c r="K222">
        <v>1</v>
      </c>
      <c r="L222">
        <f t="shared" si="48"/>
        <v>115073</v>
      </c>
      <c r="M222">
        <v>1507</v>
      </c>
    </row>
    <row r="223" spans="1:13" x14ac:dyDescent="0.15">
      <c r="A223" s="6">
        <v>515074</v>
      </c>
      <c r="B223" t="str">
        <f>VLOOKUP(INT(MOD(A223,100000)/10),[1]地图配置辅助表!$A$3:$E$229,4,FALSE)</f>
        <v>挑战Boss-赌王</v>
      </c>
      <c r="C223" s="71" t="s">
        <v>984</v>
      </c>
      <c r="D223">
        <f>VLOOKUP(INT(MOD(A223,100000)/10),[1]地图配置辅助表!$A$3:$E$229,5,FALSE)</f>
        <v>36</v>
      </c>
      <c r="E223">
        <v>0</v>
      </c>
      <c r="F223">
        <v>0</v>
      </c>
      <c r="G223" s="8">
        <f t="shared" si="51"/>
        <v>720</v>
      </c>
      <c r="K223">
        <v>1</v>
      </c>
      <c r="L223">
        <f t="shared" si="48"/>
        <v>115074</v>
      </c>
      <c r="M223">
        <v>1507</v>
      </c>
    </row>
    <row r="224" spans="1:13" x14ac:dyDescent="0.15">
      <c r="A224" s="6">
        <v>515075</v>
      </c>
      <c r="B224" t="str">
        <f>VLOOKUP(INT(MOD(A224,100000)/10),[1]地图配置辅助表!$A$3:$E$229,4,FALSE)</f>
        <v>挑战Boss-赌王</v>
      </c>
      <c r="C224" s="71" t="s">
        <v>984</v>
      </c>
      <c r="D224">
        <f>VLOOKUP(INT(MOD(A224,100000)/10),[1]地图配置辅助表!$A$3:$E$229,5,FALSE)</f>
        <v>36</v>
      </c>
      <c r="E224">
        <v>0</v>
      </c>
      <c r="F224">
        <v>0</v>
      </c>
      <c r="G224" s="8">
        <f t="shared" si="51"/>
        <v>720</v>
      </c>
      <c r="K224">
        <v>1</v>
      </c>
      <c r="L224">
        <f t="shared" ref="L224:L287" si="52">A224-400000</f>
        <v>115075</v>
      </c>
      <c r="M224">
        <v>1507</v>
      </c>
    </row>
    <row r="225" spans="1:13" x14ac:dyDescent="0.15">
      <c r="A225" s="6">
        <v>515076</v>
      </c>
      <c r="B225" t="str">
        <f>VLOOKUP(INT(MOD(A225,100000)/10),[1]地图配置辅助表!$A$3:$E$229,4,FALSE)</f>
        <v>挑战Boss-赌王</v>
      </c>
      <c r="C225" s="71" t="s">
        <v>985</v>
      </c>
      <c r="D225">
        <f>VLOOKUP(INT(MOD(A225,100000)/10),[1]地图配置辅助表!$A$3:$E$229,5,FALSE)</f>
        <v>36</v>
      </c>
      <c r="E225">
        <v>0</v>
      </c>
      <c r="F225">
        <v>0</v>
      </c>
      <c r="G225" s="8">
        <f t="shared" si="51"/>
        <v>720</v>
      </c>
      <c r="K225">
        <v>1</v>
      </c>
      <c r="L225">
        <f t="shared" si="52"/>
        <v>115076</v>
      </c>
      <c r="M225">
        <v>1507</v>
      </c>
    </row>
    <row r="226" spans="1:13" x14ac:dyDescent="0.15">
      <c r="A226" s="6">
        <v>515077</v>
      </c>
      <c r="B226" t="str">
        <f>VLOOKUP(INT(MOD(A226,100000)/10),[1]地图配置辅助表!$A$3:$E$229,4,FALSE)</f>
        <v>挑战Boss-赌王</v>
      </c>
      <c r="C226" s="71" t="s">
        <v>986</v>
      </c>
      <c r="D226">
        <f>VLOOKUP(INT(MOD(A226,100000)/10),[1]地图配置辅助表!$A$3:$E$229,5,FALSE)</f>
        <v>36</v>
      </c>
      <c r="E226">
        <v>0</v>
      </c>
      <c r="F226">
        <v>0</v>
      </c>
      <c r="G226" s="8">
        <f t="shared" si="51"/>
        <v>720</v>
      </c>
      <c r="K226">
        <v>1</v>
      </c>
      <c r="L226">
        <f t="shared" si="52"/>
        <v>115077</v>
      </c>
      <c r="M226">
        <v>1507</v>
      </c>
    </row>
    <row r="227" spans="1:13" x14ac:dyDescent="0.15">
      <c r="A227" s="6">
        <v>515078</v>
      </c>
      <c r="B227" t="str">
        <f>VLOOKUP(INT(MOD(A227,100000)/10),[1]地图配置辅助表!$A$3:$E$229,4,FALSE)</f>
        <v>挑战Boss-赌王</v>
      </c>
      <c r="C227" s="71" t="s">
        <v>987</v>
      </c>
      <c r="D227">
        <f>VLOOKUP(INT(MOD(A227,100000)/10),[1]地图配置辅助表!$A$3:$E$229,5,FALSE)</f>
        <v>36</v>
      </c>
      <c r="E227">
        <v>0</v>
      </c>
      <c r="F227">
        <v>0</v>
      </c>
      <c r="G227" s="8">
        <f t="shared" si="51"/>
        <v>720</v>
      </c>
      <c r="K227">
        <v>1</v>
      </c>
      <c r="L227">
        <f t="shared" si="52"/>
        <v>115078</v>
      </c>
      <c r="M227">
        <v>1507</v>
      </c>
    </row>
    <row r="228" spans="1:13" x14ac:dyDescent="0.15">
      <c r="A228" s="6">
        <v>515079</v>
      </c>
      <c r="B228" t="str">
        <f>VLOOKUP(INT(MOD(A228,100000)/10),[1]地图配置辅助表!$A$3:$E$229,4,FALSE)</f>
        <v>挑战Boss-赌王</v>
      </c>
      <c r="C228" s="71" t="s">
        <v>988</v>
      </c>
      <c r="D228">
        <f>VLOOKUP(INT(MOD(A228,100000)/10),[1]地图配置辅助表!$A$3:$E$229,5,FALSE)</f>
        <v>36</v>
      </c>
      <c r="E228">
        <v>0</v>
      </c>
      <c r="F228">
        <v>0</v>
      </c>
      <c r="G228" s="8">
        <f t="shared" si="51"/>
        <v>720</v>
      </c>
      <c r="K228">
        <v>1</v>
      </c>
      <c r="L228">
        <f t="shared" si="52"/>
        <v>115079</v>
      </c>
      <c r="M228">
        <v>1507</v>
      </c>
    </row>
    <row r="229" spans="1:13" x14ac:dyDescent="0.15">
      <c r="A229" s="6">
        <v>515080</v>
      </c>
      <c r="B229" t="str">
        <f>VLOOKUP(INT(MOD(A229,100000)/10),[1]地图配置辅助表!$A$3:$E$229,4,FALSE)</f>
        <v>挑战Boss-乌鸦</v>
      </c>
      <c r="C229" s="70">
        <v>2</v>
      </c>
      <c r="D229">
        <f>VLOOKUP(INT(MOD(A229,100000)/10),[1]地图配置辅助表!$A$3:$E$229,5,FALSE)</f>
        <v>36</v>
      </c>
      <c r="E229">
        <v>0</v>
      </c>
      <c r="F229">
        <v>0</v>
      </c>
      <c r="G229" s="8">
        <f t="shared" ref="G229:G268" si="53">D229*$Q$2</f>
        <v>720</v>
      </c>
      <c r="K229">
        <v>1</v>
      </c>
      <c r="L229">
        <f t="shared" si="52"/>
        <v>115080</v>
      </c>
      <c r="M229">
        <v>1508</v>
      </c>
    </row>
    <row r="230" spans="1:13" x14ac:dyDescent="0.15">
      <c r="A230" s="6">
        <v>515081</v>
      </c>
      <c r="B230" t="str">
        <f>VLOOKUP(INT(MOD(A230,100000)/10),[1]地图配置辅助表!$A$3:$E$229,4,FALSE)</f>
        <v>挑战Boss-乌鸦</v>
      </c>
      <c r="C230" s="71" t="s">
        <v>981</v>
      </c>
      <c r="D230">
        <f>VLOOKUP(INT(MOD(A230,100000)/10),[1]地图配置辅助表!$A$3:$E$229,5,FALSE)</f>
        <v>36</v>
      </c>
      <c r="E230">
        <v>0</v>
      </c>
      <c r="F230">
        <v>0</v>
      </c>
      <c r="G230" s="8">
        <f t="shared" si="53"/>
        <v>720</v>
      </c>
      <c r="K230">
        <v>1</v>
      </c>
      <c r="L230">
        <f t="shared" si="52"/>
        <v>115081</v>
      </c>
      <c r="M230">
        <v>1508</v>
      </c>
    </row>
    <row r="231" spans="1:13" x14ac:dyDescent="0.15">
      <c r="A231" s="6">
        <v>515082</v>
      </c>
      <c r="B231" t="str">
        <f>VLOOKUP(INT(MOD(A231,100000)/10),[1]地图配置辅助表!$A$3:$E$229,4,FALSE)</f>
        <v>挑战Boss-乌鸦</v>
      </c>
      <c r="C231" s="71" t="s">
        <v>982</v>
      </c>
      <c r="D231">
        <f>VLOOKUP(INT(MOD(A231,100000)/10),[1]地图配置辅助表!$A$3:$E$229,5,FALSE)</f>
        <v>36</v>
      </c>
      <c r="E231">
        <v>0</v>
      </c>
      <c r="F231">
        <v>0</v>
      </c>
      <c r="G231" s="8">
        <f t="shared" si="53"/>
        <v>720</v>
      </c>
      <c r="K231">
        <v>1</v>
      </c>
      <c r="L231">
        <f t="shared" si="52"/>
        <v>115082</v>
      </c>
      <c r="M231">
        <v>1508</v>
      </c>
    </row>
    <row r="232" spans="1:13" x14ac:dyDescent="0.15">
      <c r="A232" s="6">
        <v>515083</v>
      </c>
      <c r="B232" t="str">
        <f>VLOOKUP(INT(MOD(A232,100000)/10),[1]地图配置辅助表!$A$3:$E$229,4,FALSE)</f>
        <v>挑战Boss-乌鸦</v>
      </c>
      <c r="C232" s="71" t="s">
        <v>983</v>
      </c>
      <c r="D232">
        <f>VLOOKUP(INT(MOD(A232,100000)/10),[1]地图配置辅助表!$A$3:$E$229,5,FALSE)</f>
        <v>36</v>
      </c>
      <c r="E232">
        <v>0</v>
      </c>
      <c r="F232">
        <v>0</v>
      </c>
      <c r="G232" s="8">
        <f t="shared" si="53"/>
        <v>720</v>
      </c>
      <c r="K232">
        <v>1</v>
      </c>
      <c r="L232">
        <f t="shared" si="52"/>
        <v>115083</v>
      </c>
      <c r="M232">
        <v>1508</v>
      </c>
    </row>
    <row r="233" spans="1:13" x14ac:dyDescent="0.15">
      <c r="A233" s="6">
        <v>515084</v>
      </c>
      <c r="B233" t="str">
        <f>VLOOKUP(INT(MOD(A233,100000)/10),[1]地图配置辅助表!$A$3:$E$229,4,FALSE)</f>
        <v>挑战Boss-乌鸦</v>
      </c>
      <c r="C233" s="71" t="s">
        <v>984</v>
      </c>
      <c r="D233">
        <f>VLOOKUP(INT(MOD(A233,100000)/10),[1]地图配置辅助表!$A$3:$E$229,5,FALSE)</f>
        <v>36</v>
      </c>
      <c r="E233">
        <v>0</v>
      </c>
      <c r="F233">
        <v>0</v>
      </c>
      <c r="G233" s="8">
        <f t="shared" si="53"/>
        <v>720</v>
      </c>
      <c r="K233">
        <v>1</v>
      </c>
      <c r="L233">
        <f t="shared" si="52"/>
        <v>115084</v>
      </c>
      <c r="M233">
        <v>1508</v>
      </c>
    </row>
    <row r="234" spans="1:13" x14ac:dyDescent="0.15">
      <c r="A234" s="6">
        <v>515085</v>
      </c>
      <c r="B234" t="str">
        <f>VLOOKUP(INT(MOD(A234,100000)/10),[1]地图配置辅助表!$A$3:$E$229,4,FALSE)</f>
        <v>挑战Boss-乌鸦</v>
      </c>
      <c r="C234" s="71" t="s">
        <v>984</v>
      </c>
      <c r="D234">
        <f>VLOOKUP(INT(MOD(A234,100000)/10),[1]地图配置辅助表!$A$3:$E$229,5,FALSE)</f>
        <v>36</v>
      </c>
      <c r="E234">
        <v>0</v>
      </c>
      <c r="F234">
        <v>0</v>
      </c>
      <c r="G234" s="8">
        <f t="shared" si="53"/>
        <v>720</v>
      </c>
      <c r="K234">
        <v>1</v>
      </c>
      <c r="L234">
        <f t="shared" si="52"/>
        <v>115085</v>
      </c>
      <c r="M234">
        <v>1508</v>
      </c>
    </row>
    <row r="235" spans="1:13" x14ac:dyDescent="0.15">
      <c r="A235" s="6">
        <v>515086</v>
      </c>
      <c r="B235" t="str">
        <f>VLOOKUP(INT(MOD(A235,100000)/10),[1]地图配置辅助表!$A$3:$E$229,4,FALSE)</f>
        <v>挑战Boss-乌鸦</v>
      </c>
      <c r="C235" s="71" t="s">
        <v>985</v>
      </c>
      <c r="D235">
        <f>VLOOKUP(INT(MOD(A235,100000)/10),[1]地图配置辅助表!$A$3:$E$229,5,FALSE)</f>
        <v>36</v>
      </c>
      <c r="E235">
        <v>0</v>
      </c>
      <c r="F235">
        <v>0</v>
      </c>
      <c r="G235" s="8">
        <f t="shared" si="53"/>
        <v>720</v>
      </c>
      <c r="K235">
        <v>1</v>
      </c>
      <c r="L235">
        <f t="shared" si="52"/>
        <v>115086</v>
      </c>
      <c r="M235">
        <v>1508</v>
      </c>
    </row>
    <row r="236" spans="1:13" x14ac:dyDescent="0.15">
      <c r="A236" s="6">
        <v>515087</v>
      </c>
      <c r="B236" t="str">
        <f>VLOOKUP(INT(MOD(A236,100000)/10),[1]地图配置辅助表!$A$3:$E$229,4,FALSE)</f>
        <v>挑战Boss-乌鸦</v>
      </c>
      <c r="C236" s="71" t="s">
        <v>986</v>
      </c>
      <c r="D236">
        <f>VLOOKUP(INT(MOD(A236,100000)/10),[1]地图配置辅助表!$A$3:$E$229,5,FALSE)</f>
        <v>36</v>
      </c>
      <c r="E236">
        <v>0</v>
      </c>
      <c r="F236">
        <v>0</v>
      </c>
      <c r="G236" s="8">
        <f t="shared" si="53"/>
        <v>720</v>
      </c>
      <c r="K236">
        <v>1</v>
      </c>
      <c r="L236">
        <f t="shared" si="52"/>
        <v>115087</v>
      </c>
      <c r="M236">
        <v>1508</v>
      </c>
    </row>
    <row r="237" spans="1:13" x14ac:dyDescent="0.15">
      <c r="A237" s="6">
        <v>515088</v>
      </c>
      <c r="B237" t="str">
        <f>VLOOKUP(INT(MOD(A237,100000)/10),[1]地图配置辅助表!$A$3:$E$229,4,FALSE)</f>
        <v>挑战Boss-乌鸦</v>
      </c>
      <c r="C237" s="71" t="s">
        <v>987</v>
      </c>
      <c r="D237">
        <f>VLOOKUP(INT(MOD(A237,100000)/10),[1]地图配置辅助表!$A$3:$E$229,5,FALSE)</f>
        <v>36</v>
      </c>
      <c r="E237">
        <v>0</v>
      </c>
      <c r="F237">
        <v>0</v>
      </c>
      <c r="G237" s="8">
        <f t="shared" si="53"/>
        <v>720</v>
      </c>
      <c r="K237">
        <v>1</v>
      </c>
      <c r="L237">
        <f t="shared" si="52"/>
        <v>115088</v>
      </c>
      <c r="M237">
        <v>1508</v>
      </c>
    </row>
    <row r="238" spans="1:13" x14ac:dyDescent="0.15">
      <c r="A238" s="6">
        <v>515089</v>
      </c>
      <c r="B238" t="str">
        <f>VLOOKUP(INT(MOD(A238,100000)/10),[1]地图配置辅助表!$A$3:$E$229,4,FALSE)</f>
        <v>挑战Boss-乌鸦</v>
      </c>
      <c r="C238" s="71" t="s">
        <v>988</v>
      </c>
      <c r="D238">
        <f>VLOOKUP(INT(MOD(A238,100000)/10),[1]地图配置辅助表!$A$3:$E$229,5,FALSE)</f>
        <v>36</v>
      </c>
      <c r="E238">
        <v>0</v>
      </c>
      <c r="F238">
        <v>0</v>
      </c>
      <c r="G238" s="8">
        <f t="shared" si="53"/>
        <v>720</v>
      </c>
      <c r="K238">
        <v>1</v>
      </c>
      <c r="L238">
        <f t="shared" si="52"/>
        <v>115089</v>
      </c>
      <c r="M238">
        <v>1508</v>
      </c>
    </row>
    <row r="239" spans="1:13" x14ac:dyDescent="0.15">
      <c r="A239" s="6">
        <v>515090</v>
      </c>
      <c r="B239" t="str">
        <f>VLOOKUP(INT(MOD(A239,100000)/10),[1]地图配置辅助表!$A$3:$E$229,4,FALSE)</f>
        <v>挑战Boss-山下忠秀</v>
      </c>
      <c r="C239" s="70">
        <v>2</v>
      </c>
      <c r="D239">
        <f>VLOOKUP(INT(MOD(A239,100000)/10),[1]地图配置辅助表!$A$3:$E$229,5,FALSE)</f>
        <v>36</v>
      </c>
      <c r="E239">
        <v>0</v>
      </c>
      <c r="F239">
        <v>0</v>
      </c>
      <c r="G239" s="8">
        <f t="shared" si="53"/>
        <v>720</v>
      </c>
      <c r="K239">
        <v>1</v>
      </c>
      <c r="L239">
        <f t="shared" si="52"/>
        <v>115090</v>
      </c>
      <c r="M239">
        <v>1509</v>
      </c>
    </row>
    <row r="240" spans="1:13" x14ac:dyDescent="0.15">
      <c r="A240" s="6">
        <v>515091</v>
      </c>
      <c r="B240" t="str">
        <f>VLOOKUP(INT(MOD(A240,100000)/10),[1]地图配置辅助表!$A$3:$E$229,4,FALSE)</f>
        <v>挑战Boss-山下忠秀</v>
      </c>
      <c r="C240" s="71" t="s">
        <v>981</v>
      </c>
      <c r="D240">
        <f>VLOOKUP(INT(MOD(A240,100000)/10),[1]地图配置辅助表!$A$3:$E$229,5,FALSE)</f>
        <v>36</v>
      </c>
      <c r="E240">
        <v>0</v>
      </c>
      <c r="F240">
        <v>0</v>
      </c>
      <c r="G240" s="8">
        <f t="shared" si="53"/>
        <v>720</v>
      </c>
      <c r="K240">
        <v>1</v>
      </c>
      <c r="L240">
        <f t="shared" si="52"/>
        <v>115091</v>
      </c>
      <c r="M240">
        <v>1509</v>
      </c>
    </row>
    <row r="241" spans="1:13" x14ac:dyDescent="0.15">
      <c r="A241" s="6">
        <v>515092</v>
      </c>
      <c r="B241" t="str">
        <f>VLOOKUP(INT(MOD(A241,100000)/10),[1]地图配置辅助表!$A$3:$E$229,4,FALSE)</f>
        <v>挑战Boss-山下忠秀</v>
      </c>
      <c r="C241" s="71" t="s">
        <v>982</v>
      </c>
      <c r="D241">
        <f>VLOOKUP(INT(MOD(A241,100000)/10),[1]地图配置辅助表!$A$3:$E$229,5,FALSE)</f>
        <v>36</v>
      </c>
      <c r="E241">
        <v>0</v>
      </c>
      <c r="F241">
        <v>0</v>
      </c>
      <c r="G241" s="8">
        <f t="shared" si="53"/>
        <v>720</v>
      </c>
      <c r="K241">
        <v>1</v>
      </c>
      <c r="L241">
        <f t="shared" si="52"/>
        <v>115092</v>
      </c>
      <c r="M241">
        <v>1509</v>
      </c>
    </row>
    <row r="242" spans="1:13" x14ac:dyDescent="0.15">
      <c r="A242" s="6">
        <v>515093</v>
      </c>
      <c r="B242" t="str">
        <f>VLOOKUP(INT(MOD(A242,100000)/10),[1]地图配置辅助表!$A$3:$E$229,4,FALSE)</f>
        <v>挑战Boss-山下忠秀</v>
      </c>
      <c r="C242" s="71" t="s">
        <v>983</v>
      </c>
      <c r="D242">
        <f>VLOOKUP(INT(MOD(A242,100000)/10),[1]地图配置辅助表!$A$3:$E$229,5,FALSE)</f>
        <v>36</v>
      </c>
      <c r="E242">
        <v>0</v>
      </c>
      <c r="F242">
        <v>0</v>
      </c>
      <c r="G242" s="8">
        <f t="shared" si="53"/>
        <v>720</v>
      </c>
      <c r="K242">
        <v>1</v>
      </c>
      <c r="L242">
        <f t="shared" si="52"/>
        <v>115093</v>
      </c>
      <c r="M242">
        <v>1509</v>
      </c>
    </row>
    <row r="243" spans="1:13" x14ac:dyDescent="0.15">
      <c r="A243" s="6">
        <v>515094</v>
      </c>
      <c r="B243" t="str">
        <f>VLOOKUP(INT(MOD(A243,100000)/10),[1]地图配置辅助表!$A$3:$E$229,4,FALSE)</f>
        <v>挑战Boss-山下忠秀</v>
      </c>
      <c r="C243" s="71" t="s">
        <v>984</v>
      </c>
      <c r="D243">
        <f>VLOOKUP(INT(MOD(A243,100000)/10),[1]地图配置辅助表!$A$3:$E$229,5,FALSE)</f>
        <v>36</v>
      </c>
      <c r="E243">
        <v>0</v>
      </c>
      <c r="F243">
        <v>0</v>
      </c>
      <c r="G243" s="8">
        <f t="shared" si="53"/>
        <v>720</v>
      </c>
      <c r="K243">
        <v>1</v>
      </c>
      <c r="L243">
        <f t="shared" si="52"/>
        <v>115094</v>
      </c>
      <c r="M243">
        <v>1509</v>
      </c>
    </row>
    <row r="244" spans="1:13" x14ac:dyDescent="0.15">
      <c r="A244" s="6">
        <v>515095</v>
      </c>
      <c r="B244" t="str">
        <f>VLOOKUP(INT(MOD(A244,100000)/10),[1]地图配置辅助表!$A$3:$E$229,4,FALSE)</f>
        <v>挑战Boss-山下忠秀</v>
      </c>
      <c r="C244" s="71" t="s">
        <v>984</v>
      </c>
      <c r="D244">
        <f>VLOOKUP(INT(MOD(A244,100000)/10),[1]地图配置辅助表!$A$3:$E$229,5,FALSE)</f>
        <v>36</v>
      </c>
      <c r="E244">
        <v>0</v>
      </c>
      <c r="F244">
        <v>0</v>
      </c>
      <c r="G244" s="8">
        <f t="shared" si="53"/>
        <v>720</v>
      </c>
      <c r="K244">
        <v>1</v>
      </c>
      <c r="L244">
        <f t="shared" si="52"/>
        <v>115095</v>
      </c>
      <c r="M244">
        <v>1509</v>
      </c>
    </row>
    <row r="245" spans="1:13" x14ac:dyDescent="0.15">
      <c r="A245" s="6">
        <v>515096</v>
      </c>
      <c r="B245" t="str">
        <f>VLOOKUP(INT(MOD(A245,100000)/10),[1]地图配置辅助表!$A$3:$E$229,4,FALSE)</f>
        <v>挑战Boss-山下忠秀</v>
      </c>
      <c r="C245" s="71" t="s">
        <v>985</v>
      </c>
      <c r="D245">
        <f>VLOOKUP(INT(MOD(A245,100000)/10),[1]地图配置辅助表!$A$3:$E$229,5,FALSE)</f>
        <v>36</v>
      </c>
      <c r="E245">
        <v>0</v>
      </c>
      <c r="F245">
        <v>0</v>
      </c>
      <c r="G245" s="8">
        <f t="shared" si="53"/>
        <v>720</v>
      </c>
      <c r="K245">
        <v>1</v>
      </c>
      <c r="L245">
        <f t="shared" si="52"/>
        <v>115096</v>
      </c>
      <c r="M245">
        <v>1509</v>
      </c>
    </row>
    <row r="246" spans="1:13" x14ac:dyDescent="0.15">
      <c r="A246" s="6">
        <v>515097</v>
      </c>
      <c r="B246" t="str">
        <f>VLOOKUP(INT(MOD(A246,100000)/10),[1]地图配置辅助表!$A$3:$E$229,4,FALSE)</f>
        <v>挑战Boss-山下忠秀</v>
      </c>
      <c r="C246" s="71" t="s">
        <v>986</v>
      </c>
      <c r="D246">
        <f>VLOOKUP(INT(MOD(A246,100000)/10),[1]地图配置辅助表!$A$3:$E$229,5,FALSE)</f>
        <v>36</v>
      </c>
      <c r="E246">
        <v>0</v>
      </c>
      <c r="F246">
        <v>0</v>
      </c>
      <c r="G246" s="8">
        <f t="shared" si="53"/>
        <v>720</v>
      </c>
      <c r="K246">
        <v>1</v>
      </c>
      <c r="L246">
        <f t="shared" si="52"/>
        <v>115097</v>
      </c>
      <c r="M246">
        <v>1509</v>
      </c>
    </row>
    <row r="247" spans="1:13" x14ac:dyDescent="0.15">
      <c r="A247" s="6">
        <v>515098</v>
      </c>
      <c r="B247" t="str">
        <f>VLOOKUP(INT(MOD(A247,100000)/10),[1]地图配置辅助表!$A$3:$E$229,4,FALSE)</f>
        <v>挑战Boss-山下忠秀</v>
      </c>
      <c r="C247" s="71" t="s">
        <v>987</v>
      </c>
      <c r="D247">
        <f>VLOOKUP(INT(MOD(A247,100000)/10),[1]地图配置辅助表!$A$3:$E$229,5,FALSE)</f>
        <v>36</v>
      </c>
      <c r="E247">
        <v>0</v>
      </c>
      <c r="F247">
        <v>0</v>
      </c>
      <c r="G247" s="8">
        <f t="shared" si="53"/>
        <v>720</v>
      </c>
      <c r="K247">
        <v>1</v>
      </c>
      <c r="L247">
        <f t="shared" si="52"/>
        <v>115098</v>
      </c>
      <c r="M247">
        <v>1509</v>
      </c>
    </row>
    <row r="248" spans="1:13" x14ac:dyDescent="0.15">
      <c r="A248" s="6">
        <v>515099</v>
      </c>
      <c r="B248" t="str">
        <f>VLOOKUP(INT(MOD(A248,100000)/10),[1]地图配置辅助表!$A$3:$E$229,4,FALSE)</f>
        <v>挑战Boss-山下忠秀</v>
      </c>
      <c r="C248" s="71" t="s">
        <v>988</v>
      </c>
      <c r="D248">
        <f>VLOOKUP(INT(MOD(A248,100000)/10),[1]地图配置辅助表!$A$3:$E$229,5,FALSE)</f>
        <v>36</v>
      </c>
      <c r="E248">
        <v>0</v>
      </c>
      <c r="F248">
        <v>0</v>
      </c>
      <c r="G248" s="8">
        <f t="shared" si="53"/>
        <v>720</v>
      </c>
      <c r="K248">
        <v>1</v>
      </c>
      <c r="L248">
        <f t="shared" si="52"/>
        <v>115099</v>
      </c>
      <c r="M248">
        <v>1509</v>
      </c>
    </row>
    <row r="249" spans="1:13" x14ac:dyDescent="0.15">
      <c r="A249" s="6">
        <v>515100</v>
      </c>
      <c r="B249" t="str">
        <f>VLOOKUP(INT(MOD(A249,100000)/10),[1]地图配置辅助表!$A$3:$E$229,4,FALSE)</f>
        <v>挑战Boss-宫本一</v>
      </c>
      <c r="C249" s="70">
        <v>2</v>
      </c>
      <c r="D249">
        <f>VLOOKUP(INT(MOD(A249,100000)/10),[1]地图配置辅助表!$A$3:$E$229,5,FALSE)</f>
        <v>36</v>
      </c>
      <c r="E249">
        <v>0</v>
      </c>
      <c r="F249">
        <v>0</v>
      </c>
      <c r="G249" s="8">
        <f t="shared" si="53"/>
        <v>720</v>
      </c>
      <c r="K249">
        <v>1</v>
      </c>
      <c r="L249">
        <f t="shared" si="52"/>
        <v>115100</v>
      </c>
      <c r="M249">
        <v>1510</v>
      </c>
    </row>
    <row r="250" spans="1:13" x14ac:dyDescent="0.15">
      <c r="A250" s="6">
        <v>515101</v>
      </c>
      <c r="B250" t="str">
        <f>VLOOKUP(INT(MOD(A250,100000)/10),[1]地图配置辅助表!$A$3:$E$229,4,FALSE)</f>
        <v>挑战Boss-宫本一</v>
      </c>
      <c r="C250" s="71" t="s">
        <v>981</v>
      </c>
      <c r="D250">
        <f>VLOOKUP(INT(MOD(A250,100000)/10),[1]地图配置辅助表!$A$3:$E$229,5,FALSE)</f>
        <v>36</v>
      </c>
      <c r="E250">
        <v>0</v>
      </c>
      <c r="F250">
        <v>0</v>
      </c>
      <c r="G250" s="8">
        <f t="shared" si="53"/>
        <v>720</v>
      </c>
      <c r="K250">
        <v>1</v>
      </c>
      <c r="L250">
        <f t="shared" si="52"/>
        <v>115101</v>
      </c>
      <c r="M250">
        <v>1510</v>
      </c>
    </row>
    <row r="251" spans="1:13" x14ac:dyDescent="0.15">
      <c r="A251" s="6">
        <v>515102</v>
      </c>
      <c r="B251" t="str">
        <f>VLOOKUP(INT(MOD(A251,100000)/10),[1]地图配置辅助表!$A$3:$E$229,4,FALSE)</f>
        <v>挑战Boss-宫本一</v>
      </c>
      <c r="C251" s="71" t="s">
        <v>982</v>
      </c>
      <c r="D251">
        <f>VLOOKUP(INT(MOD(A251,100000)/10),[1]地图配置辅助表!$A$3:$E$229,5,FALSE)</f>
        <v>36</v>
      </c>
      <c r="E251">
        <v>0</v>
      </c>
      <c r="F251">
        <v>0</v>
      </c>
      <c r="G251" s="8">
        <f t="shared" si="53"/>
        <v>720</v>
      </c>
      <c r="K251">
        <v>1</v>
      </c>
      <c r="L251">
        <f t="shared" si="52"/>
        <v>115102</v>
      </c>
      <c r="M251">
        <v>1510</v>
      </c>
    </row>
    <row r="252" spans="1:13" x14ac:dyDescent="0.15">
      <c r="A252" s="6">
        <v>515103</v>
      </c>
      <c r="B252" t="str">
        <f>VLOOKUP(INT(MOD(A252,100000)/10),[1]地图配置辅助表!$A$3:$E$229,4,FALSE)</f>
        <v>挑战Boss-宫本一</v>
      </c>
      <c r="C252" s="71" t="s">
        <v>983</v>
      </c>
      <c r="D252">
        <f>VLOOKUP(INT(MOD(A252,100000)/10),[1]地图配置辅助表!$A$3:$E$229,5,FALSE)</f>
        <v>36</v>
      </c>
      <c r="E252">
        <v>0</v>
      </c>
      <c r="F252">
        <v>0</v>
      </c>
      <c r="G252" s="8">
        <f t="shared" si="53"/>
        <v>720</v>
      </c>
      <c r="K252">
        <v>1</v>
      </c>
      <c r="L252">
        <f t="shared" si="52"/>
        <v>115103</v>
      </c>
      <c r="M252">
        <v>1510</v>
      </c>
    </row>
    <row r="253" spans="1:13" x14ac:dyDescent="0.15">
      <c r="A253" s="6">
        <v>515104</v>
      </c>
      <c r="B253" t="str">
        <f>VLOOKUP(INT(MOD(A253,100000)/10),[1]地图配置辅助表!$A$3:$E$229,4,FALSE)</f>
        <v>挑战Boss-宫本一</v>
      </c>
      <c r="C253" s="71" t="s">
        <v>984</v>
      </c>
      <c r="D253">
        <f>VLOOKUP(INT(MOD(A253,100000)/10),[1]地图配置辅助表!$A$3:$E$229,5,FALSE)</f>
        <v>36</v>
      </c>
      <c r="E253">
        <v>0</v>
      </c>
      <c r="F253">
        <v>0</v>
      </c>
      <c r="G253" s="8">
        <f t="shared" si="53"/>
        <v>720</v>
      </c>
      <c r="K253">
        <v>1</v>
      </c>
      <c r="L253">
        <f t="shared" si="52"/>
        <v>115104</v>
      </c>
      <c r="M253">
        <v>1510</v>
      </c>
    </row>
    <row r="254" spans="1:13" x14ac:dyDescent="0.15">
      <c r="A254" s="6">
        <v>515105</v>
      </c>
      <c r="B254" t="str">
        <f>VLOOKUP(INT(MOD(A254,100000)/10),[1]地图配置辅助表!$A$3:$E$229,4,FALSE)</f>
        <v>挑战Boss-宫本一</v>
      </c>
      <c r="C254" s="71" t="s">
        <v>984</v>
      </c>
      <c r="D254">
        <f>VLOOKUP(INT(MOD(A254,100000)/10),[1]地图配置辅助表!$A$3:$E$229,5,FALSE)</f>
        <v>36</v>
      </c>
      <c r="E254">
        <v>0</v>
      </c>
      <c r="F254">
        <v>0</v>
      </c>
      <c r="G254" s="8">
        <f t="shared" si="53"/>
        <v>720</v>
      </c>
      <c r="K254">
        <v>1</v>
      </c>
      <c r="L254">
        <f t="shared" si="52"/>
        <v>115105</v>
      </c>
      <c r="M254">
        <v>1510</v>
      </c>
    </row>
    <row r="255" spans="1:13" x14ac:dyDescent="0.15">
      <c r="A255" s="6">
        <v>515106</v>
      </c>
      <c r="B255" t="str">
        <f>VLOOKUP(INT(MOD(A255,100000)/10),[1]地图配置辅助表!$A$3:$E$229,4,FALSE)</f>
        <v>挑战Boss-宫本一</v>
      </c>
      <c r="C255" s="71" t="s">
        <v>985</v>
      </c>
      <c r="D255">
        <f>VLOOKUP(INT(MOD(A255,100000)/10),[1]地图配置辅助表!$A$3:$E$229,5,FALSE)</f>
        <v>36</v>
      </c>
      <c r="E255">
        <v>0</v>
      </c>
      <c r="F255">
        <v>0</v>
      </c>
      <c r="G255" s="8">
        <f t="shared" si="53"/>
        <v>720</v>
      </c>
      <c r="K255">
        <v>1</v>
      </c>
      <c r="L255">
        <f t="shared" si="52"/>
        <v>115106</v>
      </c>
      <c r="M255">
        <v>1510</v>
      </c>
    </row>
    <row r="256" spans="1:13" x14ac:dyDescent="0.15">
      <c r="A256" s="6">
        <v>515107</v>
      </c>
      <c r="B256" t="str">
        <f>VLOOKUP(INT(MOD(A256,100000)/10),[1]地图配置辅助表!$A$3:$E$229,4,FALSE)</f>
        <v>挑战Boss-宫本一</v>
      </c>
      <c r="C256" s="71" t="s">
        <v>986</v>
      </c>
      <c r="D256">
        <f>VLOOKUP(INT(MOD(A256,100000)/10),[1]地图配置辅助表!$A$3:$E$229,5,FALSE)</f>
        <v>36</v>
      </c>
      <c r="E256">
        <v>0</v>
      </c>
      <c r="F256">
        <v>0</v>
      </c>
      <c r="G256" s="8">
        <f t="shared" si="53"/>
        <v>720</v>
      </c>
      <c r="K256">
        <v>1</v>
      </c>
      <c r="L256">
        <f t="shared" si="52"/>
        <v>115107</v>
      </c>
      <c r="M256">
        <v>1510</v>
      </c>
    </row>
    <row r="257" spans="1:13" x14ac:dyDescent="0.15">
      <c r="A257" s="6">
        <v>515108</v>
      </c>
      <c r="B257" t="str">
        <f>VLOOKUP(INT(MOD(A257,100000)/10),[1]地图配置辅助表!$A$3:$E$229,4,FALSE)</f>
        <v>挑战Boss-宫本一</v>
      </c>
      <c r="C257" s="71" t="s">
        <v>987</v>
      </c>
      <c r="D257">
        <f>VLOOKUP(INT(MOD(A257,100000)/10),[1]地图配置辅助表!$A$3:$E$229,5,FALSE)</f>
        <v>36</v>
      </c>
      <c r="E257">
        <v>0</v>
      </c>
      <c r="F257">
        <v>0</v>
      </c>
      <c r="G257" s="8">
        <f t="shared" si="53"/>
        <v>720</v>
      </c>
      <c r="K257">
        <v>1</v>
      </c>
      <c r="L257">
        <f t="shared" si="52"/>
        <v>115108</v>
      </c>
      <c r="M257">
        <v>1510</v>
      </c>
    </row>
    <row r="258" spans="1:13" x14ac:dyDescent="0.15">
      <c r="A258" s="6">
        <v>515109</v>
      </c>
      <c r="B258" t="str">
        <f>VLOOKUP(INT(MOD(A258,100000)/10),[1]地图配置辅助表!$A$3:$E$229,4,FALSE)</f>
        <v>挑战Boss-宫本一</v>
      </c>
      <c r="C258" s="71" t="s">
        <v>988</v>
      </c>
      <c r="D258">
        <f>VLOOKUP(INT(MOD(A258,100000)/10),[1]地图配置辅助表!$A$3:$E$229,5,FALSE)</f>
        <v>36</v>
      </c>
      <c r="E258">
        <v>0</v>
      </c>
      <c r="F258">
        <v>0</v>
      </c>
      <c r="G258" s="8">
        <f t="shared" si="53"/>
        <v>720</v>
      </c>
      <c r="K258">
        <v>1</v>
      </c>
      <c r="L258">
        <f t="shared" si="52"/>
        <v>115109</v>
      </c>
      <c r="M258">
        <v>1510</v>
      </c>
    </row>
    <row r="259" spans="1:13" x14ac:dyDescent="0.15">
      <c r="A259" s="6">
        <v>515110</v>
      </c>
      <c r="B259" t="str">
        <f>VLOOKUP(INT(MOD(A259,100000)/10),[1]地图配置辅助表!$A$3:$E$229,4,FALSE)</f>
        <v>挑战Boss-笑面虎</v>
      </c>
      <c r="C259" s="70">
        <v>2</v>
      </c>
      <c r="D259">
        <f>VLOOKUP(INT(MOD(A259,100000)/10),[1]地图配置辅助表!$A$3:$E$229,5,FALSE)</f>
        <v>36</v>
      </c>
      <c r="E259">
        <v>0</v>
      </c>
      <c r="F259">
        <v>0</v>
      </c>
      <c r="G259" s="8">
        <f t="shared" si="53"/>
        <v>720</v>
      </c>
      <c r="K259">
        <v>1</v>
      </c>
      <c r="L259">
        <f t="shared" si="52"/>
        <v>115110</v>
      </c>
      <c r="M259">
        <v>1511</v>
      </c>
    </row>
    <row r="260" spans="1:13" x14ac:dyDescent="0.15">
      <c r="A260" s="6">
        <v>515111</v>
      </c>
      <c r="B260" t="str">
        <f>VLOOKUP(INT(MOD(A260,100000)/10),[1]地图配置辅助表!$A$3:$E$229,4,FALSE)</f>
        <v>挑战Boss-笑面虎</v>
      </c>
      <c r="C260" s="71" t="s">
        <v>981</v>
      </c>
      <c r="D260">
        <f>VLOOKUP(INT(MOD(A260,100000)/10),[1]地图配置辅助表!$A$3:$E$229,5,FALSE)</f>
        <v>36</v>
      </c>
      <c r="E260">
        <v>0</v>
      </c>
      <c r="F260">
        <v>0</v>
      </c>
      <c r="G260" s="8">
        <f t="shared" si="53"/>
        <v>720</v>
      </c>
      <c r="K260">
        <v>1</v>
      </c>
      <c r="L260">
        <f t="shared" si="52"/>
        <v>115111</v>
      </c>
      <c r="M260">
        <v>1511</v>
      </c>
    </row>
    <row r="261" spans="1:13" x14ac:dyDescent="0.15">
      <c r="A261" s="6">
        <v>515112</v>
      </c>
      <c r="B261" t="str">
        <f>VLOOKUP(INT(MOD(A261,100000)/10),[1]地图配置辅助表!$A$3:$E$229,4,FALSE)</f>
        <v>挑战Boss-笑面虎</v>
      </c>
      <c r="C261" s="71" t="s">
        <v>982</v>
      </c>
      <c r="D261">
        <f>VLOOKUP(INT(MOD(A261,100000)/10),[1]地图配置辅助表!$A$3:$E$229,5,FALSE)</f>
        <v>36</v>
      </c>
      <c r="E261">
        <v>0</v>
      </c>
      <c r="F261">
        <v>0</v>
      </c>
      <c r="G261" s="8">
        <f t="shared" si="53"/>
        <v>720</v>
      </c>
      <c r="K261">
        <v>1</v>
      </c>
      <c r="L261">
        <f t="shared" si="52"/>
        <v>115112</v>
      </c>
      <c r="M261">
        <v>1511</v>
      </c>
    </row>
    <row r="262" spans="1:13" x14ac:dyDescent="0.15">
      <c r="A262" s="6">
        <v>515113</v>
      </c>
      <c r="B262" t="str">
        <f>VLOOKUP(INT(MOD(A262,100000)/10),[1]地图配置辅助表!$A$3:$E$229,4,FALSE)</f>
        <v>挑战Boss-笑面虎</v>
      </c>
      <c r="C262" s="71" t="s">
        <v>983</v>
      </c>
      <c r="D262">
        <f>VLOOKUP(INT(MOD(A262,100000)/10),[1]地图配置辅助表!$A$3:$E$229,5,FALSE)</f>
        <v>36</v>
      </c>
      <c r="E262">
        <v>0</v>
      </c>
      <c r="F262">
        <v>0</v>
      </c>
      <c r="G262" s="8">
        <f t="shared" si="53"/>
        <v>720</v>
      </c>
      <c r="K262">
        <v>1</v>
      </c>
      <c r="L262">
        <f t="shared" si="52"/>
        <v>115113</v>
      </c>
      <c r="M262">
        <v>1511</v>
      </c>
    </row>
    <row r="263" spans="1:13" x14ac:dyDescent="0.15">
      <c r="A263" s="6">
        <v>515114</v>
      </c>
      <c r="B263" t="str">
        <f>VLOOKUP(INT(MOD(A263,100000)/10),[1]地图配置辅助表!$A$3:$E$229,4,FALSE)</f>
        <v>挑战Boss-笑面虎</v>
      </c>
      <c r="C263" s="71" t="s">
        <v>984</v>
      </c>
      <c r="D263">
        <f>VLOOKUP(INT(MOD(A263,100000)/10),[1]地图配置辅助表!$A$3:$E$229,5,FALSE)</f>
        <v>36</v>
      </c>
      <c r="E263">
        <v>0</v>
      </c>
      <c r="F263">
        <v>0</v>
      </c>
      <c r="G263" s="8">
        <f t="shared" si="53"/>
        <v>720</v>
      </c>
      <c r="K263">
        <v>1</v>
      </c>
      <c r="L263">
        <f t="shared" si="52"/>
        <v>115114</v>
      </c>
      <c r="M263">
        <v>1511</v>
      </c>
    </row>
    <row r="264" spans="1:13" x14ac:dyDescent="0.15">
      <c r="A264" s="6">
        <v>515115</v>
      </c>
      <c r="B264" t="str">
        <f>VLOOKUP(INT(MOD(A264,100000)/10),[1]地图配置辅助表!$A$3:$E$229,4,FALSE)</f>
        <v>挑战Boss-笑面虎</v>
      </c>
      <c r="C264" s="71" t="s">
        <v>984</v>
      </c>
      <c r="D264">
        <f>VLOOKUP(INT(MOD(A264,100000)/10),[1]地图配置辅助表!$A$3:$E$229,5,FALSE)</f>
        <v>36</v>
      </c>
      <c r="E264">
        <v>0</v>
      </c>
      <c r="F264">
        <v>0</v>
      </c>
      <c r="G264" s="8">
        <f t="shared" si="53"/>
        <v>720</v>
      </c>
      <c r="K264">
        <v>1</v>
      </c>
      <c r="L264">
        <f t="shared" si="52"/>
        <v>115115</v>
      </c>
      <c r="M264">
        <v>1511</v>
      </c>
    </row>
    <row r="265" spans="1:13" x14ac:dyDescent="0.15">
      <c r="A265" s="6">
        <v>515116</v>
      </c>
      <c r="B265" t="str">
        <f>VLOOKUP(INT(MOD(A265,100000)/10),[1]地图配置辅助表!$A$3:$E$229,4,FALSE)</f>
        <v>挑战Boss-笑面虎</v>
      </c>
      <c r="C265" s="71" t="s">
        <v>985</v>
      </c>
      <c r="D265">
        <f>VLOOKUP(INT(MOD(A265,100000)/10),[1]地图配置辅助表!$A$3:$E$229,5,FALSE)</f>
        <v>36</v>
      </c>
      <c r="E265">
        <v>0</v>
      </c>
      <c r="F265">
        <v>0</v>
      </c>
      <c r="G265" s="8">
        <f t="shared" si="53"/>
        <v>720</v>
      </c>
      <c r="K265">
        <v>1</v>
      </c>
      <c r="L265">
        <f t="shared" si="52"/>
        <v>115116</v>
      </c>
      <c r="M265">
        <v>1511</v>
      </c>
    </row>
    <row r="266" spans="1:13" x14ac:dyDescent="0.15">
      <c r="A266" s="6">
        <v>515117</v>
      </c>
      <c r="B266" t="str">
        <f>VLOOKUP(INT(MOD(A266,100000)/10),[1]地图配置辅助表!$A$3:$E$229,4,FALSE)</f>
        <v>挑战Boss-笑面虎</v>
      </c>
      <c r="C266" s="71" t="s">
        <v>986</v>
      </c>
      <c r="D266">
        <f>VLOOKUP(INT(MOD(A266,100000)/10),[1]地图配置辅助表!$A$3:$E$229,5,FALSE)</f>
        <v>36</v>
      </c>
      <c r="E266">
        <v>0</v>
      </c>
      <c r="F266">
        <v>0</v>
      </c>
      <c r="G266" s="8">
        <f t="shared" si="53"/>
        <v>720</v>
      </c>
      <c r="K266">
        <v>1</v>
      </c>
      <c r="L266">
        <f t="shared" si="52"/>
        <v>115117</v>
      </c>
      <c r="M266">
        <v>1511</v>
      </c>
    </row>
    <row r="267" spans="1:13" x14ac:dyDescent="0.15">
      <c r="A267" s="6">
        <v>515118</v>
      </c>
      <c r="B267" t="str">
        <f>VLOOKUP(INT(MOD(A267,100000)/10),[1]地图配置辅助表!$A$3:$E$229,4,FALSE)</f>
        <v>挑战Boss-笑面虎</v>
      </c>
      <c r="C267" s="71" t="s">
        <v>987</v>
      </c>
      <c r="D267">
        <f>VLOOKUP(INT(MOD(A267,100000)/10),[1]地图配置辅助表!$A$3:$E$229,5,FALSE)</f>
        <v>36</v>
      </c>
      <c r="E267">
        <v>0</v>
      </c>
      <c r="F267">
        <v>0</v>
      </c>
      <c r="G267" s="8">
        <f t="shared" si="53"/>
        <v>720</v>
      </c>
      <c r="K267">
        <v>1</v>
      </c>
      <c r="L267">
        <f t="shared" si="52"/>
        <v>115118</v>
      </c>
      <c r="M267">
        <v>1511</v>
      </c>
    </row>
    <row r="268" spans="1:13" x14ac:dyDescent="0.15">
      <c r="A268" s="6">
        <v>515119</v>
      </c>
      <c r="B268" t="str">
        <f>VLOOKUP(INT(MOD(A268,100000)/10),[1]地图配置辅助表!$A$3:$E$229,4,FALSE)</f>
        <v>挑战Boss-笑面虎</v>
      </c>
      <c r="C268" s="71" t="s">
        <v>988</v>
      </c>
      <c r="D268">
        <f>VLOOKUP(INT(MOD(A268,100000)/10),[1]地图配置辅助表!$A$3:$E$229,5,FALSE)</f>
        <v>36</v>
      </c>
      <c r="E268">
        <v>0</v>
      </c>
      <c r="F268">
        <v>0</v>
      </c>
      <c r="G268" s="8">
        <f t="shared" si="53"/>
        <v>720</v>
      </c>
      <c r="K268">
        <v>1</v>
      </c>
      <c r="L268">
        <f t="shared" si="52"/>
        <v>115119</v>
      </c>
      <c r="M268">
        <v>1511</v>
      </c>
    </row>
    <row r="269" spans="1:13" x14ac:dyDescent="0.15">
      <c r="A269" s="6">
        <v>515120</v>
      </c>
      <c r="B269" t="str">
        <f>VLOOKUP(INT(MOD(A269,100000)/10),[1]地图配置辅助表!$A$3:$E$229,4,FALSE)</f>
        <v>挑战Boss-陈浩南</v>
      </c>
      <c r="C269" s="70">
        <v>1</v>
      </c>
      <c r="D269">
        <f>VLOOKUP(INT(MOD(A269,100000)/10),[1]地图配置辅助表!$A$3:$E$229,5,FALSE)</f>
        <v>60</v>
      </c>
      <c r="E269">
        <v>0</v>
      </c>
      <c r="F269">
        <v>0</v>
      </c>
      <c r="G269" s="8">
        <f t="shared" ref="G269:G288" si="54">D269*$Q$2</f>
        <v>1200</v>
      </c>
      <c r="K269">
        <v>1</v>
      </c>
      <c r="L269">
        <f t="shared" si="52"/>
        <v>115120</v>
      </c>
      <c r="M269">
        <v>1512</v>
      </c>
    </row>
    <row r="270" spans="1:13" x14ac:dyDescent="0.15">
      <c r="A270" s="6">
        <v>515121</v>
      </c>
      <c r="B270" t="str">
        <f>VLOOKUP(INT(MOD(A270,100000)/10),[1]地图配置辅助表!$A$3:$E$229,4,FALSE)</f>
        <v>挑战Boss-陈浩南</v>
      </c>
      <c r="C270" s="71" t="s">
        <v>989</v>
      </c>
      <c r="D270">
        <f>VLOOKUP(INT(MOD(A270,100000)/10),[1]地图配置辅助表!$A$3:$E$229,5,FALSE)</f>
        <v>60</v>
      </c>
      <c r="E270">
        <v>0</v>
      </c>
      <c r="F270">
        <v>0</v>
      </c>
      <c r="G270" s="8">
        <f t="shared" si="54"/>
        <v>1200</v>
      </c>
      <c r="K270">
        <v>1</v>
      </c>
      <c r="L270">
        <f t="shared" si="52"/>
        <v>115121</v>
      </c>
      <c r="M270">
        <v>1512</v>
      </c>
    </row>
    <row r="271" spans="1:13" x14ac:dyDescent="0.15">
      <c r="A271" s="6">
        <v>515122</v>
      </c>
      <c r="B271" t="str">
        <f>VLOOKUP(INT(MOD(A271,100000)/10),[1]地图配置辅助表!$A$3:$E$229,4,FALSE)</f>
        <v>挑战Boss-陈浩南</v>
      </c>
      <c r="C271" s="71" t="s">
        <v>990</v>
      </c>
      <c r="D271">
        <f>VLOOKUP(INT(MOD(A271,100000)/10),[1]地图配置辅助表!$A$3:$E$229,5,FALSE)</f>
        <v>60</v>
      </c>
      <c r="E271">
        <v>0</v>
      </c>
      <c r="F271">
        <v>0</v>
      </c>
      <c r="G271" s="8">
        <f t="shared" si="54"/>
        <v>1200</v>
      </c>
      <c r="K271">
        <v>1</v>
      </c>
      <c r="L271">
        <f t="shared" si="52"/>
        <v>115122</v>
      </c>
      <c r="M271">
        <v>1512</v>
      </c>
    </row>
    <row r="272" spans="1:13" x14ac:dyDescent="0.15">
      <c r="A272" s="6">
        <v>515123</v>
      </c>
      <c r="B272" t="str">
        <f>VLOOKUP(INT(MOD(A272,100000)/10),[1]地图配置辅助表!$A$3:$E$229,4,FALSE)</f>
        <v>挑战Boss-陈浩南</v>
      </c>
      <c r="C272" s="71" t="s">
        <v>981</v>
      </c>
      <c r="D272">
        <f>VLOOKUP(INT(MOD(A272,100000)/10),[1]地图配置辅助表!$A$3:$E$229,5,FALSE)</f>
        <v>60</v>
      </c>
      <c r="E272">
        <v>0</v>
      </c>
      <c r="F272">
        <v>0</v>
      </c>
      <c r="G272" s="8">
        <f t="shared" si="54"/>
        <v>1200</v>
      </c>
      <c r="K272">
        <v>1</v>
      </c>
      <c r="L272">
        <f t="shared" si="52"/>
        <v>115123</v>
      </c>
      <c r="M272">
        <v>1512</v>
      </c>
    </row>
    <row r="273" spans="1:13" x14ac:dyDescent="0.15">
      <c r="A273" s="6">
        <v>515124</v>
      </c>
      <c r="B273" t="str">
        <f>VLOOKUP(INT(MOD(A273,100000)/10),[1]地图配置辅助表!$A$3:$E$229,4,FALSE)</f>
        <v>挑战Boss-陈浩南</v>
      </c>
      <c r="C273" s="71" t="s">
        <v>981</v>
      </c>
      <c r="D273">
        <f>VLOOKUP(INT(MOD(A273,100000)/10),[1]地图配置辅助表!$A$3:$E$229,5,FALSE)</f>
        <v>60</v>
      </c>
      <c r="E273">
        <v>0</v>
      </c>
      <c r="F273">
        <v>0</v>
      </c>
      <c r="G273" s="8">
        <f t="shared" si="54"/>
        <v>1200</v>
      </c>
      <c r="K273">
        <v>1</v>
      </c>
      <c r="L273">
        <f t="shared" si="52"/>
        <v>115124</v>
      </c>
      <c r="M273">
        <v>1512</v>
      </c>
    </row>
    <row r="274" spans="1:13" x14ac:dyDescent="0.15">
      <c r="A274" s="6">
        <v>515125</v>
      </c>
      <c r="B274" t="str">
        <f>VLOOKUP(INT(MOD(A274,100000)/10),[1]地图配置辅助表!$A$3:$E$229,4,FALSE)</f>
        <v>挑战Boss-陈浩南</v>
      </c>
      <c r="C274" s="71" t="s">
        <v>981</v>
      </c>
      <c r="D274">
        <f>VLOOKUP(INT(MOD(A274,100000)/10),[1]地图配置辅助表!$A$3:$E$229,5,FALSE)</f>
        <v>60</v>
      </c>
      <c r="E274">
        <v>0</v>
      </c>
      <c r="F274">
        <v>0</v>
      </c>
      <c r="G274" s="8">
        <f t="shared" si="54"/>
        <v>1200</v>
      </c>
      <c r="K274">
        <v>1</v>
      </c>
      <c r="L274">
        <f t="shared" si="52"/>
        <v>115125</v>
      </c>
      <c r="M274">
        <v>1512</v>
      </c>
    </row>
    <row r="275" spans="1:13" x14ac:dyDescent="0.15">
      <c r="A275" s="6">
        <v>515126</v>
      </c>
      <c r="B275" t="str">
        <f>VLOOKUP(INT(MOD(A275,100000)/10),[1]地图配置辅助表!$A$3:$E$229,4,FALSE)</f>
        <v>挑战Boss-陈浩南</v>
      </c>
      <c r="C275" s="71" t="s">
        <v>983</v>
      </c>
      <c r="D275">
        <f>VLOOKUP(INT(MOD(A275,100000)/10),[1]地图配置辅助表!$A$3:$E$229,5,FALSE)</f>
        <v>60</v>
      </c>
      <c r="E275">
        <v>0</v>
      </c>
      <c r="F275">
        <v>0</v>
      </c>
      <c r="G275" s="8">
        <f t="shared" si="54"/>
        <v>1200</v>
      </c>
      <c r="K275">
        <v>1</v>
      </c>
      <c r="L275">
        <f t="shared" si="52"/>
        <v>115126</v>
      </c>
      <c r="M275">
        <v>1512</v>
      </c>
    </row>
    <row r="276" spans="1:13" x14ac:dyDescent="0.15">
      <c r="A276" s="6">
        <v>515127</v>
      </c>
      <c r="B276" t="str">
        <f>VLOOKUP(INT(MOD(A276,100000)/10),[1]地图配置辅助表!$A$3:$E$229,4,FALSE)</f>
        <v>挑战Boss-陈浩南</v>
      </c>
      <c r="C276" s="71" t="s">
        <v>983</v>
      </c>
      <c r="D276">
        <f>VLOOKUP(INT(MOD(A276,100000)/10),[1]地图配置辅助表!$A$3:$E$229,5,FALSE)</f>
        <v>60</v>
      </c>
      <c r="E276">
        <v>0</v>
      </c>
      <c r="F276">
        <v>0</v>
      </c>
      <c r="G276" s="8">
        <f t="shared" si="54"/>
        <v>1200</v>
      </c>
      <c r="K276">
        <v>1</v>
      </c>
      <c r="L276">
        <f t="shared" si="52"/>
        <v>115127</v>
      </c>
      <c r="M276">
        <v>1512</v>
      </c>
    </row>
    <row r="277" spans="1:13" x14ac:dyDescent="0.15">
      <c r="A277" s="6">
        <v>515128</v>
      </c>
      <c r="B277" t="str">
        <f>VLOOKUP(INT(MOD(A277,100000)/10),[1]地图配置辅助表!$A$3:$E$229,4,FALSE)</f>
        <v>挑战Boss-陈浩南</v>
      </c>
      <c r="C277" s="71" t="s">
        <v>983</v>
      </c>
      <c r="D277">
        <f>VLOOKUP(INT(MOD(A277,100000)/10),[1]地图配置辅助表!$A$3:$E$229,5,FALSE)</f>
        <v>60</v>
      </c>
      <c r="E277">
        <v>0</v>
      </c>
      <c r="F277">
        <v>0</v>
      </c>
      <c r="G277" s="8">
        <f t="shared" si="54"/>
        <v>1200</v>
      </c>
      <c r="K277">
        <v>1</v>
      </c>
      <c r="L277">
        <f t="shared" si="52"/>
        <v>115128</v>
      </c>
      <c r="M277">
        <v>1512</v>
      </c>
    </row>
    <row r="278" spans="1:13" x14ac:dyDescent="0.15">
      <c r="A278" s="6">
        <v>515129</v>
      </c>
      <c r="B278" t="str">
        <f>VLOOKUP(INT(MOD(A278,100000)/10),[1]地图配置辅助表!$A$3:$E$229,4,FALSE)</f>
        <v>挑战Boss-陈浩南</v>
      </c>
      <c r="C278" s="71" t="s">
        <v>984</v>
      </c>
      <c r="D278">
        <f>VLOOKUP(INT(MOD(A278,100000)/10),[1]地图配置辅助表!$A$3:$E$229,5,FALSE)</f>
        <v>60</v>
      </c>
      <c r="E278">
        <v>0</v>
      </c>
      <c r="F278">
        <v>0</v>
      </c>
      <c r="G278" s="8">
        <f t="shared" si="54"/>
        <v>1200</v>
      </c>
      <c r="K278">
        <v>1</v>
      </c>
      <c r="L278">
        <f t="shared" si="52"/>
        <v>115129</v>
      </c>
      <c r="M278">
        <v>1512</v>
      </c>
    </row>
    <row r="279" spans="1:13" x14ac:dyDescent="0.15">
      <c r="A279" s="6">
        <v>515130</v>
      </c>
      <c r="B279" t="str">
        <f>VLOOKUP(INT(MOD(A279,100000)/10),[1]地图配置辅助表!$A$3:$E$229,4,FALSE)</f>
        <v>挑战Boss-山鸡</v>
      </c>
      <c r="C279" s="70">
        <v>1</v>
      </c>
      <c r="D279">
        <f>VLOOKUP(INT(MOD(A279,100000)/10),[1]地图配置辅助表!$A$3:$E$229,5,FALSE)</f>
        <v>60</v>
      </c>
      <c r="E279">
        <v>0</v>
      </c>
      <c r="F279">
        <v>0</v>
      </c>
      <c r="G279" s="8">
        <f t="shared" si="54"/>
        <v>1200</v>
      </c>
      <c r="K279">
        <v>1</v>
      </c>
      <c r="L279">
        <f t="shared" si="52"/>
        <v>115130</v>
      </c>
      <c r="M279">
        <v>1513</v>
      </c>
    </row>
    <row r="280" spans="1:13" x14ac:dyDescent="0.15">
      <c r="A280" s="6">
        <v>515131</v>
      </c>
      <c r="B280" t="str">
        <f>VLOOKUP(INT(MOD(A280,100000)/10),[1]地图配置辅助表!$A$3:$E$229,4,FALSE)</f>
        <v>挑战Boss-山鸡</v>
      </c>
      <c r="C280" s="71" t="s">
        <v>989</v>
      </c>
      <c r="D280">
        <f>VLOOKUP(INT(MOD(A280,100000)/10),[1]地图配置辅助表!$A$3:$E$229,5,FALSE)</f>
        <v>60</v>
      </c>
      <c r="E280">
        <v>0</v>
      </c>
      <c r="F280">
        <v>0</v>
      </c>
      <c r="G280" s="8">
        <f t="shared" si="54"/>
        <v>1200</v>
      </c>
      <c r="K280">
        <v>1</v>
      </c>
      <c r="L280">
        <f t="shared" si="52"/>
        <v>115131</v>
      </c>
      <c r="M280">
        <v>1513</v>
      </c>
    </row>
    <row r="281" spans="1:13" x14ac:dyDescent="0.15">
      <c r="A281" s="6">
        <v>515132</v>
      </c>
      <c r="B281" t="str">
        <f>VLOOKUP(INT(MOD(A281,100000)/10),[1]地图配置辅助表!$A$3:$E$229,4,FALSE)</f>
        <v>挑战Boss-山鸡</v>
      </c>
      <c r="C281" s="71" t="s">
        <v>990</v>
      </c>
      <c r="D281">
        <f>VLOOKUP(INT(MOD(A281,100000)/10),[1]地图配置辅助表!$A$3:$E$229,5,FALSE)</f>
        <v>60</v>
      </c>
      <c r="E281">
        <v>0</v>
      </c>
      <c r="F281">
        <v>0</v>
      </c>
      <c r="G281" s="8">
        <f t="shared" si="54"/>
        <v>1200</v>
      </c>
      <c r="K281">
        <v>1</v>
      </c>
      <c r="L281">
        <f t="shared" si="52"/>
        <v>115132</v>
      </c>
      <c r="M281">
        <v>1513</v>
      </c>
    </row>
    <row r="282" spans="1:13" x14ac:dyDescent="0.15">
      <c r="A282" s="6">
        <v>515133</v>
      </c>
      <c r="B282" t="str">
        <f>VLOOKUP(INT(MOD(A282,100000)/10),[1]地图配置辅助表!$A$3:$E$229,4,FALSE)</f>
        <v>挑战Boss-山鸡</v>
      </c>
      <c r="C282" s="71" t="s">
        <v>981</v>
      </c>
      <c r="D282">
        <f>VLOOKUP(INT(MOD(A282,100000)/10),[1]地图配置辅助表!$A$3:$E$229,5,FALSE)</f>
        <v>60</v>
      </c>
      <c r="E282">
        <v>0</v>
      </c>
      <c r="F282">
        <v>0</v>
      </c>
      <c r="G282" s="8">
        <f t="shared" si="54"/>
        <v>1200</v>
      </c>
      <c r="K282">
        <v>1</v>
      </c>
      <c r="L282">
        <f t="shared" si="52"/>
        <v>115133</v>
      </c>
      <c r="M282">
        <v>1513</v>
      </c>
    </row>
    <row r="283" spans="1:13" x14ac:dyDescent="0.15">
      <c r="A283" s="6">
        <v>515134</v>
      </c>
      <c r="B283" t="str">
        <f>VLOOKUP(INT(MOD(A283,100000)/10),[1]地图配置辅助表!$A$3:$E$229,4,FALSE)</f>
        <v>挑战Boss-山鸡</v>
      </c>
      <c r="C283" s="71" t="s">
        <v>981</v>
      </c>
      <c r="D283">
        <f>VLOOKUP(INT(MOD(A283,100000)/10),[1]地图配置辅助表!$A$3:$E$229,5,FALSE)</f>
        <v>60</v>
      </c>
      <c r="E283">
        <v>0</v>
      </c>
      <c r="F283">
        <v>0</v>
      </c>
      <c r="G283" s="8">
        <f t="shared" si="54"/>
        <v>1200</v>
      </c>
      <c r="K283">
        <v>1</v>
      </c>
      <c r="L283">
        <f t="shared" si="52"/>
        <v>115134</v>
      </c>
      <c r="M283">
        <v>1513</v>
      </c>
    </row>
    <row r="284" spans="1:13" x14ac:dyDescent="0.15">
      <c r="A284" s="6">
        <v>515135</v>
      </c>
      <c r="B284" t="str">
        <f>VLOOKUP(INT(MOD(A284,100000)/10),[1]地图配置辅助表!$A$3:$E$229,4,FALSE)</f>
        <v>挑战Boss-山鸡</v>
      </c>
      <c r="C284" s="71" t="s">
        <v>981</v>
      </c>
      <c r="D284">
        <f>VLOOKUP(INT(MOD(A284,100000)/10),[1]地图配置辅助表!$A$3:$E$229,5,FALSE)</f>
        <v>60</v>
      </c>
      <c r="E284">
        <v>0</v>
      </c>
      <c r="F284">
        <v>0</v>
      </c>
      <c r="G284" s="8">
        <f t="shared" si="54"/>
        <v>1200</v>
      </c>
      <c r="K284">
        <v>1</v>
      </c>
      <c r="L284">
        <f t="shared" si="52"/>
        <v>115135</v>
      </c>
      <c r="M284">
        <v>1513</v>
      </c>
    </row>
    <row r="285" spans="1:13" x14ac:dyDescent="0.15">
      <c r="A285" s="6">
        <v>515136</v>
      </c>
      <c r="B285" t="str">
        <f>VLOOKUP(INT(MOD(A285,100000)/10),[1]地图配置辅助表!$A$3:$E$229,4,FALSE)</f>
        <v>挑战Boss-山鸡</v>
      </c>
      <c r="C285" s="71" t="s">
        <v>983</v>
      </c>
      <c r="D285">
        <f>VLOOKUP(INT(MOD(A285,100000)/10),[1]地图配置辅助表!$A$3:$E$229,5,FALSE)</f>
        <v>60</v>
      </c>
      <c r="E285">
        <v>0</v>
      </c>
      <c r="F285">
        <v>0</v>
      </c>
      <c r="G285" s="8">
        <f t="shared" si="54"/>
        <v>1200</v>
      </c>
      <c r="K285">
        <v>1</v>
      </c>
      <c r="L285">
        <f t="shared" si="52"/>
        <v>115136</v>
      </c>
      <c r="M285">
        <v>1513</v>
      </c>
    </row>
    <row r="286" spans="1:13" x14ac:dyDescent="0.15">
      <c r="A286" s="6">
        <v>515137</v>
      </c>
      <c r="B286" t="str">
        <f>VLOOKUP(INT(MOD(A286,100000)/10),[1]地图配置辅助表!$A$3:$E$229,4,FALSE)</f>
        <v>挑战Boss-山鸡</v>
      </c>
      <c r="C286" s="71" t="s">
        <v>983</v>
      </c>
      <c r="D286">
        <f>VLOOKUP(INT(MOD(A286,100000)/10),[1]地图配置辅助表!$A$3:$E$229,5,FALSE)</f>
        <v>60</v>
      </c>
      <c r="E286">
        <v>0</v>
      </c>
      <c r="F286">
        <v>0</v>
      </c>
      <c r="G286" s="8">
        <f t="shared" si="54"/>
        <v>1200</v>
      </c>
      <c r="K286">
        <v>1</v>
      </c>
      <c r="L286">
        <f t="shared" si="52"/>
        <v>115137</v>
      </c>
      <c r="M286">
        <v>1513</v>
      </c>
    </row>
    <row r="287" spans="1:13" x14ac:dyDescent="0.15">
      <c r="A287" s="6">
        <v>515138</v>
      </c>
      <c r="B287" t="str">
        <f>VLOOKUP(INT(MOD(A287,100000)/10),[1]地图配置辅助表!$A$3:$E$229,4,FALSE)</f>
        <v>挑战Boss-山鸡</v>
      </c>
      <c r="C287" s="71" t="s">
        <v>983</v>
      </c>
      <c r="D287">
        <f>VLOOKUP(INT(MOD(A287,100000)/10),[1]地图配置辅助表!$A$3:$E$229,5,FALSE)</f>
        <v>60</v>
      </c>
      <c r="E287">
        <v>0</v>
      </c>
      <c r="F287">
        <v>0</v>
      </c>
      <c r="G287" s="8">
        <f t="shared" si="54"/>
        <v>1200</v>
      </c>
      <c r="K287">
        <v>1</v>
      </c>
      <c r="L287">
        <f t="shared" si="52"/>
        <v>115138</v>
      </c>
      <c r="M287">
        <v>1513</v>
      </c>
    </row>
    <row r="288" spans="1:13" x14ac:dyDescent="0.15">
      <c r="A288" s="6">
        <v>515139</v>
      </c>
      <c r="B288" t="str">
        <f>VLOOKUP(INT(MOD(A288,100000)/10),[1]地图配置辅助表!$A$3:$E$229,4,FALSE)</f>
        <v>挑战Boss-山鸡</v>
      </c>
      <c r="C288" s="71" t="s">
        <v>984</v>
      </c>
      <c r="D288">
        <f>VLOOKUP(INT(MOD(A288,100000)/10),[1]地图配置辅助表!$A$3:$E$229,5,FALSE)</f>
        <v>60</v>
      </c>
      <c r="E288">
        <v>0</v>
      </c>
      <c r="F288">
        <v>0</v>
      </c>
      <c r="G288" s="8">
        <f t="shared" si="54"/>
        <v>1200</v>
      </c>
      <c r="K288">
        <v>1</v>
      </c>
      <c r="L288">
        <f t="shared" ref="L288:L298" si="55">A288-400000</f>
        <v>115139</v>
      </c>
      <c r="M288">
        <v>1513</v>
      </c>
    </row>
    <row r="289" spans="1:13" x14ac:dyDescent="0.15">
      <c r="A289" s="6">
        <v>515140</v>
      </c>
      <c r="B289" t="str">
        <f>VLOOKUP(INT(MOD(A289,100000)/10),[1]地图配置辅助表!$A$3:$E$229,4,FALSE)</f>
        <v>挑战Boss-大天二</v>
      </c>
      <c r="C289" s="70">
        <v>1</v>
      </c>
      <c r="D289">
        <f>VLOOKUP(INT(MOD(A289,100000)/10),[1]地图配置辅助表!$A$3:$E$229,5,FALSE)</f>
        <v>60</v>
      </c>
      <c r="E289">
        <v>0</v>
      </c>
      <c r="F289">
        <v>0</v>
      </c>
      <c r="G289" s="8">
        <f t="shared" ref="G289:G298" si="56">D289*$Q$2</f>
        <v>1200</v>
      </c>
      <c r="K289">
        <v>1</v>
      </c>
      <c r="L289">
        <f t="shared" si="55"/>
        <v>115140</v>
      </c>
      <c r="M289">
        <v>1514</v>
      </c>
    </row>
    <row r="290" spans="1:13" x14ac:dyDescent="0.15">
      <c r="A290" s="6">
        <v>515141</v>
      </c>
      <c r="B290" t="str">
        <f>VLOOKUP(INT(MOD(A290,100000)/10),[1]地图配置辅助表!$A$3:$E$229,4,FALSE)</f>
        <v>挑战Boss-大天二</v>
      </c>
      <c r="C290" s="71" t="s">
        <v>989</v>
      </c>
      <c r="D290">
        <f>VLOOKUP(INT(MOD(A290,100000)/10),[1]地图配置辅助表!$A$3:$E$229,5,FALSE)</f>
        <v>60</v>
      </c>
      <c r="E290">
        <v>0</v>
      </c>
      <c r="F290">
        <v>0</v>
      </c>
      <c r="G290" s="8">
        <f t="shared" si="56"/>
        <v>1200</v>
      </c>
      <c r="K290">
        <v>1</v>
      </c>
      <c r="L290">
        <f t="shared" si="55"/>
        <v>115141</v>
      </c>
      <c r="M290">
        <v>1514</v>
      </c>
    </row>
    <row r="291" spans="1:13" x14ac:dyDescent="0.15">
      <c r="A291" s="6">
        <v>515142</v>
      </c>
      <c r="B291" t="str">
        <f>VLOOKUP(INT(MOD(A291,100000)/10),[1]地图配置辅助表!$A$3:$E$229,4,FALSE)</f>
        <v>挑战Boss-大天二</v>
      </c>
      <c r="C291" s="71" t="s">
        <v>990</v>
      </c>
      <c r="D291">
        <f>VLOOKUP(INT(MOD(A291,100000)/10),[1]地图配置辅助表!$A$3:$E$229,5,FALSE)</f>
        <v>60</v>
      </c>
      <c r="E291">
        <v>0</v>
      </c>
      <c r="F291">
        <v>0</v>
      </c>
      <c r="G291" s="8">
        <f t="shared" si="56"/>
        <v>1200</v>
      </c>
      <c r="K291">
        <v>1</v>
      </c>
      <c r="L291">
        <f t="shared" si="55"/>
        <v>115142</v>
      </c>
      <c r="M291">
        <v>1514</v>
      </c>
    </row>
    <row r="292" spans="1:13" x14ac:dyDescent="0.15">
      <c r="A292" s="6">
        <v>515143</v>
      </c>
      <c r="B292" t="str">
        <f>VLOOKUP(INT(MOD(A292,100000)/10),[1]地图配置辅助表!$A$3:$E$229,4,FALSE)</f>
        <v>挑战Boss-大天二</v>
      </c>
      <c r="C292" s="71" t="s">
        <v>981</v>
      </c>
      <c r="D292">
        <f>VLOOKUP(INT(MOD(A292,100000)/10),[1]地图配置辅助表!$A$3:$E$229,5,FALSE)</f>
        <v>60</v>
      </c>
      <c r="E292">
        <v>0</v>
      </c>
      <c r="F292">
        <v>0</v>
      </c>
      <c r="G292" s="8">
        <f t="shared" si="56"/>
        <v>1200</v>
      </c>
      <c r="K292">
        <v>1</v>
      </c>
      <c r="L292">
        <f t="shared" si="55"/>
        <v>115143</v>
      </c>
      <c r="M292">
        <v>1514</v>
      </c>
    </row>
    <row r="293" spans="1:13" x14ac:dyDescent="0.15">
      <c r="A293" s="6">
        <v>515144</v>
      </c>
      <c r="B293" t="str">
        <f>VLOOKUP(INT(MOD(A293,100000)/10),[1]地图配置辅助表!$A$3:$E$229,4,FALSE)</f>
        <v>挑战Boss-大天二</v>
      </c>
      <c r="C293" s="71" t="s">
        <v>981</v>
      </c>
      <c r="D293">
        <f>VLOOKUP(INT(MOD(A293,100000)/10),[1]地图配置辅助表!$A$3:$E$229,5,FALSE)</f>
        <v>60</v>
      </c>
      <c r="E293">
        <v>0</v>
      </c>
      <c r="F293">
        <v>0</v>
      </c>
      <c r="G293" s="8">
        <f t="shared" si="56"/>
        <v>1200</v>
      </c>
      <c r="K293">
        <v>1</v>
      </c>
      <c r="L293">
        <f t="shared" si="55"/>
        <v>115144</v>
      </c>
      <c r="M293">
        <v>1514</v>
      </c>
    </row>
    <row r="294" spans="1:13" x14ac:dyDescent="0.15">
      <c r="A294" s="6">
        <v>515145</v>
      </c>
      <c r="B294" t="str">
        <f>VLOOKUP(INT(MOD(A294,100000)/10),[1]地图配置辅助表!$A$3:$E$229,4,FALSE)</f>
        <v>挑战Boss-大天二</v>
      </c>
      <c r="C294" s="71" t="s">
        <v>981</v>
      </c>
      <c r="D294">
        <f>VLOOKUP(INT(MOD(A294,100000)/10),[1]地图配置辅助表!$A$3:$E$229,5,FALSE)</f>
        <v>60</v>
      </c>
      <c r="E294">
        <v>0</v>
      </c>
      <c r="F294">
        <v>0</v>
      </c>
      <c r="G294" s="8">
        <f t="shared" si="56"/>
        <v>1200</v>
      </c>
      <c r="K294">
        <v>1</v>
      </c>
      <c r="L294">
        <f t="shared" si="55"/>
        <v>115145</v>
      </c>
      <c r="M294">
        <v>1514</v>
      </c>
    </row>
    <row r="295" spans="1:13" x14ac:dyDescent="0.15">
      <c r="A295" s="6">
        <v>515146</v>
      </c>
      <c r="B295" t="str">
        <f>VLOOKUP(INT(MOD(A295,100000)/10),[1]地图配置辅助表!$A$3:$E$229,4,FALSE)</f>
        <v>挑战Boss-大天二</v>
      </c>
      <c r="C295" s="71" t="s">
        <v>983</v>
      </c>
      <c r="D295">
        <f>VLOOKUP(INT(MOD(A295,100000)/10),[1]地图配置辅助表!$A$3:$E$229,5,FALSE)</f>
        <v>60</v>
      </c>
      <c r="E295">
        <v>0</v>
      </c>
      <c r="F295">
        <v>0</v>
      </c>
      <c r="G295" s="8">
        <f t="shared" si="56"/>
        <v>1200</v>
      </c>
      <c r="K295">
        <v>1</v>
      </c>
      <c r="L295">
        <f t="shared" si="55"/>
        <v>115146</v>
      </c>
      <c r="M295">
        <v>1514</v>
      </c>
    </row>
    <row r="296" spans="1:13" x14ac:dyDescent="0.15">
      <c r="A296" s="6">
        <v>515147</v>
      </c>
      <c r="B296" t="str">
        <f>VLOOKUP(INT(MOD(A296,100000)/10),[1]地图配置辅助表!$A$3:$E$229,4,FALSE)</f>
        <v>挑战Boss-大天二</v>
      </c>
      <c r="C296" s="71" t="s">
        <v>983</v>
      </c>
      <c r="D296">
        <f>VLOOKUP(INT(MOD(A296,100000)/10),[1]地图配置辅助表!$A$3:$E$229,5,FALSE)</f>
        <v>60</v>
      </c>
      <c r="E296">
        <v>0</v>
      </c>
      <c r="F296">
        <v>0</v>
      </c>
      <c r="G296" s="8">
        <f t="shared" si="56"/>
        <v>1200</v>
      </c>
      <c r="K296">
        <v>1</v>
      </c>
      <c r="L296">
        <f t="shared" si="55"/>
        <v>115147</v>
      </c>
      <c r="M296">
        <v>1514</v>
      </c>
    </row>
    <row r="297" spans="1:13" x14ac:dyDescent="0.15">
      <c r="A297" s="6">
        <v>515148</v>
      </c>
      <c r="B297" t="str">
        <f>VLOOKUP(INT(MOD(A297,100000)/10),[1]地图配置辅助表!$A$3:$E$229,4,FALSE)</f>
        <v>挑战Boss-大天二</v>
      </c>
      <c r="C297" s="71" t="s">
        <v>983</v>
      </c>
      <c r="D297">
        <f>VLOOKUP(INT(MOD(A297,100000)/10),[1]地图配置辅助表!$A$3:$E$229,5,FALSE)</f>
        <v>60</v>
      </c>
      <c r="E297">
        <v>0</v>
      </c>
      <c r="F297">
        <v>0</v>
      </c>
      <c r="G297" s="8">
        <f t="shared" si="56"/>
        <v>1200</v>
      </c>
      <c r="K297">
        <v>1</v>
      </c>
      <c r="L297">
        <f t="shared" si="55"/>
        <v>115148</v>
      </c>
      <c r="M297">
        <v>1514</v>
      </c>
    </row>
    <row r="298" spans="1:13" x14ac:dyDescent="0.15">
      <c r="A298" s="6">
        <v>515149</v>
      </c>
      <c r="B298" t="str">
        <f>VLOOKUP(INT(MOD(A298,100000)/10),[1]地图配置辅助表!$A$3:$E$229,4,FALSE)</f>
        <v>挑战Boss-大天二</v>
      </c>
      <c r="C298" s="71" t="s">
        <v>984</v>
      </c>
      <c r="D298">
        <f>VLOOKUP(INT(MOD(A298,100000)/10),[1]地图配置辅助表!$A$3:$E$229,5,FALSE)</f>
        <v>60</v>
      </c>
      <c r="E298">
        <v>0</v>
      </c>
      <c r="F298">
        <v>0</v>
      </c>
      <c r="G298" s="8">
        <f t="shared" si="56"/>
        <v>1200</v>
      </c>
      <c r="K298">
        <v>1</v>
      </c>
      <c r="L298">
        <f t="shared" si="55"/>
        <v>115149</v>
      </c>
      <c r="M298">
        <v>1514</v>
      </c>
    </row>
    <row r="299" spans="1:13" x14ac:dyDescent="0.15">
      <c r="A299" s="6">
        <v>501601</v>
      </c>
      <c r="B299" t="str">
        <f>VLOOKUP(M299,[1]地图配置辅助表!$A$3:$E$229,4,FALSE)</f>
        <v>组队1</v>
      </c>
      <c r="D299">
        <f>VLOOKUP(M299,[1]地图配置辅助表!$A$3:$E$229,5,FALSE)</f>
        <v>13</v>
      </c>
      <c r="E299">
        <f t="shared" ref="E299:E305" si="57">ROUNDUP(D299*$Q$3*0.8,0)</f>
        <v>520</v>
      </c>
      <c r="F299">
        <f t="shared" ref="F299:F305" si="58">ROUNDUP(D299*$Q$3*1.2,0)</f>
        <v>780</v>
      </c>
      <c r="G299" s="8">
        <f t="shared" si="47"/>
        <v>260</v>
      </c>
      <c r="M299">
        <f>MOD(A299,10000)</f>
        <v>1601</v>
      </c>
    </row>
    <row r="300" spans="1:13" x14ac:dyDescent="0.15">
      <c r="A300" s="6">
        <v>501602</v>
      </c>
      <c r="B300" t="str">
        <f>VLOOKUP(M300,[1]地图配置辅助表!$A$3:$E$229,4,FALSE)</f>
        <v>组队2</v>
      </c>
      <c r="D300">
        <f>VLOOKUP(M300,[1]地图配置辅助表!$A$3:$E$229,5,FALSE)</f>
        <v>13</v>
      </c>
      <c r="E300">
        <f t="shared" si="57"/>
        <v>520</v>
      </c>
      <c r="F300">
        <f t="shared" si="58"/>
        <v>780</v>
      </c>
      <c r="G300" s="8">
        <f t="shared" si="47"/>
        <v>260</v>
      </c>
      <c r="M300">
        <f t="shared" ref="M300:M317" si="59">MOD(A300,10000)</f>
        <v>1602</v>
      </c>
    </row>
    <row r="301" spans="1:13" x14ac:dyDescent="0.15">
      <c r="A301" s="6">
        <v>501603</v>
      </c>
      <c r="B301" t="str">
        <f>VLOOKUP(M301,[1]地图配置辅助表!$A$3:$E$229,4,FALSE)</f>
        <v>组队3</v>
      </c>
      <c r="D301">
        <f>VLOOKUP(M301,[1]地图配置辅助表!$A$3:$E$229,5,FALSE)</f>
        <v>13</v>
      </c>
      <c r="E301">
        <f t="shared" si="57"/>
        <v>520</v>
      </c>
      <c r="F301">
        <f t="shared" si="58"/>
        <v>780</v>
      </c>
      <c r="G301" s="8">
        <f t="shared" si="47"/>
        <v>260</v>
      </c>
      <c r="M301">
        <f t="shared" si="59"/>
        <v>1603</v>
      </c>
    </row>
    <row r="302" spans="1:13" x14ac:dyDescent="0.15">
      <c r="A302" s="6">
        <v>502401</v>
      </c>
      <c r="B302" t="str">
        <f>VLOOKUP(M302,[1]地图配置辅助表!$A$3:$E$229,4,FALSE)</f>
        <v>竞技场1</v>
      </c>
      <c r="D302">
        <f>VLOOKUP(M302,[1]地图配置辅助表!$A$3:$E$229,5,FALSE)</f>
        <v>14</v>
      </c>
      <c r="E302">
        <f t="shared" si="57"/>
        <v>560</v>
      </c>
      <c r="F302">
        <f t="shared" si="58"/>
        <v>840</v>
      </c>
      <c r="G302" s="8">
        <f t="shared" si="47"/>
        <v>280</v>
      </c>
      <c r="M302">
        <f t="shared" si="59"/>
        <v>2401</v>
      </c>
    </row>
    <row r="303" spans="1:13" x14ac:dyDescent="0.15">
      <c r="A303" s="6">
        <v>502402</v>
      </c>
      <c r="B303" t="str">
        <f>VLOOKUP(M303,[1]地图配置辅助表!$A$3:$E$229,4,FALSE)</f>
        <v>竞技场2</v>
      </c>
      <c r="D303">
        <f>VLOOKUP(M303,[1]地图配置辅助表!$A$3:$E$229,5,FALSE)</f>
        <v>14</v>
      </c>
      <c r="E303">
        <f t="shared" si="57"/>
        <v>560</v>
      </c>
      <c r="F303">
        <f t="shared" si="58"/>
        <v>840</v>
      </c>
      <c r="G303" s="8">
        <f t="shared" si="47"/>
        <v>280</v>
      </c>
      <c r="M303">
        <f t="shared" si="59"/>
        <v>2402</v>
      </c>
    </row>
    <row r="304" spans="1:13" x14ac:dyDescent="0.15">
      <c r="A304" s="6">
        <v>502403</v>
      </c>
      <c r="B304" t="str">
        <f>VLOOKUP(M304,[1]地图配置辅助表!$A$3:$E$229,4,FALSE)</f>
        <v>竞技场3</v>
      </c>
      <c r="D304">
        <f>VLOOKUP(M304,[1]地图配置辅助表!$A$3:$E$229,5,FALSE)</f>
        <v>14</v>
      </c>
      <c r="E304">
        <f t="shared" si="57"/>
        <v>560</v>
      </c>
      <c r="F304">
        <f t="shared" si="58"/>
        <v>840</v>
      </c>
      <c r="G304" s="8">
        <f t="shared" si="47"/>
        <v>280</v>
      </c>
      <c r="M304">
        <f t="shared" si="59"/>
        <v>2403</v>
      </c>
    </row>
    <row r="305" spans="1:13" x14ac:dyDescent="0.15">
      <c r="A305" s="6">
        <v>500999</v>
      </c>
      <c r="B305" t="str">
        <f>VLOOKUP(M305,[1]地图配置辅助表!$A$3:$E$229,4,FALSE)</f>
        <v>打豆豆</v>
      </c>
      <c r="D305">
        <f>VLOOKUP(M305,[1]地图配置辅助表!$A$3:$E$229,5,FALSE)</f>
        <v>11</v>
      </c>
      <c r="E305">
        <f t="shared" si="57"/>
        <v>440</v>
      </c>
      <c r="F305">
        <f t="shared" si="58"/>
        <v>660</v>
      </c>
      <c r="G305" s="8">
        <f t="shared" si="47"/>
        <v>220</v>
      </c>
      <c r="M305">
        <f t="shared" si="59"/>
        <v>999</v>
      </c>
    </row>
    <row r="306" spans="1:13" x14ac:dyDescent="0.15">
      <c r="A306" s="6">
        <v>501701</v>
      </c>
      <c r="B306" t="str">
        <f>VLOOKUP(M306,[1]地图配置辅助表!$A$3:$E$229,4,FALSE)</f>
        <v>难度1（命运石）</v>
      </c>
      <c r="D306">
        <f>VLOOKUP(M306,[1]地图配置辅助表!$A$3:$E$229,5,FALSE)</f>
        <v>12</v>
      </c>
      <c r="E306">
        <v>0</v>
      </c>
      <c r="F306">
        <v>0</v>
      </c>
      <c r="G306" s="8">
        <f t="shared" si="47"/>
        <v>240</v>
      </c>
      <c r="I306">
        <f>ROUND([5]命币的投放!$M3,0)</f>
        <v>12800</v>
      </c>
      <c r="M306">
        <f t="shared" si="59"/>
        <v>1701</v>
      </c>
    </row>
    <row r="307" spans="1:13" x14ac:dyDescent="0.15">
      <c r="A307" s="6">
        <v>501702</v>
      </c>
      <c r="B307" t="str">
        <f>VLOOKUP(M307,[1]地图配置辅助表!$A$3:$E$229,4,FALSE)</f>
        <v>难度2（命运石）</v>
      </c>
      <c r="D307">
        <f>VLOOKUP(M307,[1]地图配置辅助表!$A$3:$E$229,5,FALSE)</f>
        <v>12</v>
      </c>
      <c r="E307">
        <v>0</v>
      </c>
      <c r="F307">
        <v>0</v>
      </c>
      <c r="G307" s="8">
        <f t="shared" si="47"/>
        <v>240</v>
      </c>
      <c r="I307">
        <f>ROUND([5]命币的投放!$M4,0)</f>
        <v>15200</v>
      </c>
      <c r="M307">
        <f t="shared" si="59"/>
        <v>1702</v>
      </c>
    </row>
    <row r="308" spans="1:13" x14ac:dyDescent="0.15">
      <c r="A308" s="6">
        <v>501703</v>
      </c>
      <c r="B308" t="str">
        <f>VLOOKUP(M308,[1]地图配置辅助表!$A$3:$E$229,4,FALSE)</f>
        <v>难度3（命运石）</v>
      </c>
      <c r="D308">
        <f>VLOOKUP(M308,[1]地图配置辅助表!$A$3:$E$229,5,FALSE)</f>
        <v>12</v>
      </c>
      <c r="E308">
        <v>0</v>
      </c>
      <c r="F308">
        <v>0</v>
      </c>
      <c r="G308" s="8">
        <f t="shared" si="47"/>
        <v>240</v>
      </c>
      <c r="I308">
        <f>ROUND([5]命币的投放!$M5,0)</f>
        <v>18400</v>
      </c>
      <c r="M308">
        <f t="shared" si="59"/>
        <v>1703</v>
      </c>
    </row>
    <row r="309" spans="1:13" x14ac:dyDescent="0.15">
      <c r="A309" s="6">
        <v>501704</v>
      </c>
      <c r="B309" t="str">
        <f>VLOOKUP(M309,[1]地图配置辅助表!$A$3:$E$229,4,FALSE)</f>
        <v>难度4（命运石）</v>
      </c>
      <c r="D309">
        <f>VLOOKUP(M309,[1]地图配置辅助表!$A$3:$E$229,5,FALSE)</f>
        <v>12</v>
      </c>
      <c r="E309">
        <v>0</v>
      </c>
      <c r="F309">
        <v>0</v>
      </c>
      <c r="G309" s="8">
        <f t="shared" si="47"/>
        <v>240</v>
      </c>
      <c r="I309">
        <f>ROUND([5]命币的投放!$M6,0)</f>
        <v>22000</v>
      </c>
      <c r="M309">
        <f t="shared" si="59"/>
        <v>1704</v>
      </c>
    </row>
    <row r="310" spans="1:13" x14ac:dyDescent="0.15">
      <c r="A310" s="6">
        <v>501705</v>
      </c>
      <c r="B310" t="str">
        <f>VLOOKUP(M310,[1]地图配置辅助表!$A$3:$E$229,4,FALSE)</f>
        <v>难度5（命运石）</v>
      </c>
      <c r="D310">
        <f>VLOOKUP(M310,[1]地图配置辅助表!$A$3:$E$229,5,FALSE)</f>
        <v>12</v>
      </c>
      <c r="E310">
        <v>0</v>
      </c>
      <c r="F310">
        <v>0</v>
      </c>
      <c r="G310" s="8">
        <f t="shared" si="47"/>
        <v>240</v>
      </c>
      <c r="I310">
        <f>ROUND([5]命币的投放!$M7,0)</f>
        <v>26400</v>
      </c>
      <c r="M310">
        <f t="shared" si="59"/>
        <v>1705</v>
      </c>
    </row>
    <row r="311" spans="1:13" x14ac:dyDescent="0.15">
      <c r="A311" s="6">
        <v>501706</v>
      </c>
      <c r="B311" t="str">
        <f>VLOOKUP(M311,[1]地图配置辅助表!$A$3:$E$229,4,FALSE)</f>
        <v>难度6（命运石）</v>
      </c>
      <c r="D311">
        <f>VLOOKUP(M311,[1]地图配置辅助表!$A$3:$E$229,5,FALSE)</f>
        <v>12</v>
      </c>
      <c r="E311">
        <v>0</v>
      </c>
      <c r="F311">
        <v>0</v>
      </c>
      <c r="G311" s="8">
        <f t="shared" si="47"/>
        <v>240</v>
      </c>
      <c r="I311">
        <f>ROUND([5]命币的投放!$M8,0)</f>
        <v>32000</v>
      </c>
      <c r="M311">
        <f t="shared" si="59"/>
        <v>1706</v>
      </c>
    </row>
    <row r="312" spans="1:13" x14ac:dyDescent="0.15">
      <c r="A312" s="6">
        <v>501801</v>
      </c>
      <c r="B312" t="str">
        <f>VLOOKUP(M312,[1]地图配置辅助表!$A$3:$E$229,4,FALSE)</f>
        <v>难度1（马仔经验）</v>
      </c>
      <c r="D312">
        <f>VLOOKUP(M312,[1]地图配置辅助表!$A$3:$E$229,5,FALSE)</f>
        <v>12</v>
      </c>
      <c r="E312">
        <v>0</v>
      </c>
      <c r="F312">
        <v>0</v>
      </c>
      <c r="G312" s="8">
        <f t="shared" si="47"/>
        <v>240</v>
      </c>
      <c r="K312">
        <v>3</v>
      </c>
      <c r="M312">
        <f t="shared" si="59"/>
        <v>1801</v>
      </c>
    </row>
    <row r="313" spans="1:13" x14ac:dyDescent="0.15">
      <c r="A313" s="6">
        <v>501802</v>
      </c>
      <c r="B313" t="str">
        <f>VLOOKUP(M313,[1]地图配置辅助表!$A$3:$E$229,4,FALSE)</f>
        <v>难度2（马仔经验）</v>
      </c>
      <c r="D313">
        <f>VLOOKUP(M313,[1]地图配置辅助表!$A$3:$E$229,5,FALSE)</f>
        <v>12</v>
      </c>
      <c r="E313">
        <v>0</v>
      </c>
      <c r="F313">
        <v>0</v>
      </c>
      <c r="G313" s="8">
        <f t="shared" si="47"/>
        <v>240</v>
      </c>
      <c r="K313">
        <v>3</v>
      </c>
      <c r="M313">
        <f t="shared" si="59"/>
        <v>1802</v>
      </c>
    </row>
    <row r="314" spans="1:13" x14ac:dyDescent="0.15">
      <c r="A314" s="6">
        <v>501803</v>
      </c>
      <c r="B314" t="str">
        <f>VLOOKUP(M314,[1]地图配置辅助表!$A$3:$E$229,4,FALSE)</f>
        <v>难度3（马仔经验）</v>
      </c>
      <c r="D314">
        <f>VLOOKUP(M314,[1]地图配置辅助表!$A$3:$E$229,5,FALSE)</f>
        <v>12</v>
      </c>
      <c r="E314">
        <v>0</v>
      </c>
      <c r="F314">
        <v>0</v>
      </c>
      <c r="G314" s="8">
        <f t="shared" si="47"/>
        <v>240</v>
      </c>
      <c r="K314">
        <v>3</v>
      </c>
      <c r="M314">
        <f t="shared" si="59"/>
        <v>1803</v>
      </c>
    </row>
    <row r="315" spans="1:13" x14ac:dyDescent="0.15">
      <c r="A315" s="6">
        <v>501804</v>
      </c>
      <c r="B315" t="str">
        <f>VLOOKUP(M315,[1]地图配置辅助表!$A$3:$E$229,4,FALSE)</f>
        <v>难度4（马仔经验）</v>
      </c>
      <c r="D315">
        <f>VLOOKUP(M315,[1]地图配置辅助表!$A$3:$E$229,5,FALSE)</f>
        <v>12</v>
      </c>
      <c r="E315">
        <v>0</v>
      </c>
      <c r="F315">
        <v>0</v>
      </c>
      <c r="G315" s="8">
        <f t="shared" si="47"/>
        <v>240</v>
      </c>
      <c r="K315">
        <v>3</v>
      </c>
      <c r="M315">
        <f t="shared" si="59"/>
        <v>1804</v>
      </c>
    </row>
    <row r="316" spans="1:13" x14ac:dyDescent="0.15">
      <c r="A316" s="6">
        <v>501805</v>
      </c>
      <c r="B316" t="str">
        <f>VLOOKUP(M316,[1]地图配置辅助表!$A$3:$E$229,4,FALSE)</f>
        <v>难度5（马仔经验）</v>
      </c>
      <c r="D316">
        <f>VLOOKUP(M316,[1]地图配置辅助表!$A$3:$E$229,5,FALSE)</f>
        <v>12</v>
      </c>
      <c r="E316">
        <v>0</v>
      </c>
      <c r="F316">
        <v>0</v>
      </c>
      <c r="G316" s="8">
        <f t="shared" si="47"/>
        <v>240</v>
      </c>
      <c r="K316">
        <v>3</v>
      </c>
      <c r="M316">
        <f t="shared" si="59"/>
        <v>1805</v>
      </c>
    </row>
    <row r="317" spans="1:13" x14ac:dyDescent="0.15">
      <c r="A317" s="6">
        <v>501806</v>
      </c>
      <c r="B317" t="str">
        <f>VLOOKUP(M317,[1]地图配置辅助表!$A$3:$E$229,4,FALSE)</f>
        <v>难度6（马仔经验）</v>
      </c>
      <c r="D317">
        <f>VLOOKUP(M317,[1]地图配置辅助表!$A$3:$E$229,5,FALSE)</f>
        <v>12</v>
      </c>
      <c r="E317">
        <v>0</v>
      </c>
      <c r="F317">
        <v>0</v>
      </c>
      <c r="G317" s="8">
        <f t="shared" si="47"/>
        <v>240</v>
      </c>
      <c r="K317">
        <v>3</v>
      </c>
      <c r="M317">
        <f t="shared" si="59"/>
        <v>1806</v>
      </c>
    </row>
    <row r="318" spans="1:13" x14ac:dyDescent="0.15">
      <c r="A318">
        <v>510101</v>
      </c>
      <c r="B318" t="s">
        <v>861</v>
      </c>
      <c r="D318">
        <v>0</v>
      </c>
      <c r="E318">
        <f>ROUND(VLOOKUP(A318,[6]D_远征奖励!$D:$G,4,FALSE)*0.9,0)</f>
        <v>7133</v>
      </c>
      <c r="F318">
        <f>ROUND(VLOOKUP(A318,[6]D_远征奖励!$D:$G,4,FALSE)*1,0)</f>
        <v>7926</v>
      </c>
      <c r="G318">
        <v>0</v>
      </c>
      <c r="H318">
        <v>0</v>
      </c>
      <c r="I318">
        <f>ROUND([5]命币的投放!$H13,0)</f>
        <v>2978</v>
      </c>
      <c r="J318">
        <v>0</v>
      </c>
      <c r="K318" s="8">
        <v>1</v>
      </c>
      <c r="L318">
        <v>100101</v>
      </c>
      <c r="M318" s="8">
        <v>700101</v>
      </c>
    </row>
    <row r="319" spans="1:13" x14ac:dyDescent="0.15">
      <c r="A319">
        <v>510102</v>
      </c>
      <c r="B319" t="s">
        <v>862</v>
      </c>
      <c r="D319">
        <v>0</v>
      </c>
      <c r="E319">
        <f>ROUND(VLOOKUP(A319,[6]D_远征奖励!$D:$G,4,FALSE)*0.9,0)</f>
        <v>8025</v>
      </c>
      <c r="F319">
        <f>ROUND(VLOOKUP(A319,[6]D_远征奖励!$D:$G,4,FALSE)*1,0)</f>
        <v>8917</v>
      </c>
      <c r="G319">
        <v>0</v>
      </c>
      <c r="H319">
        <v>0</v>
      </c>
      <c r="I319">
        <f>ROUND([5]命币的投放!$H14,0)</f>
        <v>3541</v>
      </c>
      <c r="J319">
        <v>0</v>
      </c>
      <c r="K319" s="8">
        <v>1</v>
      </c>
      <c r="L319">
        <v>100102</v>
      </c>
      <c r="M319" s="8">
        <v>700102</v>
      </c>
    </row>
    <row r="320" spans="1:13" x14ac:dyDescent="0.15">
      <c r="A320">
        <v>510103</v>
      </c>
      <c r="B320" t="s">
        <v>863</v>
      </c>
      <c r="D320">
        <v>0</v>
      </c>
      <c r="E320">
        <f>ROUND(VLOOKUP(A320,[6]D_远征奖励!$D:$G,4,FALSE)*0.9,0)</f>
        <v>9029</v>
      </c>
      <c r="F320">
        <f>ROUND(VLOOKUP(A320,[6]D_远征奖励!$D:$G,4,FALSE)*1,0)</f>
        <v>10032</v>
      </c>
      <c r="G320">
        <v>0</v>
      </c>
      <c r="H320">
        <v>0</v>
      </c>
      <c r="I320">
        <f>ROUND([5]命币的投放!$H15,0)</f>
        <v>4978</v>
      </c>
      <c r="J320">
        <v>0</v>
      </c>
      <c r="K320" s="8">
        <v>2</v>
      </c>
      <c r="L320">
        <v>100103</v>
      </c>
      <c r="M320" s="8">
        <v>700103</v>
      </c>
    </row>
    <row r="321" spans="1:13" x14ac:dyDescent="0.15">
      <c r="A321">
        <v>510104</v>
      </c>
      <c r="B321" t="s">
        <v>864</v>
      </c>
      <c r="D321">
        <v>0</v>
      </c>
      <c r="E321">
        <f>ROUND(VLOOKUP(A321,[6]D_远征奖励!$D:$G,4,FALSE)*0.9,0)</f>
        <v>8025</v>
      </c>
      <c r="F321">
        <f>ROUND(VLOOKUP(A321,[6]D_远征奖励!$D:$G,4,FALSE)*1,0)</f>
        <v>8917</v>
      </c>
      <c r="G321">
        <v>0</v>
      </c>
      <c r="H321">
        <v>0</v>
      </c>
      <c r="I321">
        <f>ROUND([5]命币的投放!$H16,0)</f>
        <v>3578</v>
      </c>
      <c r="J321">
        <v>0</v>
      </c>
      <c r="K321" s="8">
        <v>1</v>
      </c>
      <c r="L321">
        <v>100104</v>
      </c>
      <c r="M321" s="8">
        <v>700104</v>
      </c>
    </row>
    <row r="322" spans="1:13" x14ac:dyDescent="0.15">
      <c r="A322">
        <v>510105</v>
      </c>
      <c r="B322" t="s">
        <v>865</v>
      </c>
      <c r="D322">
        <v>0</v>
      </c>
      <c r="E322">
        <f>ROUND(VLOOKUP(A322,[6]D_远征奖励!$D:$G,4,FALSE)*0.9,0)</f>
        <v>9029</v>
      </c>
      <c r="F322">
        <f>ROUND(VLOOKUP(A322,[6]D_远征奖励!$D:$G,4,FALSE)*1,0)</f>
        <v>10032</v>
      </c>
      <c r="G322">
        <v>0</v>
      </c>
      <c r="H322">
        <v>0</v>
      </c>
      <c r="I322">
        <f>ROUND([5]命币的投放!$H17,0)</f>
        <v>4123</v>
      </c>
      <c r="J322">
        <v>0</v>
      </c>
      <c r="K322" s="8">
        <v>1</v>
      </c>
      <c r="L322">
        <v>100105</v>
      </c>
      <c r="M322" s="8">
        <v>700105</v>
      </c>
    </row>
    <row r="323" spans="1:13" x14ac:dyDescent="0.15">
      <c r="A323">
        <v>510106</v>
      </c>
      <c r="B323" t="s">
        <v>866</v>
      </c>
      <c r="D323">
        <v>0</v>
      </c>
      <c r="E323">
        <f>ROUND(VLOOKUP(A323,[6]D_远征奖励!$D:$G,4,FALSE)*0.9,0)</f>
        <v>10157</v>
      </c>
      <c r="F323">
        <f>ROUND(VLOOKUP(A323,[6]D_远征奖励!$D:$G,4,FALSE)*1,0)</f>
        <v>11286</v>
      </c>
      <c r="G323">
        <v>0</v>
      </c>
      <c r="H323">
        <v>0</v>
      </c>
      <c r="I323">
        <f>ROUND([5]命币的投放!$H18,0)</f>
        <v>5808</v>
      </c>
      <c r="J323">
        <v>0</v>
      </c>
      <c r="K323" s="8">
        <v>2</v>
      </c>
      <c r="L323">
        <v>100106</v>
      </c>
      <c r="M323" s="8">
        <v>700106</v>
      </c>
    </row>
    <row r="324" spans="1:13" x14ac:dyDescent="0.15">
      <c r="A324">
        <v>510107</v>
      </c>
      <c r="B324" t="s">
        <v>867</v>
      </c>
      <c r="D324">
        <v>0</v>
      </c>
      <c r="E324">
        <f>ROUND(VLOOKUP(A324,[6]D_远征奖励!$D:$G,4,FALSE)*0.9,0)</f>
        <v>9029</v>
      </c>
      <c r="F324">
        <f>ROUND(VLOOKUP(A324,[6]D_远征奖励!$D:$G,4,FALSE)*1,0)</f>
        <v>10032</v>
      </c>
      <c r="G324">
        <v>0</v>
      </c>
      <c r="H324">
        <v>0</v>
      </c>
      <c r="I324">
        <f>ROUND([5]命币的投放!$H19,0)</f>
        <v>4218</v>
      </c>
      <c r="J324">
        <v>0</v>
      </c>
      <c r="K324" s="8">
        <v>1</v>
      </c>
      <c r="L324">
        <v>100107</v>
      </c>
      <c r="M324" s="8">
        <v>700107</v>
      </c>
    </row>
    <row r="325" spans="1:13" x14ac:dyDescent="0.15">
      <c r="A325">
        <v>510108</v>
      </c>
      <c r="B325" t="s">
        <v>868</v>
      </c>
      <c r="D325">
        <v>0</v>
      </c>
      <c r="E325">
        <f>ROUND(VLOOKUP(A325,[6]D_远征奖励!$D:$G,4,FALSE)*0.9,0)</f>
        <v>10157</v>
      </c>
      <c r="F325">
        <f>ROUND(VLOOKUP(A325,[6]D_远征奖励!$D:$G,4,FALSE)*1,0)</f>
        <v>11286</v>
      </c>
      <c r="G325">
        <v>0</v>
      </c>
      <c r="H325">
        <v>0</v>
      </c>
      <c r="I325">
        <f>ROUND([5]命币的投放!$H20,0)</f>
        <v>4720</v>
      </c>
      <c r="J325">
        <v>0</v>
      </c>
      <c r="K325" s="8">
        <v>1</v>
      </c>
      <c r="L325">
        <v>100108</v>
      </c>
      <c r="M325" s="8">
        <v>700108</v>
      </c>
    </row>
    <row r="326" spans="1:13" x14ac:dyDescent="0.15">
      <c r="A326">
        <v>510109</v>
      </c>
      <c r="B326" t="s">
        <v>869</v>
      </c>
      <c r="D326">
        <v>0</v>
      </c>
      <c r="E326">
        <f>ROUND(VLOOKUP(A326,[6]D_远征奖励!$D:$G,4,FALSE)*0.9,0)</f>
        <v>11426</v>
      </c>
      <c r="F326">
        <f>ROUND(VLOOKUP(A326,[6]D_远征奖励!$D:$G,4,FALSE)*1,0)</f>
        <v>12696</v>
      </c>
      <c r="G326">
        <v>0</v>
      </c>
      <c r="H326">
        <v>0</v>
      </c>
      <c r="I326">
        <f>ROUND([5]命币的投放!$H21,0)</f>
        <v>6672</v>
      </c>
      <c r="J326">
        <v>0</v>
      </c>
      <c r="K326" s="8">
        <v>3</v>
      </c>
      <c r="L326">
        <v>100109</v>
      </c>
      <c r="M326" s="8">
        <v>700109</v>
      </c>
    </row>
    <row r="327" spans="1:13" x14ac:dyDescent="0.15">
      <c r="A327">
        <v>510110</v>
      </c>
      <c r="B327" t="s">
        <v>870</v>
      </c>
      <c r="D327">
        <v>0</v>
      </c>
      <c r="E327">
        <f>ROUND(VLOOKUP(A327,[6]D_远征奖励!$D:$G,4,FALSE)*0.9,0)</f>
        <v>10157</v>
      </c>
      <c r="F327">
        <f>ROUND(VLOOKUP(A327,[6]D_远征奖励!$D:$G,4,FALSE)*1,0)</f>
        <v>11286</v>
      </c>
      <c r="G327">
        <v>0</v>
      </c>
      <c r="H327">
        <v>0</v>
      </c>
      <c r="I327">
        <f>ROUND([5]命币的投放!$H22,0)</f>
        <v>4899</v>
      </c>
      <c r="J327">
        <v>0</v>
      </c>
      <c r="K327" s="8">
        <v>1</v>
      </c>
      <c r="L327">
        <v>100110</v>
      </c>
      <c r="M327" s="8">
        <v>700110</v>
      </c>
    </row>
    <row r="328" spans="1:13" x14ac:dyDescent="0.15">
      <c r="A328">
        <v>510111</v>
      </c>
      <c r="B328" t="s">
        <v>871</v>
      </c>
      <c r="D328">
        <v>0</v>
      </c>
      <c r="E328">
        <f>ROUND(VLOOKUP(A328,[6]D_远征奖励!$D:$G,4,FALSE)*0.9,0)</f>
        <v>11426</v>
      </c>
      <c r="F328">
        <f>ROUND(VLOOKUP(A328,[6]D_远征奖励!$D:$G,4,FALSE)*1,0)</f>
        <v>12696</v>
      </c>
      <c r="G328">
        <v>0</v>
      </c>
      <c r="H328">
        <v>0</v>
      </c>
      <c r="I328">
        <f>ROUND([5]命币的投放!$H23,0)</f>
        <v>5332</v>
      </c>
      <c r="J328">
        <v>0</v>
      </c>
      <c r="K328" s="8">
        <v>1</v>
      </c>
      <c r="L328">
        <v>100111</v>
      </c>
      <c r="M328" s="8">
        <v>700111</v>
      </c>
    </row>
    <row r="329" spans="1:13" x14ac:dyDescent="0.15">
      <c r="A329">
        <v>510112</v>
      </c>
      <c r="B329" t="s">
        <v>872</v>
      </c>
      <c r="D329">
        <v>0</v>
      </c>
      <c r="E329">
        <f>ROUND(VLOOKUP(A329,[6]D_远征奖励!$D:$G,4,FALSE)*0.9,0)</f>
        <v>12855</v>
      </c>
      <c r="F329">
        <f>ROUND(VLOOKUP(A329,[6]D_远征奖励!$D:$G,4,FALSE)*1,0)</f>
        <v>14283</v>
      </c>
      <c r="G329">
        <v>0</v>
      </c>
      <c r="H329">
        <v>0</v>
      </c>
      <c r="I329">
        <f>ROUND([5]命币的投放!$H24,0)</f>
        <v>7571</v>
      </c>
      <c r="J329">
        <v>0</v>
      </c>
      <c r="K329" s="8">
        <v>3</v>
      </c>
      <c r="L329">
        <v>100112</v>
      </c>
      <c r="M329" s="8">
        <v>700112</v>
      </c>
    </row>
    <row r="330" spans="1:13" x14ac:dyDescent="0.15">
      <c r="A330">
        <v>510113</v>
      </c>
      <c r="B330" t="s">
        <v>873</v>
      </c>
      <c r="D330">
        <v>0</v>
      </c>
      <c r="E330">
        <f>ROUND(VLOOKUP(A330,[6]D_远征奖励!$D:$G,4,FALSE)*0.9,0)</f>
        <v>11426</v>
      </c>
      <c r="F330">
        <f>ROUND(VLOOKUP(A330,[6]D_远征奖励!$D:$G,4,FALSE)*1,0)</f>
        <v>12696</v>
      </c>
      <c r="G330">
        <v>0</v>
      </c>
      <c r="H330">
        <v>0</v>
      </c>
      <c r="I330">
        <f>ROUND([5]命币的投放!$H25,0)</f>
        <v>5621</v>
      </c>
      <c r="J330">
        <v>0</v>
      </c>
      <c r="K330" s="8">
        <v>1</v>
      </c>
      <c r="L330">
        <v>100113</v>
      </c>
      <c r="M330" s="8">
        <v>700113</v>
      </c>
    </row>
    <row r="331" spans="1:13" x14ac:dyDescent="0.15">
      <c r="A331">
        <v>510114</v>
      </c>
      <c r="B331" t="s">
        <v>874</v>
      </c>
      <c r="D331">
        <v>0</v>
      </c>
      <c r="E331">
        <f>ROUND(VLOOKUP(A331,[6]D_远征奖励!$D:$G,4,FALSE)*0.9,0)</f>
        <v>12855</v>
      </c>
      <c r="F331">
        <f>ROUND(VLOOKUP(A331,[6]D_远征奖励!$D:$G,4,FALSE)*1,0)</f>
        <v>14283</v>
      </c>
      <c r="G331">
        <v>0</v>
      </c>
      <c r="H331">
        <v>0</v>
      </c>
      <c r="I331">
        <f>ROUND([5]命币的投放!$H26,0)</f>
        <v>5960</v>
      </c>
      <c r="J331">
        <v>0</v>
      </c>
      <c r="K331" s="8">
        <v>1</v>
      </c>
      <c r="L331">
        <v>100114</v>
      </c>
      <c r="M331" s="8">
        <v>700114</v>
      </c>
    </row>
    <row r="332" spans="1:13" x14ac:dyDescent="0.15">
      <c r="A332">
        <v>510115</v>
      </c>
      <c r="B332" t="s">
        <v>875</v>
      </c>
      <c r="D332">
        <v>0</v>
      </c>
      <c r="E332">
        <f>ROUND(VLOOKUP(A332,[6]D_远征奖励!$D:$G,4,FALSE)*0.9,0)</f>
        <v>14462</v>
      </c>
      <c r="F332">
        <f>ROUND(VLOOKUP(A332,[6]D_远征奖励!$D:$G,4,FALSE)*1,0)</f>
        <v>16069</v>
      </c>
      <c r="G332">
        <v>0</v>
      </c>
      <c r="H332">
        <v>0</v>
      </c>
      <c r="I332">
        <f>ROUND([5]命币的投放!$H27,0)</f>
        <v>8572</v>
      </c>
      <c r="J332">
        <v>0</v>
      </c>
      <c r="K332" s="8">
        <v>4</v>
      </c>
      <c r="L332">
        <v>100115</v>
      </c>
      <c r="M332" s="8">
        <v>700115</v>
      </c>
    </row>
    <row r="333" spans="1:13" x14ac:dyDescent="0.15">
      <c r="A333">
        <v>510201</v>
      </c>
      <c r="B333" t="s">
        <v>876</v>
      </c>
      <c r="D333">
        <v>0</v>
      </c>
      <c r="E333">
        <f>ROUND(VLOOKUP(A333,[6]D_远征奖励!$D:$G,4,FALSE)*0.9,0)</f>
        <v>8322</v>
      </c>
      <c r="F333">
        <f>ROUND(VLOOKUP(A333,[6]D_远征奖励!$D:$G,4,FALSE)*1,0)</f>
        <v>9247</v>
      </c>
      <c r="G333">
        <v>0</v>
      </c>
      <c r="H333">
        <v>0</v>
      </c>
      <c r="I333">
        <f>ROUND([5]命币的投放!$H28,0)</f>
        <v>3362</v>
      </c>
      <c r="J333">
        <v>0</v>
      </c>
      <c r="K333" s="8">
        <v>1</v>
      </c>
      <c r="L333">
        <f>L318+100</f>
        <v>100201</v>
      </c>
      <c r="M333" s="8">
        <f t="shared" ref="M333:M396" si="60">M318+100</f>
        <v>700201</v>
      </c>
    </row>
    <row r="334" spans="1:13" x14ac:dyDescent="0.15">
      <c r="A334">
        <v>510202</v>
      </c>
      <c r="B334" t="s">
        <v>877</v>
      </c>
      <c r="D334">
        <v>0</v>
      </c>
      <c r="E334">
        <f>ROUND(VLOOKUP(A334,[6]D_远征奖励!$D:$G,4,FALSE)*0.9,0)</f>
        <v>9363</v>
      </c>
      <c r="F334">
        <f>ROUND(VLOOKUP(A334,[6]D_远征奖励!$D:$G,4,FALSE)*1,0)</f>
        <v>10403</v>
      </c>
      <c r="G334">
        <v>0</v>
      </c>
      <c r="H334">
        <v>0</v>
      </c>
      <c r="I334">
        <f>ROUND([5]命币的投放!$H29,0)</f>
        <v>3986</v>
      </c>
      <c r="J334">
        <v>0</v>
      </c>
      <c r="K334" s="8">
        <v>1</v>
      </c>
      <c r="L334">
        <f t="shared" ref="L334:L397" si="61">L319+100</f>
        <v>100202</v>
      </c>
      <c r="M334" s="8">
        <f t="shared" si="60"/>
        <v>700202</v>
      </c>
    </row>
    <row r="335" spans="1:13" x14ac:dyDescent="0.15">
      <c r="A335">
        <v>510203</v>
      </c>
      <c r="B335" t="s">
        <v>878</v>
      </c>
      <c r="D335">
        <v>0</v>
      </c>
      <c r="E335">
        <f>ROUND(VLOOKUP(A335,[6]D_远征奖励!$D:$G,4,FALSE)*0.9,0)</f>
        <v>10534</v>
      </c>
      <c r="F335">
        <f>ROUND(VLOOKUP(A335,[6]D_远征奖励!$D:$G,4,FALSE)*1,0)</f>
        <v>11704</v>
      </c>
      <c r="G335">
        <v>0</v>
      </c>
      <c r="H335">
        <v>0</v>
      </c>
      <c r="I335">
        <f>ROUND([5]命币的投放!$H30,0)</f>
        <v>5589</v>
      </c>
      <c r="J335">
        <v>0</v>
      </c>
      <c r="K335" s="8">
        <v>2</v>
      </c>
      <c r="L335">
        <f t="shared" si="61"/>
        <v>100203</v>
      </c>
      <c r="M335" s="8">
        <f t="shared" si="60"/>
        <v>700203</v>
      </c>
    </row>
    <row r="336" spans="1:13" x14ac:dyDescent="0.15">
      <c r="A336">
        <v>510204</v>
      </c>
      <c r="B336" t="s">
        <v>879</v>
      </c>
      <c r="D336">
        <v>0</v>
      </c>
      <c r="E336">
        <f>ROUND(VLOOKUP(A336,[6]D_远征奖励!$D:$G,4,FALSE)*0.9,0)</f>
        <v>9363</v>
      </c>
      <c r="F336">
        <f>ROUND(VLOOKUP(A336,[6]D_远征奖励!$D:$G,4,FALSE)*1,0)</f>
        <v>10403</v>
      </c>
      <c r="G336">
        <v>0</v>
      </c>
      <c r="H336">
        <v>0</v>
      </c>
      <c r="I336">
        <f>ROUND([5]命币的投放!$H31,0)</f>
        <v>4008</v>
      </c>
      <c r="J336">
        <v>0</v>
      </c>
      <c r="K336" s="8">
        <v>1</v>
      </c>
      <c r="L336">
        <f t="shared" si="61"/>
        <v>100204</v>
      </c>
      <c r="M336" s="8">
        <f t="shared" si="60"/>
        <v>700204</v>
      </c>
    </row>
    <row r="337" spans="1:18" x14ac:dyDescent="0.15">
      <c r="A337">
        <v>510205</v>
      </c>
      <c r="B337" t="s">
        <v>880</v>
      </c>
      <c r="D337">
        <v>0</v>
      </c>
      <c r="E337">
        <f>ROUND(VLOOKUP(A337,[6]D_远征奖励!$D:$G,4,FALSE)*0.9,0)</f>
        <v>10534</v>
      </c>
      <c r="F337">
        <f>ROUND(VLOOKUP(A337,[6]D_远征奖励!$D:$G,4,FALSE)*1,0)</f>
        <v>11704</v>
      </c>
      <c r="G337">
        <v>0</v>
      </c>
      <c r="H337">
        <v>0</v>
      </c>
      <c r="I337">
        <f>ROUND([5]命币的投放!$H32,0)</f>
        <v>4609</v>
      </c>
      <c r="J337">
        <v>0</v>
      </c>
      <c r="K337" s="8">
        <v>1</v>
      </c>
      <c r="L337">
        <f t="shared" si="61"/>
        <v>100205</v>
      </c>
      <c r="M337" s="8">
        <f t="shared" si="60"/>
        <v>700205</v>
      </c>
    </row>
    <row r="338" spans="1:18" x14ac:dyDescent="0.15">
      <c r="A338">
        <v>510206</v>
      </c>
      <c r="B338" t="s">
        <v>881</v>
      </c>
      <c r="D338">
        <v>0</v>
      </c>
      <c r="E338">
        <f>ROUND(VLOOKUP(A338,[6]D_远征奖励!$D:$G,4,FALSE)*0.9,0)</f>
        <v>11850</v>
      </c>
      <c r="F338">
        <f>ROUND(VLOOKUP(A338,[6]D_远征奖励!$D:$G,4,FALSE)*1,0)</f>
        <v>13167</v>
      </c>
      <c r="G338">
        <v>0</v>
      </c>
      <c r="H338">
        <v>0</v>
      </c>
      <c r="I338">
        <f>ROUND([5]命币的投放!$H33,0)</f>
        <v>6480</v>
      </c>
      <c r="J338">
        <v>0</v>
      </c>
      <c r="K338" s="8">
        <v>2</v>
      </c>
      <c r="L338">
        <f t="shared" si="61"/>
        <v>100206</v>
      </c>
      <c r="M338" s="8">
        <f t="shared" si="60"/>
        <v>700206</v>
      </c>
    </row>
    <row r="339" spans="1:18" x14ac:dyDescent="0.15">
      <c r="A339">
        <v>510207</v>
      </c>
      <c r="B339" t="s">
        <v>882</v>
      </c>
      <c r="D339">
        <v>0</v>
      </c>
      <c r="E339">
        <f>ROUND(VLOOKUP(A339,[6]D_远征奖励!$D:$G,4,FALSE)*0.9,0)</f>
        <v>10534</v>
      </c>
      <c r="F339">
        <f>ROUND(VLOOKUP(A339,[6]D_远征奖励!$D:$G,4,FALSE)*1,0)</f>
        <v>11704</v>
      </c>
      <c r="G339">
        <v>0</v>
      </c>
      <c r="H339">
        <v>0</v>
      </c>
      <c r="I339">
        <f>ROUND([5]命币的投放!$H34,0)</f>
        <v>4697</v>
      </c>
      <c r="J339">
        <v>0</v>
      </c>
      <c r="K339" s="8">
        <v>1</v>
      </c>
      <c r="L339">
        <f t="shared" si="61"/>
        <v>100207</v>
      </c>
      <c r="M339" s="8">
        <f t="shared" si="60"/>
        <v>700207</v>
      </c>
    </row>
    <row r="340" spans="1:18" x14ac:dyDescent="0.15">
      <c r="A340">
        <v>510208</v>
      </c>
      <c r="B340" t="s">
        <v>883</v>
      </c>
      <c r="D340">
        <v>0</v>
      </c>
      <c r="E340">
        <f>ROUND(VLOOKUP(A340,[6]D_远征奖励!$D:$G,4,FALSE)*0.9,0)</f>
        <v>11850</v>
      </c>
      <c r="F340">
        <f>ROUND(VLOOKUP(A340,[6]D_远征奖励!$D:$G,4,FALSE)*1,0)</f>
        <v>13167</v>
      </c>
      <c r="G340">
        <v>0</v>
      </c>
      <c r="H340">
        <v>0</v>
      </c>
      <c r="I340">
        <f>ROUND([5]命币的投放!$H35,0)</f>
        <v>5246</v>
      </c>
      <c r="J340">
        <v>0</v>
      </c>
      <c r="K340" s="8">
        <v>1</v>
      </c>
      <c r="L340">
        <f t="shared" si="61"/>
        <v>100208</v>
      </c>
      <c r="M340" s="8">
        <f t="shared" si="60"/>
        <v>700208</v>
      </c>
    </row>
    <row r="341" spans="1:18" x14ac:dyDescent="0.15">
      <c r="A341">
        <v>510209</v>
      </c>
      <c r="B341" t="s">
        <v>884</v>
      </c>
      <c r="D341">
        <v>0</v>
      </c>
      <c r="E341">
        <f>ROUND(VLOOKUP(A341,[6]D_远征奖励!$D:$G,4,FALSE)*0.9,0)</f>
        <v>13332</v>
      </c>
      <c r="F341">
        <f>ROUND(VLOOKUP(A341,[6]D_远征奖励!$D:$G,4,FALSE)*1,0)</f>
        <v>14813</v>
      </c>
      <c r="G341">
        <v>0</v>
      </c>
      <c r="H341">
        <v>0</v>
      </c>
      <c r="I341">
        <f>ROUND([5]命币的投放!$H36,0)</f>
        <v>7404</v>
      </c>
      <c r="J341">
        <v>0</v>
      </c>
      <c r="K341" s="8">
        <v>3</v>
      </c>
      <c r="L341">
        <f t="shared" si="61"/>
        <v>100209</v>
      </c>
      <c r="M341" s="8">
        <f t="shared" si="60"/>
        <v>700209</v>
      </c>
    </row>
    <row r="342" spans="1:18" x14ac:dyDescent="0.15">
      <c r="A342">
        <v>510210</v>
      </c>
      <c r="B342" t="s">
        <v>885</v>
      </c>
      <c r="D342">
        <v>0</v>
      </c>
      <c r="E342">
        <f>ROUND(VLOOKUP(A342,[6]D_远征奖励!$D:$G,4,FALSE)*0.9,0)</f>
        <v>11850</v>
      </c>
      <c r="F342">
        <f>ROUND(VLOOKUP(A342,[6]D_远征奖励!$D:$G,4,FALSE)*1,0)</f>
        <v>13167</v>
      </c>
      <c r="G342">
        <v>0</v>
      </c>
      <c r="H342">
        <v>0</v>
      </c>
      <c r="I342">
        <f>ROUND([5]命币的投放!$H37,0)</f>
        <v>5427</v>
      </c>
      <c r="J342">
        <v>0</v>
      </c>
      <c r="K342" s="8">
        <v>1</v>
      </c>
      <c r="L342">
        <f t="shared" si="61"/>
        <v>100210</v>
      </c>
      <c r="M342" s="8">
        <f t="shared" si="60"/>
        <v>700210</v>
      </c>
    </row>
    <row r="343" spans="1:18" x14ac:dyDescent="0.15">
      <c r="A343">
        <v>510211</v>
      </c>
      <c r="B343" t="s">
        <v>886</v>
      </c>
      <c r="D343">
        <v>0</v>
      </c>
      <c r="E343">
        <f>ROUND(VLOOKUP(A343,[6]D_远征奖励!$D:$G,4,FALSE)*0.9,0)</f>
        <v>13332</v>
      </c>
      <c r="F343">
        <f>ROUND(VLOOKUP(A343,[6]D_远征奖励!$D:$G,4,FALSE)*1,0)</f>
        <v>14813</v>
      </c>
      <c r="G343">
        <v>0</v>
      </c>
      <c r="H343">
        <v>0</v>
      </c>
      <c r="I343">
        <f>ROUND([5]命币的投放!$H38,0)</f>
        <v>5899</v>
      </c>
      <c r="J343">
        <v>0</v>
      </c>
      <c r="K343" s="8">
        <v>1</v>
      </c>
      <c r="L343">
        <f t="shared" si="61"/>
        <v>100211</v>
      </c>
      <c r="M343" s="8">
        <f t="shared" si="60"/>
        <v>700211</v>
      </c>
    </row>
    <row r="344" spans="1:18" x14ac:dyDescent="0.15">
      <c r="A344">
        <v>510212</v>
      </c>
      <c r="B344" t="s">
        <v>887</v>
      </c>
      <c r="D344">
        <v>0</v>
      </c>
      <c r="E344">
        <f>ROUND(VLOOKUP(A344,[6]D_远征奖励!$D:$G,4,FALSE)*0.9,0)</f>
        <v>14998</v>
      </c>
      <c r="F344">
        <f>ROUND(VLOOKUP(A344,[6]D_远征奖励!$D:$G,4,FALSE)*1,0)</f>
        <v>16664</v>
      </c>
      <c r="G344">
        <v>0</v>
      </c>
      <c r="H344">
        <v>0</v>
      </c>
      <c r="I344">
        <f>ROUND([5]命币的投放!$H39,0)</f>
        <v>8364</v>
      </c>
      <c r="J344">
        <v>0</v>
      </c>
      <c r="K344" s="8">
        <v>3</v>
      </c>
      <c r="L344">
        <f t="shared" si="61"/>
        <v>100212</v>
      </c>
      <c r="M344" s="8">
        <f t="shared" si="60"/>
        <v>700212</v>
      </c>
    </row>
    <row r="345" spans="1:18" x14ac:dyDescent="0.15">
      <c r="A345">
        <v>510213</v>
      </c>
      <c r="B345" t="s">
        <v>888</v>
      </c>
      <c r="D345">
        <v>0</v>
      </c>
      <c r="E345">
        <f>ROUND(VLOOKUP(A345,[6]D_远征奖励!$D:$G,4,FALSE)*0.9,0)</f>
        <v>13332</v>
      </c>
      <c r="F345">
        <f>ROUND(VLOOKUP(A345,[6]D_远征奖励!$D:$G,4,FALSE)*1,0)</f>
        <v>14813</v>
      </c>
      <c r="G345">
        <v>0</v>
      </c>
      <c r="H345">
        <v>0</v>
      </c>
      <c r="I345">
        <f>ROUND([5]命币的投放!$H40,0)</f>
        <v>6202</v>
      </c>
      <c r="J345">
        <v>0</v>
      </c>
      <c r="K345" s="8">
        <v>1</v>
      </c>
      <c r="L345">
        <f t="shared" si="61"/>
        <v>100213</v>
      </c>
      <c r="M345" s="8">
        <f t="shared" si="60"/>
        <v>700213</v>
      </c>
    </row>
    <row r="346" spans="1:18" x14ac:dyDescent="0.15">
      <c r="A346">
        <v>510214</v>
      </c>
      <c r="B346" t="s">
        <v>889</v>
      </c>
      <c r="D346">
        <v>0</v>
      </c>
      <c r="E346">
        <f>ROUND(VLOOKUP(A346,[6]D_远征奖励!$D:$G,4,FALSE)*0.9,0)</f>
        <v>14998</v>
      </c>
      <c r="F346">
        <f>ROUND(VLOOKUP(A346,[6]D_远征奖励!$D:$G,4,FALSE)*1,0)</f>
        <v>16664</v>
      </c>
      <c r="G346">
        <v>0</v>
      </c>
      <c r="H346">
        <v>0</v>
      </c>
      <c r="I346">
        <f>ROUND([5]命币的投放!$H41,0)</f>
        <v>6567</v>
      </c>
      <c r="J346">
        <v>0</v>
      </c>
      <c r="K346" s="8">
        <v>1</v>
      </c>
      <c r="L346">
        <f t="shared" si="61"/>
        <v>100214</v>
      </c>
      <c r="M346" s="8">
        <f t="shared" si="60"/>
        <v>700214</v>
      </c>
    </row>
    <row r="347" spans="1:18" x14ac:dyDescent="0.15">
      <c r="A347">
        <v>510215</v>
      </c>
      <c r="B347" t="s">
        <v>890</v>
      </c>
      <c r="D347">
        <v>0</v>
      </c>
      <c r="E347">
        <f>ROUND(VLOOKUP(A347,[6]D_远征奖励!$D:$G,4,FALSE)*0.9,0)</f>
        <v>16872</v>
      </c>
      <c r="F347">
        <f>ROUND(VLOOKUP(A347,[6]D_远征奖励!$D:$G,4,FALSE)*1,0)</f>
        <v>18747</v>
      </c>
      <c r="G347">
        <v>0</v>
      </c>
      <c r="H347">
        <v>0</v>
      </c>
      <c r="I347">
        <f>ROUND([5]命币的投放!$H42,0)</f>
        <v>9435</v>
      </c>
      <c r="J347">
        <v>0</v>
      </c>
      <c r="K347" s="8">
        <v>4</v>
      </c>
      <c r="L347">
        <f t="shared" si="61"/>
        <v>100215</v>
      </c>
      <c r="M347" s="8">
        <f t="shared" si="60"/>
        <v>700215</v>
      </c>
    </row>
    <row r="348" spans="1:18" x14ac:dyDescent="0.15">
      <c r="A348">
        <v>510301</v>
      </c>
      <c r="B348" t="s">
        <v>891</v>
      </c>
      <c r="D348">
        <v>0</v>
      </c>
      <c r="E348">
        <f>ROUND(VLOOKUP(A348,[6]D_远征奖励!$D:$G,4,FALSE)*0.9,0)</f>
        <v>9511</v>
      </c>
      <c r="F348">
        <f>ROUND(VLOOKUP(A348,[6]D_远征奖励!$D:$G,4,FALSE)*1,0)</f>
        <v>10568</v>
      </c>
      <c r="G348">
        <v>0</v>
      </c>
      <c r="H348">
        <v>0</v>
      </c>
      <c r="I348">
        <f>ROUND([5]命币的投放!$H43,0)</f>
        <v>3768</v>
      </c>
      <c r="J348">
        <v>0</v>
      </c>
      <c r="K348" s="8">
        <v>1</v>
      </c>
      <c r="L348">
        <f t="shared" si="61"/>
        <v>100301</v>
      </c>
      <c r="M348" s="8">
        <f t="shared" si="60"/>
        <v>700301</v>
      </c>
    </row>
    <row r="349" spans="1:18" x14ac:dyDescent="0.15">
      <c r="A349">
        <v>510302</v>
      </c>
      <c r="B349" t="s">
        <v>892</v>
      </c>
      <c r="D349">
        <v>0</v>
      </c>
      <c r="E349">
        <f>ROUND(VLOOKUP(A349,[6]D_远征奖励!$D:$G,4,FALSE)*0.9,0)</f>
        <v>10700</v>
      </c>
      <c r="F349">
        <f>ROUND(VLOOKUP(A349,[6]D_远征奖励!$D:$G,4,FALSE)*1,0)</f>
        <v>11889</v>
      </c>
      <c r="G349">
        <v>0</v>
      </c>
      <c r="H349">
        <v>0</v>
      </c>
      <c r="I349">
        <f>ROUND([5]命币的投放!$H44,0)</f>
        <v>4457</v>
      </c>
      <c r="J349">
        <v>0</v>
      </c>
      <c r="K349" s="8">
        <v>1</v>
      </c>
      <c r="L349">
        <f t="shared" si="61"/>
        <v>100302</v>
      </c>
      <c r="M349" s="8">
        <f t="shared" si="60"/>
        <v>700302</v>
      </c>
    </row>
    <row r="350" spans="1:18" x14ac:dyDescent="0.15">
      <c r="A350">
        <v>510303</v>
      </c>
      <c r="B350" t="s">
        <v>893</v>
      </c>
      <c r="D350">
        <v>0</v>
      </c>
      <c r="E350">
        <f>ROUND(VLOOKUP(A350,[6]D_远征奖励!$D:$G,4,FALSE)*0.9,0)</f>
        <v>12038</v>
      </c>
      <c r="F350">
        <f>ROUND(VLOOKUP(A350,[6]D_远征奖励!$D:$G,4,FALSE)*1,0)</f>
        <v>13376</v>
      </c>
      <c r="G350">
        <v>0</v>
      </c>
      <c r="H350">
        <v>0</v>
      </c>
      <c r="I350">
        <f>ROUND([5]命币的投放!$H45,0)</f>
        <v>6235</v>
      </c>
      <c r="J350">
        <v>0</v>
      </c>
      <c r="K350" s="8">
        <v>2</v>
      </c>
      <c r="L350">
        <f t="shared" si="61"/>
        <v>100303</v>
      </c>
      <c r="M350" s="8">
        <f t="shared" si="60"/>
        <v>700303</v>
      </c>
    </row>
    <row r="351" spans="1:18" x14ac:dyDescent="0.15">
      <c r="A351">
        <v>510304</v>
      </c>
      <c r="B351" t="s">
        <v>894</v>
      </c>
      <c r="D351">
        <v>0</v>
      </c>
      <c r="E351">
        <f>ROUND(VLOOKUP(A351,[6]D_远征奖励!$D:$G,4,FALSE)*0.9,0)</f>
        <v>10700</v>
      </c>
      <c r="F351">
        <f>ROUND(VLOOKUP(A351,[6]D_远征奖励!$D:$G,4,FALSE)*1,0)</f>
        <v>11889</v>
      </c>
      <c r="G351">
        <v>0</v>
      </c>
      <c r="H351">
        <v>0</v>
      </c>
      <c r="I351">
        <f>ROUND([5]命币的投放!$H46,0)</f>
        <v>4462</v>
      </c>
      <c r="J351">
        <v>0</v>
      </c>
      <c r="K351" s="8">
        <v>1</v>
      </c>
      <c r="L351">
        <f t="shared" si="61"/>
        <v>100304</v>
      </c>
      <c r="M351" s="8">
        <f t="shared" si="60"/>
        <v>700304</v>
      </c>
    </row>
    <row r="352" spans="1:18" x14ac:dyDescent="0.15">
      <c r="A352">
        <v>510305</v>
      </c>
      <c r="B352" t="s">
        <v>895</v>
      </c>
      <c r="D352">
        <v>0</v>
      </c>
      <c r="E352">
        <f>ROUND(VLOOKUP(A352,[6]D_远征奖励!$D:$G,4,FALSE)*0.9,0)</f>
        <v>12038</v>
      </c>
      <c r="F352">
        <f>ROUND(VLOOKUP(A352,[6]D_远征奖励!$D:$G,4,FALSE)*1,0)</f>
        <v>13376</v>
      </c>
      <c r="G352">
        <v>0</v>
      </c>
      <c r="H352">
        <v>0</v>
      </c>
      <c r="I352">
        <f>ROUND([5]命币的投放!$H47,0)</f>
        <v>5120</v>
      </c>
      <c r="J352">
        <v>0</v>
      </c>
      <c r="K352" s="8">
        <v>1</v>
      </c>
      <c r="L352">
        <f t="shared" si="61"/>
        <v>100305</v>
      </c>
      <c r="M352" s="8">
        <f t="shared" si="60"/>
        <v>700305</v>
      </c>
      <c r="R352">
        <f>'[5]装备&amp;装备材料的投放'!$AH$36</f>
        <v>0.71400254176785605</v>
      </c>
    </row>
    <row r="353" spans="1:21" x14ac:dyDescent="0.15">
      <c r="A353">
        <v>510306</v>
      </c>
      <c r="B353" t="s">
        <v>896</v>
      </c>
      <c r="D353">
        <v>0</v>
      </c>
      <c r="E353">
        <f>ROUND(VLOOKUP(A353,[6]D_远征奖励!$D:$G,4,FALSE)*0.9,0)</f>
        <v>13543</v>
      </c>
      <c r="F353">
        <f>ROUND(VLOOKUP(A353,[6]D_远征奖励!$D:$G,4,FALSE)*1,0)</f>
        <v>15048</v>
      </c>
      <c r="G353">
        <v>0</v>
      </c>
      <c r="H353">
        <v>0</v>
      </c>
      <c r="I353">
        <f>ROUND([5]命币的投放!$H48,0)</f>
        <v>7185</v>
      </c>
      <c r="J353">
        <v>0</v>
      </c>
      <c r="K353" s="8">
        <v>2</v>
      </c>
      <c r="L353">
        <f t="shared" si="61"/>
        <v>100306</v>
      </c>
      <c r="M353" s="8">
        <f t="shared" si="60"/>
        <v>700306</v>
      </c>
      <c r="P353" t="s">
        <v>455</v>
      </c>
      <c r="Q353">
        <f>(D_普通掉落表!AG665*D_普通掉落表!AH665)/10000/IF((D_普通掉落表!AL670+D_普通掉落表!AH665+D_普通掉落表!AD665+D_普通掉落表!Z665+D_普通掉落表!V665+D_普通掉落表!R665+D_普通掉落表!N665+D_普通掉落表!J665)/10000&gt;K353,(D_普通掉落表!AL670+D_普通掉落表!AH665+D_普通掉落表!AD665+D_普通掉落表!Z665+D_普通掉落表!V665+D_普通掉落表!R665+D_普通掉落表!N665+D_普通掉落表!J665)/10000,1)</f>
        <v>0</v>
      </c>
      <c r="R353">
        <f>IFERROR(AVERAGEIF(Q353:Q482,"&gt;0"),0)</f>
        <v>0</v>
      </c>
    </row>
    <row r="354" spans="1:21" x14ac:dyDescent="0.15">
      <c r="A354">
        <v>510307</v>
      </c>
      <c r="B354" t="s">
        <v>897</v>
      </c>
      <c r="D354">
        <v>0</v>
      </c>
      <c r="E354">
        <f>ROUND(VLOOKUP(A354,[6]D_远征奖励!$D:$G,4,FALSE)*0.9,0)</f>
        <v>12038</v>
      </c>
      <c r="F354">
        <f>ROUND(VLOOKUP(A354,[6]D_远征奖励!$D:$G,4,FALSE)*1,0)</f>
        <v>13376</v>
      </c>
      <c r="G354">
        <v>0</v>
      </c>
      <c r="H354">
        <v>0</v>
      </c>
      <c r="I354">
        <f>ROUND([5]命币的投放!$H49,0)</f>
        <v>5199</v>
      </c>
      <c r="J354">
        <v>0</v>
      </c>
      <c r="K354" s="8">
        <v>1</v>
      </c>
      <c r="L354">
        <f t="shared" si="61"/>
        <v>100307</v>
      </c>
      <c r="M354" s="8">
        <f t="shared" si="60"/>
        <v>700307</v>
      </c>
      <c r="Q354">
        <f>(D_普通掉落表!AG666*D_普通掉落表!AH666)/10000/IF((D_普通掉落表!AL671+D_普通掉落表!AH666+D_普通掉落表!AD666+D_普通掉落表!Z666+D_普通掉落表!V666+D_普通掉落表!R666+D_普通掉落表!N666+D_普通掉落表!J666)/10000&gt;K354,(D_普通掉落表!AL671+D_普通掉落表!AH666+D_普通掉落表!AD666+D_普通掉落表!Z666+D_普通掉落表!V666+D_普通掉落表!R666+D_普通掉落表!N666+D_普通掉落表!J666)/10000,1)</f>
        <v>0</v>
      </c>
    </row>
    <row r="355" spans="1:21" x14ac:dyDescent="0.15">
      <c r="A355">
        <v>510308</v>
      </c>
      <c r="B355" t="s">
        <v>898</v>
      </c>
      <c r="D355">
        <v>0</v>
      </c>
      <c r="E355">
        <f>ROUND(VLOOKUP(A355,[6]D_远征奖励!$D:$G,4,FALSE)*0.9,0)</f>
        <v>13543</v>
      </c>
      <c r="F355">
        <f>ROUND(VLOOKUP(A355,[6]D_远征奖励!$D:$G,4,FALSE)*1,0)</f>
        <v>15048</v>
      </c>
      <c r="G355">
        <v>0</v>
      </c>
      <c r="H355">
        <v>0</v>
      </c>
      <c r="I355">
        <f>ROUND([5]命币的投放!$H50,0)</f>
        <v>5798</v>
      </c>
      <c r="J355">
        <v>0</v>
      </c>
      <c r="K355" s="8">
        <v>1</v>
      </c>
      <c r="L355">
        <f t="shared" si="61"/>
        <v>100308</v>
      </c>
      <c r="M355" s="8">
        <f t="shared" si="60"/>
        <v>700308</v>
      </c>
      <c r="Q355">
        <f>(D_普通掉落表!AG667*D_普通掉落表!AH667)/10000/IF((D_普通掉落表!AL672+D_普通掉落表!AH667+D_普通掉落表!AD667+D_普通掉落表!Z667+D_普通掉落表!V667+D_普通掉落表!R667+D_普通掉落表!N667+D_普通掉落表!J667)/10000&gt;K355,(D_普通掉落表!AL672+D_普通掉落表!AH667+D_普通掉落表!AD667+D_普通掉落表!Z667+D_普通掉落表!V667+D_普通掉落表!R667+D_普通掉落表!N667+D_普通掉落表!J667)/10000,1)</f>
        <v>0</v>
      </c>
    </row>
    <row r="356" spans="1:21" x14ac:dyDescent="0.15">
      <c r="A356">
        <v>510309</v>
      </c>
      <c r="B356" t="s">
        <v>899</v>
      </c>
      <c r="D356">
        <v>0</v>
      </c>
      <c r="E356">
        <f>ROUND(VLOOKUP(A356,[6]D_远征奖励!$D:$G,4,FALSE)*0.9,0)</f>
        <v>15236</v>
      </c>
      <c r="F356">
        <f>ROUND(VLOOKUP(A356,[6]D_远征奖励!$D:$G,4,FALSE)*1,0)</f>
        <v>16929</v>
      </c>
      <c r="G356">
        <v>0</v>
      </c>
      <c r="H356">
        <v>0</v>
      </c>
      <c r="I356">
        <f>ROUND([5]命币的投放!$H51,0)</f>
        <v>8171</v>
      </c>
      <c r="J356">
        <v>0</v>
      </c>
      <c r="K356" s="8">
        <v>3</v>
      </c>
      <c r="L356">
        <f t="shared" si="61"/>
        <v>100309</v>
      </c>
      <c r="M356" s="8">
        <f t="shared" si="60"/>
        <v>700309</v>
      </c>
      <c r="Q356">
        <f>(D_普通掉落表!AG668*D_普通掉落表!AH668)/10000/IF((D_普通掉落表!AL673+D_普通掉落表!AH668+D_普通掉落表!AD668+D_普通掉落表!Z668+D_普通掉落表!V668+D_普通掉落表!R668+D_普通掉落表!N668+D_普通掉落表!J668)/10000&gt;K356,(D_普通掉落表!AL673+D_普通掉落表!AH668+D_普通掉落表!AD668+D_普通掉落表!Z668+D_普通掉落表!V668+D_普通掉落表!R668+D_普通掉落表!N668+D_普通掉落表!J668)/10000,1)</f>
        <v>0</v>
      </c>
    </row>
    <row r="357" spans="1:21" x14ac:dyDescent="0.15">
      <c r="A357">
        <v>510310</v>
      </c>
      <c r="B357" t="s">
        <v>900</v>
      </c>
      <c r="D357">
        <v>0</v>
      </c>
      <c r="E357">
        <f>ROUND(VLOOKUP(A357,[6]D_远征奖励!$D:$G,4,FALSE)*0.9,0)</f>
        <v>13543</v>
      </c>
      <c r="F357">
        <f>ROUND(VLOOKUP(A357,[6]D_远征奖励!$D:$G,4,FALSE)*1,0)</f>
        <v>15048</v>
      </c>
      <c r="G357">
        <v>0</v>
      </c>
      <c r="H357">
        <v>0</v>
      </c>
      <c r="I357">
        <f>ROUND([5]命币的投放!$H52,0)</f>
        <v>5980</v>
      </c>
      <c r="J357">
        <v>0</v>
      </c>
      <c r="K357" s="8">
        <v>1</v>
      </c>
      <c r="L357">
        <f t="shared" si="61"/>
        <v>100310</v>
      </c>
      <c r="M357" s="8">
        <f t="shared" si="60"/>
        <v>700310</v>
      </c>
      <c r="Q357">
        <f>(D_普通掉落表!AG669*D_普通掉落表!AH669)/10000/IF((D_普通掉落表!AL674+D_普通掉落表!AH669+D_普通掉落表!AD669+D_普通掉落表!Z669+D_普通掉落表!V669+D_普通掉落表!R669+D_普通掉落表!N669+D_普通掉落表!J669)/10000&gt;K357,(D_普通掉落表!AL674+D_普通掉落表!AH669+D_普通掉落表!AD669+D_普通掉落表!Z669+D_普通掉落表!V669+D_普通掉落表!R669+D_普通掉落表!N669+D_普通掉落表!J669)/10000,1)</f>
        <v>0</v>
      </c>
      <c r="U357">
        <f>'[5]装备&amp;装备材料的投放'!$AH$37</f>
        <v>0.67123124089359087</v>
      </c>
    </row>
    <row r="358" spans="1:21" x14ac:dyDescent="0.15">
      <c r="A358">
        <v>510311</v>
      </c>
      <c r="B358" t="s">
        <v>901</v>
      </c>
      <c r="D358">
        <v>0</v>
      </c>
      <c r="E358">
        <f>ROUND(VLOOKUP(A358,[6]D_远征奖励!$D:$G,4,FALSE)*0.9,0)</f>
        <v>15236</v>
      </c>
      <c r="F358">
        <f>ROUND(VLOOKUP(A358,[6]D_远征奖励!$D:$G,4,FALSE)*1,0)</f>
        <v>16929</v>
      </c>
      <c r="G358">
        <v>0</v>
      </c>
      <c r="H358">
        <v>0</v>
      </c>
      <c r="I358">
        <f>ROUND([5]命币的投放!$H53,0)</f>
        <v>6491</v>
      </c>
      <c r="J358">
        <v>0</v>
      </c>
      <c r="K358" s="8">
        <v>1</v>
      </c>
      <c r="L358">
        <f t="shared" si="61"/>
        <v>100311</v>
      </c>
      <c r="M358" s="8">
        <f t="shared" si="60"/>
        <v>700311</v>
      </c>
      <c r="Q358">
        <f>(D_普通掉落表!AG670*D_普通掉落表!AH670)/10000/IF((D_普通掉落表!AL675+D_普通掉落表!AH670+D_普通掉落表!AD670+D_普通掉落表!Z670+D_普通掉落表!V670+D_普通掉落表!R670+D_普通掉落表!N670+D_普通掉落表!J670)/10000&gt;K358,(D_普通掉落表!AL675+D_普通掉落表!AH670+D_普通掉落表!AD670+D_普通掉落表!Z670+D_普通掉落表!V670+D_普通掉落表!R670+D_普通掉落表!N670+D_普通掉落表!J670)/10000,1)</f>
        <v>0</v>
      </c>
      <c r="S358" t="s">
        <v>456</v>
      </c>
      <c r="T358">
        <f>(D_普通掉落表!AG670*D_普通掉落表!AL670)/10000/IF((D_普通掉落表!AL670+D_普通掉落表!AH670+D_普通掉落表!AD670+D_普通掉落表!Z670+D_普通掉落表!V670+D_普通掉落表!R670+D_普通掉落表!N670+D_普通掉落表!J670)/10000&gt;K358,(D_普通掉落表!AL670+D_普通掉落表!AH670+D_普通掉落表!AD670+D_普通掉落表!Z670+D_普通掉落表!V670+D_普通掉落表!R670+D_普通掉落表!N670+D_普通掉落表!J670)/10000,1)</f>
        <v>0</v>
      </c>
      <c r="U358">
        <f>IFERROR(AVERAGEIF(T358:T482,"&gt;0"),0)</f>
        <v>1</v>
      </c>
    </row>
    <row r="359" spans="1:21" x14ac:dyDescent="0.15">
      <c r="A359">
        <v>510312</v>
      </c>
      <c r="B359" t="s">
        <v>902</v>
      </c>
      <c r="D359">
        <v>0</v>
      </c>
      <c r="E359">
        <f>ROUND(VLOOKUP(A359,[6]D_远征奖励!$D:$G,4,FALSE)*0.9,0)</f>
        <v>17141</v>
      </c>
      <c r="F359">
        <f>ROUND(VLOOKUP(A359,[6]D_远征奖励!$D:$G,4,FALSE)*1,0)</f>
        <v>19045</v>
      </c>
      <c r="G359">
        <v>0</v>
      </c>
      <c r="H359">
        <v>0</v>
      </c>
      <c r="I359">
        <f>ROUND([5]命币的投放!$H54,0)</f>
        <v>9192</v>
      </c>
      <c r="J359">
        <v>0</v>
      </c>
      <c r="K359" s="8">
        <v>3</v>
      </c>
      <c r="L359">
        <f t="shared" si="61"/>
        <v>100312</v>
      </c>
      <c r="M359" s="8">
        <f t="shared" si="60"/>
        <v>700312</v>
      </c>
      <c r="Q359">
        <f>(D_普通掉落表!AG671*D_普通掉落表!AH671)/10000/IF((D_普通掉落表!AL676+D_普通掉落表!AH671+D_普通掉落表!AD671+D_普通掉落表!Z671+D_普通掉落表!V671+D_普通掉落表!R671+D_普通掉落表!N671+D_普通掉落表!J671)/10000&gt;K359,(D_普通掉落表!AL676+D_普通掉落表!AH671+D_普通掉落表!AD671+D_普通掉落表!Z671+D_普通掉落表!V671+D_普通掉落表!R671+D_普通掉落表!N671+D_普通掉落表!J671)/10000,1)</f>
        <v>0</v>
      </c>
      <c r="T359">
        <f>(D_普通掉落表!AG671*D_普通掉落表!AL671)/10000/IF((D_普通掉落表!AL671+D_普通掉落表!AH671+D_普通掉落表!AD671+D_普通掉落表!Z671+D_普通掉落表!V671+D_普通掉落表!R671+D_普通掉落表!N671+D_普通掉落表!J671)/10000&gt;K359,(D_普通掉落表!AL671+D_普通掉落表!AH671+D_普通掉落表!AD671+D_普通掉落表!Z671+D_普通掉落表!V671+D_普通掉落表!R671+D_普通掉落表!N671+D_普通掉落表!J671)/10000,1)</f>
        <v>0</v>
      </c>
    </row>
    <row r="360" spans="1:21" x14ac:dyDescent="0.15">
      <c r="A360">
        <v>510313</v>
      </c>
      <c r="B360" t="s">
        <v>903</v>
      </c>
      <c r="D360">
        <v>0</v>
      </c>
      <c r="E360">
        <f>ROUND(VLOOKUP(A360,[6]D_远征奖励!$D:$G,4,FALSE)*0.9,0)</f>
        <v>15236</v>
      </c>
      <c r="F360">
        <f>ROUND(VLOOKUP(A360,[6]D_远征奖励!$D:$G,4,FALSE)*1,0)</f>
        <v>16929</v>
      </c>
      <c r="G360">
        <v>0</v>
      </c>
      <c r="H360">
        <v>0</v>
      </c>
      <c r="I360">
        <f>ROUND([5]命币的投放!$H55,0)</f>
        <v>6808</v>
      </c>
      <c r="J360">
        <v>0</v>
      </c>
      <c r="K360" s="8">
        <v>1</v>
      </c>
      <c r="L360">
        <f t="shared" si="61"/>
        <v>100313</v>
      </c>
      <c r="M360" s="8">
        <f t="shared" si="60"/>
        <v>700313</v>
      </c>
      <c r="Q360">
        <f>(D_普通掉落表!AG672*D_普通掉落表!AH672)/10000/IF((D_普通掉落表!AL677+D_普通掉落表!AH672+D_普通掉落表!AD672+D_普通掉落表!Z672+D_普通掉落表!V672+D_普通掉落表!R672+D_普通掉落表!N672+D_普通掉落表!J672)/10000&gt;K360,(D_普通掉落表!AL677+D_普通掉落表!AH672+D_普通掉落表!AD672+D_普通掉落表!Z672+D_普通掉落表!V672+D_普通掉落表!R672+D_普通掉落表!N672+D_普通掉落表!J672)/10000,1)</f>
        <v>0</v>
      </c>
      <c r="T360">
        <f>(D_普通掉落表!AG672*D_普通掉落表!AL672)/10000/IF((D_普通掉落表!AL672+D_普通掉落表!AH672+D_普通掉落表!AD672+D_普通掉落表!Z672+D_普通掉落表!V672+D_普通掉落表!R672+D_普通掉落表!N672+D_普通掉落表!J672)/10000&gt;K360,(D_普通掉落表!AL672+D_普通掉落表!AH672+D_普通掉落表!AD672+D_普通掉落表!Z672+D_普通掉落表!V672+D_普通掉落表!R672+D_普通掉落表!N672+D_普通掉落表!J672)/10000,1)</f>
        <v>0</v>
      </c>
    </row>
    <row r="361" spans="1:21" x14ac:dyDescent="0.15">
      <c r="A361">
        <v>510314</v>
      </c>
      <c r="B361" t="s">
        <v>904</v>
      </c>
      <c r="D361">
        <v>0</v>
      </c>
      <c r="E361">
        <f>ROUND(VLOOKUP(A361,[6]D_远征奖励!$D:$G,4,FALSE)*0.9,0)</f>
        <v>17141</v>
      </c>
      <c r="F361">
        <f>ROUND(VLOOKUP(A361,[6]D_远征奖励!$D:$G,4,FALSE)*1,0)</f>
        <v>19045</v>
      </c>
      <c r="G361">
        <v>0</v>
      </c>
      <c r="H361">
        <v>0</v>
      </c>
      <c r="I361">
        <f>ROUND([5]命币的投放!$H56,0)</f>
        <v>7200</v>
      </c>
      <c r="J361">
        <v>0</v>
      </c>
      <c r="K361" s="8">
        <v>1</v>
      </c>
      <c r="L361">
        <f t="shared" si="61"/>
        <v>100314</v>
      </c>
      <c r="M361" s="8">
        <f t="shared" si="60"/>
        <v>700314</v>
      </c>
      <c r="Q361">
        <f>(D_普通掉落表!AG673*D_普通掉落表!AH673)/10000/IF((D_普通掉落表!AL678+D_普通掉落表!AH673+D_普通掉落表!AD673+D_普通掉落表!Z673+D_普通掉落表!V673+D_普通掉落表!R673+D_普通掉落表!N673+D_普通掉落表!J673)/10000&gt;K361,(D_普通掉落表!AL678+D_普通掉落表!AH673+D_普通掉落表!AD673+D_普通掉落表!Z673+D_普通掉落表!V673+D_普通掉落表!R673+D_普通掉落表!N673+D_普通掉落表!J673)/10000,1)</f>
        <v>0</v>
      </c>
      <c r="T361">
        <f>(D_普通掉落表!AG673*D_普通掉落表!AL673)/10000/IF((D_普通掉落表!AL673+D_普通掉落表!AH673+D_普通掉落表!AD673+D_普通掉落表!Z673+D_普通掉落表!V673+D_普通掉落表!R673+D_普通掉落表!N673+D_普通掉落表!J673)/10000&gt;K361,(D_普通掉落表!AL673+D_普通掉落表!AH673+D_普通掉落表!AD673+D_普通掉落表!Z673+D_普通掉落表!V673+D_普通掉落表!R673+D_普通掉落表!N673+D_普通掉落表!J673)/10000,1)</f>
        <v>0</v>
      </c>
    </row>
    <row r="362" spans="1:21" x14ac:dyDescent="0.15">
      <c r="A362">
        <v>510315</v>
      </c>
      <c r="B362" t="s">
        <v>905</v>
      </c>
      <c r="D362">
        <v>0</v>
      </c>
      <c r="E362">
        <f>ROUND(VLOOKUP(A362,[6]D_远征奖励!$D:$G,4,FALSE)*0.9,0)</f>
        <v>19283</v>
      </c>
      <c r="F362">
        <f>ROUND(VLOOKUP(A362,[6]D_远征奖励!$D:$G,4,FALSE)*1,0)</f>
        <v>21425</v>
      </c>
      <c r="G362">
        <v>0</v>
      </c>
      <c r="H362">
        <v>0</v>
      </c>
      <c r="I362">
        <f>ROUND([5]命币的投放!$H57,0)</f>
        <v>10333</v>
      </c>
      <c r="J362">
        <v>0</v>
      </c>
      <c r="K362" s="8">
        <v>4</v>
      </c>
      <c r="L362">
        <f t="shared" si="61"/>
        <v>100315</v>
      </c>
      <c r="M362" s="8">
        <f t="shared" si="60"/>
        <v>700315</v>
      </c>
      <c r="Q362">
        <v>0</v>
      </c>
      <c r="T362">
        <f>(D_普通掉落表!AG674*D_普通掉落表!AH674)/10000/IF((D_普通掉落表!AL679+D_普通掉落表!AH674+D_普通掉落表!AD674+D_普通掉落表!Z674+D_普通掉落表!V674+D_普通掉落表!R674+D_普通掉落表!N674+D_普通掉落表!J674)/10000&gt;K362,(D_普通掉落表!AL679+D_普通掉落表!AH674+D_普通掉落表!AD674+D_普通掉落表!Z674+D_普通掉落表!V674+D_普通掉落表!R674+D_普通掉落表!N674+D_普通掉落表!J674)/10000,1)</f>
        <v>1</v>
      </c>
    </row>
    <row r="363" spans="1:21" x14ac:dyDescent="0.15">
      <c r="A363">
        <v>510401</v>
      </c>
      <c r="B363" t="s">
        <v>165</v>
      </c>
      <c r="D363">
        <v>0</v>
      </c>
      <c r="E363">
        <f>ROUND(VLOOKUP(A363,[6]D_远征奖励!$D:$G,4,FALSE)*0.9,0)</f>
        <v>10700</v>
      </c>
      <c r="F363">
        <f>ROUND(VLOOKUP(A363,[6]D_远征奖励!$D:$G,4,FALSE)*1,0)</f>
        <v>11889</v>
      </c>
      <c r="G363">
        <v>0</v>
      </c>
      <c r="H363">
        <v>0</v>
      </c>
      <c r="I363">
        <f>ROUND([5]命币的投放!$H58,0)</f>
        <v>4197</v>
      </c>
      <c r="J363">
        <v>0</v>
      </c>
      <c r="K363" s="8">
        <v>1</v>
      </c>
      <c r="L363">
        <f t="shared" si="61"/>
        <v>100401</v>
      </c>
      <c r="M363" s="8">
        <f t="shared" si="60"/>
        <v>700401</v>
      </c>
      <c r="Q363">
        <f>(D_普通掉落表!AG675*D_普通掉落表!AH675)/10000/IF((D_普通掉落表!AL680+D_普通掉落表!AH675+D_普通掉落表!AD675+D_普通掉落表!Z675+D_普通掉落表!V675+D_普通掉落表!R675+D_普通掉落表!N675+D_普通掉落表!J675)/10000&gt;K363,(D_普通掉落表!AL680+D_普通掉落表!AH675+D_普通掉落表!AD675+D_普通掉落表!Z675+D_普通掉落表!V675+D_普通掉落表!R675+D_普通掉落表!N675+D_普通掉落表!J675)/10000,1)</f>
        <v>0</v>
      </c>
      <c r="T363">
        <f>(D_普通掉落表!AG675*D_普通掉落表!AL675)/10000/IF((D_普通掉落表!AL675+D_普通掉落表!AH675+D_普通掉落表!AD675+D_普通掉落表!Z675+D_普通掉落表!V675+D_普通掉落表!R675+D_普通掉落表!N675+D_普通掉落表!J675)/10000&gt;K363,(D_普通掉落表!AL675+D_普通掉落表!AH675+D_普通掉落表!AD675+D_普通掉落表!Z675+D_普通掉落表!V675+D_普通掉落表!R675+D_普通掉落表!N675+D_普通掉落表!J675)/10000,1)</f>
        <v>0</v>
      </c>
    </row>
    <row r="364" spans="1:21" x14ac:dyDescent="0.15">
      <c r="A364">
        <v>510402</v>
      </c>
      <c r="B364" t="s">
        <v>166</v>
      </c>
      <c r="D364">
        <v>0</v>
      </c>
      <c r="E364">
        <f>ROUND(VLOOKUP(A364,[6]D_远征奖励!$D:$G,4,FALSE)*0.9,0)</f>
        <v>12038</v>
      </c>
      <c r="F364">
        <f>ROUND(VLOOKUP(A364,[6]D_远征奖励!$D:$G,4,FALSE)*1,0)</f>
        <v>13376</v>
      </c>
      <c r="G364">
        <v>0</v>
      </c>
      <c r="H364">
        <v>0</v>
      </c>
      <c r="I364">
        <f>ROUND([5]命币的投放!$H59,0)</f>
        <v>4953</v>
      </c>
      <c r="J364">
        <v>0</v>
      </c>
      <c r="K364" s="8">
        <v>1</v>
      </c>
      <c r="L364">
        <f t="shared" si="61"/>
        <v>100402</v>
      </c>
      <c r="M364" s="8">
        <f t="shared" si="60"/>
        <v>700402</v>
      </c>
      <c r="Q364">
        <f>(D_普通掉落表!AG676*D_普通掉落表!AH676)/10000/IF((D_普通掉落表!AL681+D_普通掉落表!AH676+D_普通掉落表!AD676+D_普通掉落表!Z676+D_普通掉落表!V676+D_普通掉落表!R676+D_普通掉落表!N676+D_普通掉落表!J676)/10000&gt;K364,(D_普通掉落表!AL681+D_普通掉落表!AH676+D_普通掉落表!AD676+D_普通掉落表!Z676+D_普通掉落表!V676+D_普通掉落表!R676+D_普通掉落表!N676+D_普通掉落表!J676)/10000,1)</f>
        <v>0</v>
      </c>
      <c r="T364">
        <f>(D_普通掉落表!AG676*D_普通掉落表!AL676)/10000/IF((D_普通掉落表!AL676+D_普通掉落表!AH676+D_普通掉落表!AD676+D_普通掉落表!Z676+D_普通掉落表!V676+D_普通掉落表!R676+D_普通掉落表!N676+D_普通掉落表!J676)/10000&gt;K364,(D_普通掉落表!AL676+D_普通掉落表!AH676+D_普通掉落表!AD676+D_普通掉落表!Z676+D_普通掉落表!V676+D_普通掉落表!R676+D_普通掉落表!N676+D_普通掉落表!J676)/10000,1)</f>
        <v>0</v>
      </c>
    </row>
    <row r="365" spans="1:21" x14ac:dyDescent="0.15">
      <c r="A365">
        <v>510403</v>
      </c>
      <c r="B365" t="s">
        <v>167</v>
      </c>
      <c r="D365">
        <v>0</v>
      </c>
      <c r="E365">
        <f>ROUND(VLOOKUP(A365,[6]D_远征奖励!$D:$G,4,FALSE)*0.9,0)</f>
        <v>13543</v>
      </c>
      <c r="F365">
        <f>ROUND(VLOOKUP(A365,[6]D_远征奖励!$D:$G,4,FALSE)*1,0)</f>
        <v>15048</v>
      </c>
      <c r="G365">
        <v>0</v>
      </c>
      <c r="H365">
        <v>0</v>
      </c>
      <c r="I365">
        <f>ROUND([5]命币的投放!$H60,0)</f>
        <v>6914</v>
      </c>
      <c r="J365">
        <v>0</v>
      </c>
      <c r="K365" s="8">
        <v>2</v>
      </c>
      <c r="L365">
        <f t="shared" si="61"/>
        <v>100403</v>
      </c>
      <c r="M365" s="8">
        <f t="shared" si="60"/>
        <v>700403</v>
      </c>
      <c r="Q365">
        <f>(D_普通掉落表!AG677*D_普通掉落表!AH677)/10000/IF((D_普通掉落表!AL682+D_普通掉落表!AH677+D_普通掉落表!AD677+D_普通掉落表!Z677+D_普通掉落表!V677+D_普通掉落表!R677+D_普通掉落表!N677+D_普通掉落表!J677)/10000&gt;K365,(D_普通掉落表!AL682+D_普通掉落表!AH677+D_普通掉落表!AD677+D_普通掉落表!Z677+D_普通掉落表!V677+D_普通掉落表!R677+D_普通掉落表!N677+D_普通掉落表!J677)/10000,1)</f>
        <v>0</v>
      </c>
      <c r="T365">
        <f>(D_普通掉落表!AG677*D_普通掉落表!AL677)/10000/IF((D_普通掉落表!AL677+D_普通掉落表!AH677+D_普通掉落表!AD677+D_普通掉落表!Z677+D_普通掉落表!V677+D_普通掉落表!R677+D_普通掉落表!N677+D_普通掉落表!J677)/10000&gt;K365,(D_普通掉落表!AL677+D_普通掉落表!AH677+D_普通掉落表!AD677+D_普通掉落表!Z677+D_普通掉落表!V677+D_普通掉落表!R677+D_普通掉落表!N677+D_普通掉落表!J677)/10000,1)</f>
        <v>0</v>
      </c>
    </row>
    <row r="366" spans="1:21" x14ac:dyDescent="0.15">
      <c r="A366">
        <v>510404</v>
      </c>
      <c r="B366" t="s">
        <v>168</v>
      </c>
      <c r="D366">
        <v>0</v>
      </c>
      <c r="E366">
        <f>ROUND(VLOOKUP(A366,[6]D_远征奖励!$D:$G,4,FALSE)*0.9,0)</f>
        <v>12038</v>
      </c>
      <c r="F366">
        <f>ROUND(VLOOKUP(A366,[6]D_远征奖励!$D:$G,4,FALSE)*1,0)</f>
        <v>13376</v>
      </c>
      <c r="G366">
        <v>0</v>
      </c>
      <c r="H366">
        <v>0</v>
      </c>
      <c r="I366">
        <f>ROUND([5]命币的投放!$H61,0)</f>
        <v>4938</v>
      </c>
      <c r="J366">
        <v>0</v>
      </c>
      <c r="K366" s="8">
        <v>1</v>
      </c>
      <c r="L366">
        <f t="shared" si="61"/>
        <v>100404</v>
      </c>
      <c r="M366" s="8">
        <f t="shared" si="60"/>
        <v>700404</v>
      </c>
      <c r="Q366">
        <f>(D_普通掉落表!AG678*D_普通掉落表!AH678)/10000/IF((D_普通掉落表!AL683+D_普通掉落表!AH678+D_普通掉落表!AD678+D_普通掉落表!Z678+D_普通掉落表!V678+D_普通掉落表!R678+D_普通掉落表!N678+D_普通掉落表!J678)/10000&gt;K366,(D_普通掉落表!AL683+D_普通掉落表!AH678+D_普通掉落表!AD678+D_普通掉落表!Z678+D_普通掉落表!V678+D_普通掉落表!R678+D_普通掉落表!N678+D_普通掉落表!J678)/10000,1)</f>
        <v>0</v>
      </c>
      <c r="T366">
        <f>(D_普通掉落表!AG678*D_普通掉落表!AL678)/10000/IF((D_普通掉落表!AL678+D_普通掉落表!AH678+D_普通掉落表!AD678+D_普通掉落表!Z678+D_普通掉落表!V678+D_普通掉落表!R678+D_普通掉落表!N678+D_普通掉落表!J678)/10000&gt;K366,(D_普通掉落表!AL678+D_普通掉落表!AH678+D_普通掉落表!AD678+D_普通掉落表!Z678+D_普通掉落表!V678+D_普通掉落表!R678+D_普通掉落表!N678+D_普通掉落表!J678)/10000,1)</f>
        <v>0</v>
      </c>
    </row>
    <row r="367" spans="1:21" x14ac:dyDescent="0.15">
      <c r="A367">
        <v>510405</v>
      </c>
      <c r="B367" t="s">
        <v>169</v>
      </c>
      <c r="D367">
        <v>0</v>
      </c>
      <c r="E367">
        <f>ROUND(VLOOKUP(A367,[6]D_远征奖励!$D:$G,4,FALSE)*0.9,0)</f>
        <v>13543</v>
      </c>
      <c r="F367">
        <f>ROUND(VLOOKUP(A367,[6]D_远征奖励!$D:$G,4,FALSE)*1,0)</f>
        <v>15048</v>
      </c>
      <c r="G367">
        <v>0</v>
      </c>
      <c r="H367">
        <v>0</v>
      </c>
      <c r="I367">
        <f>ROUND([5]命币的投放!$H62,0)</f>
        <v>5656</v>
      </c>
      <c r="J367">
        <v>0</v>
      </c>
      <c r="K367" s="8">
        <v>1</v>
      </c>
      <c r="L367">
        <f t="shared" si="61"/>
        <v>100405</v>
      </c>
      <c r="M367" s="8">
        <f t="shared" si="60"/>
        <v>700405</v>
      </c>
      <c r="Q367">
        <f>(D_普通掉落表!AG679*D_普通掉落表!AH679)/10000/IF((D_普通掉落表!AL684+D_普通掉落表!AH679+D_普通掉落表!AD679+D_普通掉落表!Z679+D_普通掉落表!V679+D_普通掉落表!R679+D_普通掉落表!N679+D_普通掉落表!J679)/10000&gt;K367,(D_普通掉落表!AL684+D_普通掉落表!AH679+D_普通掉落表!AD679+D_普通掉落表!Z679+D_普通掉落表!V679+D_普通掉落表!R679+D_普通掉落表!N679+D_普通掉落表!J679)/10000,1)</f>
        <v>0</v>
      </c>
      <c r="T367">
        <f>(D_普通掉落表!AG679*D_普通掉落表!AL679)/10000/IF((D_普通掉落表!AL679+D_普通掉落表!AH679+D_普通掉落表!AD679+D_普通掉落表!Z679+D_普通掉落表!V679+D_普通掉落表!R679+D_普通掉落表!N679+D_普通掉落表!J679)/10000&gt;K367,(D_普通掉落表!AL679+D_普通掉落表!AH679+D_普通掉落表!AD679+D_普通掉落表!Z679+D_普通掉落表!V679+D_普通掉落表!R679+D_普通掉落表!N679+D_普通掉落表!J679)/10000,1)</f>
        <v>0</v>
      </c>
    </row>
    <row r="368" spans="1:21" x14ac:dyDescent="0.15">
      <c r="A368">
        <v>510406</v>
      </c>
      <c r="B368" t="s">
        <v>170</v>
      </c>
      <c r="D368">
        <v>0</v>
      </c>
      <c r="E368">
        <f>ROUND(VLOOKUP(A368,[6]D_远征奖励!$D:$G,4,FALSE)*0.9,0)</f>
        <v>15236</v>
      </c>
      <c r="F368">
        <f>ROUND(VLOOKUP(A368,[6]D_远征奖励!$D:$G,4,FALSE)*1,0)</f>
        <v>16929</v>
      </c>
      <c r="G368">
        <v>0</v>
      </c>
      <c r="H368">
        <v>0</v>
      </c>
      <c r="I368">
        <f>ROUND([5]命币的投放!$H63,0)</f>
        <v>7924</v>
      </c>
      <c r="J368">
        <v>0</v>
      </c>
      <c r="K368" s="8">
        <v>2</v>
      </c>
      <c r="L368">
        <f t="shared" si="61"/>
        <v>100406</v>
      </c>
      <c r="M368" s="8">
        <f t="shared" si="60"/>
        <v>700406</v>
      </c>
      <c r="Q368">
        <f>(D_普通掉落表!AG680*D_普通掉落表!AH680)/10000/IF((D_普通掉落表!AL685+D_普通掉落表!AH680+D_普通掉落表!AD680+D_普通掉落表!Z680+D_普通掉落表!V680+D_普通掉落表!R680+D_普通掉落表!N680+D_普通掉落表!J680)/10000&gt;K368,(D_普通掉落表!AL685+D_普通掉落表!AH680+D_普通掉落表!AD680+D_普通掉落表!Z680+D_普通掉落表!V680+D_普通掉落表!R680+D_普通掉落表!N680+D_普通掉落表!J680)/10000,1)</f>
        <v>0</v>
      </c>
      <c r="T368">
        <f>(D_普通掉落表!AG680*D_普通掉落表!AL680)/10000/IF((D_普通掉落表!AL680+D_普通掉落表!AH680+D_普通掉落表!AD680+D_普通掉落表!Z680+D_普通掉落表!V680+D_普通掉落表!R680+D_普通掉落表!N680+D_普通掉落表!J680)/10000&gt;K368,(D_普通掉落表!AL680+D_普通掉落表!AH680+D_普通掉落表!AD680+D_普通掉落表!Z680+D_普通掉落表!V680+D_普通掉落表!R680+D_普通掉落表!N680+D_普通掉落表!J680)/10000,1)</f>
        <v>0</v>
      </c>
    </row>
    <row r="369" spans="1:20" x14ac:dyDescent="0.15">
      <c r="A369">
        <v>510407</v>
      </c>
      <c r="B369" t="s">
        <v>171</v>
      </c>
      <c r="D369">
        <v>0</v>
      </c>
      <c r="E369">
        <f>ROUND(VLOOKUP(A369,[6]D_远征奖励!$D:$G,4,FALSE)*0.9,0)</f>
        <v>13543</v>
      </c>
      <c r="F369">
        <f>ROUND(VLOOKUP(A369,[6]D_远征奖励!$D:$G,4,FALSE)*1,0)</f>
        <v>15048</v>
      </c>
      <c r="G369">
        <v>0</v>
      </c>
      <c r="H369">
        <v>0</v>
      </c>
      <c r="I369">
        <f>ROUND([5]命币的投放!$H64,0)</f>
        <v>5725</v>
      </c>
      <c r="J369">
        <v>0</v>
      </c>
      <c r="K369" s="8">
        <v>1</v>
      </c>
      <c r="L369">
        <f t="shared" si="61"/>
        <v>100407</v>
      </c>
      <c r="M369" s="8">
        <f t="shared" si="60"/>
        <v>700407</v>
      </c>
      <c r="Q369">
        <f>(D_普通掉落表!AG681*D_普通掉落表!AH681)/10000/IF((D_普通掉落表!AL686+D_普通掉落表!AH681+D_普通掉落表!AD681+D_普通掉落表!Z681+D_普通掉落表!V681+D_普通掉落表!R681+D_普通掉落表!N681+D_普通掉落表!J681)/10000&gt;K369,(D_普通掉落表!AL686+D_普通掉落表!AH681+D_普通掉落表!AD681+D_普通掉落表!Z681+D_普通掉落表!V681+D_普通掉落表!R681+D_普通掉落表!N681+D_普通掉落表!J681)/10000,1)</f>
        <v>0</v>
      </c>
      <c r="T369">
        <f>(D_普通掉落表!AG681*D_普通掉落表!AL681)/10000/IF((D_普通掉落表!AL681+D_普通掉落表!AH681+D_普通掉落表!AD681+D_普通掉落表!Z681+D_普通掉落表!V681+D_普通掉落表!R681+D_普通掉落表!N681+D_普通掉落表!J681)/10000&gt;K369,(D_普通掉落表!AL681+D_普通掉落表!AH681+D_普通掉落表!AD681+D_普通掉落表!Z681+D_普通掉落表!V681+D_普通掉落表!R681+D_普通掉落表!N681+D_普通掉落表!J681)/10000,1)</f>
        <v>0</v>
      </c>
    </row>
    <row r="370" spans="1:20" x14ac:dyDescent="0.15">
      <c r="A370">
        <v>510408</v>
      </c>
      <c r="B370" t="s">
        <v>172</v>
      </c>
      <c r="D370">
        <v>0</v>
      </c>
      <c r="E370">
        <f>ROUND(VLOOKUP(A370,[6]D_远征奖励!$D:$G,4,FALSE)*0.9,0)</f>
        <v>15236</v>
      </c>
      <c r="F370">
        <f>ROUND(VLOOKUP(A370,[6]D_远征奖励!$D:$G,4,FALSE)*1,0)</f>
        <v>16929</v>
      </c>
      <c r="G370">
        <v>0</v>
      </c>
      <c r="H370">
        <v>0</v>
      </c>
      <c r="I370">
        <f>ROUND([5]命币的投放!$H65,0)</f>
        <v>6375</v>
      </c>
      <c r="J370">
        <v>0</v>
      </c>
      <c r="K370" s="8">
        <v>1</v>
      </c>
      <c r="L370">
        <f t="shared" si="61"/>
        <v>100408</v>
      </c>
      <c r="M370" s="8">
        <f t="shared" si="60"/>
        <v>700408</v>
      </c>
      <c r="Q370">
        <f>(D_普通掉落表!AG682*D_普通掉落表!AH682)/10000/IF((D_普通掉落表!AL687+D_普通掉落表!AH682+D_普通掉落表!AD682+D_普通掉落表!Z682+D_普通掉落表!V682+D_普通掉落表!R682+D_普通掉落表!N682+D_普通掉落表!J682)/10000&gt;K370,(D_普通掉落表!AL687+D_普通掉落表!AH682+D_普通掉落表!AD682+D_普通掉落表!Z682+D_普通掉落表!V682+D_普通掉落表!R682+D_普通掉落表!N682+D_普通掉落表!J682)/10000,1)</f>
        <v>0</v>
      </c>
      <c r="T370">
        <f>(D_普通掉落表!AG682*D_普通掉落表!AL682)/10000/IF((D_普通掉落表!AL682+D_普通掉落表!AH682+D_普通掉落表!AD682+D_普通掉落表!Z682+D_普通掉落表!V682+D_普通掉落表!R682+D_普通掉落表!N682+D_普通掉落表!J682)/10000&gt;K370,(D_普通掉落表!AL682+D_普通掉落表!AH682+D_普通掉落表!AD682+D_普通掉落表!Z682+D_普通掉落表!V682+D_普通掉落表!R682+D_普通掉落表!N682+D_普通掉落表!J682)/10000,1)</f>
        <v>0</v>
      </c>
    </row>
    <row r="371" spans="1:20" x14ac:dyDescent="0.15">
      <c r="A371">
        <v>510409</v>
      </c>
      <c r="B371" t="s">
        <v>173</v>
      </c>
      <c r="D371">
        <v>0</v>
      </c>
      <c r="E371">
        <f>ROUND(VLOOKUP(A371,[6]D_远征奖励!$D:$G,4,FALSE)*0.9,0)</f>
        <v>17141</v>
      </c>
      <c r="F371">
        <f>ROUND(VLOOKUP(A371,[6]D_远征奖励!$D:$G,4,FALSE)*1,0)</f>
        <v>19045</v>
      </c>
      <c r="G371">
        <v>0</v>
      </c>
      <c r="H371">
        <v>0</v>
      </c>
      <c r="I371">
        <f>ROUND([5]命币的投放!$H66,0)</f>
        <v>8971</v>
      </c>
      <c r="J371">
        <v>0</v>
      </c>
      <c r="K371" s="8">
        <v>3</v>
      </c>
      <c r="L371">
        <f t="shared" si="61"/>
        <v>100409</v>
      </c>
      <c r="M371" s="8">
        <f t="shared" si="60"/>
        <v>700409</v>
      </c>
      <c r="Q371">
        <f>(D_普通掉落表!AG683*D_普通掉落表!AH683)/10000/IF((D_普通掉落表!AL688+D_普通掉落表!AH683+D_普通掉落表!AD683+D_普通掉落表!Z683+D_普通掉落表!V683+D_普通掉落表!R683+D_普通掉落表!N683+D_普通掉落表!J683)/10000&gt;K371,(D_普通掉落表!AL688+D_普通掉落表!AH683+D_普通掉落表!AD683+D_普通掉落表!Z683+D_普通掉落表!V683+D_普通掉落表!R683+D_普通掉落表!N683+D_普通掉落表!J683)/10000,1)</f>
        <v>0</v>
      </c>
      <c r="T371">
        <f>(D_普通掉落表!AG683*D_普通掉落表!AL683)/10000/IF((D_普通掉落表!AL683+D_普通掉落表!AH683+D_普通掉落表!AD683+D_普通掉落表!Z683+D_普通掉落表!V683+D_普通掉落表!R683+D_普通掉落表!N683+D_普通掉落表!J683)/10000&gt;K371,(D_普通掉落表!AL683+D_普通掉落表!AH683+D_普通掉落表!AD683+D_普通掉落表!Z683+D_普通掉落表!V683+D_普通掉落表!R683+D_普通掉落表!N683+D_普通掉落表!J683)/10000,1)</f>
        <v>0</v>
      </c>
    </row>
    <row r="372" spans="1:20" x14ac:dyDescent="0.15">
      <c r="A372">
        <v>510410</v>
      </c>
      <c r="B372" t="s">
        <v>174</v>
      </c>
      <c r="D372">
        <v>0</v>
      </c>
      <c r="E372">
        <f>ROUND(VLOOKUP(A372,[6]D_远征奖励!$D:$G,4,FALSE)*0.9,0)</f>
        <v>15236</v>
      </c>
      <c r="F372">
        <f>ROUND(VLOOKUP(A372,[6]D_远征奖励!$D:$G,4,FALSE)*1,0)</f>
        <v>16929</v>
      </c>
      <c r="G372">
        <v>0</v>
      </c>
      <c r="H372">
        <v>0</v>
      </c>
      <c r="I372">
        <f>ROUND([5]命币的投放!$H67,0)</f>
        <v>6558</v>
      </c>
      <c r="J372">
        <v>0</v>
      </c>
      <c r="K372" s="8">
        <v>2</v>
      </c>
      <c r="L372">
        <f t="shared" si="61"/>
        <v>100410</v>
      </c>
      <c r="M372" s="8">
        <f t="shared" si="60"/>
        <v>700410</v>
      </c>
      <c r="Q372">
        <f>(D_普通掉落表!AG684*D_普通掉落表!AH684)/10000/IF((D_普通掉落表!AL689+D_普通掉落表!AH684+D_普通掉落表!AD684+D_普通掉落表!Z684+D_普通掉落表!V684+D_普通掉落表!R684+D_普通掉落表!N684+D_普通掉落表!J684)/10000&gt;K372,(D_普通掉落表!AL689+D_普通掉落表!AH684+D_普通掉落表!AD684+D_普通掉落表!Z684+D_普通掉落表!V684+D_普通掉落表!R684+D_普通掉落表!N684+D_普通掉落表!J684)/10000,1)</f>
        <v>0</v>
      </c>
      <c r="T372">
        <f>(D_普通掉落表!AG684*D_普通掉落表!AL684)/10000/IF((D_普通掉落表!AL684+D_普通掉落表!AH684+D_普通掉落表!AD684+D_普通掉落表!Z684+D_普通掉落表!V684+D_普通掉落表!R684+D_普通掉落表!N684+D_普通掉落表!J684)/10000&gt;K372,(D_普通掉落表!AL684+D_普通掉落表!AH684+D_普通掉落表!AD684+D_普通掉落表!Z684+D_普通掉落表!V684+D_普通掉落表!R684+D_普通掉落表!N684+D_普通掉落表!J684)/10000,1)</f>
        <v>0</v>
      </c>
    </row>
    <row r="373" spans="1:20" x14ac:dyDescent="0.15">
      <c r="A373">
        <v>510411</v>
      </c>
      <c r="B373" t="s">
        <v>175</v>
      </c>
      <c r="D373">
        <v>0</v>
      </c>
      <c r="E373">
        <f>ROUND(VLOOKUP(A373,[6]D_远征奖励!$D:$G,4,FALSE)*0.9,0)</f>
        <v>17141</v>
      </c>
      <c r="F373">
        <f>ROUND(VLOOKUP(A373,[6]D_远征奖励!$D:$G,4,FALSE)*1,0)</f>
        <v>19045</v>
      </c>
      <c r="G373">
        <v>0</v>
      </c>
      <c r="H373">
        <v>0</v>
      </c>
      <c r="I373">
        <f>ROUND([5]命币的投放!$H68,0)</f>
        <v>7109</v>
      </c>
      <c r="J373">
        <v>0</v>
      </c>
      <c r="K373" s="8">
        <v>2</v>
      </c>
      <c r="L373">
        <f t="shared" si="61"/>
        <v>100411</v>
      </c>
      <c r="M373" s="8">
        <f t="shared" si="60"/>
        <v>700411</v>
      </c>
      <c r="Q373">
        <f>(D_普通掉落表!AG685*D_普通掉落表!AH685)/10000/IF((D_普通掉落表!AL690+D_普通掉落表!AH685+D_普通掉落表!AD685+D_普通掉落表!Z685+D_普通掉落表!V685+D_普通掉落表!R685+D_普通掉落表!N685+D_普通掉落表!J685)/10000&gt;K373,(D_普通掉落表!AL690+D_普通掉落表!AH685+D_普通掉落表!AD685+D_普通掉落表!Z685+D_普通掉落表!V685+D_普通掉落表!R685+D_普通掉落表!N685+D_普通掉落表!J685)/10000,1)</f>
        <v>0</v>
      </c>
      <c r="T373">
        <f>(D_普通掉落表!AG685*D_普通掉落表!AL685)/10000/IF((D_普通掉落表!AL685+D_普通掉落表!AH685+D_普通掉落表!AD685+D_普通掉落表!Z685+D_普通掉落表!V685+D_普通掉落表!R685+D_普通掉落表!N685+D_普通掉落表!J685)/10000&gt;K373,(D_普通掉落表!AL685+D_普通掉落表!AH685+D_普通掉落表!AD685+D_普通掉落表!Z685+D_普通掉落表!V685+D_普通掉落表!R685+D_普通掉落表!N685+D_普通掉落表!J685)/10000,1)</f>
        <v>0</v>
      </c>
    </row>
    <row r="374" spans="1:20" x14ac:dyDescent="0.15">
      <c r="A374">
        <v>510412</v>
      </c>
      <c r="B374" t="s">
        <v>176</v>
      </c>
      <c r="D374">
        <v>0</v>
      </c>
      <c r="E374">
        <f>ROUND(VLOOKUP(A374,[6]D_远征奖励!$D:$G,4,FALSE)*0.9,0)</f>
        <v>19283</v>
      </c>
      <c r="F374">
        <f>ROUND(VLOOKUP(A374,[6]D_远征奖励!$D:$G,4,FALSE)*1,0)</f>
        <v>21425</v>
      </c>
      <c r="G374">
        <v>0</v>
      </c>
      <c r="H374">
        <v>0</v>
      </c>
      <c r="I374">
        <f>ROUND([5]命币的投放!$H69,0)</f>
        <v>10055</v>
      </c>
      <c r="J374">
        <v>0</v>
      </c>
      <c r="K374" s="8">
        <v>3</v>
      </c>
      <c r="L374">
        <f t="shared" si="61"/>
        <v>100412</v>
      </c>
      <c r="M374" s="8">
        <f t="shared" si="60"/>
        <v>700412</v>
      </c>
      <c r="Q374">
        <f>(D_普通掉落表!AG686*D_普通掉落表!AH686)/10000/IF((D_普通掉落表!AL691+D_普通掉落表!AH686+D_普通掉落表!AD686+D_普通掉落表!Z686+D_普通掉落表!V686+D_普通掉落表!R686+D_普通掉落表!N686+D_普通掉落表!J686)/10000&gt;K374,(D_普通掉落表!AL691+D_普通掉落表!AH686+D_普通掉落表!AD686+D_普通掉落表!Z686+D_普通掉落表!V686+D_普通掉落表!R686+D_普通掉落表!N686+D_普通掉落表!J686)/10000,1)</f>
        <v>0</v>
      </c>
      <c r="T374">
        <f>(D_普通掉落表!AG686*D_普通掉落表!AL686)/10000/IF((D_普通掉落表!AL686+D_普通掉落表!AH686+D_普通掉落表!AD686+D_普通掉落表!Z686+D_普通掉落表!V686+D_普通掉落表!R686+D_普通掉落表!N686+D_普通掉落表!J686)/10000&gt;K374,(D_普通掉落表!AL686+D_普通掉落表!AH686+D_普通掉落表!AD686+D_普通掉落表!Z686+D_普通掉落表!V686+D_普通掉落表!R686+D_普通掉落表!N686+D_普通掉落表!J686)/10000,1)</f>
        <v>0</v>
      </c>
    </row>
    <row r="375" spans="1:20" x14ac:dyDescent="0.15">
      <c r="A375">
        <v>510413</v>
      </c>
      <c r="B375" t="s">
        <v>177</v>
      </c>
      <c r="D375">
        <v>0</v>
      </c>
      <c r="E375">
        <f>ROUND(VLOOKUP(A375,[6]D_远征奖励!$D:$G,4,FALSE)*0.9,0)</f>
        <v>17141</v>
      </c>
      <c r="F375">
        <f>ROUND(VLOOKUP(A375,[6]D_远征奖励!$D:$G,4,FALSE)*1,0)</f>
        <v>19045</v>
      </c>
      <c r="G375">
        <v>0</v>
      </c>
      <c r="H375">
        <v>0</v>
      </c>
      <c r="I375">
        <f>ROUND([5]命币的投放!$H70,0)</f>
        <v>7438</v>
      </c>
      <c r="J375">
        <v>0</v>
      </c>
      <c r="K375" s="8">
        <v>2</v>
      </c>
      <c r="L375">
        <f t="shared" si="61"/>
        <v>100413</v>
      </c>
      <c r="M375" s="8">
        <f t="shared" si="60"/>
        <v>700413</v>
      </c>
      <c r="Q375">
        <f>(D_普通掉落表!AG687*D_普通掉落表!AH687)/10000/IF((D_普通掉落表!AL692+D_普通掉落表!AH687+D_普通掉落表!AD687+D_普通掉落表!Z687+D_普通掉落表!V687+D_普通掉落表!R687+D_普通掉落表!N687+D_普通掉落表!J687)/10000&gt;K375,(D_普通掉落表!AL692+D_普通掉落表!AH687+D_普通掉落表!AD687+D_普通掉落表!Z687+D_普通掉落表!V687+D_普通掉落表!R687+D_普通掉落表!N687+D_普通掉落表!J687)/10000,1)</f>
        <v>0</v>
      </c>
      <c r="T375">
        <f>(D_普通掉落表!AG687*D_普通掉落表!AL687)/10000/IF((D_普通掉落表!AL687+D_普通掉落表!AH687+D_普通掉落表!AD687+D_普通掉落表!Z687+D_普通掉落表!V687+D_普通掉落表!R687+D_普通掉落表!N687+D_普通掉落表!J687)/10000&gt;K375,(D_普通掉落表!AL687+D_普通掉落表!AH687+D_普通掉落表!AD687+D_普通掉落表!Z687+D_普通掉落表!V687+D_普通掉落表!R687+D_普通掉落表!N687+D_普通掉落表!J687)/10000,1)</f>
        <v>0</v>
      </c>
    </row>
    <row r="376" spans="1:20" x14ac:dyDescent="0.15">
      <c r="A376">
        <v>510414</v>
      </c>
      <c r="B376" t="s">
        <v>178</v>
      </c>
      <c r="D376">
        <v>0</v>
      </c>
      <c r="E376">
        <f>ROUND(VLOOKUP(A376,[6]D_远征奖励!$D:$G,4,FALSE)*0.9,0)</f>
        <v>19283</v>
      </c>
      <c r="F376">
        <f>ROUND(VLOOKUP(A376,[6]D_远征奖励!$D:$G,4,FALSE)*1,0)</f>
        <v>21425</v>
      </c>
      <c r="G376">
        <v>0</v>
      </c>
      <c r="H376">
        <v>0</v>
      </c>
      <c r="I376">
        <f>ROUND([5]命币的投放!$H71,0)</f>
        <v>7859</v>
      </c>
      <c r="J376">
        <v>0</v>
      </c>
      <c r="K376" s="8">
        <v>2</v>
      </c>
      <c r="L376">
        <f t="shared" si="61"/>
        <v>100414</v>
      </c>
      <c r="M376" s="8">
        <f t="shared" si="60"/>
        <v>700414</v>
      </c>
      <c r="Q376">
        <f>(D_普通掉落表!AG688*D_普通掉落表!AH688)/10000/IF((D_普通掉落表!AL693+D_普通掉落表!AH688+D_普通掉落表!AD688+D_普通掉落表!Z688+D_普通掉落表!V688+D_普通掉落表!R688+D_普通掉落表!N688+D_普通掉落表!J688)/10000&gt;K376,(D_普通掉落表!AL693+D_普通掉落表!AH688+D_普通掉落表!AD688+D_普通掉落表!Z688+D_普通掉落表!V688+D_普通掉落表!R688+D_普通掉落表!N688+D_普通掉落表!J688)/10000,1)</f>
        <v>0</v>
      </c>
      <c r="T376">
        <f>(D_普通掉落表!AG688*D_普通掉落表!AL688)/10000/IF((D_普通掉落表!AL688+D_普通掉落表!AH688+D_普通掉落表!AD688+D_普通掉落表!Z688+D_普通掉落表!V688+D_普通掉落表!R688+D_普通掉落表!N688+D_普通掉落表!J688)/10000&gt;K376,(D_普通掉落表!AL688+D_普通掉落表!AH688+D_普通掉落表!AD688+D_普通掉落表!Z688+D_普通掉落表!V688+D_普通掉落表!R688+D_普通掉落表!N688+D_普通掉落表!J688)/10000,1)</f>
        <v>0</v>
      </c>
    </row>
    <row r="377" spans="1:20" x14ac:dyDescent="0.15">
      <c r="A377">
        <v>510415</v>
      </c>
      <c r="B377" t="s">
        <v>179</v>
      </c>
      <c r="D377">
        <v>0</v>
      </c>
      <c r="E377">
        <f>ROUND(VLOOKUP(A377,[6]D_远征奖励!$D:$G,4,FALSE)*0.9,0)</f>
        <v>21693</v>
      </c>
      <c r="F377">
        <f>ROUND(VLOOKUP(A377,[6]D_远征奖励!$D:$G,4,FALSE)*1,0)</f>
        <v>24103</v>
      </c>
      <c r="G377">
        <v>0</v>
      </c>
      <c r="H377">
        <v>0</v>
      </c>
      <c r="I377">
        <f>ROUND([5]命币的投放!$H72,0)</f>
        <v>11266</v>
      </c>
      <c r="J377">
        <v>0</v>
      </c>
      <c r="K377" s="8">
        <v>5</v>
      </c>
      <c r="L377">
        <f t="shared" si="61"/>
        <v>100415</v>
      </c>
      <c r="M377" s="8">
        <f t="shared" si="60"/>
        <v>700415</v>
      </c>
      <c r="Q377">
        <v>0</v>
      </c>
      <c r="T377">
        <f>(D_普通掉落表!AG689*D_普通掉落表!AH689)/10000/IF((D_普通掉落表!AL694+D_普通掉落表!AH689+D_普通掉落表!AD689+D_普通掉落表!Z689+D_普通掉落表!V689+D_普通掉落表!R689+D_普通掉落表!N689+D_普通掉落表!J689)/10000&gt;K377,(D_普通掉落表!AL694+D_普通掉落表!AH689+D_普通掉落表!AD689+D_普通掉落表!Z689+D_普通掉落表!V689+D_普通掉落表!R689+D_普通掉落表!N689+D_普通掉落表!J689)/10000,1)</f>
        <v>1</v>
      </c>
    </row>
    <row r="378" spans="1:20" x14ac:dyDescent="0.15">
      <c r="A378">
        <v>510501</v>
      </c>
      <c r="B378" t="s">
        <v>180</v>
      </c>
      <c r="D378">
        <v>0</v>
      </c>
      <c r="E378">
        <f>ROUND(VLOOKUP(A378,[6]D_远征奖励!$D:$G,4,FALSE)*0.9,0)</f>
        <v>11890</v>
      </c>
      <c r="F378">
        <f>ROUND(VLOOKUP(A378,[6]D_远征奖励!$D:$G,4,FALSE)*1,0)</f>
        <v>13211</v>
      </c>
      <c r="G378">
        <v>0</v>
      </c>
      <c r="H378">
        <v>0</v>
      </c>
      <c r="I378">
        <f>ROUND([5]命币的投放!$H73,0)</f>
        <v>4648</v>
      </c>
      <c r="J378">
        <v>0</v>
      </c>
      <c r="K378" s="8">
        <v>1</v>
      </c>
      <c r="L378">
        <f t="shared" si="61"/>
        <v>100501</v>
      </c>
      <c r="M378" s="8">
        <f t="shared" si="60"/>
        <v>700501</v>
      </c>
      <c r="Q378">
        <f>(D_普通掉落表!AG690*D_普通掉落表!AH690)/10000/IF((D_普通掉落表!AL695+D_普通掉落表!AH690+D_普通掉落表!AD690+D_普通掉落表!Z690+D_普通掉落表!V690+D_普通掉落表!R690+D_普通掉落表!N690+D_普通掉落表!J690)/10000&gt;K378,(D_普通掉落表!AL695+D_普通掉落表!AH690+D_普通掉落表!AD690+D_普通掉落表!Z690+D_普通掉落表!V690+D_普通掉落表!R690+D_普通掉落表!N690+D_普通掉落表!J690)/10000,1)</f>
        <v>0</v>
      </c>
      <c r="T378">
        <f>(D_普通掉落表!AG690*D_普通掉落表!AL690)/10000/IF((D_普通掉落表!AL690+D_普通掉落表!AH690+D_普通掉落表!AD690+D_普通掉落表!Z690+D_普通掉落表!V690+D_普通掉落表!R690+D_普通掉落表!N690+D_普通掉落表!J690)/10000&gt;K378,(D_普通掉落表!AL690+D_普通掉落表!AH690+D_普通掉落表!AD690+D_普通掉落表!Z690+D_普通掉落表!V690+D_普通掉落表!R690+D_普通掉落表!N690+D_普通掉落表!J690)/10000,1)</f>
        <v>0</v>
      </c>
    </row>
    <row r="379" spans="1:20" x14ac:dyDescent="0.15">
      <c r="A379">
        <v>510502</v>
      </c>
      <c r="B379" t="s">
        <v>181</v>
      </c>
      <c r="D379">
        <v>0</v>
      </c>
      <c r="E379">
        <f>ROUND(VLOOKUP(A379,[6]D_远征奖励!$D:$G,4,FALSE)*0.9,0)</f>
        <v>13376</v>
      </c>
      <c r="F379">
        <f>ROUND(VLOOKUP(A379,[6]D_远征奖励!$D:$G,4,FALSE)*1,0)</f>
        <v>14862</v>
      </c>
      <c r="G379">
        <v>0</v>
      </c>
      <c r="H379">
        <v>0</v>
      </c>
      <c r="I379">
        <f>ROUND([5]命币的投放!$H74,0)</f>
        <v>5474</v>
      </c>
      <c r="J379">
        <v>0</v>
      </c>
      <c r="K379" s="8">
        <v>1</v>
      </c>
      <c r="L379">
        <f t="shared" si="61"/>
        <v>100502</v>
      </c>
      <c r="M379" s="8">
        <f t="shared" si="60"/>
        <v>700502</v>
      </c>
      <c r="Q379">
        <f>(D_普通掉落表!AG691*D_普通掉落表!AH691)/10000/IF((D_普通掉落表!AL696+D_普通掉落表!AH691+D_普通掉落表!AD691+D_普通掉落表!Z691+D_普通掉落表!V691+D_普通掉落表!R691+D_普通掉落表!N691+D_普通掉落表!J691)/10000&gt;K379,(D_普通掉落表!AL696+D_普通掉落表!AH691+D_普通掉落表!AD691+D_普通掉落表!Z691+D_普通掉落表!V691+D_普通掉落表!R691+D_普通掉落表!N691+D_普通掉落表!J691)/10000,1)</f>
        <v>0</v>
      </c>
      <c r="T379">
        <f>(D_普通掉落表!AG691*D_普通掉落表!AL691)/10000/IF((D_普通掉落表!AL691+D_普通掉落表!AH691+D_普通掉落表!AD691+D_普通掉落表!Z691+D_普通掉落表!V691+D_普通掉落表!R691+D_普通掉落表!N691+D_普通掉落表!J691)/10000&gt;K379,(D_普通掉落表!AL691+D_普通掉落表!AH691+D_普通掉落表!AD691+D_普通掉落表!Z691+D_普通掉落表!V691+D_普通掉落表!R691+D_普通掉落表!N691+D_普通掉落表!J691)/10000,1)</f>
        <v>0</v>
      </c>
    </row>
    <row r="380" spans="1:20" x14ac:dyDescent="0.15">
      <c r="A380">
        <v>510503</v>
      </c>
      <c r="B380" t="s">
        <v>182</v>
      </c>
      <c r="D380">
        <v>0</v>
      </c>
      <c r="E380">
        <f>ROUND(VLOOKUP(A380,[6]D_远征奖励!$D:$G,4,FALSE)*0.9,0)</f>
        <v>15048</v>
      </c>
      <c r="F380">
        <f>ROUND(VLOOKUP(A380,[6]D_远征奖励!$D:$G,4,FALSE)*1,0)</f>
        <v>16720</v>
      </c>
      <c r="G380">
        <v>0</v>
      </c>
      <c r="H380">
        <v>0</v>
      </c>
      <c r="I380">
        <f>ROUND([5]命币的投放!$H75,0)</f>
        <v>7627</v>
      </c>
      <c r="J380">
        <v>0</v>
      </c>
      <c r="K380" s="8">
        <v>2</v>
      </c>
      <c r="L380">
        <f t="shared" si="61"/>
        <v>100503</v>
      </c>
      <c r="M380" s="8">
        <f t="shared" si="60"/>
        <v>700503</v>
      </c>
      <c r="Q380">
        <f>(D_普通掉落表!AG692*D_普通掉落表!AH692)/10000/IF((D_普通掉落表!AL697+D_普通掉落表!AH692+D_普通掉落表!AD692+D_普通掉落表!Z692+D_普通掉落表!V692+D_普通掉落表!R692+D_普通掉落表!N692+D_普通掉落表!J692)/10000&gt;K380,(D_普通掉落表!AL697+D_普通掉落表!AH692+D_普通掉落表!AD692+D_普通掉落表!Z692+D_普通掉落表!V692+D_普通掉落表!R692+D_普通掉落表!N692+D_普通掉落表!J692)/10000,1)</f>
        <v>0</v>
      </c>
      <c r="T380">
        <f>(D_普通掉落表!AG692*D_普通掉落表!AL692)/10000/IF((D_普通掉落表!AL692+D_普通掉落表!AH692+D_普通掉落表!AD692+D_普通掉落表!Z692+D_普通掉落表!V692+D_普通掉落表!R692+D_普通掉落表!N692+D_普通掉落表!J692)/10000&gt;K380,(D_普通掉落表!AL692+D_普通掉落表!AH692+D_普通掉落表!AD692+D_普通掉落表!Z692+D_普通掉落表!V692+D_普通掉落表!R692+D_普通掉落表!N692+D_普通掉落表!J692)/10000,1)</f>
        <v>0</v>
      </c>
    </row>
    <row r="381" spans="1:20" x14ac:dyDescent="0.15">
      <c r="A381">
        <v>510504</v>
      </c>
      <c r="B381" t="s">
        <v>183</v>
      </c>
      <c r="D381">
        <v>0</v>
      </c>
      <c r="E381">
        <f>ROUND(VLOOKUP(A381,[6]D_远征奖励!$D:$G,4,FALSE)*0.9,0)</f>
        <v>13376</v>
      </c>
      <c r="F381">
        <f>ROUND(VLOOKUP(A381,[6]D_远征奖励!$D:$G,4,FALSE)*1,0)</f>
        <v>14862</v>
      </c>
      <c r="G381">
        <v>0</v>
      </c>
      <c r="H381">
        <v>0</v>
      </c>
      <c r="I381">
        <f>ROUND([5]命币的投放!$H76,0)</f>
        <v>5438</v>
      </c>
      <c r="J381">
        <v>0</v>
      </c>
      <c r="K381" s="8">
        <v>1</v>
      </c>
      <c r="L381">
        <f t="shared" si="61"/>
        <v>100504</v>
      </c>
      <c r="M381" s="8">
        <f t="shared" si="60"/>
        <v>700504</v>
      </c>
      <c r="Q381">
        <f>(D_普通掉落表!AG693*D_普通掉落表!AH693)/10000/IF((D_普通掉落表!AL698+D_普通掉落表!AH693+D_普通掉落表!AD693+D_普通掉落表!Z693+D_普通掉落表!V693+D_普通掉落表!R693+D_普通掉落表!N693+D_普通掉落表!J693)/10000&gt;K381,(D_普通掉落表!AL698+D_普通掉落表!AH693+D_普通掉落表!AD693+D_普通掉落表!Z693+D_普通掉落表!V693+D_普通掉落表!R693+D_普通掉落表!N693+D_普通掉落表!J693)/10000,1)</f>
        <v>0</v>
      </c>
      <c r="T381">
        <f>(D_普通掉落表!AG693*D_普通掉落表!AL693)/10000/IF((D_普通掉落表!AL693+D_普通掉落表!AH693+D_普通掉落表!AD693+D_普通掉落表!Z693+D_普通掉落表!V693+D_普通掉落表!R693+D_普通掉落表!N693+D_普通掉落表!J693)/10000&gt;K381,(D_普通掉落表!AL693+D_普通掉落表!AH693+D_普通掉落表!AD693+D_普通掉落表!Z693+D_普通掉落表!V693+D_普通掉落表!R693+D_普通掉落表!N693+D_普通掉落表!J693)/10000,1)</f>
        <v>0</v>
      </c>
    </row>
    <row r="382" spans="1:20" x14ac:dyDescent="0.15">
      <c r="A382">
        <v>510505</v>
      </c>
      <c r="B382" t="s">
        <v>184</v>
      </c>
      <c r="D382">
        <v>0</v>
      </c>
      <c r="E382">
        <f>ROUND(VLOOKUP(A382,[6]D_远征奖励!$D:$G,4,FALSE)*0.9,0)</f>
        <v>15048</v>
      </c>
      <c r="F382">
        <f>ROUND(VLOOKUP(A382,[6]D_远征奖励!$D:$G,4,FALSE)*1,0)</f>
        <v>16720</v>
      </c>
      <c r="G382">
        <v>0</v>
      </c>
      <c r="H382">
        <v>0</v>
      </c>
      <c r="I382">
        <f>ROUND([5]命币的投放!$H77,0)</f>
        <v>6218</v>
      </c>
      <c r="J382">
        <v>0</v>
      </c>
      <c r="K382" s="8">
        <v>1</v>
      </c>
      <c r="L382">
        <f t="shared" si="61"/>
        <v>100505</v>
      </c>
      <c r="M382" s="8">
        <f t="shared" si="60"/>
        <v>700505</v>
      </c>
      <c r="Q382">
        <f>(D_普通掉落表!AG694*D_普通掉落表!AH694)/10000/IF((D_普通掉落表!AL699+D_普通掉落表!AH694+D_普通掉落表!AD694+D_普通掉落表!Z694+D_普通掉落表!V694+D_普通掉落表!R694+D_普通掉落表!N694+D_普通掉落表!J694)/10000&gt;K382,(D_普通掉落表!AL699+D_普通掉落表!AH694+D_普通掉落表!AD694+D_普通掉落表!Z694+D_普通掉落表!V694+D_普通掉落表!R694+D_普通掉落表!N694+D_普通掉落表!J694)/10000,1)</f>
        <v>0</v>
      </c>
      <c r="T382">
        <f>(D_普通掉落表!AG694*D_普通掉落表!AL694)/10000/IF((D_普通掉落表!AL694+D_普通掉落表!AH694+D_普通掉落表!AD694+D_普通掉落表!Z694+D_普通掉落表!V694+D_普通掉落表!R694+D_普通掉落表!N694+D_普通掉落表!J694)/10000&gt;K382,(D_普通掉落表!AL694+D_普通掉落表!AH694+D_普通掉落表!AD694+D_普通掉落表!Z694+D_普通掉落表!V694+D_普通掉落表!R694+D_普通掉落表!N694+D_普通掉落表!J694)/10000,1)</f>
        <v>0</v>
      </c>
    </row>
    <row r="383" spans="1:20" x14ac:dyDescent="0.15">
      <c r="A383">
        <v>510506</v>
      </c>
      <c r="B383" t="s">
        <v>185</v>
      </c>
      <c r="D383">
        <v>0</v>
      </c>
      <c r="E383">
        <f>ROUND(VLOOKUP(A383,[6]D_远征奖励!$D:$G,4,FALSE)*0.9,0)</f>
        <v>16929</v>
      </c>
      <c r="F383">
        <f>ROUND(VLOOKUP(A383,[6]D_远征奖励!$D:$G,4,FALSE)*1,0)</f>
        <v>18810</v>
      </c>
      <c r="G383">
        <v>0</v>
      </c>
      <c r="H383">
        <v>0</v>
      </c>
      <c r="I383">
        <f>ROUND([5]命币的投放!$H78,0)</f>
        <v>8698</v>
      </c>
      <c r="J383">
        <v>0</v>
      </c>
      <c r="K383" s="8">
        <v>2</v>
      </c>
      <c r="L383">
        <f t="shared" si="61"/>
        <v>100506</v>
      </c>
      <c r="M383" s="8">
        <f t="shared" si="60"/>
        <v>700506</v>
      </c>
      <c r="Q383">
        <f>(D_普通掉落表!AG695*D_普通掉落表!AH695)/10000/IF((D_普通掉落表!AL700+D_普通掉落表!AH695+D_普通掉落表!AD695+D_普通掉落表!Z695+D_普通掉落表!V695+D_普通掉落表!R695+D_普通掉落表!N695+D_普通掉落表!J695)/10000&gt;K383,(D_普通掉落表!AL700+D_普通掉落表!AH695+D_普通掉落表!AD695+D_普通掉落表!Z695+D_普通掉落表!V695+D_普通掉落表!R695+D_普通掉落表!N695+D_普通掉落表!J695)/10000,1)</f>
        <v>0</v>
      </c>
      <c r="T383">
        <f>(D_普通掉落表!AG695*D_普通掉落表!AL695)/10000/IF((D_普通掉落表!AL695+D_普通掉落表!AH695+D_普通掉落表!AD695+D_普通掉落表!Z695+D_普通掉落表!V695+D_普通掉落表!R695+D_普通掉落表!N695+D_普通掉落表!J695)/10000&gt;K383,(D_普通掉落表!AL695+D_普通掉落表!AH695+D_普通掉落表!AD695+D_普通掉落表!Z695+D_普通掉落表!V695+D_普通掉落表!R695+D_普通掉落表!N695+D_普通掉落表!J695)/10000,1)</f>
        <v>0</v>
      </c>
    </row>
    <row r="384" spans="1:20" x14ac:dyDescent="0.15">
      <c r="A384">
        <v>510507</v>
      </c>
      <c r="B384" t="s">
        <v>186</v>
      </c>
      <c r="D384">
        <v>0</v>
      </c>
      <c r="E384">
        <f>ROUND(VLOOKUP(A384,[6]D_远征奖励!$D:$G,4,FALSE)*0.9,0)</f>
        <v>15048</v>
      </c>
      <c r="F384">
        <f>ROUND(VLOOKUP(A384,[6]D_远征奖励!$D:$G,4,FALSE)*1,0)</f>
        <v>16720</v>
      </c>
      <c r="G384">
        <v>0</v>
      </c>
      <c r="H384">
        <v>0</v>
      </c>
      <c r="I384">
        <f>ROUND([5]命币的投放!$H79,0)</f>
        <v>6275</v>
      </c>
      <c r="J384">
        <v>0</v>
      </c>
      <c r="K384" s="8">
        <v>1</v>
      </c>
      <c r="L384">
        <f t="shared" si="61"/>
        <v>100507</v>
      </c>
      <c r="M384" s="8">
        <f t="shared" si="60"/>
        <v>700507</v>
      </c>
      <c r="Q384">
        <f>(D_普通掉落表!AG696*D_普通掉落表!AH696)/10000/IF((D_普通掉落表!AL701+D_普通掉落表!AH696+D_普通掉落表!AD696+D_普通掉落表!Z696+D_普通掉落表!V696+D_普通掉落表!R696+D_普通掉落表!N696+D_普通掉落表!J696)/10000&gt;K384,(D_普通掉落表!AL701+D_普通掉落表!AH696+D_普通掉落表!AD696+D_普通掉落表!Z696+D_普通掉落表!V696+D_普通掉落表!R696+D_普通掉落表!N696+D_普通掉落表!J696)/10000,1)</f>
        <v>0</v>
      </c>
      <c r="T384">
        <f>(D_普通掉落表!AG696*D_普通掉落表!AL696)/10000/IF((D_普通掉落表!AL696+D_普通掉落表!AH696+D_普通掉落表!AD696+D_普通掉落表!Z696+D_普通掉落表!V696+D_普通掉落表!R696+D_普通掉落表!N696+D_普通掉落表!J696)/10000&gt;K384,(D_普通掉落表!AL696+D_普通掉落表!AH696+D_普通掉落表!AD696+D_普通掉落表!Z696+D_普通掉落表!V696+D_普通掉落表!R696+D_普通掉落表!N696+D_普通掉落表!J696)/10000,1)</f>
        <v>0</v>
      </c>
    </row>
    <row r="385" spans="1:20" x14ac:dyDescent="0.15">
      <c r="A385">
        <v>510508</v>
      </c>
      <c r="B385" t="s">
        <v>187</v>
      </c>
      <c r="D385">
        <v>0</v>
      </c>
      <c r="E385">
        <f>ROUND(VLOOKUP(A385,[6]D_远征奖励!$D:$G,4,FALSE)*0.9,0)</f>
        <v>16929</v>
      </c>
      <c r="F385">
        <f>ROUND(VLOOKUP(A385,[6]D_远征奖励!$D:$G,4,FALSE)*1,0)</f>
        <v>18810</v>
      </c>
      <c r="G385">
        <v>0</v>
      </c>
      <c r="H385">
        <v>0</v>
      </c>
      <c r="I385">
        <f>ROUND([5]命币的投放!$H80,0)</f>
        <v>6978</v>
      </c>
      <c r="J385">
        <v>0</v>
      </c>
      <c r="K385" s="8">
        <v>1</v>
      </c>
      <c r="L385">
        <f t="shared" si="61"/>
        <v>100508</v>
      </c>
      <c r="M385" s="8">
        <f t="shared" si="60"/>
        <v>700508</v>
      </c>
      <c r="Q385">
        <f>(D_普通掉落表!AG697*D_普通掉落表!AH697)/10000/IF((D_普通掉落表!AL702+D_普通掉落表!AH697+D_普通掉落表!AD697+D_普通掉落表!Z697+D_普通掉落表!V697+D_普通掉落表!R697+D_普通掉落表!N697+D_普通掉落表!J697)/10000&gt;K385,(D_普通掉落表!AL702+D_普通掉落表!AH697+D_普通掉落表!AD697+D_普通掉落表!Z697+D_普通掉落表!V697+D_普通掉落表!R697+D_普通掉落表!N697+D_普通掉落表!J697)/10000,1)</f>
        <v>0</v>
      </c>
      <c r="T385">
        <f>(D_普通掉落表!AG697*D_普通掉落表!AL697)/10000/IF((D_普通掉落表!AL697+D_普通掉落表!AH697+D_普通掉落表!AD697+D_普通掉落表!Z697+D_普通掉落表!V697+D_普通掉落表!R697+D_普通掉落表!N697+D_普通掉落表!J697)/10000&gt;K385,(D_普通掉落表!AL697+D_普通掉落表!AH697+D_普通掉落表!AD697+D_普通掉落表!Z697+D_普通掉落表!V697+D_普通掉落表!R697+D_普通掉落表!N697+D_普通掉落表!J697)/10000,1)</f>
        <v>0</v>
      </c>
    </row>
    <row r="386" spans="1:20" x14ac:dyDescent="0.15">
      <c r="A386">
        <v>510509</v>
      </c>
      <c r="B386" t="s">
        <v>188</v>
      </c>
      <c r="D386">
        <v>0</v>
      </c>
      <c r="E386">
        <f>ROUND(VLOOKUP(A386,[6]D_远征奖励!$D:$G,4,FALSE)*0.9,0)</f>
        <v>19045</v>
      </c>
      <c r="F386">
        <f>ROUND(VLOOKUP(A386,[6]D_远征奖励!$D:$G,4,FALSE)*1,0)</f>
        <v>21161</v>
      </c>
      <c r="G386">
        <v>0</v>
      </c>
      <c r="H386">
        <v>0</v>
      </c>
      <c r="I386">
        <f>ROUND([5]命币的投放!$H81,0)</f>
        <v>9806</v>
      </c>
      <c r="J386">
        <v>0</v>
      </c>
      <c r="K386" s="8">
        <v>3</v>
      </c>
      <c r="L386">
        <f t="shared" si="61"/>
        <v>100509</v>
      </c>
      <c r="M386" s="8">
        <f t="shared" si="60"/>
        <v>700509</v>
      </c>
      <c r="Q386">
        <f>(D_普通掉落表!AG698*D_普通掉落表!AH698)/10000/IF((D_普通掉落表!AL703+D_普通掉落表!AH698+D_普通掉落表!AD698+D_普通掉落表!Z698+D_普通掉落表!V698+D_普通掉落表!R698+D_普通掉落表!N698+D_普通掉落表!J698)/10000&gt;K386,(D_普通掉落表!AL703+D_普通掉落表!AH698+D_普通掉落表!AD698+D_普通掉落表!Z698+D_普通掉落表!V698+D_普通掉落表!R698+D_普通掉落表!N698+D_普通掉落表!J698)/10000,1)</f>
        <v>0</v>
      </c>
      <c r="T386">
        <f>(D_普通掉落表!AG698*D_普通掉落表!AL698)/10000/IF((D_普通掉落表!AL698+D_普通掉落表!AH698+D_普通掉落表!AD698+D_普通掉落表!Z698+D_普通掉落表!V698+D_普通掉落表!R698+D_普通掉落表!N698+D_普通掉落表!J698)/10000&gt;K386,(D_普通掉落表!AL698+D_普通掉落表!AH698+D_普通掉落表!AD698+D_普通掉落表!Z698+D_普通掉落表!V698+D_普通掉落表!R698+D_普通掉落表!N698+D_普通掉落表!J698)/10000,1)</f>
        <v>0</v>
      </c>
    </row>
    <row r="387" spans="1:20" x14ac:dyDescent="0.15">
      <c r="A387">
        <v>510510</v>
      </c>
      <c r="B387" t="s">
        <v>189</v>
      </c>
      <c r="D387">
        <v>0</v>
      </c>
      <c r="E387">
        <f>ROUND(VLOOKUP(A387,[6]D_远征奖励!$D:$G,4,FALSE)*0.9,0)</f>
        <v>16929</v>
      </c>
      <c r="F387">
        <f>ROUND(VLOOKUP(A387,[6]D_远征奖励!$D:$G,4,FALSE)*1,0)</f>
        <v>18810</v>
      </c>
      <c r="G387">
        <v>0</v>
      </c>
      <c r="H387">
        <v>0</v>
      </c>
      <c r="I387">
        <f>ROUND([5]命币的投放!$H82,0)</f>
        <v>7159</v>
      </c>
      <c r="J387">
        <v>0</v>
      </c>
      <c r="K387" s="8">
        <v>2</v>
      </c>
      <c r="L387">
        <f t="shared" si="61"/>
        <v>100510</v>
      </c>
      <c r="M387" s="8">
        <f t="shared" si="60"/>
        <v>700510</v>
      </c>
      <c r="Q387">
        <f>(D_普通掉落表!AG699*D_普通掉落表!AH699)/10000/IF((D_普通掉落表!AL704+D_普通掉落表!AH699+D_普通掉落表!AD699+D_普通掉落表!Z699+D_普通掉落表!V699+D_普通掉落表!R699+D_普通掉落表!N699+D_普通掉落表!J699)/10000&gt;K387,(D_普通掉落表!AL704+D_普通掉落表!AH699+D_普通掉落表!AD699+D_普通掉落表!Z699+D_普通掉落表!V699+D_普通掉落表!R699+D_普通掉落表!N699+D_普通掉落表!J699)/10000,1)</f>
        <v>0</v>
      </c>
      <c r="T387">
        <f>(D_普通掉落表!AG699*D_普通掉落表!AL699)/10000/IF((D_普通掉落表!AL699+D_普通掉落表!AH699+D_普通掉落表!AD699+D_普通掉落表!Z699+D_普通掉落表!V699+D_普通掉落表!R699+D_普通掉落表!N699+D_普通掉落表!J699)/10000&gt;K387,(D_普通掉落表!AL699+D_普通掉落表!AH699+D_普通掉落表!AD699+D_普通掉落表!Z699+D_普通掉落表!V699+D_普通掉落表!R699+D_普通掉落表!N699+D_普通掉落表!J699)/10000,1)</f>
        <v>0</v>
      </c>
    </row>
    <row r="388" spans="1:20" x14ac:dyDescent="0.15">
      <c r="A388">
        <v>510511</v>
      </c>
      <c r="B388" t="s">
        <v>190</v>
      </c>
      <c r="D388">
        <v>0</v>
      </c>
      <c r="E388">
        <f>ROUND(VLOOKUP(A388,[6]D_远征奖励!$D:$G,4,FALSE)*0.9,0)</f>
        <v>19045</v>
      </c>
      <c r="F388">
        <f>ROUND(VLOOKUP(A388,[6]D_远征奖励!$D:$G,4,FALSE)*1,0)</f>
        <v>21161</v>
      </c>
      <c r="G388">
        <v>0</v>
      </c>
      <c r="H388">
        <v>0</v>
      </c>
      <c r="I388">
        <f>ROUND([5]命币的投放!$H83,0)</f>
        <v>7752</v>
      </c>
      <c r="J388">
        <v>0</v>
      </c>
      <c r="K388" s="8">
        <v>2</v>
      </c>
      <c r="L388">
        <f t="shared" si="61"/>
        <v>100511</v>
      </c>
      <c r="M388" s="8">
        <f t="shared" si="60"/>
        <v>700511</v>
      </c>
      <c r="Q388">
        <f>(D_普通掉落表!AG700*D_普通掉落表!AH700)/10000/IF((D_普通掉落表!AL705+D_普通掉落表!AH700+D_普通掉落表!AD700+D_普通掉落表!Z700+D_普通掉落表!V700+D_普通掉落表!R700+D_普通掉落表!N700+D_普通掉落表!J700)/10000&gt;K388,(D_普通掉落表!AL705+D_普通掉落表!AH700+D_普通掉落表!AD700+D_普通掉落表!Z700+D_普通掉落表!V700+D_普通掉落表!R700+D_普通掉落表!N700+D_普通掉落表!J700)/10000,1)</f>
        <v>0</v>
      </c>
      <c r="T388">
        <f>(D_普通掉落表!AG700*D_普通掉落表!AL700)/10000/IF((D_普通掉落表!AL700+D_普通掉落表!AH700+D_普通掉落表!AD700+D_普通掉落表!Z700+D_普通掉落表!V700+D_普通掉落表!R700+D_普通掉落表!N700+D_普通掉落表!J700)/10000&gt;K388,(D_普通掉落表!AL700+D_普通掉落表!AH700+D_普通掉落表!AD700+D_普通掉落表!Z700+D_普通掉落表!V700+D_普通掉落表!R700+D_普通掉落表!N700+D_普通掉落表!J700)/10000,1)</f>
        <v>0</v>
      </c>
    </row>
    <row r="389" spans="1:20" x14ac:dyDescent="0.15">
      <c r="A389">
        <v>510512</v>
      </c>
      <c r="B389" t="s">
        <v>191</v>
      </c>
      <c r="D389">
        <v>0</v>
      </c>
      <c r="E389">
        <f>ROUND(VLOOKUP(A389,[6]D_远征奖励!$D:$G,4,FALSE)*0.9,0)</f>
        <v>21425</v>
      </c>
      <c r="F389">
        <f>ROUND(VLOOKUP(A389,[6]D_远征奖励!$D:$G,4,FALSE)*1,0)</f>
        <v>23806</v>
      </c>
      <c r="G389">
        <v>0</v>
      </c>
      <c r="H389">
        <v>0</v>
      </c>
      <c r="I389">
        <f>ROUND([5]命币的投放!$H84,0)</f>
        <v>10953</v>
      </c>
      <c r="J389">
        <v>0</v>
      </c>
      <c r="K389" s="8">
        <v>3</v>
      </c>
      <c r="L389">
        <f t="shared" si="61"/>
        <v>100512</v>
      </c>
      <c r="M389" s="8">
        <f t="shared" si="60"/>
        <v>700512</v>
      </c>
      <c r="Q389">
        <f>(D_普通掉落表!AG701*D_普通掉落表!AH701)/10000/IF((D_普通掉落表!AL706+D_普通掉落表!AH701+D_普通掉落表!AD701+D_普通掉落表!Z701+D_普通掉落表!V701+D_普通掉落表!R701+D_普通掉落表!N701+D_普通掉落表!J701)/10000&gt;K389,(D_普通掉落表!AL706+D_普通掉落表!AH701+D_普通掉落表!AD701+D_普通掉落表!Z701+D_普通掉落表!V701+D_普通掉落表!R701+D_普通掉落表!N701+D_普通掉落表!J701)/10000,1)</f>
        <v>0</v>
      </c>
      <c r="T389">
        <f>(D_普通掉落表!AG701*D_普通掉落表!AL701)/10000/IF((D_普通掉落表!AL701+D_普通掉落表!AH701+D_普通掉落表!AD701+D_普通掉落表!Z701+D_普通掉落表!V701+D_普通掉落表!R701+D_普通掉落表!N701+D_普通掉落表!J701)/10000&gt;K389,(D_普通掉落表!AL701+D_普通掉落表!AH701+D_普通掉落表!AD701+D_普通掉落表!Z701+D_普通掉落表!V701+D_普通掉落表!R701+D_普通掉落表!N701+D_普通掉落表!J701)/10000,1)</f>
        <v>0</v>
      </c>
    </row>
    <row r="390" spans="1:20" x14ac:dyDescent="0.15">
      <c r="A390">
        <v>510513</v>
      </c>
      <c r="B390" t="s">
        <v>192</v>
      </c>
      <c r="D390">
        <v>0</v>
      </c>
      <c r="E390">
        <f>ROUND(VLOOKUP(A390,[6]D_远征奖励!$D:$G,4,FALSE)*0.9,0)</f>
        <v>19045</v>
      </c>
      <c r="F390">
        <f>ROUND(VLOOKUP(A390,[6]D_远征奖励!$D:$G,4,FALSE)*1,0)</f>
        <v>21161</v>
      </c>
      <c r="G390">
        <v>0</v>
      </c>
      <c r="H390">
        <v>0</v>
      </c>
      <c r="I390">
        <f>ROUND([5]命币的投放!$H85,0)</f>
        <v>8093</v>
      </c>
      <c r="J390">
        <v>0</v>
      </c>
      <c r="K390" s="8">
        <v>2</v>
      </c>
      <c r="L390">
        <f t="shared" si="61"/>
        <v>100513</v>
      </c>
      <c r="M390" s="8">
        <f t="shared" si="60"/>
        <v>700513</v>
      </c>
      <c r="Q390">
        <f>(D_普通掉落表!AG702*D_普通掉落表!AH702)/10000/IF((D_普通掉落表!AL707+D_普通掉落表!AH702+D_普通掉落表!AD702+D_普通掉落表!Z702+D_普通掉落表!V702+D_普通掉落表!R702+D_普通掉落表!N702+D_普通掉落表!J702)/10000&gt;K390,(D_普通掉落表!AL707+D_普通掉落表!AH702+D_普通掉落表!AD702+D_普通掉落表!Z702+D_普通掉落表!V702+D_普通掉落表!R702+D_普通掉落表!N702+D_普通掉落表!J702)/10000,1)</f>
        <v>0</v>
      </c>
      <c r="T390">
        <f>(D_普通掉落表!AG702*D_普通掉落表!AL702)/10000/IF((D_普通掉落表!AL702+D_普通掉落表!AH702+D_普通掉落表!AD702+D_普通掉落表!Z702+D_普通掉落表!V702+D_普通掉落表!R702+D_普通掉落表!N702+D_普通掉落表!J702)/10000&gt;K390,(D_普通掉落表!AL702+D_普通掉落表!AH702+D_普通掉落表!AD702+D_普通掉落表!Z702+D_普通掉落表!V702+D_普通掉落表!R702+D_普通掉落表!N702+D_普通掉落表!J702)/10000,1)</f>
        <v>0</v>
      </c>
    </row>
    <row r="391" spans="1:20" x14ac:dyDescent="0.15">
      <c r="A391">
        <v>510514</v>
      </c>
      <c r="B391" t="s">
        <v>193</v>
      </c>
      <c r="D391">
        <v>0</v>
      </c>
      <c r="E391">
        <f>ROUND(VLOOKUP(A391,[6]D_远征奖励!$D:$G,4,FALSE)*0.9,0)</f>
        <v>21425</v>
      </c>
      <c r="F391">
        <f>ROUND(VLOOKUP(A391,[6]D_远征奖励!$D:$G,4,FALSE)*1,0)</f>
        <v>23806</v>
      </c>
      <c r="G391">
        <v>0</v>
      </c>
      <c r="H391">
        <v>0</v>
      </c>
      <c r="I391">
        <f>ROUND([5]命币的投放!$H86,0)</f>
        <v>8542</v>
      </c>
      <c r="J391">
        <v>0</v>
      </c>
      <c r="K391" s="8">
        <v>2</v>
      </c>
      <c r="L391">
        <f t="shared" si="61"/>
        <v>100514</v>
      </c>
      <c r="M391" s="8">
        <f t="shared" si="60"/>
        <v>700514</v>
      </c>
      <c r="Q391">
        <f>(D_普通掉落表!AG703*D_普通掉落表!AH703)/10000/IF((D_普通掉落表!AL708+D_普通掉落表!AH703+D_普通掉落表!AD703+D_普通掉落表!Z703+D_普通掉落表!V703+D_普通掉落表!R703+D_普通掉落表!N703+D_普通掉落表!J703)/10000&gt;K391,(D_普通掉落表!AL708+D_普通掉落表!AH703+D_普通掉落表!AD703+D_普通掉落表!Z703+D_普通掉落表!V703+D_普通掉落表!R703+D_普通掉落表!N703+D_普通掉落表!J703)/10000,1)</f>
        <v>0</v>
      </c>
      <c r="T391">
        <f>(D_普通掉落表!AG703*D_普通掉落表!AL703)/10000/IF((D_普通掉落表!AL703+D_普通掉落表!AH703+D_普通掉落表!AD703+D_普通掉落表!Z703+D_普通掉落表!V703+D_普通掉落表!R703+D_普通掉落表!N703+D_普通掉落表!J703)/10000&gt;K391,(D_普通掉落表!AL703+D_普通掉落表!AH703+D_普通掉落表!AD703+D_普通掉落表!Z703+D_普通掉落表!V703+D_普通掉落表!R703+D_普通掉落表!N703+D_普通掉落表!J703)/10000,1)</f>
        <v>0</v>
      </c>
    </row>
    <row r="392" spans="1:20" x14ac:dyDescent="0.15">
      <c r="A392">
        <v>510515</v>
      </c>
      <c r="B392" t="s">
        <v>194</v>
      </c>
      <c r="D392">
        <v>0</v>
      </c>
      <c r="E392">
        <f>ROUND(VLOOKUP(A392,[6]D_远征奖励!$D:$G,4,FALSE)*0.9,0)</f>
        <v>24104</v>
      </c>
      <c r="F392">
        <f>ROUND(VLOOKUP(A392,[6]D_远征奖励!$D:$G,4,FALSE)*1,0)</f>
        <v>26782</v>
      </c>
      <c r="G392">
        <v>0</v>
      </c>
      <c r="H392">
        <v>0</v>
      </c>
      <c r="I392">
        <f>ROUND([5]命币的投放!$H87,0)</f>
        <v>12235</v>
      </c>
      <c r="J392">
        <v>0</v>
      </c>
      <c r="K392" s="8">
        <v>5</v>
      </c>
      <c r="L392">
        <f t="shared" si="61"/>
        <v>100515</v>
      </c>
      <c r="M392" s="8">
        <f t="shared" si="60"/>
        <v>700515</v>
      </c>
      <c r="Q392">
        <v>0</v>
      </c>
      <c r="T392">
        <f>(D_普通掉落表!AG704*D_普通掉落表!AH704)/10000/IF((D_普通掉落表!AL709+D_普通掉落表!AH704+D_普通掉落表!AD704+D_普通掉落表!Z704+D_普通掉落表!V704+D_普通掉落表!R704+D_普通掉落表!N704+D_普通掉落表!J704)/10000&gt;K392,(D_普通掉落表!AL709+D_普通掉落表!AH704+D_普通掉落表!AD704+D_普通掉落表!Z704+D_普通掉落表!V704+D_普通掉落表!R704+D_普通掉落表!N704+D_普通掉落表!J704)/10000,1)</f>
        <v>1</v>
      </c>
    </row>
    <row r="393" spans="1:20" x14ac:dyDescent="0.15">
      <c r="A393">
        <v>510601</v>
      </c>
      <c r="B393" t="s">
        <v>195</v>
      </c>
      <c r="D393">
        <v>0</v>
      </c>
      <c r="E393">
        <f>ROUND(VLOOKUP(A393,[6]D_远征奖励!$D:$G,4,FALSE)*0.9,0)</f>
        <v>12484</v>
      </c>
      <c r="F393">
        <f>ROUND(VLOOKUP(A393,[6]D_远征奖励!$D:$G,4,FALSE)*1,0)</f>
        <v>13871</v>
      </c>
      <c r="G393">
        <v>0</v>
      </c>
      <c r="H393">
        <v>0</v>
      </c>
      <c r="I393">
        <f>ROUND([5]命币的投放!$H88,0)</f>
        <v>5122</v>
      </c>
      <c r="J393">
        <v>0</v>
      </c>
      <c r="K393" s="8">
        <v>1</v>
      </c>
      <c r="L393">
        <f t="shared" si="61"/>
        <v>100601</v>
      </c>
      <c r="M393" s="8">
        <f t="shared" si="60"/>
        <v>700601</v>
      </c>
      <c r="Q393">
        <f>(D_普通掉落表!AG705*D_普通掉落表!AH705)/10000/IF((D_普通掉落表!AL710+D_普通掉落表!AH705+D_普通掉落表!AD705+D_普通掉落表!Z705+D_普通掉落表!V705+D_普通掉落表!R705+D_普通掉落表!N705+D_普通掉落表!J705)/10000&gt;K393,(D_普通掉落表!AL710+D_普通掉落表!AH705+D_普通掉落表!AD705+D_普通掉落表!Z705+D_普通掉落表!V705+D_普通掉落表!R705+D_普通掉落表!N705+D_普通掉落表!J705)/10000,1)</f>
        <v>0</v>
      </c>
      <c r="T393">
        <f>(D_普通掉落表!AG705*D_普通掉落表!AL705)/10000/IF((D_普通掉落表!AL705+D_普通掉落表!AH705+D_普通掉落表!AD705+D_普通掉落表!Z705+D_普通掉落表!V705+D_普通掉落表!R705+D_普通掉落表!N705+D_普通掉落表!J705)/10000&gt;K393,(D_普通掉落表!AL705+D_普通掉落表!AH705+D_普通掉落表!AD705+D_普通掉落表!Z705+D_普通掉落表!V705+D_普通掉落表!R705+D_普通掉落表!N705+D_普通掉落表!J705)/10000,1)</f>
        <v>0</v>
      </c>
    </row>
    <row r="394" spans="1:20" x14ac:dyDescent="0.15">
      <c r="A394">
        <v>510602</v>
      </c>
      <c r="B394" t="s">
        <v>196</v>
      </c>
      <c r="D394">
        <v>0</v>
      </c>
      <c r="E394">
        <f>ROUND(VLOOKUP(A394,[6]D_远征奖励!$D:$G,4,FALSE)*0.9,0)</f>
        <v>14045</v>
      </c>
      <c r="F394">
        <f>ROUND(VLOOKUP(A394,[6]D_远征奖励!$D:$G,4,FALSE)*1,0)</f>
        <v>15605</v>
      </c>
      <c r="G394">
        <v>0</v>
      </c>
      <c r="H394">
        <v>0</v>
      </c>
      <c r="I394">
        <f>ROUND([5]命币的投放!$H89,0)</f>
        <v>6021</v>
      </c>
      <c r="J394">
        <v>0</v>
      </c>
      <c r="K394" s="8">
        <v>1</v>
      </c>
      <c r="L394">
        <f t="shared" si="61"/>
        <v>100602</v>
      </c>
      <c r="M394" s="8">
        <f t="shared" si="60"/>
        <v>700602</v>
      </c>
      <c r="Q394">
        <f>(D_普通掉落表!AG706*D_普通掉落表!AH706)/10000/IF((D_普通掉落表!AL711+D_普通掉落表!AH706+D_普通掉落表!AD706+D_普通掉落表!Z706+D_普通掉落表!V706+D_普通掉落表!R706+D_普通掉落表!N706+D_普通掉落表!J706)/10000&gt;K394,(D_普通掉落表!AL711+D_普通掉落表!AH706+D_普通掉落表!AD706+D_普通掉落表!Z706+D_普通掉落表!V706+D_普通掉落表!R706+D_普通掉落表!N706+D_普通掉落表!J706)/10000,1)</f>
        <v>0</v>
      </c>
      <c r="T394">
        <f>(D_普通掉落表!AG706*D_普通掉落表!AL706)/10000/IF((D_普通掉落表!AL706+D_普通掉落表!AH706+D_普通掉落表!AD706+D_普通掉落表!Z706+D_普通掉落表!V706+D_普通掉落表!R706+D_普通掉落表!N706+D_普通掉落表!J706)/10000&gt;K394,(D_普通掉落表!AL706+D_普通掉落表!AH706+D_普通掉落表!AD706+D_普通掉落表!Z706+D_普通掉落表!V706+D_普通掉落表!R706+D_普通掉落表!N706+D_普通掉落表!J706)/10000,1)</f>
        <v>0</v>
      </c>
    </row>
    <row r="395" spans="1:20" x14ac:dyDescent="0.15">
      <c r="A395">
        <v>510603</v>
      </c>
      <c r="B395" t="s">
        <v>197</v>
      </c>
      <c r="D395">
        <v>0</v>
      </c>
      <c r="E395">
        <f>ROUND(VLOOKUP(A395,[6]D_远征奖励!$D:$G,4,FALSE)*0.9,0)</f>
        <v>15800</v>
      </c>
      <c r="F395">
        <f>ROUND(VLOOKUP(A395,[6]D_远征奖励!$D:$G,4,FALSE)*1,0)</f>
        <v>17556</v>
      </c>
      <c r="G395">
        <v>0</v>
      </c>
      <c r="H395">
        <v>0</v>
      </c>
      <c r="I395">
        <f>ROUND([5]命币的投放!$H90,0)</f>
        <v>8374</v>
      </c>
      <c r="J395">
        <v>0</v>
      </c>
      <c r="K395" s="8">
        <v>2</v>
      </c>
      <c r="L395">
        <f t="shared" si="61"/>
        <v>100603</v>
      </c>
      <c r="M395" s="8">
        <f t="shared" si="60"/>
        <v>700603</v>
      </c>
      <c r="Q395">
        <f>(D_普通掉落表!AG707*D_普通掉落表!AH707)/10000/IF((D_普通掉落表!AL712+D_普通掉落表!AH707+D_普通掉落表!AD707+D_普通掉落表!Z707+D_普通掉落表!V707+D_普通掉落表!R707+D_普通掉落表!N707+D_普通掉落表!J707)/10000&gt;K395,(D_普通掉落表!AL712+D_普通掉落表!AH707+D_普通掉落表!AD707+D_普通掉落表!Z707+D_普通掉落表!V707+D_普通掉落表!R707+D_普通掉落表!N707+D_普通掉落表!J707)/10000,1)</f>
        <v>0</v>
      </c>
      <c r="T395">
        <f>(D_普通掉落表!AG707*D_普通掉落表!AL707)/10000/IF((D_普通掉落表!AL707+D_普通掉落表!AH707+D_普通掉落表!AD707+D_普通掉落表!Z707+D_普通掉落表!V707+D_普通掉落表!R707+D_普通掉落表!N707+D_普通掉落表!J707)/10000&gt;K395,(D_普通掉落表!AL707+D_普通掉落表!AH707+D_普通掉落表!AD707+D_普通掉落表!Z707+D_普通掉落表!V707+D_普通掉落表!R707+D_普通掉落表!N707+D_普通掉落表!J707)/10000,1)</f>
        <v>0</v>
      </c>
    </row>
    <row r="396" spans="1:20" x14ac:dyDescent="0.15">
      <c r="A396">
        <v>510604</v>
      </c>
      <c r="B396" t="s">
        <v>198</v>
      </c>
      <c r="D396">
        <v>0</v>
      </c>
      <c r="E396">
        <f>ROUND(VLOOKUP(A396,[6]D_远征奖励!$D:$G,4,FALSE)*0.9,0)</f>
        <v>14045</v>
      </c>
      <c r="F396">
        <f>ROUND(VLOOKUP(A396,[6]D_远征奖励!$D:$G,4,FALSE)*1,0)</f>
        <v>15605</v>
      </c>
      <c r="G396">
        <v>0</v>
      </c>
      <c r="H396">
        <v>0</v>
      </c>
      <c r="I396">
        <f>ROUND([5]命币的投放!$H91,0)</f>
        <v>5961</v>
      </c>
      <c r="J396">
        <v>0</v>
      </c>
      <c r="K396" s="8">
        <v>1</v>
      </c>
      <c r="L396">
        <f t="shared" si="61"/>
        <v>100604</v>
      </c>
      <c r="M396" s="8">
        <f t="shared" si="60"/>
        <v>700604</v>
      </c>
      <c r="Q396">
        <f>(D_普通掉落表!AG708*D_普通掉落表!AH708)/10000/IF((D_普通掉落表!AL713+D_普通掉落表!AH708+D_普通掉落表!AD708+D_普通掉落表!Z708+D_普通掉落表!V708+D_普通掉落表!R708+D_普通掉落表!N708+D_普通掉落表!J708)/10000&gt;K396,(D_普通掉落表!AL713+D_普通掉落表!AH708+D_普通掉落表!AD708+D_普通掉落表!Z708+D_普通掉落表!V708+D_普通掉落表!R708+D_普通掉落表!N708+D_普通掉落表!J708)/10000,1)</f>
        <v>0</v>
      </c>
      <c r="T396">
        <f>(D_普通掉落表!AG708*D_普通掉落表!AL708)/10000/IF((D_普通掉落表!AL708+D_普通掉落表!AH708+D_普通掉落表!AD708+D_普通掉落表!Z708+D_普通掉落表!V708+D_普通掉落表!R708+D_普通掉落表!N708+D_普通掉落表!J708)/10000&gt;K396,(D_普通掉落表!AL708+D_普通掉落表!AH708+D_普通掉落表!AD708+D_普通掉落表!Z708+D_普通掉落表!V708+D_普通掉落表!R708+D_普通掉落表!N708+D_普通掉落表!J708)/10000,1)</f>
        <v>0</v>
      </c>
    </row>
    <row r="397" spans="1:20" x14ac:dyDescent="0.15">
      <c r="A397">
        <v>510605</v>
      </c>
      <c r="B397" t="s">
        <v>199</v>
      </c>
      <c r="D397">
        <v>0</v>
      </c>
      <c r="E397">
        <f>ROUND(VLOOKUP(A397,[6]D_远征奖励!$D:$G,4,FALSE)*0.9,0)</f>
        <v>15800</v>
      </c>
      <c r="F397">
        <f>ROUND(VLOOKUP(A397,[6]D_远征奖励!$D:$G,4,FALSE)*1,0)</f>
        <v>17556</v>
      </c>
      <c r="G397">
        <v>0</v>
      </c>
      <c r="H397">
        <v>0</v>
      </c>
      <c r="I397">
        <f>ROUND([5]命币的投放!$H92,0)</f>
        <v>6805</v>
      </c>
      <c r="J397">
        <v>0</v>
      </c>
      <c r="K397" s="8">
        <v>1</v>
      </c>
      <c r="L397">
        <f t="shared" si="61"/>
        <v>100605</v>
      </c>
      <c r="M397" s="8">
        <f t="shared" ref="M397:M460" si="62">M382+100</f>
        <v>700605</v>
      </c>
      <c r="Q397">
        <f>(D_普通掉落表!AG709*D_普通掉落表!AH709)/10000/IF((D_普通掉落表!AL714+D_普通掉落表!AH709+D_普通掉落表!AD709+D_普通掉落表!Z709+D_普通掉落表!V709+D_普通掉落表!R709+D_普通掉落表!N709+D_普通掉落表!J709)/10000&gt;K397,(D_普通掉落表!AL714+D_普通掉落表!AH709+D_普通掉落表!AD709+D_普通掉落表!Z709+D_普通掉落表!V709+D_普通掉落表!R709+D_普通掉落表!N709+D_普通掉落表!J709)/10000,1)</f>
        <v>0</v>
      </c>
      <c r="T397">
        <f>(D_普通掉落表!AG709*D_普通掉落表!AL709)/10000/IF((D_普通掉落表!AL709+D_普通掉落表!AH709+D_普通掉落表!AD709+D_普通掉落表!Z709+D_普通掉落表!V709+D_普通掉落表!R709+D_普通掉落表!N709+D_普通掉落表!J709)/10000&gt;K397,(D_普通掉落表!AL709+D_普通掉落表!AH709+D_普通掉落表!AD709+D_普通掉落表!Z709+D_普通掉落表!V709+D_普通掉落表!R709+D_普通掉落表!N709+D_普通掉落表!J709)/10000,1)</f>
        <v>0</v>
      </c>
    </row>
    <row r="398" spans="1:20" x14ac:dyDescent="0.15">
      <c r="A398">
        <v>510606</v>
      </c>
      <c r="B398" t="s">
        <v>200</v>
      </c>
      <c r="D398">
        <v>0</v>
      </c>
      <c r="E398">
        <f>ROUND(VLOOKUP(A398,[6]D_远征奖励!$D:$G,4,FALSE)*0.9,0)</f>
        <v>17775</v>
      </c>
      <c r="F398">
        <f>ROUND(VLOOKUP(A398,[6]D_远征奖励!$D:$G,4,FALSE)*1,0)</f>
        <v>19750</v>
      </c>
      <c r="G398">
        <v>0</v>
      </c>
      <c r="H398">
        <v>0</v>
      </c>
      <c r="I398">
        <f>ROUND([5]命币的投放!$H93,0)</f>
        <v>9506</v>
      </c>
      <c r="J398">
        <v>0</v>
      </c>
      <c r="K398" s="8">
        <v>2</v>
      </c>
      <c r="L398">
        <f t="shared" ref="L398:L461" si="63">L383+100</f>
        <v>100606</v>
      </c>
      <c r="M398" s="8">
        <f t="shared" si="62"/>
        <v>700606</v>
      </c>
      <c r="Q398">
        <f>(D_普通掉落表!AG710*D_普通掉落表!AH710)/10000/IF((D_普通掉落表!AL715+D_普通掉落表!AH710+D_普通掉落表!AD710+D_普通掉落表!Z710+D_普通掉落表!V710+D_普通掉落表!R710+D_普通掉落表!N710+D_普通掉落表!J710)/10000&gt;K398,(D_普通掉落表!AL715+D_普通掉落表!AH710+D_普通掉落表!AD710+D_普通掉落表!Z710+D_普通掉落表!V710+D_普通掉落表!R710+D_普通掉落表!N710+D_普通掉落表!J710)/10000,1)</f>
        <v>0</v>
      </c>
      <c r="T398">
        <f>(D_普通掉落表!AG710*D_普通掉落表!AL710)/10000/IF((D_普通掉落表!AL710+D_普通掉落表!AH710+D_普通掉落表!AD710+D_普通掉落表!Z710+D_普通掉落表!V710+D_普通掉落表!R710+D_普通掉落表!N710+D_普通掉落表!J710)/10000&gt;K398,(D_普通掉落表!AL710+D_普通掉落表!AH710+D_普通掉落表!AD710+D_普通掉落表!Z710+D_普通掉落表!V710+D_普通掉落表!R710+D_普通掉落表!N710+D_普通掉落表!J710)/10000,1)</f>
        <v>0</v>
      </c>
    </row>
    <row r="399" spans="1:20" x14ac:dyDescent="0.15">
      <c r="A399">
        <v>510607</v>
      </c>
      <c r="B399" t="s">
        <v>201</v>
      </c>
      <c r="D399">
        <v>0</v>
      </c>
      <c r="E399">
        <f>ROUND(VLOOKUP(A399,[6]D_远征奖励!$D:$G,4,FALSE)*0.9,0)</f>
        <v>15800</v>
      </c>
      <c r="F399">
        <f>ROUND(VLOOKUP(A399,[6]D_远征奖励!$D:$G,4,FALSE)*1,0)</f>
        <v>17556</v>
      </c>
      <c r="G399">
        <v>0</v>
      </c>
      <c r="H399">
        <v>0</v>
      </c>
      <c r="I399">
        <f>ROUND([5]命币的投放!$H94,0)</f>
        <v>6848</v>
      </c>
      <c r="J399">
        <v>0</v>
      </c>
      <c r="K399" s="8">
        <v>2</v>
      </c>
      <c r="L399">
        <f t="shared" si="63"/>
        <v>100607</v>
      </c>
      <c r="M399" s="8">
        <f t="shared" si="62"/>
        <v>700607</v>
      </c>
      <c r="Q399">
        <f>(D_普通掉落表!AG711*D_普通掉落表!AH711)/10000/IF((D_普通掉落表!AL716+D_普通掉落表!AH711+D_普通掉落表!AD711+D_普通掉落表!Z711+D_普通掉落表!V711+D_普通掉落表!R711+D_普通掉落表!N711+D_普通掉落表!J711)/10000&gt;K399,(D_普通掉落表!AL716+D_普通掉落表!AH711+D_普通掉落表!AD711+D_普通掉落表!Z711+D_普通掉落表!V711+D_普通掉落表!R711+D_普通掉落表!N711+D_普通掉落表!J711)/10000,1)</f>
        <v>0</v>
      </c>
      <c r="T399">
        <f>(D_普通掉落表!AG711*D_普通掉落表!AL711)/10000/IF((D_普通掉落表!AL711+D_普通掉落表!AH711+D_普通掉落表!AD711+D_普通掉落表!Z711+D_普通掉落表!V711+D_普通掉落表!R711+D_普通掉落表!N711+D_普通掉落表!J711)/10000&gt;K399,(D_普通掉落表!AL711+D_普通掉落表!AH711+D_普通掉落表!AD711+D_普通掉落表!Z711+D_普通掉落表!V711+D_普通掉落表!R711+D_普通掉落表!N711+D_普通掉落表!J711)/10000,1)</f>
        <v>0</v>
      </c>
    </row>
    <row r="400" spans="1:20" x14ac:dyDescent="0.15">
      <c r="A400">
        <v>510608</v>
      </c>
      <c r="B400" t="s">
        <v>202</v>
      </c>
      <c r="D400">
        <v>0</v>
      </c>
      <c r="E400">
        <f>ROUND(VLOOKUP(A400,[6]D_远征奖励!$D:$G,4,FALSE)*0.9,0)</f>
        <v>17775</v>
      </c>
      <c r="F400">
        <f>ROUND(VLOOKUP(A400,[6]D_远征奖励!$D:$G,4,FALSE)*1,0)</f>
        <v>19750</v>
      </c>
      <c r="G400">
        <v>0</v>
      </c>
      <c r="H400">
        <v>0</v>
      </c>
      <c r="I400">
        <f>ROUND([5]命币的投放!$H95,0)</f>
        <v>7606</v>
      </c>
      <c r="J400">
        <v>0</v>
      </c>
      <c r="K400" s="8">
        <v>2</v>
      </c>
      <c r="L400">
        <f t="shared" si="63"/>
        <v>100608</v>
      </c>
      <c r="M400" s="8">
        <f t="shared" si="62"/>
        <v>700608</v>
      </c>
      <c r="Q400">
        <f>(D_普通掉落表!AG712*D_普通掉落表!AH712)/10000/IF((D_普通掉落表!AL717+D_普通掉落表!AH712+D_普通掉落表!AD712+D_普通掉落表!Z712+D_普通掉落表!V712+D_普通掉落表!R712+D_普通掉落表!N712+D_普通掉落表!J712)/10000&gt;K400,(D_普通掉落表!AL717+D_普通掉落表!AH712+D_普通掉落表!AD712+D_普通掉落表!Z712+D_普通掉落表!V712+D_普通掉落表!R712+D_普通掉落表!N712+D_普通掉落表!J712)/10000,1)</f>
        <v>0</v>
      </c>
      <c r="T400">
        <f>(D_普通掉落表!AG712*D_普通掉落表!AL712)/10000/IF((D_普通掉落表!AL712+D_普通掉落表!AH712+D_普通掉落表!AD712+D_普通掉落表!Z712+D_普通掉落表!V712+D_普通掉落表!R712+D_普通掉落表!N712+D_普通掉落表!J712)/10000&gt;K400,(D_普通掉落表!AL712+D_普通掉落表!AH712+D_普通掉落表!AD712+D_普通掉落表!Z712+D_普通掉落表!V712+D_普通掉落表!R712+D_普通掉落表!N712+D_普通掉落表!J712)/10000,1)</f>
        <v>0</v>
      </c>
    </row>
    <row r="401" spans="1:20" x14ac:dyDescent="0.15">
      <c r="A401">
        <v>510609</v>
      </c>
      <c r="B401" t="s">
        <v>203</v>
      </c>
      <c r="D401">
        <v>0</v>
      </c>
      <c r="E401">
        <f>ROUND(VLOOKUP(A401,[6]D_远征奖励!$D:$G,4,FALSE)*0.9,0)</f>
        <v>19997</v>
      </c>
      <c r="F401">
        <f>ROUND(VLOOKUP(A401,[6]D_远征奖励!$D:$G,4,FALSE)*1,0)</f>
        <v>22219</v>
      </c>
      <c r="G401">
        <v>0</v>
      </c>
      <c r="H401">
        <v>0</v>
      </c>
      <c r="I401">
        <f>ROUND([5]命币的投放!$H96,0)</f>
        <v>10676</v>
      </c>
      <c r="J401">
        <v>0</v>
      </c>
      <c r="K401" s="8">
        <v>3</v>
      </c>
      <c r="L401">
        <f t="shared" si="63"/>
        <v>100609</v>
      </c>
      <c r="M401" s="8">
        <f t="shared" si="62"/>
        <v>700609</v>
      </c>
      <c r="Q401">
        <f>(D_普通掉落表!AG713*D_普通掉落表!AH713)/10000/IF((D_普通掉落表!AL718+D_普通掉落表!AH713+D_普通掉落表!AD713+D_普通掉落表!Z713+D_普通掉落表!V713+D_普通掉落表!R713+D_普通掉落表!N713+D_普通掉落表!J713)/10000&gt;K401,(D_普通掉落表!AL718+D_普通掉落表!AH713+D_普通掉落表!AD713+D_普通掉落表!Z713+D_普通掉落表!V713+D_普通掉落表!R713+D_普通掉落表!N713+D_普通掉落表!J713)/10000,1)</f>
        <v>0</v>
      </c>
      <c r="T401">
        <f>(D_普通掉落表!AG713*D_普通掉落表!AL713)/10000/IF((D_普通掉落表!AL713+D_普通掉落表!AH713+D_普通掉落表!AD713+D_普通掉落表!Z713+D_普通掉落表!V713+D_普通掉落表!R713+D_普通掉落表!N713+D_普通掉落表!J713)/10000&gt;K401,(D_普通掉落表!AL713+D_普通掉落表!AH713+D_普通掉落表!AD713+D_普通掉落表!Z713+D_普通掉落表!V713+D_普通掉落表!R713+D_普通掉落表!N713+D_普通掉落表!J713)/10000,1)</f>
        <v>0</v>
      </c>
    </row>
    <row r="402" spans="1:20" x14ac:dyDescent="0.15">
      <c r="A402">
        <v>510610</v>
      </c>
      <c r="B402" t="s">
        <v>204</v>
      </c>
      <c r="D402">
        <v>0</v>
      </c>
      <c r="E402">
        <f>ROUND(VLOOKUP(A402,[6]D_远征奖励!$D:$G,4,FALSE)*0.9,0)</f>
        <v>17775</v>
      </c>
      <c r="F402">
        <f>ROUND(VLOOKUP(A402,[6]D_远征奖励!$D:$G,4,FALSE)*1,0)</f>
        <v>19750</v>
      </c>
      <c r="G402">
        <v>0</v>
      </c>
      <c r="H402">
        <v>0</v>
      </c>
      <c r="I402">
        <f>ROUND([5]命币的投放!$H97,0)</f>
        <v>7785</v>
      </c>
      <c r="J402">
        <v>0</v>
      </c>
      <c r="K402" s="8">
        <v>2</v>
      </c>
      <c r="L402">
        <f t="shared" si="63"/>
        <v>100610</v>
      </c>
      <c r="M402" s="8">
        <f t="shared" si="62"/>
        <v>700610</v>
      </c>
      <c r="Q402">
        <f>(D_普通掉落表!AG714*D_普通掉落表!AH714)/10000/IF((D_普通掉落表!AL719+D_普通掉落表!AH714+D_普通掉落表!AD714+D_普通掉落表!Z714+D_普通掉落表!V714+D_普通掉落表!R714+D_普通掉落表!N714+D_普通掉落表!J714)/10000&gt;K402,(D_普通掉落表!AL719+D_普通掉落表!AH714+D_普通掉落表!AD714+D_普通掉落表!Z714+D_普通掉落表!V714+D_普通掉落表!R714+D_普通掉落表!N714+D_普通掉落表!J714)/10000,1)</f>
        <v>0</v>
      </c>
      <c r="T402">
        <f>(D_普通掉落表!AG714*D_普通掉落表!AL714)/10000/IF((D_普通掉落表!AL714+D_普通掉落表!AH714+D_普通掉落表!AD714+D_普通掉落表!Z714+D_普通掉落表!V714+D_普通掉落表!R714+D_普通掉落表!N714+D_普通掉落表!J714)/10000&gt;K402,(D_普通掉落表!AL714+D_普通掉落表!AH714+D_普通掉落表!AD714+D_普通掉落表!Z714+D_普通掉落表!V714+D_普通掉落表!R714+D_普通掉落表!N714+D_普通掉落表!J714)/10000,1)</f>
        <v>0</v>
      </c>
    </row>
    <row r="403" spans="1:20" x14ac:dyDescent="0.15">
      <c r="A403">
        <v>510611</v>
      </c>
      <c r="B403" t="s">
        <v>205</v>
      </c>
      <c r="D403">
        <v>0</v>
      </c>
      <c r="E403">
        <f>ROUND(VLOOKUP(A403,[6]D_远征奖励!$D:$G,4,FALSE)*0.9,0)</f>
        <v>19997</v>
      </c>
      <c r="F403">
        <f>ROUND(VLOOKUP(A403,[6]D_远征奖励!$D:$G,4,FALSE)*1,0)</f>
        <v>22219</v>
      </c>
      <c r="G403">
        <v>0</v>
      </c>
      <c r="H403">
        <v>0</v>
      </c>
      <c r="I403">
        <f>ROUND([5]命币的投放!$H98,0)</f>
        <v>8421</v>
      </c>
      <c r="J403">
        <v>0</v>
      </c>
      <c r="K403" s="8">
        <v>2</v>
      </c>
      <c r="L403">
        <f t="shared" si="63"/>
        <v>100611</v>
      </c>
      <c r="M403" s="8">
        <f t="shared" si="62"/>
        <v>700611</v>
      </c>
      <c r="Q403">
        <f>(D_普通掉落表!AG715*D_普通掉落表!AH715)/10000/IF((D_普通掉落表!AL720+D_普通掉落表!AH715+D_普通掉落表!AD715+D_普通掉落表!Z715+D_普通掉落表!V715+D_普通掉落表!R715+D_普通掉落表!N715+D_普通掉落表!J715)/10000&gt;K403,(D_普通掉落表!AL720+D_普通掉落表!AH715+D_普通掉落表!AD715+D_普通掉落表!Z715+D_普通掉落表!V715+D_普通掉落表!R715+D_普通掉落表!N715+D_普通掉落表!J715)/10000,1)</f>
        <v>0</v>
      </c>
      <c r="T403">
        <f>(D_普通掉落表!AG715*D_普通掉落表!AL715)/10000/IF((D_普通掉落表!AL715+D_普通掉落表!AH715+D_普通掉落表!AD715+D_普通掉落表!Z715+D_普通掉落表!V715+D_普通掉落表!R715+D_普通掉落表!N715+D_普通掉落表!J715)/10000&gt;K403,(D_普通掉落表!AL715+D_普通掉落表!AH715+D_普通掉落表!AD715+D_普通掉落表!Z715+D_普通掉落表!V715+D_普通掉落表!R715+D_普通掉落表!N715+D_普通掉落表!J715)/10000,1)</f>
        <v>0</v>
      </c>
    </row>
    <row r="404" spans="1:20" x14ac:dyDescent="0.15">
      <c r="A404">
        <v>510612</v>
      </c>
      <c r="B404" t="s">
        <v>206</v>
      </c>
      <c r="D404">
        <v>0</v>
      </c>
      <c r="E404">
        <f>ROUND(VLOOKUP(A404,[6]D_远征奖励!$D:$G,4,FALSE)*0.9,0)</f>
        <v>22496</v>
      </c>
      <c r="F404">
        <f>ROUND(VLOOKUP(A404,[6]D_远征奖励!$D:$G,4,FALSE)*1,0)</f>
        <v>24996</v>
      </c>
      <c r="G404">
        <v>0</v>
      </c>
      <c r="H404">
        <v>0</v>
      </c>
      <c r="I404">
        <f>ROUND([5]命币的投放!$H99,0)</f>
        <v>11885</v>
      </c>
      <c r="J404">
        <v>0</v>
      </c>
      <c r="K404" s="8">
        <v>3</v>
      </c>
      <c r="L404">
        <f t="shared" si="63"/>
        <v>100612</v>
      </c>
      <c r="M404" s="8">
        <f t="shared" si="62"/>
        <v>700612</v>
      </c>
      <c r="Q404">
        <f>(D_普通掉落表!AG716*D_普通掉落表!AH716)/10000/IF((D_普通掉落表!AL721+D_普通掉落表!AH716+D_普通掉落表!AD716+D_普通掉落表!Z716+D_普通掉落表!V716+D_普通掉落表!R716+D_普通掉落表!N716+D_普通掉落表!J716)/10000&gt;K404,(D_普通掉落表!AL721+D_普通掉落表!AH716+D_普通掉落表!AD716+D_普通掉落表!Z716+D_普通掉落表!V716+D_普通掉落表!R716+D_普通掉落表!N716+D_普通掉落表!J716)/10000,1)</f>
        <v>0</v>
      </c>
      <c r="T404">
        <f>(D_普通掉落表!AG716*D_普通掉落表!AL716)/10000/IF((D_普通掉落表!AL716+D_普通掉落表!AH716+D_普通掉落表!AD716+D_普通掉落表!Z716+D_普通掉落表!V716+D_普通掉落表!R716+D_普通掉落表!N716+D_普通掉落表!J716)/10000&gt;K404,(D_普通掉落表!AL716+D_普通掉落表!AH716+D_普通掉落表!AD716+D_普通掉落表!Z716+D_普通掉落表!V716+D_普通掉落表!R716+D_普通掉落表!N716+D_普通掉落表!J716)/10000,1)</f>
        <v>0</v>
      </c>
    </row>
    <row r="405" spans="1:20" x14ac:dyDescent="0.15">
      <c r="A405">
        <v>510613</v>
      </c>
      <c r="B405" t="s">
        <v>207</v>
      </c>
      <c r="D405">
        <v>0</v>
      </c>
      <c r="E405">
        <f>ROUND(VLOOKUP(A405,[6]D_远征奖励!$D:$G,4,FALSE)*0.9,0)</f>
        <v>19997</v>
      </c>
      <c r="F405">
        <f>ROUND(VLOOKUP(A405,[6]D_远征奖励!$D:$G,4,FALSE)*1,0)</f>
        <v>22219</v>
      </c>
      <c r="G405">
        <v>0</v>
      </c>
      <c r="H405">
        <v>0</v>
      </c>
      <c r="I405">
        <f>ROUND([5]命币的投放!$H100,0)</f>
        <v>8774</v>
      </c>
      <c r="J405">
        <v>0</v>
      </c>
      <c r="K405" s="8">
        <v>2</v>
      </c>
      <c r="L405">
        <f t="shared" si="63"/>
        <v>100613</v>
      </c>
      <c r="M405" s="8">
        <f t="shared" si="62"/>
        <v>700613</v>
      </c>
      <c r="Q405">
        <f>(D_普通掉落表!AG717*D_普通掉落表!AH717)/10000/IF((D_普通掉落表!AL722+D_普通掉落表!AH717+D_普通掉落表!AD717+D_普通掉落表!Z717+D_普通掉落表!V717+D_普通掉落表!R717+D_普通掉落表!N717+D_普通掉落表!J717)/10000&gt;K405,(D_普通掉落表!AL722+D_普通掉落表!AH717+D_普通掉落表!AD717+D_普通掉落表!Z717+D_普通掉落表!V717+D_普通掉落表!R717+D_普通掉落表!N717+D_普通掉落表!J717)/10000,1)</f>
        <v>0</v>
      </c>
      <c r="T405">
        <f>(D_普通掉落表!AG717*D_普通掉落表!AL717)/10000/IF((D_普通掉落表!AL717+D_普通掉落表!AH717+D_普通掉落表!AD717+D_普通掉落表!Z717+D_普通掉落表!V717+D_普通掉落表!R717+D_普通掉落表!N717+D_普通掉落表!J717)/10000&gt;K405,(D_普通掉落表!AL717+D_普通掉落表!AH717+D_普通掉落表!AD717+D_普通掉落表!Z717+D_普通掉落表!V717+D_普通掉落表!R717+D_普通掉落表!N717+D_普通掉落表!J717)/10000,1)</f>
        <v>0</v>
      </c>
    </row>
    <row r="406" spans="1:20" x14ac:dyDescent="0.15">
      <c r="A406">
        <v>510614</v>
      </c>
      <c r="B406" t="s">
        <v>208</v>
      </c>
      <c r="D406">
        <v>0</v>
      </c>
      <c r="E406">
        <f>ROUND(VLOOKUP(A406,[6]D_远征奖励!$D:$G,4,FALSE)*0.9,0)</f>
        <v>22496</v>
      </c>
      <c r="F406">
        <f>ROUND(VLOOKUP(A406,[6]D_远征奖励!$D:$G,4,FALSE)*1,0)</f>
        <v>24996</v>
      </c>
      <c r="G406">
        <v>0</v>
      </c>
      <c r="H406">
        <v>0</v>
      </c>
      <c r="I406">
        <f>ROUND([5]命币的投放!$H101,0)</f>
        <v>9252</v>
      </c>
      <c r="J406">
        <v>0</v>
      </c>
      <c r="K406" s="8">
        <v>2</v>
      </c>
      <c r="L406">
        <f t="shared" si="63"/>
        <v>100614</v>
      </c>
      <c r="M406" s="8">
        <f t="shared" si="62"/>
        <v>700614</v>
      </c>
      <c r="Q406">
        <f>(D_普通掉落表!AG718*D_普通掉落表!AH718)/10000/IF((D_普通掉落表!AL723+D_普通掉落表!AH718+D_普通掉落表!AD718+D_普通掉落表!Z718+D_普通掉落表!V718+D_普通掉落表!R718+D_普通掉落表!N718+D_普通掉落表!J718)/10000&gt;K406,(D_普通掉落表!AL723+D_普通掉落表!AH718+D_普通掉落表!AD718+D_普通掉落表!Z718+D_普通掉落表!V718+D_普通掉落表!R718+D_普通掉落表!N718+D_普通掉落表!J718)/10000,1)</f>
        <v>0</v>
      </c>
      <c r="T406">
        <f>(D_普通掉落表!AG718*D_普通掉落表!AL718)/10000/IF((D_普通掉落表!AL718+D_普通掉落表!AH718+D_普通掉落表!AD718+D_普通掉落表!Z718+D_普通掉落表!V718+D_普通掉落表!R718+D_普通掉落表!N718+D_普通掉落表!J718)/10000&gt;K406,(D_普通掉落表!AL718+D_普通掉落表!AH718+D_普通掉落表!AD718+D_普通掉落表!Z718+D_普通掉落表!V718+D_普通掉落表!R718+D_普通掉落表!N718+D_普通掉落表!J718)/10000,1)</f>
        <v>0</v>
      </c>
    </row>
    <row r="407" spans="1:20" x14ac:dyDescent="0.15">
      <c r="A407">
        <v>510615</v>
      </c>
      <c r="B407" t="s">
        <v>209</v>
      </c>
      <c r="D407">
        <v>0</v>
      </c>
      <c r="E407">
        <f>ROUND(VLOOKUP(A407,[6]D_远征奖励!$D:$G,4,FALSE)*0.9,0)</f>
        <v>25309</v>
      </c>
      <c r="F407">
        <f>ROUND(VLOOKUP(A407,[6]D_远征奖励!$D:$G,4,FALSE)*1,0)</f>
        <v>28121</v>
      </c>
      <c r="G407">
        <v>0</v>
      </c>
      <c r="H407">
        <v>0</v>
      </c>
      <c r="I407">
        <f>ROUND([5]命币的投放!$H102,0)</f>
        <v>13239</v>
      </c>
      <c r="J407">
        <v>0</v>
      </c>
      <c r="K407" s="8">
        <v>5</v>
      </c>
      <c r="L407">
        <f t="shared" si="63"/>
        <v>100615</v>
      </c>
      <c r="M407" s="8">
        <f t="shared" si="62"/>
        <v>700615</v>
      </c>
      <c r="Q407">
        <v>0</v>
      </c>
      <c r="T407">
        <f>(D_普通掉落表!AG719*D_普通掉落表!AH719)/10000/IF((D_普通掉落表!AL724+D_普通掉落表!AH719+D_普通掉落表!AD719+D_普通掉落表!Z719+D_普通掉落表!V719+D_普通掉落表!R719+D_普通掉落表!N719+D_普通掉落表!J719)/10000&gt;K407,(D_普通掉落表!AL724+D_普通掉落表!AH719+D_普通掉落表!AD719+D_普通掉落表!Z719+D_普通掉落表!V719+D_普通掉落表!R719+D_普通掉落表!N719+D_普通掉落表!J719)/10000,1)</f>
        <v>1</v>
      </c>
    </row>
    <row r="408" spans="1:20" x14ac:dyDescent="0.15">
      <c r="A408">
        <v>510701</v>
      </c>
      <c r="B408" t="s">
        <v>210</v>
      </c>
      <c r="D408">
        <v>0</v>
      </c>
      <c r="E408">
        <f>ROUND(VLOOKUP(A408,[6]D_远征奖励!$D:$G,4,FALSE)*0.9,0)</f>
        <v>13079</v>
      </c>
      <c r="F408">
        <f>ROUND(VLOOKUP(A408,[6]D_远征奖励!$D:$G,4,FALSE)*1,0)</f>
        <v>14532</v>
      </c>
      <c r="G408">
        <v>0</v>
      </c>
      <c r="H408">
        <v>0</v>
      </c>
      <c r="I408">
        <f>ROUND([5]命币的投放!$H103,0)</f>
        <v>5618</v>
      </c>
      <c r="J408">
        <v>0</v>
      </c>
      <c r="K408" s="8">
        <v>1</v>
      </c>
      <c r="L408">
        <f t="shared" si="63"/>
        <v>100701</v>
      </c>
      <c r="M408" s="8">
        <f t="shared" si="62"/>
        <v>700701</v>
      </c>
      <c r="Q408">
        <f>(D_普通掉落表!AG720*D_普通掉落表!AH720)/10000/IF((D_普通掉落表!AL725+D_普通掉落表!AH720+D_普通掉落表!AD720+D_普通掉落表!Z720+D_普通掉落表!V720+D_普通掉落表!R720+D_普通掉落表!N720+D_普通掉落表!J720)/10000&gt;K408,(D_普通掉落表!AL725+D_普通掉落表!AH720+D_普通掉落表!AD720+D_普通掉落表!Z720+D_普通掉落表!V720+D_普通掉落表!R720+D_普通掉落表!N720+D_普通掉落表!J720)/10000,1)</f>
        <v>0</v>
      </c>
      <c r="T408">
        <f>(D_普通掉落表!AG720*D_普通掉落表!AL720)/10000/IF((D_普通掉落表!AL720+D_普通掉落表!AH720+D_普通掉落表!AD720+D_普通掉落表!Z720+D_普通掉落表!V720+D_普通掉落表!R720+D_普通掉落表!N720+D_普通掉落表!J720)/10000&gt;K408,(D_普通掉落表!AL720+D_普通掉落表!AH720+D_普通掉落表!AD720+D_普通掉落表!Z720+D_普通掉落表!V720+D_普通掉落表!R720+D_普通掉落表!N720+D_普通掉落表!J720)/10000,1)</f>
        <v>0</v>
      </c>
    </row>
    <row r="409" spans="1:20" x14ac:dyDescent="0.15">
      <c r="A409">
        <v>510702</v>
      </c>
      <c r="B409" t="s">
        <v>211</v>
      </c>
      <c r="D409">
        <v>0</v>
      </c>
      <c r="E409">
        <f>ROUND(VLOOKUP(A409,[6]D_远征奖励!$D:$G,4,FALSE)*0.9,0)</f>
        <v>14713</v>
      </c>
      <c r="F409">
        <f>ROUND(VLOOKUP(A409,[6]D_远征奖励!$D:$G,4,FALSE)*1,0)</f>
        <v>16348</v>
      </c>
      <c r="G409">
        <v>0</v>
      </c>
      <c r="H409">
        <v>0</v>
      </c>
      <c r="I409">
        <f>ROUND([5]命币的投放!$H104,0)</f>
        <v>6593</v>
      </c>
      <c r="J409">
        <v>0</v>
      </c>
      <c r="K409" s="8">
        <v>1</v>
      </c>
      <c r="L409">
        <f t="shared" si="63"/>
        <v>100702</v>
      </c>
      <c r="M409" s="8">
        <f t="shared" si="62"/>
        <v>700702</v>
      </c>
      <c r="Q409">
        <f>(D_普通掉落表!AG721*D_普通掉落表!AH721)/10000/IF((D_普通掉落表!AL726+D_普通掉落表!AH721+D_普通掉落表!AD721+D_普通掉落表!Z721+D_普通掉落表!V721+D_普通掉落表!R721+D_普通掉落表!N721+D_普通掉落表!J721)/10000&gt;K409,(D_普通掉落表!AL726+D_普通掉落表!AH721+D_普通掉落表!AD721+D_普通掉落表!Z721+D_普通掉落表!V721+D_普通掉落表!R721+D_普通掉落表!N721+D_普通掉落表!J721)/10000,1)</f>
        <v>0</v>
      </c>
      <c r="T409">
        <f>(D_普通掉落表!AG721*D_普通掉落表!AL721)/10000/IF((D_普通掉落表!AL721+D_普通掉落表!AH721+D_普通掉落表!AD721+D_普通掉落表!Z721+D_普通掉落表!V721+D_普通掉落表!R721+D_普通掉落表!N721+D_普通掉落表!J721)/10000&gt;K409,(D_普通掉落表!AL721+D_普通掉落表!AH721+D_普通掉落表!AD721+D_普通掉落表!Z721+D_普通掉落表!V721+D_普通掉落表!R721+D_普通掉落表!N721+D_普通掉落表!J721)/10000,1)</f>
        <v>0</v>
      </c>
    </row>
    <row r="410" spans="1:20" x14ac:dyDescent="0.15">
      <c r="A410">
        <v>510703</v>
      </c>
      <c r="B410" t="s">
        <v>212</v>
      </c>
      <c r="D410">
        <v>0</v>
      </c>
      <c r="E410">
        <f>ROUND(VLOOKUP(A410,[6]D_远征奖励!$D:$G,4,FALSE)*0.9,0)</f>
        <v>16553</v>
      </c>
      <c r="F410">
        <f>ROUND(VLOOKUP(A410,[6]D_远征奖励!$D:$G,4,FALSE)*1,0)</f>
        <v>18392</v>
      </c>
      <c r="G410">
        <v>0</v>
      </c>
      <c r="H410">
        <v>0</v>
      </c>
      <c r="I410">
        <f>ROUND([5]命币的投放!$H105,0)</f>
        <v>9155</v>
      </c>
      <c r="J410">
        <v>0</v>
      </c>
      <c r="K410" s="8">
        <v>2</v>
      </c>
      <c r="L410">
        <f t="shared" si="63"/>
        <v>100703</v>
      </c>
      <c r="M410" s="8">
        <f t="shared" si="62"/>
        <v>700703</v>
      </c>
      <c r="Q410">
        <f>(D_普通掉落表!AG722*D_普通掉落表!AH722)/10000/IF((D_普通掉落表!AL727+D_普通掉落表!AH722+D_普通掉落表!AD722+D_普通掉落表!Z722+D_普通掉落表!V722+D_普通掉落表!R722+D_普通掉落表!N722+D_普通掉落表!J722)/10000&gt;K410,(D_普通掉落表!AL727+D_普通掉落表!AH722+D_普通掉落表!AD722+D_普通掉落表!Z722+D_普通掉落表!V722+D_普通掉落表!R722+D_普通掉落表!N722+D_普通掉落表!J722)/10000,1)</f>
        <v>0</v>
      </c>
      <c r="T410">
        <f>(D_普通掉落表!AG722*D_普通掉落表!AL722)/10000/IF((D_普通掉落表!AL722+D_普通掉落表!AH722+D_普通掉落表!AD722+D_普通掉落表!Z722+D_普通掉落表!V722+D_普通掉落表!R722+D_普通掉落表!N722+D_普通掉落表!J722)/10000&gt;K410,(D_普通掉落表!AL722+D_普通掉落表!AH722+D_普通掉落表!AD722+D_普通掉落表!Z722+D_普通掉落表!V722+D_普通掉落表!R722+D_普通掉落表!N722+D_普通掉落表!J722)/10000,1)</f>
        <v>0</v>
      </c>
    </row>
    <row r="411" spans="1:20" x14ac:dyDescent="0.15">
      <c r="A411">
        <v>510704</v>
      </c>
      <c r="B411" t="s">
        <v>213</v>
      </c>
      <c r="D411">
        <v>0</v>
      </c>
      <c r="E411">
        <f>ROUND(VLOOKUP(A411,[6]D_远征奖励!$D:$G,4,FALSE)*0.9,0)</f>
        <v>14713</v>
      </c>
      <c r="F411">
        <f>ROUND(VLOOKUP(A411,[6]D_远征奖励!$D:$G,4,FALSE)*1,0)</f>
        <v>16348</v>
      </c>
      <c r="G411">
        <v>0</v>
      </c>
      <c r="H411">
        <v>0</v>
      </c>
      <c r="I411">
        <f>ROUND([5]命币的投放!$H106,0)</f>
        <v>6506</v>
      </c>
      <c r="J411">
        <v>0</v>
      </c>
      <c r="K411" s="8">
        <v>1</v>
      </c>
      <c r="L411">
        <f t="shared" si="63"/>
        <v>100704</v>
      </c>
      <c r="M411" s="8">
        <f t="shared" si="62"/>
        <v>700704</v>
      </c>
      <c r="Q411">
        <f>(D_普通掉落表!AG723*D_普通掉落表!AH723)/10000/IF((D_普通掉落表!AL728+D_普通掉落表!AH723+D_普通掉落表!AD723+D_普通掉落表!Z723+D_普通掉落表!V723+D_普通掉落表!R723+D_普通掉落表!N723+D_普通掉落表!J723)/10000&gt;K411,(D_普通掉落表!AL728+D_普通掉落表!AH723+D_普通掉落表!AD723+D_普通掉落表!Z723+D_普通掉落表!V723+D_普通掉落表!R723+D_普通掉落表!N723+D_普通掉落表!J723)/10000,1)</f>
        <v>0</v>
      </c>
      <c r="T411">
        <f>(D_普通掉落表!AG723*D_普通掉落表!AL723)/10000/IF((D_普通掉落表!AL723+D_普通掉落表!AH723+D_普通掉落表!AD723+D_普通掉落表!Z723+D_普通掉落表!V723+D_普通掉落表!R723+D_普通掉落表!N723+D_普通掉落表!J723)/10000&gt;K411,(D_普通掉落表!AL723+D_普通掉落表!AH723+D_普通掉落表!AD723+D_普通掉落表!Z723+D_普通掉落表!V723+D_普通掉落表!R723+D_普通掉落表!N723+D_普通掉落表!J723)/10000,1)</f>
        <v>0</v>
      </c>
    </row>
    <row r="412" spans="1:20" x14ac:dyDescent="0.15">
      <c r="A412">
        <v>510705</v>
      </c>
      <c r="B412" t="s">
        <v>214</v>
      </c>
      <c r="D412">
        <v>0</v>
      </c>
      <c r="E412">
        <f>ROUND(VLOOKUP(A412,[6]D_远征奖励!$D:$G,4,FALSE)*0.9,0)</f>
        <v>16553</v>
      </c>
      <c r="F412">
        <f>ROUND(VLOOKUP(A412,[6]D_远征奖励!$D:$G,4,FALSE)*1,0)</f>
        <v>18392</v>
      </c>
      <c r="G412">
        <v>0</v>
      </c>
      <c r="H412">
        <v>0</v>
      </c>
      <c r="I412">
        <f>ROUND([5]命币的投放!$H107,0)</f>
        <v>7418</v>
      </c>
      <c r="J412">
        <v>0</v>
      </c>
      <c r="K412" s="8">
        <v>1</v>
      </c>
      <c r="L412">
        <f t="shared" si="63"/>
        <v>100705</v>
      </c>
      <c r="M412" s="8">
        <f t="shared" si="62"/>
        <v>700705</v>
      </c>
      <c r="Q412">
        <f>(D_普通掉落表!AG724*D_普通掉落表!AH724)/10000/IF((D_普通掉落表!AL729+D_普通掉落表!AH724+D_普通掉落表!AD724+D_普通掉落表!Z724+D_普通掉落表!V724+D_普通掉落表!R724+D_普通掉落表!N724+D_普通掉落表!J724)/10000&gt;K412,(D_普通掉落表!AL729+D_普通掉落表!AH724+D_普通掉落表!AD724+D_普通掉落表!Z724+D_普通掉落表!V724+D_普通掉落表!R724+D_普通掉落表!N724+D_普通掉落表!J724)/10000,1)</f>
        <v>0</v>
      </c>
      <c r="T412">
        <f>(D_普通掉落表!AG724*D_普通掉落表!AL724)/10000/IF((D_普通掉落表!AL724+D_普通掉落表!AH724+D_普通掉落表!AD724+D_普通掉落表!Z724+D_普通掉落表!V724+D_普通掉落表!R724+D_普通掉落表!N724+D_普通掉落表!J724)/10000&gt;K412,(D_普通掉落表!AL724+D_普通掉落表!AH724+D_普通掉落表!AD724+D_普通掉落表!Z724+D_普通掉落表!V724+D_普通掉落表!R724+D_普通掉落表!N724+D_普通掉落表!J724)/10000,1)</f>
        <v>0</v>
      </c>
    </row>
    <row r="413" spans="1:20" x14ac:dyDescent="0.15">
      <c r="A413">
        <v>510706</v>
      </c>
      <c r="B413" t="s">
        <v>215</v>
      </c>
      <c r="D413">
        <v>0</v>
      </c>
      <c r="E413">
        <f>ROUND(VLOOKUP(A413,[6]D_远征奖励!$D:$G,4,FALSE)*0.9,0)</f>
        <v>18621</v>
      </c>
      <c r="F413">
        <f>ROUND(VLOOKUP(A413,[6]D_远征奖励!$D:$G,4,FALSE)*1,0)</f>
        <v>20690</v>
      </c>
      <c r="G413">
        <v>0</v>
      </c>
      <c r="H413">
        <v>0</v>
      </c>
      <c r="I413">
        <f>ROUND([5]命币的投放!$H108,0)</f>
        <v>10348</v>
      </c>
      <c r="J413">
        <v>0</v>
      </c>
      <c r="K413" s="8">
        <v>2</v>
      </c>
      <c r="L413">
        <f t="shared" si="63"/>
        <v>100706</v>
      </c>
      <c r="M413" s="8">
        <f t="shared" si="62"/>
        <v>700706</v>
      </c>
      <c r="Q413">
        <f>(D_普通掉落表!AG725*D_普通掉落表!AH725)/10000/IF((D_普通掉落表!AL730+D_普通掉落表!AH725+D_普通掉落表!AD725+D_普通掉落表!Z725+D_普通掉落表!V725+D_普通掉落表!R725+D_普通掉落表!N725+D_普通掉落表!J725)/10000&gt;K413,(D_普通掉落表!AL730+D_普通掉落表!AH725+D_普通掉落表!AD725+D_普通掉落表!Z725+D_普通掉落表!V725+D_普通掉落表!R725+D_普通掉落表!N725+D_普通掉落表!J725)/10000,1)</f>
        <v>0</v>
      </c>
      <c r="T413">
        <f>(D_普通掉落表!AG725*D_普通掉落表!AL725)/10000/IF((D_普通掉落表!AL725+D_普通掉落表!AH725+D_普通掉落表!AD725+D_普通掉落表!Z725+D_普通掉落表!V725+D_普通掉落表!R725+D_普通掉落表!N725+D_普通掉落表!J725)/10000&gt;K413,(D_普通掉落表!AL725+D_普通掉落表!AH725+D_普通掉落表!AD725+D_普通掉落表!Z725+D_普通掉落表!V725+D_普通掉落表!R725+D_普通掉落表!N725+D_普通掉落表!J725)/10000,1)</f>
        <v>0</v>
      </c>
    </row>
    <row r="414" spans="1:20" x14ac:dyDescent="0.15">
      <c r="A414">
        <v>510707</v>
      </c>
      <c r="B414" t="s">
        <v>216</v>
      </c>
      <c r="D414">
        <v>0</v>
      </c>
      <c r="E414">
        <f>ROUND(VLOOKUP(A414,[6]D_远征奖励!$D:$G,4,FALSE)*0.9,0)</f>
        <v>16553</v>
      </c>
      <c r="F414">
        <f>ROUND(VLOOKUP(A414,[6]D_远征奖励!$D:$G,4,FALSE)*1,0)</f>
        <v>18392</v>
      </c>
      <c r="G414">
        <v>0</v>
      </c>
      <c r="H414">
        <v>0</v>
      </c>
      <c r="I414">
        <f>ROUND([5]命币的投放!$H109,0)</f>
        <v>7445</v>
      </c>
      <c r="J414">
        <v>0</v>
      </c>
      <c r="K414" s="8">
        <v>2</v>
      </c>
      <c r="L414">
        <f t="shared" si="63"/>
        <v>100707</v>
      </c>
      <c r="M414" s="8">
        <f t="shared" si="62"/>
        <v>700707</v>
      </c>
      <c r="Q414">
        <f>(D_普通掉落表!AG726*D_普通掉落表!AH726)/10000/IF((D_普通掉落表!AL731+D_普通掉落表!AH726+D_普通掉落表!AD726+D_普通掉落表!Z726+D_普通掉落表!V726+D_普通掉落表!R726+D_普通掉落表!N726+D_普通掉落表!J726)/10000&gt;K414,(D_普通掉落表!AL731+D_普通掉落表!AH726+D_普通掉落表!AD726+D_普通掉落表!Z726+D_普通掉落表!V726+D_普通掉落表!R726+D_普通掉落表!N726+D_普通掉落表!J726)/10000,1)</f>
        <v>0</v>
      </c>
      <c r="T414">
        <f>(D_普通掉落表!AG726*D_普通掉落表!AL726)/10000/IF((D_普通掉落表!AL726+D_普通掉落表!AH726+D_普通掉落表!AD726+D_普通掉落表!Z726+D_普通掉落表!V726+D_普通掉落表!R726+D_普通掉落表!N726+D_普通掉落表!J726)/10000&gt;K414,(D_普通掉落表!AL726+D_普通掉落表!AH726+D_普通掉落表!AD726+D_普通掉落表!Z726+D_普通掉落表!V726+D_普通掉落表!R726+D_普通掉落表!N726+D_普通掉落表!J726)/10000,1)</f>
        <v>0</v>
      </c>
    </row>
    <row r="415" spans="1:20" x14ac:dyDescent="0.15">
      <c r="A415">
        <v>510708</v>
      </c>
      <c r="B415" t="s">
        <v>217</v>
      </c>
      <c r="D415">
        <v>0</v>
      </c>
      <c r="E415">
        <f>ROUND(VLOOKUP(A415,[6]D_远征奖励!$D:$G,4,FALSE)*0.9,0)</f>
        <v>18621</v>
      </c>
      <c r="F415">
        <f>ROUND(VLOOKUP(A415,[6]D_远征奖励!$D:$G,4,FALSE)*1,0)</f>
        <v>20690</v>
      </c>
      <c r="G415">
        <v>0</v>
      </c>
      <c r="H415">
        <v>0</v>
      </c>
      <c r="I415">
        <f>ROUND([5]命币的投放!$H110,0)</f>
        <v>8259</v>
      </c>
      <c r="J415">
        <v>0</v>
      </c>
      <c r="K415" s="8">
        <v>2</v>
      </c>
      <c r="L415">
        <f t="shared" si="63"/>
        <v>100708</v>
      </c>
      <c r="M415" s="8">
        <f t="shared" si="62"/>
        <v>700708</v>
      </c>
      <c r="Q415">
        <f>(D_普通掉落表!AG727*D_普通掉落表!AH727)/10000/IF((D_普通掉落表!AL732+D_普通掉落表!AH727+D_普通掉落表!AD727+D_普通掉落表!Z727+D_普通掉落表!V727+D_普通掉落表!R727+D_普通掉落表!N727+D_普通掉落表!J727)/10000&gt;K415,(D_普通掉落表!AL732+D_普通掉落表!AH727+D_普通掉落表!AD727+D_普通掉落表!Z727+D_普通掉落表!V727+D_普通掉落表!R727+D_普通掉落表!N727+D_普通掉落表!J727)/10000,1)</f>
        <v>0</v>
      </c>
      <c r="T415">
        <f>(D_普通掉落表!AG727*D_普通掉落表!AL727)/10000/IF((D_普通掉落表!AL727+D_普通掉落表!AH727+D_普通掉落表!AD727+D_普通掉落表!Z727+D_普通掉落表!V727+D_普通掉落表!R727+D_普通掉落表!N727+D_普通掉落表!J727)/10000&gt;K415,(D_普通掉落表!AL727+D_普通掉落表!AH727+D_普通掉落表!AD727+D_普通掉落表!Z727+D_普通掉落表!V727+D_普通掉落表!R727+D_普通掉落表!N727+D_普通掉落表!J727)/10000,1)</f>
        <v>0</v>
      </c>
    </row>
    <row r="416" spans="1:20" x14ac:dyDescent="0.15">
      <c r="A416">
        <v>510709</v>
      </c>
      <c r="B416" t="s">
        <v>218</v>
      </c>
      <c r="D416">
        <v>0</v>
      </c>
      <c r="E416">
        <f>ROUND(VLOOKUP(A416,[6]D_远征奖励!$D:$G,4,FALSE)*0.9,0)</f>
        <v>20949</v>
      </c>
      <c r="F416">
        <f>ROUND(VLOOKUP(A416,[6]D_远征奖励!$D:$G,4,FALSE)*1,0)</f>
        <v>23277</v>
      </c>
      <c r="G416">
        <v>0</v>
      </c>
      <c r="H416">
        <v>0</v>
      </c>
      <c r="I416">
        <f>ROUND([5]命币的投放!$H111,0)</f>
        <v>11580</v>
      </c>
      <c r="J416">
        <v>0</v>
      </c>
      <c r="K416" s="8">
        <v>3</v>
      </c>
      <c r="L416">
        <f t="shared" si="63"/>
        <v>100709</v>
      </c>
      <c r="M416" s="8">
        <f t="shared" si="62"/>
        <v>700709</v>
      </c>
      <c r="Q416">
        <f>(D_普通掉落表!AG728*D_普通掉落表!AH728)/10000/IF((D_普通掉落表!AL733+D_普通掉落表!AH728+D_普通掉落表!AD728+D_普通掉落表!Z728+D_普通掉落表!V728+D_普通掉落表!R728+D_普通掉落表!N728+D_普通掉落表!J728)/10000&gt;K416,(D_普通掉落表!AL733+D_普通掉落表!AH728+D_普通掉落表!AD728+D_普通掉落表!Z728+D_普通掉落表!V728+D_普通掉落表!R728+D_普通掉落表!N728+D_普通掉落表!J728)/10000,1)</f>
        <v>0</v>
      </c>
      <c r="T416">
        <f>(D_普通掉落表!AG728*D_普通掉落表!AL728)/10000/IF((D_普通掉落表!AL728+D_普通掉落表!AH728+D_普通掉落表!AD728+D_普通掉落表!Z728+D_普通掉落表!V728+D_普通掉落表!R728+D_普通掉落表!N728+D_普通掉落表!J728)/10000&gt;K416,(D_普通掉落表!AL728+D_普通掉落表!AH728+D_普通掉落表!AD728+D_普通掉落表!Z728+D_普通掉落表!V728+D_普通掉落表!R728+D_普通掉落表!N728+D_普通掉落表!J728)/10000,1)</f>
        <v>0</v>
      </c>
    </row>
    <row r="417" spans="1:20" x14ac:dyDescent="0.15">
      <c r="A417">
        <v>510710</v>
      </c>
      <c r="B417" t="s">
        <v>219</v>
      </c>
      <c r="D417">
        <v>0</v>
      </c>
      <c r="E417">
        <f>ROUND(VLOOKUP(A417,[6]D_远征奖励!$D:$G,4,FALSE)*0.9,0)</f>
        <v>18621</v>
      </c>
      <c r="F417">
        <f>ROUND(VLOOKUP(A417,[6]D_远征奖励!$D:$G,4,FALSE)*1,0)</f>
        <v>20690</v>
      </c>
      <c r="G417">
        <v>0</v>
      </c>
      <c r="H417">
        <v>0</v>
      </c>
      <c r="I417">
        <f>ROUND([5]命币的投放!$H112,0)</f>
        <v>8436</v>
      </c>
      <c r="J417">
        <v>0</v>
      </c>
      <c r="K417" s="8">
        <v>2</v>
      </c>
      <c r="L417">
        <f t="shared" si="63"/>
        <v>100710</v>
      </c>
      <c r="M417" s="8">
        <f t="shared" si="62"/>
        <v>700710</v>
      </c>
      <c r="Q417">
        <f>(D_普通掉落表!AG729*D_普通掉落表!AH729)/10000/IF((D_普通掉落表!AL734+D_普通掉落表!AH729+D_普通掉落表!AD729+D_普通掉落表!Z729+D_普通掉落表!V729+D_普通掉落表!R729+D_普通掉落表!N729+D_普通掉落表!J729)/10000&gt;K417,(D_普通掉落表!AL734+D_普通掉落表!AH729+D_普通掉落表!AD729+D_普通掉落表!Z729+D_普通掉落表!V729+D_普通掉落表!R729+D_普通掉落表!N729+D_普通掉落表!J729)/10000,1)</f>
        <v>0</v>
      </c>
      <c r="T417">
        <f>(D_普通掉落表!AG729*D_普通掉落表!AL729)/10000/IF((D_普通掉落表!AL729+D_普通掉落表!AH729+D_普通掉落表!AD729+D_普通掉落表!Z729+D_普通掉落表!V729+D_普通掉落表!R729+D_普通掉落表!N729+D_普通掉落表!J729)/10000&gt;K417,(D_普通掉落表!AL729+D_普通掉落表!AH729+D_普通掉落表!AD729+D_普通掉落表!Z729+D_普通掉落表!V729+D_普通掉落表!R729+D_普通掉落表!N729+D_普通掉落表!J729)/10000,1)</f>
        <v>0</v>
      </c>
    </row>
    <row r="418" spans="1:20" x14ac:dyDescent="0.15">
      <c r="A418">
        <v>510711</v>
      </c>
      <c r="B418" t="s">
        <v>220</v>
      </c>
      <c r="D418">
        <v>0</v>
      </c>
      <c r="E418">
        <f>ROUND(VLOOKUP(A418,[6]D_远征奖励!$D:$G,4,FALSE)*0.9,0)</f>
        <v>20949</v>
      </c>
      <c r="F418">
        <f>ROUND(VLOOKUP(A418,[6]D_远征奖励!$D:$G,4,FALSE)*1,0)</f>
        <v>23277</v>
      </c>
      <c r="G418">
        <v>0</v>
      </c>
      <c r="H418">
        <v>0</v>
      </c>
      <c r="I418">
        <f>ROUND([5]命币的投放!$H113,0)</f>
        <v>9115</v>
      </c>
      <c r="J418">
        <v>0</v>
      </c>
      <c r="K418" s="8">
        <v>2</v>
      </c>
      <c r="L418">
        <f t="shared" si="63"/>
        <v>100711</v>
      </c>
      <c r="M418" s="8">
        <f t="shared" si="62"/>
        <v>700711</v>
      </c>
      <c r="Q418">
        <f>(D_普通掉落表!AG730*D_普通掉落表!AH730)/10000/IF((D_普通掉落表!AL735+D_普通掉落表!AH730+D_普通掉落表!AD730+D_普通掉落表!Z730+D_普通掉落表!V730+D_普通掉落表!R730+D_普通掉落表!N730+D_普通掉落表!J730)/10000&gt;K418,(D_普通掉落表!AL735+D_普通掉落表!AH730+D_普通掉落表!AD730+D_普通掉落表!Z730+D_普通掉落表!V730+D_普通掉落表!R730+D_普通掉落表!N730+D_普通掉落表!J730)/10000,1)</f>
        <v>0</v>
      </c>
      <c r="T418">
        <f>(D_普通掉落表!AG730*D_普通掉落表!AL730)/10000/IF((D_普通掉落表!AL730+D_普通掉落表!AH730+D_普通掉落表!AD730+D_普通掉落表!Z730+D_普通掉落表!V730+D_普通掉落表!R730+D_普通掉落表!N730+D_普通掉落表!J730)/10000&gt;K418,(D_普通掉落表!AL730+D_普通掉落表!AH730+D_普通掉落表!AD730+D_普通掉落表!Z730+D_普通掉落表!V730+D_普通掉落表!R730+D_普通掉落表!N730+D_普通掉落表!J730)/10000,1)</f>
        <v>0</v>
      </c>
    </row>
    <row r="419" spans="1:20" x14ac:dyDescent="0.15">
      <c r="A419">
        <v>510712</v>
      </c>
      <c r="B419" t="s">
        <v>221</v>
      </c>
      <c r="D419">
        <v>0</v>
      </c>
      <c r="E419">
        <f>ROUND(VLOOKUP(A419,[6]D_远征奖励!$D:$G,4,FALSE)*0.9,0)</f>
        <v>23567</v>
      </c>
      <c r="F419">
        <f>ROUND(VLOOKUP(A419,[6]D_远征奖励!$D:$G,4,FALSE)*1,0)</f>
        <v>26186</v>
      </c>
      <c r="G419">
        <v>0</v>
      </c>
      <c r="H419">
        <v>0</v>
      </c>
      <c r="I419">
        <f>ROUND([5]命币的投放!$H114,0)</f>
        <v>12852</v>
      </c>
      <c r="J419">
        <v>0</v>
      </c>
      <c r="K419" s="8">
        <v>3</v>
      </c>
      <c r="L419">
        <f t="shared" si="63"/>
        <v>100712</v>
      </c>
      <c r="M419" s="8">
        <f t="shared" si="62"/>
        <v>700712</v>
      </c>
      <c r="Q419">
        <f>(D_普通掉落表!AG731*D_普通掉落表!AH731)/10000/IF((D_普通掉落表!AL736+D_普通掉落表!AH731+D_普通掉落表!AD731+D_普通掉落表!Z731+D_普通掉落表!V731+D_普通掉落表!R731+D_普通掉落表!N731+D_普通掉落表!J731)/10000&gt;K419,(D_普通掉落表!AL736+D_普通掉落表!AH731+D_普通掉落表!AD731+D_普通掉落表!Z731+D_普通掉落表!V731+D_普通掉落表!R731+D_普通掉落表!N731+D_普通掉落表!J731)/10000,1)</f>
        <v>0</v>
      </c>
      <c r="T419">
        <f>(D_普通掉落表!AG731*D_普通掉落表!AL731)/10000/IF((D_普通掉落表!AL731+D_普通掉落表!AH731+D_普通掉落表!AD731+D_普通掉落表!Z731+D_普通掉落表!V731+D_普通掉落表!R731+D_普通掉落表!N731+D_普通掉落表!J731)/10000&gt;K419,(D_普通掉落表!AL731+D_普通掉落表!AH731+D_普通掉落表!AD731+D_普通掉落表!Z731+D_普通掉落表!V731+D_普通掉落表!R731+D_普通掉落表!N731+D_普通掉落表!J731)/10000,1)</f>
        <v>0</v>
      </c>
    </row>
    <row r="420" spans="1:20" x14ac:dyDescent="0.15">
      <c r="A420">
        <v>510713</v>
      </c>
      <c r="B420" t="s">
        <v>222</v>
      </c>
      <c r="D420">
        <v>0</v>
      </c>
      <c r="E420">
        <f>ROUND(VLOOKUP(A420,[6]D_远征奖励!$D:$G,4,FALSE)*0.9,0)</f>
        <v>20949</v>
      </c>
      <c r="F420">
        <f>ROUND(VLOOKUP(A420,[6]D_远征奖励!$D:$G,4,FALSE)*1,0)</f>
        <v>23277</v>
      </c>
      <c r="G420">
        <v>0</v>
      </c>
      <c r="H420">
        <v>0</v>
      </c>
      <c r="I420">
        <f>ROUND([5]命币的投放!$H115,0)</f>
        <v>9479</v>
      </c>
      <c r="J420">
        <v>0</v>
      </c>
      <c r="K420" s="8">
        <v>2</v>
      </c>
      <c r="L420">
        <f t="shared" si="63"/>
        <v>100713</v>
      </c>
      <c r="M420" s="8">
        <f t="shared" si="62"/>
        <v>700713</v>
      </c>
      <c r="Q420">
        <f>(D_普通掉落表!AG732*D_普通掉落表!AH732)/10000/IF((D_普通掉落表!AL737+D_普通掉落表!AH732+D_普通掉落表!AD732+D_普通掉落表!Z732+D_普通掉落表!V732+D_普通掉落表!R732+D_普通掉落表!N732+D_普通掉落表!J732)/10000&gt;K420,(D_普通掉落表!AL737+D_普通掉落表!AH732+D_普通掉落表!AD732+D_普通掉落表!Z732+D_普通掉落表!V732+D_普通掉落表!R732+D_普通掉落表!N732+D_普通掉落表!J732)/10000,1)</f>
        <v>0</v>
      </c>
      <c r="T420">
        <f>(D_普通掉落表!AG732*D_普通掉落表!AL732)/10000/IF((D_普通掉落表!AL732+D_普通掉落表!AH732+D_普通掉落表!AD732+D_普通掉落表!Z732+D_普通掉落表!V732+D_普通掉落表!R732+D_普通掉落表!N732+D_普通掉落表!J732)/10000&gt;K420,(D_普通掉落表!AL732+D_普通掉落表!AH732+D_普通掉落表!AD732+D_普通掉落表!Z732+D_普通掉落表!V732+D_普通掉落表!R732+D_普通掉落表!N732+D_普通掉落表!J732)/10000,1)</f>
        <v>0</v>
      </c>
    </row>
    <row r="421" spans="1:20" x14ac:dyDescent="0.15">
      <c r="A421">
        <v>510714</v>
      </c>
      <c r="B421" t="s">
        <v>223</v>
      </c>
      <c r="D421">
        <v>0</v>
      </c>
      <c r="E421">
        <f>ROUND(VLOOKUP(A421,[6]D_远征奖励!$D:$G,4,FALSE)*0.9,0)</f>
        <v>23567</v>
      </c>
      <c r="F421">
        <f>ROUND(VLOOKUP(A421,[6]D_远征奖励!$D:$G,4,FALSE)*1,0)</f>
        <v>26186</v>
      </c>
      <c r="G421">
        <v>0</v>
      </c>
      <c r="H421">
        <v>0</v>
      </c>
      <c r="I421">
        <f>ROUND([5]命币的投放!$H116,0)</f>
        <v>9986</v>
      </c>
      <c r="J421">
        <v>0</v>
      </c>
      <c r="K421" s="8">
        <v>2</v>
      </c>
      <c r="L421">
        <f t="shared" si="63"/>
        <v>100714</v>
      </c>
      <c r="M421" s="8">
        <f t="shared" si="62"/>
        <v>700714</v>
      </c>
      <c r="Q421">
        <f>(D_普通掉落表!AG733*D_普通掉落表!AH733)/10000/IF((D_普通掉落表!AL738+D_普通掉落表!AH733+D_普通掉落表!AD733+D_普通掉落表!Z733+D_普通掉落表!V733+D_普通掉落表!R733+D_普通掉落表!N733+D_普通掉落表!J733)/10000&gt;K421,(D_普通掉落表!AL738+D_普通掉落表!AH733+D_普通掉落表!AD733+D_普通掉落表!Z733+D_普通掉落表!V733+D_普通掉落表!R733+D_普通掉落表!N733+D_普通掉落表!J733)/10000,1)</f>
        <v>0</v>
      </c>
      <c r="T421">
        <f>(D_普通掉落表!AG733*D_普通掉落表!AL733)/10000/IF((D_普通掉落表!AL733+D_普通掉落表!AH733+D_普通掉落表!AD733+D_普通掉落表!Z733+D_普通掉落表!V733+D_普通掉落表!R733+D_普通掉落表!N733+D_普通掉落表!J733)/10000&gt;K421,(D_普通掉落表!AL733+D_普通掉落表!AH733+D_普通掉落表!AD733+D_普通掉落表!Z733+D_普通掉落表!V733+D_普通掉落表!R733+D_普通掉落表!N733+D_普通掉落表!J733)/10000,1)</f>
        <v>0</v>
      </c>
    </row>
    <row r="422" spans="1:20" x14ac:dyDescent="0.15">
      <c r="A422">
        <v>510715</v>
      </c>
      <c r="B422" t="s">
        <v>224</v>
      </c>
      <c r="D422">
        <v>0</v>
      </c>
      <c r="E422">
        <f>ROUND(VLOOKUP(A422,[6]D_远征奖励!$D:$G,4,FALSE)*0.9,0)</f>
        <v>26514</v>
      </c>
      <c r="F422">
        <f>ROUND(VLOOKUP(A422,[6]D_远征奖励!$D:$G,4,FALSE)*1,0)</f>
        <v>29460</v>
      </c>
      <c r="G422">
        <v>0</v>
      </c>
      <c r="H422">
        <v>0</v>
      </c>
      <c r="I422">
        <f>ROUND([5]命币的投放!$H117,0)</f>
        <v>14278</v>
      </c>
      <c r="J422">
        <v>0</v>
      </c>
      <c r="K422" s="8">
        <v>5</v>
      </c>
      <c r="L422">
        <f t="shared" si="63"/>
        <v>100715</v>
      </c>
      <c r="M422" s="8">
        <f t="shared" si="62"/>
        <v>700715</v>
      </c>
      <c r="Q422">
        <v>0</v>
      </c>
      <c r="T422">
        <f>(D_普通掉落表!AG734*D_普通掉落表!AH734)/10000/IF((D_普通掉落表!AL739+D_普通掉落表!AH734+D_普通掉落表!AD734+D_普通掉落表!Z734+D_普通掉落表!V734+D_普通掉落表!R734+D_普通掉落表!N734+D_普通掉落表!J734)/10000&gt;K422,(D_普通掉落表!AL739+D_普通掉落表!AH734+D_普通掉落表!AD734+D_普通掉落表!Z734+D_普通掉落表!V734+D_普通掉落表!R734+D_普通掉落表!N734+D_普通掉落表!J734)/10000,1)</f>
        <v>1</v>
      </c>
    </row>
    <row r="423" spans="1:20" x14ac:dyDescent="0.15">
      <c r="A423">
        <v>510801</v>
      </c>
      <c r="B423" t="s">
        <v>225</v>
      </c>
      <c r="D423">
        <v>0</v>
      </c>
      <c r="E423">
        <f>ROUND(VLOOKUP(A423,[6]D_远征奖励!$D:$G,4,FALSE)*0.9,0)</f>
        <v>13673</v>
      </c>
      <c r="F423">
        <f>ROUND(VLOOKUP(A423,[6]D_远征奖励!$D:$G,4,FALSE)*1,0)</f>
        <v>15192</v>
      </c>
      <c r="G423">
        <v>0</v>
      </c>
      <c r="H423">
        <v>0</v>
      </c>
      <c r="I423">
        <f>ROUND([5]命币的投放!$H118,0)</f>
        <v>6138</v>
      </c>
      <c r="J423">
        <v>0</v>
      </c>
      <c r="K423" s="8">
        <v>1</v>
      </c>
      <c r="L423">
        <f t="shared" si="63"/>
        <v>100801</v>
      </c>
      <c r="M423" s="8">
        <f t="shared" si="62"/>
        <v>700801</v>
      </c>
      <c r="Q423">
        <f>(D_普通掉落表!AG735*D_普通掉落表!AH735)/10000/IF((D_普通掉落表!AL740+D_普通掉落表!AH735+D_普通掉落表!AD735+D_普通掉落表!Z735+D_普通掉落表!V735+D_普通掉落表!R735+D_普通掉落表!N735+D_普通掉落表!J735)/10000&gt;K423,(D_普通掉落表!AL740+D_普通掉落表!AH735+D_普通掉落表!AD735+D_普通掉落表!Z735+D_普通掉落表!V735+D_普通掉落表!R735+D_普通掉落表!N735+D_普通掉落表!J735)/10000,1)</f>
        <v>0</v>
      </c>
      <c r="T423">
        <f>(D_普通掉落表!AG735*D_普通掉落表!AL735)/10000/IF((D_普通掉落表!AL735+D_普通掉落表!AH735+D_普通掉落表!AD735+D_普通掉落表!Z735+D_普通掉落表!V735+D_普通掉落表!R735+D_普通掉落表!N735+D_普通掉落表!J735)/10000&gt;K423,(D_普通掉落表!AL735+D_普通掉落表!AH735+D_普通掉落表!AD735+D_普通掉落表!Z735+D_普通掉落表!V735+D_普通掉落表!R735+D_普通掉落表!N735+D_普通掉落表!J735)/10000,1)</f>
        <v>0</v>
      </c>
    </row>
    <row r="424" spans="1:20" x14ac:dyDescent="0.15">
      <c r="A424">
        <v>510802</v>
      </c>
      <c r="B424" t="s">
        <v>226</v>
      </c>
      <c r="D424">
        <v>0</v>
      </c>
      <c r="E424">
        <f>ROUND(VLOOKUP(A424,[6]D_远征奖励!$D:$G,4,FALSE)*0.9,0)</f>
        <v>15382</v>
      </c>
      <c r="F424">
        <f>ROUND(VLOOKUP(A424,[6]D_远征奖励!$D:$G,4,FALSE)*1,0)</f>
        <v>17091</v>
      </c>
      <c r="G424">
        <v>0</v>
      </c>
      <c r="H424">
        <v>0</v>
      </c>
      <c r="I424">
        <f>ROUND([5]命币的投放!$H119,0)</f>
        <v>7190</v>
      </c>
      <c r="J424">
        <v>0</v>
      </c>
      <c r="K424" s="8">
        <v>1</v>
      </c>
      <c r="L424">
        <f t="shared" si="63"/>
        <v>100802</v>
      </c>
      <c r="M424" s="8">
        <f t="shared" si="62"/>
        <v>700802</v>
      </c>
      <c r="Q424">
        <f>(D_普通掉落表!AG736*D_普通掉落表!AH736)/10000/IF((D_普通掉落表!AL741+D_普通掉落表!AH736+D_普通掉落表!AD736+D_普通掉落表!Z736+D_普通掉落表!V736+D_普通掉落表!R736+D_普通掉落表!N736+D_普通掉落表!J736)/10000&gt;K424,(D_普通掉落表!AL741+D_普通掉落表!AH736+D_普通掉落表!AD736+D_普通掉落表!Z736+D_普通掉落表!V736+D_普通掉落表!R736+D_普通掉落表!N736+D_普通掉落表!J736)/10000,1)</f>
        <v>0</v>
      </c>
      <c r="T424">
        <f>(D_普通掉落表!AG736*D_普通掉落表!AL736)/10000/IF((D_普通掉落表!AL736+D_普通掉落表!AH736+D_普通掉落表!AD736+D_普通掉落表!Z736+D_普通掉落表!V736+D_普通掉落表!R736+D_普通掉落表!N736+D_普通掉落表!J736)/10000&gt;K424,(D_普通掉落表!AL736+D_普通掉落表!AH736+D_普通掉落表!AD736+D_普通掉落表!Z736+D_普通掉落表!V736+D_普通掉落表!R736+D_普通掉落表!N736+D_普通掉落表!J736)/10000,1)</f>
        <v>0</v>
      </c>
    </row>
    <row r="425" spans="1:20" x14ac:dyDescent="0.15">
      <c r="A425">
        <v>510803</v>
      </c>
      <c r="B425" t="s">
        <v>227</v>
      </c>
      <c r="D425">
        <v>0</v>
      </c>
      <c r="E425">
        <f>ROUND(VLOOKUP(A425,[6]D_远征奖励!$D:$G,4,FALSE)*0.9,0)</f>
        <v>17305</v>
      </c>
      <c r="F425">
        <f>ROUND(VLOOKUP(A425,[6]D_远征奖励!$D:$G,4,FALSE)*1,0)</f>
        <v>19228</v>
      </c>
      <c r="G425">
        <v>0</v>
      </c>
      <c r="H425">
        <v>0</v>
      </c>
      <c r="I425">
        <f>ROUND([5]命币的投放!$H120,0)</f>
        <v>9969</v>
      </c>
      <c r="J425">
        <v>0</v>
      </c>
      <c r="K425" s="8">
        <v>2</v>
      </c>
      <c r="L425">
        <f t="shared" si="63"/>
        <v>100803</v>
      </c>
      <c r="M425" s="8">
        <f t="shared" si="62"/>
        <v>700803</v>
      </c>
      <c r="Q425">
        <f>(D_普通掉落表!AG737*D_普通掉落表!AH737)/10000/IF((D_普通掉落表!AL742+D_普通掉落表!AH737+D_普通掉落表!AD737+D_普通掉落表!Z737+D_普通掉落表!V737+D_普通掉落表!R737+D_普通掉落表!N737+D_普通掉落表!J737)/10000&gt;K425,(D_普通掉落表!AL742+D_普通掉落表!AH737+D_普通掉落表!AD737+D_普通掉落表!Z737+D_普通掉落表!V737+D_普通掉落表!R737+D_普通掉落表!N737+D_普通掉落表!J737)/10000,1)</f>
        <v>0</v>
      </c>
      <c r="T425">
        <f>(D_普通掉落表!AG737*D_普通掉落表!AL737)/10000/IF((D_普通掉落表!AL737+D_普通掉落表!AH737+D_普通掉落表!AD737+D_普通掉落表!Z737+D_普通掉落表!V737+D_普通掉落表!R737+D_普通掉落表!N737+D_普通掉落表!J737)/10000&gt;K425,(D_普通掉落表!AL737+D_普通掉落表!AH737+D_普通掉落表!AD737+D_普通掉落表!Z737+D_普通掉落表!V737+D_普通掉落表!R737+D_普通掉落表!N737+D_普通掉落表!J737)/10000,1)</f>
        <v>0</v>
      </c>
    </row>
    <row r="426" spans="1:20" x14ac:dyDescent="0.15">
      <c r="A426">
        <v>510804</v>
      </c>
      <c r="B426" t="s">
        <v>228</v>
      </c>
      <c r="D426">
        <v>0</v>
      </c>
      <c r="E426">
        <f>ROUND(VLOOKUP(A426,[6]D_远征奖励!$D:$G,4,FALSE)*0.9,0)</f>
        <v>15382</v>
      </c>
      <c r="F426">
        <f>ROUND(VLOOKUP(A426,[6]D_远征奖励!$D:$G,4,FALSE)*1,0)</f>
        <v>17091</v>
      </c>
      <c r="G426">
        <v>0</v>
      </c>
      <c r="H426">
        <v>0</v>
      </c>
      <c r="I426">
        <f>ROUND([5]命币的投放!$H121,0)</f>
        <v>7076</v>
      </c>
      <c r="J426">
        <v>0</v>
      </c>
      <c r="K426" s="8">
        <v>1</v>
      </c>
      <c r="L426">
        <f t="shared" si="63"/>
        <v>100804</v>
      </c>
      <c r="M426" s="8">
        <f t="shared" si="62"/>
        <v>700804</v>
      </c>
      <c r="Q426">
        <f>(D_普通掉落表!AG738*D_普通掉落表!AH738)/10000/IF((D_普通掉落表!AL743+D_普通掉落表!AH738+D_普通掉落表!AD738+D_普通掉落表!Z738+D_普通掉落表!V738+D_普通掉落表!R738+D_普通掉落表!N738+D_普通掉落表!J738)/10000&gt;K426,(D_普通掉落表!AL743+D_普通掉落表!AH738+D_普通掉落表!AD738+D_普通掉落表!Z738+D_普通掉落表!V738+D_普通掉落表!R738+D_普通掉落表!N738+D_普通掉落表!J738)/10000,1)</f>
        <v>0</v>
      </c>
      <c r="T426">
        <f>(D_普通掉落表!AG738*D_普通掉落表!AL738)/10000/IF((D_普通掉落表!AL738+D_普通掉落表!AH738+D_普通掉落表!AD738+D_普通掉落表!Z738+D_普通掉落表!V738+D_普通掉落表!R738+D_普通掉落表!N738+D_普通掉落表!J738)/10000&gt;K426,(D_普通掉落表!AL738+D_普通掉落表!AH738+D_普通掉落表!AD738+D_普通掉落表!Z738+D_普通掉落表!V738+D_普通掉落表!R738+D_普通掉落表!N738+D_普通掉落表!J738)/10000,1)</f>
        <v>0</v>
      </c>
    </row>
    <row r="427" spans="1:20" x14ac:dyDescent="0.15">
      <c r="A427">
        <v>510805</v>
      </c>
      <c r="B427" t="s">
        <v>229</v>
      </c>
      <c r="D427">
        <v>0</v>
      </c>
      <c r="E427">
        <f>ROUND(VLOOKUP(A427,[6]D_远征奖励!$D:$G,4,FALSE)*0.9,0)</f>
        <v>17305</v>
      </c>
      <c r="F427">
        <f>ROUND(VLOOKUP(A427,[6]D_远征奖励!$D:$G,4,FALSE)*1,0)</f>
        <v>19228</v>
      </c>
      <c r="G427">
        <v>0</v>
      </c>
      <c r="H427">
        <v>0</v>
      </c>
      <c r="I427">
        <f>ROUND([5]命币的投放!$H122,0)</f>
        <v>8056</v>
      </c>
      <c r="J427">
        <v>0</v>
      </c>
      <c r="K427" s="8">
        <v>1</v>
      </c>
      <c r="L427">
        <f t="shared" si="63"/>
        <v>100805</v>
      </c>
      <c r="M427" s="8">
        <f t="shared" si="62"/>
        <v>700805</v>
      </c>
      <c r="Q427">
        <f>(D_普通掉落表!AG739*D_普通掉落表!AH739)/10000/IF((D_普通掉落表!AL744+D_普通掉落表!AH739+D_普通掉落表!AD739+D_普通掉落表!Z739+D_普通掉落表!V739+D_普通掉落表!R739+D_普通掉落表!N739+D_普通掉落表!J739)/10000&gt;K427,(D_普通掉落表!AL744+D_普通掉落表!AH739+D_普通掉落表!AD739+D_普通掉落表!Z739+D_普通掉落表!V739+D_普通掉落表!R739+D_普通掉落表!N739+D_普通掉落表!J739)/10000,1)</f>
        <v>0</v>
      </c>
      <c r="T427">
        <f>(D_普通掉落表!AG739*D_普通掉落表!AL739)/10000/IF((D_普通掉落表!AL739+D_普通掉落表!AH739+D_普通掉落表!AD739+D_普通掉落表!Z739+D_普通掉落表!V739+D_普通掉落表!R739+D_普通掉落表!N739+D_普通掉落表!J739)/10000&gt;K427,(D_普通掉落表!AL739+D_普通掉落表!AH739+D_普通掉落表!AD739+D_普通掉落表!Z739+D_普通掉落表!V739+D_普通掉落表!R739+D_普通掉落表!N739+D_普通掉落表!J739)/10000,1)</f>
        <v>0</v>
      </c>
    </row>
    <row r="428" spans="1:20" x14ac:dyDescent="0.15">
      <c r="A428">
        <v>510806</v>
      </c>
      <c r="B428" t="s">
        <v>230</v>
      </c>
      <c r="D428">
        <v>0</v>
      </c>
      <c r="E428">
        <f>ROUND(VLOOKUP(A428,[6]D_远征奖励!$D:$G,4,FALSE)*0.9,0)</f>
        <v>19468</v>
      </c>
      <c r="F428">
        <f>ROUND(VLOOKUP(A428,[6]D_远征奖励!$D:$G,4,FALSE)*1,0)</f>
        <v>21631</v>
      </c>
      <c r="G428">
        <v>0</v>
      </c>
      <c r="H428">
        <v>0</v>
      </c>
      <c r="I428">
        <f>ROUND([5]命币的投放!$H123,0)</f>
        <v>11224</v>
      </c>
      <c r="J428">
        <v>0</v>
      </c>
      <c r="K428" s="8">
        <v>3</v>
      </c>
      <c r="L428">
        <f t="shared" si="63"/>
        <v>100806</v>
      </c>
      <c r="M428" s="8">
        <f t="shared" si="62"/>
        <v>700806</v>
      </c>
      <c r="Q428">
        <f>(D_普通掉落表!AG740*D_普通掉落表!AH740)/10000/IF((D_普通掉落表!AL745+D_普通掉落表!AH740+D_普通掉落表!AD740+D_普通掉落表!Z740+D_普通掉落表!V740+D_普通掉落表!R740+D_普通掉落表!N740+D_普通掉落表!J740)/10000&gt;K428,(D_普通掉落表!AL745+D_普通掉落表!AH740+D_普通掉落表!AD740+D_普通掉落表!Z740+D_普通掉落表!V740+D_普通掉落表!R740+D_普通掉落表!N740+D_普通掉落表!J740)/10000,1)</f>
        <v>0</v>
      </c>
      <c r="T428">
        <f>(D_普通掉落表!AG740*D_普通掉落表!AL740)/10000/IF((D_普通掉落表!AL740+D_普通掉落表!AH740+D_普通掉落表!AD740+D_普通掉落表!Z740+D_普通掉落表!V740+D_普通掉落表!R740+D_普通掉落表!N740+D_普通掉落表!J740)/10000&gt;K428,(D_普通掉落表!AL740+D_普通掉落表!AH740+D_普通掉落表!AD740+D_普通掉落表!Z740+D_普通掉落表!V740+D_普通掉落表!R740+D_普通掉落表!N740+D_普通掉落表!J740)/10000,1)</f>
        <v>0</v>
      </c>
    </row>
    <row r="429" spans="1:20" x14ac:dyDescent="0.15">
      <c r="A429">
        <v>510807</v>
      </c>
      <c r="B429" t="s">
        <v>231</v>
      </c>
      <c r="D429">
        <v>0</v>
      </c>
      <c r="E429">
        <f>ROUND(VLOOKUP(A429,[6]D_远征奖励!$D:$G,4,FALSE)*0.9,0)</f>
        <v>17305</v>
      </c>
      <c r="F429">
        <f>ROUND(VLOOKUP(A429,[6]D_远征奖励!$D:$G,4,FALSE)*1,0)</f>
        <v>19228</v>
      </c>
      <c r="G429">
        <v>0</v>
      </c>
      <c r="H429">
        <v>0</v>
      </c>
      <c r="I429">
        <f>ROUND([5]命币的投放!$H124,0)</f>
        <v>8066</v>
      </c>
      <c r="J429">
        <v>0</v>
      </c>
      <c r="K429" s="8">
        <v>2</v>
      </c>
      <c r="L429">
        <f t="shared" si="63"/>
        <v>100807</v>
      </c>
      <c r="M429" s="8">
        <f t="shared" si="62"/>
        <v>700807</v>
      </c>
      <c r="Q429">
        <f>(D_普通掉落表!AG741*D_普通掉落表!AH741)/10000/IF((D_普通掉落表!AL746+D_普通掉落表!AH741+D_普通掉落表!AD741+D_普通掉落表!Z741+D_普通掉落表!V741+D_普通掉落表!R741+D_普通掉落表!N741+D_普通掉落表!J741)/10000&gt;K429,(D_普通掉落表!AL746+D_普通掉落表!AH741+D_普通掉落表!AD741+D_普通掉落表!Z741+D_普通掉落表!V741+D_普通掉落表!R741+D_普通掉落表!N741+D_普通掉落表!J741)/10000,1)</f>
        <v>0</v>
      </c>
      <c r="T429">
        <f>(D_普通掉落表!AG741*D_普通掉落表!AL741)/10000/IF((D_普通掉落表!AL741+D_普通掉落表!AH741+D_普通掉落表!AD741+D_普通掉落表!Z741+D_普通掉落表!V741+D_普通掉落表!R741+D_普通掉落表!N741+D_普通掉落表!J741)/10000&gt;K429,(D_普通掉落表!AL741+D_普通掉落表!AH741+D_普通掉落表!AD741+D_普通掉落表!Z741+D_普通掉落表!V741+D_普通掉落表!R741+D_普通掉落表!N741+D_普通掉落表!J741)/10000,1)</f>
        <v>0</v>
      </c>
    </row>
    <row r="430" spans="1:20" x14ac:dyDescent="0.15">
      <c r="A430">
        <v>510808</v>
      </c>
      <c r="B430" t="s">
        <v>232</v>
      </c>
      <c r="D430">
        <v>0</v>
      </c>
      <c r="E430">
        <f>ROUND(VLOOKUP(A430,[6]D_远征奖励!$D:$G,4,FALSE)*0.9,0)</f>
        <v>19468</v>
      </c>
      <c r="F430">
        <f>ROUND(VLOOKUP(A430,[6]D_远征奖励!$D:$G,4,FALSE)*1,0)</f>
        <v>21631</v>
      </c>
      <c r="G430">
        <v>0</v>
      </c>
      <c r="H430">
        <v>0</v>
      </c>
      <c r="I430">
        <f>ROUND([5]命币的投放!$H125,0)</f>
        <v>8938</v>
      </c>
      <c r="J430">
        <v>0</v>
      </c>
      <c r="K430" s="8">
        <v>2</v>
      </c>
      <c r="L430">
        <f t="shared" si="63"/>
        <v>100808</v>
      </c>
      <c r="M430" s="8">
        <f t="shared" si="62"/>
        <v>700808</v>
      </c>
      <c r="Q430">
        <f>(D_普通掉落表!AG742*D_普通掉落表!AH742)/10000/IF((D_普通掉落表!AL747+D_普通掉落表!AH742+D_普通掉落表!AD742+D_普通掉落表!Z742+D_普通掉落表!V742+D_普通掉落表!R742+D_普通掉落表!N742+D_普通掉落表!J742)/10000&gt;K430,(D_普通掉落表!AL747+D_普通掉落表!AH742+D_普通掉落表!AD742+D_普通掉落表!Z742+D_普通掉落表!V742+D_普通掉落表!R742+D_普通掉落表!N742+D_普通掉落表!J742)/10000,1)</f>
        <v>0</v>
      </c>
      <c r="T430">
        <f>(D_普通掉落表!AG742*D_普通掉落表!AL742)/10000/IF((D_普通掉落表!AL742+D_普通掉落表!AH742+D_普通掉落表!AD742+D_普通掉落表!Z742+D_普通掉落表!V742+D_普通掉落表!R742+D_普通掉落表!N742+D_普通掉落表!J742)/10000&gt;K430,(D_普通掉落表!AL742+D_普通掉落表!AH742+D_普通掉落表!AD742+D_普通掉落表!Z742+D_普通掉落表!V742+D_普通掉落表!R742+D_普通掉落表!N742+D_普通掉落表!J742)/10000,1)</f>
        <v>0</v>
      </c>
    </row>
    <row r="431" spans="1:20" x14ac:dyDescent="0.15">
      <c r="A431">
        <v>510809</v>
      </c>
      <c r="B431" t="s">
        <v>233</v>
      </c>
      <c r="D431">
        <v>0</v>
      </c>
      <c r="E431">
        <f>ROUND(VLOOKUP(A431,[6]D_远征奖励!$D:$G,4,FALSE)*0.9,0)</f>
        <v>21902</v>
      </c>
      <c r="F431">
        <f>ROUND(VLOOKUP(A431,[6]D_远征奖励!$D:$G,4,FALSE)*1,0)</f>
        <v>24335</v>
      </c>
      <c r="G431">
        <v>0</v>
      </c>
      <c r="H431">
        <v>0</v>
      </c>
      <c r="I431">
        <f>ROUND([5]命币的投放!$H126,0)</f>
        <v>12518</v>
      </c>
      <c r="J431">
        <v>0</v>
      </c>
      <c r="K431" s="8">
        <v>3</v>
      </c>
      <c r="L431">
        <f t="shared" si="63"/>
        <v>100809</v>
      </c>
      <c r="M431" s="8">
        <f t="shared" si="62"/>
        <v>700809</v>
      </c>
      <c r="Q431">
        <f>(D_普通掉落表!AG743*D_普通掉落表!AH743)/10000/IF((D_普通掉落表!AL748+D_普通掉落表!AH743+D_普通掉落表!AD743+D_普通掉落表!Z743+D_普通掉落表!V743+D_普通掉落表!R743+D_普通掉落表!N743+D_普通掉落表!J743)/10000&gt;K431,(D_普通掉落表!AL748+D_普通掉落表!AH743+D_普通掉落表!AD743+D_普通掉落表!Z743+D_普通掉落表!V743+D_普通掉落表!R743+D_普通掉落表!N743+D_普通掉落表!J743)/10000,1)</f>
        <v>0</v>
      </c>
      <c r="T431">
        <f>(D_普通掉落表!AG743*D_普通掉落表!AL743)/10000/IF((D_普通掉落表!AL743+D_普通掉落表!AH743+D_普通掉落表!AD743+D_普通掉落表!Z743+D_普通掉落表!V743+D_普通掉落表!R743+D_普通掉落表!N743+D_普通掉落表!J743)/10000&gt;K431,(D_普通掉落表!AL743+D_普通掉落表!AH743+D_普通掉落表!AD743+D_普通掉落表!Z743+D_普通掉落表!V743+D_普通掉落表!R743+D_普通掉落表!N743+D_普通掉落表!J743)/10000,1)</f>
        <v>0</v>
      </c>
    </row>
    <row r="432" spans="1:20" x14ac:dyDescent="0.15">
      <c r="A432">
        <v>510810</v>
      </c>
      <c r="B432" t="s">
        <v>234</v>
      </c>
      <c r="D432">
        <v>0</v>
      </c>
      <c r="E432">
        <f>ROUND(VLOOKUP(A432,[6]D_远征奖励!$D:$G,4,FALSE)*0.9,0)</f>
        <v>19468</v>
      </c>
      <c r="F432">
        <f>ROUND(VLOOKUP(A432,[6]D_远征奖励!$D:$G,4,FALSE)*1,0)</f>
        <v>21631</v>
      </c>
      <c r="G432">
        <v>0</v>
      </c>
      <c r="H432">
        <v>0</v>
      </c>
      <c r="I432">
        <f>ROUND([5]命币的投放!$H127,0)</f>
        <v>9110</v>
      </c>
      <c r="J432">
        <v>0</v>
      </c>
      <c r="K432" s="8">
        <v>2</v>
      </c>
      <c r="L432">
        <f t="shared" si="63"/>
        <v>100810</v>
      </c>
      <c r="M432" s="8">
        <f t="shared" si="62"/>
        <v>700810</v>
      </c>
      <c r="Q432">
        <f>(D_普通掉落表!AG744*D_普通掉落表!AH744)/10000/IF((D_普通掉落表!AL749+D_普通掉落表!AH744+D_普通掉落表!AD744+D_普通掉落表!Z744+D_普通掉落表!V744+D_普通掉落表!R744+D_普通掉落表!N744+D_普通掉落表!J744)/10000&gt;K432,(D_普通掉落表!AL749+D_普通掉落表!AH744+D_普通掉落表!AD744+D_普通掉落表!Z744+D_普通掉落表!V744+D_普通掉落表!R744+D_普通掉落表!N744+D_普通掉落表!J744)/10000,1)</f>
        <v>0</v>
      </c>
      <c r="T432">
        <f>(D_普通掉落表!AG744*D_普通掉落表!AL744)/10000/IF((D_普通掉落表!AL744+D_普通掉落表!AH744+D_普通掉落表!AD744+D_普通掉落表!Z744+D_普通掉落表!V744+D_普通掉落表!R744+D_普通掉落表!N744+D_普通掉落表!J744)/10000&gt;K432,(D_普通掉落表!AL744+D_普通掉落表!AH744+D_普通掉落表!AD744+D_普通掉落表!Z744+D_普通掉落表!V744+D_普通掉落表!R744+D_普通掉落表!N744+D_普通掉落表!J744)/10000,1)</f>
        <v>0</v>
      </c>
    </row>
    <row r="433" spans="1:20" x14ac:dyDescent="0.15">
      <c r="A433">
        <v>510811</v>
      </c>
      <c r="B433" t="s">
        <v>235</v>
      </c>
      <c r="D433">
        <v>0</v>
      </c>
      <c r="E433">
        <f>ROUND(VLOOKUP(A433,[6]D_远征奖励!$D:$G,4,FALSE)*0.9,0)</f>
        <v>21902</v>
      </c>
      <c r="F433">
        <f>ROUND(VLOOKUP(A433,[6]D_远征奖励!$D:$G,4,FALSE)*1,0)</f>
        <v>24335</v>
      </c>
      <c r="G433">
        <v>0</v>
      </c>
      <c r="H433">
        <v>0</v>
      </c>
      <c r="I433">
        <f>ROUND([5]命币的投放!$H128,0)</f>
        <v>9834</v>
      </c>
      <c r="J433">
        <v>0</v>
      </c>
      <c r="K433" s="8">
        <v>2</v>
      </c>
      <c r="L433">
        <f t="shared" si="63"/>
        <v>100811</v>
      </c>
      <c r="M433" s="8">
        <f t="shared" si="62"/>
        <v>700811</v>
      </c>
      <c r="Q433">
        <f>(D_普通掉落表!AG745*D_普通掉落表!AH745)/10000/IF((D_普通掉落表!AL750+D_普通掉落表!AH745+D_普通掉落表!AD745+D_普通掉落表!Z745+D_普通掉落表!V745+D_普通掉落表!R745+D_普通掉落表!N745+D_普通掉落表!J745)/10000&gt;K433,(D_普通掉落表!AL750+D_普通掉落表!AH745+D_普通掉落表!AD745+D_普通掉落表!Z745+D_普通掉落表!V745+D_普通掉落表!R745+D_普通掉落表!N745+D_普通掉落表!J745)/10000,1)</f>
        <v>0</v>
      </c>
      <c r="T433">
        <f>(D_普通掉落表!AG745*D_普通掉落表!AL745)/10000/IF((D_普通掉落表!AL745+D_普通掉落表!AH745+D_普通掉落表!AD745+D_普通掉落表!Z745+D_普通掉落表!V745+D_普通掉落表!R745+D_普通掉落表!N745+D_普通掉落表!J745)/10000&gt;K433,(D_普通掉落表!AL745+D_普通掉落表!AH745+D_普通掉落表!AD745+D_普通掉落表!Z745+D_普通掉落表!V745+D_普通掉落表!R745+D_普通掉落表!N745+D_普通掉落表!J745)/10000,1)</f>
        <v>0</v>
      </c>
    </row>
    <row r="434" spans="1:20" x14ac:dyDescent="0.15">
      <c r="A434">
        <v>510812</v>
      </c>
      <c r="B434" t="s">
        <v>236</v>
      </c>
      <c r="D434">
        <v>0</v>
      </c>
      <c r="E434">
        <f>ROUND(VLOOKUP(A434,[6]D_远征奖励!$D:$G,4,FALSE)*0.9,0)</f>
        <v>24639</v>
      </c>
      <c r="F434">
        <f>ROUND(VLOOKUP(A434,[6]D_远征奖励!$D:$G,4,FALSE)*1,0)</f>
        <v>27377</v>
      </c>
      <c r="G434">
        <v>0</v>
      </c>
      <c r="H434">
        <v>0</v>
      </c>
      <c r="I434">
        <f>ROUND([5]命币的投放!$H129,0)</f>
        <v>13853</v>
      </c>
      <c r="J434">
        <v>0</v>
      </c>
      <c r="K434" s="8">
        <v>4</v>
      </c>
      <c r="L434">
        <f t="shared" si="63"/>
        <v>100812</v>
      </c>
      <c r="M434" s="8">
        <f t="shared" si="62"/>
        <v>700812</v>
      </c>
      <c r="Q434">
        <f>(D_普通掉落表!AG746*D_普通掉落表!AH746)/10000/IF((D_普通掉落表!AL751+D_普通掉落表!AH746+D_普通掉落表!AD746+D_普通掉落表!Z746+D_普通掉落表!V746+D_普通掉落表!R746+D_普通掉落表!N746+D_普通掉落表!J746)/10000&gt;K434,(D_普通掉落表!AL751+D_普通掉落表!AH746+D_普通掉落表!AD746+D_普通掉落表!Z746+D_普通掉落表!V746+D_普通掉落表!R746+D_普通掉落表!N746+D_普通掉落表!J746)/10000,1)</f>
        <v>0</v>
      </c>
      <c r="T434">
        <f>(D_普通掉落表!AG746*D_普通掉落表!AL746)/10000/IF((D_普通掉落表!AL746+D_普通掉落表!AH746+D_普通掉落表!AD746+D_普通掉落表!Z746+D_普通掉落表!V746+D_普通掉落表!R746+D_普通掉落表!N746+D_普通掉落表!J746)/10000&gt;K434,(D_普通掉落表!AL746+D_普通掉落表!AH746+D_普通掉落表!AD746+D_普通掉落表!Z746+D_普通掉落表!V746+D_普通掉落表!R746+D_普通掉落表!N746+D_普通掉落表!J746)/10000,1)</f>
        <v>0</v>
      </c>
    </row>
    <row r="435" spans="1:20" x14ac:dyDescent="0.15">
      <c r="A435">
        <v>510813</v>
      </c>
      <c r="B435" t="s">
        <v>237</v>
      </c>
      <c r="D435">
        <v>0</v>
      </c>
      <c r="E435">
        <f>ROUND(VLOOKUP(A435,[6]D_远征奖励!$D:$G,4,FALSE)*0.9,0)</f>
        <v>21902</v>
      </c>
      <c r="F435">
        <f>ROUND(VLOOKUP(A435,[6]D_远征奖励!$D:$G,4,FALSE)*1,0)</f>
        <v>24335</v>
      </c>
      <c r="G435">
        <v>0</v>
      </c>
      <c r="H435">
        <v>0</v>
      </c>
      <c r="I435">
        <f>ROUND([5]命币的投放!$H130,0)</f>
        <v>10209</v>
      </c>
      <c r="J435">
        <v>0</v>
      </c>
      <c r="K435" s="8">
        <v>2</v>
      </c>
      <c r="L435">
        <f t="shared" si="63"/>
        <v>100813</v>
      </c>
      <c r="M435" s="8">
        <f t="shared" si="62"/>
        <v>700813</v>
      </c>
      <c r="Q435">
        <f>(D_普通掉落表!AG747*D_普通掉落表!AH747)/10000/IF((D_普通掉落表!AL752+D_普通掉落表!AH747+D_普通掉落表!AD747+D_普通掉落表!Z747+D_普通掉落表!V747+D_普通掉落表!R747+D_普通掉落表!N747+D_普通掉落表!J747)/10000&gt;K435,(D_普通掉落表!AL752+D_普通掉落表!AH747+D_普通掉落表!AD747+D_普通掉落表!Z747+D_普通掉落表!V747+D_普通掉落表!R747+D_普通掉落表!N747+D_普通掉落表!J747)/10000,1)</f>
        <v>0</v>
      </c>
      <c r="T435">
        <f>(D_普通掉落表!AG747*D_普通掉落表!AL747)/10000/IF((D_普通掉落表!AL747+D_普通掉落表!AH747+D_普通掉落表!AD747+D_普通掉落表!Z747+D_普通掉落表!V747+D_普通掉落表!R747+D_普通掉落表!N747+D_普通掉落表!J747)/10000&gt;K435,(D_普通掉落表!AL747+D_普通掉落表!AH747+D_普通掉落表!AD747+D_普通掉落表!Z747+D_普通掉落表!V747+D_普通掉落表!R747+D_普通掉落表!N747+D_普通掉落表!J747)/10000,1)</f>
        <v>0</v>
      </c>
    </row>
    <row r="436" spans="1:20" x14ac:dyDescent="0.15">
      <c r="A436">
        <v>510814</v>
      </c>
      <c r="B436" t="s">
        <v>238</v>
      </c>
      <c r="D436">
        <v>0</v>
      </c>
      <c r="E436">
        <f>ROUND(VLOOKUP(A436,[6]D_远征奖励!$D:$G,4,FALSE)*0.9,0)</f>
        <v>24639</v>
      </c>
      <c r="F436">
        <f>ROUND(VLOOKUP(A436,[6]D_远征奖励!$D:$G,4,FALSE)*1,0)</f>
        <v>27377</v>
      </c>
      <c r="G436">
        <v>0</v>
      </c>
      <c r="H436">
        <v>0</v>
      </c>
      <c r="I436">
        <f>ROUND([5]命币的投放!$H131,0)</f>
        <v>10746</v>
      </c>
      <c r="J436">
        <v>0</v>
      </c>
      <c r="K436" s="8">
        <v>2</v>
      </c>
      <c r="L436">
        <f t="shared" si="63"/>
        <v>100814</v>
      </c>
      <c r="M436" s="8">
        <f t="shared" si="62"/>
        <v>700814</v>
      </c>
      <c r="Q436">
        <f>(D_普通掉落表!AG748*D_普通掉落表!AH748)/10000/IF((D_普通掉落表!AL753+D_普通掉落表!AH748+D_普通掉落表!AD748+D_普通掉落表!Z748+D_普通掉落表!V748+D_普通掉落表!R748+D_普通掉落表!N748+D_普通掉落表!J748)/10000&gt;K436,(D_普通掉落表!AL753+D_普通掉落表!AH748+D_普通掉落表!AD748+D_普通掉落表!Z748+D_普通掉落表!V748+D_普通掉落表!R748+D_普通掉落表!N748+D_普通掉落表!J748)/10000,1)</f>
        <v>0</v>
      </c>
      <c r="T436">
        <f>(D_普通掉落表!AG748*D_普通掉落表!AL748)/10000/IF((D_普通掉落表!AL748+D_普通掉落表!AH748+D_普通掉落表!AD748+D_普通掉落表!Z748+D_普通掉落表!V748+D_普通掉落表!R748+D_普通掉落表!N748+D_普通掉落表!J748)/10000&gt;K436,(D_普通掉落表!AL748+D_普通掉落表!AH748+D_普通掉落表!AD748+D_普通掉落表!Z748+D_普通掉落表!V748+D_普通掉落表!R748+D_普通掉落表!N748+D_普通掉落表!J748)/10000,1)</f>
        <v>0</v>
      </c>
    </row>
    <row r="437" spans="1:20" x14ac:dyDescent="0.15">
      <c r="A437">
        <v>510815</v>
      </c>
      <c r="B437" t="s">
        <v>239</v>
      </c>
      <c r="D437">
        <v>0</v>
      </c>
      <c r="E437">
        <f>ROUND(VLOOKUP(A437,[6]D_远征奖励!$D:$G,4,FALSE)*0.9,0)</f>
        <v>27719</v>
      </c>
      <c r="F437">
        <f>ROUND(VLOOKUP(A437,[6]D_远征奖励!$D:$G,4,FALSE)*1,0)</f>
        <v>30799</v>
      </c>
      <c r="G437">
        <v>0</v>
      </c>
      <c r="H437">
        <v>0</v>
      </c>
      <c r="I437">
        <f>ROUND([5]命币的投放!$H132,0)</f>
        <v>15352</v>
      </c>
      <c r="J437">
        <v>0</v>
      </c>
      <c r="K437" s="8">
        <v>6</v>
      </c>
      <c r="L437">
        <f t="shared" si="63"/>
        <v>100815</v>
      </c>
      <c r="M437" s="8">
        <f t="shared" si="62"/>
        <v>700815</v>
      </c>
      <c r="Q437">
        <v>0</v>
      </c>
      <c r="T437">
        <f>(D_普通掉落表!AG749*D_普通掉落表!AH749)/10000/IF((D_普通掉落表!AL754+D_普通掉落表!AH749+D_普通掉落表!AD749+D_普通掉落表!Z749+D_普通掉落表!V749+D_普通掉落表!R749+D_普通掉落表!N749+D_普通掉落表!J749)/10000&gt;K437,(D_普通掉落表!AL754+D_普通掉落表!AH749+D_普通掉落表!AD749+D_普通掉落表!Z749+D_普通掉落表!V749+D_普通掉落表!R749+D_普通掉落表!N749+D_普通掉落表!J749)/10000,1)</f>
        <v>1</v>
      </c>
    </row>
    <row r="438" spans="1:20" x14ac:dyDescent="0.15">
      <c r="A438">
        <v>510901</v>
      </c>
      <c r="B438" t="s">
        <v>240</v>
      </c>
      <c r="D438">
        <v>0</v>
      </c>
      <c r="E438">
        <f>ROUND(VLOOKUP(A438,[6]D_远征奖励!$D:$G,4,FALSE)*0.9,0)</f>
        <v>14268</v>
      </c>
      <c r="F438">
        <f>ROUND(VLOOKUP(A438,[6]D_远征奖励!$D:$G,4,FALSE)*1,0)</f>
        <v>15853</v>
      </c>
      <c r="G438">
        <v>0</v>
      </c>
      <c r="H438">
        <v>0</v>
      </c>
      <c r="I438">
        <f>ROUND([5]命币的投放!$H133,0)</f>
        <v>6679</v>
      </c>
      <c r="J438">
        <v>0</v>
      </c>
      <c r="K438" s="8">
        <v>1</v>
      </c>
      <c r="L438">
        <f t="shared" si="63"/>
        <v>100901</v>
      </c>
      <c r="M438" s="8">
        <f t="shared" si="62"/>
        <v>700901</v>
      </c>
      <c r="Q438">
        <f>(D_普通掉落表!AG750*D_普通掉落表!AH750)/10000/IF((D_普通掉落表!AL755+D_普通掉落表!AH750+D_普通掉落表!AD750+D_普通掉落表!Z750+D_普通掉落表!V750+D_普通掉落表!R750+D_普通掉落表!N750+D_普通掉落表!J750)/10000&gt;K438,(D_普通掉落表!AL755+D_普通掉落表!AH750+D_普通掉落表!AD750+D_普通掉落表!Z750+D_普通掉落表!V750+D_普通掉落表!R750+D_普通掉落表!N750+D_普通掉落表!J750)/10000,1)</f>
        <v>0</v>
      </c>
      <c r="T438">
        <f>(D_普通掉落表!AG750*D_普通掉落表!AL750)/10000/IF((D_普通掉落表!AL750+D_普通掉落表!AH750+D_普通掉落表!AD750+D_普通掉落表!Z750+D_普通掉落表!V750+D_普通掉落表!R750+D_普通掉落表!N750+D_普通掉落表!J750)/10000&gt;K438,(D_普通掉落表!AL750+D_普通掉落表!AH750+D_普通掉落表!AD750+D_普通掉落表!Z750+D_普通掉落表!V750+D_普通掉落表!R750+D_普通掉落表!N750+D_普通掉落表!J750)/10000,1)</f>
        <v>0</v>
      </c>
    </row>
    <row r="439" spans="1:20" x14ac:dyDescent="0.15">
      <c r="A439">
        <v>510902</v>
      </c>
      <c r="B439" t="s">
        <v>241</v>
      </c>
      <c r="D439">
        <v>0</v>
      </c>
      <c r="E439">
        <f>ROUND(VLOOKUP(A439,[6]D_远征奖励!$D:$G,4,FALSE)*0.9,0)</f>
        <v>16051</v>
      </c>
      <c r="F439">
        <f>ROUND(VLOOKUP(A439,[6]D_远征奖励!$D:$G,4,FALSE)*1,0)</f>
        <v>17834</v>
      </c>
      <c r="G439">
        <v>0</v>
      </c>
      <c r="H439">
        <v>0</v>
      </c>
      <c r="I439">
        <f>ROUND([5]命币的投放!$H134,0)</f>
        <v>7813</v>
      </c>
      <c r="J439">
        <v>0</v>
      </c>
      <c r="K439" s="8">
        <v>1</v>
      </c>
      <c r="L439">
        <f t="shared" si="63"/>
        <v>100902</v>
      </c>
      <c r="M439" s="8">
        <f t="shared" si="62"/>
        <v>700902</v>
      </c>
      <c r="Q439">
        <f>(D_普通掉落表!AG751*D_普通掉落表!AH751)/10000/IF((D_普通掉落表!AL756+D_普通掉落表!AH751+D_普通掉落表!AD751+D_普通掉落表!Z751+D_普通掉落表!V751+D_普通掉落表!R751+D_普通掉落表!N751+D_普通掉落表!J751)/10000&gt;K439,(D_普通掉落表!AL756+D_普通掉落表!AH751+D_普通掉落表!AD751+D_普通掉落表!Z751+D_普通掉落表!V751+D_普通掉落表!R751+D_普通掉落表!N751+D_普通掉落表!J751)/10000,1)</f>
        <v>0</v>
      </c>
      <c r="T439">
        <f>(D_普通掉落表!AG751*D_普通掉落表!AL751)/10000/IF((D_普通掉落表!AL751+D_普通掉落表!AH751+D_普通掉落表!AD751+D_普通掉落表!Z751+D_普通掉落表!V751+D_普通掉落表!R751+D_普通掉落表!N751+D_普通掉落表!J751)/10000&gt;K439,(D_普通掉落表!AL751+D_普通掉落表!AH751+D_普通掉落表!AD751+D_普通掉落表!Z751+D_普通掉落表!V751+D_普通掉落表!R751+D_普通掉落表!N751+D_普通掉落表!J751)/10000,1)</f>
        <v>0</v>
      </c>
    </row>
    <row r="440" spans="1:20" x14ac:dyDescent="0.15">
      <c r="A440">
        <v>510903</v>
      </c>
      <c r="B440" t="s">
        <v>242</v>
      </c>
      <c r="D440">
        <v>0</v>
      </c>
      <c r="E440">
        <f>ROUND(VLOOKUP(A440,[6]D_远征奖励!$D:$G,4,FALSE)*0.9,0)</f>
        <v>18058</v>
      </c>
      <c r="F440">
        <f>ROUND(VLOOKUP(A440,[6]D_远征奖励!$D:$G,4,FALSE)*1,0)</f>
        <v>20064</v>
      </c>
      <c r="G440">
        <v>0</v>
      </c>
      <c r="H440">
        <v>0</v>
      </c>
      <c r="I440">
        <f>ROUND([5]命币的投放!$H135,0)</f>
        <v>10818</v>
      </c>
      <c r="J440">
        <v>0</v>
      </c>
      <c r="K440" s="8">
        <v>2</v>
      </c>
      <c r="L440">
        <f t="shared" si="63"/>
        <v>100903</v>
      </c>
      <c r="M440" s="8">
        <f t="shared" si="62"/>
        <v>700903</v>
      </c>
      <c r="Q440">
        <f>(D_普通掉落表!AG752*D_普通掉落表!AH752)/10000/IF((D_普通掉落表!AL757+D_普通掉落表!AH752+D_普通掉落表!AD752+D_普通掉落表!Z752+D_普通掉落表!V752+D_普通掉落表!R752+D_普通掉落表!N752+D_普通掉落表!J752)/10000&gt;K440,(D_普通掉落表!AL757+D_普通掉落表!AH752+D_普通掉落表!AD752+D_普通掉落表!Z752+D_普通掉落表!V752+D_普通掉落表!R752+D_普通掉落表!N752+D_普通掉落表!J752)/10000,1)</f>
        <v>0</v>
      </c>
      <c r="T440">
        <f>(D_普通掉落表!AG752*D_普通掉落表!AL752)/10000/IF((D_普通掉落表!AL752+D_普通掉落表!AH752+D_普通掉落表!AD752+D_普通掉落表!Z752+D_普通掉落表!V752+D_普通掉落表!R752+D_普通掉落表!N752+D_普通掉落表!J752)/10000&gt;K440,(D_普通掉落表!AL752+D_普通掉落表!AH752+D_普通掉落表!AD752+D_普通掉落表!Z752+D_普通掉落表!V752+D_普通掉落表!R752+D_普通掉落表!N752+D_普通掉落表!J752)/10000,1)</f>
        <v>0</v>
      </c>
    </row>
    <row r="441" spans="1:20" x14ac:dyDescent="0.15">
      <c r="A441">
        <v>510904</v>
      </c>
      <c r="B441" t="s">
        <v>243</v>
      </c>
      <c r="D441">
        <v>0</v>
      </c>
      <c r="E441">
        <f>ROUND(VLOOKUP(A441,[6]D_远征奖励!$D:$G,4,FALSE)*0.9,0)</f>
        <v>16051</v>
      </c>
      <c r="F441">
        <f>ROUND(VLOOKUP(A441,[6]D_远征奖励!$D:$G,4,FALSE)*1,0)</f>
        <v>17834</v>
      </c>
      <c r="G441">
        <v>0</v>
      </c>
      <c r="H441">
        <v>0</v>
      </c>
      <c r="I441">
        <f>ROUND([5]命币的投放!$H136,0)</f>
        <v>7668</v>
      </c>
      <c r="J441">
        <v>0</v>
      </c>
      <c r="K441" s="8">
        <v>1</v>
      </c>
      <c r="L441">
        <f t="shared" si="63"/>
        <v>100904</v>
      </c>
      <c r="M441" s="8">
        <f t="shared" si="62"/>
        <v>700904</v>
      </c>
      <c r="Q441">
        <f>(D_普通掉落表!AG753*D_普通掉落表!AH753)/10000/IF((D_普通掉落表!AL758+D_普通掉落表!AH753+D_普通掉落表!AD753+D_普通掉落表!Z753+D_普通掉落表!V753+D_普通掉落表!R753+D_普通掉落表!N753+D_普通掉落表!J753)/10000&gt;K441,(D_普通掉落表!AL758+D_普通掉落表!AH753+D_普通掉落表!AD753+D_普通掉落表!Z753+D_普通掉落表!V753+D_普通掉落表!R753+D_普通掉落表!N753+D_普通掉落表!J753)/10000,1)</f>
        <v>0</v>
      </c>
      <c r="T441">
        <f>(D_普通掉落表!AG753*D_普通掉落表!AL753)/10000/IF((D_普通掉落表!AL753+D_普通掉落表!AH753+D_普通掉落表!AD753+D_普通掉落表!Z753+D_普通掉落表!V753+D_普通掉落表!R753+D_普通掉落表!N753+D_普通掉落表!J753)/10000&gt;K441,(D_普通掉落表!AL753+D_普通掉落表!AH753+D_普通掉落表!AD753+D_普通掉落表!Z753+D_普通掉落表!V753+D_普通掉落表!R753+D_普通掉落表!N753+D_普通掉落表!J753)/10000,1)</f>
        <v>0</v>
      </c>
    </row>
    <row r="442" spans="1:20" x14ac:dyDescent="0.15">
      <c r="A442">
        <v>510905</v>
      </c>
      <c r="B442" t="s">
        <v>244</v>
      </c>
      <c r="D442">
        <v>0</v>
      </c>
      <c r="E442">
        <f>ROUND(VLOOKUP(A442,[6]D_远征奖励!$D:$G,4,FALSE)*0.9,0)</f>
        <v>18058</v>
      </c>
      <c r="F442">
        <f>ROUND(VLOOKUP(A442,[6]D_远征奖励!$D:$G,4,FALSE)*1,0)</f>
        <v>20064</v>
      </c>
      <c r="G442">
        <v>0</v>
      </c>
      <c r="H442">
        <v>0</v>
      </c>
      <c r="I442">
        <f>ROUND([5]命币的投放!$H137,0)</f>
        <v>8720</v>
      </c>
      <c r="J442">
        <v>0</v>
      </c>
      <c r="K442" s="8">
        <v>1</v>
      </c>
      <c r="L442">
        <f t="shared" si="63"/>
        <v>100905</v>
      </c>
      <c r="M442" s="8">
        <f t="shared" si="62"/>
        <v>700905</v>
      </c>
      <c r="Q442">
        <f>(D_普通掉落表!AG754*D_普通掉落表!AH754)/10000/IF((D_普通掉落表!AL759+D_普通掉落表!AH754+D_普通掉落表!AD754+D_普通掉落表!Z754+D_普通掉落表!V754+D_普通掉落表!R754+D_普通掉落表!N754+D_普通掉落表!J754)/10000&gt;K442,(D_普通掉落表!AL759+D_普通掉落表!AH754+D_普通掉落表!AD754+D_普通掉落表!Z754+D_普通掉落表!V754+D_普通掉落表!R754+D_普通掉落表!N754+D_普通掉落表!J754)/10000,1)</f>
        <v>0</v>
      </c>
      <c r="T442">
        <f>(D_普通掉落表!AG754*D_普通掉落表!AL754)/10000/IF((D_普通掉落表!AL754+D_普通掉落表!AH754+D_普通掉落表!AD754+D_普通掉落表!Z754+D_普通掉落表!V754+D_普通掉落表!R754+D_普通掉落表!N754+D_普通掉落表!J754)/10000&gt;K442,(D_普通掉落表!AL754+D_普通掉落表!AH754+D_普通掉落表!AD754+D_普通掉落表!Z754+D_普通掉落表!V754+D_普通掉落表!R754+D_普通掉落表!N754+D_普通掉落表!J754)/10000,1)</f>
        <v>0</v>
      </c>
    </row>
    <row r="443" spans="1:20" x14ac:dyDescent="0.15">
      <c r="A443">
        <v>510906</v>
      </c>
      <c r="B443" t="s">
        <v>245</v>
      </c>
      <c r="D443">
        <v>0</v>
      </c>
      <c r="E443">
        <f>ROUND(VLOOKUP(A443,[6]D_远征奖励!$D:$G,4,FALSE)*0.9,0)</f>
        <v>20314</v>
      </c>
      <c r="F443">
        <f>ROUND(VLOOKUP(A443,[6]D_远征奖励!$D:$G,4,FALSE)*1,0)</f>
        <v>22571</v>
      </c>
      <c r="G443">
        <v>0</v>
      </c>
      <c r="H443">
        <v>0</v>
      </c>
      <c r="I443">
        <f>ROUND([5]命币的投放!$H138,0)</f>
        <v>12134</v>
      </c>
      <c r="J443">
        <v>0</v>
      </c>
      <c r="K443" s="8">
        <v>3</v>
      </c>
      <c r="L443">
        <f t="shared" si="63"/>
        <v>100906</v>
      </c>
      <c r="M443" s="8">
        <f t="shared" si="62"/>
        <v>700906</v>
      </c>
      <c r="Q443">
        <f>(D_普通掉落表!AG755*D_普通掉落表!AH755)/10000/IF((D_普通掉落表!AL760+D_普通掉落表!AH755+D_普通掉落表!AD755+D_普通掉落表!Z755+D_普通掉落表!V755+D_普通掉落表!R755+D_普通掉落表!N755+D_普通掉落表!J755)/10000&gt;K443,(D_普通掉落表!AL760+D_普通掉落表!AH755+D_普通掉落表!AD755+D_普通掉落表!Z755+D_普通掉落表!V755+D_普通掉落表!R755+D_普通掉落表!N755+D_普通掉落表!J755)/10000,1)</f>
        <v>0</v>
      </c>
      <c r="T443">
        <f>(D_普通掉落表!AG755*D_普通掉落表!AL755)/10000/IF((D_普通掉落表!AL755+D_普通掉落表!AH755+D_普通掉落表!AD755+D_普通掉落表!Z755+D_普通掉落表!V755+D_普通掉落表!R755+D_普通掉落表!N755+D_普通掉落表!J755)/10000&gt;K443,(D_普通掉落表!AL755+D_普通掉落表!AH755+D_普通掉落表!AD755+D_普通掉落表!Z755+D_普通掉落表!V755+D_普通掉落表!R755+D_普通掉落表!N755+D_普通掉落表!J755)/10000,1)</f>
        <v>0</v>
      </c>
    </row>
    <row r="444" spans="1:20" x14ac:dyDescent="0.15">
      <c r="A444">
        <v>510907</v>
      </c>
      <c r="B444" t="s">
        <v>246</v>
      </c>
      <c r="D444">
        <v>0</v>
      </c>
      <c r="E444">
        <f>ROUND(VLOOKUP(A444,[6]D_远征奖励!$D:$G,4,FALSE)*0.9,0)</f>
        <v>18058</v>
      </c>
      <c r="F444">
        <f>ROUND(VLOOKUP(A444,[6]D_远征奖励!$D:$G,4,FALSE)*1,0)</f>
        <v>20064</v>
      </c>
      <c r="G444">
        <v>0</v>
      </c>
      <c r="H444">
        <v>0</v>
      </c>
      <c r="I444">
        <f>ROUND([5]命币的投放!$H139,0)</f>
        <v>8711</v>
      </c>
      <c r="J444">
        <v>0</v>
      </c>
      <c r="K444" s="8">
        <v>2</v>
      </c>
      <c r="L444">
        <f t="shared" si="63"/>
        <v>100907</v>
      </c>
      <c r="M444" s="8">
        <f t="shared" si="62"/>
        <v>700907</v>
      </c>
      <c r="Q444">
        <f>(D_普通掉落表!AG756*D_普通掉落表!AH756)/10000/IF((D_普通掉落表!AL761+D_普通掉落表!AH756+D_普通掉落表!AD756+D_普通掉落表!Z756+D_普通掉落表!V756+D_普通掉落表!R756+D_普通掉落表!N756+D_普通掉落表!J756)/10000&gt;K444,(D_普通掉落表!AL761+D_普通掉落表!AH756+D_普通掉落表!AD756+D_普通掉落表!Z756+D_普通掉落表!V756+D_普通掉落表!R756+D_普通掉落表!N756+D_普通掉落表!J756)/10000,1)</f>
        <v>0</v>
      </c>
      <c r="T444">
        <f>(D_普通掉落表!AG756*D_普通掉落表!AL756)/10000/IF((D_普通掉落表!AL756+D_普通掉落表!AH756+D_普通掉落表!AD756+D_普通掉落表!Z756+D_普通掉落表!V756+D_普通掉落表!R756+D_普通掉落表!N756+D_普通掉落表!J756)/10000&gt;K444,(D_普通掉落表!AL756+D_普通掉落表!AH756+D_普通掉落表!AD756+D_普通掉落表!Z756+D_普通掉落表!V756+D_普通掉落表!R756+D_普通掉落表!N756+D_普通掉落表!J756)/10000,1)</f>
        <v>0</v>
      </c>
    </row>
    <row r="445" spans="1:20" x14ac:dyDescent="0.15">
      <c r="A445">
        <v>510908</v>
      </c>
      <c r="B445" t="s">
        <v>247</v>
      </c>
      <c r="D445">
        <v>0</v>
      </c>
      <c r="E445">
        <f>ROUND(VLOOKUP(A445,[6]D_远征奖励!$D:$G,4,FALSE)*0.9,0)</f>
        <v>20314</v>
      </c>
      <c r="F445">
        <f>ROUND(VLOOKUP(A445,[6]D_远征奖励!$D:$G,4,FALSE)*1,0)</f>
        <v>22571</v>
      </c>
      <c r="G445">
        <v>0</v>
      </c>
      <c r="H445">
        <v>0</v>
      </c>
      <c r="I445">
        <f>ROUND([5]命币的投放!$H140,0)</f>
        <v>9642</v>
      </c>
      <c r="J445">
        <v>0</v>
      </c>
      <c r="K445" s="8">
        <v>2</v>
      </c>
      <c r="L445">
        <f t="shared" si="63"/>
        <v>100908</v>
      </c>
      <c r="M445" s="8">
        <f t="shared" si="62"/>
        <v>700908</v>
      </c>
      <c r="Q445">
        <f>(D_普通掉落表!AG757*D_普通掉落表!AH757)/10000/IF((D_普通掉落表!AL762+D_普通掉落表!AH757+D_普通掉落表!AD757+D_普通掉落表!Z757+D_普通掉落表!V757+D_普通掉落表!R757+D_普通掉落表!N757+D_普通掉落表!J757)/10000&gt;K445,(D_普通掉落表!AL762+D_普通掉落表!AH757+D_普通掉落表!AD757+D_普通掉落表!Z757+D_普通掉落表!V757+D_普通掉落表!R757+D_普通掉落表!N757+D_普通掉落表!J757)/10000,1)</f>
        <v>0</v>
      </c>
      <c r="T445">
        <f>(D_普通掉落表!AG757*D_普通掉落表!AL757)/10000/IF((D_普通掉落表!AL757+D_普通掉落表!AH757+D_普通掉落表!AD757+D_普通掉落表!Z757+D_普通掉落表!V757+D_普通掉落表!R757+D_普通掉落表!N757+D_普通掉落表!J757)/10000&gt;K445,(D_普通掉落表!AL757+D_普通掉落表!AH757+D_普通掉落表!AD757+D_普通掉落表!Z757+D_普通掉落表!V757+D_普通掉落表!R757+D_普通掉落表!N757+D_普通掉落表!J757)/10000,1)</f>
        <v>0</v>
      </c>
    </row>
    <row r="446" spans="1:20" x14ac:dyDescent="0.15">
      <c r="A446">
        <v>510909</v>
      </c>
      <c r="B446" t="s">
        <v>248</v>
      </c>
      <c r="D446">
        <v>0</v>
      </c>
      <c r="E446">
        <f>ROUND(VLOOKUP(A446,[6]D_远征奖励!$D:$G,4,FALSE)*0.9,0)</f>
        <v>22854</v>
      </c>
      <c r="F446">
        <f>ROUND(VLOOKUP(A446,[6]D_远征奖励!$D:$G,4,FALSE)*1,0)</f>
        <v>25393</v>
      </c>
      <c r="G446">
        <v>0</v>
      </c>
      <c r="H446">
        <v>0</v>
      </c>
      <c r="I446">
        <f>ROUND([5]命币的投放!$H141,0)</f>
        <v>13491</v>
      </c>
      <c r="J446">
        <v>0</v>
      </c>
      <c r="K446" s="8">
        <v>3</v>
      </c>
      <c r="L446">
        <f t="shared" si="63"/>
        <v>100909</v>
      </c>
      <c r="M446" s="8">
        <f t="shared" si="62"/>
        <v>700909</v>
      </c>
      <c r="Q446">
        <f>(D_普通掉落表!AG758*D_普通掉落表!AH758)/10000/IF((D_普通掉落表!AL763+D_普通掉落表!AH758+D_普通掉落表!AD758+D_普通掉落表!Z758+D_普通掉落表!V758+D_普通掉落表!R758+D_普通掉落表!N758+D_普通掉落表!J758)/10000&gt;K446,(D_普通掉落表!AL763+D_普通掉落表!AH758+D_普通掉落表!AD758+D_普通掉落表!Z758+D_普通掉落表!V758+D_普通掉落表!R758+D_普通掉落表!N758+D_普通掉落表!J758)/10000,1)</f>
        <v>0</v>
      </c>
      <c r="T446">
        <f>(D_普通掉落表!AG758*D_普通掉落表!AL758)/10000/IF((D_普通掉落表!AL758+D_普通掉落表!AH758+D_普通掉落表!AD758+D_普通掉落表!Z758+D_普通掉落表!V758+D_普通掉落表!R758+D_普通掉落表!N758+D_普通掉落表!J758)/10000&gt;K446,(D_普通掉落表!AL758+D_普通掉落表!AH758+D_普通掉落表!AD758+D_普通掉落表!Z758+D_普通掉落表!V758+D_普通掉落表!R758+D_普通掉落表!N758+D_普通掉落表!J758)/10000,1)</f>
        <v>0</v>
      </c>
    </row>
    <row r="447" spans="1:20" x14ac:dyDescent="0.15">
      <c r="A447">
        <v>510910</v>
      </c>
      <c r="B447" t="s">
        <v>249</v>
      </c>
      <c r="D447">
        <v>0</v>
      </c>
      <c r="E447">
        <f>ROUND(VLOOKUP(A447,[6]D_远征奖励!$D:$G,4,FALSE)*0.9,0)</f>
        <v>20314</v>
      </c>
      <c r="F447">
        <f>ROUND(VLOOKUP(A447,[6]D_远征奖励!$D:$G,4,FALSE)*1,0)</f>
        <v>22571</v>
      </c>
      <c r="G447">
        <v>0</v>
      </c>
      <c r="H447">
        <v>0</v>
      </c>
      <c r="I447">
        <f>ROUND([5]命币的投放!$H142,0)</f>
        <v>9809</v>
      </c>
      <c r="J447">
        <v>0</v>
      </c>
      <c r="K447" s="8">
        <v>2</v>
      </c>
      <c r="L447">
        <f t="shared" si="63"/>
        <v>100910</v>
      </c>
      <c r="M447" s="8">
        <f t="shared" si="62"/>
        <v>700910</v>
      </c>
      <c r="Q447">
        <f>(D_普通掉落表!AG759*D_普通掉落表!AH759)/10000/IF((D_普通掉落表!AL764+D_普通掉落表!AH759+D_普通掉落表!AD759+D_普通掉落表!Z759+D_普通掉落表!V759+D_普通掉落表!R759+D_普通掉落表!N759+D_普通掉落表!J759)/10000&gt;K447,(D_普通掉落表!AL764+D_普通掉落表!AH759+D_普通掉落表!AD759+D_普通掉落表!Z759+D_普通掉落表!V759+D_普通掉落表!R759+D_普通掉落表!N759+D_普通掉落表!J759)/10000,1)</f>
        <v>0</v>
      </c>
      <c r="T447">
        <f>(D_普通掉落表!AG759*D_普通掉落表!AL759)/10000/IF((D_普通掉落表!AL759+D_普通掉落表!AH759+D_普通掉落表!AD759+D_普通掉落表!Z759+D_普通掉落表!V759+D_普通掉落表!R759+D_普通掉落表!N759+D_普通掉落表!J759)/10000&gt;K447,(D_普通掉落表!AL759+D_普通掉落表!AH759+D_普通掉落表!AD759+D_普通掉落表!Z759+D_普通掉落表!V759+D_普通掉落表!R759+D_普通掉落表!N759+D_普通掉落表!J759)/10000,1)</f>
        <v>0</v>
      </c>
    </row>
    <row r="448" spans="1:20" x14ac:dyDescent="0.15">
      <c r="A448">
        <v>510911</v>
      </c>
      <c r="B448" t="s">
        <v>250</v>
      </c>
      <c r="D448">
        <v>0</v>
      </c>
      <c r="E448">
        <f>ROUND(VLOOKUP(A448,[6]D_远征奖励!$D:$G,4,FALSE)*0.9,0)</f>
        <v>22854</v>
      </c>
      <c r="F448">
        <f>ROUND(VLOOKUP(A448,[6]D_远征奖励!$D:$G,4,FALSE)*1,0)</f>
        <v>25393</v>
      </c>
      <c r="G448">
        <v>0</v>
      </c>
      <c r="H448">
        <v>0</v>
      </c>
      <c r="I448">
        <f>ROUND([5]命币的投放!$H143,0)</f>
        <v>10579</v>
      </c>
      <c r="J448">
        <v>0</v>
      </c>
      <c r="K448" s="8">
        <v>2</v>
      </c>
      <c r="L448">
        <f t="shared" si="63"/>
        <v>100911</v>
      </c>
      <c r="M448" s="8">
        <f t="shared" si="62"/>
        <v>700911</v>
      </c>
      <c r="Q448">
        <f>(D_普通掉落表!AG760*D_普通掉落表!AH760)/10000/IF((D_普通掉落表!AL765+D_普通掉落表!AH760+D_普通掉落表!AD760+D_普通掉落表!Z760+D_普通掉落表!V760+D_普通掉落表!R760+D_普通掉落表!N760+D_普通掉落表!J760)/10000&gt;K448,(D_普通掉落表!AL765+D_普通掉落表!AH760+D_普通掉落表!AD760+D_普通掉落表!Z760+D_普通掉落表!V760+D_普通掉落表!R760+D_普通掉落表!N760+D_普通掉落表!J760)/10000,1)</f>
        <v>0</v>
      </c>
      <c r="T448">
        <f>(D_普通掉落表!AG760*D_普通掉落表!AL760)/10000/IF((D_普通掉落表!AL760+D_普通掉落表!AH760+D_普通掉落表!AD760+D_普通掉落表!Z760+D_普通掉落表!V760+D_普通掉落表!R760+D_普通掉落表!N760+D_普通掉落表!J760)/10000&gt;K448,(D_普通掉落表!AL760+D_普通掉落表!AH760+D_普通掉落表!AD760+D_普通掉落表!Z760+D_普通掉落表!V760+D_普通掉落表!R760+D_普通掉落表!N760+D_普通掉落表!J760)/10000,1)</f>
        <v>0</v>
      </c>
    </row>
    <row r="449" spans="1:20" x14ac:dyDescent="0.15">
      <c r="A449">
        <v>510912</v>
      </c>
      <c r="B449" t="s">
        <v>251</v>
      </c>
      <c r="D449">
        <v>0</v>
      </c>
      <c r="E449">
        <f>ROUND(VLOOKUP(A449,[6]D_远征奖励!$D:$G,4,FALSE)*0.9,0)</f>
        <v>25710</v>
      </c>
      <c r="F449">
        <f>ROUND(VLOOKUP(A449,[6]D_远征奖励!$D:$G,4,FALSE)*1,0)</f>
        <v>28567</v>
      </c>
      <c r="G449">
        <v>0</v>
      </c>
      <c r="H449">
        <v>0</v>
      </c>
      <c r="I449">
        <f>ROUND([5]命币的投放!$H144,0)</f>
        <v>14890</v>
      </c>
      <c r="J449">
        <v>0</v>
      </c>
      <c r="K449" s="8">
        <v>4</v>
      </c>
      <c r="L449">
        <f t="shared" si="63"/>
        <v>100912</v>
      </c>
      <c r="M449" s="8">
        <f t="shared" si="62"/>
        <v>700912</v>
      </c>
      <c r="Q449">
        <f>(D_普通掉落表!AG761*D_普通掉落表!AH761)/10000/IF((D_普通掉落表!AL766+D_普通掉落表!AH761+D_普通掉落表!AD761+D_普通掉落表!Z761+D_普通掉落表!V761+D_普通掉落表!R761+D_普通掉落表!N761+D_普通掉落表!J761)/10000&gt;K449,(D_普通掉落表!AL766+D_普通掉落表!AH761+D_普通掉落表!AD761+D_普通掉落表!Z761+D_普通掉落表!V761+D_普通掉落表!R761+D_普通掉落表!N761+D_普通掉落表!J761)/10000,1)</f>
        <v>0</v>
      </c>
      <c r="T449">
        <f>(D_普通掉落表!AG761*D_普通掉落表!AL761)/10000/IF((D_普通掉落表!AL761+D_普通掉落表!AH761+D_普通掉落表!AD761+D_普通掉落表!Z761+D_普通掉落表!V761+D_普通掉落表!R761+D_普通掉落表!N761+D_普通掉落表!J761)/10000&gt;K449,(D_普通掉落表!AL761+D_普通掉落表!AH761+D_普通掉落表!AD761+D_普通掉落表!Z761+D_普通掉落表!V761+D_普通掉落表!R761+D_普通掉落表!N761+D_普通掉落表!J761)/10000,1)</f>
        <v>0</v>
      </c>
    </row>
    <row r="450" spans="1:20" x14ac:dyDescent="0.15">
      <c r="A450">
        <v>510913</v>
      </c>
      <c r="B450" t="s">
        <v>252</v>
      </c>
      <c r="D450">
        <v>0</v>
      </c>
      <c r="E450">
        <f>ROUND(VLOOKUP(A450,[6]D_远征奖励!$D:$G,4,FALSE)*0.9,0)</f>
        <v>22854</v>
      </c>
      <c r="F450">
        <f>ROUND(VLOOKUP(A450,[6]D_远征奖励!$D:$G,4,FALSE)*1,0)</f>
        <v>25393</v>
      </c>
      <c r="G450">
        <v>0</v>
      </c>
      <c r="H450">
        <v>0</v>
      </c>
      <c r="I450">
        <f>ROUND([5]命币的投放!$H145,0)</f>
        <v>10963</v>
      </c>
      <c r="J450">
        <v>0</v>
      </c>
      <c r="K450" s="8">
        <v>2</v>
      </c>
      <c r="L450">
        <f t="shared" si="63"/>
        <v>100913</v>
      </c>
      <c r="M450" s="8">
        <f t="shared" si="62"/>
        <v>700913</v>
      </c>
      <c r="Q450">
        <f>(D_普通掉落表!AG762*D_普通掉落表!AH762)/10000/IF((D_普通掉落表!AL767+D_普通掉落表!AH762+D_普通掉落表!AD762+D_普通掉落表!Z762+D_普通掉落表!V762+D_普通掉落表!R762+D_普通掉落表!N762+D_普通掉落表!J762)/10000&gt;K450,(D_普通掉落表!AL767+D_普通掉落表!AH762+D_普通掉落表!AD762+D_普通掉落表!Z762+D_普通掉落表!V762+D_普通掉落表!R762+D_普通掉落表!N762+D_普通掉落表!J762)/10000,1)</f>
        <v>0</v>
      </c>
      <c r="T450">
        <f>(D_普通掉落表!AG762*D_普通掉落表!AL762)/10000/IF((D_普通掉落表!AL762+D_普通掉落表!AH762+D_普通掉落表!AD762+D_普通掉落表!Z762+D_普通掉落表!V762+D_普通掉落表!R762+D_普通掉落表!N762+D_普通掉落表!J762)/10000&gt;K450,(D_普通掉落表!AL762+D_普通掉落表!AH762+D_普通掉落表!AD762+D_普通掉落表!Z762+D_普通掉落表!V762+D_普通掉落表!R762+D_普通掉落表!N762+D_普通掉落表!J762)/10000,1)</f>
        <v>0</v>
      </c>
    </row>
    <row r="451" spans="1:20" x14ac:dyDescent="0.15">
      <c r="A451">
        <v>510914</v>
      </c>
      <c r="B451" t="s">
        <v>253</v>
      </c>
      <c r="D451">
        <v>0</v>
      </c>
      <c r="E451">
        <f>ROUND(VLOOKUP(A451,[6]D_远征奖励!$D:$G,4,FALSE)*0.9,0)</f>
        <v>25710</v>
      </c>
      <c r="F451">
        <f>ROUND(VLOOKUP(A451,[6]D_远征奖励!$D:$G,4,FALSE)*1,0)</f>
        <v>28567</v>
      </c>
      <c r="G451">
        <v>0</v>
      </c>
      <c r="H451">
        <v>0</v>
      </c>
      <c r="I451">
        <f>ROUND([5]命币的投放!$H146,0)</f>
        <v>11532</v>
      </c>
      <c r="J451">
        <v>0</v>
      </c>
      <c r="K451" s="8">
        <v>2</v>
      </c>
      <c r="L451">
        <f t="shared" si="63"/>
        <v>100914</v>
      </c>
      <c r="M451" s="8">
        <f t="shared" si="62"/>
        <v>700914</v>
      </c>
      <c r="Q451">
        <f>(D_普通掉落表!AG763*D_普通掉落表!AH763)/10000/IF((D_普通掉落表!AL768+D_普通掉落表!AH763+D_普通掉落表!AD763+D_普通掉落表!Z763+D_普通掉落表!V763+D_普通掉落表!R763+D_普通掉落表!N763+D_普通掉落表!J763)/10000&gt;K451,(D_普通掉落表!AL768+D_普通掉落表!AH763+D_普通掉落表!AD763+D_普通掉落表!Z763+D_普通掉落表!V763+D_普通掉落表!R763+D_普通掉落表!N763+D_普通掉落表!J763)/10000,1)</f>
        <v>0</v>
      </c>
      <c r="T451">
        <f>(D_普通掉落表!AG763*D_普通掉落表!AL763)/10000/IF((D_普通掉落表!AL763+D_普通掉落表!AH763+D_普通掉落表!AD763+D_普通掉落表!Z763+D_普通掉落表!V763+D_普通掉落表!R763+D_普通掉落表!N763+D_普通掉落表!J763)/10000&gt;K451,(D_普通掉落表!AL763+D_普通掉落表!AH763+D_普通掉落表!AD763+D_普通掉落表!Z763+D_普通掉落表!V763+D_普通掉落表!R763+D_普通掉落表!N763+D_普通掉落表!J763)/10000,1)</f>
        <v>0</v>
      </c>
    </row>
    <row r="452" spans="1:20" x14ac:dyDescent="0.15">
      <c r="A452">
        <v>510915</v>
      </c>
      <c r="B452" t="s">
        <v>254</v>
      </c>
      <c r="D452">
        <v>0</v>
      </c>
      <c r="E452">
        <f>ROUND(VLOOKUP(A452,[6]D_远征奖励!$D:$G,4,FALSE)*0.9,0)</f>
        <v>28924</v>
      </c>
      <c r="F452">
        <f>ROUND(VLOOKUP(A452,[6]D_远征奖励!$D:$G,4,FALSE)*1,0)</f>
        <v>32138</v>
      </c>
      <c r="G452">
        <v>0</v>
      </c>
      <c r="H452">
        <v>0</v>
      </c>
      <c r="I452">
        <f>ROUND([5]命币的投放!$H147,0)</f>
        <v>16462</v>
      </c>
      <c r="J452">
        <v>0</v>
      </c>
      <c r="K452" s="8">
        <v>6</v>
      </c>
      <c r="L452">
        <f t="shared" si="63"/>
        <v>100915</v>
      </c>
      <c r="M452" s="8">
        <f t="shared" si="62"/>
        <v>700915</v>
      </c>
      <c r="Q452">
        <v>0</v>
      </c>
      <c r="T452">
        <f>(D_普通掉落表!AG764*D_普通掉落表!AH764)/10000/IF((D_普通掉落表!AL769+D_普通掉落表!AH764+D_普通掉落表!AD764+D_普通掉落表!Z764+D_普通掉落表!V764+D_普通掉落表!R764+D_普通掉落表!N764+D_普通掉落表!J764)/10000&gt;K452,(D_普通掉落表!AL769+D_普通掉落表!AH764+D_普通掉落表!AD764+D_普通掉落表!Z764+D_普通掉落表!V764+D_普通掉落表!R764+D_普通掉落表!N764+D_普通掉落表!J764)/10000,1)</f>
        <v>1</v>
      </c>
    </row>
    <row r="453" spans="1:20" x14ac:dyDescent="0.15">
      <c r="A453">
        <f>A438+100</f>
        <v>511001</v>
      </c>
      <c r="B453" t="s">
        <v>255</v>
      </c>
      <c r="D453">
        <v>0</v>
      </c>
      <c r="E453">
        <f>ROUND(VLOOKUP(A453,[6]D_远征奖励!$D:$G,4,FALSE)*0.9,0)</f>
        <v>14862</v>
      </c>
      <c r="F453">
        <f>ROUND(VLOOKUP(A453,[6]D_远征奖励!$D:$G,4,FALSE)*1,0)</f>
        <v>16513</v>
      </c>
      <c r="G453">
        <v>0</v>
      </c>
      <c r="H453">
        <v>0</v>
      </c>
      <c r="I453">
        <f>ROUND([5]命币的投放!$H148,0)</f>
        <v>7243</v>
      </c>
      <c r="J453">
        <v>0</v>
      </c>
      <c r="K453" s="8">
        <v>2</v>
      </c>
      <c r="L453">
        <f t="shared" si="63"/>
        <v>101001</v>
      </c>
      <c r="M453" s="8">
        <f t="shared" si="62"/>
        <v>701001</v>
      </c>
      <c r="Q453">
        <f>(D_普通掉落表!AG765*D_普通掉落表!AH765)/10000/IF((D_普通掉落表!AL770+D_普通掉落表!AH765+D_普通掉落表!AD765+D_普通掉落表!Z765+D_普通掉落表!V765+D_普通掉落表!R765+D_普通掉落表!N765+D_普通掉落表!J765)/10000&gt;K453,(D_普通掉落表!AL770+D_普通掉落表!AH765+D_普通掉落表!AD765+D_普通掉落表!Z765+D_普通掉落表!V765+D_普通掉落表!R765+D_普通掉落表!N765+D_普通掉落表!J765)/10000,1)</f>
        <v>0</v>
      </c>
      <c r="T453">
        <f>(D_普通掉落表!AG765*D_普通掉落表!AL765)/10000/IF((D_普通掉落表!AL765+D_普通掉落表!AH765+D_普通掉落表!AD765+D_普通掉落表!Z765+D_普通掉落表!V765+D_普通掉落表!R765+D_普通掉落表!N765+D_普通掉落表!J765)/10000&gt;K453,(D_普通掉落表!AL765+D_普通掉落表!AH765+D_普通掉落表!AD765+D_普通掉落表!Z765+D_普通掉落表!V765+D_普通掉落表!R765+D_普通掉落表!N765+D_普通掉落表!J765)/10000,1)</f>
        <v>0</v>
      </c>
    </row>
    <row r="454" spans="1:20" x14ac:dyDescent="0.15">
      <c r="A454">
        <f t="shared" ref="A454:A482" si="64">A439+100</f>
        <v>511002</v>
      </c>
      <c r="B454" t="s">
        <v>256</v>
      </c>
      <c r="D454">
        <v>0</v>
      </c>
      <c r="E454">
        <f>ROUND(VLOOKUP(A454,[6]D_远征奖励!$D:$G,4,FALSE)*0.9,0)</f>
        <v>16719</v>
      </c>
      <c r="F454">
        <f>ROUND(VLOOKUP(A454,[6]D_远征奖励!$D:$G,4,FALSE)*1,0)</f>
        <v>18577</v>
      </c>
      <c r="G454">
        <v>0</v>
      </c>
      <c r="H454">
        <v>0</v>
      </c>
      <c r="I454">
        <f>ROUND([5]命币的投放!$H149,0)</f>
        <v>8461</v>
      </c>
      <c r="J454">
        <v>0</v>
      </c>
      <c r="K454" s="8">
        <v>2</v>
      </c>
      <c r="L454">
        <f t="shared" si="63"/>
        <v>101002</v>
      </c>
      <c r="M454" s="8">
        <f t="shared" si="62"/>
        <v>701002</v>
      </c>
      <c r="Q454">
        <f>(D_普通掉落表!AG766*D_普通掉落表!AH766)/10000/IF((D_普通掉落表!AL771+D_普通掉落表!AH766+D_普通掉落表!AD766+D_普通掉落表!Z766+D_普通掉落表!V766+D_普通掉落表!R766+D_普通掉落表!N766+D_普通掉落表!J766)/10000&gt;K454,(D_普通掉落表!AL771+D_普通掉落表!AH766+D_普通掉落表!AD766+D_普通掉落表!Z766+D_普通掉落表!V766+D_普通掉落表!R766+D_普通掉落表!N766+D_普通掉落表!J766)/10000,1)</f>
        <v>0</v>
      </c>
      <c r="T454">
        <f>(D_普通掉落表!AG766*D_普通掉落表!AL766)/10000/IF((D_普通掉落表!AL766+D_普通掉落表!AH766+D_普通掉落表!AD766+D_普通掉落表!Z766+D_普通掉落表!V766+D_普通掉落表!R766+D_普通掉落表!N766+D_普通掉落表!J766)/10000&gt;K454,(D_普通掉落表!AL766+D_普通掉落表!AH766+D_普通掉落表!AD766+D_普通掉落表!Z766+D_普通掉落表!V766+D_普通掉落表!R766+D_普通掉落表!N766+D_普通掉落表!J766)/10000,1)</f>
        <v>0</v>
      </c>
    </row>
    <row r="455" spans="1:20" x14ac:dyDescent="0.15">
      <c r="A455">
        <f t="shared" si="64"/>
        <v>511003</v>
      </c>
      <c r="B455" t="s">
        <v>257</v>
      </c>
      <c r="D455">
        <v>0</v>
      </c>
      <c r="E455">
        <f>ROUND(VLOOKUP(A455,[6]D_远征奖励!$D:$G,4,FALSE)*0.9,0)</f>
        <v>18809</v>
      </c>
      <c r="F455">
        <f>ROUND(VLOOKUP(A455,[6]D_远征奖励!$D:$G,4,FALSE)*1,0)</f>
        <v>20899</v>
      </c>
      <c r="G455">
        <v>0</v>
      </c>
      <c r="H455">
        <v>0</v>
      </c>
      <c r="I455">
        <f>ROUND([5]命币的投放!$H150,0)</f>
        <v>11700</v>
      </c>
      <c r="J455">
        <v>0</v>
      </c>
      <c r="K455" s="8">
        <v>3</v>
      </c>
      <c r="L455">
        <f t="shared" si="63"/>
        <v>101003</v>
      </c>
      <c r="M455" s="8">
        <f t="shared" si="62"/>
        <v>701003</v>
      </c>
      <c r="Q455">
        <f>(D_普通掉落表!AG767*D_普通掉落表!AH767)/10000/IF((D_普通掉落表!AL772+D_普通掉落表!AH767+D_普通掉落表!AD767+D_普通掉落表!Z767+D_普通掉落表!V767+D_普通掉落表!R767+D_普通掉落表!N767+D_普通掉落表!J767)/10000&gt;K455,(D_普通掉落表!AL772+D_普通掉落表!AH767+D_普通掉落表!AD767+D_普通掉落表!Z767+D_普通掉落表!V767+D_普通掉落表!R767+D_普通掉落表!N767+D_普通掉落表!J767)/10000,1)</f>
        <v>0</v>
      </c>
      <c r="T455">
        <f>(D_普通掉落表!AG767*D_普通掉落表!AL767)/10000/IF((D_普通掉落表!AL767+D_普通掉落表!AH767+D_普通掉落表!AD767+D_普通掉落表!Z767+D_普通掉落表!V767+D_普通掉落表!R767+D_普通掉落表!N767+D_普通掉落表!J767)/10000&gt;K455,(D_普通掉落表!AL767+D_普通掉落表!AH767+D_普通掉落表!AD767+D_普通掉落表!Z767+D_普通掉落表!V767+D_普通掉落表!R767+D_普通掉落表!N767+D_普通掉落表!J767)/10000,1)</f>
        <v>0</v>
      </c>
    </row>
    <row r="456" spans="1:20" x14ac:dyDescent="0.15">
      <c r="A456">
        <f t="shared" si="64"/>
        <v>511004</v>
      </c>
      <c r="B456" t="s">
        <v>258</v>
      </c>
      <c r="D456">
        <v>0</v>
      </c>
      <c r="E456">
        <f>ROUND(VLOOKUP(A456,[6]D_远征奖励!$D:$G,4,FALSE)*0.9,0)</f>
        <v>16719</v>
      </c>
      <c r="F456">
        <f>ROUND(VLOOKUP(A456,[6]D_远征奖励!$D:$G,4,FALSE)*1,0)</f>
        <v>18577</v>
      </c>
      <c r="G456">
        <v>0</v>
      </c>
      <c r="H456">
        <v>0</v>
      </c>
      <c r="I456">
        <f>ROUND([5]命币的投放!$H151,0)</f>
        <v>8283</v>
      </c>
      <c r="J456">
        <v>0</v>
      </c>
      <c r="K456" s="8">
        <v>2</v>
      </c>
      <c r="L456">
        <f t="shared" si="63"/>
        <v>101004</v>
      </c>
      <c r="M456" s="8">
        <f t="shared" si="62"/>
        <v>701004</v>
      </c>
      <c r="Q456">
        <f>(D_普通掉落表!AG768*D_普通掉落表!AH768)/10000/IF((D_普通掉落表!AL773+D_普通掉落表!AH768+D_普通掉落表!AD768+D_普通掉落表!Z768+D_普通掉落表!V768+D_普通掉落表!R768+D_普通掉落表!N768+D_普通掉落表!J768)/10000&gt;K456,(D_普通掉落表!AL773+D_普通掉落表!AH768+D_普通掉落表!AD768+D_普通掉落表!Z768+D_普通掉落表!V768+D_普通掉落表!R768+D_普通掉落表!N768+D_普通掉落表!J768)/10000,1)</f>
        <v>0</v>
      </c>
      <c r="T456">
        <f>(D_普通掉落表!AG768*D_普通掉落表!AL768)/10000/IF((D_普通掉落表!AL768+D_普通掉落表!AH768+D_普通掉落表!AD768+D_普通掉落表!Z768+D_普通掉落表!V768+D_普通掉落表!R768+D_普通掉落表!N768+D_普通掉落表!J768)/10000&gt;K456,(D_普通掉落表!AL768+D_普通掉落表!AH768+D_普通掉落表!AD768+D_普通掉落表!Z768+D_普通掉落表!V768+D_普通掉落表!R768+D_普通掉落表!N768+D_普通掉落表!J768)/10000,1)</f>
        <v>0</v>
      </c>
    </row>
    <row r="457" spans="1:20" x14ac:dyDescent="0.15">
      <c r="A457">
        <f t="shared" si="64"/>
        <v>511005</v>
      </c>
      <c r="B457" t="s">
        <v>259</v>
      </c>
      <c r="D457">
        <v>0</v>
      </c>
      <c r="E457">
        <f>ROUND(VLOOKUP(A457,[6]D_远征奖励!$D:$G,4,FALSE)*0.9,0)</f>
        <v>18809</v>
      </c>
      <c r="F457">
        <f>ROUND(VLOOKUP(A457,[6]D_远征奖励!$D:$G,4,FALSE)*1,0)</f>
        <v>20899</v>
      </c>
      <c r="G457">
        <v>0</v>
      </c>
      <c r="H457">
        <v>0</v>
      </c>
      <c r="I457">
        <f>ROUND([5]命币的投放!$H152,0)</f>
        <v>9409</v>
      </c>
      <c r="J457">
        <v>0</v>
      </c>
      <c r="K457" s="8">
        <v>2</v>
      </c>
      <c r="L457">
        <f t="shared" si="63"/>
        <v>101005</v>
      </c>
      <c r="M457" s="8">
        <f t="shared" si="62"/>
        <v>701005</v>
      </c>
      <c r="Q457">
        <f>(D_普通掉落表!AG769*D_普通掉落表!AH769)/10000/IF((D_普通掉落表!AL774+D_普通掉落表!AH769+D_普通掉落表!AD769+D_普通掉落表!Z769+D_普通掉落表!V769+D_普通掉落表!R769+D_普通掉落表!N769+D_普通掉落表!J769)/10000&gt;K457,(D_普通掉落表!AL774+D_普通掉落表!AH769+D_普通掉落表!AD769+D_普通掉落表!Z769+D_普通掉落表!V769+D_普通掉落表!R769+D_普通掉落表!N769+D_普通掉落表!J769)/10000,1)</f>
        <v>0</v>
      </c>
      <c r="T457">
        <f>(D_普通掉落表!AG769*D_普通掉落表!AL769)/10000/IF((D_普通掉落表!AL769+D_普通掉落表!AH769+D_普通掉落表!AD769+D_普通掉落表!Z769+D_普通掉落表!V769+D_普通掉落表!R769+D_普通掉落表!N769+D_普通掉落表!J769)/10000&gt;K457,(D_普通掉落表!AL769+D_普通掉落表!AH769+D_普通掉落表!AD769+D_普通掉落表!Z769+D_普通掉落表!V769+D_普通掉落表!R769+D_普通掉落表!N769+D_普通掉落表!J769)/10000,1)</f>
        <v>0</v>
      </c>
    </row>
    <row r="458" spans="1:20" x14ac:dyDescent="0.15">
      <c r="A458">
        <f t="shared" si="64"/>
        <v>511006</v>
      </c>
      <c r="B458" t="s">
        <v>260</v>
      </c>
      <c r="D458">
        <v>0</v>
      </c>
      <c r="E458">
        <f>ROUND(VLOOKUP(A458,[6]D_远征奖励!$D:$G,4,FALSE)*0.9,0)</f>
        <v>21161</v>
      </c>
      <c r="F458">
        <f>ROUND(VLOOKUP(A458,[6]D_远征奖励!$D:$G,4,FALSE)*1,0)</f>
        <v>23512</v>
      </c>
      <c r="G458">
        <v>0</v>
      </c>
      <c r="H458">
        <v>0</v>
      </c>
      <c r="I458">
        <f>ROUND([5]命币的投放!$H153,0)</f>
        <v>13078</v>
      </c>
      <c r="J458">
        <v>0</v>
      </c>
      <c r="K458" s="8">
        <v>3</v>
      </c>
      <c r="L458">
        <f t="shared" si="63"/>
        <v>101006</v>
      </c>
      <c r="M458" s="8">
        <f t="shared" si="62"/>
        <v>701006</v>
      </c>
      <c r="Q458">
        <f>(D_普通掉落表!AG770*D_普通掉落表!AH770)/10000/IF((D_普通掉落表!AL775+D_普通掉落表!AH770+D_普通掉落表!AD770+D_普通掉落表!Z770+D_普通掉落表!V770+D_普通掉落表!R770+D_普通掉落表!N770+D_普通掉落表!J770)/10000&gt;K458,(D_普通掉落表!AL775+D_普通掉落表!AH770+D_普通掉落表!AD770+D_普通掉落表!Z770+D_普通掉落表!V770+D_普通掉落表!R770+D_普通掉落表!N770+D_普通掉落表!J770)/10000,1)</f>
        <v>0</v>
      </c>
      <c r="T458">
        <f>(D_普通掉落表!AG770*D_普通掉落表!AL770)/10000/IF((D_普通掉落表!AL770+D_普通掉落表!AH770+D_普通掉落表!AD770+D_普通掉落表!Z770+D_普通掉落表!V770+D_普通掉落表!R770+D_普通掉落表!N770+D_普通掉落表!J770)/10000&gt;K458,(D_普通掉落表!AL770+D_普通掉落表!AH770+D_普通掉落表!AD770+D_普通掉落表!Z770+D_普通掉落表!V770+D_普通掉落表!R770+D_普通掉落表!N770+D_普通掉落表!J770)/10000,1)</f>
        <v>0</v>
      </c>
    </row>
    <row r="459" spans="1:20" x14ac:dyDescent="0.15">
      <c r="A459">
        <f t="shared" si="64"/>
        <v>511007</v>
      </c>
      <c r="B459" t="s">
        <v>261</v>
      </c>
      <c r="D459">
        <v>0</v>
      </c>
      <c r="E459">
        <f>ROUND(VLOOKUP(A459,[6]D_远征奖励!$D:$G,4,FALSE)*0.9,0)</f>
        <v>18809</v>
      </c>
      <c r="F459">
        <f>ROUND(VLOOKUP(A459,[6]D_远征奖励!$D:$G,4,FALSE)*1,0)</f>
        <v>20899</v>
      </c>
      <c r="G459">
        <v>0</v>
      </c>
      <c r="H459">
        <v>0</v>
      </c>
      <c r="I459">
        <f>ROUND([5]命币的投放!$H154,0)</f>
        <v>9379</v>
      </c>
      <c r="J459">
        <v>0</v>
      </c>
      <c r="K459" s="8">
        <v>2</v>
      </c>
      <c r="L459">
        <f t="shared" si="63"/>
        <v>101007</v>
      </c>
      <c r="M459" s="8">
        <f t="shared" si="62"/>
        <v>701007</v>
      </c>
      <c r="Q459">
        <f>(D_普通掉落表!AG771*D_普通掉落表!AH771)/10000/IF((D_普通掉落表!AL776+D_普通掉落表!AH771+D_普通掉落表!AD771+D_普通掉落表!Z771+D_普通掉落表!V771+D_普通掉落表!R771+D_普通掉落表!N771+D_普通掉落表!J771)/10000&gt;K459,(D_普通掉落表!AL776+D_普通掉落表!AH771+D_普通掉落表!AD771+D_普通掉落表!Z771+D_普通掉落表!V771+D_普通掉落表!R771+D_普通掉落表!N771+D_普通掉落表!J771)/10000,1)</f>
        <v>0</v>
      </c>
      <c r="T459">
        <f>(D_普通掉落表!AG771*D_普通掉落表!AL771)/10000/IF((D_普通掉落表!AL771+D_普通掉落表!AH771+D_普通掉落表!AD771+D_普通掉落表!Z771+D_普通掉落表!V771+D_普通掉落表!R771+D_普通掉落表!N771+D_普通掉落表!J771)/10000&gt;K459,(D_普通掉落表!AL771+D_普通掉落表!AH771+D_普通掉落表!AD771+D_普通掉落表!Z771+D_普通掉落表!V771+D_普通掉落表!R771+D_普通掉落表!N771+D_普通掉落表!J771)/10000,1)</f>
        <v>0</v>
      </c>
    </row>
    <row r="460" spans="1:20" x14ac:dyDescent="0.15">
      <c r="A460">
        <f t="shared" si="64"/>
        <v>511008</v>
      </c>
      <c r="B460" t="s">
        <v>262</v>
      </c>
      <c r="D460">
        <v>0</v>
      </c>
      <c r="E460">
        <f>ROUND(VLOOKUP(A460,[6]D_远征奖励!$D:$G,4,FALSE)*0.9,0)</f>
        <v>21161</v>
      </c>
      <c r="F460">
        <f>ROUND(VLOOKUP(A460,[6]D_远征奖励!$D:$G,4,FALSE)*1,0)</f>
        <v>23512</v>
      </c>
      <c r="G460">
        <v>0</v>
      </c>
      <c r="H460">
        <v>0</v>
      </c>
      <c r="I460">
        <f>ROUND([5]命币的投放!$H155,0)</f>
        <v>10371</v>
      </c>
      <c r="J460">
        <v>0</v>
      </c>
      <c r="K460" s="8">
        <v>2</v>
      </c>
      <c r="L460">
        <f t="shared" si="63"/>
        <v>101008</v>
      </c>
      <c r="M460" s="8">
        <f t="shared" si="62"/>
        <v>701008</v>
      </c>
      <c r="Q460">
        <f>(D_普通掉落表!AG772*D_普通掉落表!AH772)/10000/IF((D_普通掉落表!AL777+D_普通掉落表!AH772+D_普通掉落表!AD772+D_普通掉落表!Z772+D_普通掉落表!V772+D_普通掉落表!R772+D_普通掉落表!N772+D_普通掉落表!J772)/10000&gt;K460,(D_普通掉落表!AL777+D_普通掉落表!AH772+D_普通掉落表!AD772+D_普通掉落表!Z772+D_普通掉落表!V772+D_普通掉落表!R772+D_普通掉落表!N772+D_普通掉落表!J772)/10000,1)</f>
        <v>0</v>
      </c>
      <c r="T460">
        <f>(D_普通掉落表!AG772*D_普通掉落表!AL772)/10000/IF((D_普通掉落表!AL772+D_普通掉落表!AH772+D_普通掉落表!AD772+D_普通掉落表!Z772+D_普通掉落表!V772+D_普通掉落表!R772+D_普通掉落表!N772+D_普通掉落表!J772)/10000&gt;K460,(D_普通掉落表!AL772+D_普通掉落表!AH772+D_普通掉落表!AD772+D_普通掉落表!Z772+D_普通掉落表!V772+D_普通掉落表!R772+D_普通掉落表!N772+D_普通掉落表!J772)/10000,1)</f>
        <v>0</v>
      </c>
    </row>
    <row r="461" spans="1:20" x14ac:dyDescent="0.15">
      <c r="A461">
        <f t="shared" si="64"/>
        <v>511009</v>
      </c>
      <c r="B461" t="s">
        <v>263</v>
      </c>
      <c r="D461">
        <v>0</v>
      </c>
      <c r="E461">
        <f>ROUND(VLOOKUP(A461,[6]D_远征奖励!$D:$G,4,FALSE)*0.9,0)</f>
        <v>23806</v>
      </c>
      <c r="F461">
        <f>ROUND(VLOOKUP(A461,[6]D_远征奖励!$D:$G,4,FALSE)*1,0)</f>
        <v>26451</v>
      </c>
      <c r="G461">
        <v>0</v>
      </c>
      <c r="H461">
        <v>0</v>
      </c>
      <c r="I461">
        <f>ROUND([5]命币的投放!$H156,0)</f>
        <v>14498</v>
      </c>
      <c r="J461">
        <v>0</v>
      </c>
      <c r="K461" s="8">
        <v>4</v>
      </c>
      <c r="L461">
        <f t="shared" si="63"/>
        <v>101009</v>
      </c>
      <c r="M461" s="8">
        <f t="shared" ref="M461:M481" si="65">M446+100</f>
        <v>701009</v>
      </c>
      <c r="Q461">
        <f>(D_普通掉落表!AG773*D_普通掉落表!AH773)/10000/IF((D_普通掉落表!AL778+D_普通掉落表!AH773+D_普通掉落表!AD773+D_普通掉落表!Z773+D_普通掉落表!V773+D_普通掉落表!R773+D_普通掉落表!N773+D_普通掉落表!J773)/10000&gt;K461,(D_普通掉落表!AL778+D_普通掉落表!AH773+D_普通掉落表!AD773+D_普通掉落表!Z773+D_普通掉落表!V773+D_普通掉落表!R773+D_普通掉落表!N773+D_普通掉落表!J773)/10000,1)</f>
        <v>0</v>
      </c>
      <c r="T461">
        <f>(D_普通掉落表!AG773*D_普通掉落表!AL773)/10000/IF((D_普通掉落表!AL773+D_普通掉落表!AH773+D_普通掉落表!AD773+D_普通掉落表!Z773+D_普通掉落表!V773+D_普通掉落表!R773+D_普通掉落表!N773+D_普通掉落表!J773)/10000&gt;K461,(D_普通掉落表!AL773+D_普通掉落表!AH773+D_普通掉落表!AD773+D_普通掉落表!Z773+D_普通掉落表!V773+D_普通掉落表!R773+D_普通掉落表!N773+D_普通掉落表!J773)/10000,1)</f>
        <v>0</v>
      </c>
    </row>
    <row r="462" spans="1:20" x14ac:dyDescent="0.15">
      <c r="A462">
        <f t="shared" si="64"/>
        <v>511010</v>
      </c>
      <c r="B462" t="s">
        <v>264</v>
      </c>
      <c r="D462">
        <v>0</v>
      </c>
      <c r="E462">
        <f>ROUND(VLOOKUP(A462,[6]D_远征奖励!$D:$G,4,FALSE)*0.9,0)</f>
        <v>21161</v>
      </c>
      <c r="F462">
        <f>ROUND(VLOOKUP(A462,[6]D_远征奖励!$D:$G,4,FALSE)*1,0)</f>
        <v>23512</v>
      </c>
      <c r="G462">
        <v>0</v>
      </c>
      <c r="H462">
        <v>0</v>
      </c>
      <c r="I462">
        <f>ROUND([5]命币的投放!$H157,0)</f>
        <v>10532</v>
      </c>
      <c r="J462">
        <v>0</v>
      </c>
      <c r="K462" s="8">
        <v>2</v>
      </c>
      <c r="L462">
        <f t="shared" ref="L462:L482" si="66">L447+100</f>
        <v>101010</v>
      </c>
      <c r="M462" s="8">
        <f t="shared" si="65"/>
        <v>701010</v>
      </c>
      <c r="Q462">
        <f>(D_普通掉落表!AG774*D_普通掉落表!AH774)/10000/IF((D_普通掉落表!AL779+D_普通掉落表!AH774+D_普通掉落表!AD774+D_普通掉落表!Z774+D_普通掉落表!V774+D_普通掉落表!R774+D_普通掉落表!N774+D_普通掉落表!J774)/10000&gt;K462,(D_普通掉落表!AL779+D_普通掉落表!AH774+D_普通掉落表!AD774+D_普通掉落表!Z774+D_普通掉落表!V774+D_普通掉落表!R774+D_普通掉落表!N774+D_普通掉落表!J774)/10000,1)</f>
        <v>0</v>
      </c>
      <c r="T462">
        <f>(D_普通掉落表!AG774*D_普通掉落表!AL774)/10000/IF((D_普通掉落表!AL774+D_普通掉落表!AH774+D_普通掉落表!AD774+D_普通掉落表!Z774+D_普通掉落表!V774+D_普通掉落表!R774+D_普通掉落表!N774+D_普通掉落表!J774)/10000&gt;K462,(D_普通掉落表!AL774+D_普通掉落表!AH774+D_普通掉落表!AD774+D_普通掉落表!Z774+D_普通掉落表!V774+D_普通掉落表!R774+D_普通掉落表!N774+D_普通掉落表!J774)/10000,1)</f>
        <v>0</v>
      </c>
    </row>
    <row r="463" spans="1:20" x14ac:dyDescent="0.15">
      <c r="A463">
        <f t="shared" si="64"/>
        <v>511011</v>
      </c>
      <c r="B463" t="s">
        <v>265</v>
      </c>
      <c r="D463">
        <v>0</v>
      </c>
      <c r="E463">
        <f>ROUND(VLOOKUP(A463,[6]D_远征奖励!$D:$G,4,FALSE)*0.9,0)</f>
        <v>23806</v>
      </c>
      <c r="F463">
        <f>ROUND(VLOOKUP(A463,[6]D_远征奖励!$D:$G,4,FALSE)*1,0)</f>
        <v>26451</v>
      </c>
      <c r="G463">
        <v>0</v>
      </c>
      <c r="H463">
        <v>0</v>
      </c>
      <c r="I463">
        <f>ROUND([5]命币的投放!$H158,0)</f>
        <v>11349</v>
      </c>
      <c r="J463">
        <v>0</v>
      </c>
      <c r="K463" s="8">
        <v>2</v>
      </c>
      <c r="L463">
        <f t="shared" si="66"/>
        <v>101011</v>
      </c>
      <c r="M463" s="8">
        <f t="shared" si="65"/>
        <v>701011</v>
      </c>
      <c r="Q463">
        <f>(D_普通掉落表!AG775*D_普通掉落表!AH775)/10000/IF((D_普通掉落表!AL780+D_普通掉落表!AH775+D_普通掉落表!AD775+D_普通掉落表!Z775+D_普通掉落表!V775+D_普通掉落表!R775+D_普通掉落表!N775+D_普通掉落表!J775)/10000&gt;K463,(D_普通掉落表!AL780+D_普通掉落表!AH775+D_普通掉落表!AD775+D_普通掉落表!Z775+D_普通掉落表!V775+D_普通掉落表!R775+D_普通掉落表!N775+D_普通掉落表!J775)/10000,1)</f>
        <v>0</v>
      </c>
      <c r="T463">
        <f>(D_普通掉落表!AG775*D_普通掉落表!AL775)/10000/IF((D_普通掉落表!AL775+D_普通掉落表!AH775+D_普通掉落表!AD775+D_普通掉落表!Z775+D_普通掉落表!V775+D_普通掉落表!R775+D_普通掉落表!N775+D_普通掉落表!J775)/10000&gt;K463,(D_普通掉落表!AL775+D_普通掉落表!AH775+D_普通掉落表!AD775+D_普通掉落表!Z775+D_普通掉落表!V775+D_普通掉落表!R775+D_普通掉落表!N775+D_普通掉落表!J775)/10000,1)</f>
        <v>0</v>
      </c>
    </row>
    <row r="464" spans="1:20" x14ac:dyDescent="0.15">
      <c r="A464">
        <f t="shared" si="64"/>
        <v>511012</v>
      </c>
      <c r="B464" t="s">
        <v>266</v>
      </c>
      <c r="D464">
        <v>0</v>
      </c>
      <c r="E464">
        <f>ROUND(VLOOKUP(A464,[6]D_远征奖励!$D:$G,4,FALSE)*0.9,0)</f>
        <v>26781</v>
      </c>
      <c r="F464">
        <f>ROUND(VLOOKUP(A464,[6]D_远征奖励!$D:$G,4,FALSE)*1,0)</f>
        <v>29757</v>
      </c>
      <c r="G464">
        <v>0</v>
      </c>
      <c r="H464">
        <v>0</v>
      </c>
      <c r="I464">
        <f>ROUND([5]命币的投放!$H159,0)</f>
        <v>15961</v>
      </c>
      <c r="J464">
        <v>0</v>
      </c>
      <c r="K464" s="8">
        <v>4</v>
      </c>
      <c r="L464">
        <f t="shared" si="66"/>
        <v>101012</v>
      </c>
      <c r="M464" s="8">
        <f t="shared" si="65"/>
        <v>701012</v>
      </c>
      <c r="Q464">
        <f>(D_普通掉落表!AG776*D_普通掉落表!AH776)/10000/IF((D_普通掉落表!AL781+D_普通掉落表!AH776+D_普通掉落表!AD776+D_普通掉落表!Z776+D_普通掉落表!V776+D_普通掉落表!R776+D_普通掉落表!N776+D_普通掉落表!J776)/10000&gt;K464,(D_普通掉落表!AL781+D_普通掉落表!AH776+D_普通掉落表!AD776+D_普通掉落表!Z776+D_普通掉落表!V776+D_普通掉落表!R776+D_普通掉落表!N776+D_普通掉落表!J776)/10000,1)</f>
        <v>0</v>
      </c>
      <c r="T464">
        <f>(D_普通掉落表!AG776*D_普通掉落表!AL776)/10000/IF((D_普通掉落表!AL776+D_普通掉落表!AH776+D_普通掉落表!AD776+D_普通掉落表!Z776+D_普通掉落表!V776+D_普通掉落表!R776+D_普通掉落表!N776+D_普通掉落表!J776)/10000&gt;K464,(D_普通掉落表!AL776+D_普通掉落表!AH776+D_普通掉落表!AD776+D_普通掉落表!Z776+D_普通掉落表!V776+D_普通掉落表!R776+D_普通掉落表!N776+D_普通掉落表!J776)/10000,1)</f>
        <v>0</v>
      </c>
    </row>
    <row r="465" spans="1:20" x14ac:dyDescent="0.15">
      <c r="A465">
        <f t="shared" si="64"/>
        <v>511013</v>
      </c>
      <c r="B465" t="s">
        <v>267</v>
      </c>
      <c r="D465">
        <v>0</v>
      </c>
      <c r="E465">
        <f>ROUND(VLOOKUP(A465,[6]D_远征奖励!$D:$G,4,FALSE)*0.9,0)</f>
        <v>23806</v>
      </c>
      <c r="F465">
        <f>ROUND(VLOOKUP(A465,[6]D_远征奖励!$D:$G,4,FALSE)*1,0)</f>
        <v>26451</v>
      </c>
      <c r="G465">
        <v>0</v>
      </c>
      <c r="H465">
        <v>0</v>
      </c>
      <c r="I465">
        <f>ROUND([5]命币的投放!$H160,0)</f>
        <v>11743</v>
      </c>
      <c r="J465">
        <v>0</v>
      </c>
      <c r="K465" s="8">
        <v>3</v>
      </c>
      <c r="L465">
        <f t="shared" si="66"/>
        <v>101013</v>
      </c>
      <c r="M465" s="8">
        <f t="shared" si="65"/>
        <v>701013</v>
      </c>
      <c r="Q465">
        <f>(D_普通掉落表!AG777*D_普通掉落表!AH777)/10000/IF((D_普通掉落表!AL782+D_普通掉落表!AH777+D_普通掉落表!AD777+D_普通掉落表!Z777+D_普通掉落表!V777+D_普通掉落表!R777+D_普通掉落表!N777+D_普通掉落表!J777)/10000&gt;K465,(D_普通掉落表!AL782+D_普通掉落表!AH777+D_普通掉落表!AD777+D_普通掉落表!Z777+D_普通掉落表!V777+D_普通掉落表!R777+D_普通掉落表!N777+D_普通掉落表!J777)/10000,1)</f>
        <v>0</v>
      </c>
      <c r="T465">
        <f>(D_普通掉落表!AG777*D_普通掉落表!AL777)/10000/IF((D_普通掉落表!AL777+D_普通掉落表!AH777+D_普通掉落表!AD777+D_普通掉落表!Z777+D_普通掉落表!V777+D_普通掉落表!R777+D_普通掉落表!N777+D_普通掉落表!J777)/10000&gt;K465,(D_普通掉落表!AL777+D_普通掉落表!AH777+D_普通掉落表!AD777+D_普通掉落表!Z777+D_普通掉落表!V777+D_普通掉落表!R777+D_普通掉落表!N777+D_普通掉落表!J777)/10000,1)</f>
        <v>0</v>
      </c>
    </row>
    <row r="466" spans="1:20" x14ac:dyDescent="0.15">
      <c r="A466">
        <f t="shared" si="64"/>
        <v>511014</v>
      </c>
      <c r="B466" t="s">
        <v>268</v>
      </c>
      <c r="D466">
        <v>0</v>
      </c>
      <c r="E466">
        <f>ROUND(VLOOKUP(A466,[6]D_远征奖励!$D:$G,4,FALSE)*0.9,0)</f>
        <v>26781</v>
      </c>
      <c r="F466">
        <f>ROUND(VLOOKUP(A466,[6]D_远征奖励!$D:$G,4,FALSE)*1,0)</f>
        <v>29757</v>
      </c>
      <c r="G466">
        <v>0</v>
      </c>
      <c r="H466">
        <v>0</v>
      </c>
      <c r="I466">
        <f>ROUND([5]命币的投放!$H161,0)</f>
        <v>12342</v>
      </c>
      <c r="J466">
        <v>0</v>
      </c>
      <c r="K466" s="8">
        <v>3</v>
      </c>
      <c r="L466">
        <f t="shared" si="66"/>
        <v>101014</v>
      </c>
      <c r="M466" s="8">
        <f t="shared" si="65"/>
        <v>701014</v>
      </c>
      <c r="Q466">
        <f>(D_普通掉落表!AG778*D_普通掉落表!AH778)/10000/IF((D_普通掉落表!AL783+D_普通掉落表!AH778+D_普通掉落表!AD778+D_普通掉落表!Z778+D_普通掉落表!V778+D_普通掉落表!R778+D_普通掉落表!N778+D_普通掉落表!J778)/10000&gt;K466,(D_普通掉落表!AL783+D_普通掉落表!AH778+D_普通掉落表!AD778+D_普通掉落表!Z778+D_普通掉落表!V778+D_普通掉落表!R778+D_普通掉落表!N778+D_普通掉落表!J778)/10000,1)</f>
        <v>0</v>
      </c>
      <c r="T466">
        <f>(D_普通掉落表!AG778*D_普通掉落表!AL778)/10000/IF((D_普通掉落表!AL778+D_普通掉落表!AH778+D_普通掉落表!AD778+D_普通掉落表!Z778+D_普通掉落表!V778+D_普通掉落表!R778+D_普通掉落表!N778+D_普通掉落表!J778)/10000&gt;K466,(D_普通掉落表!AL778+D_普通掉落表!AH778+D_普通掉落表!AD778+D_普通掉落表!Z778+D_普通掉落表!V778+D_普通掉落表!R778+D_普通掉落表!N778+D_普通掉落表!J778)/10000,1)</f>
        <v>0</v>
      </c>
    </row>
    <row r="467" spans="1:20" x14ac:dyDescent="0.15">
      <c r="A467">
        <f t="shared" si="64"/>
        <v>511015</v>
      </c>
      <c r="B467" t="s">
        <v>269</v>
      </c>
      <c r="D467">
        <v>0</v>
      </c>
      <c r="E467">
        <f>ROUND(VLOOKUP(A467,[6]D_远征奖励!$D:$G,4,FALSE)*0.9,0)</f>
        <v>30129</v>
      </c>
      <c r="F467">
        <f>ROUND(VLOOKUP(A467,[6]D_远征奖励!$D:$G,4,FALSE)*1,0)</f>
        <v>33477</v>
      </c>
      <c r="G467">
        <v>0</v>
      </c>
      <c r="H467">
        <v>0</v>
      </c>
      <c r="I467">
        <f>ROUND([5]命币的投放!$H162,0)</f>
        <v>17607</v>
      </c>
      <c r="J467">
        <v>0</v>
      </c>
      <c r="K467" s="8">
        <v>6</v>
      </c>
      <c r="L467">
        <f t="shared" si="66"/>
        <v>101015</v>
      </c>
      <c r="M467" s="8">
        <f t="shared" si="65"/>
        <v>701015</v>
      </c>
      <c r="Q467">
        <v>0</v>
      </c>
      <c r="T467">
        <f>(D_普通掉落表!AG779*D_普通掉落表!AH779)/10000/IF((D_普通掉落表!AL784+D_普通掉落表!AH779+D_普通掉落表!AD779+D_普通掉落表!Z779+D_普通掉落表!V779+D_普通掉落表!R779+D_普通掉落表!N779+D_普通掉落表!J779)/10000&gt;K467,(D_普通掉落表!AL784+D_普通掉落表!AH779+D_普通掉落表!AD779+D_普通掉落表!Z779+D_普通掉落表!V779+D_普通掉落表!R779+D_普通掉落表!N779+D_普通掉落表!J779)/10000,1)</f>
        <v>1</v>
      </c>
    </row>
    <row r="468" spans="1:20" x14ac:dyDescent="0.15">
      <c r="A468">
        <f t="shared" si="64"/>
        <v>511101</v>
      </c>
      <c r="B468" t="s">
        <v>270</v>
      </c>
      <c r="D468">
        <v>0</v>
      </c>
      <c r="E468">
        <f>ROUND(VLOOKUP(A468,[6]D_远征奖励!$D:$G,4,FALSE)*0.9,0)</f>
        <v>15457</v>
      </c>
      <c r="F468">
        <f>ROUND(VLOOKUP(A468,[6]D_远征奖励!$D:$G,4,FALSE)*1,0)</f>
        <v>17174</v>
      </c>
      <c r="G468">
        <v>0</v>
      </c>
      <c r="H468">
        <v>0</v>
      </c>
      <c r="I468">
        <f>ROUND([5]命币的投放!$H163,0)</f>
        <v>7830</v>
      </c>
      <c r="J468">
        <v>0</v>
      </c>
      <c r="K468" s="8">
        <v>2</v>
      </c>
      <c r="L468">
        <f t="shared" si="66"/>
        <v>101101</v>
      </c>
      <c r="M468" s="8">
        <f t="shared" si="65"/>
        <v>701101</v>
      </c>
      <c r="Q468">
        <f>(D_普通掉落表!AG780*D_普通掉落表!AH780)/10000/IF((D_普通掉落表!AL785+D_普通掉落表!AH780+D_普通掉落表!AD780+D_普通掉落表!Z780+D_普通掉落表!V780+D_普通掉落表!R780+D_普通掉落表!N780+D_普通掉落表!J780)/10000&gt;K468,(D_普通掉落表!AL785+D_普通掉落表!AH780+D_普通掉落表!AD780+D_普通掉落表!Z780+D_普通掉落表!V780+D_普通掉落表!R780+D_普通掉落表!N780+D_普通掉落表!J780)/10000,1)</f>
        <v>0</v>
      </c>
      <c r="T468">
        <f>(D_普通掉落表!AG780*D_普通掉落表!AL780)/10000/IF((D_普通掉落表!AL780+D_普通掉落表!AH780+D_普通掉落表!AD780+D_普通掉落表!Z780+D_普通掉落表!V780+D_普通掉落表!R780+D_普通掉落表!N780+D_普通掉落表!J780)/10000&gt;K468,(D_普通掉落表!AL780+D_普通掉落表!AH780+D_普通掉落表!AD780+D_普通掉落表!Z780+D_普通掉落表!V780+D_普通掉落表!R780+D_普通掉落表!N780+D_普通掉落表!J780)/10000,1)</f>
        <v>0</v>
      </c>
    </row>
    <row r="469" spans="1:20" x14ac:dyDescent="0.15">
      <c r="A469">
        <f t="shared" si="64"/>
        <v>511102</v>
      </c>
      <c r="B469" t="s">
        <v>271</v>
      </c>
      <c r="D469">
        <v>0</v>
      </c>
      <c r="E469">
        <f>ROUND(VLOOKUP(A469,[6]D_远征奖励!$D:$G,4,FALSE)*0.9,0)</f>
        <v>17388</v>
      </c>
      <c r="F469">
        <f>ROUND(VLOOKUP(A469,[6]D_远征奖励!$D:$G,4,FALSE)*1,0)</f>
        <v>19320</v>
      </c>
      <c r="G469">
        <v>0</v>
      </c>
      <c r="H469">
        <v>0</v>
      </c>
      <c r="I469">
        <f>ROUND([5]命币的投放!$H164,0)</f>
        <v>9135</v>
      </c>
      <c r="J469">
        <v>0</v>
      </c>
      <c r="K469" s="8">
        <v>2</v>
      </c>
      <c r="L469">
        <f t="shared" si="66"/>
        <v>101102</v>
      </c>
      <c r="M469" s="8">
        <f t="shared" si="65"/>
        <v>701102</v>
      </c>
      <c r="Q469">
        <f>(D_普通掉落表!AG781*D_普通掉落表!AH781)/10000/IF((D_普通掉落表!AL786+D_普通掉落表!AH781+D_普通掉落表!AD781+D_普通掉落表!Z781+D_普通掉落表!V781+D_普通掉落表!R781+D_普通掉落表!N781+D_普通掉落表!J781)/10000&gt;K469,(D_普通掉落表!AL786+D_普通掉落表!AH781+D_普通掉落表!AD781+D_普通掉落表!Z781+D_普通掉落表!V781+D_普通掉落表!R781+D_普通掉落表!N781+D_普通掉落表!J781)/10000,1)</f>
        <v>0</v>
      </c>
      <c r="T469">
        <f>(D_普通掉落表!AG781*D_普通掉落表!AL781)/10000/IF((D_普通掉落表!AL781+D_普通掉落表!AH781+D_普通掉落表!AD781+D_普通掉落表!Z781+D_普通掉落表!V781+D_普通掉落表!R781+D_普通掉落表!N781+D_普通掉落表!J781)/10000&gt;K469,(D_普通掉落表!AL781+D_普通掉落表!AH781+D_普通掉落表!AD781+D_普通掉落表!Z781+D_普通掉落表!V781+D_普通掉落表!R781+D_普通掉落表!N781+D_普通掉落表!J781)/10000,1)</f>
        <v>0</v>
      </c>
    </row>
    <row r="470" spans="1:20" x14ac:dyDescent="0.15">
      <c r="A470">
        <f t="shared" si="64"/>
        <v>511103</v>
      </c>
      <c r="B470" t="s">
        <v>272</v>
      </c>
      <c r="D470">
        <v>0</v>
      </c>
      <c r="E470">
        <f>ROUND(VLOOKUP(A470,[6]D_远征奖励!$D:$G,4,FALSE)*0.9,0)</f>
        <v>19562</v>
      </c>
      <c r="F470">
        <f>ROUND(VLOOKUP(A470,[6]D_远征奖励!$D:$G,4,FALSE)*1,0)</f>
        <v>21735</v>
      </c>
      <c r="G470">
        <v>0</v>
      </c>
      <c r="H470">
        <v>0</v>
      </c>
      <c r="I470">
        <f>ROUND([5]命币的投放!$H165,0)</f>
        <v>12617</v>
      </c>
      <c r="J470">
        <v>0</v>
      </c>
      <c r="K470" s="8">
        <v>3</v>
      </c>
      <c r="L470">
        <f t="shared" si="66"/>
        <v>101103</v>
      </c>
      <c r="M470" s="8">
        <f t="shared" si="65"/>
        <v>701103</v>
      </c>
      <c r="Q470">
        <f>(D_普通掉落表!AG782*D_普通掉落表!AH782)/10000/IF((D_普通掉落表!AL787+D_普通掉落表!AH782+D_普通掉落表!AD782+D_普通掉落表!Z782+D_普通掉落表!V782+D_普通掉落表!R782+D_普通掉落表!N782+D_普通掉落表!J782)/10000&gt;K470,(D_普通掉落表!AL787+D_普通掉落表!AH782+D_普通掉落表!AD782+D_普通掉落表!Z782+D_普通掉落表!V782+D_普通掉落表!R782+D_普通掉落表!N782+D_普通掉落表!J782)/10000,1)</f>
        <v>0</v>
      </c>
      <c r="T470">
        <f>(D_普通掉落表!AG782*D_普通掉落表!AL782)/10000/IF((D_普通掉落表!AL782+D_普通掉落表!AH782+D_普通掉落表!AD782+D_普通掉落表!Z782+D_普通掉落表!V782+D_普通掉落表!R782+D_普通掉落表!N782+D_普通掉落表!J782)/10000&gt;K470,(D_普通掉落表!AL782+D_普通掉落表!AH782+D_普通掉落表!AD782+D_普通掉落表!Z782+D_普通掉落表!V782+D_普通掉落表!R782+D_普通掉落表!N782+D_普通掉落表!J782)/10000,1)</f>
        <v>0</v>
      </c>
    </row>
    <row r="471" spans="1:20" x14ac:dyDescent="0.15">
      <c r="A471">
        <f t="shared" si="64"/>
        <v>511104</v>
      </c>
      <c r="B471" t="s">
        <v>273</v>
      </c>
      <c r="D471">
        <v>0</v>
      </c>
      <c r="E471">
        <f>ROUND(VLOOKUP(A471,[6]D_远征奖励!$D:$G,4,FALSE)*0.9,0)</f>
        <v>17388</v>
      </c>
      <c r="F471">
        <f>ROUND(VLOOKUP(A471,[6]D_远征奖励!$D:$G,4,FALSE)*1,0)</f>
        <v>19320</v>
      </c>
      <c r="G471">
        <v>0</v>
      </c>
      <c r="H471">
        <v>0</v>
      </c>
      <c r="I471">
        <f>ROUND([5]命币的投放!$H166,0)</f>
        <v>8921</v>
      </c>
      <c r="J471">
        <v>0</v>
      </c>
      <c r="K471" s="8">
        <v>2</v>
      </c>
      <c r="L471">
        <f t="shared" si="66"/>
        <v>101104</v>
      </c>
      <c r="M471" s="8">
        <f t="shared" si="65"/>
        <v>701104</v>
      </c>
      <c r="Q471">
        <f>(D_普通掉落表!AG783*D_普通掉落表!AH783)/10000/IF((D_普通掉落表!AL788+D_普通掉落表!AH783+D_普通掉落表!AD783+D_普通掉落表!Z783+D_普通掉落表!V783+D_普通掉落表!R783+D_普通掉落表!N783+D_普通掉落表!J783)/10000&gt;K471,(D_普通掉落表!AL788+D_普通掉落表!AH783+D_普通掉落表!AD783+D_普通掉落表!Z783+D_普通掉落表!V783+D_普通掉落表!R783+D_普通掉落表!N783+D_普通掉落表!J783)/10000,1)</f>
        <v>0</v>
      </c>
      <c r="T471">
        <f>(D_普通掉落表!AG783*D_普通掉落表!AL783)/10000/IF((D_普通掉落表!AL783+D_普通掉落表!AH783+D_普通掉落表!AD783+D_普通掉落表!Z783+D_普通掉落表!V783+D_普通掉落表!R783+D_普通掉落表!N783+D_普通掉落表!J783)/10000&gt;K471,(D_普通掉落表!AL783+D_普通掉落表!AH783+D_普通掉落表!AD783+D_普通掉落表!Z783+D_普通掉落表!V783+D_普通掉落表!R783+D_普通掉落表!N783+D_普通掉落表!J783)/10000,1)</f>
        <v>0</v>
      </c>
    </row>
    <row r="472" spans="1:20" x14ac:dyDescent="0.15">
      <c r="A472">
        <f t="shared" si="64"/>
        <v>511105</v>
      </c>
      <c r="B472" t="s">
        <v>274</v>
      </c>
      <c r="D472">
        <v>0</v>
      </c>
      <c r="E472">
        <f>ROUND(VLOOKUP(A472,[6]D_远征奖励!$D:$G,4,FALSE)*0.9,0)</f>
        <v>19562</v>
      </c>
      <c r="F472">
        <f>ROUND(VLOOKUP(A472,[6]D_远征奖励!$D:$G,4,FALSE)*1,0)</f>
        <v>21735</v>
      </c>
      <c r="G472">
        <v>0</v>
      </c>
      <c r="H472">
        <v>0</v>
      </c>
      <c r="I472">
        <f>ROUND([5]命币的投放!$H167,0)</f>
        <v>10123</v>
      </c>
      <c r="J472">
        <v>0</v>
      </c>
      <c r="K472" s="8">
        <v>2</v>
      </c>
      <c r="L472">
        <f t="shared" si="66"/>
        <v>101105</v>
      </c>
      <c r="M472" s="8">
        <f t="shared" si="65"/>
        <v>701105</v>
      </c>
      <c r="Q472">
        <f>(D_普通掉落表!AG784*D_普通掉落表!AH784)/10000/IF((D_普通掉落表!AL789+D_普通掉落表!AH784+D_普通掉落表!AD784+D_普通掉落表!Z784+D_普通掉落表!V784+D_普通掉落表!R784+D_普通掉落表!N784+D_普通掉落表!J784)/10000&gt;K472,(D_普通掉落表!AL789+D_普通掉落表!AH784+D_普通掉落表!AD784+D_普通掉落表!Z784+D_普通掉落表!V784+D_普通掉落表!R784+D_普通掉落表!N784+D_普通掉落表!J784)/10000,1)</f>
        <v>0</v>
      </c>
      <c r="T472">
        <f>(D_普通掉落表!AG784*D_普通掉落表!AL784)/10000/IF((D_普通掉落表!AL784+D_普通掉落表!AH784+D_普通掉落表!AD784+D_普通掉落表!Z784+D_普通掉落表!V784+D_普通掉落表!R784+D_普通掉落表!N784+D_普通掉落表!J784)/10000&gt;K472,(D_普通掉落表!AL784+D_普通掉落表!AH784+D_普通掉落表!AD784+D_普通掉落表!Z784+D_普通掉落表!V784+D_普通掉落表!R784+D_普通掉落表!N784+D_普通掉落表!J784)/10000,1)</f>
        <v>0</v>
      </c>
    </row>
    <row r="473" spans="1:20" x14ac:dyDescent="0.15">
      <c r="A473">
        <f t="shared" si="64"/>
        <v>511106</v>
      </c>
      <c r="B473" t="s">
        <v>275</v>
      </c>
      <c r="D473">
        <v>0</v>
      </c>
      <c r="E473">
        <f>ROUND(VLOOKUP(A473,[6]D_远征奖励!$D:$G,4,FALSE)*0.9,0)</f>
        <v>22007</v>
      </c>
      <c r="F473">
        <f>ROUND(VLOOKUP(A473,[6]D_远征奖励!$D:$G,4,FALSE)*1,0)</f>
        <v>24452</v>
      </c>
      <c r="G473">
        <v>0</v>
      </c>
      <c r="H473">
        <v>0</v>
      </c>
      <c r="I473">
        <f>ROUND([5]命币的投放!$H168,0)</f>
        <v>14057</v>
      </c>
      <c r="J473">
        <v>0</v>
      </c>
      <c r="K473" s="8">
        <v>3</v>
      </c>
      <c r="L473">
        <f t="shared" si="66"/>
        <v>101106</v>
      </c>
      <c r="M473" s="8">
        <f t="shared" si="65"/>
        <v>701106</v>
      </c>
      <c r="Q473">
        <f>(D_普通掉落表!AG785*D_普通掉落表!AH785)/10000/IF((D_普通掉落表!AL790+D_普通掉落表!AH785+D_普通掉落表!AD785+D_普通掉落表!Z785+D_普通掉落表!V785+D_普通掉落表!R785+D_普通掉落表!N785+D_普通掉落表!J785)/10000&gt;K473,(D_普通掉落表!AL790+D_普通掉落表!AH785+D_普通掉落表!AD785+D_普通掉落表!Z785+D_普通掉落表!V785+D_普通掉落表!R785+D_普通掉落表!N785+D_普通掉落表!J785)/10000,1)</f>
        <v>0</v>
      </c>
      <c r="T473">
        <f>(D_普通掉落表!AG785*D_普通掉落表!AL785)/10000/IF((D_普通掉落表!AL785+D_普通掉落表!AH785+D_普通掉落表!AD785+D_普通掉落表!Z785+D_普通掉落表!V785+D_普通掉落表!R785+D_普通掉落表!N785+D_普通掉落表!J785)/10000&gt;K473,(D_普通掉落表!AL785+D_普通掉落表!AH785+D_普通掉落表!AD785+D_普通掉落表!Z785+D_普通掉落表!V785+D_普通掉落表!R785+D_普通掉落表!N785+D_普通掉落表!J785)/10000,1)</f>
        <v>0</v>
      </c>
    </row>
    <row r="474" spans="1:20" x14ac:dyDescent="0.15">
      <c r="A474">
        <f t="shared" si="64"/>
        <v>511107</v>
      </c>
      <c r="B474" t="s">
        <v>276</v>
      </c>
      <c r="D474">
        <v>0</v>
      </c>
      <c r="E474">
        <f>ROUND(VLOOKUP(A474,[6]D_远征奖励!$D:$G,4,FALSE)*0.9,0)</f>
        <v>19562</v>
      </c>
      <c r="F474">
        <f>ROUND(VLOOKUP(A474,[6]D_远征奖励!$D:$G,4,FALSE)*1,0)</f>
        <v>21735</v>
      </c>
      <c r="G474">
        <v>0</v>
      </c>
      <c r="H474">
        <v>0</v>
      </c>
      <c r="I474">
        <f>ROUND([5]命币的投放!$H169,0)</f>
        <v>10071</v>
      </c>
      <c r="J474">
        <v>0</v>
      </c>
      <c r="K474" s="8">
        <v>2</v>
      </c>
      <c r="L474">
        <f t="shared" si="66"/>
        <v>101107</v>
      </c>
      <c r="M474" s="8">
        <f t="shared" si="65"/>
        <v>701107</v>
      </c>
      <c r="Q474">
        <f>(D_普通掉落表!AG786*D_普通掉落表!AH786)/10000/IF((D_普通掉落表!AL791+D_普通掉落表!AH786+D_普通掉落表!AD786+D_普通掉落表!Z786+D_普通掉落表!V786+D_普通掉落表!R786+D_普通掉落表!N786+D_普通掉落表!J786)/10000&gt;K474,(D_普通掉落表!AL791+D_普通掉落表!AH786+D_普通掉落表!AD786+D_普通掉落表!Z786+D_普通掉落表!V786+D_普通掉落表!R786+D_普通掉落表!N786+D_普通掉落表!J786)/10000,1)</f>
        <v>0</v>
      </c>
      <c r="T474">
        <f>(D_普通掉落表!AG786*D_普通掉落表!AL786)/10000/IF((D_普通掉落表!AL786+D_普通掉落表!AH786+D_普通掉落表!AD786+D_普通掉落表!Z786+D_普通掉落表!V786+D_普通掉落表!R786+D_普通掉落表!N786+D_普通掉落表!J786)/10000&gt;K474,(D_普通掉落表!AL786+D_普通掉落表!AH786+D_普通掉落表!AD786+D_普通掉落表!Z786+D_普通掉落表!V786+D_普通掉落表!R786+D_普通掉落表!N786+D_普通掉落表!J786)/10000,1)</f>
        <v>0</v>
      </c>
    </row>
    <row r="475" spans="1:20" x14ac:dyDescent="0.15">
      <c r="A475">
        <f t="shared" si="64"/>
        <v>511108</v>
      </c>
      <c r="B475" t="s">
        <v>277</v>
      </c>
      <c r="D475">
        <v>0</v>
      </c>
      <c r="E475">
        <f>ROUND(VLOOKUP(A475,[6]D_远征奖励!$D:$G,4,FALSE)*0.9,0)</f>
        <v>22007</v>
      </c>
      <c r="F475">
        <f>ROUND(VLOOKUP(A475,[6]D_远征奖励!$D:$G,4,FALSE)*1,0)</f>
        <v>24452</v>
      </c>
      <c r="G475">
        <v>0</v>
      </c>
      <c r="H475">
        <v>0</v>
      </c>
      <c r="I475">
        <f>ROUND([5]命币的投放!$H170,0)</f>
        <v>11126</v>
      </c>
      <c r="J475">
        <v>0</v>
      </c>
      <c r="K475" s="8">
        <v>2</v>
      </c>
      <c r="L475">
        <f t="shared" si="66"/>
        <v>101108</v>
      </c>
      <c r="M475" s="8">
        <f t="shared" si="65"/>
        <v>701108</v>
      </c>
      <c r="Q475">
        <f>(D_普通掉落表!AG787*D_普通掉落表!AH787)/10000/IF((D_普通掉落表!AL792+D_普通掉落表!AH787+D_普通掉落表!AD787+D_普通掉落表!Z787+D_普通掉落表!V787+D_普通掉落表!R787+D_普通掉落表!N787+D_普通掉落表!J787)/10000&gt;K475,(D_普通掉落表!AL792+D_普通掉落表!AH787+D_普通掉落表!AD787+D_普通掉落表!Z787+D_普通掉落表!V787+D_普通掉落表!R787+D_普通掉落表!N787+D_普通掉落表!J787)/10000,1)</f>
        <v>0</v>
      </c>
      <c r="T475">
        <f>(D_普通掉落表!AG787*D_普通掉落表!AL787)/10000/IF((D_普通掉落表!AL787+D_普通掉落表!AH787+D_普通掉落表!AD787+D_普通掉落表!Z787+D_普通掉落表!V787+D_普通掉落表!R787+D_普通掉落表!N787+D_普通掉落表!J787)/10000&gt;K475,(D_普通掉落表!AL787+D_普通掉落表!AH787+D_普通掉落表!AD787+D_普通掉落表!Z787+D_普通掉落表!V787+D_普通掉落表!R787+D_普通掉落表!N787+D_普通掉落表!J787)/10000,1)</f>
        <v>0</v>
      </c>
    </row>
    <row r="476" spans="1:20" x14ac:dyDescent="0.15">
      <c r="A476">
        <f t="shared" si="64"/>
        <v>511109</v>
      </c>
      <c r="B476" t="s">
        <v>278</v>
      </c>
      <c r="D476">
        <v>0</v>
      </c>
      <c r="E476">
        <f>ROUND(VLOOKUP(A476,[6]D_远征奖励!$D:$G,4,FALSE)*0.9,0)</f>
        <v>24758</v>
      </c>
      <c r="F476">
        <f>ROUND(VLOOKUP(A476,[6]D_远征奖励!$D:$G,4,FALSE)*1,0)</f>
        <v>27509</v>
      </c>
      <c r="G476">
        <v>0</v>
      </c>
      <c r="H476">
        <v>0</v>
      </c>
      <c r="I476">
        <f>ROUND([5]命币的投放!$H171,0)</f>
        <v>15540</v>
      </c>
      <c r="J476">
        <v>0</v>
      </c>
      <c r="K476" s="8">
        <v>4</v>
      </c>
      <c r="L476">
        <f t="shared" si="66"/>
        <v>101109</v>
      </c>
      <c r="M476" s="8">
        <f t="shared" si="65"/>
        <v>701109</v>
      </c>
      <c r="Q476">
        <f>(D_普通掉落表!AG788*D_普通掉落表!AH788)/10000/IF((D_普通掉落表!AL793+D_普通掉落表!AH788+D_普通掉落表!AD788+D_普通掉落表!Z788+D_普通掉落表!V788+D_普通掉落表!R788+D_普通掉落表!N788+D_普通掉落表!J788)/10000&gt;K476,(D_普通掉落表!AL793+D_普通掉落表!AH788+D_普通掉落表!AD788+D_普通掉落表!Z788+D_普通掉落表!V788+D_普通掉落表!R788+D_普通掉落表!N788+D_普通掉落表!J788)/10000,1)</f>
        <v>0</v>
      </c>
      <c r="T476">
        <f>(D_普通掉落表!AG788*D_普通掉落表!AL788)/10000/IF((D_普通掉落表!AL788+D_普通掉落表!AH788+D_普通掉落表!AD788+D_普通掉落表!Z788+D_普通掉落表!V788+D_普通掉落表!R788+D_普通掉落表!N788+D_普通掉落表!J788)/10000&gt;K476,(D_普通掉落表!AL788+D_普通掉落表!AH788+D_普通掉落表!AD788+D_普通掉落表!Z788+D_普通掉落表!V788+D_普通掉落表!R788+D_普通掉落表!N788+D_普通掉落表!J788)/10000,1)</f>
        <v>0</v>
      </c>
    </row>
    <row r="477" spans="1:20" x14ac:dyDescent="0.15">
      <c r="A477">
        <f t="shared" si="64"/>
        <v>511110</v>
      </c>
      <c r="B477" t="s">
        <v>279</v>
      </c>
      <c r="D477">
        <v>0</v>
      </c>
      <c r="E477">
        <f>ROUND(VLOOKUP(A477,[6]D_远征奖励!$D:$G,4,FALSE)*0.9,0)</f>
        <v>22007</v>
      </c>
      <c r="F477">
        <f>ROUND(VLOOKUP(A477,[6]D_远征奖励!$D:$G,4,FALSE)*1,0)</f>
        <v>24452</v>
      </c>
      <c r="G477">
        <v>0</v>
      </c>
      <c r="H477">
        <v>0</v>
      </c>
      <c r="I477">
        <f>ROUND([5]命币的投放!$H172,0)</f>
        <v>11279</v>
      </c>
      <c r="J477">
        <v>0</v>
      </c>
      <c r="K477" s="8">
        <v>3</v>
      </c>
      <c r="L477">
        <f t="shared" si="66"/>
        <v>101110</v>
      </c>
      <c r="M477" s="8">
        <f t="shared" si="65"/>
        <v>701110</v>
      </c>
      <c r="Q477">
        <f>(D_普通掉落表!AG789*D_普通掉落表!AH789)/10000/IF((D_普通掉落表!AL794+D_普通掉落表!AH789+D_普通掉落表!AD789+D_普通掉落表!Z789+D_普通掉落表!V789+D_普通掉落表!R789+D_普通掉落表!N789+D_普通掉落表!J789)/10000&gt;K477,(D_普通掉落表!AL794+D_普通掉落表!AH789+D_普通掉落表!AD789+D_普通掉落表!Z789+D_普通掉落表!V789+D_普通掉落表!R789+D_普通掉落表!N789+D_普通掉落表!J789)/10000,1)</f>
        <v>0</v>
      </c>
      <c r="T477">
        <f>(D_普通掉落表!AG789*D_普通掉落表!AL789)/10000/IF((D_普通掉落表!AL789+D_普通掉落表!AH789+D_普通掉落表!AD789+D_普通掉落表!Z789+D_普通掉落表!V789+D_普通掉落表!R789+D_普通掉落表!N789+D_普通掉落表!J789)/10000&gt;K477,(D_普通掉落表!AL789+D_普通掉落表!AH789+D_普通掉落表!AD789+D_普通掉落表!Z789+D_普通掉落表!V789+D_普通掉落表!R789+D_普通掉落表!N789+D_普通掉落表!J789)/10000,1)</f>
        <v>0</v>
      </c>
    </row>
    <row r="478" spans="1:20" x14ac:dyDescent="0.15">
      <c r="A478">
        <f t="shared" si="64"/>
        <v>511111</v>
      </c>
      <c r="B478" t="s">
        <v>280</v>
      </c>
      <c r="D478">
        <v>0</v>
      </c>
      <c r="E478">
        <f>ROUND(VLOOKUP(A478,[6]D_远征奖励!$D:$G,4,FALSE)*0.9,0)</f>
        <v>24758</v>
      </c>
      <c r="F478">
        <f>ROUND(VLOOKUP(A478,[6]D_远征奖励!$D:$G,4,FALSE)*1,0)</f>
        <v>27509</v>
      </c>
      <c r="G478">
        <v>0</v>
      </c>
      <c r="H478">
        <v>0</v>
      </c>
      <c r="I478">
        <f>ROUND([5]命币的投放!$H173,0)</f>
        <v>12145</v>
      </c>
      <c r="J478">
        <v>0</v>
      </c>
      <c r="K478" s="8">
        <v>3</v>
      </c>
      <c r="L478">
        <f t="shared" si="66"/>
        <v>101111</v>
      </c>
      <c r="M478" s="8">
        <f t="shared" si="65"/>
        <v>701111</v>
      </c>
      <c r="Q478">
        <f>(D_普通掉落表!AG790*D_普通掉落表!AH790)/10000/IF((D_普通掉落表!AL795+D_普通掉落表!AH790+D_普通掉落表!AD790+D_普通掉落表!Z790+D_普通掉落表!V790+D_普通掉落表!R790+D_普通掉落表!N790+D_普通掉落表!J790)/10000&gt;K478,(D_普通掉落表!AL795+D_普通掉落表!AH790+D_普通掉落表!AD790+D_普通掉落表!Z790+D_普通掉落表!V790+D_普通掉落表!R790+D_普通掉落表!N790+D_普通掉落表!J790)/10000,1)</f>
        <v>0</v>
      </c>
      <c r="T478">
        <f>(D_普通掉落表!AG790*D_普通掉落表!AL790)/10000/IF((D_普通掉落表!AL790+D_普通掉落表!AH790+D_普通掉落表!AD790+D_普通掉落表!Z790+D_普通掉落表!V790+D_普通掉落表!R790+D_普通掉落表!N790+D_普通掉落表!J790)/10000&gt;K478,(D_普通掉落表!AL790+D_普通掉落表!AH790+D_普通掉落表!AD790+D_普通掉落表!Z790+D_普通掉落表!V790+D_普通掉落表!R790+D_普通掉落表!N790+D_普通掉落表!J790)/10000,1)</f>
        <v>0</v>
      </c>
    </row>
    <row r="479" spans="1:20" x14ac:dyDescent="0.15">
      <c r="A479">
        <f t="shared" si="64"/>
        <v>511112</v>
      </c>
      <c r="B479" t="s">
        <v>281</v>
      </c>
      <c r="D479">
        <v>0</v>
      </c>
      <c r="E479">
        <f>ROUND(VLOOKUP(A479,[6]D_远征奖励!$D:$G,4,FALSE)*0.9,0)</f>
        <v>27853</v>
      </c>
      <c r="F479">
        <f>ROUND(VLOOKUP(A479,[6]D_远征奖励!$D:$G,4,FALSE)*1,0)</f>
        <v>30948</v>
      </c>
      <c r="G479">
        <v>0</v>
      </c>
      <c r="H479">
        <v>0</v>
      </c>
      <c r="I479">
        <f>ROUND([5]命币的投放!$H174,0)</f>
        <v>17067</v>
      </c>
      <c r="J479">
        <v>0</v>
      </c>
      <c r="K479" s="8">
        <v>4</v>
      </c>
      <c r="L479">
        <f t="shared" si="66"/>
        <v>101112</v>
      </c>
      <c r="M479" s="8">
        <f t="shared" si="65"/>
        <v>701112</v>
      </c>
      <c r="Q479">
        <f>(D_普通掉落表!AG791*D_普通掉落表!AH791)/10000/IF((D_普通掉落表!AL796+D_普通掉落表!AH791+D_普通掉落表!AD791+D_普通掉落表!Z791+D_普通掉落表!V791+D_普通掉落表!R791+D_普通掉落表!N791+D_普通掉落表!J791)/10000&gt;K479,(D_普通掉落表!AL796+D_普通掉落表!AH791+D_普通掉落表!AD791+D_普通掉落表!Z791+D_普通掉落表!V791+D_普通掉落表!R791+D_普通掉落表!N791+D_普通掉落表!J791)/10000,1)</f>
        <v>0</v>
      </c>
      <c r="T479">
        <f>(D_普通掉落表!AG791*D_普通掉落表!AL791)/10000/IF((D_普通掉落表!AL791+D_普通掉落表!AH791+D_普通掉落表!AD791+D_普通掉落表!Z791+D_普通掉落表!V791+D_普通掉落表!R791+D_普通掉落表!N791+D_普通掉落表!J791)/10000&gt;K479,(D_普通掉落表!AL791+D_普通掉落表!AH791+D_普通掉落表!AD791+D_普通掉落表!Z791+D_普通掉落表!V791+D_普通掉落表!R791+D_普通掉落表!N791+D_普通掉落表!J791)/10000,1)</f>
        <v>0</v>
      </c>
    </row>
    <row r="480" spans="1:20" x14ac:dyDescent="0.15">
      <c r="A480">
        <f t="shared" si="64"/>
        <v>511113</v>
      </c>
      <c r="B480" t="s">
        <v>282</v>
      </c>
      <c r="D480">
        <v>0</v>
      </c>
      <c r="E480">
        <f>ROUND(VLOOKUP(A480,[6]D_远征奖励!$D:$G,4,FALSE)*0.9,0)</f>
        <v>24758</v>
      </c>
      <c r="F480">
        <f>ROUND(VLOOKUP(A480,[6]D_远征奖励!$D:$G,4,FALSE)*1,0)</f>
        <v>27509</v>
      </c>
      <c r="G480">
        <v>0</v>
      </c>
      <c r="H480">
        <v>0</v>
      </c>
      <c r="I480">
        <f>ROUND([5]命币的投放!$H175,0)</f>
        <v>12547</v>
      </c>
      <c r="J480">
        <v>0</v>
      </c>
      <c r="K480" s="8">
        <v>3</v>
      </c>
      <c r="L480">
        <f t="shared" si="66"/>
        <v>101113</v>
      </c>
      <c r="M480" s="8">
        <f t="shared" si="65"/>
        <v>701113</v>
      </c>
      <c r="Q480">
        <f>(D_普通掉落表!AG792*D_普通掉落表!AH792)/10000/IF((D_普通掉落表!AL797+D_普通掉落表!AH792+D_普通掉落表!AD792+D_普通掉落表!Z792+D_普通掉落表!V792+D_普通掉落表!R792+D_普通掉落表!N792+D_普通掉落表!J792)/10000&gt;K480,(D_普通掉落表!AL797+D_普通掉落表!AH792+D_普通掉落表!AD792+D_普通掉落表!Z792+D_普通掉落表!V792+D_普通掉落表!R792+D_普通掉落表!N792+D_普通掉落表!J792)/10000,1)</f>
        <v>0</v>
      </c>
      <c r="T480">
        <f>(D_普通掉落表!AG792*D_普通掉落表!AL792)/10000/IF((D_普通掉落表!AL792+D_普通掉落表!AH792+D_普通掉落表!AD792+D_普通掉落表!Z792+D_普通掉落表!V792+D_普通掉落表!R792+D_普通掉落表!N792+D_普通掉落表!J792)/10000&gt;K480,(D_普通掉落表!AL792+D_普通掉落表!AH792+D_普通掉落表!AD792+D_普通掉落表!Z792+D_普通掉落表!V792+D_普通掉落表!R792+D_普通掉落表!N792+D_普通掉落表!J792)/10000,1)</f>
        <v>0</v>
      </c>
    </row>
    <row r="481" spans="1:20" x14ac:dyDescent="0.15">
      <c r="A481">
        <f t="shared" si="64"/>
        <v>511114</v>
      </c>
      <c r="B481" t="s">
        <v>283</v>
      </c>
      <c r="D481">
        <v>0</v>
      </c>
      <c r="E481">
        <f>ROUND(VLOOKUP(A481,[6]D_远征奖励!$D:$G,4,FALSE)*0.9,0)</f>
        <v>27853</v>
      </c>
      <c r="F481">
        <f>ROUND(VLOOKUP(A481,[6]D_远征奖励!$D:$G,4,FALSE)*1,0)</f>
        <v>30948</v>
      </c>
      <c r="G481">
        <v>0</v>
      </c>
      <c r="H481">
        <v>0</v>
      </c>
      <c r="I481">
        <f>ROUND([5]命币的投放!$H176,0)</f>
        <v>13179</v>
      </c>
      <c r="J481">
        <v>0</v>
      </c>
      <c r="K481" s="8">
        <v>3</v>
      </c>
      <c r="L481">
        <f t="shared" si="66"/>
        <v>101114</v>
      </c>
      <c r="M481" s="8">
        <f t="shared" si="65"/>
        <v>701114</v>
      </c>
      <c r="Q481">
        <f>(D_普通掉落表!AG793*D_普通掉落表!AH793)/10000/IF((D_普通掉落表!AL798+D_普通掉落表!AH793+D_普通掉落表!AD793+D_普通掉落表!Z793+D_普通掉落表!V793+D_普通掉落表!R793+D_普通掉落表!N793+D_普通掉落表!J793)/10000&gt;K481,(D_普通掉落表!AL798+D_普通掉落表!AH793+D_普通掉落表!AD793+D_普通掉落表!Z793+D_普通掉落表!V793+D_普通掉落表!R793+D_普通掉落表!N793+D_普通掉落表!J793)/10000,1)</f>
        <v>0</v>
      </c>
      <c r="T481">
        <f>(D_普通掉落表!AG793*D_普通掉落表!AL793)/10000/IF((D_普通掉落表!AL793+D_普通掉落表!AH793+D_普通掉落表!AD793+D_普通掉落表!Z793+D_普通掉落表!V793+D_普通掉落表!R793+D_普通掉落表!N793+D_普通掉落表!J793)/10000&gt;K481,(D_普通掉落表!AL793+D_普通掉落表!AH793+D_普通掉落表!AD793+D_普通掉落表!Z793+D_普通掉落表!V793+D_普通掉落表!R793+D_普通掉落表!N793+D_普通掉落表!J793)/10000,1)</f>
        <v>0</v>
      </c>
    </row>
    <row r="482" spans="1:20" x14ac:dyDescent="0.15">
      <c r="A482">
        <f t="shared" si="64"/>
        <v>511115</v>
      </c>
      <c r="B482" t="s">
        <v>284</v>
      </c>
      <c r="D482">
        <v>0</v>
      </c>
      <c r="E482">
        <f>ROUND(VLOOKUP(A482,[6]D_远征奖励!$D:$G,4,FALSE)*0.9,0)</f>
        <v>31334</v>
      </c>
      <c r="F482">
        <f>ROUND(VLOOKUP(A482,[6]D_远征奖励!$D:$G,4,FALSE)*1,0)</f>
        <v>34816</v>
      </c>
      <c r="G482">
        <v>0</v>
      </c>
      <c r="H482">
        <v>0</v>
      </c>
      <c r="I482">
        <f>ROUND([5]命币的投放!$H177,0)</f>
        <v>18787</v>
      </c>
      <c r="J482">
        <v>0</v>
      </c>
      <c r="K482" s="8">
        <v>6</v>
      </c>
      <c r="L482">
        <f t="shared" si="66"/>
        <v>101115</v>
      </c>
      <c r="M482" s="8">
        <f t="shared" ref="M482" si="67">M467+100</f>
        <v>701115</v>
      </c>
      <c r="Q482">
        <v>0</v>
      </c>
      <c r="T482">
        <f>(D_普通掉落表!AG794*D_普通掉落表!AH794)/10000/IF((D_普通掉落表!AL799+D_普通掉落表!AH794+D_普通掉落表!AD794+D_普通掉落表!Z794+D_普通掉落表!V794+D_普通掉落表!R794+D_普通掉落表!N794+D_普通掉落表!J794)/10000&gt;K482,(D_普通掉落表!AL799+D_普通掉落表!AH794+D_普通掉落表!AD794+D_普通掉落表!Z794+D_普通掉落表!V794+D_普通掉落表!R794+D_普通掉落表!N794+D_普通掉落表!J794)/10000,1)</f>
        <v>1</v>
      </c>
    </row>
  </sheetData>
  <phoneticPr fontId="1" type="noConversion"/>
  <conditionalFormatting sqref="K318:K48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A1048576">
    <cfRule type="duplicateValues" dxfId="14032" priority="23"/>
  </conditionalFormatting>
  <pageMargins left="0.7" right="0.7" top="0.75" bottom="0.75" header="0.3" footer="0.3"/>
  <pageSetup paperSize="9" orientation="portrait" horizont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U88"/>
  <sheetViews>
    <sheetView workbookViewId="0">
      <selection activeCell="F28" sqref="F28"/>
    </sheetView>
  </sheetViews>
  <sheetFormatPr defaultRowHeight="13.5" x14ac:dyDescent="0.15"/>
  <cols>
    <col min="3" max="4" width="15" bestFit="1" customWidth="1"/>
    <col min="5" max="9" width="14.125" bestFit="1" customWidth="1"/>
    <col min="10" max="10" width="6.25" bestFit="1" customWidth="1"/>
    <col min="11" max="11" width="6.5" bestFit="1" customWidth="1"/>
    <col min="12" max="14" width="15.25" bestFit="1" customWidth="1"/>
  </cols>
  <sheetData>
    <row r="1" spans="1:47" x14ac:dyDescent="0.15">
      <c r="A1" s="4" t="s">
        <v>0</v>
      </c>
      <c r="B1" s="4" t="s">
        <v>2</v>
      </c>
      <c r="C1" s="5" t="s">
        <v>3</v>
      </c>
      <c r="D1" s="5" t="s">
        <v>61</v>
      </c>
      <c r="E1" s="5" t="s">
        <v>14</v>
      </c>
      <c r="F1" s="5" t="s">
        <v>6</v>
      </c>
      <c r="G1" s="5" t="s">
        <v>15</v>
      </c>
      <c r="H1" s="5" t="s">
        <v>60</v>
      </c>
      <c r="I1" s="5" t="s">
        <v>7</v>
      </c>
      <c r="J1" s="5" t="s">
        <v>16</v>
      </c>
      <c r="K1" s="5" t="s">
        <v>17</v>
      </c>
      <c r="L1" s="5" t="s">
        <v>8</v>
      </c>
      <c r="M1" s="5" t="s">
        <v>18</v>
      </c>
      <c r="N1" s="5" t="s">
        <v>19</v>
      </c>
      <c r="O1" s="5" t="s">
        <v>9</v>
      </c>
      <c r="P1" s="5" t="s">
        <v>20</v>
      </c>
      <c r="Q1" s="5" t="s">
        <v>21</v>
      </c>
      <c r="R1" s="5" t="s">
        <v>22</v>
      </c>
      <c r="S1" s="5" t="s">
        <v>23</v>
      </c>
      <c r="T1" s="5" t="s">
        <v>24</v>
      </c>
      <c r="U1" s="5" t="s">
        <v>25</v>
      </c>
      <c r="V1" s="5" t="s">
        <v>26</v>
      </c>
      <c r="W1" s="5" t="s">
        <v>27</v>
      </c>
      <c r="X1" s="5" t="s">
        <v>28</v>
      </c>
      <c r="Y1" s="5" t="s">
        <v>29</v>
      </c>
      <c r="Z1" s="5" t="s">
        <v>30</v>
      </c>
      <c r="AA1" s="5" t="s">
        <v>31</v>
      </c>
      <c r="AB1" s="5" t="s">
        <v>32</v>
      </c>
      <c r="AC1" s="5" t="s">
        <v>33</v>
      </c>
      <c r="AD1" s="5" t="s">
        <v>34</v>
      </c>
      <c r="AE1" s="5" t="s">
        <v>35</v>
      </c>
      <c r="AF1" s="5" t="s">
        <v>36</v>
      </c>
      <c r="AG1" s="5" t="s">
        <v>37</v>
      </c>
      <c r="AH1" s="5" t="s">
        <v>38</v>
      </c>
      <c r="AI1" s="5" t="s">
        <v>39</v>
      </c>
      <c r="AJ1" s="5" t="s">
        <v>40</v>
      </c>
      <c r="AK1" s="5" t="s">
        <v>41</v>
      </c>
      <c r="AL1" s="5" t="s">
        <v>42</v>
      </c>
      <c r="AM1" s="5" t="s">
        <v>43</v>
      </c>
      <c r="AN1" s="5" t="s">
        <v>44</v>
      </c>
      <c r="AO1" s="5" t="s">
        <v>45</v>
      </c>
      <c r="AP1" s="5" t="s">
        <v>46</v>
      </c>
      <c r="AQ1" s="5" t="s">
        <v>47</v>
      </c>
      <c r="AR1" s="5" t="s">
        <v>48</v>
      </c>
      <c r="AS1" s="5" t="s">
        <v>49</v>
      </c>
      <c r="AT1" s="5" t="s">
        <v>50</v>
      </c>
      <c r="AU1" s="5" t="s">
        <v>51</v>
      </c>
    </row>
    <row r="4" spans="1:47" x14ac:dyDescent="0.15">
      <c r="E4" s="2"/>
      <c r="F4" s="2"/>
      <c r="G4" s="2"/>
      <c r="H4" s="2"/>
      <c r="I4" s="2"/>
      <c r="J4" s="2"/>
      <c r="K4" s="2"/>
      <c r="L4" s="2"/>
      <c r="M4" s="2"/>
      <c r="N4" s="2"/>
    </row>
    <row r="5" spans="1:47" x14ac:dyDescent="0.15">
      <c r="E5" s="2"/>
      <c r="F5" s="2"/>
      <c r="G5" s="2"/>
      <c r="H5" s="2"/>
      <c r="I5" s="2"/>
      <c r="J5" s="2"/>
      <c r="K5" s="2"/>
      <c r="L5" s="2"/>
      <c r="M5" s="2"/>
      <c r="N5" s="2"/>
    </row>
    <row r="6" spans="1:47" x14ac:dyDescent="0.15">
      <c r="E6" s="2"/>
      <c r="F6" s="2"/>
      <c r="G6" s="2"/>
      <c r="H6" s="2"/>
      <c r="I6" s="2"/>
      <c r="J6" s="2"/>
      <c r="K6" s="2"/>
      <c r="L6" s="2"/>
      <c r="M6" s="2"/>
      <c r="N6" s="2"/>
    </row>
    <row r="7" spans="1:47" x14ac:dyDescent="0.15">
      <c r="E7" s="2"/>
      <c r="F7" s="2"/>
      <c r="G7" s="2"/>
      <c r="H7" s="2"/>
      <c r="I7" s="2"/>
      <c r="J7" s="2"/>
      <c r="K7" s="2"/>
      <c r="L7" s="2"/>
      <c r="M7" s="2"/>
      <c r="N7" s="2"/>
    </row>
    <row r="8" spans="1:47" x14ac:dyDescent="0.15">
      <c r="E8" s="2"/>
      <c r="F8" s="2"/>
      <c r="G8" s="2"/>
      <c r="H8" s="2"/>
      <c r="I8" s="2"/>
      <c r="J8" s="2"/>
      <c r="K8" s="2"/>
      <c r="L8" s="2"/>
      <c r="M8" s="2"/>
      <c r="N8" s="2"/>
    </row>
    <row r="9" spans="1:47" x14ac:dyDescent="0.15">
      <c r="E9" s="2"/>
      <c r="F9" s="2"/>
      <c r="G9" s="2"/>
      <c r="H9" s="2"/>
      <c r="I9" s="2"/>
      <c r="J9" s="2"/>
      <c r="K9" s="2"/>
      <c r="L9" s="2"/>
      <c r="M9" s="2"/>
      <c r="N9" s="2"/>
    </row>
    <row r="10" spans="1:47" x14ac:dyDescent="0.15"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47" x14ac:dyDescent="0.15"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47" x14ac:dyDescent="0.15"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47" x14ac:dyDescent="0.15"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47" x14ac:dyDescent="0.15"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47" x14ac:dyDescent="0.15"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47" x14ac:dyDescent="0.15"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5:14" x14ac:dyDescent="0.15"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5:14" x14ac:dyDescent="0.15"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5:14" x14ac:dyDescent="0.15">
      <c r="E19" s="2"/>
      <c r="F19" s="2"/>
      <c r="G19" s="2"/>
      <c r="H19" s="2"/>
      <c r="I19" s="3"/>
      <c r="J19" s="2"/>
      <c r="K19" s="2"/>
      <c r="L19" s="2"/>
      <c r="M19" s="2"/>
      <c r="N19" s="2"/>
    </row>
    <row r="20" spans="5:14" x14ac:dyDescent="0.15">
      <c r="E20" s="2"/>
      <c r="F20" s="2"/>
      <c r="G20" s="2"/>
      <c r="H20" s="2"/>
      <c r="I20" s="3"/>
      <c r="J20" s="2"/>
      <c r="K20" s="2"/>
      <c r="L20" s="2"/>
      <c r="M20" s="2"/>
      <c r="N20" s="2"/>
    </row>
    <row r="21" spans="5:14" x14ac:dyDescent="0.15">
      <c r="E21" s="2"/>
      <c r="F21" s="2"/>
      <c r="G21" s="2"/>
      <c r="H21" s="2"/>
      <c r="I21" s="3"/>
      <c r="J21" s="2"/>
      <c r="K21" s="2"/>
      <c r="L21" s="2"/>
      <c r="M21" s="2"/>
      <c r="N21" s="2"/>
    </row>
    <row r="22" spans="5:14" x14ac:dyDescent="0.15">
      <c r="E22" s="2"/>
      <c r="F22" s="2"/>
      <c r="G22" s="2"/>
      <c r="H22" s="2"/>
      <c r="I22" s="3"/>
      <c r="J22" s="2"/>
      <c r="K22" s="2"/>
      <c r="L22" s="2"/>
      <c r="M22" s="2"/>
      <c r="N22" s="2"/>
    </row>
    <row r="23" spans="5:14" x14ac:dyDescent="0.15">
      <c r="E23" s="2"/>
      <c r="F23" s="2"/>
      <c r="G23" s="2"/>
      <c r="H23" s="2"/>
      <c r="I23" s="3"/>
      <c r="J23" s="2"/>
      <c r="K23" s="2"/>
      <c r="L23" s="2"/>
      <c r="M23" s="2"/>
      <c r="N23" s="2"/>
    </row>
    <row r="24" spans="5:14" x14ac:dyDescent="0.15">
      <c r="E24" s="2"/>
      <c r="F24" s="2"/>
      <c r="G24" s="2"/>
      <c r="H24" s="2"/>
      <c r="I24" s="3"/>
      <c r="J24" s="2"/>
      <c r="K24" s="2"/>
      <c r="L24" s="2"/>
      <c r="M24" s="2"/>
      <c r="N24" s="2"/>
    </row>
    <row r="25" spans="5:14" x14ac:dyDescent="0.15">
      <c r="E25" s="2"/>
      <c r="F25" s="2"/>
      <c r="G25" s="2"/>
      <c r="H25" s="2"/>
      <c r="I25" s="3"/>
      <c r="J25" s="2"/>
      <c r="K25" s="2"/>
      <c r="L25" s="2"/>
      <c r="M25" s="2"/>
      <c r="N25" s="2"/>
    </row>
    <row r="26" spans="5:14" x14ac:dyDescent="0.15">
      <c r="E26" s="2"/>
      <c r="F26" s="2"/>
      <c r="G26" s="2"/>
      <c r="H26" s="2"/>
      <c r="I26" s="3"/>
      <c r="J26" s="2"/>
      <c r="K26" s="2"/>
      <c r="L26" s="2"/>
      <c r="M26" s="2"/>
      <c r="N26" s="2"/>
    </row>
    <row r="27" spans="5:14" x14ac:dyDescent="0.15">
      <c r="E27" s="2"/>
      <c r="F27" s="2"/>
      <c r="G27" s="2"/>
      <c r="H27" s="2"/>
      <c r="I27" s="3"/>
      <c r="J27" s="2"/>
      <c r="K27" s="2"/>
      <c r="L27" s="2"/>
      <c r="M27" s="2"/>
      <c r="N27" s="2"/>
    </row>
    <row r="28" spans="5:14" x14ac:dyDescent="0.15">
      <c r="E28" s="2"/>
      <c r="F28" s="2"/>
      <c r="G28" s="2"/>
      <c r="H28" s="2"/>
      <c r="I28" s="3"/>
      <c r="J28" s="2"/>
      <c r="K28" s="2"/>
      <c r="L28" s="2"/>
      <c r="M28" s="2"/>
      <c r="N28" s="2"/>
    </row>
    <row r="29" spans="5:14" x14ac:dyDescent="0.15">
      <c r="E29" s="2"/>
      <c r="F29" s="2"/>
      <c r="G29" s="2"/>
      <c r="H29" s="2"/>
      <c r="I29" s="3"/>
      <c r="J29" s="2"/>
      <c r="K29" s="2"/>
      <c r="L29" s="2"/>
      <c r="M29" s="2"/>
      <c r="N29" s="2"/>
    </row>
    <row r="30" spans="5:14" x14ac:dyDescent="0.15">
      <c r="E30" s="2"/>
      <c r="F30" s="2"/>
      <c r="G30" s="2"/>
      <c r="H30" s="2"/>
      <c r="I30" s="3"/>
      <c r="J30" s="2"/>
      <c r="K30" s="2"/>
      <c r="L30" s="2"/>
      <c r="M30" s="2"/>
      <c r="N30" s="2"/>
    </row>
    <row r="31" spans="5:14" x14ac:dyDescent="0.15">
      <c r="E31" s="2"/>
      <c r="F31" s="2"/>
      <c r="G31" s="2"/>
      <c r="H31" s="2"/>
      <c r="I31" s="3"/>
      <c r="J31" s="2"/>
      <c r="K31" s="2"/>
      <c r="L31" s="2"/>
      <c r="M31" s="2"/>
      <c r="N31" s="2"/>
    </row>
    <row r="32" spans="5:14" x14ac:dyDescent="0.15">
      <c r="E32" s="2"/>
      <c r="F32" s="2"/>
      <c r="G32" s="2"/>
      <c r="H32" s="2"/>
      <c r="I32" s="3"/>
      <c r="J32" s="2"/>
      <c r="K32" s="2"/>
      <c r="L32" s="2"/>
      <c r="M32" s="2"/>
      <c r="N32" s="2"/>
    </row>
    <row r="33" spans="5:14" x14ac:dyDescent="0.15">
      <c r="E33" s="2"/>
      <c r="F33" s="2"/>
      <c r="G33" s="2"/>
      <c r="H33" s="2"/>
      <c r="I33" s="3"/>
      <c r="J33" s="2"/>
      <c r="K33" s="2"/>
      <c r="L33" s="2"/>
      <c r="M33" s="2"/>
      <c r="N33" s="2"/>
    </row>
    <row r="34" spans="5:14" x14ac:dyDescent="0.15">
      <c r="E34" s="2"/>
      <c r="F34" s="2"/>
      <c r="G34" s="2"/>
      <c r="H34" s="2"/>
      <c r="I34" s="3"/>
      <c r="J34" s="2"/>
      <c r="K34" s="2"/>
      <c r="L34" s="2"/>
      <c r="M34" s="2"/>
      <c r="N34" s="2"/>
    </row>
    <row r="35" spans="5:14" x14ac:dyDescent="0.15">
      <c r="E35" s="2"/>
      <c r="F35" s="2"/>
      <c r="G35" s="2"/>
      <c r="H35" s="2"/>
      <c r="I35" s="3"/>
      <c r="J35" s="2"/>
      <c r="K35" s="2"/>
      <c r="L35" s="2"/>
      <c r="M35" s="2"/>
      <c r="N35" s="2"/>
    </row>
    <row r="36" spans="5:14" x14ac:dyDescent="0.15">
      <c r="E36" s="2"/>
      <c r="F36" s="2"/>
      <c r="G36" s="2"/>
      <c r="H36" s="2"/>
      <c r="I36" s="3"/>
      <c r="J36" s="2"/>
      <c r="K36" s="2"/>
      <c r="L36" s="2"/>
      <c r="M36" s="2"/>
      <c r="N36" s="2"/>
    </row>
    <row r="37" spans="5:14" x14ac:dyDescent="0.15"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5:14" x14ac:dyDescent="0.15"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5:14" x14ac:dyDescent="0.15"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5:14" x14ac:dyDescent="0.15"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5:14" x14ac:dyDescent="0.15"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5:14" x14ac:dyDescent="0.15"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5:14" x14ac:dyDescent="0.15"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5:14" x14ac:dyDescent="0.15"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5:14" x14ac:dyDescent="0.15"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5:14" x14ac:dyDescent="0.15"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5:14" x14ac:dyDescent="0.15"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5:14" x14ac:dyDescent="0.15"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5:14" x14ac:dyDescent="0.15"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5:14" x14ac:dyDescent="0.15"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5:14" x14ac:dyDescent="0.15"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5:14" x14ac:dyDescent="0.15"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5:14" x14ac:dyDescent="0.15"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5:14" x14ac:dyDescent="0.15"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5:14" x14ac:dyDescent="0.15"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5:14" x14ac:dyDescent="0.15"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5:14" x14ac:dyDescent="0.15"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5:14" x14ac:dyDescent="0.15"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5:14" x14ac:dyDescent="0.15"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5:14" x14ac:dyDescent="0.15"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5:14" x14ac:dyDescent="0.15"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5:14" x14ac:dyDescent="0.15"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5:14" x14ac:dyDescent="0.15"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5:14" x14ac:dyDescent="0.15"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5:14" x14ac:dyDescent="0.15"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5:14" x14ac:dyDescent="0.15"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5:14" x14ac:dyDescent="0.15"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5:14" x14ac:dyDescent="0.15"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5:14" x14ac:dyDescent="0.15"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5:14" x14ac:dyDescent="0.15"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5:14" x14ac:dyDescent="0.15"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5:14" x14ac:dyDescent="0.15"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5:14" x14ac:dyDescent="0.15"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5:14" x14ac:dyDescent="0.15"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5:14" x14ac:dyDescent="0.15"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5:14" x14ac:dyDescent="0.15"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5:14" x14ac:dyDescent="0.15"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5:14" x14ac:dyDescent="0.15"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5:14" x14ac:dyDescent="0.15"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5:14" x14ac:dyDescent="0.15"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5:14" x14ac:dyDescent="0.15"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5:14" x14ac:dyDescent="0.15"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5:14" x14ac:dyDescent="0.15"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5:14" x14ac:dyDescent="0.15">
      <c r="E84" s="2"/>
      <c r="F84" s="2"/>
      <c r="G84" s="2"/>
      <c r="H84" s="2"/>
      <c r="I84" s="2"/>
      <c r="J84" s="2"/>
      <c r="K84" s="2"/>
      <c r="L84" s="2"/>
      <c r="M84" s="2"/>
      <c r="N84" s="2"/>
    </row>
    <row r="85" spans="5:14" x14ac:dyDescent="0.15">
      <c r="E85" s="2"/>
      <c r="F85" s="2"/>
      <c r="G85" s="2"/>
      <c r="H85" s="2"/>
      <c r="I85" s="2"/>
      <c r="J85" s="2"/>
      <c r="K85" s="2"/>
      <c r="L85" s="2"/>
      <c r="M85" s="2"/>
      <c r="N85" s="2"/>
    </row>
    <row r="86" spans="5:14" x14ac:dyDescent="0.15"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5:14" x14ac:dyDescent="0.15">
      <c r="E87" s="2"/>
      <c r="F87" s="2"/>
      <c r="G87" s="2"/>
      <c r="H87" s="2"/>
      <c r="I87" s="2"/>
      <c r="J87" s="2"/>
      <c r="K87" s="2"/>
      <c r="L87" s="2"/>
      <c r="M87" s="2"/>
      <c r="N87" s="2"/>
    </row>
    <row r="88" spans="5:14" x14ac:dyDescent="0.15">
      <c r="E88" s="2"/>
      <c r="F88" s="2"/>
      <c r="G88" s="2"/>
      <c r="H88" s="2"/>
      <c r="I88" s="2"/>
      <c r="J88" s="2"/>
      <c r="K88" s="2"/>
      <c r="L88" s="2"/>
      <c r="M88" s="2"/>
      <c r="N88" s="2"/>
    </row>
  </sheetData>
  <phoneticPr fontId="1" type="noConversion"/>
  <conditionalFormatting sqref="J3">
    <cfRule type="expression" dxfId="14031" priority="5">
      <formula>AND(E3=0,J3&gt;0)</formula>
    </cfRule>
  </conditionalFormatting>
  <conditionalFormatting sqref="K3:N3">
    <cfRule type="expression" dxfId="14030" priority="4">
      <formula>AND(F3=0,K3&gt;0)</formula>
    </cfRule>
  </conditionalFormatting>
  <conditionalFormatting sqref="J4:J88">
    <cfRule type="expression" dxfId="14029" priority="3">
      <formula>AND(E4=0,J4&gt;0)</formula>
    </cfRule>
  </conditionalFormatting>
  <conditionalFormatting sqref="K4:N88">
    <cfRule type="expression" dxfId="14028" priority="2">
      <formula>AND(F4=0,K4&gt;0)</formula>
    </cfRule>
  </conditionalFormatting>
  <conditionalFormatting sqref="C1 E1:F1 H1:I1 K1:L1 N1:O1 Q1:R1 T1:U1 W1:X1 Z1:AA1 AC1:AD1 AF1:AG1 AI1:AJ1 AL1:AM1 AO1:AP1 AR1:AS1 AU1">
    <cfRule type="expression" dxfId="14027" priority="1">
      <formula>AND(B1=0,C1&gt;0)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04"/>
  <sheetViews>
    <sheetView workbookViewId="0">
      <selection activeCell="G18" sqref="G18"/>
    </sheetView>
  </sheetViews>
  <sheetFormatPr defaultRowHeight="13.5" x14ac:dyDescent="0.15"/>
  <cols>
    <col min="2" max="2" width="18.375" bestFit="1" customWidth="1"/>
  </cols>
  <sheetData>
    <row r="1" spans="1:8" x14ac:dyDescent="0.15">
      <c r="A1" t="s">
        <v>64</v>
      </c>
      <c r="B1" t="s">
        <v>65</v>
      </c>
    </row>
    <row r="2" spans="1:8" x14ac:dyDescent="0.15">
      <c r="A2">
        <v>91001</v>
      </c>
      <c r="B2" t="s">
        <v>775</v>
      </c>
    </row>
    <row r="3" spans="1:8" x14ac:dyDescent="0.15">
      <c r="A3">
        <v>81002</v>
      </c>
      <c r="B3" t="s">
        <v>776</v>
      </c>
    </row>
    <row r="4" spans="1:8" x14ac:dyDescent="0.15">
      <c r="A4">
        <v>81003</v>
      </c>
      <c r="B4" t="s">
        <v>777</v>
      </c>
    </row>
    <row r="5" spans="1:8" x14ac:dyDescent="0.15">
      <c r="A5">
        <v>81010</v>
      </c>
      <c r="B5" t="s">
        <v>778</v>
      </c>
    </row>
    <row r="6" spans="1:8" x14ac:dyDescent="0.15">
      <c r="A6">
        <v>82001</v>
      </c>
      <c r="B6" t="s">
        <v>66</v>
      </c>
      <c r="H6" s="8" t="s">
        <v>84</v>
      </c>
    </row>
    <row r="7" spans="1:8" x14ac:dyDescent="0.15">
      <c r="A7">
        <v>83001</v>
      </c>
      <c r="B7" t="s">
        <v>779</v>
      </c>
      <c r="H7" s="8" t="s">
        <v>85</v>
      </c>
    </row>
    <row r="8" spans="1:8" x14ac:dyDescent="0.15">
      <c r="A8">
        <v>83002</v>
      </c>
      <c r="B8" t="s">
        <v>780</v>
      </c>
      <c r="H8" s="8" t="s">
        <v>129</v>
      </c>
    </row>
    <row r="9" spans="1:8" x14ac:dyDescent="0.15">
      <c r="A9">
        <v>83003</v>
      </c>
      <c r="B9" t="s">
        <v>781</v>
      </c>
      <c r="H9" s="10" t="s">
        <v>133</v>
      </c>
    </row>
    <row r="10" spans="1:8" x14ac:dyDescent="0.15">
      <c r="A10">
        <v>83004</v>
      </c>
      <c r="B10" t="s">
        <v>782</v>
      </c>
      <c r="H10" s="10" t="s">
        <v>142</v>
      </c>
    </row>
    <row r="11" spans="1:8" x14ac:dyDescent="0.15">
      <c r="A11">
        <v>83005</v>
      </c>
      <c r="B11" t="s">
        <v>355</v>
      </c>
      <c r="H11" s="20" t="s">
        <v>150</v>
      </c>
    </row>
    <row r="12" spans="1:8" x14ac:dyDescent="0.15">
      <c r="A12">
        <v>83006</v>
      </c>
      <c r="B12" t="s">
        <v>783</v>
      </c>
    </row>
    <row r="13" spans="1:8" x14ac:dyDescent="0.15">
      <c r="A13">
        <v>83007</v>
      </c>
      <c r="B13" t="s">
        <v>784</v>
      </c>
    </row>
    <row r="14" spans="1:8" x14ac:dyDescent="0.15">
      <c r="A14">
        <v>83008</v>
      </c>
      <c r="B14" t="s">
        <v>785</v>
      </c>
    </row>
    <row r="15" spans="1:8" x14ac:dyDescent="0.15">
      <c r="A15">
        <v>83009</v>
      </c>
      <c r="B15" t="s">
        <v>356</v>
      </c>
    </row>
    <row r="16" spans="1:8" x14ac:dyDescent="0.15">
      <c r="A16">
        <v>83010</v>
      </c>
      <c r="B16" t="s">
        <v>67</v>
      </c>
    </row>
    <row r="17" spans="1:2" x14ac:dyDescent="0.15">
      <c r="A17">
        <v>83011</v>
      </c>
      <c r="B17" t="s">
        <v>786</v>
      </c>
    </row>
    <row r="18" spans="1:2" x14ac:dyDescent="0.15">
      <c r="A18">
        <v>83012</v>
      </c>
      <c r="B18" t="s">
        <v>787</v>
      </c>
    </row>
    <row r="19" spans="1:2" x14ac:dyDescent="0.15">
      <c r="A19">
        <v>83013</v>
      </c>
      <c r="B19" t="s">
        <v>786</v>
      </c>
    </row>
    <row r="20" spans="1:2" x14ac:dyDescent="0.15">
      <c r="A20">
        <v>83014</v>
      </c>
      <c r="B20" t="s">
        <v>787</v>
      </c>
    </row>
    <row r="21" spans="1:2" x14ac:dyDescent="0.15">
      <c r="A21">
        <v>83015</v>
      </c>
      <c r="B21" t="s">
        <v>788</v>
      </c>
    </row>
    <row r="22" spans="1:2" x14ac:dyDescent="0.15">
      <c r="A22">
        <v>83016</v>
      </c>
      <c r="B22" t="s">
        <v>68</v>
      </c>
    </row>
    <row r="23" spans="1:2" x14ac:dyDescent="0.15">
      <c r="A23">
        <v>83017</v>
      </c>
      <c r="B23" t="s">
        <v>789</v>
      </c>
    </row>
    <row r="24" spans="1:2" x14ac:dyDescent="0.15">
      <c r="A24">
        <v>83018</v>
      </c>
      <c r="B24" t="s">
        <v>790</v>
      </c>
    </row>
    <row r="25" spans="1:2" x14ac:dyDescent="0.15">
      <c r="A25">
        <v>83019</v>
      </c>
      <c r="B25" t="s">
        <v>791</v>
      </c>
    </row>
    <row r="26" spans="1:2" x14ac:dyDescent="0.15">
      <c r="A26">
        <v>83020</v>
      </c>
      <c r="B26" t="s">
        <v>792</v>
      </c>
    </row>
    <row r="27" spans="1:2" x14ac:dyDescent="0.15">
      <c r="A27">
        <v>83021</v>
      </c>
      <c r="B27" t="s">
        <v>69</v>
      </c>
    </row>
    <row r="28" spans="1:2" x14ac:dyDescent="0.15">
      <c r="A28">
        <v>83022</v>
      </c>
      <c r="B28" t="s">
        <v>793</v>
      </c>
    </row>
    <row r="29" spans="1:2" x14ac:dyDescent="0.15">
      <c r="A29">
        <v>83023</v>
      </c>
      <c r="B29" t="s">
        <v>949</v>
      </c>
    </row>
    <row r="30" spans="1:2" x14ac:dyDescent="0.15">
      <c r="A30">
        <v>83103</v>
      </c>
      <c r="B30" t="s">
        <v>794</v>
      </c>
    </row>
    <row r="31" spans="1:2" x14ac:dyDescent="0.15">
      <c r="A31">
        <v>83104</v>
      </c>
      <c r="B31" t="s">
        <v>795</v>
      </c>
    </row>
    <row r="32" spans="1:2" x14ac:dyDescent="0.15">
      <c r="A32">
        <v>83105</v>
      </c>
      <c r="B32" t="s">
        <v>422</v>
      </c>
    </row>
    <row r="33" spans="1:2" x14ac:dyDescent="0.15">
      <c r="A33">
        <v>83106</v>
      </c>
      <c r="B33" t="s">
        <v>796</v>
      </c>
    </row>
    <row r="34" spans="1:2" x14ac:dyDescent="0.15">
      <c r="A34">
        <v>83107</v>
      </c>
      <c r="B34" t="s">
        <v>797</v>
      </c>
    </row>
    <row r="35" spans="1:2" x14ac:dyDescent="0.15">
      <c r="A35">
        <v>83108</v>
      </c>
      <c r="B35" t="s">
        <v>798</v>
      </c>
    </row>
    <row r="36" spans="1:2" x14ac:dyDescent="0.15">
      <c r="A36">
        <v>83109</v>
      </c>
      <c r="B36" t="s">
        <v>423</v>
      </c>
    </row>
    <row r="37" spans="1:2" x14ac:dyDescent="0.15">
      <c r="A37">
        <v>83110</v>
      </c>
      <c r="B37" t="s">
        <v>424</v>
      </c>
    </row>
    <row r="38" spans="1:2" x14ac:dyDescent="0.15">
      <c r="A38">
        <v>83111</v>
      </c>
      <c r="B38" t="s">
        <v>799</v>
      </c>
    </row>
    <row r="39" spans="1:2" x14ac:dyDescent="0.15">
      <c r="A39">
        <v>83112</v>
      </c>
      <c r="B39" t="s">
        <v>800</v>
      </c>
    </row>
    <row r="40" spans="1:2" x14ac:dyDescent="0.15">
      <c r="A40">
        <v>83113</v>
      </c>
      <c r="B40" t="s">
        <v>799</v>
      </c>
    </row>
    <row r="41" spans="1:2" x14ac:dyDescent="0.15">
      <c r="A41">
        <v>83114</v>
      </c>
      <c r="B41" t="s">
        <v>800</v>
      </c>
    </row>
    <row r="42" spans="1:2" x14ac:dyDescent="0.15">
      <c r="A42">
        <v>83115</v>
      </c>
      <c r="B42" t="s">
        <v>801</v>
      </c>
    </row>
    <row r="43" spans="1:2" x14ac:dyDescent="0.15">
      <c r="A43">
        <v>83116</v>
      </c>
      <c r="B43" t="s">
        <v>425</v>
      </c>
    </row>
    <row r="44" spans="1:2" x14ac:dyDescent="0.15">
      <c r="A44">
        <v>83117</v>
      </c>
      <c r="B44" t="s">
        <v>802</v>
      </c>
    </row>
    <row r="45" spans="1:2" x14ac:dyDescent="0.15">
      <c r="A45">
        <v>83118</v>
      </c>
      <c r="B45" t="s">
        <v>803</v>
      </c>
    </row>
    <row r="46" spans="1:2" x14ac:dyDescent="0.15">
      <c r="A46">
        <v>83119</v>
      </c>
      <c r="B46" t="s">
        <v>804</v>
      </c>
    </row>
    <row r="47" spans="1:2" x14ac:dyDescent="0.15">
      <c r="A47">
        <v>83120</v>
      </c>
      <c r="B47" t="s">
        <v>805</v>
      </c>
    </row>
    <row r="48" spans="1:2" x14ac:dyDescent="0.15">
      <c r="A48">
        <v>83121</v>
      </c>
      <c r="B48" t="s">
        <v>426</v>
      </c>
    </row>
    <row r="49" spans="1:2" x14ac:dyDescent="0.15">
      <c r="A49">
        <v>83122</v>
      </c>
      <c r="B49" t="s">
        <v>806</v>
      </c>
    </row>
    <row r="50" spans="1:2" x14ac:dyDescent="0.15">
      <c r="A50">
        <v>78101</v>
      </c>
      <c r="B50" t="s">
        <v>996</v>
      </c>
    </row>
    <row r="51" spans="1:2" x14ac:dyDescent="0.15">
      <c r="A51">
        <v>78102</v>
      </c>
      <c r="B51" t="s">
        <v>912</v>
      </c>
    </row>
    <row r="52" spans="1:2" x14ac:dyDescent="0.15">
      <c r="A52">
        <v>78103</v>
      </c>
      <c r="B52" t="s">
        <v>913</v>
      </c>
    </row>
    <row r="53" spans="1:2" x14ac:dyDescent="0.15">
      <c r="A53">
        <v>78104</v>
      </c>
      <c r="B53" t="s">
        <v>914</v>
      </c>
    </row>
    <row r="54" spans="1:2" x14ac:dyDescent="0.15">
      <c r="A54">
        <v>78105</v>
      </c>
      <c r="B54" t="s">
        <v>915</v>
      </c>
    </row>
    <row r="55" spans="1:2" x14ac:dyDescent="0.15">
      <c r="A55">
        <v>78106</v>
      </c>
      <c r="B55" t="s">
        <v>916</v>
      </c>
    </row>
    <row r="56" spans="1:2" x14ac:dyDescent="0.15">
      <c r="A56">
        <v>78107</v>
      </c>
      <c r="B56" t="s">
        <v>917</v>
      </c>
    </row>
    <row r="57" spans="1:2" x14ac:dyDescent="0.15">
      <c r="A57">
        <v>78108</v>
      </c>
      <c r="B57" t="s">
        <v>918</v>
      </c>
    </row>
    <row r="58" spans="1:2" x14ac:dyDescent="0.15">
      <c r="A58">
        <v>78109</v>
      </c>
      <c r="B58" t="s">
        <v>919</v>
      </c>
    </row>
    <row r="59" spans="1:2" x14ac:dyDescent="0.15">
      <c r="A59">
        <v>78110</v>
      </c>
      <c r="B59" t="s">
        <v>920</v>
      </c>
    </row>
    <row r="60" spans="1:2" x14ac:dyDescent="0.15">
      <c r="A60">
        <v>78111</v>
      </c>
      <c r="B60" t="s">
        <v>921</v>
      </c>
    </row>
    <row r="61" spans="1:2" x14ac:dyDescent="0.15">
      <c r="A61">
        <v>78112</v>
      </c>
      <c r="B61" t="s">
        <v>922</v>
      </c>
    </row>
    <row r="62" spans="1:2" x14ac:dyDescent="0.15">
      <c r="A62">
        <v>78113</v>
      </c>
      <c r="B62" t="s">
        <v>923</v>
      </c>
    </row>
    <row r="63" spans="1:2" x14ac:dyDescent="0.15">
      <c r="A63">
        <v>78114</v>
      </c>
      <c r="B63" t="s">
        <v>924</v>
      </c>
    </row>
    <row r="64" spans="1:2" x14ac:dyDescent="0.15">
      <c r="A64">
        <v>78115</v>
      </c>
      <c r="B64" t="s">
        <v>925</v>
      </c>
    </row>
    <row r="65" spans="1:2" x14ac:dyDescent="0.15">
      <c r="A65">
        <v>78116</v>
      </c>
      <c r="B65" t="s">
        <v>926</v>
      </c>
    </row>
    <row r="66" spans="1:2" x14ac:dyDescent="0.15">
      <c r="A66">
        <v>78117</v>
      </c>
      <c r="B66" t="s">
        <v>950</v>
      </c>
    </row>
    <row r="67" spans="1:2" x14ac:dyDescent="0.15">
      <c r="A67">
        <v>78118</v>
      </c>
      <c r="B67" t="s">
        <v>951</v>
      </c>
    </row>
    <row r="68" spans="1:2" x14ac:dyDescent="0.15">
      <c r="A68">
        <v>78119</v>
      </c>
      <c r="B68" t="s">
        <v>952</v>
      </c>
    </row>
    <row r="69" spans="1:2" x14ac:dyDescent="0.15">
      <c r="A69">
        <v>70001</v>
      </c>
      <c r="B69" t="s">
        <v>807</v>
      </c>
    </row>
    <row r="70" spans="1:2" x14ac:dyDescent="0.15">
      <c r="A70">
        <v>70002</v>
      </c>
      <c r="B70" t="s">
        <v>808</v>
      </c>
    </row>
    <row r="71" spans="1:2" x14ac:dyDescent="0.15">
      <c r="A71">
        <v>70003</v>
      </c>
      <c r="B71" t="s">
        <v>809</v>
      </c>
    </row>
    <row r="72" spans="1:2" x14ac:dyDescent="0.15">
      <c r="A72">
        <v>70101</v>
      </c>
      <c r="B72" t="s">
        <v>810</v>
      </c>
    </row>
    <row r="73" spans="1:2" x14ac:dyDescent="0.15">
      <c r="A73">
        <v>70201</v>
      </c>
      <c r="B73" t="s">
        <v>811</v>
      </c>
    </row>
    <row r="74" spans="1:2" x14ac:dyDescent="0.15">
      <c r="A74">
        <v>70301</v>
      </c>
      <c r="B74" t="s">
        <v>812</v>
      </c>
    </row>
    <row r="75" spans="1:2" x14ac:dyDescent="0.15">
      <c r="A75">
        <v>70401</v>
      </c>
      <c r="B75" t="s">
        <v>813</v>
      </c>
    </row>
    <row r="76" spans="1:2" x14ac:dyDescent="0.15">
      <c r="A76">
        <v>70501</v>
      </c>
      <c r="B76" t="s">
        <v>814</v>
      </c>
    </row>
    <row r="77" spans="1:2" x14ac:dyDescent="0.15">
      <c r="A77">
        <v>82100</v>
      </c>
      <c r="B77" t="s">
        <v>815</v>
      </c>
    </row>
    <row r="78" spans="1:2" x14ac:dyDescent="0.15">
      <c r="A78">
        <v>82200</v>
      </c>
      <c r="B78" t="s">
        <v>816</v>
      </c>
    </row>
    <row r="79" spans="1:2" x14ac:dyDescent="0.15">
      <c r="A79">
        <v>82300</v>
      </c>
      <c r="B79" t="s">
        <v>817</v>
      </c>
    </row>
    <row r="80" spans="1:2" x14ac:dyDescent="0.15">
      <c r="A80">
        <v>91100</v>
      </c>
      <c r="B80" t="s">
        <v>775</v>
      </c>
    </row>
    <row r="81" spans="1:2" x14ac:dyDescent="0.15">
      <c r="A81">
        <v>91200</v>
      </c>
      <c r="B81" t="s">
        <v>818</v>
      </c>
    </row>
    <row r="82" spans="1:2" x14ac:dyDescent="0.15">
      <c r="A82">
        <v>91300</v>
      </c>
      <c r="B82" t="s">
        <v>819</v>
      </c>
    </row>
    <row r="83" spans="1:2" x14ac:dyDescent="0.15">
      <c r="A83">
        <v>87100</v>
      </c>
      <c r="B83" t="s">
        <v>820</v>
      </c>
    </row>
    <row r="84" spans="1:2" x14ac:dyDescent="0.15">
      <c r="A84">
        <v>87200</v>
      </c>
      <c r="B84" t="s">
        <v>821</v>
      </c>
    </row>
    <row r="85" spans="1:2" x14ac:dyDescent="0.15">
      <c r="A85">
        <v>87400</v>
      </c>
      <c r="B85" t="s">
        <v>822</v>
      </c>
    </row>
    <row r="86" spans="1:2" x14ac:dyDescent="0.15">
      <c r="A86">
        <v>89100</v>
      </c>
      <c r="B86" t="s">
        <v>823</v>
      </c>
    </row>
    <row r="87" spans="1:2" x14ac:dyDescent="0.15">
      <c r="A87">
        <v>89200</v>
      </c>
      <c r="B87" t="s">
        <v>824</v>
      </c>
    </row>
    <row r="88" spans="1:2" x14ac:dyDescent="0.15">
      <c r="A88">
        <v>89300</v>
      </c>
      <c r="B88" t="s">
        <v>825</v>
      </c>
    </row>
    <row r="89" spans="1:2" x14ac:dyDescent="0.15">
      <c r="A89">
        <v>83100</v>
      </c>
      <c r="B89" t="s">
        <v>826</v>
      </c>
    </row>
    <row r="90" spans="1:2" x14ac:dyDescent="0.15">
      <c r="A90">
        <v>70010</v>
      </c>
      <c r="B90" t="s">
        <v>70</v>
      </c>
    </row>
    <row r="91" spans="1:2" x14ac:dyDescent="0.15">
      <c r="A91">
        <v>71010</v>
      </c>
      <c r="B91" t="s">
        <v>71</v>
      </c>
    </row>
    <row r="92" spans="1:2" x14ac:dyDescent="0.15">
      <c r="A92">
        <v>72010</v>
      </c>
      <c r="B92" t="s">
        <v>827</v>
      </c>
    </row>
    <row r="93" spans="1:2" x14ac:dyDescent="0.15">
      <c r="A93">
        <v>73010</v>
      </c>
      <c r="B93" t="s">
        <v>828</v>
      </c>
    </row>
    <row r="94" spans="1:2" x14ac:dyDescent="0.15">
      <c r="A94">
        <v>74010</v>
      </c>
      <c r="B94" t="s">
        <v>829</v>
      </c>
    </row>
    <row r="95" spans="1:2" x14ac:dyDescent="0.15">
      <c r="A95">
        <v>75010</v>
      </c>
      <c r="B95" t="s">
        <v>72</v>
      </c>
    </row>
    <row r="96" spans="1:2" x14ac:dyDescent="0.15">
      <c r="A96">
        <v>80110</v>
      </c>
      <c r="B96" t="s">
        <v>830</v>
      </c>
    </row>
    <row r="97" spans="1:2" x14ac:dyDescent="0.15">
      <c r="A97">
        <v>80210</v>
      </c>
      <c r="B97" t="s">
        <v>831</v>
      </c>
    </row>
    <row r="98" spans="1:2" x14ac:dyDescent="0.15">
      <c r="A98">
        <v>80310</v>
      </c>
      <c r="B98" t="s">
        <v>960</v>
      </c>
    </row>
    <row r="99" spans="1:2" x14ac:dyDescent="0.15">
      <c r="A99">
        <v>80410</v>
      </c>
      <c r="B99" t="s">
        <v>928</v>
      </c>
    </row>
    <row r="100" spans="1:2" x14ac:dyDescent="0.15">
      <c r="A100">
        <v>80510</v>
      </c>
      <c r="B100" t="s">
        <v>832</v>
      </c>
    </row>
    <row r="101" spans="1:2" x14ac:dyDescent="0.15">
      <c r="A101">
        <v>80610</v>
      </c>
      <c r="B101" t="s">
        <v>833</v>
      </c>
    </row>
    <row r="102" spans="1:2" x14ac:dyDescent="0.15">
      <c r="A102">
        <v>87300</v>
      </c>
      <c r="B102" t="s">
        <v>834</v>
      </c>
    </row>
    <row r="103" spans="1:2" x14ac:dyDescent="0.15">
      <c r="A103">
        <v>83300</v>
      </c>
      <c r="B103" t="s">
        <v>835</v>
      </c>
    </row>
    <row r="104" spans="1:2" x14ac:dyDescent="0.15">
      <c r="A104">
        <v>83301</v>
      </c>
      <c r="B104" t="s">
        <v>836</v>
      </c>
    </row>
    <row r="105" spans="1:2" x14ac:dyDescent="0.15">
      <c r="A105">
        <v>83302</v>
      </c>
      <c r="B105" t="s">
        <v>837</v>
      </c>
    </row>
    <row r="106" spans="1:2" x14ac:dyDescent="0.15">
      <c r="A106">
        <v>83303</v>
      </c>
      <c r="B106" t="s">
        <v>838</v>
      </c>
    </row>
    <row r="107" spans="1:2" x14ac:dyDescent="0.15">
      <c r="A107">
        <v>89101</v>
      </c>
      <c r="B107" t="s">
        <v>148</v>
      </c>
    </row>
    <row r="108" spans="1:2" x14ac:dyDescent="0.15">
      <c r="A108">
        <v>89102</v>
      </c>
      <c r="B108" t="s">
        <v>149</v>
      </c>
    </row>
    <row r="109" spans="1:2" x14ac:dyDescent="0.15">
      <c r="A109">
        <v>89106</v>
      </c>
      <c r="B109" t="s">
        <v>839</v>
      </c>
    </row>
    <row r="110" spans="1:2" x14ac:dyDescent="0.15">
      <c r="A110">
        <v>89107</v>
      </c>
      <c r="B110" t="s">
        <v>840</v>
      </c>
    </row>
    <row r="111" spans="1:2" x14ac:dyDescent="0.15">
      <c r="A111">
        <v>89108</v>
      </c>
      <c r="B111" t="s">
        <v>432</v>
      </c>
    </row>
    <row r="112" spans="1:2" x14ac:dyDescent="0.15">
      <c r="A112">
        <v>89109</v>
      </c>
      <c r="B112" t="s">
        <v>433</v>
      </c>
    </row>
    <row r="113" spans="1:2" x14ac:dyDescent="0.15">
      <c r="A113">
        <v>89110</v>
      </c>
      <c r="B113" t="s">
        <v>434</v>
      </c>
    </row>
    <row r="114" spans="1:2" x14ac:dyDescent="0.15">
      <c r="A114">
        <v>89111</v>
      </c>
      <c r="B114" t="s">
        <v>953</v>
      </c>
    </row>
    <row r="115" spans="1:2" x14ac:dyDescent="0.15">
      <c r="A115">
        <v>83304</v>
      </c>
      <c r="B115" t="s">
        <v>927</v>
      </c>
    </row>
    <row r="116" spans="1:2" x14ac:dyDescent="0.15">
      <c r="A116">
        <v>85200</v>
      </c>
      <c r="B116" t="s">
        <v>841</v>
      </c>
    </row>
    <row r="117" spans="1:2" x14ac:dyDescent="0.15">
      <c r="A117">
        <v>85300</v>
      </c>
      <c r="B117" t="s">
        <v>842</v>
      </c>
    </row>
    <row r="118" spans="1:2" x14ac:dyDescent="0.15">
      <c r="A118">
        <v>85400</v>
      </c>
      <c r="B118" t="s">
        <v>843</v>
      </c>
    </row>
    <row r="119" spans="1:2" x14ac:dyDescent="0.15">
      <c r="A119">
        <v>85500</v>
      </c>
      <c r="B119" t="s">
        <v>844</v>
      </c>
    </row>
    <row r="120" spans="1:2" x14ac:dyDescent="0.15">
      <c r="A120">
        <v>86001</v>
      </c>
      <c r="B120" t="s">
        <v>1173</v>
      </c>
    </row>
    <row r="121" spans="1:2" x14ac:dyDescent="0.15">
      <c r="A121">
        <v>86002</v>
      </c>
      <c r="B121" t="s">
        <v>1173</v>
      </c>
    </row>
    <row r="122" spans="1:2" x14ac:dyDescent="0.15">
      <c r="A122">
        <v>86003</v>
      </c>
      <c r="B122" t="s">
        <v>1173</v>
      </c>
    </row>
    <row r="123" spans="1:2" x14ac:dyDescent="0.15">
      <c r="A123">
        <v>86004</v>
      </c>
      <c r="B123" t="s">
        <v>1173</v>
      </c>
    </row>
    <row r="124" spans="1:2" x14ac:dyDescent="0.15">
      <c r="A124">
        <v>86005</v>
      </c>
      <c r="B124" t="s">
        <v>1173</v>
      </c>
    </row>
    <row r="125" spans="1:2" x14ac:dyDescent="0.15">
      <c r="A125">
        <v>86110</v>
      </c>
      <c r="B125" t="s">
        <v>1047</v>
      </c>
    </row>
    <row r="126" spans="1:2" x14ac:dyDescent="0.15">
      <c r="A126">
        <v>86120</v>
      </c>
      <c r="B126" t="s">
        <v>1047</v>
      </c>
    </row>
    <row r="127" spans="1:2" x14ac:dyDescent="0.15">
      <c r="A127">
        <v>86130</v>
      </c>
      <c r="B127" t="s">
        <v>1047</v>
      </c>
    </row>
    <row r="128" spans="1:2" x14ac:dyDescent="0.15">
      <c r="A128">
        <v>86140</v>
      </c>
      <c r="B128" t="s">
        <v>1047</v>
      </c>
    </row>
    <row r="129" spans="1:2" x14ac:dyDescent="0.15">
      <c r="A129">
        <v>86150</v>
      </c>
      <c r="B129" t="s">
        <v>1047</v>
      </c>
    </row>
    <row r="130" spans="1:2" x14ac:dyDescent="0.15">
      <c r="A130">
        <v>83305</v>
      </c>
      <c r="B130" t="s">
        <v>954</v>
      </c>
    </row>
    <row r="131" spans="1:2" x14ac:dyDescent="0.15">
      <c r="A131">
        <v>83306</v>
      </c>
      <c r="B131" t="s">
        <v>955</v>
      </c>
    </row>
    <row r="132" spans="1:2" x14ac:dyDescent="0.15">
      <c r="A132">
        <v>83307</v>
      </c>
      <c r="B132" t="s">
        <v>956</v>
      </c>
    </row>
    <row r="133" spans="1:2" x14ac:dyDescent="0.15">
      <c r="A133">
        <v>83308</v>
      </c>
      <c r="B133" t="s">
        <v>957</v>
      </c>
    </row>
    <row r="134" spans="1:2" x14ac:dyDescent="0.15">
      <c r="A134">
        <v>86010</v>
      </c>
      <c r="B134" t="s">
        <v>1174</v>
      </c>
    </row>
    <row r="135" spans="1:2" x14ac:dyDescent="0.15">
      <c r="A135">
        <v>86021</v>
      </c>
      <c r="B135" t="s">
        <v>998</v>
      </c>
    </row>
    <row r="136" spans="1:2" x14ac:dyDescent="0.15">
      <c r="A136">
        <v>86022</v>
      </c>
      <c r="B136" t="s">
        <v>999</v>
      </c>
    </row>
    <row r="137" spans="1:2" x14ac:dyDescent="0.15">
      <c r="A137">
        <v>86023</v>
      </c>
      <c r="B137" t="s">
        <v>1168</v>
      </c>
    </row>
    <row r="138" spans="1:2" x14ac:dyDescent="0.15">
      <c r="A138">
        <v>78214</v>
      </c>
      <c r="B138" t="s">
        <v>1000</v>
      </c>
    </row>
    <row r="139" spans="1:2" x14ac:dyDescent="0.15">
      <c r="A139">
        <v>78215</v>
      </c>
      <c r="B139" t="s">
        <v>1001</v>
      </c>
    </row>
    <row r="140" spans="1:2" x14ac:dyDescent="0.15">
      <c r="A140">
        <v>78216</v>
      </c>
      <c r="B140" t="s">
        <v>1002</v>
      </c>
    </row>
    <row r="141" spans="1:2" x14ac:dyDescent="0.15">
      <c r="A141">
        <v>83309</v>
      </c>
      <c r="B141" t="s">
        <v>1025</v>
      </c>
    </row>
    <row r="142" spans="1:2" x14ac:dyDescent="0.15">
      <c r="A142">
        <v>86121</v>
      </c>
      <c r="B142" t="s">
        <v>1048</v>
      </c>
    </row>
    <row r="143" spans="1:2" x14ac:dyDescent="0.15">
      <c r="A143">
        <v>86131</v>
      </c>
      <c r="B143" t="s">
        <v>1048</v>
      </c>
    </row>
    <row r="144" spans="1:2" x14ac:dyDescent="0.15">
      <c r="A144">
        <v>86141</v>
      </c>
      <c r="B144" t="s">
        <v>1048</v>
      </c>
    </row>
    <row r="145" spans="1:2" x14ac:dyDescent="0.15">
      <c r="A145">
        <v>86151</v>
      </c>
      <c r="B145" t="s">
        <v>1048</v>
      </c>
    </row>
    <row r="146" spans="1:2" x14ac:dyDescent="0.15">
      <c r="A146">
        <v>86210</v>
      </c>
      <c r="B146" t="s">
        <v>1155</v>
      </c>
    </row>
    <row r="147" spans="1:2" x14ac:dyDescent="0.15">
      <c r="A147">
        <v>86220</v>
      </c>
      <c r="B147" t="s">
        <v>1155</v>
      </c>
    </row>
    <row r="148" spans="1:2" x14ac:dyDescent="0.15">
      <c r="A148">
        <v>86230</v>
      </c>
      <c r="B148" t="s">
        <v>1155</v>
      </c>
    </row>
    <row r="149" spans="1:2" x14ac:dyDescent="0.15">
      <c r="A149">
        <v>86240</v>
      </c>
      <c r="B149" t="s">
        <v>1155</v>
      </c>
    </row>
    <row r="150" spans="1:2" x14ac:dyDescent="0.15">
      <c r="A150">
        <v>86250</v>
      </c>
      <c r="B150" t="s">
        <v>1155</v>
      </c>
    </row>
    <row r="151" spans="1:2" x14ac:dyDescent="0.15">
      <c r="A151">
        <v>86310</v>
      </c>
      <c r="B151" t="s">
        <v>1156</v>
      </c>
    </row>
    <row r="152" spans="1:2" x14ac:dyDescent="0.15">
      <c r="A152">
        <v>86320</v>
      </c>
      <c r="B152" t="s">
        <v>1156</v>
      </c>
    </row>
    <row r="153" spans="1:2" x14ac:dyDescent="0.15">
      <c r="A153">
        <v>86330</v>
      </c>
      <c r="B153" t="s">
        <v>1156</v>
      </c>
    </row>
    <row r="154" spans="1:2" x14ac:dyDescent="0.15">
      <c r="A154">
        <v>86340</v>
      </c>
      <c r="B154" t="s">
        <v>1156</v>
      </c>
    </row>
    <row r="155" spans="1:2" x14ac:dyDescent="0.15">
      <c r="A155">
        <v>86350</v>
      </c>
      <c r="B155" t="s">
        <v>1156</v>
      </c>
    </row>
    <row r="156" spans="1:2" x14ac:dyDescent="0.15">
      <c r="A156">
        <v>86400</v>
      </c>
      <c r="B156" t="s">
        <v>1157</v>
      </c>
    </row>
    <row r="157" spans="1:2" x14ac:dyDescent="0.15">
      <c r="A157">
        <v>91400</v>
      </c>
      <c r="B157" t="s">
        <v>1175</v>
      </c>
    </row>
    <row r="158" spans="1:2" x14ac:dyDescent="0.15">
      <c r="A158">
        <v>10001</v>
      </c>
      <c r="B158" t="s">
        <v>578</v>
      </c>
    </row>
    <row r="159" spans="1:2" x14ac:dyDescent="0.15">
      <c r="A159">
        <v>20001</v>
      </c>
      <c r="B159" t="s">
        <v>143</v>
      </c>
    </row>
    <row r="160" spans="1:2" x14ac:dyDescent="0.15">
      <c r="A160">
        <v>30001</v>
      </c>
      <c r="B160" t="s">
        <v>144</v>
      </c>
    </row>
    <row r="161" spans="1:2" x14ac:dyDescent="0.15">
      <c r="A161">
        <v>10002</v>
      </c>
      <c r="B161" t="s">
        <v>145</v>
      </c>
    </row>
    <row r="162" spans="1:2" x14ac:dyDescent="0.15">
      <c r="A162">
        <v>20002</v>
      </c>
      <c r="B162" t="s">
        <v>146</v>
      </c>
    </row>
    <row r="163" spans="1:2" x14ac:dyDescent="0.15">
      <c r="A163">
        <v>30002</v>
      </c>
      <c r="B163" t="s">
        <v>579</v>
      </c>
    </row>
    <row r="164" spans="1:2" x14ac:dyDescent="0.15">
      <c r="A164">
        <v>51002</v>
      </c>
      <c r="B164" t="s">
        <v>580</v>
      </c>
    </row>
    <row r="165" spans="1:2" x14ac:dyDescent="0.15">
      <c r="A165">
        <v>52002</v>
      </c>
      <c r="B165" t="s">
        <v>581</v>
      </c>
    </row>
    <row r="166" spans="1:2" x14ac:dyDescent="0.15">
      <c r="A166">
        <v>55002</v>
      </c>
      <c r="B166" t="s">
        <v>582</v>
      </c>
    </row>
    <row r="167" spans="1:2" x14ac:dyDescent="0.15">
      <c r="A167">
        <v>54002</v>
      </c>
      <c r="B167" t="s">
        <v>583</v>
      </c>
    </row>
    <row r="168" spans="1:2" x14ac:dyDescent="0.15">
      <c r="A168">
        <v>53002</v>
      </c>
      <c r="B168" t="s">
        <v>584</v>
      </c>
    </row>
    <row r="169" spans="1:2" x14ac:dyDescent="0.15">
      <c r="A169">
        <v>10103</v>
      </c>
      <c r="B169" t="s">
        <v>585</v>
      </c>
    </row>
    <row r="170" spans="1:2" x14ac:dyDescent="0.15">
      <c r="A170">
        <v>20103</v>
      </c>
      <c r="B170" t="s">
        <v>357</v>
      </c>
    </row>
    <row r="171" spans="1:2" x14ac:dyDescent="0.15">
      <c r="A171">
        <v>30103</v>
      </c>
      <c r="B171" t="s">
        <v>586</v>
      </c>
    </row>
    <row r="172" spans="1:2" x14ac:dyDescent="0.15">
      <c r="A172">
        <v>51103</v>
      </c>
      <c r="B172" t="s">
        <v>587</v>
      </c>
    </row>
    <row r="173" spans="1:2" x14ac:dyDescent="0.15">
      <c r="A173">
        <v>52103</v>
      </c>
      <c r="B173" t="s">
        <v>588</v>
      </c>
    </row>
    <row r="174" spans="1:2" x14ac:dyDescent="0.15">
      <c r="A174">
        <v>55103</v>
      </c>
      <c r="B174" t="s">
        <v>589</v>
      </c>
    </row>
    <row r="175" spans="1:2" x14ac:dyDescent="0.15">
      <c r="A175">
        <v>54103</v>
      </c>
      <c r="B175" t="s">
        <v>590</v>
      </c>
    </row>
    <row r="176" spans="1:2" x14ac:dyDescent="0.15">
      <c r="A176">
        <v>53103</v>
      </c>
      <c r="B176" t="s">
        <v>591</v>
      </c>
    </row>
    <row r="177" spans="1:2" x14ac:dyDescent="0.15">
      <c r="A177">
        <v>10104</v>
      </c>
      <c r="B177" t="s">
        <v>592</v>
      </c>
    </row>
    <row r="178" spans="1:2" x14ac:dyDescent="0.15">
      <c r="A178">
        <v>20104</v>
      </c>
      <c r="B178" t="s">
        <v>73</v>
      </c>
    </row>
    <row r="179" spans="1:2" x14ac:dyDescent="0.15">
      <c r="A179">
        <v>30104</v>
      </c>
      <c r="B179" t="s">
        <v>593</v>
      </c>
    </row>
    <row r="180" spans="1:2" x14ac:dyDescent="0.15">
      <c r="A180">
        <v>51104</v>
      </c>
      <c r="B180" t="s">
        <v>594</v>
      </c>
    </row>
    <row r="181" spans="1:2" x14ac:dyDescent="0.15">
      <c r="A181">
        <v>52104</v>
      </c>
      <c r="B181" t="s">
        <v>595</v>
      </c>
    </row>
    <row r="182" spans="1:2" x14ac:dyDescent="0.15">
      <c r="A182">
        <v>55104</v>
      </c>
      <c r="B182" t="s">
        <v>596</v>
      </c>
    </row>
    <row r="183" spans="1:2" x14ac:dyDescent="0.15">
      <c r="A183">
        <v>54104</v>
      </c>
      <c r="B183" t="s">
        <v>597</v>
      </c>
    </row>
    <row r="184" spans="1:2" x14ac:dyDescent="0.15">
      <c r="A184">
        <v>53104</v>
      </c>
      <c r="B184" t="s">
        <v>598</v>
      </c>
    </row>
    <row r="185" spans="1:2" x14ac:dyDescent="0.15">
      <c r="A185">
        <v>10205</v>
      </c>
      <c r="B185" t="s">
        <v>599</v>
      </c>
    </row>
    <row r="186" spans="1:2" x14ac:dyDescent="0.15">
      <c r="A186">
        <v>20205</v>
      </c>
      <c r="B186" t="s">
        <v>600</v>
      </c>
    </row>
    <row r="187" spans="1:2" x14ac:dyDescent="0.15">
      <c r="A187">
        <v>30205</v>
      </c>
      <c r="B187" t="s">
        <v>601</v>
      </c>
    </row>
    <row r="188" spans="1:2" x14ac:dyDescent="0.15">
      <c r="A188">
        <v>51205</v>
      </c>
      <c r="B188" t="s">
        <v>602</v>
      </c>
    </row>
    <row r="189" spans="1:2" x14ac:dyDescent="0.15">
      <c r="A189">
        <v>52205</v>
      </c>
      <c r="B189" t="s">
        <v>603</v>
      </c>
    </row>
    <row r="190" spans="1:2" x14ac:dyDescent="0.15">
      <c r="A190">
        <v>55205</v>
      </c>
      <c r="B190" t="s">
        <v>604</v>
      </c>
    </row>
    <row r="191" spans="1:2" x14ac:dyDescent="0.15">
      <c r="A191">
        <v>54205</v>
      </c>
      <c r="B191" t="s">
        <v>605</v>
      </c>
    </row>
    <row r="192" spans="1:2" x14ac:dyDescent="0.15">
      <c r="A192">
        <v>53205</v>
      </c>
      <c r="B192" t="s">
        <v>606</v>
      </c>
    </row>
    <row r="193" spans="1:2" x14ac:dyDescent="0.15">
      <c r="A193">
        <v>10306</v>
      </c>
      <c r="B193" t="s">
        <v>1031</v>
      </c>
    </row>
    <row r="194" spans="1:2" x14ac:dyDescent="0.15">
      <c r="A194">
        <v>20306</v>
      </c>
      <c r="B194" t="s">
        <v>1032</v>
      </c>
    </row>
    <row r="195" spans="1:2" x14ac:dyDescent="0.15">
      <c r="A195">
        <v>30306</v>
      </c>
      <c r="B195" t="s">
        <v>1033</v>
      </c>
    </row>
    <row r="196" spans="1:2" x14ac:dyDescent="0.15">
      <c r="A196">
        <v>51306</v>
      </c>
      <c r="B196" t="s">
        <v>1034</v>
      </c>
    </row>
    <row r="197" spans="1:2" x14ac:dyDescent="0.15">
      <c r="A197">
        <v>52306</v>
      </c>
      <c r="B197" t="s">
        <v>1035</v>
      </c>
    </row>
    <row r="198" spans="1:2" x14ac:dyDescent="0.15">
      <c r="A198">
        <v>55306</v>
      </c>
      <c r="B198" t="s">
        <v>1036</v>
      </c>
    </row>
    <row r="199" spans="1:2" x14ac:dyDescent="0.15">
      <c r="A199">
        <v>54306</v>
      </c>
      <c r="B199" t="s">
        <v>1037</v>
      </c>
    </row>
    <row r="200" spans="1:2" x14ac:dyDescent="0.15">
      <c r="A200">
        <v>53306</v>
      </c>
      <c r="B200" t="s">
        <v>1038</v>
      </c>
    </row>
    <row r="201" spans="1:2" x14ac:dyDescent="0.15">
      <c r="A201">
        <v>10407</v>
      </c>
      <c r="B201" t="s">
        <v>1039</v>
      </c>
    </row>
    <row r="202" spans="1:2" x14ac:dyDescent="0.15">
      <c r="A202">
        <v>20407</v>
      </c>
      <c r="B202" t="s">
        <v>1040</v>
      </c>
    </row>
    <row r="203" spans="1:2" x14ac:dyDescent="0.15">
      <c r="A203">
        <v>30407</v>
      </c>
      <c r="B203" t="s">
        <v>1041</v>
      </c>
    </row>
    <row r="204" spans="1:2" x14ac:dyDescent="0.15">
      <c r="A204">
        <v>51407</v>
      </c>
      <c r="B204" t="s">
        <v>1042</v>
      </c>
    </row>
    <row r="205" spans="1:2" x14ac:dyDescent="0.15">
      <c r="A205">
        <v>52407</v>
      </c>
      <c r="B205" t="s">
        <v>1043</v>
      </c>
    </row>
    <row r="206" spans="1:2" x14ac:dyDescent="0.15">
      <c r="A206">
        <v>55407</v>
      </c>
      <c r="B206" t="s">
        <v>1044</v>
      </c>
    </row>
    <row r="207" spans="1:2" x14ac:dyDescent="0.15">
      <c r="A207">
        <v>54407</v>
      </c>
      <c r="B207" t="s">
        <v>1045</v>
      </c>
    </row>
    <row r="208" spans="1:2" x14ac:dyDescent="0.15">
      <c r="A208">
        <v>53407</v>
      </c>
      <c r="B208" t="s">
        <v>1046</v>
      </c>
    </row>
    <row r="209" spans="1:2" x14ac:dyDescent="0.15">
      <c r="A209">
        <v>10108</v>
      </c>
      <c r="B209" t="s">
        <v>607</v>
      </c>
    </row>
    <row r="210" spans="1:2" x14ac:dyDescent="0.15">
      <c r="A210">
        <v>20108</v>
      </c>
      <c r="B210" t="s">
        <v>608</v>
      </c>
    </row>
    <row r="211" spans="1:2" x14ac:dyDescent="0.15">
      <c r="A211">
        <v>30108</v>
      </c>
      <c r="B211" t="s">
        <v>609</v>
      </c>
    </row>
    <row r="212" spans="1:2" x14ac:dyDescent="0.15">
      <c r="A212">
        <v>51108</v>
      </c>
      <c r="B212" t="s">
        <v>610</v>
      </c>
    </row>
    <row r="213" spans="1:2" x14ac:dyDescent="0.15">
      <c r="A213">
        <v>52108</v>
      </c>
      <c r="B213" t="s">
        <v>611</v>
      </c>
    </row>
    <row r="214" spans="1:2" x14ac:dyDescent="0.15">
      <c r="A214">
        <v>55108</v>
      </c>
      <c r="B214" t="s">
        <v>612</v>
      </c>
    </row>
    <row r="215" spans="1:2" x14ac:dyDescent="0.15">
      <c r="A215">
        <v>54108</v>
      </c>
      <c r="B215" t="s">
        <v>613</v>
      </c>
    </row>
    <row r="216" spans="1:2" x14ac:dyDescent="0.15">
      <c r="A216">
        <v>53108</v>
      </c>
      <c r="B216" t="s">
        <v>614</v>
      </c>
    </row>
    <row r="217" spans="1:2" x14ac:dyDescent="0.15">
      <c r="A217">
        <v>10209</v>
      </c>
      <c r="B217" t="s">
        <v>615</v>
      </c>
    </row>
    <row r="218" spans="1:2" x14ac:dyDescent="0.15">
      <c r="A218">
        <v>20209</v>
      </c>
      <c r="B218" t="s">
        <v>74</v>
      </c>
    </row>
    <row r="219" spans="1:2" x14ac:dyDescent="0.15">
      <c r="A219">
        <v>30209</v>
      </c>
      <c r="B219" t="s">
        <v>616</v>
      </c>
    </row>
    <row r="220" spans="1:2" x14ac:dyDescent="0.15">
      <c r="A220">
        <v>51209</v>
      </c>
      <c r="B220" t="s">
        <v>617</v>
      </c>
    </row>
    <row r="221" spans="1:2" x14ac:dyDescent="0.15">
      <c r="A221">
        <v>52209</v>
      </c>
      <c r="B221" t="s">
        <v>618</v>
      </c>
    </row>
    <row r="222" spans="1:2" x14ac:dyDescent="0.15">
      <c r="A222">
        <v>55209</v>
      </c>
      <c r="B222" t="s">
        <v>619</v>
      </c>
    </row>
    <row r="223" spans="1:2" x14ac:dyDescent="0.15">
      <c r="A223">
        <v>54209</v>
      </c>
      <c r="B223" t="s">
        <v>620</v>
      </c>
    </row>
    <row r="224" spans="1:2" x14ac:dyDescent="0.15">
      <c r="A224">
        <v>53209</v>
      </c>
      <c r="B224" t="s">
        <v>621</v>
      </c>
    </row>
    <row r="225" spans="1:2" x14ac:dyDescent="0.15">
      <c r="A225">
        <v>10310</v>
      </c>
      <c r="B225" t="s">
        <v>358</v>
      </c>
    </row>
    <row r="226" spans="1:2" x14ac:dyDescent="0.15">
      <c r="A226">
        <v>20310</v>
      </c>
      <c r="B226" t="s">
        <v>359</v>
      </c>
    </row>
    <row r="227" spans="1:2" x14ac:dyDescent="0.15">
      <c r="A227">
        <v>30310</v>
      </c>
      <c r="B227" t="s">
        <v>360</v>
      </c>
    </row>
    <row r="228" spans="1:2" x14ac:dyDescent="0.15">
      <c r="A228">
        <v>51310</v>
      </c>
      <c r="B228" t="s">
        <v>361</v>
      </c>
    </row>
    <row r="229" spans="1:2" x14ac:dyDescent="0.15">
      <c r="A229">
        <v>52310</v>
      </c>
      <c r="B229" t="s">
        <v>362</v>
      </c>
    </row>
    <row r="230" spans="1:2" x14ac:dyDescent="0.15">
      <c r="A230">
        <v>55310</v>
      </c>
      <c r="B230" t="s">
        <v>363</v>
      </c>
    </row>
    <row r="231" spans="1:2" x14ac:dyDescent="0.15">
      <c r="A231">
        <v>54310</v>
      </c>
      <c r="B231" t="s">
        <v>364</v>
      </c>
    </row>
    <row r="232" spans="1:2" x14ac:dyDescent="0.15">
      <c r="A232">
        <v>53310</v>
      </c>
      <c r="B232" t="s">
        <v>365</v>
      </c>
    </row>
    <row r="233" spans="1:2" x14ac:dyDescent="0.15">
      <c r="A233">
        <v>10411</v>
      </c>
      <c r="B233" t="s">
        <v>366</v>
      </c>
    </row>
    <row r="234" spans="1:2" x14ac:dyDescent="0.15">
      <c r="A234">
        <v>20411</v>
      </c>
      <c r="B234" t="s">
        <v>367</v>
      </c>
    </row>
    <row r="235" spans="1:2" x14ac:dyDescent="0.15">
      <c r="A235">
        <v>30411</v>
      </c>
      <c r="B235" t="s">
        <v>368</v>
      </c>
    </row>
    <row r="236" spans="1:2" x14ac:dyDescent="0.15">
      <c r="A236">
        <v>51411</v>
      </c>
      <c r="B236" t="s">
        <v>369</v>
      </c>
    </row>
    <row r="237" spans="1:2" x14ac:dyDescent="0.15">
      <c r="A237">
        <v>52411</v>
      </c>
      <c r="B237" t="s">
        <v>370</v>
      </c>
    </row>
    <row r="238" spans="1:2" x14ac:dyDescent="0.15">
      <c r="A238">
        <v>55411</v>
      </c>
      <c r="B238" t="s">
        <v>371</v>
      </c>
    </row>
    <row r="239" spans="1:2" x14ac:dyDescent="0.15">
      <c r="A239">
        <v>54411</v>
      </c>
      <c r="B239" t="s">
        <v>372</v>
      </c>
    </row>
    <row r="240" spans="1:2" x14ac:dyDescent="0.15">
      <c r="A240">
        <v>53411</v>
      </c>
      <c r="B240" t="s">
        <v>373</v>
      </c>
    </row>
    <row r="241" spans="1:2" x14ac:dyDescent="0.15">
      <c r="A241">
        <v>10112</v>
      </c>
      <c r="B241" t="s">
        <v>374</v>
      </c>
    </row>
    <row r="242" spans="1:2" x14ac:dyDescent="0.15">
      <c r="A242">
        <v>20112</v>
      </c>
      <c r="B242" t="s">
        <v>375</v>
      </c>
    </row>
    <row r="243" spans="1:2" x14ac:dyDescent="0.15">
      <c r="A243">
        <v>30112</v>
      </c>
      <c r="B243" t="s">
        <v>376</v>
      </c>
    </row>
    <row r="244" spans="1:2" x14ac:dyDescent="0.15">
      <c r="A244">
        <v>51112</v>
      </c>
      <c r="B244" t="s">
        <v>377</v>
      </c>
    </row>
    <row r="245" spans="1:2" x14ac:dyDescent="0.15">
      <c r="A245">
        <v>52112</v>
      </c>
      <c r="B245" t="s">
        <v>378</v>
      </c>
    </row>
    <row r="246" spans="1:2" x14ac:dyDescent="0.15">
      <c r="A246">
        <v>55112</v>
      </c>
      <c r="B246" t="s">
        <v>379</v>
      </c>
    </row>
    <row r="247" spans="1:2" x14ac:dyDescent="0.15">
      <c r="A247">
        <v>54112</v>
      </c>
      <c r="B247" t="s">
        <v>380</v>
      </c>
    </row>
    <row r="248" spans="1:2" x14ac:dyDescent="0.15">
      <c r="A248">
        <v>53112</v>
      </c>
      <c r="B248" t="s">
        <v>381</v>
      </c>
    </row>
    <row r="249" spans="1:2" x14ac:dyDescent="0.15">
      <c r="A249">
        <v>10213</v>
      </c>
      <c r="B249" t="s">
        <v>75</v>
      </c>
    </row>
    <row r="250" spans="1:2" x14ac:dyDescent="0.15">
      <c r="A250">
        <v>20213</v>
      </c>
      <c r="B250" t="s">
        <v>76</v>
      </c>
    </row>
    <row r="251" spans="1:2" x14ac:dyDescent="0.15">
      <c r="A251">
        <v>30213</v>
      </c>
      <c r="B251" t="s">
        <v>622</v>
      </c>
    </row>
    <row r="252" spans="1:2" x14ac:dyDescent="0.15">
      <c r="A252">
        <v>51213</v>
      </c>
      <c r="B252" t="s">
        <v>623</v>
      </c>
    </row>
    <row r="253" spans="1:2" x14ac:dyDescent="0.15">
      <c r="A253">
        <v>52213</v>
      </c>
      <c r="B253" t="s">
        <v>624</v>
      </c>
    </row>
    <row r="254" spans="1:2" x14ac:dyDescent="0.15">
      <c r="A254">
        <v>55213</v>
      </c>
      <c r="B254" t="s">
        <v>625</v>
      </c>
    </row>
    <row r="255" spans="1:2" x14ac:dyDescent="0.15">
      <c r="A255">
        <v>54213</v>
      </c>
      <c r="B255" t="s">
        <v>626</v>
      </c>
    </row>
    <row r="256" spans="1:2" x14ac:dyDescent="0.15">
      <c r="A256">
        <v>53213</v>
      </c>
      <c r="B256" t="s">
        <v>627</v>
      </c>
    </row>
    <row r="257" spans="1:2" x14ac:dyDescent="0.15">
      <c r="A257">
        <v>10314</v>
      </c>
      <c r="B257" t="s">
        <v>77</v>
      </c>
    </row>
    <row r="258" spans="1:2" x14ac:dyDescent="0.15">
      <c r="A258">
        <v>20314</v>
      </c>
      <c r="B258" t="s">
        <v>78</v>
      </c>
    </row>
    <row r="259" spans="1:2" x14ac:dyDescent="0.15">
      <c r="A259">
        <v>30314</v>
      </c>
      <c r="B259" t="s">
        <v>628</v>
      </c>
    </row>
    <row r="260" spans="1:2" x14ac:dyDescent="0.15">
      <c r="A260">
        <v>51314</v>
      </c>
      <c r="B260" t="s">
        <v>629</v>
      </c>
    </row>
    <row r="261" spans="1:2" x14ac:dyDescent="0.15">
      <c r="A261">
        <v>52314</v>
      </c>
      <c r="B261" t="s">
        <v>630</v>
      </c>
    </row>
    <row r="262" spans="1:2" x14ac:dyDescent="0.15">
      <c r="A262">
        <v>55314</v>
      </c>
      <c r="B262" t="s">
        <v>631</v>
      </c>
    </row>
    <row r="263" spans="1:2" x14ac:dyDescent="0.15">
      <c r="A263">
        <v>54314</v>
      </c>
      <c r="B263" t="s">
        <v>632</v>
      </c>
    </row>
    <row r="264" spans="1:2" x14ac:dyDescent="0.15">
      <c r="A264">
        <v>53314</v>
      </c>
      <c r="B264" t="s">
        <v>633</v>
      </c>
    </row>
    <row r="265" spans="1:2" x14ac:dyDescent="0.15">
      <c r="A265">
        <v>10415</v>
      </c>
      <c r="B265" t="s">
        <v>382</v>
      </c>
    </row>
    <row r="266" spans="1:2" x14ac:dyDescent="0.15">
      <c r="A266">
        <v>20415</v>
      </c>
      <c r="B266" t="s">
        <v>383</v>
      </c>
    </row>
    <row r="267" spans="1:2" x14ac:dyDescent="0.15">
      <c r="A267">
        <v>30415</v>
      </c>
      <c r="B267" t="s">
        <v>384</v>
      </c>
    </row>
    <row r="268" spans="1:2" x14ac:dyDescent="0.15">
      <c r="A268">
        <v>51415</v>
      </c>
      <c r="B268" t="s">
        <v>385</v>
      </c>
    </row>
    <row r="269" spans="1:2" x14ac:dyDescent="0.15">
      <c r="A269">
        <v>52415</v>
      </c>
      <c r="B269" t="s">
        <v>386</v>
      </c>
    </row>
    <row r="270" spans="1:2" x14ac:dyDescent="0.15">
      <c r="A270">
        <v>55415</v>
      </c>
      <c r="B270" t="s">
        <v>387</v>
      </c>
    </row>
    <row r="271" spans="1:2" x14ac:dyDescent="0.15">
      <c r="A271">
        <v>54415</v>
      </c>
      <c r="B271" t="s">
        <v>388</v>
      </c>
    </row>
    <row r="272" spans="1:2" x14ac:dyDescent="0.15">
      <c r="A272">
        <v>53415</v>
      </c>
      <c r="B272" t="s">
        <v>389</v>
      </c>
    </row>
    <row r="273" spans="1:2" x14ac:dyDescent="0.15">
      <c r="A273">
        <v>10116</v>
      </c>
      <c r="B273" t="s">
        <v>390</v>
      </c>
    </row>
    <row r="274" spans="1:2" x14ac:dyDescent="0.15">
      <c r="A274">
        <v>20116</v>
      </c>
      <c r="B274" t="s">
        <v>391</v>
      </c>
    </row>
    <row r="275" spans="1:2" x14ac:dyDescent="0.15">
      <c r="A275">
        <v>30116</v>
      </c>
      <c r="B275" t="s">
        <v>392</v>
      </c>
    </row>
    <row r="276" spans="1:2" x14ac:dyDescent="0.15">
      <c r="A276">
        <v>51116</v>
      </c>
      <c r="B276" t="s">
        <v>393</v>
      </c>
    </row>
    <row r="277" spans="1:2" x14ac:dyDescent="0.15">
      <c r="A277">
        <v>52116</v>
      </c>
      <c r="B277" t="s">
        <v>394</v>
      </c>
    </row>
    <row r="278" spans="1:2" x14ac:dyDescent="0.15">
      <c r="A278">
        <v>55116</v>
      </c>
      <c r="B278" t="s">
        <v>395</v>
      </c>
    </row>
    <row r="279" spans="1:2" x14ac:dyDescent="0.15">
      <c r="A279">
        <v>54116</v>
      </c>
      <c r="B279" t="s">
        <v>396</v>
      </c>
    </row>
    <row r="280" spans="1:2" x14ac:dyDescent="0.15">
      <c r="A280">
        <v>53116</v>
      </c>
      <c r="B280" t="s">
        <v>397</v>
      </c>
    </row>
    <row r="281" spans="1:2" x14ac:dyDescent="0.15">
      <c r="A281">
        <v>10217</v>
      </c>
      <c r="B281" t="s">
        <v>634</v>
      </c>
    </row>
    <row r="282" spans="1:2" x14ac:dyDescent="0.15">
      <c r="A282">
        <v>20217</v>
      </c>
      <c r="B282" t="s">
        <v>79</v>
      </c>
    </row>
    <row r="283" spans="1:2" x14ac:dyDescent="0.15">
      <c r="A283">
        <v>30217</v>
      </c>
      <c r="B283" t="s">
        <v>635</v>
      </c>
    </row>
    <row r="284" spans="1:2" x14ac:dyDescent="0.15">
      <c r="A284">
        <v>51217</v>
      </c>
      <c r="B284" t="s">
        <v>636</v>
      </c>
    </row>
    <row r="285" spans="1:2" x14ac:dyDescent="0.15">
      <c r="A285">
        <v>52217</v>
      </c>
      <c r="B285" t="s">
        <v>637</v>
      </c>
    </row>
    <row r="286" spans="1:2" x14ac:dyDescent="0.15">
      <c r="A286">
        <v>55217</v>
      </c>
      <c r="B286" t="s">
        <v>638</v>
      </c>
    </row>
    <row r="287" spans="1:2" x14ac:dyDescent="0.15">
      <c r="A287">
        <v>54217</v>
      </c>
      <c r="B287" t="s">
        <v>639</v>
      </c>
    </row>
    <row r="288" spans="1:2" x14ac:dyDescent="0.15">
      <c r="A288">
        <v>53217</v>
      </c>
      <c r="B288" t="s">
        <v>640</v>
      </c>
    </row>
    <row r="289" spans="1:2" x14ac:dyDescent="0.15">
      <c r="A289">
        <v>10318</v>
      </c>
      <c r="B289" t="s">
        <v>80</v>
      </c>
    </row>
    <row r="290" spans="1:2" x14ac:dyDescent="0.15">
      <c r="A290">
        <v>20318</v>
      </c>
      <c r="B290" t="s">
        <v>81</v>
      </c>
    </row>
    <row r="291" spans="1:2" x14ac:dyDescent="0.15">
      <c r="A291">
        <v>30318</v>
      </c>
      <c r="B291" t="s">
        <v>641</v>
      </c>
    </row>
    <row r="292" spans="1:2" x14ac:dyDescent="0.15">
      <c r="A292">
        <v>51318</v>
      </c>
      <c r="B292" t="s">
        <v>642</v>
      </c>
    </row>
    <row r="293" spans="1:2" x14ac:dyDescent="0.15">
      <c r="A293">
        <v>52318</v>
      </c>
      <c r="B293" t="s">
        <v>643</v>
      </c>
    </row>
    <row r="294" spans="1:2" x14ac:dyDescent="0.15">
      <c r="A294">
        <v>55318</v>
      </c>
      <c r="B294" t="s">
        <v>644</v>
      </c>
    </row>
    <row r="295" spans="1:2" x14ac:dyDescent="0.15">
      <c r="A295">
        <v>54318</v>
      </c>
      <c r="B295" t="s">
        <v>645</v>
      </c>
    </row>
    <row r="296" spans="1:2" x14ac:dyDescent="0.15">
      <c r="A296">
        <v>53318</v>
      </c>
      <c r="B296" t="s">
        <v>646</v>
      </c>
    </row>
    <row r="297" spans="1:2" x14ac:dyDescent="0.15">
      <c r="A297">
        <v>10419</v>
      </c>
      <c r="B297" t="s">
        <v>82</v>
      </c>
    </row>
    <row r="298" spans="1:2" x14ac:dyDescent="0.15">
      <c r="A298">
        <v>20419</v>
      </c>
      <c r="B298" t="s">
        <v>83</v>
      </c>
    </row>
    <row r="299" spans="1:2" x14ac:dyDescent="0.15">
      <c r="A299">
        <v>30419</v>
      </c>
      <c r="B299" t="s">
        <v>647</v>
      </c>
    </row>
    <row r="300" spans="1:2" x14ac:dyDescent="0.15">
      <c r="A300">
        <v>51419</v>
      </c>
      <c r="B300" t="s">
        <v>648</v>
      </c>
    </row>
    <row r="301" spans="1:2" x14ac:dyDescent="0.15">
      <c r="A301">
        <v>52419</v>
      </c>
      <c r="B301" t="s">
        <v>649</v>
      </c>
    </row>
    <row r="302" spans="1:2" x14ac:dyDescent="0.15">
      <c r="A302">
        <v>55419</v>
      </c>
      <c r="B302" t="s">
        <v>650</v>
      </c>
    </row>
    <row r="303" spans="1:2" x14ac:dyDescent="0.15">
      <c r="A303">
        <v>54419</v>
      </c>
      <c r="B303" t="s">
        <v>651</v>
      </c>
    </row>
    <row r="304" spans="1:2" x14ac:dyDescent="0.15">
      <c r="A304">
        <v>53419</v>
      </c>
      <c r="B304" t="s">
        <v>652</v>
      </c>
    </row>
    <row r="305" spans="1:2" x14ac:dyDescent="0.15">
      <c r="A305">
        <v>10120</v>
      </c>
      <c r="B305" t="s">
        <v>398</v>
      </c>
    </row>
    <row r="306" spans="1:2" x14ac:dyDescent="0.15">
      <c r="A306">
        <v>20120</v>
      </c>
      <c r="B306" t="s">
        <v>399</v>
      </c>
    </row>
    <row r="307" spans="1:2" x14ac:dyDescent="0.15">
      <c r="A307">
        <v>30120</v>
      </c>
      <c r="B307" t="s">
        <v>400</v>
      </c>
    </row>
    <row r="308" spans="1:2" x14ac:dyDescent="0.15">
      <c r="A308">
        <v>51120</v>
      </c>
      <c r="B308" t="s">
        <v>401</v>
      </c>
    </row>
    <row r="309" spans="1:2" x14ac:dyDescent="0.15">
      <c r="A309">
        <v>52120</v>
      </c>
      <c r="B309" t="s">
        <v>402</v>
      </c>
    </row>
    <row r="310" spans="1:2" x14ac:dyDescent="0.15">
      <c r="A310">
        <v>55120</v>
      </c>
      <c r="B310" t="s">
        <v>403</v>
      </c>
    </row>
    <row r="311" spans="1:2" x14ac:dyDescent="0.15">
      <c r="A311">
        <v>54120</v>
      </c>
      <c r="B311" t="s">
        <v>404</v>
      </c>
    </row>
    <row r="312" spans="1:2" x14ac:dyDescent="0.15">
      <c r="A312">
        <v>53120</v>
      </c>
      <c r="B312" t="s">
        <v>405</v>
      </c>
    </row>
    <row r="313" spans="1:2" x14ac:dyDescent="0.15">
      <c r="A313">
        <v>10221</v>
      </c>
      <c r="B313" t="s">
        <v>350</v>
      </c>
    </row>
    <row r="314" spans="1:2" x14ac:dyDescent="0.15">
      <c r="A314">
        <v>20221</v>
      </c>
      <c r="B314" t="s">
        <v>351</v>
      </c>
    </row>
    <row r="315" spans="1:2" x14ac:dyDescent="0.15">
      <c r="A315">
        <v>30221</v>
      </c>
      <c r="B315" t="s">
        <v>653</v>
      </c>
    </row>
    <row r="316" spans="1:2" x14ac:dyDescent="0.15">
      <c r="A316">
        <v>51221</v>
      </c>
      <c r="B316" t="s">
        <v>654</v>
      </c>
    </row>
    <row r="317" spans="1:2" x14ac:dyDescent="0.15">
      <c r="A317">
        <v>52221</v>
      </c>
      <c r="B317" t="s">
        <v>655</v>
      </c>
    </row>
    <row r="318" spans="1:2" x14ac:dyDescent="0.15">
      <c r="A318">
        <v>55221</v>
      </c>
      <c r="B318" t="s">
        <v>656</v>
      </c>
    </row>
    <row r="319" spans="1:2" x14ac:dyDescent="0.15">
      <c r="A319">
        <v>54221</v>
      </c>
      <c r="B319" t="s">
        <v>657</v>
      </c>
    </row>
    <row r="320" spans="1:2" x14ac:dyDescent="0.15">
      <c r="A320">
        <v>53221</v>
      </c>
      <c r="B320" t="s">
        <v>658</v>
      </c>
    </row>
    <row r="321" spans="1:2" x14ac:dyDescent="0.15">
      <c r="A321">
        <v>10322</v>
      </c>
      <c r="B321" t="s">
        <v>659</v>
      </c>
    </row>
    <row r="322" spans="1:2" x14ac:dyDescent="0.15">
      <c r="A322">
        <v>20322</v>
      </c>
      <c r="B322" t="s">
        <v>352</v>
      </c>
    </row>
    <row r="323" spans="1:2" x14ac:dyDescent="0.15">
      <c r="A323">
        <v>30322</v>
      </c>
      <c r="B323" t="s">
        <v>660</v>
      </c>
    </row>
    <row r="324" spans="1:2" x14ac:dyDescent="0.15">
      <c r="A324">
        <v>51322</v>
      </c>
      <c r="B324" t="s">
        <v>661</v>
      </c>
    </row>
    <row r="325" spans="1:2" x14ac:dyDescent="0.15">
      <c r="A325">
        <v>52322</v>
      </c>
      <c r="B325" t="s">
        <v>662</v>
      </c>
    </row>
    <row r="326" spans="1:2" x14ac:dyDescent="0.15">
      <c r="A326">
        <v>55322</v>
      </c>
      <c r="B326" t="s">
        <v>663</v>
      </c>
    </row>
    <row r="327" spans="1:2" x14ac:dyDescent="0.15">
      <c r="A327">
        <v>54322</v>
      </c>
      <c r="B327" t="s">
        <v>664</v>
      </c>
    </row>
    <row r="328" spans="1:2" x14ac:dyDescent="0.15">
      <c r="A328">
        <v>53322</v>
      </c>
      <c r="B328" t="s">
        <v>665</v>
      </c>
    </row>
    <row r="329" spans="1:2" x14ac:dyDescent="0.15">
      <c r="A329">
        <v>10423</v>
      </c>
      <c r="B329" t="s">
        <v>353</v>
      </c>
    </row>
    <row r="330" spans="1:2" x14ac:dyDescent="0.15">
      <c r="A330">
        <v>20423</v>
      </c>
      <c r="B330" t="s">
        <v>354</v>
      </c>
    </row>
    <row r="331" spans="1:2" x14ac:dyDescent="0.15">
      <c r="A331">
        <v>30423</v>
      </c>
      <c r="B331" t="s">
        <v>666</v>
      </c>
    </row>
    <row r="332" spans="1:2" x14ac:dyDescent="0.15">
      <c r="A332">
        <v>51423</v>
      </c>
      <c r="B332" t="s">
        <v>667</v>
      </c>
    </row>
    <row r="333" spans="1:2" x14ac:dyDescent="0.15">
      <c r="A333">
        <v>52423</v>
      </c>
      <c r="B333" t="s">
        <v>668</v>
      </c>
    </row>
    <row r="334" spans="1:2" x14ac:dyDescent="0.15">
      <c r="A334">
        <v>55423</v>
      </c>
      <c r="B334" t="s">
        <v>669</v>
      </c>
    </row>
    <row r="335" spans="1:2" x14ac:dyDescent="0.15">
      <c r="A335">
        <v>54423</v>
      </c>
      <c r="B335" t="s">
        <v>670</v>
      </c>
    </row>
    <row r="336" spans="1:2" x14ac:dyDescent="0.15">
      <c r="A336">
        <v>53423</v>
      </c>
      <c r="B336" t="s">
        <v>671</v>
      </c>
    </row>
    <row r="337" spans="1:2" x14ac:dyDescent="0.15">
      <c r="A337">
        <v>10124</v>
      </c>
      <c r="B337" t="s">
        <v>406</v>
      </c>
    </row>
    <row r="338" spans="1:2" x14ac:dyDescent="0.15">
      <c r="A338">
        <v>20124</v>
      </c>
      <c r="B338" t="s">
        <v>407</v>
      </c>
    </row>
    <row r="339" spans="1:2" x14ac:dyDescent="0.15">
      <c r="A339">
        <v>30124</v>
      </c>
      <c r="B339" t="s">
        <v>408</v>
      </c>
    </row>
    <row r="340" spans="1:2" x14ac:dyDescent="0.15">
      <c r="A340">
        <v>51124</v>
      </c>
      <c r="B340" t="s">
        <v>409</v>
      </c>
    </row>
    <row r="341" spans="1:2" x14ac:dyDescent="0.15">
      <c r="A341">
        <v>52124</v>
      </c>
      <c r="B341" t="s">
        <v>410</v>
      </c>
    </row>
    <row r="342" spans="1:2" x14ac:dyDescent="0.15">
      <c r="A342">
        <v>55124</v>
      </c>
      <c r="B342" t="s">
        <v>411</v>
      </c>
    </row>
    <row r="343" spans="1:2" x14ac:dyDescent="0.15">
      <c r="A343">
        <v>54124</v>
      </c>
      <c r="B343" t="s">
        <v>412</v>
      </c>
    </row>
    <row r="344" spans="1:2" x14ac:dyDescent="0.15">
      <c r="A344">
        <v>53124</v>
      </c>
      <c r="B344" t="s">
        <v>413</v>
      </c>
    </row>
    <row r="345" spans="1:2" x14ac:dyDescent="0.15">
      <c r="A345">
        <v>10225</v>
      </c>
      <c r="B345" t="s">
        <v>414</v>
      </c>
    </row>
    <row r="346" spans="1:2" x14ac:dyDescent="0.15">
      <c r="A346">
        <v>20225</v>
      </c>
      <c r="B346" t="s">
        <v>415</v>
      </c>
    </row>
    <row r="347" spans="1:2" x14ac:dyDescent="0.15">
      <c r="A347">
        <v>30225</v>
      </c>
      <c r="B347" t="s">
        <v>416</v>
      </c>
    </row>
    <row r="348" spans="1:2" x14ac:dyDescent="0.15">
      <c r="A348">
        <v>51225</v>
      </c>
      <c r="B348" t="s">
        <v>417</v>
      </c>
    </row>
    <row r="349" spans="1:2" x14ac:dyDescent="0.15">
      <c r="A349">
        <v>52225</v>
      </c>
      <c r="B349" t="s">
        <v>418</v>
      </c>
    </row>
    <row r="350" spans="1:2" x14ac:dyDescent="0.15">
      <c r="A350">
        <v>55225</v>
      </c>
      <c r="B350" t="s">
        <v>419</v>
      </c>
    </row>
    <row r="351" spans="1:2" x14ac:dyDescent="0.15">
      <c r="A351">
        <v>54225</v>
      </c>
      <c r="B351" t="s">
        <v>420</v>
      </c>
    </row>
    <row r="352" spans="1:2" x14ac:dyDescent="0.15">
      <c r="A352">
        <v>53225</v>
      </c>
      <c r="B352" t="s">
        <v>421</v>
      </c>
    </row>
    <row r="353" spans="1:2" x14ac:dyDescent="0.15">
      <c r="A353">
        <v>10326</v>
      </c>
      <c r="B353" t="s">
        <v>672</v>
      </c>
    </row>
    <row r="354" spans="1:2" x14ac:dyDescent="0.15">
      <c r="A354">
        <v>20326</v>
      </c>
      <c r="B354" t="s">
        <v>673</v>
      </c>
    </row>
    <row r="355" spans="1:2" x14ac:dyDescent="0.15">
      <c r="A355">
        <v>30326</v>
      </c>
      <c r="B355" t="s">
        <v>674</v>
      </c>
    </row>
    <row r="356" spans="1:2" x14ac:dyDescent="0.15">
      <c r="A356">
        <v>51326</v>
      </c>
      <c r="B356" t="s">
        <v>675</v>
      </c>
    </row>
    <row r="357" spans="1:2" x14ac:dyDescent="0.15">
      <c r="A357">
        <v>52326</v>
      </c>
      <c r="B357" t="s">
        <v>676</v>
      </c>
    </row>
    <row r="358" spans="1:2" x14ac:dyDescent="0.15">
      <c r="A358">
        <v>55326</v>
      </c>
      <c r="B358" t="s">
        <v>677</v>
      </c>
    </row>
    <row r="359" spans="1:2" x14ac:dyDescent="0.15">
      <c r="A359">
        <v>54326</v>
      </c>
      <c r="B359" t="s">
        <v>678</v>
      </c>
    </row>
    <row r="360" spans="1:2" x14ac:dyDescent="0.15">
      <c r="A360">
        <v>53326</v>
      </c>
      <c r="B360" t="s">
        <v>679</v>
      </c>
    </row>
    <row r="361" spans="1:2" x14ac:dyDescent="0.15">
      <c r="A361">
        <v>10427</v>
      </c>
      <c r="B361" t="s">
        <v>680</v>
      </c>
    </row>
    <row r="362" spans="1:2" x14ac:dyDescent="0.15">
      <c r="A362">
        <v>20427</v>
      </c>
      <c r="B362" t="s">
        <v>681</v>
      </c>
    </row>
    <row r="363" spans="1:2" x14ac:dyDescent="0.15">
      <c r="A363">
        <v>30427</v>
      </c>
      <c r="B363" t="s">
        <v>682</v>
      </c>
    </row>
    <row r="364" spans="1:2" x14ac:dyDescent="0.15">
      <c r="A364">
        <v>51427</v>
      </c>
      <c r="B364" t="s">
        <v>683</v>
      </c>
    </row>
    <row r="365" spans="1:2" x14ac:dyDescent="0.15">
      <c r="A365">
        <v>52427</v>
      </c>
      <c r="B365" t="s">
        <v>684</v>
      </c>
    </row>
    <row r="366" spans="1:2" x14ac:dyDescent="0.15">
      <c r="A366">
        <v>55427</v>
      </c>
      <c r="B366" t="s">
        <v>685</v>
      </c>
    </row>
    <row r="367" spans="1:2" x14ac:dyDescent="0.15">
      <c r="A367">
        <v>54427</v>
      </c>
      <c r="B367" t="s">
        <v>686</v>
      </c>
    </row>
    <row r="368" spans="1:2" x14ac:dyDescent="0.15">
      <c r="A368">
        <v>53427</v>
      </c>
      <c r="B368" t="s">
        <v>687</v>
      </c>
    </row>
    <row r="369" spans="1:2" x14ac:dyDescent="0.15">
      <c r="A369">
        <v>92131</v>
      </c>
      <c r="B369" t="s">
        <v>485</v>
      </c>
    </row>
    <row r="370" spans="1:2" x14ac:dyDescent="0.15">
      <c r="A370">
        <v>92011</v>
      </c>
      <c r="B370" t="s">
        <v>482</v>
      </c>
    </row>
    <row r="371" spans="1:2" x14ac:dyDescent="0.15">
      <c r="A371">
        <v>92228</v>
      </c>
      <c r="B371" t="s">
        <v>486</v>
      </c>
    </row>
    <row r="372" spans="1:2" x14ac:dyDescent="0.15">
      <c r="A372">
        <v>92232</v>
      </c>
      <c r="B372" t="s">
        <v>493</v>
      </c>
    </row>
    <row r="373" spans="1:2" x14ac:dyDescent="0.15">
      <c r="A373">
        <v>92121</v>
      </c>
      <c r="B373" t="s">
        <v>487</v>
      </c>
    </row>
    <row r="374" spans="1:2" x14ac:dyDescent="0.15">
      <c r="A374">
        <v>92243</v>
      </c>
      <c r="B374" t="s">
        <v>484</v>
      </c>
    </row>
    <row r="375" spans="1:2" x14ac:dyDescent="0.15">
      <c r="A375">
        <v>92244</v>
      </c>
      <c r="B375" t="s">
        <v>495</v>
      </c>
    </row>
    <row r="376" spans="1:2" x14ac:dyDescent="0.15">
      <c r="A376">
        <v>92263</v>
      </c>
      <c r="B376" t="s">
        <v>490</v>
      </c>
    </row>
    <row r="377" spans="1:2" x14ac:dyDescent="0.15">
      <c r="A377">
        <v>92277</v>
      </c>
      <c r="B377" t="s">
        <v>130</v>
      </c>
    </row>
    <row r="378" spans="1:2" x14ac:dyDescent="0.15">
      <c r="A378">
        <v>92233</v>
      </c>
      <c r="B378" t="s">
        <v>497</v>
      </c>
    </row>
    <row r="379" spans="1:2" x14ac:dyDescent="0.15">
      <c r="A379">
        <v>92122</v>
      </c>
      <c r="B379" t="s">
        <v>494</v>
      </c>
    </row>
    <row r="380" spans="1:2" x14ac:dyDescent="0.15">
      <c r="A380">
        <v>92141</v>
      </c>
      <c r="B380" t="s">
        <v>489</v>
      </c>
    </row>
    <row r="381" spans="1:2" x14ac:dyDescent="0.15">
      <c r="A381">
        <v>92245</v>
      </c>
      <c r="B381" t="s">
        <v>488</v>
      </c>
    </row>
    <row r="382" spans="1:2" x14ac:dyDescent="0.15">
      <c r="A382">
        <v>92251</v>
      </c>
      <c r="B382" t="s">
        <v>502</v>
      </c>
    </row>
    <row r="383" spans="1:2" x14ac:dyDescent="0.15">
      <c r="A383">
        <v>92264</v>
      </c>
      <c r="B383" t="s">
        <v>492</v>
      </c>
    </row>
    <row r="384" spans="1:2" x14ac:dyDescent="0.15">
      <c r="A384">
        <v>92271</v>
      </c>
      <c r="B384" t="s">
        <v>503</v>
      </c>
    </row>
    <row r="385" spans="1:2" x14ac:dyDescent="0.15">
      <c r="A385">
        <v>92278</v>
      </c>
      <c r="B385" t="s">
        <v>524</v>
      </c>
    </row>
    <row r="386" spans="1:2" x14ac:dyDescent="0.15">
      <c r="A386">
        <v>92283</v>
      </c>
      <c r="B386" t="s">
        <v>507</v>
      </c>
    </row>
    <row r="387" spans="1:2" x14ac:dyDescent="0.15">
      <c r="A387">
        <v>92287</v>
      </c>
      <c r="B387" t="s">
        <v>508</v>
      </c>
    </row>
    <row r="388" spans="1:2" x14ac:dyDescent="0.15">
      <c r="A388">
        <v>92142</v>
      </c>
      <c r="B388" t="s">
        <v>496</v>
      </c>
    </row>
    <row r="389" spans="1:2" x14ac:dyDescent="0.15">
      <c r="A389">
        <v>92235</v>
      </c>
      <c r="B389" t="s">
        <v>527</v>
      </c>
    </row>
    <row r="390" spans="1:2" x14ac:dyDescent="0.15">
      <c r="A390">
        <v>92012</v>
      </c>
      <c r="B390" t="s">
        <v>1009</v>
      </c>
    </row>
    <row r="391" spans="1:2" x14ac:dyDescent="0.15">
      <c r="A391">
        <v>92252</v>
      </c>
      <c r="B391" t="s">
        <v>499</v>
      </c>
    </row>
    <row r="392" spans="1:2" x14ac:dyDescent="0.15">
      <c r="A392">
        <v>92124</v>
      </c>
      <c r="B392" t="s">
        <v>491</v>
      </c>
    </row>
    <row r="393" spans="1:2" x14ac:dyDescent="0.15">
      <c r="A393">
        <v>92272</v>
      </c>
      <c r="B393" t="s">
        <v>498</v>
      </c>
    </row>
    <row r="394" spans="1:2" x14ac:dyDescent="0.15">
      <c r="A394">
        <v>92273</v>
      </c>
      <c r="B394" t="s">
        <v>523</v>
      </c>
    </row>
    <row r="395" spans="1:2" x14ac:dyDescent="0.15">
      <c r="A395">
        <v>92279</v>
      </c>
      <c r="B395" t="s">
        <v>522</v>
      </c>
    </row>
    <row r="396" spans="1:2" x14ac:dyDescent="0.15">
      <c r="A396">
        <v>92284</v>
      </c>
      <c r="B396" t="s">
        <v>509</v>
      </c>
    </row>
    <row r="397" spans="1:2" x14ac:dyDescent="0.15">
      <c r="A397">
        <v>92288</v>
      </c>
      <c r="B397" t="s">
        <v>519</v>
      </c>
    </row>
    <row r="398" spans="1:2" x14ac:dyDescent="0.15">
      <c r="A398">
        <v>92125</v>
      </c>
      <c r="B398" t="s">
        <v>516</v>
      </c>
    </row>
    <row r="399" spans="1:2" x14ac:dyDescent="0.15">
      <c r="A399">
        <v>92134</v>
      </c>
      <c r="B399" t="s">
        <v>483</v>
      </c>
    </row>
    <row r="400" spans="1:2" x14ac:dyDescent="0.15">
      <c r="A400">
        <v>92223</v>
      </c>
      <c r="B400" t="s">
        <v>1012</v>
      </c>
    </row>
    <row r="401" spans="1:2" x14ac:dyDescent="0.15">
      <c r="A401">
        <v>92227</v>
      </c>
      <c r="B401" t="s">
        <v>506</v>
      </c>
    </row>
    <row r="402" spans="1:2" x14ac:dyDescent="0.15">
      <c r="A402">
        <v>92236</v>
      </c>
      <c r="B402" t="s">
        <v>513</v>
      </c>
    </row>
    <row r="403" spans="1:2" x14ac:dyDescent="0.15">
      <c r="A403">
        <v>92013</v>
      </c>
      <c r="B403" t="s">
        <v>1010</v>
      </c>
    </row>
    <row r="404" spans="1:2" x14ac:dyDescent="0.15">
      <c r="A404">
        <v>92253</v>
      </c>
      <c r="B404" t="s">
        <v>500</v>
      </c>
    </row>
    <row r="405" spans="1:2" x14ac:dyDescent="0.15">
      <c r="A405">
        <v>92254</v>
      </c>
      <c r="B405" t="s">
        <v>504</v>
      </c>
    </row>
    <row r="406" spans="1:2" x14ac:dyDescent="0.15">
      <c r="A406">
        <v>92274</v>
      </c>
      <c r="B406" t="s">
        <v>510</v>
      </c>
    </row>
    <row r="407" spans="1:2" x14ac:dyDescent="0.15">
      <c r="A407">
        <v>92280</v>
      </c>
      <c r="B407" t="s">
        <v>1011</v>
      </c>
    </row>
    <row r="408" spans="1:2" x14ac:dyDescent="0.15">
      <c r="A408">
        <v>92285</v>
      </c>
      <c r="B408" t="s">
        <v>521</v>
      </c>
    </row>
    <row r="409" spans="1:2" x14ac:dyDescent="0.15">
      <c r="A409">
        <v>92289</v>
      </c>
      <c r="B409" t="s">
        <v>515</v>
      </c>
    </row>
    <row r="410" spans="1:2" x14ac:dyDescent="0.15">
      <c r="A410">
        <v>92014</v>
      </c>
      <c r="B410" t="s">
        <v>520</v>
      </c>
    </row>
    <row r="411" spans="1:2" x14ac:dyDescent="0.15">
      <c r="A411">
        <v>92296</v>
      </c>
      <c r="B411" t="s">
        <v>512</v>
      </c>
    </row>
    <row r="412" spans="1:2" x14ac:dyDescent="0.15">
      <c r="A412">
        <v>92240</v>
      </c>
      <c r="B412" t="s">
        <v>501</v>
      </c>
    </row>
    <row r="413" spans="1:2" x14ac:dyDescent="0.15">
      <c r="A413">
        <v>92292</v>
      </c>
      <c r="B413" t="s">
        <v>517</v>
      </c>
    </row>
    <row r="414" spans="1:2" x14ac:dyDescent="0.15">
      <c r="A414">
        <v>92256</v>
      </c>
      <c r="B414" t="s">
        <v>514</v>
      </c>
    </row>
    <row r="415" spans="1:2" x14ac:dyDescent="0.15">
      <c r="A415">
        <v>92261</v>
      </c>
      <c r="B415" t="s">
        <v>505</v>
      </c>
    </row>
    <row r="416" spans="1:2" x14ac:dyDescent="0.15">
      <c r="A416">
        <v>92275</v>
      </c>
      <c r="B416" t="s">
        <v>518</v>
      </c>
    </row>
    <row r="417" spans="1:2" x14ac:dyDescent="0.15">
      <c r="A417">
        <v>92281</v>
      </c>
      <c r="B417" t="s">
        <v>528</v>
      </c>
    </row>
    <row r="418" spans="1:2" x14ac:dyDescent="0.15">
      <c r="A418">
        <v>92286</v>
      </c>
      <c r="B418" t="s">
        <v>534</v>
      </c>
    </row>
    <row r="419" spans="1:2" x14ac:dyDescent="0.15">
      <c r="A419">
        <v>92290</v>
      </c>
      <c r="B419" t="s">
        <v>531</v>
      </c>
    </row>
    <row r="420" spans="1:2" x14ac:dyDescent="0.15">
      <c r="A420">
        <v>92026</v>
      </c>
      <c r="B420" t="s">
        <v>511</v>
      </c>
    </row>
    <row r="421" spans="1:2" x14ac:dyDescent="0.15">
      <c r="A421">
        <v>92255</v>
      </c>
      <c r="B421" t="s">
        <v>525</v>
      </c>
    </row>
    <row r="422" spans="1:2" x14ac:dyDescent="0.15">
      <c r="A422">
        <v>92297</v>
      </c>
      <c r="B422" t="s">
        <v>533</v>
      </c>
    </row>
    <row r="423" spans="1:2" x14ac:dyDescent="0.15">
      <c r="A423">
        <v>92293</v>
      </c>
      <c r="B423" t="s">
        <v>526</v>
      </c>
    </row>
    <row r="424" spans="1:2" x14ac:dyDescent="0.15">
      <c r="A424">
        <v>92294</v>
      </c>
      <c r="B424" t="s">
        <v>535</v>
      </c>
    </row>
    <row r="425" spans="1:2" x14ac:dyDescent="0.15">
      <c r="A425">
        <v>92295</v>
      </c>
      <c r="B425" t="s">
        <v>538</v>
      </c>
    </row>
    <row r="426" spans="1:2" x14ac:dyDescent="0.15">
      <c r="A426">
        <v>92262</v>
      </c>
      <c r="B426" t="s">
        <v>529</v>
      </c>
    </row>
    <row r="427" spans="1:2" x14ac:dyDescent="0.15">
      <c r="A427">
        <v>92298</v>
      </c>
      <c r="B427" t="s">
        <v>536</v>
      </c>
    </row>
    <row r="428" spans="1:2" x14ac:dyDescent="0.15">
      <c r="A428">
        <v>92276</v>
      </c>
      <c r="B428" t="s">
        <v>530</v>
      </c>
    </row>
    <row r="429" spans="1:2" x14ac:dyDescent="0.15">
      <c r="A429">
        <v>92282</v>
      </c>
      <c r="B429" t="s">
        <v>532</v>
      </c>
    </row>
    <row r="430" spans="1:2" x14ac:dyDescent="0.15">
      <c r="A430">
        <v>92299</v>
      </c>
      <c r="B430" t="s">
        <v>539</v>
      </c>
    </row>
    <row r="431" spans="1:2" x14ac:dyDescent="0.15">
      <c r="A431">
        <v>92291</v>
      </c>
      <c r="B431" t="s">
        <v>537</v>
      </c>
    </row>
    <row r="432" spans="1:2" x14ac:dyDescent="0.15">
      <c r="A432">
        <v>93233</v>
      </c>
      <c r="B432" t="s">
        <v>1015</v>
      </c>
    </row>
    <row r="433" spans="1:2" x14ac:dyDescent="0.15">
      <c r="A433">
        <v>93122</v>
      </c>
      <c r="B433" t="s">
        <v>1026</v>
      </c>
    </row>
    <row r="434" spans="1:2" x14ac:dyDescent="0.15">
      <c r="A434">
        <v>93141</v>
      </c>
      <c r="B434" t="s">
        <v>1013</v>
      </c>
    </row>
    <row r="435" spans="1:2" x14ac:dyDescent="0.15">
      <c r="A435">
        <v>93245</v>
      </c>
      <c r="B435" t="s">
        <v>1027</v>
      </c>
    </row>
    <row r="436" spans="1:2" x14ac:dyDescent="0.15">
      <c r="A436">
        <v>93251</v>
      </c>
      <c r="B436" t="s">
        <v>540</v>
      </c>
    </row>
    <row r="437" spans="1:2" x14ac:dyDescent="0.15">
      <c r="A437">
        <v>93264</v>
      </c>
      <c r="B437" t="s">
        <v>1017</v>
      </c>
    </row>
    <row r="438" spans="1:2" x14ac:dyDescent="0.15">
      <c r="A438">
        <v>93271</v>
      </c>
      <c r="B438" t="s">
        <v>541</v>
      </c>
    </row>
    <row r="439" spans="1:2" x14ac:dyDescent="0.15">
      <c r="A439">
        <v>93278</v>
      </c>
      <c r="B439" t="s">
        <v>562</v>
      </c>
    </row>
    <row r="440" spans="1:2" x14ac:dyDescent="0.15">
      <c r="A440">
        <v>93283</v>
      </c>
      <c r="B440" t="s">
        <v>545</v>
      </c>
    </row>
    <row r="441" spans="1:2" x14ac:dyDescent="0.15">
      <c r="A441">
        <v>93287</v>
      </c>
      <c r="B441" t="s">
        <v>546</v>
      </c>
    </row>
    <row r="442" spans="1:2" x14ac:dyDescent="0.15">
      <c r="A442">
        <v>93142</v>
      </c>
      <c r="B442" t="s">
        <v>1018</v>
      </c>
    </row>
    <row r="443" spans="1:2" x14ac:dyDescent="0.15">
      <c r="A443">
        <v>93235</v>
      </c>
      <c r="B443" t="s">
        <v>565</v>
      </c>
    </row>
    <row r="444" spans="1:2" x14ac:dyDescent="0.15">
      <c r="A444">
        <v>93012</v>
      </c>
      <c r="B444" t="s">
        <v>1028</v>
      </c>
    </row>
    <row r="445" spans="1:2" x14ac:dyDescent="0.15">
      <c r="A445">
        <v>93252</v>
      </c>
      <c r="B445" t="s">
        <v>1029</v>
      </c>
    </row>
    <row r="446" spans="1:2" x14ac:dyDescent="0.15">
      <c r="A446">
        <v>93124</v>
      </c>
      <c r="B446" t="s">
        <v>1003</v>
      </c>
    </row>
    <row r="447" spans="1:2" x14ac:dyDescent="0.15">
      <c r="A447">
        <v>93272</v>
      </c>
      <c r="B447" t="s">
        <v>1016</v>
      </c>
    </row>
    <row r="448" spans="1:2" x14ac:dyDescent="0.15">
      <c r="A448">
        <v>93273</v>
      </c>
      <c r="B448" t="s">
        <v>561</v>
      </c>
    </row>
    <row r="449" spans="1:2" x14ac:dyDescent="0.15">
      <c r="A449">
        <v>93279</v>
      </c>
      <c r="B449" t="s">
        <v>560</v>
      </c>
    </row>
    <row r="450" spans="1:2" x14ac:dyDescent="0.15">
      <c r="A450">
        <v>93284</v>
      </c>
      <c r="B450" t="s">
        <v>547</v>
      </c>
    </row>
    <row r="451" spans="1:2" x14ac:dyDescent="0.15">
      <c r="A451">
        <v>93288</v>
      </c>
      <c r="B451" t="s">
        <v>557</v>
      </c>
    </row>
    <row r="452" spans="1:2" x14ac:dyDescent="0.15">
      <c r="A452">
        <v>93125</v>
      </c>
      <c r="B452" t="s">
        <v>554</v>
      </c>
    </row>
    <row r="453" spans="1:2" x14ac:dyDescent="0.15">
      <c r="A453">
        <v>93134</v>
      </c>
      <c r="B453" t="s">
        <v>1030</v>
      </c>
    </row>
    <row r="454" spans="1:2" x14ac:dyDescent="0.15">
      <c r="A454">
        <v>93223</v>
      </c>
      <c r="B454" t="s">
        <v>1022</v>
      </c>
    </row>
    <row r="455" spans="1:2" x14ac:dyDescent="0.15">
      <c r="A455">
        <v>93227</v>
      </c>
      <c r="B455" t="s">
        <v>544</v>
      </c>
    </row>
    <row r="456" spans="1:2" x14ac:dyDescent="0.15">
      <c r="A456">
        <v>93236</v>
      </c>
      <c r="B456" t="s">
        <v>551</v>
      </c>
    </row>
    <row r="457" spans="1:2" x14ac:dyDescent="0.15">
      <c r="A457">
        <v>93013</v>
      </c>
      <c r="B457" t="s">
        <v>1019</v>
      </c>
    </row>
    <row r="458" spans="1:2" x14ac:dyDescent="0.15">
      <c r="A458">
        <v>93253</v>
      </c>
      <c r="B458" t="s">
        <v>1014</v>
      </c>
    </row>
    <row r="459" spans="1:2" x14ac:dyDescent="0.15">
      <c r="A459">
        <v>93254</v>
      </c>
      <c r="B459" t="s">
        <v>542</v>
      </c>
    </row>
    <row r="460" spans="1:2" x14ac:dyDescent="0.15">
      <c r="A460">
        <v>93274</v>
      </c>
      <c r="B460" t="s">
        <v>548</v>
      </c>
    </row>
    <row r="461" spans="1:2" x14ac:dyDescent="0.15">
      <c r="A461">
        <v>93280</v>
      </c>
      <c r="B461" t="s">
        <v>1021</v>
      </c>
    </row>
    <row r="462" spans="1:2" x14ac:dyDescent="0.15">
      <c r="A462">
        <v>93285</v>
      </c>
      <c r="B462" t="s">
        <v>559</v>
      </c>
    </row>
    <row r="463" spans="1:2" x14ac:dyDescent="0.15">
      <c r="A463">
        <v>93289</v>
      </c>
      <c r="B463" t="s">
        <v>553</v>
      </c>
    </row>
    <row r="464" spans="1:2" x14ac:dyDescent="0.15">
      <c r="A464">
        <v>93014</v>
      </c>
      <c r="B464" t="s">
        <v>558</v>
      </c>
    </row>
    <row r="465" spans="1:2" x14ac:dyDescent="0.15">
      <c r="A465">
        <v>93296</v>
      </c>
      <c r="B465" t="s">
        <v>550</v>
      </c>
    </row>
    <row r="466" spans="1:2" x14ac:dyDescent="0.15">
      <c r="A466">
        <v>93240</v>
      </c>
      <c r="B466" t="s">
        <v>1020</v>
      </c>
    </row>
    <row r="467" spans="1:2" x14ac:dyDescent="0.15">
      <c r="A467">
        <v>93292</v>
      </c>
      <c r="B467" t="s">
        <v>555</v>
      </c>
    </row>
    <row r="468" spans="1:2" x14ac:dyDescent="0.15">
      <c r="A468">
        <v>93256</v>
      </c>
      <c r="B468" t="s">
        <v>552</v>
      </c>
    </row>
    <row r="469" spans="1:2" x14ac:dyDescent="0.15">
      <c r="A469">
        <v>93261</v>
      </c>
      <c r="B469" t="s">
        <v>543</v>
      </c>
    </row>
    <row r="470" spans="1:2" x14ac:dyDescent="0.15">
      <c r="A470">
        <v>93275</v>
      </c>
      <c r="B470" t="s">
        <v>556</v>
      </c>
    </row>
    <row r="471" spans="1:2" x14ac:dyDescent="0.15">
      <c r="A471">
        <v>93281</v>
      </c>
      <c r="B471" t="s">
        <v>566</v>
      </c>
    </row>
    <row r="472" spans="1:2" x14ac:dyDescent="0.15">
      <c r="A472">
        <v>93286</v>
      </c>
      <c r="B472" t="s">
        <v>572</v>
      </c>
    </row>
    <row r="473" spans="1:2" x14ac:dyDescent="0.15">
      <c r="A473">
        <v>93290</v>
      </c>
      <c r="B473" t="s">
        <v>569</v>
      </c>
    </row>
    <row r="474" spans="1:2" x14ac:dyDescent="0.15">
      <c r="A474">
        <v>93026</v>
      </c>
      <c r="B474" t="s">
        <v>549</v>
      </c>
    </row>
    <row r="475" spans="1:2" x14ac:dyDescent="0.15">
      <c r="A475">
        <v>93255</v>
      </c>
      <c r="B475" t="s">
        <v>563</v>
      </c>
    </row>
    <row r="476" spans="1:2" x14ac:dyDescent="0.15">
      <c r="A476">
        <v>93297</v>
      </c>
      <c r="B476" t="s">
        <v>571</v>
      </c>
    </row>
    <row r="477" spans="1:2" x14ac:dyDescent="0.15">
      <c r="A477">
        <v>93293</v>
      </c>
      <c r="B477" t="s">
        <v>564</v>
      </c>
    </row>
    <row r="478" spans="1:2" x14ac:dyDescent="0.15">
      <c r="A478">
        <v>93294</v>
      </c>
      <c r="B478" t="s">
        <v>573</v>
      </c>
    </row>
    <row r="479" spans="1:2" x14ac:dyDescent="0.15">
      <c r="A479">
        <v>93295</v>
      </c>
      <c r="B479" t="s">
        <v>576</v>
      </c>
    </row>
    <row r="480" spans="1:2" x14ac:dyDescent="0.15">
      <c r="A480">
        <v>93262</v>
      </c>
      <c r="B480" t="s">
        <v>567</v>
      </c>
    </row>
    <row r="481" spans="1:2" x14ac:dyDescent="0.15">
      <c r="A481">
        <v>93298</v>
      </c>
      <c r="B481" t="s">
        <v>574</v>
      </c>
    </row>
    <row r="482" spans="1:2" x14ac:dyDescent="0.15">
      <c r="A482">
        <v>93276</v>
      </c>
      <c r="B482" t="s">
        <v>568</v>
      </c>
    </row>
    <row r="483" spans="1:2" x14ac:dyDescent="0.15">
      <c r="A483">
        <v>93282</v>
      </c>
      <c r="B483" t="s">
        <v>570</v>
      </c>
    </row>
    <row r="484" spans="1:2" x14ac:dyDescent="0.15">
      <c r="A484">
        <v>93299</v>
      </c>
      <c r="B484" t="s">
        <v>577</v>
      </c>
    </row>
    <row r="485" spans="1:2" x14ac:dyDescent="0.15">
      <c r="A485">
        <v>93291</v>
      </c>
      <c r="B485" t="s">
        <v>575</v>
      </c>
    </row>
    <row r="486" spans="1:2" x14ac:dyDescent="0.15">
      <c r="A486">
        <v>101101</v>
      </c>
      <c r="B486" t="s">
        <v>997</v>
      </c>
    </row>
    <row r="487" spans="1:2" x14ac:dyDescent="0.15">
      <c r="A487">
        <v>101102</v>
      </c>
      <c r="B487" t="s">
        <v>160</v>
      </c>
    </row>
    <row r="488" spans="1:2" x14ac:dyDescent="0.15">
      <c r="A488">
        <v>101103</v>
      </c>
      <c r="B488" t="s">
        <v>136</v>
      </c>
    </row>
    <row r="489" spans="1:2" x14ac:dyDescent="0.15">
      <c r="A489">
        <v>101104</v>
      </c>
      <c r="B489" t="s">
        <v>161</v>
      </c>
    </row>
    <row r="490" spans="1:2" x14ac:dyDescent="0.15">
      <c r="A490">
        <v>101105</v>
      </c>
      <c r="B490" t="s">
        <v>162</v>
      </c>
    </row>
    <row r="491" spans="1:2" x14ac:dyDescent="0.15">
      <c r="A491">
        <v>101106</v>
      </c>
      <c r="B491" t="s">
        <v>476</v>
      </c>
    </row>
    <row r="492" spans="1:2" x14ac:dyDescent="0.15">
      <c r="A492">
        <v>101107</v>
      </c>
      <c r="B492" t="s">
        <v>948</v>
      </c>
    </row>
    <row r="493" spans="1:2" x14ac:dyDescent="0.15">
      <c r="A493">
        <v>101108</v>
      </c>
      <c r="B493" t="s">
        <v>137</v>
      </c>
    </row>
    <row r="494" spans="1:2" x14ac:dyDescent="0.15">
      <c r="A494">
        <v>101109</v>
      </c>
      <c r="B494" t="s">
        <v>138</v>
      </c>
    </row>
    <row r="495" spans="1:2" x14ac:dyDescent="0.15">
      <c r="A495">
        <v>101110</v>
      </c>
      <c r="B495" t="s">
        <v>477</v>
      </c>
    </row>
    <row r="496" spans="1:2" x14ac:dyDescent="0.15">
      <c r="A496">
        <v>101111</v>
      </c>
      <c r="B496" t="s">
        <v>478</v>
      </c>
    </row>
    <row r="497" spans="1:2" x14ac:dyDescent="0.15">
      <c r="A497">
        <v>101112</v>
      </c>
      <c r="B497" t="s">
        <v>163</v>
      </c>
    </row>
    <row r="498" spans="1:2" x14ac:dyDescent="0.15">
      <c r="A498">
        <v>101113</v>
      </c>
      <c r="B498" t="s">
        <v>479</v>
      </c>
    </row>
    <row r="499" spans="1:2" x14ac:dyDescent="0.15">
      <c r="A499">
        <v>101114</v>
      </c>
      <c r="B499" t="s">
        <v>480</v>
      </c>
    </row>
    <row r="500" spans="1:2" x14ac:dyDescent="0.15">
      <c r="A500">
        <v>101115</v>
      </c>
      <c r="B500" t="s">
        <v>481</v>
      </c>
    </row>
    <row r="501" spans="1:2" x14ac:dyDescent="0.15">
      <c r="A501">
        <v>101116</v>
      </c>
      <c r="B501" t="s">
        <v>139</v>
      </c>
    </row>
    <row r="502" spans="1:2" x14ac:dyDescent="0.15">
      <c r="A502">
        <v>101117</v>
      </c>
      <c r="B502" t="s">
        <v>1006</v>
      </c>
    </row>
    <row r="503" spans="1:2" x14ac:dyDescent="0.15">
      <c r="A503">
        <v>101118</v>
      </c>
      <c r="B503" t="s">
        <v>1007</v>
      </c>
    </row>
    <row r="504" spans="1:2" x14ac:dyDescent="0.15">
      <c r="A504">
        <v>101119</v>
      </c>
      <c r="B504" t="s">
        <v>1008</v>
      </c>
    </row>
    <row r="505" spans="1:2" x14ac:dyDescent="0.15">
      <c r="A505">
        <v>59001</v>
      </c>
      <c r="B505" t="s">
        <v>781</v>
      </c>
    </row>
    <row r="506" spans="1:2" x14ac:dyDescent="0.15">
      <c r="A506">
        <v>59002</v>
      </c>
      <c r="B506" t="s">
        <v>782</v>
      </c>
    </row>
    <row r="507" spans="1:2" x14ac:dyDescent="0.15">
      <c r="A507">
        <v>59003</v>
      </c>
      <c r="B507" t="s">
        <v>355</v>
      </c>
    </row>
    <row r="508" spans="1:2" x14ac:dyDescent="0.15">
      <c r="A508">
        <v>59004</v>
      </c>
      <c r="B508" t="s">
        <v>783</v>
      </c>
    </row>
    <row r="509" spans="1:2" x14ac:dyDescent="0.15">
      <c r="A509">
        <v>59005</v>
      </c>
      <c r="B509" t="s">
        <v>784</v>
      </c>
    </row>
    <row r="510" spans="1:2" x14ac:dyDescent="0.15">
      <c r="A510">
        <v>59006</v>
      </c>
      <c r="B510" t="s">
        <v>785</v>
      </c>
    </row>
    <row r="511" spans="1:2" x14ac:dyDescent="0.15">
      <c r="A511">
        <v>59007</v>
      </c>
      <c r="B511" t="s">
        <v>356</v>
      </c>
    </row>
    <row r="512" spans="1:2" x14ac:dyDescent="0.15">
      <c r="A512">
        <v>59008</v>
      </c>
      <c r="B512" t="s">
        <v>67</v>
      </c>
    </row>
    <row r="513" spans="1:2" x14ac:dyDescent="0.15">
      <c r="A513">
        <v>59009</v>
      </c>
      <c r="B513" t="s">
        <v>786</v>
      </c>
    </row>
    <row r="514" spans="1:2" x14ac:dyDescent="0.15">
      <c r="A514">
        <v>59010</v>
      </c>
      <c r="B514" t="s">
        <v>787</v>
      </c>
    </row>
    <row r="515" spans="1:2" x14ac:dyDescent="0.15">
      <c r="A515">
        <v>59030</v>
      </c>
      <c r="B515" t="s">
        <v>949</v>
      </c>
    </row>
    <row r="516" spans="1:2" x14ac:dyDescent="0.15">
      <c r="A516">
        <v>8001</v>
      </c>
      <c r="B516" t="s">
        <v>688</v>
      </c>
    </row>
    <row r="517" spans="1:2" x14ac:dyDescent="0.15">
      <c r="A517">
        <v>8110</v>
      </c>
      <c r="B517" t="s">
        <v>689</v>
      </c>
    </row>
    <row r="518" spans="1:2" x14ac:dyDescent="0.15">
      <c r="A518">
        <v>8210</v>
      </c>
      <c r="B518" t="s">
        <v>690</v>
      </c>
    </row>
    <row r="519" spans="1:2" x14ac:dyDescent="0.15">
      <c r="A519">
        <v>8310</v>
      </c>
      <c r="B519" t="s">
        <v>691</v>
      </c>
    </row>
    <row r="520" spans="1:2" x14ac:dyDescent="0.15">
      <c r="A520">
        <v>8120</v>
      </c>
      <c r="B520" t="s">
        <v>692</v>
      </c>
    </row>
    <row r="521" spans="1:2" x14ac:dyDescent="0.15">
      <c r="A521">
        <v>8220</v>
      </c>
      <c r="B521" t="s">
        <v>693</v>
      </c>
    </row>
    <row r="522" spans="1:2" x14ac:dyDescent="0.15">
      <c r="A522">
        <v>8320</v>
      </c>
      <c r="B522" t="s">
        <v>313</v>
      </c>
    </row>
    <row r="523" spans="1:2" x14ac:dyDescent="0.15">
      <c r="A523">
        <v>8420</v>
      </c>
      <c r="B523" t="s">
        <v>694</v>
      </c>
    </row>
    <row r="524" spans="1:2" x14ac:dyDescent="0.15">
      <c r="A524">
        <v>8520</v>
      </c>
      <c r="B524" t="s">
        <v>695</v>
      </c>
    </row>
    <row r="525" spans="1:2" x14ac:dyDescent="0.15">
      <c r="A525">
        <v>8620</v>
      </c>
      <c r="B525" t="s">
        <v>696</v>
      </c>
    </row>
    <row r="526" spans="1:2" x14ac:dyDescent="0.15">
      <c r="A526">
        <v>8720</v>
      </c>
      <c r="B526" t="s">
        <v>697</v>
      </c>
    </row>
    <row r="527" spans="1:2" x14ac:dyDescent="0.15">
      <c r="A527">
        <v>8820</v>
      </c>
      <c r="B527" t="s">
        <v>698</v>
      </c>
    </row>
    <row r="528" spans="1:2" x14ac:dyDescent="0.15">
      <c r="A528">
        <v>8130</v>
      </c>
      <c r="B528" t="s">
        <v>940</v>
      </c>
    </row>
    <row r="529" spans="1:2" x14ac:dyDescent="0.15">
      <c r="A529">
        <v>8230</v>
      </c>
      <c r="B529" t="s">
        <v>314</v>
      </c>
    </row>
    <row r="530" spans="1:2" x14ac:dyDescent="0.15">
      <c r="A530">
        <v>8330</v>
      </c>
      <c r="B530" t="s">
        <v>315</v>
      </c>
    </row>
    <row r="531" spans="1:2" x14ac:dyDescent="0.15">
      <c r="A531">
        <v>8430</v>
      </c>
      <c r="B531" t="s">
        <v>316</v>
      </c>
    </row>
    <row r="532" spans="1:2" x14ac:dyDescent="0.15">
      <c r="A532">
        <v>8530</v>
      </c>
      <c r="B532" t="s">
        <v>317</v>
      </c>
    </row>
    <row r="533" spans="1:2" x14ac:dyDescent="0.15">
      <c r="A533">
        <v>8630</v>
      </c>
      <c r="B533" t="s">
        <v>318</v>
      </c>
    </row>
    <row r="534" spans="1:2" x14ac:dyDescent="0.15">
      <c r="A534">
        <v>8730</v>
      </c>
      <c r="B534" t="s">
        <v>319</v>
      </c>
    </row>
    <row r="535" spans="1:2" x14ac:dyDescent="0.15">
      <c r="A535">
        <v>8830</v>
      </c>
      <c r="B535" t="s">
        <v>159</v>
      </c>
    </row>
    <row r="536" spans="1:2" x14ac:dyDescent="0.15">
      <c r="A536">
        <v>8930</v>
      </c>
      <c r="B536" t="s">
        <v>320</v>
      </c>
    </row>
    <row r="537" spans="1:2" x14ac:dyDescent="0.15">
      <c r="A537">
        <v>9030</v>
      </c>
      <c r="B537" t="s">
        <v>321</v>
      </c>
    </row>
    <row r="538" spans="1:2" x14ac:dyDescent="0.15">
      <c r="A538">
        <v>9130</v>
      </c>
      <c r="B538" t="s">
        <v>699</v>
      </c>
    </row>
    <row r="539" spans="1:2" x14ac:dyDescent="0.15">
      <c r="A539">
        <v>9230</v>
      </c>
      <c r="B539" t="s">
        <v>322</v>
      </c>
    </row>
    <row r="540" spans="1:2" x14ac:dyDescent="0.15">
      <c r="A540">
        <v>8140</v>
      </c>
      <c r="B540" t="s">
        <v>152</v>
      </c>
    </row>
    <row r="541" spans="1:2" x14ac:dyDescent="0.15">
      <c r="A541">
        <v>8240</v>
      </c>
      <c r="B541" t="s">
        <v>323</v>
      </c>
    </row>
    <row r="542" spans="1:2" x14ac:dyDescent="0.15">
      <c r="A542">
        <v>8340</v>
      </c>
      <c r="B542" t="s">
        <v>324</v>
      </c>
    </row>
    <row r="543" spans="1:2" x14ac:dyDescent="0.15">
      <c r="A543">
        <v>8440</v>
      </c>
      <c r="B543" t="s">
        <v>325</v>
      </c>
    </row>
    <row r="544" spans="1:2" x14ac:dyDescent="0.15">
      <c r="A544">
        <v>8540</v>
      </c>
      <c r="B544" t="s">
        <v>326</v>
      </c>
    </row>
    <row r="545" spans="1:2" x14ac:dyDescent="0.15">
      <c r="A545">
        <v>8640</v>
      </c>
      <c r="B545" t="s">
        <v>327</v>
      </c>
    </row>
    <row r="546" spans="1:2" x14ac:dyDescent="0.15">
      <c r="A546">
        <v>8740</v>
      </c>
      <c r="B546" t="s">
        <v>328</v>
      </c>
    </row>
    <row r="547" spans="1:2" x14ac:dyDescent="0.15">
      <c r="A547">
        <v>8840</v>
      </c>
      <c r="B547" t="s">
        <v>700</v>
      </c>
    </row>
    <row r="548" spans="1:2" x14ac:dyDescent="0.15">
      <c r="A548">
        <v>8940</v>
      </c>
      <c r="B548" t="s">
        <v>156</v>
      </c>
    </row>
    <row r="549" spans="1:2" x14ac:dyDescent="0.15">
      <c r="A549">
        <v>9040</v>
      </c>
      <c r="B549" t="s">
        <v>701</v>
      </c>
    </row>
    <row r="550" spans="1:2" x14ac:dyDescent="0.15">
      <c r="A550">
        <v>9140</v>
      </c>
      <c r="B550" t="s">
        <v>329</v>
      </c>
    </row>
    <row r="551" spans="1:2" x14ac:dyDescent="0.15">
      <c r="A551">
        <v>9240</v>
      </c>
      <c r="B551" t="s">
        <v>154</v>
      </c>
    </row>
    <row r="552" spans="1:2" x14ac:dyDescent="0.15">
      <c r="A552">
        <v>9340</v>
      </c>
      <c r="B552" t="s">
        <v>702</v>
      </c>
    </row>
    <row r="553" spans="1:2" x14ac:dyDescent="0.15">
      <c r="A553">
        <v>9440</v>
      </c>
      <c r="B553" t="s">
        <v>702</v>
      </c>
    </row>
    <row r="554" spans="1:2" x14ac:dyDescent="0.15">
      <c r="A554">
        <v>9540</v>
      </c>
      <c r="B554" t="s">
        <v>153</v>
      </c>
    </row>
    <row r="555" spans="1:2" x14ac:dyDescent="0.15">
      <c r="A555">
        <v>9640</v>
      </c>
      <c r="B555" t="s">
        <v>158</v>
      </c>
    </row>
    <row r="556" spans="1:2" x14ac:dyDescent="0.15">
      <c r="A556">
        <v>9740</v>
      </c>
      <c r="B556" t="s">
        <v>155</v>
      </c>
    </row>
    <row r="557" spans="1:2" x14ac:dyDescent="0.15">
      <c r="A557">
        <v>9840</v>
      </c>
      <c r="B557" t="s">
        <v>703</v>
      </c>
    </row>
    <row r="558" spans="1:2" x14ac:dyDescent="0.15">
      <c r="A558">
        <v>8150</v>
      </c>
      <c r="B558" t="s">
        <v>704</v>
      </c>
    </row>
    <row r="559" spans="1:2" x14ac:dyDescent="0.15">
      <c r="A559">
        <v>8250</v>
      </c>
      <c r="B559" t="s">
        <v>705</v>
      </c>
    </row>
    <row r="560" spans="1:2" x14ac:dyDescent="0.15">
      <c r="A560">
        <v>8350</v>
      </c>
      <c r="B560" t="s">
        <v>706</v>
      </c>
    </row>
    <row r="561" spans="1:2" x14ac:dyDescent="0.15">
      <c r="A561">
        <v>8450</v>
      </c>
      <c r="B561" t="s">
        <v>707</v>
      </c>
    </row>
    <row r="562" spans="1:2" x14ac:dyDescent="0.15">
      <c r="A562">
        <v>8550</v>
      </c>
      <c r="B562" t="s">
        <v>708</v>
      </c>
    </row>
    <row r="563" spans="1:2" x14ac:dyDescent="0.15">
      <c r="A563">
        <v>8650</v>
      </c>
      <c r="B563" t="s">
        <v>151</v>
      </c>
    </row>
    <row r="564" spans="1:2" x14ac:dyDescent="0.15">
      <c r="A564">
        <v>8750</v>
      </c>
      <c r="B564" t="s">
        <v>709</v>
      </c>
    </row>
    <row r="565" spans="1:2" x14ac:dyDescent="0.15">
      <c r="A565">
        <v>8850</v>
      </c>
      <c r="B565" t="s">
        <v>710</v>
      </c>
    </row>
    <row r="566" spans="1:2" x14ac:dyDescent="0.15">
      <c r="A566">
        <v>8950</v>
      </c>
      <c r="B566" t="s">
        <v>711</v>
      </c>
    </row>
    <row r="567" spans="1:2" x14ac:dyDescent="0.15">
      <c r="A567">
        <v>9050</v>
      </c>
      <c r="B567" t="s">
        <v>712</v>
      </c>
    </row>
    <row r="568" spans="1:2" x14ac:dyDescent="0.15">
      <c r="A568">
        <v>9150</v>
      </c>
      <c r="B568" t="s">
        <v>713</v>
      </c>
    </row>
    <row r="569" spans="1:2" x14ac:dyDescent="0.15">
      <c r="A569">
        <v>9250</v>
      </c>
      <c r="B569" t="s">
        <v>714</v>
      </c>
    </row>
    <row r="570" spans="1:2" x14ac:dyDescent="0.15">
      <c r="A570">
        <v>9350</v>
      </c>
      <c r="B570" t="s">
        <v>715</v>
      </c>
    </row>
    <row r="571" spans="1:2" x14ac:dyDescent="0.15">
      <c r="A571">
        <v>9450</v>
      </c>
      <c r="B571" t="s">
        <v>716</v>
      </c>
    </row>
    <row r="572" spans="1:2" x14ac:dyDescent="0.15">
      <c r="A572">
        <v>9550</v>
      </c>
      <c r="B572" t="s">
        <v>717</v>
      </c>
    </row>
    <row r="573" spans="1:2" x14ac:dyDescent="0.15">
      <c r="A573">
        <v>9650</v>
      </c>
      <c r="B573" t="s">
        <v>718</v>
      </c>
    </row>
    <row r="574" spans="1:2" x14ac:dyDescent="0.15">
      <c r="A574">
        <v>9750</v>
      </c>
      <c r="B574" t="s">
        <v>719</v>
      </c>
    </row>
    <row r="575" spans="1:2" x14ac:dyDescent="0.15">
      <c r="A575">
        <v>9850</v>
      </c>
      <c r="B575" t="s">
        <v>720</v>
      </c>
    </row>
    <row r="576" spans="1:2" x14ac:dyDescent="0.15">
      <c r="A576">
        <v>8840</v>
      </c>
      <c r="B576" t="s">
        <v>721</v>
      </c>
    </row>
    <row r="577" spans="1:2" x14ac:dyDescent="0.15">
      <c r="A577">
        <v>8940</v>
      </c>
      <c r="B577" t="s">
        <v>156</v>
      </c>
    </row>
    <row r="578" spans="1:2" x14ac:dyDescent="0.15">
      <c r="A578">
        <v>9040</v>
      </c>
      <c r="B578" t="s">
        <v>722</v>
      </c>
    </row>
    <row r="579" spans="1:2" x14ac:dyDescent="0.15">
      <c r="A579">
        <v>9140</v>
      </c>
      <c r="B579" t="s">
        <v>329</v>
      </c>
    </row>
    <row r="580" spans="1:2" x14ac:dyDescent="0.15">
      <c r="A580">
        <v>9240</v>
      </c>
      <c r="B580" t="s">
        <v>154</v>
      </c>
    </row>
    <row r="581" spans="1:2" x14ac:dyDescent="0.15">
      <c r="A581">
        <v>9340</v>
      </c>
      <c r="B581" t="s">
        <v>157</v>
      </c>
    </row>
    <row r="582" spans="1:2" x14ac:dyDescent="0.15">
      <c r="A582">
        <v>9440</v>
      </c>
      <c r="B582" t="s">
        <v>723</v>
      </c>
    </row>
    <row r="583" spans="1:2" x14ac:dyDescent="0.15">
      <c r="A583">
        <v>9540</v>
      </c>
      <c r="B583" t="s">
        <v>153</v>
      </c>
    </row>
    <row r="584" spans="1:2" x14ac:dyDescent="0.15">
      <c r="A584">
        <v>9640</v>
      </c>
      <c r="B584" t="s">
        <v>158</v>
      </c>
    </row>
    <row r="585" spans="1:2" x14ac:dyDescent="0.15">
      <c r="A585">
        <v>9740</v>
      </c>
      <c r="B585" t="s">
        <v>155</v>
      </c>
    </row>
    <row r="586" spans="1:2" x14ac:dyDescent="0.15">
      <c r="A586">
        <v>9840</v>
      </c>
      <c r="B586" t="s">
        <v>741</v>
      </c>
    </row>
    <row r="587" spans="1:2" x14ac:dyDescent="0.15">
      <c r="A587">
        <v>8150</v>
      </c>
      <c r="B587" t="s">
        <v>724</v>
      </c>
    </row>
    <row r="588" spans="1:2" x14ac:dyDescent="0.15">
      <c r="A588">
        <v>8250</v>
      </c>
      <c r="B588" t="s">
        <v>725</v>
      </c>
    </row>
    <row r="589" spans="1:2" x14ac:dyDescent="0.15">
      <c r="A589">
        <v>8350</v>
      </c>
      <c r="B589" t="s">
        <v>726</v>
      </c>
    </row>
    <row r="590" spans="1:2" x14ac:dyDescent="0.15">
      <c r="A590">
        <v>8450</v>
      </c>
      <c r="B590" t="s">
        <v>727</v>
      </c>
    </row>
    <row r="591" spans="1:2" x14ac:dyDescent="0.15">
      <c r="A591">
        <v>8550</v>
      </c>
      <c r="B591" t="s">
        <v>728</v>
      </c>
    </row>
    <row r="592" spans="1:2" x14ac:dyDescent="0.15">
      <c r="A592">
        <v>8650</v>
      </c>
      <c r="B592" t="s">
        <v>151</v>
      </c>
    </row>
    <row r="593" spans="1:2" x14ac:dyDescent="0.15">
      <c r="A593">
        <v>8750</v>
      </c>
      <c r="B593" t="s">
        <v>729</v>
      </c>
    </row>
    <row r="594" spans="1:2" x14ac:dyDescent="0.15">
      <c r="A594">
        <v>8850</v>
      </c>
      <c r="B594" t="s">
        <v>730</v>
      </c>
    </row>
    <row r="595" spans="1:2" x14ac:dyDescent="0.15">
      <c r="A595">
        <v>8950</v>
      </c>
      <c r="B595" t="s">
        <v>731</v>
      </c>
    </row>
    <row r="596" spans="1:2" x14ac:dyDescent="0.15">
      <c r="A596">
        <v>9050</v>
      </c>
      <c r="B596" t="s">
        <v>732</v>
      </c>
    </row>
    <row r="597" spans="1:2" x14ac:dyDescent="0.15">
      <c r="A597">
        <v>9150</v>
      </c>
      <c r="B597" t="s">
        <v>733</v>
      </c>
    </row>
    <row r="598" spans="1:2" x14ac:dyDescent="0.15">
      <c r="A598">
        <v>9250</v>
      </c>
      <c r="B598" t="s">
        <v>734</v>
      </c>
    </row>
    <row r="599" spans="1:2" x14ac:dyDescent="0.15">
      <c r="A599">
        <v>9350</v>
      </c>
      <c r="B599" t="s">
        <v>735</v>
      </c>
    </row>
    <row r="600" spans="1:2" x14ac:dyDescent="0.15">
      <c r="A600">
        <v>9450</v>
      </c>
      <c r="B600" t="s">
        <v>736</v>
      </c>
    </row>
    <row r="601" spans="1:2" x14ac:dyDescent="0.15">
      <c r="A601">
        <v>9550</v>
      </c>
      <c r="B601" t="s">
        <v>737</v>
      </c>
    </row>
    <row r="602" spans="1:2" x14ac:dyDescent="0.15">
      <c r="A602">
        <v>9650</v>
      </c>
      <c r="B602" t="s">
        <v>738</v>
      </c>
    </row>
    <row r="603" spans="1:2" x14ac:dyDescent="0.15">
      <c r="A603">
        <v>9750</v>
      </c>
      <c r="B603" t="s">
        <v>739</v>
      </c>
    </row>
    <row r="604" spans="1:2" x14ac:dyDescent="0.15">
      <c r="A604">
        <v>9850</v>
      </c>
      <c r="B604" t="s">
        <v>740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61"/>
  <sheetViews>
    <sheetView workbookViewId="0">
      <selection activeCell="F7" sqref="F7"/>
    </sheetView>
  </sheetViews>
  <sheetFormatPr defaultRowHeight="13.5" x14ac:dyDescent="0.15"/>
  <cols>
    <col min="1" max="1" width="5.5" bestFit="1" customWidth="1"/>
    <col min="2" max="2" width="9.5" bestFit="1" customWidth="1"/>
  </cols>
  <sheetData>
    <row r="1" spans="1:9" x14ac:dyDescent="0.15">
      <c r="A1" t="s">
        <v>131</v>
      </c>
      <c r="B1" t="s">
        <v>132</v>
      </c>
    </row>
    <row r="2" spans="1:9" x14ac:dyDescent="0.15">
      <c r="A2">
        <f>[7]命格辅助表!A93</f>
        <v>8001</v>
      </c>
      <c r="B2" t="s">
        <v>688</v>
      </c>
      <c r="F2" t="str">
        <f>[7]猎命辅助表!E10</f>
        <v>概率分布</v>
      </c>
      <c r="G2" t="str">
        <f>[7]猎命辅助表!F10</f>
        <v>每价格经验</v>
      </c>
      <c r="H2">
        <f>[7]猎命辅助表!G10</f>
        <v>0</v>
      </c>
      <c r="I2">
        <f>[7]猎命辅助表!H10</f>
        <v>0</v>
      </c>
    </row>
    <row r="3" spans="1:9" x14ac:dyDescent="0.15">
      <c r="A3">
        <f>[7]命格辅助表!A94</f>
        <v>8110</v>
      </c>
      <c r="B3" t="s">
        <v>689</v>
      </c>
      <c r="F3">
        <f>[7]猎命辅助表!E11</f>
        <v>0.507292327203551</v>
      </c>
      <c r="G3">
        <f>[7]猎命辅助表!F11</f>
        <v>6.2500000000000003E-3</v>
      </c>
      <c r="H3">
        <f>[7]猎命辅助表!G11</f>
        <v>0</v>
      </c>
      <c r="I3">
        <f>INT([7]猎命辅助表!H11)</f>
        <v>0</v>
      </c>
    </row>
    <row r="4" spans="1:9" x14ac:dyDescent="0.15">
      <c r="A4">
        <f>[7]命格辅助表!A95</f>
        <v>8210</v>
      </c>
      <c r="B4" t="s">
        <v>690</v>
      </c>
      <c r="F4">
        <f>[7]猎命辅助表!E12</f>
        <v>0.30437539632213056</v>
      </c>
      <c r="G4">
        <f>[7]猎命辅助表!F12</f>
        <v>7.4999999999999997E-3</v>
      </c>
      <c r="H4">
        <f>[7]猎命辅助表!G12</f>
        <v>0</v>
      </c>
      <c r="I4">
        <f>INT([7]猎命辅助表!H12)</f>
        <v>0</v>
      </c>
    </row>
    <row r="5" spans="1:9" x14ac:dyDescent="0.15">
      <c r="A5">
        <f>[7]命格辅助表!A96</f>
        <v>8310</v>
      </c>
      <c r="B5" t="s">
        <v>691</v>
      </c>
      <c r="F5">
        <f>[7]猎命辅助表!E13</f>
        <v>0.13696892834495877</v>
      </c>
      <c r="G5">
        <f>[7]猎命辅助表!F13</f>
        <v>5.5833333333333325E-3</v>
      </c>
      <c r="H5">
        <f>[7]猎命辅助表!G13</f>
        <v>0</v>
      </c>
      <c r="I5">
        <f>INT([7]猎命辅助表!H13)</f>
        <v>0</v>
      </c>
    </row>
    <row r="6" spans="1:9" x14ac:dyDescent="0.15">
      <c r="A6">
        <f>[7]命格辅助表!A97</f>
        <v>8120</v>
      </c>
      <c r="B6" t="s">
        <v>692</v>
      </c>
      <c r="F6">
        <f>[7]猎命辅助表!E14</f>
        <v>4.1090678503487632E-2</v>
      </c>
      <c r="G6">
        <f>[7]猎命辅助表!F14</f>
        <v>4.2399999999999998E-3</v>
      </c>
      <c r="H6">
        <f>[7]猎命辅助表!G14</f>
        <v>0</v>
      </c>
      <c r="I6">
        <f>INT([7]猎命辅助表!H14)</f>
        <v>0</v>
      </c>
    </row>
    <row r="7" spans="1:9" x14ac:dyDescent="0.15">
      <c r="A7">
        <f>[7]命格辅助表!A98</f>
        <v>8220</v>
      </c>
      <c r="B7" t="s">
        <v>693</v>
      </c>
      <c r="F7">
        <f>[7]猎命辅助表!E15</f>
        <v>1.0272669625871908E-2</v>
      </c>
      <c r="G7">
        <f>[7]猎命辅助表!F15</f>
        <v>3.2000000000000002E-3</v>
      </c>
      <c r="H7">
        <f>[7]猎命辅助表!G15</f>
        <v>0</v>
      </c>
      <c r="I7">
        <f>INT([7]猎命辅助表!H15)</f>
        <v>0</v>
      </c>
    </row>
    <row r="8" spans="1:9" x14ac:dyDescent="0.15">
      <c r="A8">
        <f>[7]命格辅助表!A99</f>
        <v>8320</v>
      </c>
      <c r="B8" t="str">
        <f>[7]命格辅助表!B99</f>
        <v>真刚</v>
      </c>
      <c r="F8">
        <f>[7]猎命辅助表!E16</f>
        <v>0</v>
      </c>
      <c r="G8">
        <f>[7]猎命辅助表!F16</f>
        <v>0</v>
      </c>
      <c r="H8">
        <f>[7]猎命辅助表!G16</f>
        <v>0</v>
      </c>
      <c r="I8">
        <f>INT([7]猎命辅助表!H16)</f>
        <v>0</v>
      </c>
    </row>
    <row r="9" spans="1:9" x14ac:dyDescent="0.15">
      <c r="A9">
        <f>[7]命格辅助表!A100</f>
        <v>8420</v>
      </c>
      <c r="B9" t="s">
        <v>694</v>
      </c>
      <c r="F9">
        <f>[7]猎命辅助表!E17</f>
        <v>0</v>
      </c>
      <c r="G9">
        <f>[7]猎命辅助表!F17</f>
        <v>0</v>
      </c>
      <c r="H9">
        <f>[7]猎命辅助表!G17</f>
        <v>0</v>
      </c>
      <c r="I9">
        <f>[7]猎命辅助表!H17</f>
        <v>0</v>
      </c>
    </row>
    <row r="10" spans="1:9" x14ac:dyDescent="0.15">
      <c r="A10">
        <f>[7]命格辅助表!A101</f>
        <v>8520</v>
      </c>
      <c r="B10" t="s">
        <v>695</v>
      </c>
      <c r="F10">
        <f>[7]猎命辅助表!E18</f>
        <v>0</v>
      </c>
      <c r="G10" t="str">
        <f>[7]猎命辅助表!F18</f>
        <v>60级</v>
      </c>
      <c r="H10" t="str">
        <f>[7]猎命辅助表!G18</f>
        <v>80级</v>
      </c>
      <c r="I10">
        <f>[7]猎命辅助表!H18</f>
        <v>0</v>
      </c>
    </row>
    <row r="11" spans="1:9" x14ac:dyDescent="0.15">
      <c r="A11">
        <f>[7]命格辅助表!A102</f>
        <v>8620</v>
      </c>
      <c r="B11" t="s">
        <v>696</v>
      </c>
      <c r="F11" t="str">
        <f>[7]猎命辅助表!E19</f>
        <v>每天获得</v>
      </c>
      <c r="G11" t="str">
        <f>[7]猎命辅助表!F19</f>
        <v>每月获得</v>
      </c>
      <c r="H11" t="str">
        <f>[7]猎命辅助表!G19</f>
        <v>6个月</v>
      </c>
      <c r="I11">
        <f>[7]猎命辅助表!H19</f>
        <v>0</v>
      </c>
    </row>
    <row r="12" spans="1:9" x14ac:dyDescent="0.15">
      <c r="A12">
        <f>[7]命格辅助表!A103</f>
        <v>8720</v>
      </c>
      <c r="B12" t="s">
        <v>697</v>
      </c>
    </row>
    <row r="13" spans="1:9" x14ac:dyDescent="0.15">
      <c r="A13">
        <f>[7]命格辅助表!A104</f>
        <v>8820</v>
      </c>
      <c r="B13" t="s">
        <v>698</v>
      </c>
    </row>
    <row r="14" spans="1:9" x14ac:dyDescent="0.15">
      <c r="A14">
        <f>[7]命格辅助表!A105</f>
        <v>8130</v>
      </c>
      <c r="B14" t="str">
        <f>[7]命格辅助表!B105</f>
        <v>霸主</v>
      </c>
    </row>
    <row r="15" spans="1:9" x14ac:dyDescent="0.15">
      <c r="A15">
        <f>[7]命格辅助表!A106</f>
        <v>8230</v>
      </c>
      <c r="B15" t="str">
        <f>[7]命格辅助表!B106</f>
        <v>虎啸</v>
      </c>
    </row>
    <row r="16" spans="1:9" x14ac:dyDescent="0.15">
      <c r="A16">
        <f>[7]命格辅助表!A107</f>
        <v>8330</v>
      </c>
      <c r="B16" t="str">
        <f>[7]命格辅助表!B107</f>
        <v>豪魄</v>
      </c>
    </row>
    <row r="17" spans="1:2" x14ac:dyDescent="0.15">
      <c r="A17">
        <f>[7]命格辅助表!A108</f>
        <v>8430</v>
      </c>
      <c r="B17" t="str">
        <f>[7]命格辅助表!B108</f>
        <v>捉影</v>
      </c>
    </row>
    <row r="18" spans="1:2" x14ac:dyDescent="0.15">
      <c r="A18">
        <f>[7]命格辅助表!A109</f>
        <v>8530</v>
      </c>
      <c r="B18" t="str">
        <f>[7]命格辅助表!B109</f>
        <v>游刃</v>
      </c>
    </row>
    <row r="19" spans="1:2" x14ac:dyDescent="0.15">
      <c r="A19">
        <f>[7]命格辅助表!A110</f>
        <v>8630</v>
      </c>
      <c r="B19" t="str">
        <f>[7]命格辅助表!B110</f>
        <v>傲骨</v>
      </c>
    </row>
    <row r="20" spans="1:2" x14ac:dyDescent="0.15">
      <c r="A20">
        <f>[7]命格辅助表!A111</f>
        <v>8730</v>
      </c>
      <c r="B20" t="str">
        <f>[7]命格辅助表!B111</f>
        <v>心眼</v>
      </c>
    </row>
    <row r="21" spans="1:2" x14ac:dyDescent="0.15">
      <c r="A21">
        <f>[7]命格辅助表!A112</f>
        <v>8830</v>
      </c>
      <c r="B21" t="str">
        <f>[7]命格辅助表!B112</f>
        <v>噬生</v>
      </c>
    </row>
    <row r="22" spans="1:2" x14ac:dyDescent="0.15">
      <c r="A22">
        <f>[7]命格辅助表!A113</f>
        <v>8930</v>
      </c>
      <c r="B22" t="str">
        <f>[7]命格辅助表!B113</f>
        <v>痛击</v>
      </c>
    </row>
    <row r="23" spans="1:2" x14ac:dyDescent="0.15">
      <c r="A23">
        <f>[7]命格辅助表!A114</f>
        <v>9030</v>
      </c>
      <c r="B23" t="str">
        <f>[7]命格辅助表!B114</f>
        <v>不坏</v>
      </c>
    </row>
    <row r="24" spans="1:2" x14ac:dyDescent="0.15">
      <c r="A24">
        <f>[7]命格辅助表!A115</f>
        <v>9130</v>
      </c>
      <c r="B24" t="s">
        <v>699</v>
      </c>
    </row>
    <row r="25" spans="1:2" x14ac:dyDescent="0.15">
      <c r="A25">
        <f>[7]命格辅助表!A116</f>
        <v>9230</v>
      </c>
      <c r="B25" t="str">
        <f>[7]命格辅助表!B116</f>
        <v>盘蛇</v>
      </c>
    </row>
    <row r="26" spans="1:2" x14ac:dyDescent="0.15">
      <c r="A26">
        <f>[7]命格辅助表!A117</f>
        <v>8140</v>
      </c>
      <c r="B26" t="str">
        <f>[7]命格辅助表!B117</f>
        <v>天命</v>
      </c>
    </row>
    <row r="27" spans="1:2" x14ac:dyDescent="0.15">
      <c r="A27">
        <f>[7]命格辅助表!A118</f>
        <v>8240</v>
      </c>
      <c r="B27" t="str">
        <f>[7]命格辅助表!B118</f>
        <v>龙吟</v>
      </c>
    </row>
    <row r="28" spans="1:2" x14ac:dyDescent="0.15">
      <c r="A28">
        <f>[7]命格辅助表!A119</f>
        <v>8340</v>
      </c>
      <c r="B28" t="str">
        <f>[7]命格辅助表!B119</f>
        <v>守御</v>
      </c>
    </row>
    <row r="29" spans="1:2" x14ac:dyDescent="0.15">
      <c r="A29">
        <f>[7]命格辅助表!A120</f>
        <v>8440</v>
      </c>
      <c r="B29" t="str">
        <f>[7]命格辅助表!B120</f>
        <v>千眼</v>
      </c>
    </row>
    <row r="30" spans="1:2" x14ac:dyDescent="0.15">
      <c r="A30">
        <f>[7]命格辅助表!A121</f>
        <v>8540</v>
      </c>
      <c r="B30" t="str">
        <f>[7]命格辅助表!B121</f>
        <v>逍遥</v>
      </c>
    </row>
    <row r="31" spans="1:2" x14ac:dyDescent="0.15">
      <c r="A31">
        <f>[7]命格辅助表!A122</f>
        <v>8640</v>
      </c>
      <c r="B31" t="str">
        <f>[7]命格辅助表!B122</f>
        <v>流离</v>
      </c>
    </row>
    <row r="32" spans="1:2" x14ac:dyDescent="0.15">
      <c r="A32">
        <f>[7]命格辅助表!A123</f>
        <v>8740</v>
      </c>
      <c r="B32" t="str">
        <f>[7]命格辅助表!B123</f>
        <v>夺魄</v>
      </c>
    </row>
    <row r="33" spans="1:2" x14ac:dyDescent="0.15">
      <c r="A33">
        <f>[7]命格辅助表!A124</f>
        <v>8840</v>
      </c>
      <c r="B33" t="s">
        <v>700</v>
      </c>
    </row>
    <row r="34" spans="1:2" x14ac:dyDescent="0.15">
      <c r="A34">
        <f>[7]命格辅助表!A125</f>
        <v>8940</v>
      </c>
      <c r="B34" t="str">
        <f>[7]命格辅助表!B125</f>
        <v>破天</v>
      </c>
    </row>
    <row r="35" spans="1:2" x14ac:dyDescent="0.15">
      <c r="A35">
        <f>[7]命格辅助表!A126</f>
        <v>9040</v>
      </c>
      <c r="B35" t="s">
        <v>701</v>
      </c>
    </row>
    <row r="36" spans="1:2" x14ac:dyDescent="0.15">
      <c r="A36">
        <f>[7]命格辅助表!A127</f>
        <v>9140</v>
      </c>
      <c r="B36" t="str">
        <f>[7]命格辅助表!B127</f>
        <v>幽灵</v>
      </c>
    </row>
    <row r="37" spans="1:2" x14ac:dyDescent="0.15">
      <c r="A37">
        <f>[7]命格辅助表!A128</f>
        <v>9240</v>
      </c>
      <c r="B37" t="str">
        <f>[7]命格辅助表!B128</f>
        <v>困魔</v>
      </c>
    </row>
    <row r="38" spans="1:2" x14ac:dyDescent="0.15">
      <c r="A38">
        <f>[7]命格辅助表!A129</f>
        <v>9340</v>
      </c>
      <c r="B38" t="str">
        <f>[7]命格辅助表!B129</f>
        <v>无尽</v>
      </c>
    </row>
    <row r="39" spans="1:2" x14ac:dyDescent="0.15">
      <c r="A39">
        <f>[7]命格辅助表!A130</f>
        <v>9440</v>
      </c>
      <c r="B39" t="s">
        <v>702</v>
      </c>
    </row>
    <row r="40" spans="1:2" x14ac:dyDescent="0.15">
      <c r="A40">
        <f>[7]命格辅助表!A131</f>
        <v>9540</v>
      </c>
      <c r="B40" t="str">
        <f>[7]命格辅助表!B131</f>
        <v>八卦</v>
      </c>
    </row>
    <row r="41" spans="1:2" x14ac:dyDescent="0.15">
      <c r="A41">
        <f>[7]命格辅助表!A132</f>
        <v>9640</v>
      </c>
      <c r="B41" t="str">
        <f>[7]命格辅助表!B132</f>
        <v>剎那</v>
      </c>
    </row>
    <row r="42" spans="1:2" x14ac:dyDescent="0.15">
      <c r="A42">
        <f>[7]命格辅助表!A133</f>
        <v>9740</v>
      </c>
      <c r="B42" t="str">
        <f>[7]命格辅助表!B133</f>
        <v>咆哮</v>
      </c>
    </row>
    <row r="43" spans="1:2" x14ac:dyDescent="0.15">
      <c r="A43">
        <f>[7]命格辅助表!A134</f>
        <v>9840</v>
      </c>
      <c r="B43" t="s">
        <v>703</v>
      </c>
    </row>
    <row r="44" spans="1:2" x14ac:dyDescent="0.15">
      <c r="A44">
        <f>[7]命格辅助表!A135</f>
        <v>8150</v>
      </c>
      <c r="B44" t="s">
        <v>704</v>
      </c>
    </row>
    <row r="45" spans="1:2" x14ac:dyDescent="0.15">
      <c r="A45">
        <f>[7]命格辅助表!A136</f>
        <v>8250</v>
      </c>
      <c r="B45" t="s">
        <v>705</v>
      </c>
    </row>
    <row r="46" spans="1:2" x14ac:dyDescent="0.15">
      <c r="A46">
        <f>[7]命格辅助表!A137</f>
        <v>8350</v>
      </c>
      <c r="B46" t="s">
        <v>706</v>
      </c>
    </row>
    <row r="47" spans="1:2" x14ac:dyDescent="0.15">
      <c r="A47">
        <f>[7]命格辅助表!A138</f>
        <v>8450</v>
      </c>
      <c r="B47" t="s">
        <v>707</v>
      </c>
    </row>
    <row r="48" spans="1:2" x14ac:dyDescent="0.15">
      <c r="A48">
        <f>[7]命格辅助表!A139</f>
        <v>8550</v>
      </c>
      <c r="B48" t="s">
        <v>708</v>
      </c>
    </row>
    <row r="49" spans="1:2" x14ac:dyDescent="0.15">
      <c r="A49">
        <f>[7]命格辅助表!A140</f>
        <v>8650</v>
      </c>
      <c r="B49" t="str">
        <f>[7]命格辅助表!B140</f>
        <v>冰魄寒光</v>
      </c>
    </row>
    <row r="50" spans="1:2" x14ac:dyDescent="0.15">
      <c r="A50">
        <f>[7]命格辅助表!A141</f>
        <v>8750</v>
      </c>
      <c r="B50" t="s">
        <v>709</v>
      </c>
    </row>
    <row r="51" spans="1:2" x14ac:dyDescent="0.15">
      <c r="A51">
        <f>[7]命格辅助表!A142</f>
        <v>8850</v>
      </c>
      <c r="B51" t="s">
        <v>710</v>
      </c>
    </row>
    <row r="52" spans="1:2" x14ac:dyDescent="0.15">
      <c r="A52">
        <f>[7]命格辅助表!A143</f>
        <v>8950</v>
      </c>
      <c r="B52" t="s">
        <v>711</v>
      </c>
    </row>
    <row r="53" spans="1:2" x14ac:dyDescent="0.15">
      <c r="A53">
        <f>[7]命格辅助表!A144</f>
        <v>9050</v>
      </c>
      <c r="B53" t="s">
        <v>712</v>
      </c>
    </row>
    <row r="54" spans="1:2" x14ac:dyDescent="0.15">
      <c r="A54">
        <f>[7]命格辅助表!A145</f>
        <v>9150</v>
      </c>
      <c r="B54" t="s">
        <v>713</v>
      </c>
    </row>
    <row r="55" spans="1:2" x14ac:dyDescent="0.15">
      <c r="A55">
        <f>[7]命格辅助表!A146</f>
        <v>9250</v>
      </c>
      <c r="B55" t="s">
        <v>714</v>
      </c>
    </row>
    <row r="56" spans="1:2" x14ac:dyDescent="0.15">
      <c r="A56">
        <f>[7]命格辅助表!A147</f>
        <v>9350</v>
      </c>
      <c r="B56" t="s">
        <v>715</v>
      </c>
    </row>
    <row r="57" spans="1:2" x14ac:dyDescent="0.15">
      <c r="A57">
        <f>[7]命格辅助表!A148</f>
        <v>9450</v>
      </c>
      <c r="B57" t="s">
        <v>716</v>
      </c>
    </row>
    <row r="58" spans="1:2" x14ac:dyDescent="0.15">
      <c r="A58">
        <f>[7]命格辅助表!A149</f>
        <v>9550</v>
      </c>
      <c r="B58" t="s">
        <v>717</v>
      </c>
    </row>
    <row r="59" spans="1:2" x14ac:dyDescent="0.15">
      <c r="A59">
        <f>[7]命格辅助表!A150</f>
        <v>9650</v>
      </c>
      <c r="B59" t="s">
        <v>718</v>
      </c>
    </row>
    <row r="60" spans="1:2" x14ac:dyDescent="0.15">
      <c r="A60">
        <f>[7]命格辅助表!A151</f>
        <v>9750</v>
      </c>
      <c r="B60" t="s">
        <v>719</v>
      </c>
    </row>
    <row r="61" spans="1:2" x14ac:dyDescent="0.15">
      <c r="A61">
        <f>[7]命格辅助表!A152</f>
        <v>9850</v>
      </c>
      <c r="B61" t="s">
        <v>720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57"/>
  <sheetViews>
    <sheetView topLeftCell="A127" workbookViewId="0">
      <selection activeCell="D156" sqref="D156"/>
    </sheetView>
  </sheetViews>
  <sheetFormatPr defaultRowHeight="13.5" x14ac:dyDescent="0.15"/>
  <cols>
    <col min="2" max="2" width="18.375" bestFit="1" customWidth="1"/>
    <col min="3" max="3" width="16.5" customWidth="1"/>
    <col min="4" max="4" width="17.625" bestFit="1" customWidth="1"/>
  </cols>
  <sheetData>
    <row r="1" spans="1:2" x14ac:dyDescent="0.15">
      <c r="A1" s="1" t="str">
        <f>[8]道具配置辅助表!C5</f>
        <v>道具ID</v>
      </c>
      <c r="B1" s="1" t="str">
        <f>[8]道具配置辅助表!D5</f>
        <v>道具名称</v>
      </c>
    </row>
    <row r="2" spans="1:2" x14ac:dyDescent="0.15">
      <c r="A2">
        <f>[8]D_道具表!A2</f>
        <v>91001</v>
      </c>
      <c r="B2" t="str">
        <f>[8]D_道具表!B2</f>
        <v>马仔经验药水</v>
      </c>
    </row>
    <row r="3" spans="1:2" x14ac:dyDescent="0.15">
      <c r="A3">
        <f>[8]D_道具表!A3</f>
        <v>81002</v>
      </c>
      <c r="B3" t="str">
        <f>[8]D_道具表!B3</f>
        <v>金币卡</v>
      </c>
    </row>
    <row r="4" spans="1:2" x14ac:dyDescent="0.15">
      <c r="A4">
        <f>[8]D_道具表!A4</f>
        <v>81003</v>
      </c>
      <c r="B4" t="str">
        <f>[8]D_道具表!B4</f>
        <v>VIP礼包</v>
      </c>
    </row>
    <row r="5" spans="1:2" x14ac:dyDescent="0.15">
      <c r="A5">
        <f>[8]D_道具表!A5</f>
        <v>81010</v>
      </c>
      <c r="B5" t="str">
        <f>[8]D_道具表!B5</f>
        <v>VIP体验卡</v>
      </c>
    </row>
    <row r="6" spans="1:2" x14ac:dyDescent="0.15">
      <c r="A6">
        <f>[8]D_道具表!A6</f>
        <v>82001</v>
      </c>
      <c r="B6" t="str">
        <f>[8]D_道具表!B6</f>
        <v>翅膀碎片</v>
      </c>
    </row>
    <row r="7" spans="1:2" x14ac:dyDescent="0.15">
      <c r="A7">
        <f>[8]D_道具表!A7</f>
        <v>83001</v>
      </c>
      <c r="B7" t="str">
        <f>[8]D_道具表!B7</f>
        <v>巨额金币卡</v>
      </c>
    </row>
    <row r="8" spans="1:2" x14ac:dyDescent="0.15">
      <c r="A8">
        <f>[8]D_道具表!A8</f>
        <v>83002</v>
      </c>
      <c r="B8" t="str">
        <f>[8]D_道具表!B8</f>
        <v>扫荡券</v>
      </c>
    </row>
    <row r="9" spans="1:2" x14ac:dyDescent="0.15">
      <c r="A9">
        <f>[8]D_道具表!A9</f>
        <v>83003</v>
      </c>
      <c r="B9" t="str">
        <f>[8]D_道具表!B9</f>
        <v>洪兴新星</v>
      </c>
    </row>
    <row r="10" spans="1:2" x14ac:dyDescent="0.15">
      <c r="A10">
        <f>[8]D_道具表!A10</f>
        <v>83004</v>
      </c>
      <c r="B10" t="str">
        <f>[8]D_道具表!B10</f>
        <v>洪兴打仔</v>
      </c>
    </row>
    <row r="11" spans="1:2" x14ac:dyDescent="0.15">
      <c r="A11">
        <f>[8]D_道具表!A11</f>
        <v>83005</v>
      </c>
      <c r="B11" t="str">
        <f>[8]D_道具表!B11</f>
        <v>扛把子</v>
      </c>
    </row>
    <row r="12" spans="1:2" x14ac:dyDescent="0.15">
      <c r="A12">
        <f>[8]D_道具表!A12</f>
        <v>83006</v>
      </c>
      <c r="B12" t="str">
        <f>[8]D_道具表!B12</f>
        <v>二路元帅</v>
      </c>
    </row>
    <row r="13" spans="1:2" x14ac:dyDescent="0.15">
      <c r="A13">
        <f>[8]D_道具表!A13</f>
        <v>83007</v>
      </c>
      <c r="B13" t="str">
        <f>[8]D_道具表!B13</f>
        <v>战无不胜</v>
      </c>
    </row>
    <row r="14" spans="1:2" x14ac:dyDescent="0.15">
      <c r="A14">
        <f>[8]D_道具表!A14</f>
        <v>83008</v>
      </c>
      <c r="B14" t="str">
        <f>[8]D_道具表!B14</f>
        <v>猛龙过江</v>
      </c>
    </row>
    <row r="15" spans="1:2" x14ac:dyDescent="0.15">
      <c r="A15">
        <f>[8]D_道具表!A15</f>
        <v>83009</v>
      </c>
      <c r="B15" t="str">
        <f>[8]D_道具表!B15</f>
        <v>神之手</v>
      </c>
    </row>
    <row r="16" spans="1:2" x14ac:dyDescent="0.15">
      <c r="A16">
        <f>[8]D_道具表!A16</f>
        <v>83010</v>
      </c>
      <c r="B16" t="str">
        <f>[8]D_道具表!B16</f>
        <v>富甲一方</v>
      </c>
    </row>
    <row r="17" spans="1:2" x14ac:dyDescent="0.15">
      <c r="A17">
        <f>[8]D_道具表!A17</f>
        <v>83011</v>
      </c>
      <c r="B17" t="str">
        <f>[8]D_道具表!B17</f>
        <v>壕气冲天</v>
      </c>
    </row>
    <row r="18" spans="1:2" x14ac:dyDescent="0.15">
      <c r="A18">
        <f>[8]D_道具表!A18</f>
        <v>83012</v>
      </c>
      <c r="B18" t="str">
        <f>[8]D_道具表!B18</f>
        <v>富可敌国</v>
      </c>
    </row>
    <row r="19" spans="1:2" x14ac:dyDescent="0.15">
      <c r="A19">
        <f>[8]D_道具表!A19</f>
        <v>83013</v>
      </c>
      <c r="B19" t="str">
        <f>[8]D_道具表!B19</f>
        <v>壕气冲天</v>
      </c>
    </row>
    <row r="20" spans="1:2" x14ac:dyDescent="0.15">
      <c r="A20">
        <f>[8]D_道具表!A20</f>
        <v>83014</v>
      </c>
      <c r="B20" t="str">
        <f>[8]D_道具表!B20</f>
        <v>富可敌国</v>
      </c>
    </row>
    <row r="21" spans="1:2" x14ac:dyDescent="0.15">
      <c r="A21">
        <f>[8]D_道具表!A21</f>
        <v>83015</v>
      </c>
      <c r="B21" t="str">
        <f>[8]D_道具表!B21</f>
        <v>战斗狂人</v>
      </c>
    </row>
    <row r="22" spans="1:2" x14ac:dyDescent="0.15">
      <c r="A22">
        <f>[8]D_道具表!A22</f>
        <v>83016</v>
      </c>
      <c r="B22" t="str">
        <f>[8]D_道具表!B22</f>
        <v>不哭死神</v>
      </c>
    </row>
    <row r="23" spans="1:2" x14ac:dyDescent="0.15">
      <c r="A23">
        <f>[8]D_道具表!A23</f>
        <v>83017</v>
      </c>
      <c r="B23" t="str">
        <f>[8]D_道具表!B23</f>
        <v>干架王</v>
      </c>
    </row>
    <row r="24" spans="1:2" x14ac:dyDescent="0.15">
      <c r="A24">
        <f>[8]D_道具表!A24</f>
        <v>83018</v>
      </c>
      <c r="B24" t="str">
        <f>[8]D_道具表!B24</f>
        <v>破坏王</v>
      </c>
    </row>
    <row r="25" spans="1:2" x14ac:dyDescent="0.15">
      <c r="A25">
        <f>[8]D_道具表!A25</f>
        <v>83019</v>
      </c>
      <c r="B25" t="str">
        <f>[8]D_道具表!B25</f>
        <v>战无尽</v>
      </c>
    </row>
    <row r="26" spans="1:2" x14ac:dyDescent="0.15">
      <c r="A26">
        <f>[8]D_道具表!A26</f>
        <v>83020</v>
      </c>
      <c r="B26" t="str">
        <f>[8]D_道具表!B26</f>
        <v>绝世战神</v>
      </c>
    </row>
    <row r="27" spans="1:2" x14ac:dyDescent="0.15">
      <c r="A27">
        <f>[8]D_道具表!A27</f>
        <v>83021</v>
      </c>
      <c r="B27" t="str">
        <f>[8]D_道具表!B27</f>
        <v>至尊王者</v>
      </c>
    </row>
    <row r="28" spans="1:2" x14ac:dyDescent="0.15">
      <c r="A28">
        <f>[8]D_道具表!A28</f>
        <v>83022</v>
      </c>
      <c r="B28" t="str">
        <f>[8]D_道具表!B28</f>
        <v>横砍一条街</v>
      </c>
    </row>
    <row r="29" spans="1:2" x14ac:dyDescent="0.15">
      <c r="A29">
        <f>[8]D_道具表!A29</f>
        <v>83023</v>
      </c>
      <c r="B29" t="str">
        <f>[8]D_道具表!B29</f>
        <v>洪兴小财主</v>
      </c>
    </row>
    <row r="30" spans="1:2" x14ac:dyDescent="0.15">
      <c r="A30">
        <f>[8]D_道具表!A30</f>
        <v>83103</v>
      </c>
      <c r="B30" t="str">
        <f>[8]D_道具表!B30</f>
        <v>洪兴新星(3天)</v>
      </c>
    </row>
    <row r="31" spans="1:2" x14ac:dyDescent="0.15">
      <c r="A31">
        <f>[8]D_道具表!A31</f>
        <v>83104</v>
      </c>
      <c r="B31" t="str">
        <f>[8]D_道具表!B31</f>
        <v>洪兴打仔(3天)</v>
      </c>
    </row>
    <row r="32" spans="1:2" x14ac:dyDescent="0.15">
      <c r="A32">
        <f>[8]D_道具表!A32</f>
        <v>83105</v>
      </c>
      <c r="B32" t="str">
        <f>[8]D_道具表!B32</f>
        <v>扛把子(3天)</v>
      </c>
    </row>
    <row r="33" spans="1:2" x14ac:dyDescent="0.15">
      <c r="A33">
        <f>[8]D_道具表!A33</f>
        <v>83106</v>
      </c>
      <c r="B33" t="str">
        <f>[8]D_道具表!B33</f>
        <v>二路元帅(3天)</v>
      </c>
    </row>
    <row r="34" spans="1:2" x14ac:dyDescent="0.15">
      <c r="A34">
        <f>[8]D_道具表!A34</f>
        <v>83107</v>
      </c>
      <c r="B34" t="str">
        <f>[8]D_道具表!B34</f>
        <v>战无不胜(3天)</v>
      </c>
    </row>
    <row r="35" spans="1:2" x14ac:dyDescent="0.15">
      <c r="A35">
        <f>[8]D_道具表!A35</f>
        <v>83108</v>
      </c>
      <c r="B35" t="str">
        <f>[8]D_道具表!B35</f>
        <v>猛龙过江(3天)</v>
      </c>
    </row>
    <row r="36" spans="1:2" x14ac:dyDescent="0.15">
      <c r="A36">
        <f>[8]D_道具表!A36</f>
        <v>83109</v>
      </c>
      <c r="B36" t="str">
        <f>[8]D_道具表!B36</f>
        <v>神之手(3天)</v>
      </c>
    </row>
    <row r="37" spans="1:2" x14ac:dyDescent="0.15">
      <c r="A37">
        <f>[8]D_道具表!A37</f>
        <v>83110</v>
      </c>
      <c r="B37" t="str">
        <f>[8]D_道具表!B37</f>
        <v>富甲一方(3天)</v>
      </c>
    </row>
    <row r="38" spans="1:2" x14ac:dyDescent="0.15">
      <c r="A38">
        <f>[8]D_道具表!A38</f>
        <v>83111</v>
      </c>
      <c r="B38" t="str">
        <f>[8]D_道具表!B38</f>
        <v>壕气冲天(3天)</v>
      </c>
    </row>
    <row r="39" spans="1:2" x14ac:dyDescent="0.15">
      <c r="A39">
        <f>[8]D_道具表!A39</f>
        <v>83112</v>
      </c>
      <c r="B39" t="str">
        <f>[8]D_道具表!B39</f>
        <v>富可敌国(3天)</v>
      </c>
    </row>
    <row r="40" spans="1:2" x14ac:dyDescent="0.15">
      <c r="A40">
        <f>[8]D_道具表!A40</f>
        <v>83113</v>
      </c>
      <c r="B40" t="str">
        <f>[8]D_道具表!B40</f>
        <v>壕气冲天(3天)</v>
      </c>
    </row>
    <row r="41" spans="1:2" x14ac:dyDescent="0.15">
      <c r="A41">
        <f>[8]D_道具表!A41</f>
        <v>83114</v>
      </c>
      <c r="B41" t="str">
        <f>[8]D_道具表!B41</f>
        <v>富可敌国(3天)</v>
      </c>
    </row>
    <row r="42" spans="1:2" x14ac:dyDescent="0.15">
      <c r="A42">
        <f>[8]D_道具表!A42</f>
        <v>83115</v>
      </c>
      <c r="B42" t="str">
        <f>[8]D_道具表!B42</f>
        <v>战斗狂人(3天)</v>
      </c>
    </row>
    <row r="43" spans="1:2" x14ac:dyDescent="0.15">
      <c r="A43">
        <f>[8]D_道具表!A43</f>
        <v>83116</v>
      </c>
      <c r="B43" t="str">
        <f>[8]D_道具表!B43</f>
        <v>不哭死神(3天)</v>
      </c>
    </row>
    <row r="44" spans="1:2" x14ac:dyDescent="0.15">
      <c r="A44">
        <f>[8]D_道具表!A44</f>
        <v>83117</v>
      </c>
      <c r="B44" t="str">
        <f>[8]D_道具表!B44</f>
        <v>干架王(3天)</v>
      </c>
    </row>
    <row r="45" spans="1:2" x14ac:dyDescent="0.15">
      <c r="A45">
        <f>[8]D_道具表!A45</f>
        <v>83118</v>
      </c>
      <c r="B45" t="str">
        <f>[8]D_道具表!B45</f>
        <v>破坏王(3天)</v>
      </c>
    </row>
    <row r="46" spans="1:2" x14ac:dyDescent="0.15">
      <c r="A46">
        <f>[8]D_道具表!A46</f>
        <v>83119</v>
      </c>
      <c r="B46" t="str">
        <f>[8]D_道具表!B46</f>
        <v>战无尽(3天)</v>
      </c>
    </row>
    <row r="47" spans="1:2" x14ac:dyDescent="0.15">
      <c r="A47">
        <f>[8]D_道具表!A47</f>
        <v>83120</v>
      </c>
      <c r="B47" t="str">
        <f>[8]D_道具表!B47</f>
        <v>绝世战神(3天)</v>
      </c>
    </row>
    <row r="48" spans="1:2" x14ac:dyDescent="0.15">
      <c r="A48">
        <f>[8]D_道具表!A48</f>
        <v>83121</v>
      </c>
      <c r="B48" t="str">
        <f>[8]D_道具表!B48</f>
        <v>至尊王者(3天)</v>
      </c>
    </row>
    <row r="49" spans="1:2" x14ac:dyDescent="0.15">
      <c r="A49">
        <f>[8]D_道具表!A49</f>
        <v>83122</v>
      </c>
      <c r="B49" t="str">
        <f>[8]D_道具表!B49</f>
        <v>横砍一条街(3天)</v>
      </c>
    </row>
    <row r="50" spans="1:2" x14ac:dyDescent="0.15">
      <c r="A50">
        <f>[8]D_道具表!A50</f>
        <v>78101</v>
      </c>
      <c r="B50" t="str">
        <f>[8]D_道具表!B50</f>
        <v>马仔碎片(制服太妹)</v>
      </c>
    </row>
    <row r="51" spans="1:2" x14ac:dyDescent="0.15">
      <c r="A51">
        <f>[8]D_道具表!A51</f>
        <v>78102</v>
      </c>
      <c r="B51" t="str">
        <f>[8]D_道具表!B51</f>
        <v>马仔碎片(蟹仔)</v>
      </c>
    </row>
    <row r="52" spans="1:2" x14ac:dyDescent="0.15">
      <c r="A52">
        <f>[8]D_道具表!A52</f>
        <v>78103</v>
      </c>
      <c r="B52" t="str">
        <f>[8]D_道具表!B52</f>
        <v>马仔碎片(比利)</v>
      </c>
    </row>
    <row r="53" spans="1:2" x14ac:dyDescent="0.15">
      <c r="A53">
        <f>[8]D_道具表!A53</f>
        <v>78104</v>
      </c>
      <c r="B53" t="str">
        <f>[8]D_道具表!B53</f>
        <v>马仔碎片(黎九)</v>
      </c>
    </row>
    <row r="54" spans="1:2" x14ac:dyDescent="0.15">
      <c r="A54">
        <f>[8]D_道具表!A54</f>
        <v>78105</v>
      </c>
      <c r="B54" t="str">
        <f>[8]D_道具表!B54</f>
        <v>马仔碎片(黑古)</v>
      </c>
    </row>
    <row r="55" spans="1:2" x14ac:dyDescent="0.15">
      <c r="A55">
        <f>[8]D_道具表!A55</f>
        <v>78106</v>
      </c>
      <c r="B55" t="str">
        <f>[8]D_道具表!B55</f>
        <v>马仔碎片(靓坤)</v>
      </c>
    </row>
    <row r="56" spans="1:2" x14ac:dyDescent="0.15">
      <c r="A56">
        <f>[8]D_道具表!A56</f>
        <v>78107</v>
      </c>
      <c r="B56" t="str">
        <f>[8]D_道具表!B56</f>
        <v>马仔碎片(雷复轰)</v>
      </c>
    </row>
    <row r="57" spans="1:2" x14ac:dyDescent="0.15">
      <c r="A57">
        <f>[8]D_道具表!A57</f>
        <v>78108</v>
      </c>
      <c r="B57" t="str">
        <f>[8]D_道具表!B57</f>
        <v>马仔碎片(肥仔)</v>
      </c>
    </row>
    <row r="58" spans="1:2" x14ac:dyDescent="0.15">
      <c r="A58">
        <f>[8]D_道具表!A58</f>
        <v>78109</v>
      </c>
      <c r="B58" t="str">
        <f>[8]D_道具表!B58</f>
        <v>马仔碎片(司徒浩南)</v>
      </c>
    </row>
    <row r="59" spans="1:2" x14ac:dyDescent="0.15">
      <c r="A59">
        <f>[8]D_道具表!A59</f>
        <v>78110</v>
      </c>
      <c r="B59" t="str">
        <f>[8]D_道具表!B59</f>
        <v>马仔碎片(乌鸦)</v>
      </c>
    </row>
    <row r="60" spans="1:2" x14ac:dyDescent="0.15">
      <c r="A60">
        <f>[8]D_道具表!A60</f>
        <v>78111</v>
      </c>
      <c r="B60" t="str">
        <f>[8]D_道具表!B60</f>
        <v>马仔碎片(赌王)</v>
      </c>
    </row>
    <row r="61" spans="1:2" x14ac:dyDescent="0.15">
      <c r="A61">
        <f>[8]D_道具表!A61</f>
        <v>78112</v>
      </c>
      <c r="B61" t="str">
        <f>[8]D_道具表!B61</f>
        <v>马仔碎片(山下忠秀)</v>
      </c>
    </row>
    <row r="62" spans="1:2" x14ac:dyDescent="0.15">
      <c r="A62">
        <f>[8]D_道具表!A62</f>
        <v>78113</v>
      </c>
      <c r="B62" t="str">
        <f>[8]D_道具表!B62</f>
        <v>马仔碎片(宫本一)</v>
      </c>
    </row>
    <row r="63" spans="1:2" x14ac:dyDescent="0.15">
      <c r="A63">
        <f>[8]D_道具表!A63</f>
        <v>78114</v>
      </c>
      <c r="B63" t="str">
        <f>[8]D_道具表!B63</f>
        <v>马仔碎片(陈浩南)</v>
      </c>
    </row>
    <row r="64" spans="1:2" x14ac:dyDescent="0.15">
      <c r="A64">
        <f>[8]D_道具表!A64</f>
        <v>78115</v>
      </c>
      <c r="B64" t="str">
        <f>[8]D_道具表!B64</f>
        <v>马仔碎片(山鸡)</v>
      </c>
    </row>
    <row r="65" spans="1:2" x14ac:dyDescent="0.15">
      <c r="A65">
        <f>[8]D_道具表!A65</f>
        <v>78116</v>
      </c>
      <c r="B65" t="str">
        <f>[8]D_道具表!B65</f>
        <v>马仔碎片(大天二)</v>
      </c>
    </row>
    <row r="66" spans="1:2" x14ac:dyDescent="0.15">
      <c r="A66">
        <f>[8]D_道具表!A66</f>
        <v>78117</v>
      </c>
      <c r="B66" t="str">
        <f>[8]D_道具表!B66</f>
        <v>马仔碎片(巴闭)</v>
      </c>
    </row>
    <row r="67" spans="1:2" x14ac:dyDescent="0.15">
      <c r="A67">
        <f>[8]D_道具表!A67</f>
        <v>78118</v>
      </c>
      <c r="B67" t="str">
        <f>[8]D_道具表!B67</f>
        <v>马仔碎片(耀阳)</v>
      </c>
    </row>
    <row r="68" spans="1:2" x14ac:dyDescent="0.15">
      <c r="A68">
        <f>[8]D_道具表!A68</f>
        <v>78119</v>
      </c>
      <c r="B68" t="str">
        <f>[8]D_道具表!B68</f>
        <v>马仔碎片(笑面虎)</v>
      </c>
    </row>
    <row r="69" spans="1:2" x14ac:dyDescent="0.15">
      <c r="A69">
        <f>[8]D_道具表!A69</f>
        <v>70001</v>
      </c>
      <c r="B69" t="str">
        <f>[8]D_道具表!B69</f>
        <v>低级强化石</v>
      </c>
    </row>
    <row r="70" spans="1:2" x14ac:dyDescent="0.15">
      <c r="A70">
        <f>[8]D_道具表!A70</f>
        <v>70002</v>
      </c>
      <c r="B70" t="str">
        <f>[8]D_道具表!B70</f>
        <v>中级强化石</v>
      </c>
    </row>
    <row r="71" spans="1:2" x14ac:dyDescent="0.15">
      <c r="A71">
        <f>[8]D_道具表!A71</f>
        <v>70003</v>
      </c>
      <c r="B71" t="str">
        <f>[8]D_道具表!B71</f>
        <v>高级强化石</v>
      </c>
    </row>
    <row r="72" spans="1:2" x14ac:dyDescent="0.15">
      <c r="A72">
        <f>[8]D_道具表!A72</f>
        <v>70101</v>
      </c>
      <c r="B72" t="str">
        <f>[8]D_道具表!B72</f>
        <v>初级升星石</v>
      </c>
    </row>
    <row r="73" spans="1:2" x14ac:dyDescent="0.15">
      <c r="A73">
        <f>[8]D_道具表!A73</f>
        <v>70201</v>
      </c>
      <c r="B73" t="str">
        <f>[8]D_道具表!B73</f>
        <v>中级升星石</v>
      </c>
    </row>
    <row r="74" spans="1:2" x14ac:dyDescent="0.15">
      <c r="A74">
        <f>[8]D_道具表!A74</f>
        <v>70301</v>
      </c>
      <c r="B74" t="str">
        <f>[8]D_道具表!B74</f>
        <v>高级升星石</v>
      </c>
    </row>
    <row r="75" spans="1:2" x14ac:dyDescent="0.15">
      <c r="A75">
        <f>[8]D_道具表!A75</f>
        <v>70401</v>
      </c>
      <c r="B75" t="str">
        <f>[8]D_道具表!B75</f>
        <v>4阶升星石(不用）</v>
      </c>
    </row>
    <row r="76" spans="1:2" x14ac:dyDescent="0.15">
      <c r="A76">
        <f>[8]D_道具表!A76</f>
        <v>70501</v>
      </c>
      <c r="B76" t="str">
        <f>[8]D_道具表!B76</f>
        <v>5阶升星石（不用）</v>
      </c>
    </row>
    <row r="77" spans="1:2" x14ac:dyDescent="0.15">
      <c r="A77">
        <f>[8]D_道具表!A77</f>
        <v>82100</v>
      </c>
      <c r="B77" t="str">
        <f>[8]D_道具表!B77</f>
        <v>金币卡(1万)</v>
      </c>
    </row>
    <row r="78" spans="1:2" x14ac:dyDescent="0.15">
      <c r="A78">
        <f>[8]D_道具表!A78</f>
        <v>82200</v>
      </c>
      <c r="B78" t="str">
        <f>[8]D_道具表!B78</f>
        <v>金币卡(2万)</v>
      </c>
    </row>
    <row r="79" spans="1:2" x14ac:dyDescent="0.15">
      <c r="A79">
        <f>[8]D_道具表!A79</f>
        <v>82300</v>
      </c>
      <c r="B79" t="str">
        <f>[8]D_道具表!B79</f>
        <v>金币卡(5万)</v>
      </c>
    </row>
    <row r="80" spans="1:2" x14ac:dyDescent="0.15">
      <c r="A80">
        <f>[8]D_道具表!A80</f>
        <v>91100</v>
      </c>
      <c r="B80" t="str">
        <f>[8]D_道具表!B80</f>
        <v>马仔经验药水</v>
      </c>
    </row>
    <row r="81" spans="1:2" x14ac:dyDescent="0.15">
      <c r="A81">
        <f>[8]D_道具表!A81</f>
        <v>91200</v>
      </c>
      <c r="B81" t="str">
        <f>[8]D_道具表!B81</f>
        <v>马仔经验合剂</v>
      </c>
    </row>
    <row r="82" spans="1:2" x14ac:dyDescent="0.15">
      <c r="A82">
        <f>[8]D_道具表!A82</f>
        <v>91300</v>
      </c>
      <c r="B82" t="str">
        <f>[8]D_道具表!B82</f>
        <v>马仔经验甘露</v>
      </c>
    </row>
    <row r="83" spans="1:2" x14ac:dyDescent="0.15">
      <c r="A83">
        <f>[8]D_道具表!A83</f>
        <v>87100</v>
      </c>
      <c r="B83" t="str">
        <f>[8]D_道具表!B83</f>
        <v>钻石兑换卡(100)</v>
      </c>
    </row>
    <row r="84" spans="1:2" x14ac:dyDescent="0.15">
      <c r="A84">
        <f>[8]D_道具表!A84</f>
        <v>87200</v>
      </c>
      <c r="B84" t="str">
        <f>[8]D_道具表!B84</f>
        <v>钻石兑换卡(500)</v>
      </c>
    </row>
    <row r="85" spans="1:2" x14ac:dyDescent="0.15">
      <c r="A85">
        <f>[8]D_道具表!A85</f>
        <v>87400</v>
      </c>
      <c r="B85" t="str">
        <f>[8]D_道具表!B85</f>
        <v>钻石兑换卡(1000)</v>
      </c>
    </row>
    <row r="86" spans="1:2" x14ac:dyDescent="0.15">
      <c r="A86">
        <f>[8]D_道具表!A86</f>
        <v>89100</v>
      </c>
      <c r="B86" t="str">
        <f>[8]D_道具表!B86</f>
        <v>初级体力药水</v>
      </c>
    </row>
    <row r="87" spans="1:2" x14ac:dyDescent="0.15">
      <c r="A87">
        <f>[8]D_道具表!A87</f>
        <v>89200</v>
      </c>
      <c r="B87" t="str">
        <f>[8]D_道具表!B87</f>
        <v>中级体力药水</v>
      </c>
    </row>
    <row r="88" spans="1:2" x14ac:dyDescent="0.15">
      <c r="A88">
        <f>[8]D_道具表!A88</f>
        <v>89300</v>
      </c>
      <c r="B88" t="str">
        <f>[8]D_道具表!B88</f>
        <v>高级体力药水</v>
      </c>
    </row>
    <row r="89" spans="1:2" x14ac:dyDescent="0.15">
      <c r="A89">
        <f>[8]D_道具表!A89</f>
        <v>83100</v>
      </c>
      <c r="B89" t="str">
        <f>[8]D_道具表!B89</f>
        <v>成长礼包</v>
      </c>
    </row>
    <row r="90" spans="1:2" x14ac:dyDescent="0.15">
      <c r="A90">
        <f>[8]D_道具表!A90</f>
        <v>70010</v>
      </c>
      <c r="B90" t="str">
        <f>[8]D_道具表!B90</f>
        <v>部位材料(武器)</v>
      </c>
    </row>
    <row r="91" spans="1:2" x14ac:dyDescent="0.15">
      <c r="A91">
        <f>[8]D_道具表!A91</f>
        <v>71010</v>
      </c>
      <c r="B91" t="str">
        <f>[8]D_道具表!B91</f>
        <v>部位材料(衣服)</v>
      </c>
    </row>
    <row r="92" spans="1:2" x14ac:dyDescent="0.15">
      <c r="A92">
        <f>[8]D_道具表!A92</f>
        <v>72010</v>
      </c>
      <c r="B92" t="str">
        <f>[8]D_道具表!B92</f>
        <v>部位材料(裤子)</v>
      </c>
    </row>
    <row r="93" spans="1:2" x14ac:dyDescent="0.15">
      <c r="A93">
        <f>[8]D_道具表!A93</f>
        <v>73010</v>
      </c>
      <c r="B93" t="str">
        <f>[8]D_道具表!B93</f>
        <v>部位材料(项链)</v>
      </c>
    </row>
    <row r="94" spans="1:2" x14ac:dyDescent="0.15">
      <c r="A94">
        <f>[8]D_道具表!A94</f>
        <v>74010</v>
      </c>
      <c r="B94" t="str">
        <f>[8]D_道具表!B94</f>
        <v>部位材料(腰带)</v>
      </c>
    </row>
    <row r="95" spans="1:2" x14ac:dyDescent="0.15">
      <c r="A95">
        <f>[8]D_道具表!A95</f>
        <v>75010</v>
      </c>
      <c r="B95" t="str">
        <f>[8]D_道具表!B95</f>
        <v>部位材料(鞋子)</v>
      </c>
    </row>
    <row r="96" spans="1:2" x14ac:dyDescent="0.15">
      <c r="A96">
        <f>[8]D_道具表!A96</f>
        <v>80110</v>
      </c>
      <c r="B96" t="str">
        <f>[8]D_道具表!B96</f>
        <v>龙魂币(500)</v>
      </c>
    </row>
    <row r="97" spans="1:2" x14ac:dyDescent="0.15">
      <c r="A97">
        <f>[8]D_道具表!A97</f>
        <v>80210</v>
      </c>
      <c r="B97" t="str">
        <f>[8]D_道具表!B97</f>
        <v>龙魂币(1000)</v>
      </c>
    </row>
    <row r="98" spans="1:2" x14ac:dyDescent="0.15">
      <c r="A98">
        <f>[8]D_道具表!A98</f>
        <v>80310</v>
      </c>
      <c r="B98" t="str">
        <f>[8]D_道具表!B98</f>
        <v>龙魂币(2000)</v>
      </c>
    </row>
    <row r="99" spans="1:2" x14ac:dyDescent="0.15">
      <c r="A99">
        <f>[8]D_道具表!A99</f>
        <v>80410</v>
      </c>
      <c r="B99" t="str">
        <f>[8]D_道具表!B99</f>
        <v>命运石(5000)</v>
      </c>
    </row>
    <row r="100" spans="1:2" x14ac:dyDescent="0.15">
      <c r="A100">
        <f>[8]D_道具表!A100</f>
        <v>80510</v>
      </c>
      <c r="B100" t="str">
        <f>[8]D_道具表!B100</f>
        <v>命运石(1万)</v>
      </c>
    </row>
    <row r="101" spans="1:2" x14ac:dyDescent="0.15">
      <c r="A101">
        <f>[8]D_道具表!A101</f>
        <v>80610</v>
      </c>
      <c r="B101" t="str">
        <f>[8]D_道具表!B101</f>
        <v>命运石(2万)</v>
      </c>
    </row>
    <row r="102" spans="1:2" x14ac:dyDescent="0.15">
      <c r="A102">
        <f>[8]D_道具表!A102</f>
        <v>87300</v>
      </c>
      <c r="B102" t="str">
        <f>[8]D_道具表!B102</f>
        <v>钻石</v>
      </c>
    </row>
    <row r="103" spans="1:2" x14ac:dyDescent="0.15">
      <c r="A103">
        <f>[8]D_道具表!A103</f>
        <v>83300</v>
      </c>
      <c r="B103" t="str">
        <f>[8]D_道具表!B103</f>
        <v>金币</v>
      </c>
    </row>
    <row r="104" spans="1:2" x14ac:dyDescent="0.15">
      <c r="A104">
        <f>[8]D_道具表!A104</f>
        <v>83301</v>
      </c>
      <c r="B104" t="str">
        <f>[8]D_道具表!B104</f>
        <v>龙魂币</v>
      </c>
    </row>
    <row r="105" spans="1:2" x14ac:dyDescent="0.15">
      <c r="A105">
        <f>[8]D_道具表!A105</f>
        <v>83302</v>
      </c>
      <c r="B105" t="str">
        <f>[8]D_道具表!B105</f>
        <v>命运石</v>
      </c>
    </row>
    <row r="106" spans="1:2" x14ac:dyDescent="0.15">
      <c r="A106">
        <f>[8]D_道具表!A106</f>
        <v>83303</v>
      </c>
      <c r="B106" t="str">
        <f>[8]D_道具表!B106</f>
        <v>擂台币</v>
      </c>
    </row>
    <row r="107" spans="1:2" x14ac:dyDescent="0.15">
      <c r="A107">
        <f>[8]D_道具表!A107</f>
        <v>89101</v>
      </c>
      <c r="B107" t="str">
        <f>[8]D_道具表!B107</f>
        <v>双倍经验卡（1天）</v>
      </c>
    </row>
    <row r="108" spans="1:2" x14ac:dyDescent="0.15">
      <c r="A108">
        <f>[8]D_道具表!A108</f>
        <v>89102</v>
      </c>
      <c r="B108" t="str">
        <f>[8]D_道具表!B108</f>
        <v>双倍经验卡（2天）</v>
      </c>
    </row>
    <row r="109" spans="1:2" x14ac:dyDescent="0.15">
      <c r="A109">
        <f>[8]D_道具表!A109</f>
        <v>89106</v>
      </c>
      <c r="B109" t="str">
        <f>[8]D_道具表!B109</f>
        <v>vip经验卡</v>
      </c>
    </row>
    <row r="110" spans="1:2" x14ac:dyDescent="0.15">
      <c r="A110">
        <f>[8]D_道具表!A110</f>
        <v>89107</v>
      </c>
      <c r="B110" t="str">
        <f>[8]D_道具表!B110</f>
        <v>技能升级石</v>
      </c>
    </row>
    <row r="111" spans="1:2" x14ac:dyDescent="0.15">
      <c r="A111">
        <f>[8]D_道具表!A111</f>
        <v>89108</v>
      </c>
      <c r="B111" t="str">
        <f>[8]D_道具表!B111</f>
        <v>蓝色装备碎片（无用）</v>
      </c>
    </row>
    <row r="112" spans="1:2" x14ac:dyDescent="0.15">
      <c r="A112">
        <f>[8]D_道具表!A112</f>
        <v>89109</v>
      </c>
      <c r="B112" t="str">
        <f>[8]D_道具表!B112</f>
        <v>紫色装备碎片（无用）</v>
      </c>
    </row>
    <row r="113" spans="1:2" x14ac:dyDescent="0.15">
      <c r="A113">
        <f>[8]D_道具表!A113</f>
        <v>89110</v>
      </c>
      <c r="B113" t="str">
        <f>[8]D_道具表!B113</f>
        <v>橙色装备碎片（无用）</v>
      </c>
    </row>
    <row r="114" spans="1:2" x14ac:dyDescent="0.15">
      <c r="A114">
        <f>[8]D_道具表!A114</f>
        <v>89111</v>
      </c>
      <c r="B114" t="str">
        <f>[8]D_道具表!B114</f>
        <v>技能冷却石</v>
      </c>
    </row>
    <row r="115" spans="1:2" x14ac:dyDescent="0.15">
      <c r="A115">
        <f>[8]D_道具表!A115</f>
        <v>83304</v>
      </c>
      <c r="B115" t="str">
        <f>[8]D_道具表!B115</f>
        <v>寻宝券</v>
      </c>
    </row>
    <row r="116" spans="1:2" x14ac:dyDescent="0.15">
      <c r="A116">
        <f>[8]D_道具表!A116</f>
        <v>85200</v>
      </c>
      <c r="B116" t="str">
        <f>[8]D_道具表!B116</f>
        <v>高级装备升级石</v>
      </c>
    </row>
    <row r="117" spans="1:2" x14ac:dyDescent="0.15">
      <c r="A117">
        <f>[8]D_道具表!A117</f>
        <v>85300</v>
      </c>
      <c r="B117" t="str">
        <f>[8]D_道具表!B117</f>
        <v>稀有装备升级石</v>
      </c>
    </row>
    <row r="118" spans="1:2" x14ac:dyDescent="0.15">
      <c r="A118">
        <f>[8]D_道具表!A118</f>
        <v>85400</v>
      </c>
      <c r="B118" t="str">
        <f>[8]D_道具表!B118</f>
        <v>史诗装备升级石</v>
      </c>
    </row>
    <row r="119" spans="1:2" x14ac:dyDescent="0.15">
      <c r="A119">
        <f>[8]D_道具表!A119</f>
        <v>85500</v>
      </c>
      <c r="B119" t="str">
        <f>[8]D_道具表!B119</f>
        <v>传说装备升级石</v>
      </c>
    </row>
    <row r="120" spans="1:2" x14ac:dyDescent="0.15">
      <c r="A120">
        <f>[8]D_道具表!A120</f>
        <v>86001</v>
      </c>
      <c r="B120" t="str">
        <f>[8]D_道具表!B120</f>
        <v>马仔追债宝箱</v>
      </c>
    </row>
    <row r="121" spans="1:2" x14ac:dyDescent="0.15">
      <c r="A121">
        <f>[8]D_道具表!A121</f>
        <v>86002</v>
      </c>
      <c r="B121" t="str">
        <f>[8]D_道具表!B121</f>
        <v>马仔追债宝箱</v>
      </c>
    </row>
    <row r="122" spans="1:2" x14ac:dyDescent="0.15">
      <c r="A122">
        <f>[8]D_道具表!A122</f>
        <v>86003</v>
      </c>
      <c r="B122" t="str">
        <f>[8]D_道具表!B122</f>
        <v>马仔追债宝箱</v>
      </c>
    </row>
    <row r="123" spans="1:2" x14ac:dyDescent="0.15">
      <c r="A123">
        <f>[8]D_道具表!A123</f>
        <v>86004</v>
      </c>
      <c r="B123" t="str">
        <f>[8]D_道具表!B123</f>
        <v>马仔追债宝箱</v>
      </c>
    </row>
    <row r="124" spans="1:2" x14ac:dyDescent="0.15">
      <c r="A124">
        <f>[8]D_道具表!A124</f>
        <v>86005</v>
      </c>
      <c r="B124" t="str">
        <f>[8]D_道具表!B124</f>
        <v>马仔追债宝箱</v>
      </c>
    </row>
    <row r="125" spans="1:2" x14ac:dyDescent="0.15">
      <c r="A125">
        <f>[8]D_道具表!A125</f>
        <v>86110</v>
      </c>
      <c r="B125" t="str">
        <f>[8]D_道具表!B125</f>
        <v>马仔宝物礼包</v>
      </c>
    </row>
    <row r="126" spans="1:2" x14ac:dyDescent="0.15">
      <c r="A126">
        <f>[8]D_道具表!A126</f>
        <v>86120</v>
      </c>
      <c r="B126" t="str">
        <f>[8]D_道具表!B126</f>
        <v>马仔宝物礼包</v>
      </c>
    </row>
    <row r="127" spans="1:2" x14ac:dyDescent="0.15">
      <c r="A127">
        <f>[8]D_道具表!A127</f>
        <v>86130</v>
      </c>
      <c r="B127" t="str">
        <f>[8]D_道具表!B127</f>
        <v>马仔宝物礼包</v>
      </c>
    </row>
    <row r="128" spans="1:2" x14ac:dyDescent="0.15">
      <c r="A128">
        <f>[8]D_道具表!A128</f>
        <v>86140</v>
      </c>
      <c r="B128" t="str">
        <f>[8]D_道具表!B128</f>
        <v>马仔宝物礼包</v>
      </c>
    </row>
    <row r="129" spans="1:2" x14ac:dyDescent="0.15">
      <c r="A129">
        <f>[8]D_道具表!A129</f>
        <v>86150</v>
      </c>
      <c r="B129" t="str">
        <f>[8]D_道具表!B129</f>
        <v>马仔宝物礼包</v>
      </c>
    </row>
    <row r="130" spans="1:2" x14ac:dyDescent="0.15">
      <c r="A130">
        <f>[8]D_道具表!A130</f>
        <v>83305</v>
      </c>
      <c r="B130" t="str">
        <f>[8]D_道具表!B130</f>
        <v>金豆</v>
      </c>
    </row>
    <row r="131" spans="1:2" x14ac:dyDescent="0.15">
      <c r="A131">
        <f>[8]D_道具表!A131</f>
        <v>83306</v>
      </c>
      <c r="B131" t="str">
        <f>[8]D_道具表!B131</f>
        <v>单次扫荡特权</v>
      </c>
    </row>
    <row r="132" spans="1:2" x14ac:dyDescent="0.15">
      <c r="A132">
        <f>[8]D_道具表!A132</f>
        <v>83307</v>
      </c>
      <c r="B132" t="str">
        <f>[8]D_道具表!B132</f>
        <v>多次扫荡特权</v>
      </c>
    </row>
    <row r="133" spans="1:2" x14ac:dyDescent="0.15">
      <c r="A133">
        <f>[8]D_道具表!A133</f>
        <v>83308</v>
      </c>
      <c r="B133" t="str">
        <f>[8]D_道具表!B133</f>
        <v>扫荡特权</v>
      </c>
    </row>
    <row r="134" spans="1:2" x14ac:dyDescent="0.15">
      <c r="A134">
        <f>[8]D_道具表!A134</f>
        <v>86010</v>
      </c>
      <c r="B134" t="str">
        <f>[8]D_道具表!B134</f>
        <v>部位材料宝箱</v>
      </c>
    </row>
    <row r="135" spans="1:2" x14ac:dyDescent="0.15">
      <c r="A135">
        <f>[8]D_道具表!A135</f>
        <v>86021</v>
      </c>
      <c r="B135" t="str">
        <f>[8]D_道具表!B135</f>
        <v>紫色装备礼包</v>
      </c>
    </row>
    <row r="136" spans="1:2" x14ac:dyDescent="0.15">
      <c r="A136">
        <f>[8]D_道具表!A136</f>
        <v>86022</v>
      </c>
      <c r="B136" t="str">
        <f>[8]D_道具表!B136</f>
        <v>橙色装备礼包</v>
      </c>
    </row>
    <row r="137" spans="1:2" x14ac:dyDescent="0.15">
      <c r="A137">
        <f>[8]D_道具表!A137</f>
        <v>86023</v>
      </c>
      <c r="B137" t="str">
        <f>[8]D_道具表!B137</f>
        <v>红色装备礼包</v>
      </c>
    </row>
    <row r="138" spans="1:2" x14ac:dyDescent="0.15">
      <c r="A138">
        <f>[8]D_道具表!A138</f>
        <v>78214</v>
      </c>
      <c r="B138" t="str">
        <f>[8]D_道具表!B138</f>
        <v>限时碎片(陈浩南)</v>
      </c>
    </row>
    <row r="139" spans="1:2" x14ac:dyDescent="0.15">
      <c r="A139">
        <f>[8]D_道具表!A139</f>
        <v>78215</v>
      </c>
      <c r="B139" t="str">
        <f>[8]D_道具表!B139</f>
        <v>限时碎片(山鸡)</v>
      </c>
    </row>
    <row r="140" spans="1:2" x14ac:dyDescent="0.15">
      <c r="A140">
        <f>[8]D_道具表!A140</f>
        <v>78216</v>
      </c>
      <c r="B140" t="str">
        <f>[8]D_道具表!B140</f>
        <v>限时碎片(大天二)</v>
      </c>
    </row>
    <row r="141" spans="1:2" x14ac:dyDescent="0.15">
      <c r="A141">
        <f>[8]D_道具表!A141</f>
        <v>83309</v>
      </c>
      <c r="B141" t="str">
        <f>[8]D_道具表!B141</f>
        <v>堂口贡献</v>
      </c>
    </row>
    <row r="142" spans="1:2" x14ac:dyDescent="0.15">
      <c r="A142">
        <f>[8]D_道具表!A142</f>
        <v>86121</v>
      </c>
      <c r="B142" t="str">
        <f>[8]D_道具表!B142</f>
        <v>马仔宝物碎片礼包</v>
      </c>
    </row>
    <row r="143" spans="1:2" x14ac:dyDescent="0.15">
      <c r="A143">
        <f>[8]D_道具表!A143</f>
        <v>86131</v>
      </c>
      <c r="B143" t="str">
        <f>[8]D_道具表!B143</f>
        <v>马仔宝物碎片礼包</v>
      </c>
    </row>
    <row r="144" spans="1:2" x14ac:dyDescent="0.15">
      <c r="A144">
        <f>[8]D_道具表!A144</f>
        <v>86141</v>
      </c>
      <c r="B144" t="str">
        <f>[8]D_道具表!B144</f>
        <v>马仔宝物碎片礼包</v>
      </c>
    </row>
    <row r="145" spans="1:2" x14ac:dyDescent="0.15">
      <c r="A145">
        <f>[8]D_道具表!A145</f>
        <v>86151</v>
      </c>
      <c r="B145" t="str">
        <f>[8]D_道具表!B145</f>
        <v>马仔宝物碎片礼包</v>
      </c>
    </row>
    <row r="146" spans="1:2" x14ac:dyDescent="0.15">
      <c r="A146">
        <f>[8]D_道具表!A146</f>
        <v>86210</v>
      </c>
      <c r="B146" t="str">
        <f>[8]D_道具表!B146</f>
        <v>命格福袋</v>
      </c>
    </row>
    <row r="147" spans="1:2" x14ac:dyDescent="0.15">
      <c r="A147">
        <f>[8]D_道具表!A147</f>
        <v>86220</v>
      </c>
      <c r="B147" t="str">
        <f>[8]D_道具表!B147</f>
        <v>命格福袋</v>
      </c>
    </row>
    <row r="148" spans="1:2" x14ac:dyDescent="0.15">
      <c r="A148">
        <f>[8]D_道具表!A148</f>
        <v>86230</v>
      </c>
      <c r="B148" t="str">
        <f>[8]D_道具表!B148</f>
        <v>命格福袋</v>
      </c>
    </row>
    <row r="149" spans="1:2" x14ac:dyDescent="0.15">
      <c r="A149">
        <f>[8]D_道具表!A149</f>
        <v>86240</v>
      </c>
      <c r="B149" t="str">
        <f>[8]D_道具表!B149</f>
        <v>命格福袋</v>
      </c>
    </row>
    <row r="150" spans="1:2" x14ac:dyDescent="0.15">
      <c r="A150">
        <f>[8]D_道具表!A150</f>
        <v>86250</v>
      </c>
      <c r="B150" t="str">
        <f>[8]D_道具表!B150</f>
        <v>命格福袋</v>
      </c>
    </row>
    <row r="151" spans="1:2" x14ac:dyDescent="0.15">
      <c r="A151">
        <f>[8]D_道具表!A151</f>
        <v>86310</v>
      </c>
      <c r="B151" t="str">
        <f>[8]D_道具表!B151</f>
        <v>马仔碎片福袋</v>
      </c>
    </row>
    <row r="152" spans="1:2" x14ac:dyDescent="0.15">
      <c r="A152">
        <f>[8]D_道具表!A152</f>
        <v>86320</v>
      </c>
      <c r="B152" t="str">
        <f>[8]D_道具表!B152</f>
        <v>马仔碎片福袋</v>
      </c>
    </row>
    <row r="153" spans="1:2" x14ac:dyDescent="0.15">
      <c r="A153">
        <f>[8]D_道具表!A153</f>
        <v>86330</v>
      </c>
      <c r="B153" t="str">
        <f>[8]D_道具表!B153</f>
        <v>马仔碎片福袋</v>
      </c>
    </row>
    <row r="154" spans="1:2" x14ac:dyDescent="0.15">
      <c r="A154">
        <f>[8]D_道具表!A154</f>
        <v>86340</v>
      </c>
      <c r="B154" t="str">
        <f>[8]D_道具表!B154</f>
        <v>马仔碎片福袋</v>
      </c>
    </row>
    <row r="155" spans="1:2" x14ac:dyDescent="0.15">
      <c r="A155">
        <f>[8]D_道具表!A155</f>
        <v>86350</v>
      </c>
      <c r="B155" t="str">
        <f>[8]D_道具表!B155</f>
        <v>马仔碎片福袋</v>
      </c>
    </row>
    <row r="156" spans="1:2" x14ac:dyDescent="0.15">
      <c r="A156">
        <f>[8]D_道具表!A156</f>
        <v>86400</v>
      </c>
      <c r="B156" t="str">
        <f>[8]D_道具表!B156</f>
        <v>装备升星石福袋</v>
      </c>
    </row>
    <row r="157" spans="1:2" x14ac:dyDescent="0.15">
      <c r="A157">
        <f>[8]D_道具表!A157</f>
        <v>0</v>
      </c>
      <c r="B157">
        <f>[8]D_道具表!B157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12"/>
  <sheetViews>
    <sheetView topLeftCell="A199" workbookViewId="0">
      <selection activeCell="J229" sqref="J229"/>
    </sheetView>
  </sheetViews>
  <sheetFormatPr defaultRowHeight="13.5" x14ac:dyDescent="0.15"/>
  <cols>
    <col min="2" max="2" width="9.5" bestFit="1" customWidth="1"/>
  </cols>
  <sheetData>
    <row r="1" spans="1:2" x14ac:dyDescent="0.15">
      <c r="A1" t="s">
        <v>62</v>
      </c>
      <c r="B1" t="s">
        <v>63</v>
      </c>
    </row>
    <row r="2" spans="1:2" x14ac:dyDescent="0.15">
      <c r="A2" t="str">
        <f>[9]D_装备基础数据!A2</f>
        <v>10001</v>
      </c>
      <c r="B2" t="str">
        <f>[9]D_装备基础数据!B2</f>
        <v>新手之剑</v>
      </c>
    </row>
    <row r="3" spans="1:2" x14ac:dyDescent="0.15">
      <c r="A3" t="str">
        <f>[9]D_装备基础数据!A3</f>
        <v>20001</v>
      </c>
      <c r="B3" t="str">
        <f>[9]D_装备基础数据!B3</f>
        <v>新手之拳</v>
      </c>
    </row>
    <row r="4" spans="1:2" x14ac:dyDescent="0.15">
      <c r="A4" t="str">
        <f>[9]D_装备基础数据!A4</f>
        <v>30001</v>
      </c>
      <c r="B4" t="str">
        <f>[9]D_装备基础数据!B4</f>
        <v>新手之枪</v>
      </c>
    </row>
    <row r="5" spans="1:2" x14ac:dyDescent="0.15">
      <c r="A5" t="str">
        <f>[9]D_装备基础数据!A5</f>
        <v>10002</v>
      </c>
      <c r="B5" t="str">
        <f>[9]D_装备基础数据!B5</f>
        <v>染血之剑</v>
      </c>
    </row>
    <row r="6" spans="1:2" x14ac:dyDescent="0.15">
      <c r="A6" t="str">
        <f>[9]D_装备基础数据!A6</f>
        <v>20002</v>
      </c>
      <c r="B6" t="str">
        <f>[9]D_装备基础数据!B6</f>
        <v>染血之拳</v>
      </c>
    </row>
    <row r="7" spans="1:2" x14ac:dyDescent="0.15">
      <c r="A7" t="str">
        <f>[9]D_装备基础数据!A7</f>
        <v>30002</v>
      </c>
      <c r="B7" t="str">
        <f>[9]D_装备基础数据!B7</f>
        <v>染血之枪</v>
      </c>
    </row>
    <row r="8" spans="1:2" x14ac:dyDescent="0.15">
      <c r="A8" t="str">
        <f>[9]D_装备基础数据!A8</f>
        <v>51002</v>
      </c>
      <c r="B8" t="str">
        <f>[9]D_装备基础数据!B8</f>
        <v>染血战衣</v>
      </c>
    </row>
    <row r="9" spans="1:2" x14ac:dyDescent="0.15">
      <c r="A9" t="str">
        <f>[9]D_装备基础数据!A9</f>
        <v>52002</v>
      </c>
      <c r="B9" t="str">
        <f>[9]D_装备基础数据!B9</f>
        <v>染血长裤</v>
      </c>
    </row>
    <row r="10" spans="1:2" x14ac:dyDescent="0.15">
      <c r="A10" t="str">
        <f>[9]D_装备基础数据!A10</f>
        <v>55002</v>
      </c>
      <c r="B10" t="str">
        <f>[9]D_装备基础数据!B10</f>
        <v>染血长靴</v>
      </c>
    </row>
    <row r="11" spans="1:2" x14ac:dyDescent="0.15">
      <c r="A11" t="str">
        <f>[9]D_装备基础数据!A11</f>
        <v>54002</v>
      </c>
      <c r="B11" t="str">
        <f>[9]D_装备基础数据!B11</f>
        <v>染血腰带</v>
      </c>
    </row>
    <row r="12" spans="1:2" x14ac:dyDescent="0.15">
      <c r="A12" t="str">
        <f>[9]D_装备基础数据!A12</f>
        <v>53002</v>
      </c>
      <c r="B12" t="str">
        <f>[9]D_装备基础数据!B12</f>
        <v>染血项链</v>
      </c>
    </row>
    <row r="13" spans="1:2" x14ac:dyDescent="0.15">
      <c r="A13" t="str">
        <f>[9]D_装备基础数据!A13</f>
        <v>10103</v>
      </c>
      <c r="B13" t="str">
        <f>[9]D_装备基础数据!B13</f>
        <v>狂气之剑</v>
      </c>
    </row>
    <row r="14" spans="1:2" x14ac:dyDescent="0.15">
      <c r="A14" t="str">
        <f>[9]D_装备基础数据!A14</f>
        <v>20103</v>
      </c>
      <c r="B14" t="str">
        <f>[9]D_装备基础数据!B14</f>
        <v>狂气之拳</v>
      </c>
    </row>
    <row r="15" spans="1:2" x14ac:dyDescent="0.15">
      <c r="A15" t="str">
        <f>[9]D_装备基础数据!A15</f>
        <v>30103</v>
      </c>
      <c r="B15" t="str">
        <f>[9]D_装备基础数据!B15</f>
        <v>狂气之枪</v>
      </c>
    </row>
    <row r="16" spans="1:2" x14ac:dyDescent="0.15">
      <c r="A16" t="str">
        <f>[9]D_装备基础数据!A16</f>
        <v>51103</v>
      </c>
      <c r="B16" t="str">
        <f>[9]D_装备基础数据!B16</f>
        <v>狂气战衣</v>
      </c>
    </row>
    <row r="17" spans="1:2" x14ac:dyDescent="0.15">
      <c r="A17" t="str">
        <f>[9]D_装备基础数据!A17</f>
        <v>52103</v>
      </c>
      <c r="B17" t="str">
        <f>[9]D_装备基础数据!B17</f>
        <v>狂气长裤</v>
      </c>
    </row>
    <row r="18" spans="1:2" x14ac:dyDescent="0.15">
      <c r="A18" t="str">
        <f>[9]D_装备基础数据!A18</f>
        <v>55103</v>
      </c>
      <c r="B18" t="str">
        <f>[9]D_装备基础数据!B18</f>
        <v>狂气长靴</v>
      </c>
    </row>
    <row r="19" spans="1:2" x14ac:dyDescent="0.15">
      <c r="A19" t="str">
        <f>[9]D_装备基础数据!A19</f>
        <v>54103</v>
      </c>
      <c r="B19" t="str">
        <f>[9]D_装备基础数据!B19</f>
        <v>狂气腰带</v>
      </c>
    </row>
    <row r="20" spans="1:2" x14ac:dyDescent="0.15">
      <c r="A20" t="str">
        <f>[9]D_装备基础数据!A20</f>
        <v>53103</v>
      </c>
      <c r="B20" t="str">
        <f>[9]D_装备基础数据!B20</f>
        <v>狂气项链</v>
      </c>
    </row>
    <row r="21" spans="1:2" x14ac:dyDescent="0.15">
      <c r="A21" t="str">
        <f>[9]D_装备基础数据!A21</f>
        <v>10104</v>
      </c>
      <c r="B21" t="str">
        <f>[9]D_装备基础数据!B21</f>
        <v>野性之剑</v>
      </c>
    </row>
    <row r="22" spans="1:2" x14ac:dyDescent="0.15">
      <c r="A22" t="str">
        <f>[9]D_装备基础数据!A22</f>
        <v>20104</v>
      </c>
      <c r="B22" t="str">
        <f>[9]D_装备基础数据!B22</f>
        <v>野性之拳</v>
      </c>
    </row>
    <row r="23" spans="1:2" x14ac:dyDescent="0.15">
      <c r="A23" t="str">
        <f>[9]D_装备基础数据!A23</f>
        <v>30104</v>
      </c>
      <c r="B23" t="str">
        <f>[9]D_装备基础数据!B23</f>
        <v>野性之枪</v>
      </c>
    </row>
    <row r="24" spans="1:2" x14ac:dyDescent="0.15">
      <c r="A24" t="str">
        <f>[9]D_装备基础数据!A24</f>
        <v>51104</v>
      </c>
      <c r="B24" t="str">
        <f>[9]D_装备基础数据!B24</f>
        <v>野性战衣</v>
      </c>
    </row>
    <row r="25" spans="1:2" x14ac:dyDescent="0.15">
      <c r="A25" t="str">
        <f>[9]D_装备基础数据!A25</f>
        <v>52104</v>
      </c>
      <c r="B25" t="str">
        <f>[9]D_装备基础数据!B25</f>
        <v>野性长裤</v>
      </c>
    </row>
    <row r="26" spans="1:2" x14ac:dyDescent="0.15">
      <c r="A26" t="str">
        <f>[9]D_装备基础数据!A26</f>
        <v>55104</v>
      </c>
      <c r="B26" t="str">
        <f>[9]D_装备基础数据!B26</f>
        <v>野性长靴</v>
      </c>
    </row>
    <row r="27" spans="1:2" x14ac:dyDescent="0.15">
      <c r="A27" t="str">
        <f>[9]D_装备基础数据!A27</f>
        <v>54104</v>
      </c>
      <c r="B27" t="str">
        <f>[9]D_装备基础数据!B27</f>
        <v>野性腰带</v>
      </c>
    </row>
    <row r="28" spans="1:2" x14ac:dyDescent="0.15">
      <c r="A28" t="str">
        <f>[9]D_装备基础数据!A28</f>
        <v>53104</v>
      </c>
      <c r="B28" t="str">
        <f>[9]D_装备基础数据!B28</f>
        <v>野性项链</v>
      </c>
    </row>
    <row r="29" spans="1:2" x14ac:dyDescent="0.15">
      <c r="A29" t="str">
        <f>[9]D_装备基础数据!A29</f>
        <v>10205</v>
      </c>
      <c r="B29" t="str">
        <f>[9]D_装备基础数据!B29</f>
        <v>紫云之剑</v>
      </c>
    </row>
    <row r="30" spans="1:2" x14ac:dyDescent="0.15">
      <c r="A30" t="str">
        <f>[9]D_装备基础数据!A30</f>
        <v>20205</v>
      </c>
      <c r="B30" t="str">
        <f>[9]D_装备基础数据!B30</f>
        <v>紫云之拳</v>
      </c>
    </row>
    <row r="31" spans="1:2" x14ac:dyDescent="0.15">
      <c r="A31" t="str">
        <f>[9]D_装备基础数据!A31</f>
        <v>30205</v>
      </c>
      <c r="B31" t="str">
        <f>[9]D_装备基础数据!B31</f>
        <v>紫云之枪</v>
      </c>
    </row>
    <row r="32" spans="1:2" x14ac:dyDescent="0.15">
      <c r="A32" t="str">
        <f>[9]D_装备基础数据!A32</f>
        <v>51205</v>
      </c>
      <c r="B32" t="str">
        <f>[9]D_装备基础数据!B32</f>
        <v>紫云战衣</v>
      </c>
    </row>
    <row r="33" spans="1:2" x14ac:dyDescent="0.15">
      <c r="A33" t="str">
        <f>[9]D_装备基础数据!A33</f>
        <v>52205</v>
      </c>
      <c r="B33" t="str">
        <f>[9]D_装备基础数据!B33</f>
        <v>紫云长裤</v>
      </c>
    </row>
    <row r="34" spans="1:2" x14ac:dyDescent="0.15">
      <c r="A34" t="str">
        <f>[9]D_装备基础数据!A34</f>
        <v>55205</v>
      </c>
      <c r="B34" t="str">
        <f>[9]D_装备基础数据!B34</f>
        <v>紫云长靴</v>
      </c>
    </row>
    <row r="35" spans="1:2" x14ac:dyDescent="0.15">
      <c r="A35" t="str">
        <f>[9]D_装备基础数据!A35</f>
        <v>54205</v>
      </c>
      <c r="B35" t="str">
        <f>[9]D_装备基础数据!B35</f>
        <v>紫云腰带</v>
      </c>
    </row>
    <row r="36" spans="1:2" x14ac:dyDescent="0.15">
      <c r="A36" t="str">
        <f>[9]D_装备基础数据!A36</f>
        <v>53205</v>
      </c>
      <c r="B36" t="str">
        <f>[9]D_装备基础数据!B36</f>
        <v>紫云项链</v>
      </c>
    </row>
    <row r="37" spans="1:2" x14ac:dyDescent="0.15">
      <c r="A37" t="str">
        <f>[9]D_装备基础数据!A37</f>
        <v>10306</v>
      </c>
      <c r="B37" t="str">
        <f>[9]D_装备基础数据!B37</f>
        <v>鎏金之剑</v>
      </c>
    </row>
    <row r="38" spans="1:2" x14ac:dyDescent="0.15">
      <c r="A38" t="str">
        <f>[9]D_装备基础数据!A38</f>
        <v>20306</v>
      </c>
      <c r="B38" t="str">
        <f>[9]D_装备基础数据!B38</f>
        <v>鎏金之拳</v>
      </c>
    </row>
    <row r="39" spans="1:2" x14ac:dyDescent="0.15">
      <c r="A39" t="str">
        <f>[9]D_装备基础数据!A39</f>
        <v>30306</v>
      </c>
      <c r="B39" t="str">
        <f>[9]D_装备基础数据!B39</f>
        <v>鎏金之枪</v>
      </c>
    </row>
    <row r="40" spans="1:2" x14ac:dyDescent="0.15">
      <c r="A40" t="str">
        <f>[9]D_装备基础数据!A40</f>
        <v>51306</v>
      </c>
      <c r="B40" t="str">
        <f>[9]D_装备基础数据!B40</f>
        <v>鎏金战衣</v>
      </c>
    </row>
    <row r="41" spans="1:2" x14ac:dyDescent="0.15">
      <c r="A41" t="str">
        <f>[9]D_装备基础数据!A41</f>
        <v>52306</v>
      </c>
      <c r="B41" t="str">
        <f>[9]D_装备基础数据!B41</f>
        <v>鎏金长裤</v>
      </c>
    </row>
    <row r="42" spans="1:2" x14ac:dyDescent="0.15">
      <c r="A42" t="str">
        <f>[9]D_装备基础数据!A42</f>
        <v>55306</v>
      </c>
      <c r="B42" t="str">
        <f>[9]D_装备基础数据!B42</f>
        <v>鎏金长靴</v>
      </c>
    </row>
    <row r="43" spans="1:2" x14ac:dyDescent="0.15">
      <c r="A43" t="str">
        <f>[9]D_装备基础数据!A43</f>
        <v>54306</v>
      </c>
      <c r="B43" t="str">
        <f>[9]D_装备基础数据!B43</f>
        <v>鎏金腰带</v>
      </c>
    </row>
    <row r="44" spans="1:2" x14ac:dyDescent="0.15">
      <c r="A44" t="str">
        <f>[9]D_装备基础数据!A44</f>
        <v>53306</v>
      </c>
      <c r="B44" t="str">
        <f>[9]D_装备基础数据!B44</f>
        <v>鎏金项链</v>
      </c>
    </row>
    <row r="45" spans="1:2" x14ac:dyDescent="0.15">
      <c r="A45" t="str">
        <f>[9]D_装备基础数据!A45</f>
        <v>10407</v>
      </c>
      <c r="B45" t="str">
        <f>[9]D_装备基础数据!B45</f>
        <v>虹光之剑</v>
      </c>
    </row>
    <row r="46" spans="1:2" x14ac:dyDescent="0.15">
      <c r="A46" t="str">
        <f>[9]D_装备基础数据!A46</f>
        <v>20407</v>
      </c>
      <c r="B46" t="str">
        <f>[9]D_装备基础数据!B46</f>
        <v>虹光之拳</v>
      </c>
    </row>
    <row r="47" spans="1:2" x14ac:dyDescent="0.15">
      <c r="A47" t="str">
        <f>[9]D_装备基础数据!A47</f>
        <v>30407</v>
      </c>
      <c r="B47" t="str">
        <f>[9]D_装备基础数据!B47</f>
        <v>虹光之枪</v>
      </c>
    </row>
    <row r="48" spans="1:2" x14ac:dyDescent="0.15">
      <c r="A48" t="str">
        <f>[9]D_装备基础数据!A48</f>
        <v>51407</v>
      </c>
      <c r="B48" t="str">
        <f>[9]D_装备基础数据!B48</f>
        <v>虹光战衣</v>
      </c>
    </row>
    <row r="49" spans="1:2" x14ac:dyDescent="0.15">
      <c r="A49" t="str">
        <f>[9]D_装备基础数据!A49</f>
        <v>52407</v>
      </c>
      <c r="B49" t="str">
        <f>[9]D_装备基础数据!B49</f>
        <v>虹光长裤</v>
      </c>
    </row>
    <row r="50" spans="1:2" x14ac:dyDescent="0.15">
      <c r="A50" t="str">
        <f>[9]D_装备基础数据!A50</f>
        <v>55407</v>
      </c>
      <c r="B50" t="str">
        <f>[9]D_装备基础数据!B50</f>
        <v>虹光长靴</v>
      </c>
    </row>
    <row r="51" spans="1:2" x14ac:dyDescent="0.15">
      <c r="A51" t="str">
        <f>[9]D_装备基础数据!A51</f>
        <v>54407</v>
      </c>
      <c r="B51" t="str">
        <f>[9]D_装备基础数据!B51</f>
        <v>虹光腰带</v>
      </c>
    </row>
    <row r="52" spans="1:2" x14ac:dyDescent="0.15">
      <c r="A52" t="str">
        <f>[9]D_装备基础数据!A52</f>
        <v>53407</v>
      </c>
      <c r="B52" t="str">
        <f>[9]D_装备基础数据!B52</f>
        <v>虹光项链</v>
      </c>
    </row>
    <row r="53" spans="1:2" x14ac:dyDescent="0.15">
      <c r="A53" t="str">
        <f>[9]D_装备基础数据!A53</f>
        <v>10108</v>
      </c>
      <c r="B53" t="str">
        <f>[9]D_装备基础数据!B53</f>
        <v>碧蓝之剑</v>
      </c>
    </row>
    <row r="54" spans="1:2" x14ac:dyDescent="0.15">
      <c r="A54" t="str">
        <f>[9]D_装备基础数据!A54</f>
        <v>20108</v>
      </c>
      <c r="B54" t="str">
        <f>[9]D_装备基础数据!B54</f>
        <v>碧蓝之拳</v>
      </c>
    </row>
    <row r="55" spans="1:2" x14ac:dyDescent="0.15">
      <c r="A55" t="str">
        <f>[9]D_装备基础数据!A55</f>
        <v>30108</v>
      </c>
      <c r="B55" t="str">
        <f>[9]D_装备基础数据!B55</f>
        <v>碧蓝之枪</v>
      </c>
    </row>
    <row r="56" spans="1:2" x14ac:dyDescent="0.15">
      <c r="A56" t="str">
        <f>[9]D_装备基础数据!A56</f>
        <v>51108</v>
      </c>
      <c r="B56" t="str">
        <f>[9]D_装备基础数据!B56</f>
        <v>碧蓝战衣</v>
      </c>
    </row>
    <row r="57" spans="1:2" x14ac:dyDescent="0.15">
      <c r="A57" t="str">
        <f>[9]D_装备基础数据!A57</f>
        <v>52108</v>
      </c>
      <c r="B57" t="str">
        <f>[9]D_装备基础数据!B57</f>
        <v>碧蓝长裤</v>
      </c>
    </row>
    <row r="58" spans="1:2" x14ac:dyDescent="0.15">
      <c r="A58" t="str">
        <f>[9]D_装备基础数据!A58</f>
        <v>55108</v>
      </c>
      <c r="B58" t="str">
        <f>[9]D_装备基础数据!B58</f>
        <v>碧蓝长靴</v>
      </c>
    </row>
    <row r="59" spans="1:2" x14ac:dyDescent="0.15">
      <c r="A59" t="str">
        <f>[9]D_装备基础数据!A59</f>
        <v>54108</v>
      </c>
      <c r="B59" t="str">
        <f>[9]D_装备基础数据!B59</f>
        <v>碧蓝腰带</v>
      </c>
    </row>
    <row r="60" spans="1:2" x14ac:dyDescent="0.15">
      <c r="A60" t="str">
        <f>[9]D_装备基础数据!A60</f>
        <v>53108</v>
      </c>
      <c r="B60" t="str">
        <f>[9]D_装备基础数据!B60</f>
        <v>碧蓝项链</v>
      </c>
    </row>
    <row r="61" spans="1:2" x14ac:dyDescent="0.15">
      <c r="A61" t="str">
        <f>[9]D_装备基础数据!A61</f>
        <v>10209</v>
      </c>
      <c r="B61" t="str">
        <f>[9]D_装备基础数据!B61</f>
        <v>斩魄之刃</v>
      </c>
    </row>
    <row r="62" spans="1:2" x14ac:dyDescent="0.15">
      <c r="A62" t="str">
        <f>[9]D_装备基础数据!A62</f>
        <v>20209</v>
      </c>
      <c r="B62" t="str">
        <f>[9]D_装备基础数据!B62</f>
        <v>流光之拳</v>
      </c>
    </row>
    <row r="63" spans="1:2" x14ac:dyDescent="0.15">
      <c r="A63" t="str">
        <f>[9]D_装备基础数据!A63</f>
        <v>30209</v>
      </c>
      <c r="B63" t="str">
        <f>[9]D_装备基础数据!B63</f>
        <v>玫瑰骑士</v>
      </c>
    </row>
    <row r="64" spans="1:2" x14ac:dyDescent="0.15">
      <c r="A64" t="str">
        <f>[9]D_装备基础数据!A64</f>
        <v>51209</v>
      </c>
      <c r="B64" t="str">
        <f>[9]D_装备基础数据!B64</f>
        <v>黑鸦战衣</v>
      </c>
    </row>
    <row r="65" spans="1:2" x14ac:dyDescent="0.15">
      <c r="A65" t="str">
        <f>[9]D_装备基础数据!A65</f>
        <v>52209</v>
      </c>
      <c r="B65" t="str">
        <f>[9]D_装备基础数据!B65</f>
        <v>黑鸦长裤</v>
      </c>
    </row>
    <row r="66" spans="1:2" x14ac:dyDescent="0.15">
      <c r="A66" t="str">
        <f>[9]D_装备基础数据!A66</f>
        <v>55209</v>
      </c>
      <c r="B66" t="str">
        <f>[9]D_装备基础数据!B66</f>
        <v>黑鸦长靴</v>
      </c>
    </row>
    <row r="67" spans="1:2" x14ac:dyDescent="0.15">
      <c r="A67" t="str">
        <f>[9]D_装备基础数据!A67</f>
        <v>54209</v>
      </c>
      <c r="B67" t="str">
        <f>[9]D_装备基础数据!B67</f>
        <v>黑鸦腰带</v>
      </c>
    </row>
    <row r="68" spans="1:2" x14ac:dyDescent="0.15">
      <c r="A68" t="str">
        <f>[9]D_装备基础数据!A68</f>
        <v>53209</v>
      </c>
      <c r="B68" t="str">
        <f>[9]D_装备基础数据!B68</f>
        <v>黑鸦项链</v>
      </c>
    </row>
    <row r="69" spans="1:2" x14ac:dyDescent="0.15">
      <c r="A69" t="str">
        <f>[9]D_装备基础数据!A69</f>
        <v>10310</v>
      </c>
      <c r="B69" t="str">
        <f>[9]D_装备基础数据!B69</f>
        <v>爵士之刃</v>
      </c>
    </row>
    <row r="70" spans="1:2" x14ac:dyDescent="0.15">
      <c r="A70" t="str">
        <f>[9]D_装备基础数据!A70</f>
        <v>20310</v>
      </c>
      <c r="B70" t="str">
        <f>[9]D_装备基础数据!B70</f>
        <v>爵士之拳</v>
      </c>
    </row>
    <row r="71" spans="1:2" x14ac:dyDescent="0.15">
      <c r="A71" t="str">
        <f>[9]D_装备基础数据!A71</f>
        <v>30310</v>
      </c>
      <c r="B71" t="str">
        <f>[9]D_装备基础数据!B71</f>
        <v>爵士之枪</v>
      </c>
    </row>
    <row r="72" spans="1:2" x14ac:dyDescent="0.15">
      <c r="A72" t="str">
        <f>[9]D_装备基础数据!A72</f>
        <v>51310</v>
      </c>
      <c r="B72" t="str">
        <f>[9]D_装备基础数据!B72</f>
        <v>爵士战衣</v>
      </c>
    </row>
    <row r="73" spans="1:2" x14ac:dyDescent="0.15">
      <c r="A73" t="str">
        <f>[9]D_装备基础数据!A73</f>
        <v>52310</v>
      </c>
      <c r="B73" t="str">
        <f>[9]D_装备基础数据!B73</f>
        <v>爵士长裤</v>
      </c>
    </row>
    <row r="74" spans="1:2" x14ac:dyDescent="0.15">
      <c r="A74" t="str">
        <f>[9]D_装备基础数据!A74</f>
        <v>55310</v>
      </c>
      <c r="B74" t="str">
        <f>[9]D_装备基础数据!B74</f>
        <v>爵士长靴</v>
      </c>
    </row>
    <row r="75" spans="1:2" x14ac:dyDescent="0.15">
      <c r="A75" t="str">
        <f>[9]D_装备基础数据!A75</f>
        <v>54310</v>
      </c>
      <c r="B75" t="str">
        <f>[9]D_装备基础数据!B75</f>
        <v>爵士腰带</v>
      </c>
    </row>
    <row r="76" spans="1:2" x14ac:dyDescent="0.15">
      <c r="A76" t="str">
        <f>[9]D_装备基础数据!A76</f>
        <v>53310</v>
      </c>
      <c r="B76" t="str">
        <f>[9]D_装备基础数据!B76</f>
        <v>爵士项链</v>
      </c>
    </row>
    <row r="77" spans="1:2" x14ac:dyDescent="0.15">
      <c r="A77" t="str">
        <f>[9]D_装备基础数据!A77</f>
        <v>10411</v>
      </c>
      <c r="B77" t="str">
        <f>[9]D_装备基础数据!B77</f>
        <v>暴血之刃</v>
      </c>
    </row>
    <row r="78" spans="1:2" x14ac:dyDescent="0.15">
      <c r="A78" t="str">
        <f>[9]D_装备基础数据!A78</f>
        <v>20411</v>
      </c>
      <c r="B78" t="str">
        <f>[9]D_装备基础数据!B78</f>
        <v>暴血之拳</v>
      </c>
    </row>
    <row r="79" spans="1:2" x14ac:dyDescent="0.15">
      <c r="A79" t="str">
        <f>[9]D_装备基础数据!A79</f>
        <v>30411</v>
      </c>
      <c r="B79" t="str">
        <f>[9]D_装备基础数据!B79</f>
        <v>暴血之枪</v>
      </c>
    </row>
    <row r="80" spans="1:2" x14ac:dyDescent="0.15">
      <c r="A80" t="str">
        <f>[9]D_装备基础数据!A80</f>
        <v>51411</v>
      </c>
      <c r="B80" t="str">
        <f>[9]D_装备基础数据!B80</f>
        <v>暴血战衣</v>
      </c>
    </row>
    <row r="81" spans="1:2" x14ac:dyDescent="0.15">
      <c r="A81" t="str">
        <f>[9]D_装备基础数据!A81</f>
        <v>52411</v>
      </c>
      <c r="B81" t="str">
        <f>[9]D_装备基础数据!B81</f>
        <v>暴血长裤</v>
      </c>
    </row>
    <row r="82" spans="1:2" x14ac:dyDescent="0.15">
      <c r="A82" t="str">
        <f>[9]D_装备基础数据!A82</f>
        <v>55411</v>
      </c>
      <c r="B82" t="str">
        <f>[9]D_装备基础数据!B82</f>
        <v>暴血长靴</v>
      </c>
    </row>
    <row r="83" spans="1:2" x14ac:dyDescent="0.15">
      <c r="A83" t="str">
        <f>[9]D_装备基础数据!A83</f>
        <v>54411</v>
      </c>
      <c r="B83" t="str">
        <f>[9]D_装备基础数据!B83</f>
        <v>暴血腰带</v>
      </c>
    </row>
    <row r="84" spans="1:2" x14ac:dyDescent="0.15">
      <c r="A84" t="str">
        <f>[9]D_装备基础数据!A84</f>
        <v>53411</v>
      </c>
      <c r="B84" t="str">
        <f>[9]D_装备基础数据!B84</f>
        <v>暴血项链</v>
      </c>
    </row>
    <row r="85" spans="1:2" x14ac:dyDescent="0.15">
      <c r="A85" t="str">
        <f>[9]D_装备基础数据!A85</f>
        <v>10112</v>
      </c>
      <c r="B85" t="str">
        <f>[9]D_装备基础数据!B85</f>
        <v>勇气之刃</v>
      </c>
    </row>
    <row r="86" spans="1:2" x14ac:dyDescent="0.15">
      <c r="A86" t="str">
        <f>[9]D_装备基础数据!A86</f>
        <v>20112</v>
      </c>
      <c r="B86" t="str">
        <f>[9]D_装备基础数据!B86</f>
        <v>勇气之拳</v>
      </c>
    </row>
    <row r="87" spans="1:2" x14ac:dyDescent="0.15">
      <c r="A87" t="str">
        <f>[9]D_装备基础数据!A87</f>
        <v>30112</v>
      </c>
      <c r="B87" t="str">
        <f>[9]D_装备基础数据!B87</f>
        <v>勇气之枪</v>
      </c>
    </row>
    <row r="88" spans="1:2" x14ac:dyDescent="0.15">
      <c r="A88" t="str">
        <f>[9]D_装备基础数据!A88</f>
        <v>51112</v>
      </c>
      <c r="B88" t="str">
        <f>[9]D_装备基础数据!B88</f>
        <v>勇气战衣</v>
      </c>
    </row>
    <row r="89" spans="1:2" x14ac:dyDescent="0.15">
      <c r="A89" t="str">
        <f>[9]D_装备基础数据!A89</f>
        <v>52112</v>
      </c>
      <c r="B89" t="str">
        <f>[9]D_装备基础数据!B89</f>
        <v>勇气长裤</v>
      </c>
    </row>
    <row r="90" spans="1:2" x14ac:dyDescent="0.15">
      <c r="A90" t="str">
        <f>[9]D_装备基础数据!A90</f>
        <v>55112</v>
      </c>
      <c r="B90" t="str">
        <f>[9]D_装备基础数据!B90</f>
        <v>勇气长靴</v>
      </c>
    </row>
    <row r="91" spans="1:2" x14ac:dyDescent="0.15">
      <c r="A91" t="str">
        <f>[9]D_装备基础数据!A91</f>
        <v>54112</v>
      </c>
      <c r="B91" t="str">
        <f>[9]D_装备基础数据!B91</f>
        <v>勇气腰带</v>
      </c>
    </row>
    <row r="92" spans="1:2" x14ac:dyDescent="0.15">
      <c r="A92" t="str">
        <f>[9]D_装备基础数据!A92</f>
        <v>53112</v>
      </c>
      <c r="B92" t="str">
        <f>[9]D_装备基础数据!B92</f>
        <v>勇气项链</v>
      </c>
    </row>
    <row r="93" spans="1:2" x14ac:dyDescent="0.15">
      <c r="A93" t="str">
        <f>[9]D_装备基础数据!A93</f>
        <v>10213</v>
      </c>
      <c r="B93" t="str">
        <f>[9]D_装备基础数据!B93</f>
        <v>暗羽霸刀</v>
      </c>
    </row>
    <row r="94" spans="1:2" x14ac:dyDescent="0.15">
      <c r="A94" t="str">
        <f>[9]D_装备基础数据!A94</f>
        <v>20213</v>
      </c>
      <c r="B94" t="str">
        <f>[9]D_装备基础数据!B94</f>
        <v>暗羽之拳</v>
      </c>
    </row>
    <row r="95" spans="1:2" x14ac:dyDescent="0.15">
      <c r="A95" t="str">
        <f>[9]D_装备基础数据!A95</f>
        <v>30213</v>
      </c>
      <c r="B95" t="str">
        <f>[9]D_装备基础数据!B95</f>
        <v>暗羽之枪</v>
      </c>
    </row>
    <row r="96" spans="1:2" x14ac:dyDescent="0.15">
      <c r="A96" t="str">
        <f>[9]D_装备基础数据!A96</f>
        <v>51213</v>
      </c>
      <c r="B96" t="str">
        <f>[9]D_装备基础数据!B96</f>
        <v>暗羽战衣</v>
      </c>
    </row>
    <row r="97" spans="1:2" x14ac:dyDescent="0.15">
      <c r="A97" t="str">
        <f>[9]D_装备基础数据!A97</f>
        <v>52213</v>
      </c>
      <c r="B97" t="str">
        <f>[9]D_装备基础数据!B97</f>
        <v>暗羽长裤</v>
      </c>
    </row>
    <row r="98" spans="1:2" x14ac:dyDescent="0.15">
      <c r="A98" t="str">
        <f>[9]D_装备基础数据!A98</f>
        <v>55213</v>
      </c>
      <c r="B98" t="str">
        <f>[9]D_装备基础数据!B98</f>
        <v>暗羽长靴</v>
      </c>
    </row>
    <row r="99" spans="1:2" x14ac:dyDescent="0.15">
      <c r="A99" t="str">
        <f>[9]D_装备基础数据!A99</f>
        <v>54213</v>
      </c>
      <c r="B99" t="str">
        <f>[9]D_装备基础数据!B99</f>
        <v>暗羽腰带</v>
      </c>
    </row>
    <row r="100" spans="1:2" x14ac:dyDescent="0.15">
      <c r="A100" t="str">
        <f>[9]D_装备基础数据!A100</f>
        <v>53213</v>
      </c>
      <c r="B100" t="str">
        <f>[9]D_装备基础数据!B100</f>
        <v>暗羽项链</v>
      </c>
    </row>
    <row r="101" spans="1:2" x14ac:dyDescent="0.15">
      <c r="A101" t="str">
        <f>[9]D_装备基础数据!A101</f>
        <v>10314</v>
      </c>
      <c r="B101" t="str">
        <f>[9]D_装备基础数据!B101</f>
        <v>玄武霸刀</v>
      </c>
    </row>
    <row r="102" spans="1:2" x14ac:dyDescent="0.15">
      <c r="A102" t="str">
        <f>[9]D_装备基础数据!A102</f>
        <v>20314</v>
      </c>
      <c r="B102" t="str">
        <f>[9]D_装备基础数据!B102</f>
        <v>玄武之拳</v>
      </c>
    </row>
    <row r="103" spans="1:2" x14ac:dyDescent="0.15">
      <c r="A103" t="str">
        <f>[9]D_装备基础数据!A103</f>
        <v>30314</v>
      </c>
      <c r="B103" t="str">
        <f>[9]D_装备基础数据!B103</f>
        <v>玄武之枪</v>
      </c>
    </row>
    <row r="104" spans="1:2" x14ac:dyDescent="0.15">
      <c r="A104" t="str">
        <f>[9]D_装备基础数据!A104</f>
        <v>51314</v>
      </c>
      <c r="B104" t="str">
        <f>[9]D_装备基础数据!B104</f>
        <v>玄武战衣</v>
      </c>
    </row>
    <row r="105" spans="1:2" x14ac:dyDescent="0.15">
      <c r="A105" t="str">
        <f>[9]D_装备基础数据!A105</f>
        <v>52314</v>
      </c>
      <c r="B105" t="str">
        <f>[9]D_装备基础数据!B105</f>
        <v>玄武长裤</v>
      </c>
    </row>
    <row r="106" spans="1:2" x14ac:dyDescent="0.15">
      <c r="A106" t="str">
        <f>[9]D_装备基础数据!A106</f>
        <v>55314</v>
      </c>
      <c r="B106" t="str">
        <f>[9]D_装备基础数据!B106</f>
        <v>玄武长靴</v>
      </c>
    </row>
    <row r="107" spans="1:2" x14ac:dyDescent="0.15">
      <c r="A107" t="str">
        <f>[9]D_装备基础数据!A107</f>
        <v>54314</v>
      </c>
      <c r="B107" t="str">
        <f>[9]D_装备基础数据!B107</f>
        <v>玄武腰带</v>
      </c>
    </row>
    <row r="108" spans="1:2" x14ac:dyDescent="0.15">
      <c r="A108" t="str">
        <f>[9]D_装备基础数据!A108</f>
        <v>53314</v>
      </c>
      <c r="B108" t="str">
        <f>[9]D_装备基础数据!B108</f>
        <v>玄武项链</v>
      </c>
    </row>
    <row r="109" spans="1:2" x14ac:dyDescent="0.15">
      <c r="A109" t="str">
        <f>[9]D_装备基础数据!A109</f>
        <v>10415</v>
      </c>
      <c r="B109" t="str">
        <f>[9]D_装备基础数据!B109</f>
        <v>暗魔之刃</v>
      </c>
    </row>
    <row r="110" spans="1:2" x14ac:dyDescent="0.15">
      <c r="A110" t="str">
        <f>[9]D_装备基础数据!A110</f>
        <v>20415</v>
      </c>
      <c r="B110" t="str">
        <f>[9]D_装备基础数据!B110</f>
        <v>暗魔之拳</v>
      </c>
    </row>
    <row r="111" spans="1:2" x14ac:dyDescent="0.15">
      <c r="A111" t="str">
        <f>[9]D_装备基础数据!A111</f>
        <v>30415</v>
      </c>
      <c r="B111" t="str">
        <f>[9]D_装备基础数据!B111</f>
        <v>暗魔之枪</v>
      </c>
    </row>
    <row r="112" spans="1:2" x14ac:dyDescent="0.15">
      <c r="A112" t="str">
        <f>[9]D_装备基础数据!A112</f>
        <v>51415</v>
      </c>
      <c r="B112" t="str">
        <f>[9]D_装备基础数据!B112</f>
        <v>暗魔战衣</v>
      </c>
    </row>
    <row r="113" spans="1:2" x14ac:dyDescent="0.15">
      <c r="A113" t="str">
        <f>[9]D_装备基础数据!A113</f>
        <v>52415</v>
      </c>
      <c r="B113" t="str">
        <f>[9]D_装备基础数据!B113</f>
        <v>暗魔长裤</v>
      </c>
    </row>
    <row r="114" spans="1:2" x14ac:dyDescent="0.15">
      <c r="A114" t="str">
        <f>[9]D_装备基础数据!A114</f>
        <v>55415</v>
      </c>
      <c r="B114" t="str">
        <f>[9]D_装备基础数据!B114</f>
        <v>暗魔长靴</v>
      </c>
    </row>
    <row r="115" spans="1:2" x14ac:dyDescent="0.15">
      <c r="A115" t="str">
        <f>[9]D_装备基础数据!A115</f>
        <v>54415</v>
      </c>
      <c r="B115" t="str">
        <f>[9]D_装备基础数据!B115</f>
        <v>暗魔腰带</v>
      </c>
    </row>
    <row r="116" spans="1:2" x14ac:dyDescent="0.15">
      <c r="A116" t="str">
        <f>[9]D_装备基础数据!A116</f>
        <v>53415</v>
      </c>
      <c r="B116" t="str">
        <f>[9]D_装备基础数据!B116</f>
        <v>暗魔项链</v>
      </c>
    </row>
    <row r="117" spans="1:2" x14ac:dyDescent="0.15">
      <c r="A117" t="str">
        <f>[9]D_装备基础数据!A117</f>
        <v>10116</v>
      </c>
      <c r="B117" t="str">
        <f>[9]D_装备基础数据!B117</f>
        <v>战爵之刃</v>
      </c>
    </row>
    <row r="118" spans="1:2" x14ac:dyDescent="0.15">
      <c r="A118" t="str">
        <f>[9]D_装备基础数据!A118</f>
        <v>20116</v>
      </c>
      <c r="B118" t="str">
        <f>[9]D_装备基础数据!B118</f>
        <v>战爵之拳</v>
      </c>
    </row>
    <row r="119" spans="1:2" x14ac:dyDescent="0.15">
      <c r="A119" t="str">
        <f>[9]D_装备基础数据!A119</f>
        <v>30116</v>
      </c>
      <c r="B119" t="str">
        <f>[9]D_装备基础数据!B119</f>
        <v>战爵之枪</v>
      </c>
    </row>
    <row r="120" spans="1:2" x14ac:dyDescent="0.15">
      <c r="A120" t="str">
        <f>[9]D_装备基础数据!A120</f>
        <v>51116</v>
      </c>
      <c r="B120" t="str">
        <f>[9]D_装备基础数据!B120</f>
        <v>战爵之衣</v>
      </c>
    </row>
    <row r="121" spans="1:2" x14ac:dyDescent="0.15">
      <c r="A121" t="str">
        <f>[9]D_装备基础数据!A121</f>
        <v>52116</v>
      </c>
      <c r="B121" t="str">
        <f>[9]D_装备基础数据!B121</f>
        <v>战爵长裤</v>
      </c>
    </row>
    <row r="122" spans="1:2" x14ac:dyDescent="0.15">
      <c r="A122" t="str">
        <f>[9]D_装备基础数据!A122</f>
        <v>55116</v>
      </c>
      <c r="B122" t="str">
        <f>[9]D_装备基础数据!B122</f>
        <v>战爵长靴</v>
      </c>
    </row>
    <row r="123" spans="1:2" x14ac:dyDescent="0.15">
      <c r="A123" t="str">
        <f>[9]D_装备基础数据!A123</f>
        <v>54116</v>
      </c>
      <c r="B123" t="str">
        <f>[9]D_装备基础数据!B123</f>
        <v>战爵腰带</v>
      </c>
    </row>
    <row r="124" spans="1:2" x14ac:dyDescent="0.15">
      <c r="A124" t="str">
        <f>[9]D_装备基础数据!A124</f>
        <v>53116</v>
      </c>
      <c r="B124" t="str">
        <f>[9]D_装备基础数据!B124</f>
        <v>战爵项链</v>
      </c>
    </row>
    <row r="125" spans="1:2" x14ac:dyDescent="0.15">
      <c r="A125" t="str">
        <f>[9]D_装备基础数据!A125</f>
        <v>10217</v>
      </c>
      <c r="B125" t="str">
        <f>[9]D_装备基础数据!B125</f>
        <v>嗜血之剑</v>
      </c>
    </row>
    <row r="126" spans="1:2" x14ac:dyDescent="0.15">
      <c r="A126" t="str">
        <f>[9]D_装备基础数据!A126</f>
        <v>20217</v>
      </c>
      <c r="B126" t="str">
        <f>[9]D_装备基础数据!B126</f>
        <v>嗜血拳</v>
      </c>
    </row>
    <row r="127" spans="1:2" x14ac:dyDescent="0.15">
      <c r="A127" t="str">
        <f>[9]D_装备基础数据!A127</f>
        <v>30217</v>
      </c>
      <c r="B127" t="str">
        <f>[9]D_装备基础数据!B127</f>
        <v>嗜血枪</v>
      </c>
    </row>
    <row r="128" spans="1:2" x14ac:dyDescent="0.15">
      <c r="A128" t="str">
        <f>[9]D_装备基础数据!A128</f>
        <v>51217</v>
      </c>
      <c r="B128" t="str">
        <f>[9]D_装备基础数据!B128</f>
        <v>嗜血战衣</v>
      </c>
    </row>
    <row r="129" spans="1:2" x14ac:dyDescent="0.15">
      <c r="A129" t="str">
        <f>[9]D_装备基础数据!A129</f>
        <v>52217</v>
      </c>
      <c r="B129" t="str">
        <f>[9]D_装备基础数据!B129</f>
        <v>嗜血长裤</v>
      </c>
    </row>
    <row r="130" spans="1:2" x14ac:dyDescent="0.15">
      <c r="A130" t="str">
        <f>[9]D_装备基础数据!A130</f>
        <v>55217</v>
      </c>
      <c r="B130" t="str">
        <f>[9]D_装备基础数据!B130</f>
        <v>嗜血长靴</v>
      </c>
    </row>
    <row r="131" spans="1:2" x14ac:dyDescent="0.15">
      <c r="A131" t="str">
        <f>[9]D_装备基础数据!A131</f>
        <v>54217</v>
      </c>
      <c r="B131" t="str">
        <f>[9]D_装备基础数据!B131</f>
        <v>嗜血腰带</v>
      </c>
    </row>
    <row r="132" spans="1:2" x14ac:dyDescent="0.15">
      <c r="A132" t="str">
        <f>[9]D_装备基础数据!A132</f>
        <v>53217</v>
      </c>
      <c r="B132" t="str">
        <f>[9]D_装备基础数据!B132</f>
        <v>嗜血项链</v>
      </c>
    </row>
    <row r="133" spans="1:2" x14ac:dyDescent="0.15">
      <c r="A133" t="str">
        <f>[9]D_装备基础数据!A133</f>
        <v>10318</v>
      </c>
      <c r="B133" t="str">
        <f>[9]D_装备基础数据!B133</f>
        <v>霸道之刃</v>
      </c>
    </row>
    <row r="134" spans="1:2" x14ac:dyDescent="0.15">
      <c r="A134" t="str">
        <f>[9]D_装备基础数据!A134</f>
        <v>20318</v>
      </c>
      <c r="B134" t="str">
        <f>[9]D_装备基础数据!B134</f>
        <v>霸道之拳</v>
      </c>
    </row>
    <row r="135" spans="1:2" x14ac:dyDescent="0.15">
      <c r="A135" t="str">
        <f>[9]D_装备基础数据!A135</f>
        <v>30318</v>
      </c>
      <c r="B135" t="str">
        <f>[9]D_装备基础数据!B135</f>
        <v>霸道之枪</v>
      </c>
    </row>
    <row r="136" spans="1:2" x14ac:dyDescent="0.15">
      <c r="A136" t="str">
        <f>[9]D_装备基础数据!A136</f>
        <v>51318</v>
      </c>
      <c r="B136" t="str">
        <f>[9]D_装备基础数据!B136</f>
        <v>霸道战衣</v>
      </c>
    </row>
    <row r="137" spans="1:2" x14ac:dyDescent="0.15">
      <c r="A137" t="str">
        <f>[9]D_装备基础数据!A137</f>
        <v>52318</v>
      </c>
      <c r="B137" t="str">
        <f>[9]D_装备基础数据!B137</f>
        <v>霸道长裤</v>
      </c>
    </row>
    <row r="138" spans="1:2" x14ac:dyDescent="0.15">
      <c r="A138" t="str">
        <f>[9]D_装备基础数据!A138</f>
        <v>55318</v>
      </c>
      <c r="B138" t="str">
        <f>[9]D_装备基础数据!B138</f>
        <v>霸道长靴</v>
      </c>
    </row>
    <row r="139" spans="1:2" x14ac:dyDescent="0.15">
      <c r="A139" t="str">
        <f>[9]D_装备基础数据!A139</f>
        <v>54318</v>
      </c>
      <c r="B139" t="str">
        <f>[9]D_装备基础数据!B139</f>
        <v>霸道腰带</v>
      </c>
    </row>
    <row r="140" spans="1:2" x14ac:dyDescent="0.15">
      <c r="A140" t="str">
        <f>[9]D_装备基础数据!A140</f>
        <v>53318</v>
      </c>
      <c r="B140" t="str">
        <f>[9]D_装备基础数据!B140</f>
        <v>霸道项链</v>
      </c>
    </row>
    <row r="141" spans="1:2" x14ac:dyDescent="0.15">
      <c r="A141" t="str">
        <f>[9]D_装备基础数据!A141</f>
        <v>10419</v>
      </c>
      <c r="B141" t="str">
        <f>[9]D_装备基础数据!B141</f>
        <v>白虎霸刀</v>
      </c>
    </row>
    <row r="142" spans="1:2" x14ac:dyDescent="0.15">
      <c r="A142" t="str">
        <f>[9]D_装备基础数据!A142</f>
        <v>20419</v>
      </c>
      <c r="B142" t="str">
        <f>[9]D_装备基础数据!B142</f>
        <v>白虎之拳</v>
      </c>
    </row>
    <row r="143" spans="1:2" x14ac:dyDescent="0.15">
      <c r="A143" t="str">
        <f>[9]D_装备基础数据!A143</f>
        <v>30419</v>
      </c>
      <c r="B143" t="str">
        <f>[9]D_装备基础数据!B143</f>
        <v>白虎之枪</v>
      </c>
    </row>
    <row r="144" spans="1:2" x14ac:dyDescent="0.15">
      <c r="A144" t="str">
        <f>[9]D_装备基础数据!A144</f>
        <v>51419</v>
      </c>
      <c r="B144" t="str">
        <f>[9]D_装备基础数据!B144</f>
        <v>白虎战衣</v>
      </c>
    </row>
    <row r="145" spans="1:2" x14ac:dyDescent="0.15">
      <c r="A145" t="str">
        <f>[9]D_装备基础数据!A145</f>
        <v>52419</v>
      </c>
      <c r="B145" t="str">
        <f>[9]D_装备基础数据!B145</f>
        <v>白虎长裤</v>
      </c>
    </row>
    <row r="146" spans="1:2" x14ac:dyDescent="0.15">
      <c r="A146" t="str">
        <f>[9]D_装备基础数据!A146</f>
        <v>55419</v>
      </c>
      <c r="B146" t="str">
        <f>[9]D_装备基础数据!B146</f>
        <v>白虎长靴</v>
      </c>
    </row>
    <row r="147" spans="1:2" x14ac:dyDescent="0.15">
      <c r="A147" t="str">
        <f>[9]D_装备基础数据!A147</f>
        <v>54419</v>
      </c>
      <c r="B147" t="str">
        <f>[9]D_装备基础数据!B147</f>
        <v>白虎腰带</v>
      </c>
    </row>
    <row r="148" spans="1:2" x14ac:dyDescent="0.15">
      <c r="A148" t="str">
        <f>[9]D_装备基础数据!A148</f>
        <v>53419</v>
      </c>
      <c r="B148" t="str">
        <f>[9]D_装备基础数据!B148</f>
        <v>白虎项链</v>
      </c>
    </row>
    <row r="149" spans="1:2" x14ac:dyDescent="0.15">
      <c r="A149" t="str">
        <f>[9]D_装备基础数据!A149</f>
        <v>10120</v>
      </c>
      <c r="B149" t="str">
        <f>[9]D_装备基础数据!B149</f>
        <v>堕落之刃</v>
      </c>
    </row>
    <row r="150" spans="1:2" x14ac:dyDescent="0.15">
      <c r="A150" t="str">
        <f>[9]D_装备基础数据!A150</f>
        <v>20120</v>
      </c>
      <c r="B150" t="str">
        <f>[9]D_装备基础数据!B150</f>
        <v>堕落之拳</v>
      </c>
    </row>
    <row r="151" spans="1:2" x14ac:dyDescent="0.15">
      <c r="A151" t="str">
        <f>[9]D_装备基础数据!A151</f>
        <v>30120</v>
      </c>
      <c r="B151" t="str">
        <f>[9]D_装备基础数据!B151</f>
        <v>堕落之枪</v>
      </c>
    </row>
    <row r="152" spans="1:2" x14ac:dyDescent="0.15">
      <c r="A152" t="str">
        <f>[9]D_装备基础数据!A152</f>
        <v>51120</v>
      </c>
      <c r="B152" t="str">
        <f>[9]D_装备基础数据!B152</f>
        <v>堕落战衣</v>
      </c>
    </row>
    <row r="153" spans="1:2" x14ac:dyDescent="0.15">
      <c r="A153" t="str">
        <f>[9]D_装备基础数据!A153</f>
        <v>52120</v>
      </c>
      <c r="B153" t="str">
        <f>[9]D_装备基础数据!B153</f>
        <v>堕落长裤</v>
      </c>
    </row>
    <row r="154" spans="1:2" x14ac:dyDescent="0.15">
      <c r="A154" t="str">
        <f>[9]D_装备基础数据!A154</f>
        <v>55120</v>
      </c>
      <c r="B154" t="str">
        <f>[9]D_装备基础数据!B154</f>
        <v>堕落长靴</v>
      </c>
    </row>
    <row r="155" spans="1:2" x14ac:dyDescent="0.15">
      <c r="A155" t="str">
        <f>[9]D_装备基础数据!A155</f>
        <v>54120</v>
      </c>
      <c r="B155" t="str">
        <f>[9]D_装备基础数据!B155</f>
        <v>堕落腰带</v>
      </c>
    </row>
    <row r="156" spans="1:2" x14ac:dyDescent="0.15">
      <c r="A156" t="str">
        <f>[9]D_装备基础数据!A156</f>
        <v>53120</v>
      </c>
      <c r="B156" t="str">
        <f>[9]D_装备基础数据!B156</f>
        <v>堕落项链</v>
      </c>
    </row>
    <row r="157" spans="1:2" x14ac:dyDescent="0.15">
      <c r="A157" t="str">
        <f>[9]D_装备基础数据!A157</f>
        <v>10221</v>
      </c>
      <c r="B157" t="str">
        <f>[9]D_装备基础数据!B157</f>
        <v>幻痛霸刀</v>
      </c>
    </row>
    <row r="158" spans="1:2" x14ac:dyDescent="0.15">
      <c r="A158" t="str">
        <f>[9]D_装备基础数据!A158</f>
        <v>20221</v>
      </c>
      <c r="B158" t="str">
        <f>[9]D_装备基础数据!B158</f>
        <v>幻痛之拳</v>
      </c>
    </row>
    <row r="159" spans="1:2" x14ac:dyDescent="0.15">
      <c r="A159" t="str">
        <f>[9]D_装备基础数据!A159</f>
        <v>30221</v>
      </c>
      <c r="B159" t="str">
        <f>[9]D_装备基础数据!B159</f>
        <v>幻痛之枪</v>
      </c>
    </row>
    <row r="160" spans="1:2" x14ac:dyDescent="0.15">
      <c r="A160" t="str">
        <f>[9]D_装备基础数据!A160</f>
        <v>51221</v>
      </c>
      <c r="B160" t="str">
        <f>[9]D_装备基础数据!B160</f>
        <v>幻痛战衣</v>
      </c>
    </row>
    <row r="161" spans="1:2" x14ac:dyDescent="0.15">
      <c r="A161" t="str">
        <f>[9]D_装备基础数据!A161</f>
        <v>52221</v>
      </c>
      <c r="B161" t="str">
        <f>[9]D_装备基础数据!B161</f>
        <v>幻痛长裤</v>
      </c>
    </row>
    <row r="162" spans="1:2" x14ac:dyDescent="0.15">
      <c r="A162" t="str">
        <f>[9]D_装备基础数据!A162</f>
        <v>55221</v>
      </c>
      <c r="B162" t="str">
        <f>[9]D_装备基础数据!B162</f>
        <v>幻痛长靴</v>
      </c>
    </row>
    <row r="163" spans="1:2" x14ac:dyDescent="0.15">
      <c r="A163" t="str">
        <f>[9]D_装备基础数据!A163</f>
        <v>54221</v>
      </c>
      <c r="B163" t="str">
        <f>[9]D_装备基础数据!B163</f>
        <v>幻痛腰带</v>
      </c>
    </row>
    <row r="164" spans="1:2" x14ac:dyDescent="0.15">
      <c r="A164" t="str">
        <f>[9]D_装备基础数据!A164</f>
        <v>53221</v>
      </c>
      <c r="B164" t="str">
        <f>[9]D_装备基础数据!B164</f>
        <v>幻痛项链</v>
      </c>
    </row>
    <row r="165" spans="1:2" x14ac:dyDescent="0.15">
      <c r="A165" t="str">
        <f>[9]D_装备基础数据!A165</f>
        <v>10322</v>
      </c>
      <c r="B165" t="str">
        <f>[9]D_装备基础数据!B165</f>
        <v>焚天之剑</v>
      </c>
    </row>
    <row r="166" spans="1:2" x14ac:dyDescent="0.15">
      <c r="A166" t="str">
        <f>[9]D_装备基础数据!A166</f>
        <v>20322</v>
      </c>
      <c r="B166" t="str">
        <f>[9]D_装备基础数据!B166</f>
        <v>焚天之拳</v>
      </c>
    </row>
    <row r="167" spans="1:2" x14ac:dyDescent="0.15">
      <c r="A167" t="str">
        <f>[9]D_装备基础数据!A167</f>
        <v>30322</v>
      </c>
      <c r="B167" t="str">
        <f>[9]D_装备基础数据!B167</f>
        <v>焚天之枪</v>
      </c>
    </row>
    <row r="168" spans="1:2" x14ac:dyDescent="0.15">
      <c r="A168" t="str">
        <f>[9]D_装备基础数据!A168</f>
        <v>51322</v>
      </c>
      <c r="B168" t="str">
        <f>[9]D_装备基础数据!B168</f>
        <v>焚天战衣</v>
      </c>
    </row>
    <row r="169" spans="1:2" x14ac:dyDescent="0.15">
      <c r="A169" t="str">
        <f>[9]D_装备基础数据!A169</f>
        <v>52322</v>
      </c>
      <c r="B169" t="str">
        <f>[9]D_装备基础数据!B169</f>
        <v>焚天长裤</v>
      </c>
    </row>
    <row r="170" spans="1:2" x14ac:dyDescent="0.15">
      <c r="A170" t="str">
        <f>[9]D_装备基础数据!A170</f>
        <v>55322</v>
      </c>
      <c r="B170" t="str">
        <f>[9]D_装备基础数据!B170</f>
        <v>焚天长靴</v>
      </c>
    </row>
    <row r="171" spans="1:2" x14ac:dyDescent="0.15">
      <c r="A171" t="str">
        <f>[9]D_装备基础数据!A171</f>
        <v>54322</v>
      </c>
      <c r="B171" t="str">
        <f>[9]D_装备基础数据!B171</f>
        <v>焚天腰带</v>
      </c>
    </row>
    <row r="172" spans="1:2" x14ac:dyDescent="0.15">
      <c r="A172" t="str">
        <f>[9]D_装备基础数据!A172</f>
        <v>53322</v>
      </c>
      <c r="B172" t="str">
        <f>[9]D_装备基础数据!B172</f>
        <v>焚天项链</v>
      </c>
    </row>
    <row r="173" spans="1:2" x14ac:dyDescent="0.15">
      <c r="A173" t="str">
        <f>[9]D_装备基础数据!A173</f>
        <v>10423</v>
      </c>
      <c r="B173" t="str">
        <f>[9]D_装备基础数据!B173</f>
        <v>朱雀霸刀</v>
      </c>
    </row>
    <row r="174" spans="1:2" x14ac:dyDescent="0.15">
      <c r="A174" t="str">
        <f>[9]D_装备基础数据!A174</f>
        <v>20423</v>
      </c>
      <c r="B174" t="str">
        <f>[9]D_装备基础数据!B174</f>
        <v>朱雀之拳</v>
      </c>
    </row>
    <row r="175" spans="1:2" x14ac:dyDescent="0.15">
      <c r="A175" t="str">
        <f>[9]D_装备基础数据!A175</f>
        <v>30423</v>
      </c>
      <c r="B175" t="str">
        <f>[9]D_装备基础数据!B175</f>
        <v>朱雀之枪</v>
      </c>
    </row>
    <row r="176" spans="1:2" x14ac:dyDescent="0.15">
      <c r="A176" t="str">
        <f>[9]D_装备基础数据!A176</f>
        <v>51423</v>
      </c>
      <c r="B176" t="str">
        <f>[9]D_装备基础数据!B176</f>
        <v>朱雀战衣</v>
      </c>
    </row>
    <row r="177" spans="1:2" x14ac:dyDescent="0.15">
      <c r="A177" t="str">
        <f>[9]D_装备基础数据!A177</f>
        <v>52423</v>
      </c>
      <c r="B177" t="str">
        <f>[9]D_装备基础数据!B177</f>
        <v>朱雀长裤</v>
      </c>
    </row>
    <row r="178" spans="1:2" x14ac:dyDescent="0.15">
      <c r="A178" t="str">
        <f>[9]D_装备基础数据!A178</f>
        <v>55423</v>
      </c>
      <c r="B178" t="str">
        <f>[9]D_装备基础数据!B178</f>
        <v>朱雀长靴</v>
      </c>
    </row>
    <row r="179" spans="1:2" x14ac:dyDescent="0.15">
      <c r="A179" t="str">
        <f>[9]D_装备基础数据!A179</f>
        <v>54423</v>
      </c>
      <c r="B179" t="str">
        <f>[9]D_装备基础数据!B179</f>
        <v>朱雀腰带</v>
      </c>
    </row>
    <row r="180" spans="1:2" x14ac:dyDescent="0.15">
      <c r="A180" t="str">
        <f>[9]D_装备基础数据!A180</f>
        <v>53423</v>
      </c>
      <c r="B180" t="str">
        <f>[9]D_装备基础数据!B180</f>
        <v>朱雀项链</v>
      </c>
    </row>
    <row r="181" spans="1:2" x14ac:dyDescent="0.15">
      <c r="A181" t="str">
        <f>[9]D_装备基础数据!A181</f>
        <v>10124</v>
      </c>
      <c r="B181" t="str">
        <f>[9]D_装备基础数据!B181</f>
        <v>高洁之刃</v>
      </c>
    </row>
    <row r="182" spans="1:2" x14ac:dyDescent="0.15">
      <c r="A182" t="str">
        <f>[9]D_装备基础数据!A182</f>
        <v>20124</v>
      </c>
      <c r="B182" t="str">
        <f>[9]D_装备基础数据!B182</f>
        <v>高洁之拳</v>
      </c>
    </row>
    <row r="183" spans="1:2" x14ac:dyDescent="0.15">
      <c r="A183" t="str">
        <f>[9]D_装备基础数据!A183</f>
        <v>30124</v>
      </c>
      <c r="B183" t="str">
        <f>[9]D_装备基础数据!B183</f>
        <v>高洁之枪</v>
      </c>
    </row>
    <row r="184" spans="1:2" x14ac:dyDescent="0.15">
      <c r="A184" t="str">
        <f>[9]D_装备基础数据!A184</f>
        <v>51124</v>
      </c>
      <c r="B184" t="str">
        <f>[9]D_装备基础数据!B184</f>
        <v>高洁战衣</v>
      </c>
    </row>
    <row r="185" spans="1:2" x14ac:dyDescent="0.15">
      <c r="A185" t="str">
        <f>[9]D_装备基础数据!A185</f>
        <v>52124</v>
      </c>
      <c r="B185" t="str">
        <f>[9]D_装备基础数据!B185</f>
        <v>高洁长裤</v>
      </c>
    </row>
    <row r="186" spans="1:2" x14ac:dyDescent="0.15">
      <c r="A186" t="str">
        <f>[9]D_装备基础数据!A186</f>
        <v>55124</v>
      </c>
      <c r="B186" t="str">
        <f>[9]D_装备基础数据!B186</f>
        <v>高洁长靴</v>
      </c>
    </row>
    <row r="187" spans="1:2" x14ac:dyDescent="0.15">
      <c r="A187" t="str">
        <f>[9]D_装备基础数据!A187</f>
        <v>54124</v>
      </c>
      <c r="B187" t="str">
        <f>[9]D_装备基础数据!B187</f>
        <v>高洁腰带</v>
      </c>
    </row>
    <row r="188" spans="1:2" x14ac:dyDescent="0.15">
      <c r="A188" t="str">
        <f>[9]D_装备基础数据!A188</f>
        <v>53124</v>
      </c>
      <c r="B188" t="str">
        <f>[9]D_装备基础数据!B188</f>
        <v>高洁项链</v>
      </c>
    </row>
    <row r="189" spans="1:2" x14ac:dyDescent="0.15">
      <c r="A189" t="str">
        <f>[9]D_装备基础数据!A189</f>
        <v>10225</v>
      </c>
      <c r="B189" t="str">
        <f>[9]D_装备基础数据!B189</f>
        <v>星宿之刃</v>
      </c>
    </row>
    <row r="190" spans="1:2" x14ac:dyDescent="0.15">
      <c r="A190" t="str">
        <f>[9]D_装备基础数据!A190</f>
        <v>20225</v>
      </c>
      <c r="B190" t="str">
        <f>[9]D_装备基础数据!B190</f>
        <v>星宿之拳</v>
      </c>
    </row>
    <row r="191" spans="1:2" x14ac:dyDescent="0.15">
      <c r="A191" t="str">
        <f>[9]D_装备基础数据!A191</f>
        <v>30225</v>
      </c>
      <c r="B191" t="str">
        <f>[9]D_装备基础数据!B191</f>
        <v>星宿之枪</v>
      </c>
    </row>
    <row r="192" spans="1:2" x14ac:dyDescent="0.15">
      <c r="A192" t="str">
        <f>[9]D_装备基础数据!A192</f>
        <v>51225</v>
      </c>
      <c r="B192" t="str">
        <f>[9]D_装备基础数据!B192</f>
        <v>星宿战衣</v>
      </c>
    </row>
    <row r="193" spans="1:2" x14ac:dyDescent="0.15">
      <c r="A193" t="str">
        <f>[9]D_装备基础数据!A193</f>
        <v>52225</v>
      </c>
      <c r="B193" t="str">
        <f>[9]D_装备基础数据!B193</f>
        <v>星宿长裤</v>
      </c>
    </row>
    <row r="194" spans="1:2" x14ac:dyDescent="0.15">
      <c r="A194" t="str">
        <f>[9]D_装备基础数据!A194</f>
        <v>55225</v>
      </c>
      <c r="B194" t="str">
        <f>[9]D_装备基础数据!B194</f>
        <v>星宿长靴</v>
      </c>
    </row>
    <row r="195" spans="1:2" x14ac:dyDescent="0.15">
      <c r="A195" t="str">
        <f>[9]D_装备基础数据!A195</f>
        <v>54225</v>
      </c>
      <c r="B195" t="str">
        <f>[9]D_装备基础数据!B195</f>
        <v>星宿腰带</v>
      </c>
    </row>
    <row r="196" spans="1:2" x14ac:dyDescent="0.15">
      <c r="A196" t="str">
        <f>[9]D_装备基础数据!A196</f>
        <v>53225</v>
      </c>
      <c r="B196" t="str">
        <f>[9]D_装备基础数据!B196</f>
        <v>星宿项链</v>
      </c>
    </row>
    <row r="197" spans="1:2" x14ac:dyDescent="0.15">
      <c r="A197" t="str">
        <f>[9]D_装备基础数据!A197</f>
        <v>10326</v>
      </c>
      <c r="B197" t="str">
        <f>[9]D_装备基础数据!B197</f>
        <v>炼狱之剑</v>
      </c>
    </row>
    <row r="198" spans="1:2" x14ac:dyDescent="0.15">
      <c r="A198" t="str">
        <f>[9]D_装备基础数据!A198</f>
        <v>20326</v>
      </c>
      <c r="B198" t="str">
        <f>[9]D_装备基础数据!B198</f>
        <v>炼狱之拳</v>
      </c>
    </row>
    <row r="199" spans="1:2" x14ac:dyDescent="0.15">
      <c r="A199" t="str">
        <f>[9]D_装备基础数据!A199</f>
        <v>30326</v>
      </c>
      <c r="B199" t="str">
        <f>[9]D_装备基础数据!B199</f>
        <v>炼狱之枪</v>
      </c>
    </row>
    <row r="200" spans="1:2" x14ac:dyDescent="0.15">
      <c r="A200" t="str">
        <f>[9]D_装备基础数据!A200</f>
        <v>51326</v>
      </c>
      <c r="B200" t="str">
        <f>[9]D_装备基础数据!B200</f>
        <v>炼狱战衣</v>
      </c>
    </row>
    <row r="201" spans="1:2" x14ac:dyDescent="0.15">
      <c r="A201" t="str">
        <f>[9]D_装备基础数据!A201</f>
        <v>52326</v>
      </c>
      <c r="B201" t="str">
        <f>[9]D_装备基础数据!B201</f>
        <v>炼狱长裤</v>
      </c>
    </row>
    <row r="202" spans="1:2" x14ac:dyDescent="0.15">
      <c r="A202" t="str">
        <f>[9]D_装备基础数据!A202</f>
        <v>55326</v>
      </c>
      <c r="B202" t="str">
        <f>[9]D_装备基础数据!B202</f>
        <v>炼狱长靴</v>
      </c>
    </row>
    <row r="203" spans="1:2" x14ac:dyDescent="0.15">
      <c r="A203" t="str">
        <f>[9]D_装备基础数据!A203</f>
        <v>54326</v>
      </c>
      <c r="B203" t="str">
        <f>[9]D_装备基础数据!B203</f>
        <v>炼狱腰带</v>
      </c>
    </row>
    <row r="204" spans="1:2" x14ac:dyDescent="0.15">
      <c r="A204" t="str">
        <f>[9]D_装备基础数据!A204</f>
        <v>53326</v>
      </c>
      <c r="B204" t="str">
        <f>[9]D_装备基础数据!B204</f>
        <v>炼狱项链</v>
      </c>
    </row>
    <row r="205" spans="1:2" x14ac:dyDescent="0.15">
      <c r="A205" t="str">
        <f>[9]D_装备基础数据!A205</f>
        <v>10427</v>
      </c>
      <c r="B205" t="str">
        <f>[9]D_装备基础数据!B205</f>
        <v>青龙霸刀</v>
      </c>
    </row>
    <row r="206" spans="1:2" x14ac:dyDescent="0.15">
      <c r="A206" t="str">
        <f>[9]D_装备基础数据!A206</f>
        <v>20427</v>
      </c>
      <c r="B206" t="str">
        <f>[9]D_装备基础数据!B206</f>
        <v>青龙之拳</v>
      </c>
    </row>
    <row r="207" spans="1:2" x14ac:dyDescent="0.15">
      <c r="A207" t="str">
        <f>[9]D_装备基础数据!A207</f>
        <v>30427</v>
      </c>
      <c r="B207" t="str">
        <f>[9]D_装备基础数据!B207</f>
        <v>青龙之枪</v>
      </c>
    </row>
    <row r="208" spans="1:2" x14ac:dyDescent="0.15">
      <c r="A208" t="str">
        <f>[9]D_装备基础数据!A208</f>
        <v>51427</v>
      </c>
      <c r="B208" t="str">
        <f>[9]D_装备基础数据!B208</f>
        <v>青龙战衣</v>
      </c>
    </row>
    <row r="209" spans="1:2" x14ac:dyDescent="0.15">
      <c r="A209" t="str">
        <f>[9]D_装备基础数据!A209</f>
        <v>52427</v>
      </c>
      <c r="B209" t="str">
        <f>[9]D_装备基础数据!B209</f>
        <v>青龙长裤</v>
      </c>
    </row>
    <row r="210" spans="1:2" x14ac:dyDescent="0.15">
      <c r="A210" t="str">
        <f>[9]D_装备基础数据!A210</f>
        <v>55427</v>
      </c>
      <c r="B210" t="str">
        <f>[9]D_装备基础数据!B210</f>
        <v>青龙长靴</v>
      </c>
    </row>
    <row r="211" spans="1:2" x14ac:dyDescent="0.15">
      <c r="A211" t="str">
        <f>[9]D_装备基础数据!A211</f>
        <v>54427</v>
      </c>
      <c r="B211" t="str">
        <f>[9]D_装备基础数据!B211</f>
        <v>青龙腰带</v>
      </c>
    </row>
    <row r="212" spans="1:2" x14ac:dyDescent="0.15">
      <c r="A212" t="str">
        <f>[9]D_装备基础数据!A212</f>
        <v>53427</v>
      </c>
      <c r="B212" t="str">
        <f>[9]D_装备基础数据!B212</f>
        <v>青龙项链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18"/>
  <sheetViews>
    <sheetView workbookViewId="0">
      <selection activeCell="E111" sqref="E111"/>
    </sheetView>
  </sheetViews>
  <sheetFormatPr defaultRowHeight="13.5" x14ac:dyDescent="0.15"/>
  <cols>
    <col min="2" max="2" width="18.75" customWidth="1"/>
  </cols>
  <sheetData>
    <row r="1" spans="1:2" x14ac:dyDescent="0.15">
      <c r="A1" s="8" t="s">
        <v>127</v>
      </c>
      <c r="B1" s="8" t="s">
        <v>128</v>
      </c>
    </row>
    <row r="2" spans="1:2" x14ac:dyDescent="0.15">
      <c r="A2" s="11">
        <f>[10]D_马仔宝物!A2</f>
        <v>92131</v>
      </c>
      <c r="B2" s="11" t="str">
        <f>[10]D_马仔宝物!B2</f>
        <v>幸运戒指</v>
      </c>
    </row>
    <row r="3" spans="1:2" x14ac:dyDescent="0.15">
      <c r="A3" s="11">
        <f>[10]D_马仔宝物!A3</f>
        <v>92011</v>
      </c>
      <c r="B3" s="11" t="str">
        <f>[10]D_马仔宝物!B3</f>
        <v>亚诺</v>
      </c>
    </row>
    <row r="4" spans="1:2" x14ac:dyDescent="0.15">
      <c r="A4" s="11">
        <f>[10]D_马仔宝物!A4</f>
        <v>92228</v>
      </c>
      <c r="B4" s="11" t="str">
        <f>[10]D_马仔宝物!B4</f>
        <v>银色手环</v>
      </c>
    </row>
    <row r="5" spans="1:2" x14ac:dyDescent="0.15">
      <c r="A5" s="11">
        <f>[10]D_马仔宝物!A5</f>
        <v>92232</v>
      </c>
      <c r="B5" s="11" t="str">
        <f>[10]D_马仔宝物!B5</f>
        <v>鎏金手环</v>
      </c>
    </row>
    <row r="6" spans="1:2" x14ac:dyDescent="0.15">
      <c r="A6" s="11">
        <f>[10]D_马仔宝物!A6</f>
        <v>92121</v>
      </c>
      <c r="B6" s="11" t="str">
        <f>[10]D_马仔宝物!B6</f>
        <v>镀金耳钉</v>
      </c>
    </row>
    <row r="7" spans="1:2" x14ac:dyDescent="0.15">
      <c r="A7" s="11">
        <f>[10]D_马仔宝物!A7</f>
        <v>92243</v>
      </c>
      <c r="B7" s="11" t="str">
        <f>[10]D_马仔宝物!B7</f>
        <v>诅咒项链</v>
      </c>
    </row>
    <row r="8" spans="1:2" x14ac:dyDescent="0.15">
      <c r="A8" s="11">
        <f>[10]D_马仔宝物!A8</f>
        <v>92244</v>
      </c>
      <c r="B8" s="11" t="str">
        <f>[10]D_马仔宝物!B8</f>
        <v>金饰项链</v>
      </c>
    </row>
    <row r="9" spans="1:2" x14ac:dyDescent="0.15">
      <c r="A9" s="11">
        <f>[10]D_马仔宝物!A9</f>
        <v>92263</v>
      </c>
      <c r="B9" s="11" t="str">
        <f>[10]D_马仔宝物!B9</f>
        <v>银针手表</v>
      </c>
    </row>
    <row r="10" spans="1:2" x14ac:dyDescent="0.15">
      <c r="A10" s="11">
        <f>[10]D_马仔宝物!A10</f>
        <v>92277</v>
      </c>
      <c r="B10" s="11" t="str">
        <f>[10]D_马仔宝物!B10</f>
        <v>冬利</v>
      </c>
    </row>
    <row r="11" spans="1:2" x14ac:dyDescent="0.15">
      <c r="A11" s="11">
        <f>[10]D_马仔宝物!A11</f>
        <v>92233</v>
      </c>
      <c r="B11" s="11" t="str">
        <f>[10]D_马仔宝物!B11</f>
        <v>白金手环</v>
      </c>
    </row>
    <row r="12" spans="1:2" x14ac:dyDescent="0.15">
      <c r="A12" s="11">
        <f>[10]D_马仔宝物!A12</f>
        <v>92122</v>
      </c>
      <c r="B12" s="11" t="str">
        <f>[10]D_马仔宝物!B12</f>
        <v>银饰耳钉</v>
      </c>
    </row>
    <row r="13" spans="1:2" x14ac:dyDescent="0.15">
      <c r="A13" s="11">
        <f>[10]D_马仔宝物!A13</f>
        <v>92141</v>
      </c>
      <c r="B13" s="11" t="str">
        <f>[10]D_马仔宝物!B13</f>
        <v>白银戒指</v>
      </c>
    </row>
    <row r="14" spans="1:2" x14ac:dyDescent="0.15">
      <c r="A14" s="11">
        <f>[10]D_马仔宝物!A14</f>
        <v>92245</v>
      </c>
      <c r="B14" s="11" t="str">
        <f>[10]D_马仔宝物!B14</f>
        <v>水晶项链</v>
      </c>
    </row>
    <row r="15" spans="1:2" x14ac:dyDescent="0.15">
      <c r="A15" s="11">
        <f>[10]D_马仔宝物!A15</f>
        <v>92251</v>
      </c>
      <c r="B15" s="11" t="str">
        <f>[10]D_马仔宝物!B15</f>
        <v>红石项链</v>
      </c>
    </row>
    <row r="16" spans="1:2" x14ac:dyDescent="0.15">
      <c r="A16" s="11">
        <f>[10]D_马仔宝物!A16</f>
        <v>92264</v>
      </c>
      <c r="B16" s="11" t="str">
        <f>[10]D_马仔宝物!B16</f>
        <v>越野手表</v>
      </c>
    </row>
    <row r="17" spans="1:2" x14ac:dyDescent="0.15">
      <c r="A17" s="11">
        <f>[10]D_马仔宝物!A17</f>
        <v>92271</v>
      </c>
      <c r="B17" s="11" t="str">
        <f>[10]D_马仔宝物!B17</f>
        <v>精准手表</v>
      </c>
    </row>
    <row r="18" spans="1:2" x14ac:dyDescent="0.15">
      <c r="A18" s="11">
        <f>[10]D_马仔宝物!A18</f>
        <v>92278</v>
      </c>
      <c r="B18" s="11" t="str">
        <f>[10]D_马仔宝物!B18</f>
        <v>宝驼</v>
      </c>
    </row>
    <row r="19" spans="1:2" x14ac:dyDescent="0.15">
      <c r="A19" s="11">
        <f>[10]D_马仔宝物!A19</f>
        <v>92283</v>
      </c>
      <c r="B19" s="11" t="str">
        <f>[10]D_马仔宝物!B19</f>
        <v>小迭钞票</v>
      </c>
    </row>
    <row r="20" spans="1:2" x14ac:dyDescent="0.15">
      <c r="A20" s="11">
        <f>[10]D_马仔宝物!A20</f>
        <v>92287</v>
      </c>
      <c r="B20" s="11" t="str">
        <f>[10]D_马仔宝物!B20</f>
        <v>金块</v>
      </c>
    </row>
    <row r="21" spans="1:2" x14ac:dyDescent="0.15">
      <c r="A21" s="11">
        <f>[10]D_马仔宝物!A21</f>
        <v>92142</v>
      </c>
      <c r="B21" s="11" t="str">
        <f>[10]D_马仔宝物!B21</f>
        <v>黄金戒指</v>
      </c>
    </row>
    <row r="22" spans="1:2" x14ac:dyDescent="0.15">
      <c r="A22" s="11">
        <f>[10]D_马仔宝物!A22</f>
        <v>92235</v>
      </c>
      <c r="B22" s="11" t="str">
        <f>[10]D_马仔宝物!B22</f>
        <v>宝石手环</v>
      </c>
    </row>
    <row r="23" spans="1:2" x14ac:dyDescent="0.15">
      <c r="A23" s="11">
        <f>[10]D_马仔宝物!A23</f>
        <v>92012</v>
      </c>
      <c r="B23" s="11" t="str">
        <f>[10]D_马仔宝物!B23</f>
        <v>摩拉</v>
      </c>
    </row>
    <row r="24" spans="1:2" x14ac:dyDescent="0.15">
      <c r="A24" s="11">
        <f>[10]D_马仔宝物!A24</f>
        <v>92252</v>
      </c>
      <c r="B24" s="11" t="str">
        <f>[10]D_马仔宝物!B24</f>
        <v>青玉项链</v>
      </c>
    </row>
    <row r="25" spans="1:2" x14ac:dyDescent="0.15">
      <c r="A25" s="11">
        <f>[10]D_马仔宝物!A25</f>
        <v>92124</v>
      </c>
      <c r="B25" s="11" t="str">
        <f>[10]D_马仔宝物!B25</f>
        <v>水晶耳钉</v>
      </c>
    </row>
    <row r="26" spans="1:2" x14ac:dyDescent="0.15">
      <c r="A26" s="11">
        <f>[10]D_马仔宝物!A26</f>
        <v>92272</v>
      </c>
      <c r="B26" s="11" t="str">
        <f>[10]D_马仔宝物!B26</f>
        <v>金针手表</v>
      </c>
    </row>
    <row r="27" spans="1:2" x14ac:dyDescent="0.15">
      <c r="A27" s="11">
        <f>[10]D_马仔宝物!A27</f>
        <v>92273</v>
      </c>
      <c r="B27" s="11" t="str">
        <f>[10]D_马仔宝物!B27</f>
        <v>智能手表</v>
      </c>
    </row>
    <row r="28" spans="1:2" x14ac:dyDescent="0.15">
      <c r="A28" s="11">
        <f>[10]D_马仔宝物!A28</f>
        <v>92279</v>
      </c>
      <c r="B28" s="11" t="str">
        <f>[10]D_马仔宝物!B28</f>
        <v>宾倪</v>
      </c>
    </row>
    <row r="29" spans="1:2" x14ac:dyDescent="0.15">
      <c r="A29" s="11">
        <f>[10]D_马仔宝物!A29</f>
        <v>92284</v>
      </c>
      <c r="B29" s="11" t="str">
        <f>[10]D_马仔宝物!B29</f>
        <v>大迭钞票</v>
      </c>
    </row>
    <row r="30" spans="1:2" x14ac:dyDescent="0.15">
      <c r="A30" s="11">
        <f>[10]D_马仔宝物!A30</f>
        <v>92288</v>
      </c>
      <c r="B30" s="11" t="str">
        <f>[10]D_马仔宝物!B30</f>
        <v>大金块</v>
      </c>
    </row>
    <row r="31" spans="1:2" x14ac:dyDescent="0.15">
      <c r="A31" s="11">
        <f>[10]D_马仔宝物!A31</f>
        <v>92125</v>
      </c>
      <c r="B31" s="11" t="str">
        <f>[10]D_马仔宝物!B31</f>
        <v>红石耳钉</v>
      </c>
    </row>
    <row r="32" spans="1:2" x14ac:dyDescent="0.15">
      <c r="A32" s="11">
        <f>[10]D_马仔宝物!A32</f>
        <v>92134</v>
      </c>
      <c r="B32" s="11" t="str">
        <f>[10]D_马仔宝物!B32</f>
        <v>毒蝎耳钉</v>
      </c>
    </row>
    <row r="33" spans="1:2" x14ac:dyDescent="0.15">
      <c r="A33" s="11">
        <f>[10]D_马仔宝物!A33</f>
        <v>92223</v>
      </c>
      <c r="B33" s="11" t="str">
        <f>[10]D_马仔宝物!B33</f>
        <v>赤金戒指</v>
      </c>
    </row>
    <row r="34" spans="1:2" x14ac:dyDescent="0.15">
      <c r="A34" s="11">
        <f>[10]D_马仔宝物!A34</f>
        <v>92227</v>
      </c>
      <c r="B34" s="11" t="str">
        <f>[10]D_马仔宝物!B34</f>
        <v>王者手环</v>
      </c>
    </row>
    <row r="35" spans="1:2" x14ac:dyDescent="0.15">
      <c r="A35" s="11">
        <f>[10]D_马仔宝物!A35</f>
        <v>92236</v>
      </c>
      <c r="B35" s="11" t="str">
        <f>[10]D_马仔宝物!B35</f>
        <v>符文手环</v>
      </c>
    </row>
    <row r="36" spans="1:2" x14ac:dyDescent="0.15">
      <c r="A36" s="11">
        <f>[10]D_马仔宝物!A36</f>
        <v>92013</v>
      </c>
      <c r="B36" s="11" t="str">
        <f>[10]D_马仔宝物!B36</f>
        <v>月立</v>
      </c>
    </row>
    <row r="37" spans="1:2" x14ac:dyDescent="0.15">
      <c r="A37" s="11">
        <f>[10]D_马仔宝物!A37</f>
        <v>92253</v>
      </c>
      <c r="B37" s="11" t="str">
        <f>[10]D_马仔宝物!B37</f>
        <v>猫妖项链</v>
      </c>
    </row>
    <row r="38" spans="1:2" x14ac:dyDescent="0.15">
      <c r="A38" s="11">
        <f>[10]D_马仔宝物!A38</f>
        <v>92254</v>
      </c>
      <c r="B38" s="11" t="str">
        <f>[10]D_马仔宝物!B38</f>
        <v>苍蓝项链</v>
      </c>
    </row>
    <row r="39" spans="1:2" x14ac:dyDescent="0.15">
      <c r="A39" s="11">
        <f>[10]D_马仔宝物!A39</f>
        <v>92274</v>
      </c>
      <c r="B39" s="11" t="str">
        <f>[10]D_马仔宝物!B39</f>
        <v>汉密手表</v>
      </c>
    </row>
    <row r="40" spans="1:2" x14ac:dyDescent="0.15">
      <c r="A40" s="11">
        <f>[10]D_马仔宝物!A40</f>
        <v>92280</v>
      </c>
      <c r="B40" s="11" t="str">
        <f>[10]D_马仔宝物!B40</f>
        <v>法拉捷</v>
      </c>
    </row>
    <row r="41" spans="1:2" x14ac:dyDescent="0.15">
      <c r="A41" s="11">
        <f>[10]D_马仔宝物!A41</f>
        <v>92285</v>
      </c>
      <c r="B41" s="11" t="str">
        <f>[10]D_马仔宝物!B41</f>
        <v>大堆钞票</v>
      </c>
    </row>
    <row r="42" spans="1:2" x14ac:dyDescent="0.15">
      <c r="A42" s="11">
        <f>[10]D_马仔宝物!A42</f>
        <v>92289</v>
      </c>
      <c r="B42" s="11" t="str">
        <f>[10]D_马仔宝物!B42</f>
        <v>小堆金块</v>
      </c>
    </row>
    <row r="43" spans="1:2" x14ac:dyDescent="0.15">
      <c r="A43" s="11">
        <f>[10]D_马仔宝物!A43</f>
        <v>92014</v>
      </c>
      <c r="B43" s="11" t="str">
        <f>[10]D_马仔宝物!B43</f>
        <v>菠萝</v>
      </c>
    </row>
    <row r="44" spans="1:2" x14ac:dyDescent="0.15">
      <c r="A44" s="11">
        <f>[10]D_马仔宝物!A44</f>
        <v>92296</v>
      </c>
      <c r="B44" s="11" t="str">
        <f>[10]D_马仔宝物!B44</f>
        <v>星光红石</v>
      </c>
    </row>
    <row r="45" spans="1:2" x14ac:dyDescent="0.15">
      <c r="A45" s="11">
        <f>[10]D_马仔宝物!A45</f>
        <v>92240</v>
      </c>
      <c r="B45" s="11" t="str">
        <f>[10]D_马仔宝物!B45</f>
        <v>苍蓝戒指</v>
      </c>
    </row>
    <row r="46" spans="1:2" x14ac:dyDescent="0.15">
      <c r="A46" s="11">
        <f>[10]D_马仔宝物!A46</f>
        <v>92292</v>
      </c>
      <c r="B46" s="11" t="str">
        <f>[10]D_马仔宝物!B46</f>
        <v>金饰宝盒</v>
      </c>
    </row>
    <row r="47" spans="1:2" x14ac:dyDescent="0.15">
      <c r="A47" s="11">
        <f>[10]D_马仔宝物!A47</f>
        <v>92256</v>
      </c>
      <c r="B47" s="11" t="str">
        <f>[10]D_马仔宝物!B47</f>
        <v>圣徒项链</v>
      </c>
    </row>
    <row r="48" spans="1:2" x14ac:dyDescent="0.15">
      <c r="A48" s="11">
        <f>[10]D_马仔宝物!A48</f>
        <v>92261</v>
      </c>
      <c r="B48" s="11" t="str">
        <f>[10]D_马仔宝物!B48</f>
        <v>贵族项链</v>
      </c>
    </row>
    <row r="49" spans="1:2" x14ac:dyDescent="0.15">
      <c r="A49" s="11">
        <f>[10]D_马仔宝物!A49</f>
        <v>92275</v>
      </c>
      <c r="B49" s="11" t="str">
        <f>[10]D_马仔宝物!B49</f>
        <v>千国手表</v>
      </c>
    </row>
    <row r="50" spans="1:2" x14ac:dyDescent="0.15">
      <c r="A50" s="11">
        <f>[10]D_马仔宝物!A50</f>
        <v>92281</v>
      </c>
      <c r="B50" s="11" t="str">
        <f>[10]D_马仔宝物!B50</f>
        <v>红博机利</v>
      </c>
    </row>
    <row r="51" spans="1:2" x14ac:dyDescent="0.15">
      <c r="A51" s="11">
        <f>[10]D_马仔宝物!A51</f>
        <v>92286</v>
      </c>
      <c r="B51" s="11" t="str">
        <f>[10]D_马仔宝物!B51</f>
        <v>巨额钞票</v>
      </c>
    </row>
    <row r="52" spans="1:2" x14ac:dyDescent="0.15">
      <c r="A52" s="11">
        <f>[10]D_马仔宝物!A52</f>
        <v>92290</v>
      </c>
      <c r="B52" s="11" t="str">
        <f>[10]D_马仔宝物!B52</f>
        <v>大堆金块</v>
      </c>
    </row>
    <row r="53" spans="1:2" x14ac:dyDescent="0.15">
      <c r="A53" s="11">
        <f>[10]D_马仔宝物!A53</f>
        <v>92026</v>
      </c>
      <c r="B53" s="11" t="str">
        <f>[10]D_马仔宝物!B53</f>
        <v>深蓝</v>
      </c>
    </row>
    <row r="54" spans="1:2" x14ac:dyDescent="0.15">
      <c r="A54" s="11">
        <f>[10]D_马仔宝物!A54</f>
        <v>92255</v>
      </c>
      <c r="B54" s="11" t="str">
        <f>[10]D_马仔宝物!B54</f>
        <v>黑耀项链</v>
      </c>
    </row>
    <row r="55" spans="1:2" x14ac:dyDescent="0.15">
      <c r="A55" s="11">
        <f>[10]D_马仔宝物!A55</f>
        <v>92297</v>
      </c>
      <c r="B55" s="11" t="str">
        <f>[10]D_马仔宝物!B55</f>
        <v>翠绿之心</v>
      </c>
    </row>
    <row r="56" spans="1:2" x14ac:dyDescent="0.15">
      <c r="A56" s="11">
        <f>[10]D_马仔宝物!A56</f>
        <v>92293</v>
      </c>
      <c r="B56" s="11" t="str">
        <f>[10]D_马仔宝物!B56</f>
        <v>珍珠宝盒</v>
      </c>
    </row>
    <row r="57" spans="1:2" x14ac:dyDescent="0.15">
      <c r="A57" s="11">
        <f>[10]D_马仔宝物!A57</f>
        <v>92294</v>
      </c>
      <c r="B57" s="11" t="str">
        <f>[10]D_马仔宝物!B57</f>
        <v>古董宝盒</v>
      </c>
    </row>
    <row r="58" spans="1:2" x14ac:dyDescent="0.15">
      <c r="A58" s="11">
        <f>[10]D_马仔宝物!A58</f>
        <v>92295</v>
      </c>
      <c r="B58" s="11" t="str">
        <f>[10]D_马仔宝物!B58</f>
        <v>水晶宝盒</v>
      </c>
    </row>
    <row r="59" spans="1:2" x14ac:dyDescent="0.15">
      <c r="A59" s="11">
        <f>[10]D_马仔宝物!A59</f>
        <v>92262</v>
      </c>
      <c r="B59" s="11" t="str">
        <f>[10]D_马仔宝物!B59</f>
        <v>皇家项链</v>
      </c>
    </row>
    <row r="60" spans="1:2" x14ac:dyDescent="0.15">
      <c r="A60" s="11">
        <f>[10]D_马仔宝物!A60</f>
        <v>92298</v>
      </c>
      <c r="B60" s="11" t="str">
        <f>[10]D_马仔宝物!B60</f>
        <v>海洋之泪</v>
      </c>
    </row>
    <row r="61" spans="1:2" x14ac:dyDescent="0.15">
      <c r="A61" s="11">
        <f>[10]D_马仔宝物!A61</f>
        <v>92276</v>
      </c>
      <c r="B61" s="11" t="str">
        <f>[10]D_马仔宝物!B61</f>
        <v>壕利手表</v>
      </c>
    </row>
    <row r="62" spans="1:2" x14ac:dyDescent="0.15">
      <c r="A62" s="11">
        <f>[10]D_马仔宝物!A62</f>
        <v>92282</v>
      </c>
      <c r="B62" s="11" t="str">
        <f>[10]D_马仔宝物!B62</f>
        <v>劳莱斯特</v>
      </c>
    </row>
    <row r="63" spans="1:2" x14ac:dyDescent="0.15">
      <c r="A63" s="11">
        <f>[10]D_马仔宝物!A63</f>
        <v>92299</v>
      </c>
      <c r="B63" s="11" t="str">
        <f>[10]D_马仔宝物!B63</f>
        <v>房产证</v>
      </c>
    </row>
    <row r="64" spans="1:2" x14ac:dyDescent="0.15">
      <c r="A64" s="11">
        <f>[10]D_马仔宝物!A64</f>
        <v>92291</v>
      </c>
      <c r="B64" s="11" t="str">
        <f>[10]D_马仔宝物!B64</f>
        <v>巨量金块</v>
      </c>
    </row>
    <row r="65" spans="1:2" x14ac:dyDescent="0.15">
      <c r="A65" s="11">
        <f>[10]D_马仔宝物!A65</f>
        <v>93233</v>
      </c>
      <c r="B65" s="11" t="str">
        <f>[10]D_马仔宝物!B65</f>
        <v>白金手环碎片</v>
      </c>
    </row>
    <row r="66" spans="1:2" x14ac:dyDescent="0.15">
      <c r="A66" s="11">
        <f>[10]D_马仔宝物!A66</f>
        <v>93122</v>
      </c>
      <c r="B66" s="11" t="str">
        <f>[10]D_马仔宝物!B66</f>
        <v>银饰耳钉碎片</v>
      </c>
    </row>
    <row r="67" spans="1:2" x14ac:dyDescent="0.15">
      <c r="A67" s="11">
        <f>[10]D_马仔宝物!A67</f>
        <v>93141</v>
      </c>
      <c r="B67" s="11" t="str">
        <f>[10]D_马仔宝物!B67</f>
        <v>白银戒指碎片</v>
      </c>
    </row>
    <row r="68" spans="1:2" x14ac:dyDescent="0.15">
      <c r="A68" s="11">
        <f>[10]D_马仔宝物!A68</f>
        <v>93245</v>
      </c>
      <c r="B68" s="11" t="str">
        <f>[10]D_马仔宝物!B68</f>
        <v>水晶项链碎片</v>
      </c>
    </row>
    <row r="69" spans="1:2" x14ac:dyDescent="0.15">
      <c r="A69" s="11">
        <f>[10]D_马仔宝物!A69</f>
        <v>93251</v>
      </c>
      <c r="B69" s="11" t="str">
        <f>[10]D_马仔宝物!B69</f>
        <v>红石项链碎片</v>
      </c>
    </row>
    <row r="70" spans="1:2" x14ac:dyDescent="0.15">
      <c r="A70" s="11">
        <f>[10]D_马仔宝物!A70</f>
        <v>93264</v>
      </c>
      <c r="B70" s="11" t="str">
        <f>[10]D_马仔宝物!B70</f>
        <v>越野手表碎片</v>
      </c>
    </row>
    <row r="71" spans="1:2" x14ac:dyDescent="0.15">
      <c r="A71" s="11">
        <f>[10]D_马仔宝物!A71</f>
        <v>93271</v>
      </c>
      <c r="B71" s="11" t="str">
        <f>[10]D_马仔宝物!B71</f>
        <v>精准手表碎片</v>
      </c>
    </row>
    <row r="72" spans="1:2" x14ac:dyDescent="0.15">
      <c r="A72" s="11">
        <f>[10]D_马仔宝物!A72</f>
        <v>93278</v>
      </c>
      <c r="B72" s="11" t="str">
        <f>[10]D_马仔宝物!B72</f>
        <v>宝驼碎片</v>
      </c>
    </row>
    <row r="73" spans="1:2" x14ac:dyDescent="0.15">
      <c r="A73" s="11">
        <f>[10]D_马仔宝物!A73</f>
        <v>93283</v>
      </c>
      <c r="B73" s="11" t="str">
        <f>[10]D_马仔宝物!B73</f>
        <v>小迭钞票碎片</v>
      </c>
    </row>
    <row r="74" spans="1:2" x14ac:dyDescent="0.15">
      <c r="A74" s="11">
        <f>[10]D_马仔宝物!A74</f>
        <v>93287</v>
      </c>
      <c r="B74" s="11" t="str">
        <f>[10]D_马仔宝物!B74</f>
        <v>金块碎片</v>
      </c>
    </row>
    <row r="75" spans="1:2" x14ac:dyDescent="0.15">
      <c r="A75" s="11">
        <f>[10]D_马仔宝物!A75</f>
        <v>93142</v>
      </c>
      <c r="B75" s="11" t="str">
        <f>[10]D_马仔宝物!B75</f>
        <v>黄金戒指碎片</v>
      </c>
    </row>
    <row r="76" spans="1:2" x14ac:dyDescent="0.15">
      <c r="A76" s="11">
        <f>[10]D_马仔宝物!A76</f>
        <v>93235</v>
      </c>
      <c r="B76" s="11" t="str">
        <f>[10]D_马仔宝物!B76</f>
        <v>宝石手环碎片</v>
      </c>
    </row>
    <row r="77" spans="1:2" x14ac:dyDescent="0.15">
      <c r="A77" s="11">
        <f>[10]D_马仔宝物!A77</f>
        <v>93012</v>
      </c>
      <c r="B77" s="11" t="str">
        <f>[10]D_马仔宝物!B77</f>
        <v>摩拉碎片</v>
      </c>
    </row>
    <row r="78" spans="1:2" x14ac:dyDescent="0.15">
      <c r="A78" s="11">
        <f>[10]D_马仔宝物!A78</f>
        <v>93252</v>
      </c>
      <c r="B78" s="11" t="str">
        <f>[10]D_马仔宝物!B78</f>
        <v>青玉项链碎片</v>
      </c>
    </row>
    <row r="79" spans="1:2" x14ac:dyDescent="0.15">
      <c r="A79" s="11">
        <f>[10]D_马仔宝物!A79</f>
        <v>93124</v>
      </c>
      <c r="B79" s="11" t="str">
        <f>[10]D_马仔宝物!B79</f>
        <v>水晶耳钉碎片</v>
      </c>
    </row>
    <row r="80" spans="1:2" x14ac:dyDescent="0.15">
      <c r="A80" s="11">
        <f>[10]D_马仔宝物!A80</f>
        <v>93272</v>
      </c>
      <c r="B80" s="11" t="str">
        <f>[10]D_马仔宝物!B80</f>
        <v>金针手表碎片</v>
      </c>
    </row>
    <row r="81" spans="1:2" x14ac:dyDescent="0.15">
      <c r="A81" s="11">
        <f>[10]D_马仔宝物!A81</f>
        <v>93273</v>
      </c>
      <c r="B81" s="11" t="str">
        <f>[10]D_马仔宝物!B81</f>
        <v>智能手表碎片</v>
      </c>
    </row>
    <row r="82" spans="1:2" x14ac:dyDescent="0.15">
      <c r="A82" s="11">
        <f>[10]D_马仔宝物!A82</f>
        <v>93279</v>
      </c>
      <c r="B82" s="11" t="str">
        <f>[10]D_马仔宝物!B82</f>
        <v>宾倪碎片</v>
      </c>
    </row>
    <row r="83" spans="1:2" x14ac:dyDescent="0.15">
      <c r="A83" s="11">
        <f>[10]D_马仔宝物!A83</f>
        <v>93284</v>
      </c>
      <c r="B83" s="11" t="str">
        <f>[10]D_马仔宝物!B83</f>
        <v>大迭钞票碎片</v>
      </c>
    </row>
    <row r="84" spans="1:2" x14ac:dyDescent="0.15">
      <c r="A84" s="11">
        <f>[10]D_马仔宝物!A84</f>
        <v>93288</v>
      </c>
      <c r="B84" s="11" t="str">
        <f>[10]D_马仔宝物!B84</f>
        <v>大金块碎片</v>
      </c>
    </row>
    <row r="85" spans="1:2" x14ac:dyDescent="0.15">
      <c r="A85" s="11">
        <f>[10]D_马仔宝物!A85</f>
        <v>93125</v>
      </c>
      <c r="B85" s="11" t="str">
        <f>[10]D_马仔宝物!B85</f>
        <v>红石耳钉碎片</v>
      </c>
    </row>
    <row r="86" spans="1:2" x14ac:dyDescent="0.15">
      <c r="A86" s="11">
        <f>[10]D_马仔宝物!A86</f>
        <v>93134</v>
      </c>
      <c r="B86" s="11" t="str">
        <f>[10]D_马仔宝物!B86</f>
        <v>毒蝎耳钉碎片</v>
      </c>
    </row>
    <row r="87" spans="1:2" x14ac:dyDescent="0.15">
      <c r="A87" s="11">
        <f>[10]D_马仔宝物!A87</f>
        <v>93223</v>
      </c>
      <c r="B87" s="11" t="str">
        <f>[10]D_马仔宝物!B87</f>
        <v>赤金戒指碎片</v>
      </c>
    </row>
    <row r="88" spans="1:2" x14ac:dyDescent="0.15">
      <c r="A88" s="11">
        <f>[10]D_马仔宝物!A88</f>
        <v>93227</v>
      </c>
      <c r="B88" s="11" t="str">
        <f>[10]D_马仔宝物!B88</f>
        <v>王者手环碎片</v>
      </c>
    </row>
    <row r="89" spans="1:2" x14ac:dyDescent="0.15">
      <c r="A89" s="11">
        <f>[10]D_马仔宝物!A89</f>
        <v>93236</v>
      </c>
      <c r="B89" s="11" t="str">
        <f>[10]D_马仔宝物!B89</f>
        <v>符文手环碎片</v>
      </c>
    </row>
    <row r="90" spans="1:2" x14ac:dyDescent="0.15">
      <c r="A90" s="11">
        <f>[10]D_马仔宝物!A90</f>
        <v>93013</v>
      </c>
      <c r="B90" s="11" t="str">
        <f>[10]D_马仔宝物!B90</f>
        <v>月立碎片</v>
      </c>
    </row>
    <row r="91" spans="1:2" x14ac:dyDescent="0.15">
      <c r="A91" s="11">
        <f>[10]D_马仔宝物!A91</f>
        <v>93253</v>
      </c>
      <c r="B91" s="11" t="str">
        <f>[10]D_马仔宝物!B91</f>
        <v>猫妖项链碎片</v>
      </c>
    </row>
    <row r="92" spans="1:2" x14ac:dyDescent="0.15">
      <c r="A92" s="11">
        <f>[10]D_马仔宝物!A92</f>
        <v>93254</v>
      </c>
      <c r="B92" s="11" t="str">
        <f>[10]D_马仔宝物!B92</f>
        <v>苍蓝项链碎片</v>
      </c>
    </row>
    <row r="93" spans="1:2" x14ac:dyDescent="0.15">
      <c r="A93" s="11">
        <f>[10]D_马仔宝物!A93</f>
        <v>93274</v>
      </c>
      <c r="B93" s="11" t="str">
        <f>[10]D_马仔宝物!B93</f>
        <v>汉密手表碎片</v>
      </c>
    </row>
    <row r="94" spans="1:2" x14ac:dyDescent="0.15">
      <c r="A94" s="11">
        <f>[10]D_马仔宝物!A94</f>
        <v>93280</v>
      </c>
      <c r="B94" s="11" t="str">
        <f>[10]D_马仔宝物!B94</f>
        <v>法拉捷碎片</v>
      </c>
    </row>
    <row r="95" spans="1:2" x14ac:dyDescent="0.15">
      <c r="A95" s="11">
        <f>[10]D_马仔宝物!A95</f>
        <v>93285</v>
      </c>
      <c r="B95" s="11" t="str">
        <f>[10]D_马仔宝物!B95</f>
        <v>大堆钞票碎片</v>
      </c>
    </row>
    <row r="96" spans="1:2" x14ac:dyDescent="0.15">
      <c r="A96" s="11">
        <f>[10]D_马仔宝物!A96</f>
        <v>93289</v>
      </c>
      <c r="B96" s="11" t="str">
        <f>[10]D_马仔宝物!B96</f>
        <v>小堆金块碎片</v>
      </c>
    </row>
    <row r="97" spans="1:2" x14ac:dyDescent="0.15">
      <c r="A97" s="11">
        <f>[10]D_马仔宝物!A97</f>
        <v>93014</v>
      </c>
      <c r="B97" s="11" t="str">
        <f>[10]D_马仔宝物!B97</f>
        <v>菠萝碎片</v>
      </c>
    </row>
    <row r="98" spans="1:2" x14ac:dyDescent="0.15">
      <c r="A98" s="11">
        <f>[10]D_马仔宝物!A98</f>
        <v>93296</v>
      </c>
      <c r="B98" s="11" t="str">
        <f>[10]D_马仔宝物!B98</f>
        <v>星光红石碎片</v>
      </c>
    </row>
    <row r="99" spans="1:2" x14ac:dyDescent="0.15">
      <c r="A99" s="11">
        <f>[10]D_马仔宝物!A99</f>
        <v>93240</v>
      </c>
      <c r="B99" s="11" t="str">
        <f>[10]D_马仔宝物!B99</f>
        <v>苍蓝戒指碎片</v>
      </c>
    </row>
    <row r="100" spans="1:2" x14ac:dyDescent="0.15">
      <c r="A100" s="11">
        <f>[10]D_马仔宝物!A100</f>
        <v>93292</v>
      </c>
      <c r="B100" s="11" t="str">
        <f>[10]D_马仔宝物!B100</f>
        <v>金饰宝盒碎片</v>
      </c>
    </row>
    <row r="101" spans="1:2" x14ac:dyDescent="0.15">
      <c r="A101" s="11">
        <f>[10]D_马仔宝物!A101</f>
        <v>93256</v>
      </c>
      <c r="B101" s="11" t="str">
        <f>[10]D_马仔宝物!B101</f>
        <v>圣徒项链碎片</v>
      </c>
    </row>
    <row r="102" spans="1:2" x14ac:dyDescent="0.15">
      <c r="A102" s="11">
        <f>[10]D_马仔宝物!A102</f>
        <v>93261</v>
      </c>
      <c r="B102" s="11" t="str">
        <f>[10]D_马仔宝物!B102</f>
        <v>贵族项链碎片</v>
      </c>
    </row>
    <row r="103" spans="1:2" x14ac:dyDescent="0.15">
      <c r="A103" s="11">
        <f>[10]D_马仔宝物!A103</f>
        <v>93275</v>
      </c>
      <c r="B103" s="11" t="str">
        <f>[10]D_马仔宝物!B103</f>
        <v>千国手表碎片</v>
      </c>
    </row>
    <row r="104" spans="1:2" x14ac:dyDescent="0.15">
      <c r="A104" s="11">
        <f>[10]D_马仔宝物!A104</f>
        <v>93281</v>
      </c>
      <c r="B104" s="11" t="str">
        <f>[10]D_马仔宝物!B104</f>
        <v>红博机利碎片</v>
      </c>
    </row>
    <row r="105" spans="1:2" x14ac:dyDescent="0.15">
      <c r="A105" s="11">
        <f>[10]D_马仔宝物!A105</f>
        <v>93286</v>
      </c>
      <c r="B105" s="11" t="str">
        <f>[10]D_马仔宝物!B105</f>
        <v>巨额钞票碎片</v>
      </c>
    </row>
    <row r="106" spans="1:2" x14ac:dyDescent="0.15">
      <c r="A106" s="11">
        <f>[10]D_马仔宝物!A106</f>
        <v>93290</v>
      </c>
      <c r="B106" s="11" t="str">
        <f>[10]D_马仔宝物!B106</f>
        <v>大堆金块碎片</v>
      </c>
    </row>
    <row r="107" spans="1:2" x14ac:dyDescent="0.15">
      <c r="A107" s="11">
        <f>[10]D_马仔宝物!A107</f>
        <v>93026</v>
      </c>
      <c r="B107" s="11" t="str">
        <f>[10]D_马仔宝物!B107</f>
        <v>深蓝碎片</v>
      </c>
    </row>
    <row r="108" spans="1:2" x14ac:dyDescent="0.15">
      <c r="A108" s="11">
        <f>[10]D_马仔宝物!A108</f>
        <v>93255</v>
      </c>
      <c r="B108" s="11" t="str">
        <f>[10]D_马仔宝物!B108</f>
        <v>黑耀项链碎片</v>
      </c>
    </row>
    <row r="109" spans="1:2" x14ac:dyDescent="0.15">
      <c r="A109" s="11">
        <f>[10]D_马仔宝物!A109</f>
        <v>93297</v>
      </c>
      <c r="B109" s="11" t="str">
        <f>[10]D_马仔宝物!B109</f>
        <v>翠绿之心碎片</v>
      </c>
    </row>
    <row r="110" spans="1:2" x14ac:dyDescent="0.15">
      <c r="A110" s="11">
        <f>[10]D_马仔宝物!A110</f>
        <v>93293</v>
      </c>
      <c r="B110" s="11" t="str">
        <f>[10]D_马仔宝物!B110</f>
        <v>珍珠宝盒碎片</v>
      </c>
    </row>
    <row r="111" spans="1:2" x14ac:dyDescent="0.15">
      <c r="A111" s="11">
        <f>[10]D_马仔宝物!A111</f>
        <v>93294</v>
      </c>
      <c r="B111" s="11" t="str">
        <f>[10]D_马仔宝物!B111</f>
        <v>古董宝盒碎片</v>
      </c>
    </row>
    <row r="112" spans="1:2" x14ac:dyDescent="0.15">
      <c r="A112" s="11">
        <f>[10]D_马仔宝物!A112</f>
        <v>93295</v>
      </c>
      <c r="B112" s="11" t="str">
        <f>[10]D_马仔宝物!B112</f>
        <v>水晶宝盒碎片</v>
      </c>
    </row>
    <row r="113" spans="1:2" x14ac:dyDescent="0.15">
      <c r="A113" s="11">
        <f>[10]D_马仔宝物!A113</f>
        <v>93262</v>
      </c>
      <c r="B113" s="11" t="str">
        <f>[10]D_马仔宝物!B113</f>
        <v>皇家项链碎片</v>
      </c>
    </row>
    <row r="114" spans="1:2" x14ac:dyDescent="0.15">
      <c r="A114" s="11">
        <f>[10]D_马仔宝物!A114</f>
        <v>93298</v>
      </c>
      <c r="B114" s="11" t="str">
        <f>[10]D_马仔宝物!B114</f>
        <v>海洋之泪碎片</v>
      </c>
    </row>
    <row r="115" spans="1:2" x14ac:dyDescent="0.15">
      <c r="A115" s="11">
        <f>[10]D_马仔宝物!A115</f>
        <v>93276</v>
      </c>
      <c r="B115" s="11" t="str">
        <f>[10]D_马仔宝物!B115</f>
        <v>壕利手表碎片</v>
      </c>
    </row>
    <row r="116" spans="1:2" x14ac:dyDescent="0.15">
      <c r="A116" s="11">
        <f>[10]D_马仔宝物!A116</f>
        <v>93282</v>
      </c>
      <c r="B116" s="11" t="str">
        <f>[10]D_马仔宝物!B116</f>
        <v>劳莱斯特碎片</v>
      </c>
    </row>
    <row r="117" spans="1:2" x14ac:dyDescent="0.15">
      <c r="A117" s="11">
        <f>[10]D_马仔宝物!A117</f>
        <v>93299</v>
      </c>
      <c r="B117" s="11" t="str">
        <f>[10]D_马仔宝物!B117</f>
        <v>房产证碎片</v>
      </c>
    </row>
    <row r="118" spans="1:2" x14ac:dyDescent="0.15">
      <c r="A118" s="11">
        <f>[10]D_马仔宝物!A118</f>
        <v>93291</v>
      </c>
      <c r="B118" s="11" t="str">
        <f>[10]D_马仔宝物!B118</f>
        <v>巨量金块碎片</v>
      </c>
    </row>
  </sheetData>
  <phoneticPr fontId="1" type="noConversion"/>
  <conditionalFormatting sqref="A2:B118">
    <cfRule type="expression" dxfId="14026" priority="6">
      <formula>$J1=5</formula>
    </cfRule>
    <cfRule type="expression" dxfId="14025" priority="7">
      <formula>$J1=4</formula>
    </cfRule>
    <cfRule type="expression" dxfId="14024" priority="8">
      <formula>$J1=3</formula>
    </cfRule>
    <cfRule type="expression" dxfId="14023" priority="9">
      <formula>$J1=2</formula>
    </cfRule>
    <cfRule type="expression" dxfId="14022" priority="10">
      <formula>$J1=1</formula>
    </cfRule>
  </conditionalFormatting>
  <conditionalFormatting sqref="A2:B118">
    <cfRule type="expression" dxfId="14021" priority="1">
      <formula>$E1=4</formula>
    </cfRule>
    <cfRule type="expression" dxfId="14020" priority="2">
      <formula>$E1=3</formula>
    </cfRule>
    <cfRule type="expression" dxfId="14019" priority="3">
      <formula>$E1=2</formula>
    </cfRule>
    <cfRule type="expression" dxfId="14018" priority="4">
      <formula>$E1=1</formula>
    </cfRule>
    <cfRule type="expression" dxfId="14017" priority="5">
      <formula>$E1=0</formula>
    </cfRule>
  </conditionalFormatting>
  <conditionalFormatting sqref="A2:B118">
    <cfRule type="duplicateValues" dxfId="14016" priority="34493" stopIfTrue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20"/>
  <sheetViews>
    <sheetView workbookViewId="0">
      <selection activeCell="J39" sqref="J39"/>
    </sheetView>
  </sheetViews>
  <sheetFormatPr defaultRowHeight="13.5" x14ac:dyDescent="0.15"/>
  <sheetData>
    <row r="1" spans="1:2" x14ac:dyDescent="0.15">
      <c r="A1" t="s">
        <v>134</v>
      </c>
      <c r="B1" t="s">
        <v>135</v>
      </c>
    </row>
    <row r="2" spans="1:2" x14ac:dyDescent="0.15">
      <c r="A2">
        <f>[10]D_马仔表!A2</f>
        <v>101101</v>
      </c>
      <c r="B2" t="str">
        <f>[10]D_马仔表!B2</f>
        <v>制服太妹</v>
      </c>
    </row>
    <row r="3" spans="1:2" x14ac:dyDescent="0.15">
      <c r="A3">
        <f>[10]D_马仔表!A3</f>
        <v>101102</v>
      </c>
      <c r="B3" t="str">
        <f>[10]D_马仔表!B3</f>
        <v>蟹仔</v>
      </c>
    </row>
    <row r="4" spans="1:2" x14ac:dyDescent="0.15">
      <c r="A4">
        <f>[10]D_马仔表!A4</f>
        <v>101103</v>
      </c>
      <c r="B4" t="str">
        <f>[10]D_马仔表!B4</f>
        <v>比利</v>
      </c>
    </row>
    <row r="5" spans="1:2" x14ac:dyDescent="0.15">
      <c r="A5">
        <f>[10]D_马仔表!A5</f>
        <v>101104</v>
      </c>
      <c r="B5" t="str">
        <f>[10]D_马仔表!B5</f>
        <v>黎九</v>
      </c>
    </row>
    <row r="6" spans="1:2" x14ac:dyDescent="0.15">
      <c r="A6">
        <f>[10]D_马仔表!A6</f>
        <v>101105</v>
      </c>
      <c r="B6" t="str">
        <f>[10]D_马仔表!B6</f>
        <v>黑古</v>
      </c>
    </row>
    <row r="7" spans="1:2" x14ac:dyDescent="0.15">
      <c r="A7">
        <f>[10]D_马仔表!A7</f>
        <v>101106</v>
      </c>
      <c r="B7" t="str">
        <f>[10]D_马仔表!B7</f>
        <v>靓坤</v>
      </c>
    </row>
    <row r="8" spans="1:2" x14ac:dyDescent="0.15">
      <c r="A8">
        <f>[10]D_马仔表!A8</f>
        <v>101107</v>
      </c>
      <c r="B8" t="str">
        <f>[10]D_马仔表!B8</f>
        <v>雷复轰</v>
      </c>
    </row>
    <row r="9" spans="1:2" x14ac:dyDescent="0.15">
      <c r="A9">
        <f>[10]D_马仔表!A9</f>
        <v>101108</v>
      </c>
      <c r="B9" t="str">
        <f>[10]D_马仔表!B9</f>
        <v>肥仔</v>
      </c>
    </row>
    <row r="10" spans="1:2" x14ac:dyDescent="0.15">
      <c r="A10">
        <f>[10]D_马仔表!A10</f>
        <v>101109</v>
      </c>
      <c r="B10" t="str">
        <f>[10]D_马仔表!B10</f>
        <v>司徒浩南</v>
      </c>
    </row>
    <row r="11" spans="1:2" x14ac:dyDescent="0.15">
      <c r="A11">
        <f>[10]D_马仔表!A11</f>
        <v>101110</v>
      </c>
      <c r="B11" t="str">
        <f>[10]D_马仔表!B11</f>
        <v>乌鸦</v>
      </c>
    </row>
    <row r="12" spans="1:2" x14ac:dyDescent="0.15">
      <c r="A12">
        <f>[10]D_马仔表!A12</f>
        <v>101111</v>
      </c>
      <c r="B12" t="str">
        <f>[10]D_马仔表!B12</f>
        <v>赌王</v>
      </c>
    </row>
    <row r="13" spans="1:2" x14ac:dyDescent="0.15">
      <c r="A13">
        <f>[10]D_马仔表!A13</f>
        <v>101112</v>
      </c>
      <c r="B13" t="str">
        <f>[10]D_马仔表!B13</f>
        <v>山下忠秀</v>
      </c>
    </row>
    <row r="14" spans="1:2" x14ac:dyDescent="0.15">
      <c r="A14">
        <f>[10]D_马仔表!A14</f>
        <v>101113</v>
      </c>
      <c r="B14" t="str">
        <f>[10]D_马仔表!B14</f>
        <v>宫本一</v>
      </c>
    </row>
    <row r="15" spans="1:2" x14ac:dyDescent="0.15">
      <c r="A15">
        <f>[10]D_马仔表!A15</f>
        <v>101114</v>
      </c>
      <c r="B15" t="str">
        <f>[10]D_马仔表!B15</f>
        <v>陈浩南</v>
      </c>
    </row>
    <row r="16" spans="1:2" x14ac:dyDescent="0.15">
      <c r="A16">
        <f>[10]D_马仔表!A16</f>
        <v>101115</v>
      </c>
      <c r="B16" t="str">
        <f>[10]D_马仔表!B16</f>
        <v>山鸡</v>
      </c>
    </row>
    <row r="17" spans="1:2" x14ac:dyDescent="0.15">
      <c r="A17">
        <f>[10]D_马仔表!A17</f>
        <v>101116</v>
      </c>
      <c r="B17" t="str">
        <f>[10]D_马仔表!B17</f>
        <v>大天二</v>
      </c>
    </row>
    <row r="18" spans="1:2" x14ac:dyDescent="0.15">
      <c r="A18">
        <f>[10]D_马仔表!A18</f>
        <v>101117</v>
      </c>
      <c r="B18" t="str">
        <f>[10]D_马仔表!B18</f>
        <v>巴闭</v>
      </c>
    </row>
    <row r="19" spans="1:2" x14ac:dyDescent="0.15">
      <c r="A19">
        <f>[10]D_马仔表!A19</f>
        <v>101118</v>
      </c>
      <c r="B19" t="str">
        <f>[10]D_马仔表!B19</f>
        <v>耀阳</v>
      </c>
    </row>
    <row r="20" spans="1:2" x14ac:dyDescent="0.15">
      <c r="A20">
        <f>[10]D_马仔表!A20</f>
        <v>101119</v>
      </c>
      <c r="B20" t="str">
        <f>[10]D_马仔表!B20</f>
        <v>笑面虎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2"/>
  <sheetViews>
    <sheetView workbookViewId="0">
      <selection activeCell="I39" sqref="I39"/>
    </sheetView>
  </sheetViews>
  <sheetFormatPr defaultRowHeight="13.5" x14ac:dyDescent="0.15"/>
  <sheetData>
    <row r="1" spans="1:2" x14ac:dyDescent="0.15">
      <c r="A1" t="s">
        <v>140</v>
      </c>
      <c r="B1" t="s">
        <v>141</v>
      </c>
    </row>
    <row r="2" spans="1:2" x14ac:dyDescent="0.15">
      <c r="A2">
        <f>[11]D_称号!A2</f>
        <v>59001</v>
      </c>
      <c r="B2" t="str">
        <f>[11]D_称号!C2</f>
        <v>洪兴新星</v>
      </c>
    </row>
    <row r="3" spans="1:2" x14ac:dyDescent="0.15">
      <c r="A3">
        <f>[11]D_称号!A3</f>
        <v>59002</v>
      </c>
      <c r="B3" t="str">
        <f>[11]D_称号!C3</f>
        <v>洪兴打仔</v>
      </c>
    </row>
    <row r="4" spans="1:2" x14ac:dyDescent="0.15">
      <c r="A4">
        <f>[11]D_称号!A4</f>
        <v>59003</v>
      </c>
      <c r="B4" t="str">
        <f>[11]D_称号!C4</f>
        <v>扛把子</v>
      </c>
    </row>
    <row r="5" spans="1:2" x14ac:dyDescent="0.15">
      <c r="A5">
        <f>[11]D_称号!A5</f>
        <v>59004</v>
      </c>
      <c r="B5" t="str">
        <f>[11]D_称号!C5</f>
        <v>二路元帅</v>
      </c>
    </row>
    <row r="6" spans="1:2" x14ac:dyDescent="0.15">
      <c r="A6">
        <f>[11]D_称号!A6</f>
        <v>59005</v>
      </c>
      <c r="B6" t="str">
        <f>[11]D_称号!C6</f>
        <v>战无不胜</v>
      </c>
    </row>
    <row r="7" spans="1:2" x14ac:dyDescent="0.15">
      <c r="A7">
        <f>[11]D_称号!A7</f>
        <v>59006</v>
      </c>
      <c r="B7" t="str">
        <f>[11]D_称号!C7</f>
        <v>猛龙过江</v>
      </c>
    </row>
    <row r="8" spans="1:2" x14ac:dyDescent="0.15">
      <c r="A8">
        <f>[11]D_称号!A8</f>
        <v>59007</v>
      </c>
      <c r="B8" t="str">
        <f>[11]D_称号!C8</f>
        <v>神之手</v>
      </c>
    </row>
    <row r="9" spans="1:2" x14ac:dyDescent="0.15">
      <c r="A9">
        <f>[11]D_称号!A9</f>
        <v>59008</v>
      </c>
      <c r="B9" t="str">
        <f>[11]D_称号!C9</f>
        <v>富甲一方</v>
      </c>
    </row>
    <row r="10" spans="1:2" x14ac:dyDescent="0.15">
      <c r="A10">
        <f>[11]D_称号!A10</f>
        <v>59009</v>
      </c>
      <c r="B10" t="str">
        <f>[11]D_称号!C10</f>
        <v>壕气冲天</v>
      </c>
    </row>
    <row r="11" spans="1:2" x14ac:dyDescent="0.15">
      <c r="A11">
        <f>[11]D_称号!A11</f>
        <v>59010</v>
      </c>
      <c r="B11" t="str">
        <f>[11]D_称号!C11</f>
        <v>富可敌国</v>
      </c>
    </row>
    <row r="12" spans="1:2" x14ac:dyDescent="0.15">
      <c r="A12">
        <f>[11]D_称号!A12</f>
        <v>59030</v>
      </c>
      <c r="B12" t="str">
        <f>[11]D_称号!C12</f>
        <v>洪兴小财主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</vt:i4>
      </vt:variant>
    </vt:vector>
  </HeadingPairs>
  <TitlesOfParts>
    <vt:vector size="13" baseType="lpstr">
      <vt:lpstr>D_普通掉落表</vt:lpstr>
      <vt:lpstr>D_特殊掉落表</vt:lpstr>
      <vt:lpstr>说明</vt:lpstr>
      <vt:lpstr>D_奖励表</vt:lpstr>
      <vt:lpstr>特殊掉落辅助表</vt:lpstr>
      <vt:lpstr>引用表合并</vt:lpstr>
      <vt:lpstr>命格引用</vt:lpstr>
      <vt:lpstr>道具引用</vt:lpstr>
      <vt:lpstr>装备引用</vt:lpstr>
      <vt:lpstr>马仔宝物引用</vt:lpstr>
      <vt:lpstr>马仔引用</vt:lpstr>
      <vt:lpstr>称号引用</vt:lpstr>
      <vt:lpstr>普通掉落表DATA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Javy</dc:creator>
  <cp:lastModifiedBy>Javy</cp:lastModifiedBy>
  <dcterms:created xsi:type="dcterms:W3CDTF">2006-09-16T00:00:00Z</dcterms:created>
  <dcterms:modified xsi:type="dcterms:W3CDTF">2015-08-24T04:00:35Z</dcterms:modified>
</cp:coreProperties>
</file>